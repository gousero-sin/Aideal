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d66d480a6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DRE" sheetId="1" r:id="R57bb087736db4b01"/>
    <x:sheet xmlns:r="http://schemas.openxmlformats.org/officeDocument/2006/relationships" name="Receitas" sheetId="2" r:id="Rf25b3cfbe6fd4cfd"/>
    <x:sheet xmlns:r="http://schemas.openxmlformats.org/officeDocument/2006/relationships" name="Despesas" sheetId="3" r:id="Rdbfeb1e6de3c4827"/>
    <x:sheet xmlns:r="http://schemas.openxmlformats.org/officeDocument/2006/relationships" name="Dados" sheetId="4" r:id="Rf31b72b52ef84d25"/>
    <x:sheet xmlns:r="http://schemas.openxmlformats.org/officeDocument/2006/relationships" name="Resumo por Conta" sheetId="5" r:id="R6f274bec63624f27"/>
    <x:sheet xmlns:r="http://schemas.openxmlformats.org/officeDocument/2006/relationships" name="Checks" sheetId="6" r:id="R60662b13801e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;[Red](#,##0.00);-"/>
    <x:numFmt numFmtId="202" formatCode="0.0%"/>
    <x:numFmt numFmtId="203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3">
    <x:border/>
    <x:border>
      <x:left style="medium">
        <x:color rgb="FF5B9BD5"/>
      </x:left>
      <x:top style="medium">
        <x:color rgb="FF5B9BD5"/>
      </x:top>
      <x:bottom style="medium">
        <x:color rgb="FF5B9BD5"/>
      </x:bottom>
    </x:border>
    <x:border>
      <x:right style="medium">
        <x:color rgb="FF5B9BD5"/>
      </x:right>
      <x:top style="medium">
        <x:color rgb="FF5B9BD5"/>
      </x:top>
      <x:bottom style="medium">
        <x:color rgb="FF5B9BD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1" xfId="0" applyNumberFormat="1" applyFont="1" applyFill="1" applyBorder="1"/>
    <x:xf numFmtId="201" fontId="4" fillId="5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16025353149cf" /><Relationship Type="http://schemas.openxmlformats.org/officeDocument/2006/relationships/theme" Target="/xl/theme/theme1.xml" Id="R40754c5e02584bc9" /><Relationship Type="http://schemas.openxmlformats.org/officeDocument/2006/relationships/sharedStrings" Target="/xl/sharedStrings.xml" Id="Recf80b061cba41c4" /><Relationship Type="http://schemas.openxmlformats.org/officeDocument/2006/relationships/worksheet" Target="/xl/worksheets/sheet1.xml" Id="R57bb087736db4b01" /><Relationship Type="http://schemas.openxmlformats.org/officeDocument/2006/relationships/worksheet" Target="/xl/worksheets/sheet2.xml" Id="Rf25b3cfbe6fd4cfd" /><Relationship Type="http://schemas.openxmlformats.org/officeDocument/2006/relationships/worksheet" Target="/xl/worksheets/sheet3.xml" Id="Rdbfeb1e6de3c4827" /><Relationship Type="http://schemas.openxmlformats.org/officeDocument/2006/relationships/worksheet" Target="/xl/worksheets/sheet4.xml" Id="Rf31b72b52ef84d25" /><Relationship Type="http://schemas.openxmlformats.org/officeDocument/2006/relationships/worksheet" Target="/xl/worksheets/sheet5.xml" Id="R6f274bec63624f27" /><Relationship Type="http://schemas.openxmlformats.org/officeDocument/2006/relationships/worksheet" Target="/xl/worksheets/sheet6.xml" Id="R60662b13801e4a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12c71cabc44e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despesas por conta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'Resumo DRE'!$E$6:$E$15</c:f>
              <c:strCache>
                <c:ptCount val="0"/>
              </c:strCache>
            </c:strRef>
          </c:cat>
          <c:val>
            <c:numRef>
              <c:f>'Resumo DRE'!$F$6:$F$15</c:f>
              <c:numCache>
                <c:formatCode>#,##0.00;[Red](#,##0.00);-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12c71cabc44e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eitasTable" displayName="ReceitasTable" ref="A1:Q37" headerRowCount="1">
  <x:autoFilter ref="A1:Q37"/>
  <x:tableColumns count="17">
    <x:tableColumn id="1" name="Cliente"/>
    <x:tableColumn id="2" name="Número"/>
    <x:tableColumn id="3" name="Doc."/>
    <x:tableColumn id="4" name="Descrição"/>
    <x:tableColumn id="5" name="Obs."/>
    <x:tableColumn id="6" name="Emissão"/>
    <x:tableColumn id="7" name="Obra/Centro custo"/>
    <x:tableColumn id="8" name="C. gerencial"/>
    <x:tableColumn id="9" name="Vlr.bruto (R$)"/>
    <x:tableColumn id="10" name="IR (R$)"/>
    <x:tableColumn id="11" name="ISS (R$)"/>
    <x:tableColumn id="12" name="INSS (R$)"/>
    <x:tableColumn id="13" name="PIS (R$)"/>
    <x:tableColumn id="14" name="COFINS (R$)"/>
    <x:tableColumn id="15" name="CSLL (R$)"/>
    <x:tableColumn id="16" name="Tarifa de Antecipação (R$)"/>
    <x:tableColumn id="17" name="Total líquido (R$)"/>
  </x:tableColumns>
  <x:tableStyleInfo name="TableStyleMedium2" showRowStripes="1"/>
</x:table>
</file>

<file path=xl/tables/table2.xml><?xml version="1.0" encoding="utf-8"?>
<x:table xmlns:x="http://schemas.openxmlformats.org/spreadsheetml/2006/main" id="2" name="DespesasTable" displayName="DespesasTable" ref="A1:I930" headerRowCount="1">
  <x:autoFilter ref="A1:I930"/>
  <x:tableColumns count="9">
    <x:tableColumn id="1" name="Fornecedor"/>
    <x:tableColumn id="2" name="Número"/>
    <x:tableColumn id="3" name="Doc."/>
    <x:tableColumn id="4" name="Descrição"/>
    <x:tableColumn id="5" name="Obs."/>
    <x:tableColumn id="6" name="Emissão"/>
    <x:tableColumn id="7" name="Obra/Centro custo"/>
    <x:tableColumn id="8" name="C. gerencial"/>
    <x:tableColumn id="9" name="Total líquido (R$)"/>
  </x:tableColumns>
  <x:tableStyleInfo name="TableStyleMedium2" showRowStripes="1"/>
</x:table>
</file>

<file path=xl/tables/table3.xml><?xml version="1.0" encoding="utf-8"?>
<x:table xmlns:x="http://schemas.openxmlformats.org/spreadsheetml/2006/main" id="3" name="DadosTable" displayName="DadosTable" ref="A1:M966" headerRowCount="1">
  <x:autoFilter ref="A1:M966"/>
  <x:tableColumns count="13">
    <x:tableColumn id="1" name="Tipo"/>
    <x:tableColumn id="2" name="Cliente/Fornecedor"/>
    <x:tableColumn id="3" name="Número"/>
    <x:tableColumn id="4" name="Doc."/>
    <x:tableColumn id="5" name="Descrição"/>
    <x:tableColumn id="6" name="Obs."/>
    <x:tableColumn id="7" name="Emissão"/>
    <x:tableColumn id="8" name="Obra/Centro custo"/>
    <x:tableColumn id="9" name="C. gerencial"/>
    <x:tableColumn id="10" name="Valor bruto (R$)"/>
    <x:tableColumn id="11" name="Deduções/taxas (R$)"/>
    <x:tableColumn id="12" name="Total líquido (R$)"/>
    <x:tableColumn id="13" name="Valor DRE (R$)"/>
  </x:tableColumns>
  <x:tableStyleInfo name="TableStyleMedium2" showRowStripes="1"/>
</x:table>
</file>

<file path=xl/tables/table4.xml><?xml version="1.0" encoding="utf-8"?>
<x:table xmlns:x="http://schemas.openxmlformats.org/spreadsheetml/2006/main" id="4" name="ResumoContasTable" displayName="ResumoContasTable" ref="A1:E92" headerRowCount="1">
  <x:autoFilter ref="A1:E92"/>
  <x:tableColumns count="5">
    <x:tableColumn id="1" name="C. gerencial"/>
    <x:tableColumn id="2" name="Tipo"/>
    <x:tableColumn id="3" name="Valor bruto"/>
    <x:tableColumn id="4" name="Deduções/taxas"/>
    <x:tableColumn id="5" name="Valor DRE"/>
  </x:tableColumns>
  <x:tableStyleInfo name="TableStyleMedium2" showRowStripes="1"/>
</x:table>
</file>

<file path=xl/tables/table5.xml><?xml version="1.0" encoding="utf-8"?>
<x:table xmlns:x="http://schemas.openxmlformats.org/spreadsheetml/2006/main" id="5" name="ChecksTable" displayName="ChecksTable" ref="A1:F5" headerRowCount="1">
  <x:autoFilter ref="A1:F5"/>
  <x:tableColumns count="6">
    <x:tableColumn id="1" name="Checagem"/>
    <x:tableColumn id="2" name="Atual"/>
    <x:tableColumn id="3" name="Esperado"/>
    <x:tableColumn id="4" name="Diferença"/>
    <x:tableColumn id="5" name="Status"/>
    <x:tableColumn id="6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f204af841e4d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ace461aa9d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041fb6d1ef44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e69545c7744a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3c7874be0449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d911cc39024f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6.670000076293945" hidden="0" customWidth="1"/>
    <x:col min="3" max="3" width="3.890000104904175" hidden="0" customWidth="1"/>
    <x:col min="4" max="4" width="3.890000104904175" hidden="0" customWidth="1"/>
    <x:col min="5" max="5" width="52.220001220703125" hidden="0" customWidth="1"/>
    <x:col min="6" max="6" width="16.670000076293945" hidden="0" customWidth="1"/>
    <x:col min="7" max="7" width="2.7799999713897705" hidden="0" customWidth="1"/>
    <x:col min="8" max="8" width="24.440000534057617" hidden="0" customWidth="1"/>
    <x:col min="9" max="9" width="24.440000534057617" hidden="0" customWidth="1"/>
    <x:col min="10" max="10" width="24.440000534057617" hidden="0" customWidth="1"/>
    <x:col min="11" max="11" width="24.440000534057617" hidden="0" customWidth="1"/>
    <x:col min="12" max="12" width="24.440000534057617" hidden="0" customWidth="1"/>
    <x:col min="13" max="13" width="24.440000534057617" hidden="0" customWidth="1"/>
    <x:col min="14" max="14" width="24.440000534057617" hidden="0" customWidth="1"/>
    <x:col min="15" max="15" width="24.440000534057617" hidden="0" customWidth="1"/>
    <x:col min="16" max="16" width="24.440000534057617" hidden="0" customWidth="1"/>
  </x:cols>
  <x:sheetData>
    <x:row r="1">
      <x:c r="A1" s="7" t="str">
        <x:v>DRE - Mês 01/2026</x:v>
      </x:c>
    </x:row>
    <x:row r="2">
      <x:c r="A2" s="8" t="str">
        <x:v>Período: 01/01/2026 - 31/01/2026</x:v>
      </x:c>
    </x:row>
    <x:row r="3">
      <x:c r="A3" s="10" t="str">
        <x:v>Status</x:v>
      </x:c>
      <x:c r="B3" s="10" t="str">
        <x:f>IF(COUNTIF(Checks!E2:E5,"Revisar")=0,"OK","Revisar")</x:f>
        <x:v>OK</x:v>
      </x:c>
    </x:row>
    <x:row r="5">
      <x:c r="A5" s="2" t="str">
        <x:v>Linha</x:v>
      </x:c>
      <x:c r="B5" s="2" t="str">
        <x:v>Valor</x:v>
      </x:c>
      <x:c r="E5" s="2" t="str">
        <x:v>Top despesas por conta</x:v>
      </x:c>
      <x:c r="F5" s="2" t="str">
        <x:v>Valor</x:v>
      </x:c>
    </x:row>
    <x:row r="6">
      <x:c r="A6" t="str">
        <x:v>Receita bruta</x:v>
      </x:c>
      <x:c r="B6" s="5" t="n">
        <x:f>SUMIF(Dados!$A$2:$A$966,"Receita",Dados!$J$2:$J$966)</x:f>
        <x:v>3556505.220000001</x:v>
      </x:c>
      <x:c r="E6" t="str">
        <x:v>12.1 - SALARIO</x:v>
      </x:c>
      <x:c r="F6" s="5" t="n">
        <x:f>SUMIFS(Despesas!$I$2:$I$930,Despesas!$H$2:$H$930,E6)</x:f>
        <x:v>620961.7299990001</x:v>
      </x:c>
    </x:row>
    <x:row r="7">
      <x:c r="A7" t="str">
        <x:v>(-) Deduções / impostos</x:v>
      </x:c>
      <x:c r="B7" s="5" t="n">
        <x:f>-SUMIF(Dados!$A$2:$A$966,"Receita",Dados!$K$2:$K$966)</x:f>
        <x:v>-738097.4886260001</x:v>
      </x:c>
      <x:c r="E7" t="str">
        <x:v>12.15 - DCTFWEB</x:v>
      </x:c>
      <x:c r="F7" s="5" t="n">
        <x:f>SUMIFS(Despesas!$I$2:$I$930,Despesas!$H$2:$H$930,E7)</x:f>
        <x:v>241417.92000100002</x:v>
      </x:c>
    </x:row>
    <x:row r="8">
      <x:c r="A8" t="str">
        <x:v>Receita líquida</x:v>
      </x:c>
      <x:c r="B8" s="5" t="n">
        <x:f>B6+B7</x:f>
        <x:v>2818407.731374001</x:v>
      </x:c>
      <x:c r="E8" t="str">
        <x:v>17.1 - PARCELAMENTO</x:v>
      </x:c>
      <x:c r="F8" s="5" t="n">
        <x:f>SUMIFS(Despesas!$I$2:$I$930,Despesas!$H$2:$H$930,E8)</x:f>
        <x:v>149455.13</x:v>
      </x:c>
    </x:row>
    <x:row r="9">
      <x:c r="A9" t="str">
        <x:v>(-) Custos e despesas</x:v>
      </x:c>
      <x:c r="B9" s="5" t="n">
        <x:f>SUMIF(Dados!$A$2:$A$966,"Despesa/Custo",Dados!$M$2:$M$966)</x:f>
        <x:v>-2363092.899238473</x:v>
      </x:c>
      <x:c r="E9" t="str">
        <x:v>16.2 - RETIRADAS</x:v>
      </x:c>
      <x:c r="F9" s="5" t="n">
        <x:f>SUMIFS(Despesas!$I$2:$I$930,Despesas!$H$2:$H$930,E9)</x:f>
        <x:v>106224.08</x:v>
      </x:c>
    </x:row>
    <x:row r="10">
      <x:c r="A10" s="17" t="str">
        <x:v>Resultado do mês</x:v>
      </x:c>
      <x:c r="B10" s="18" t="n">
        <x:f>B8+B9</x:f>
        <x:v>455314.8321355283</x:v>
      </x:c>
      <x:c r="E10" t="str">
        <x:v>12.5 - REFEIÇÕES FUNCIONARIOS</x:v>
      </x:c>
      <x:c r="F10" s="5" t="n">
        <x:f>SUMIFS(Despesas!$I$2:$I$930,Despesas!$H$2:$H$930,E10)</x:f>
        <x:v>96984.69999699997</x:v>
      </x:c>
    </x:row>
    <x:row r="11">
      <x:c r="E11" t="str">
        <x:v>12.7 - TRANSPORTE FUNCIONARIOS</x:v>
      </x:c>
      <x:c r="F11" s="5" t="n">
        <x:f>SUMIFS(Despesas!$I$2:$I$930,Despesas!$H$2:$H$930,E11)</x:f>
        <x:v>81086.01000000001</x:v>
      </x:c>
    </x:row>
    <x:row r="12">
      <x:c r="A12" t="str">
        <x:v>Margem sobre receita líquida</x:v>
      </x:c>
      <x:c r="B12" s="11" t="n">
        <x:f>IF(B8=0,0,B10/B8)</x:f>
        <x:v>0.16155037721016963</x:v>
      </x:c>
      <x:c r="E12" t="str">
        <x:v>12.13 - VALE ALIMENTAÇÃO</x:v>
      </x:c>
      <x:c r="F12" s="5" t="n">
        <x:f>SUMIFS(Despesas!$I$2:$I$930,Despesas!$H$2:$H$930,E12)</x:f>
        <x:v>80558.88</x:v>
      </x:c>
    </x:row>
    <x:row r="13">
      <x:c r="A13" t="str">
        <x:v>Lançamentos consolidados</x:v>
      </x:c>
      <x:c r="B13" s="12" t="n">
        <x:f>COUNTA(Dados!A2:A966)</x:f>
        <x:v>965</x:v>
      </x:c>
      <x:c r="E13" t="str">
        <x:v>12.4 - PREVISÃO FÉRIAS</x:v>
      </x:c>
      <x:c r="F13" s="5" t="n">
        <x:f>SUMIFS(Despesas!$I$2:$I$930,Despesas!$H$2:$H$930,E13)</x:f>
        <x:v>68823.2584082225</x:v>
      </x:c>
    </x:row>
    <x:row r="14">
      <x:c r="E14" t="str">
        <x:v>12.14 - FGTS FUNCIONARIOS</x:v>
      </x:c>
      <x:c r="F14" s="5" t="n">
        <x:f>SUMIFS(Despesas!$I$2:$I$930,Despesas!$H$2:$H$930,E14)</x:f>
        <x:v>52411.42</x:v>
      </x:c>
    </x:row>
    <x:row r="15">
      <x:c r="E15" t="str">
        <x:v>4.1 - TINTAS E SOLVENTES</x:v>
      </x:c>
      <x:c r="F15" s="5" t="n">
        <x:f>SUMIFS(Despesas!$I$2:$I$930,Despesas!$H$2:$H$930,E15)</x:f>
        <x:v>52088.78</x:v>
      </x:c>
    </x:row>
    <x:row r="18">
      <x:c r="E18" s="2" t="str">
        <x:v>Top receitas por cliente</x:v>
      </x:c>
      <x:c r="F18" s="2" t="str">
        <x:v>Valor bruto</x:v>
      </x:c>
    </x:row>
    <x:row r="19">
      <x:c r="E19" t="str">
        <x:v>CMOC BRASIL MINERAÇAO INDUSTRIAL E PARTICIPAÇOES</x:v>
      </x:c>
      <x:c r="F19" s="5" t="n">
        <x:f>SUMIFS(Receitas!$I$2:$I$37,Receitas!$A$2:$A$37,E19)</x:f>
        <x:v>1056676.8099999998</x:v>
      </x:c>
    </x:row>
    <x:row r="20">
      <x:c r="E20" t="str">
        <x:v>VLI MULTIMODAL S.A</x:v>
      </x:c>
      <x:c r="F20" s="5" t="n">
        <x:f>SUMIFS(Receitas!$I$2:$I$37,Receitas!$A$2:$A$37,E20)</x:f>
        <x:v>600974.42</x:v>
      </x:c>
    </x:row>
    <x:row r="21">
      <x:c r="E21" t="str">
        <x:v>MOSAIC FERTILIZANTES DO BRASIL LTDA UBERABA ROTINA</x:v>
      </x:c>
      <x:c r="F21" s="5" t="n">
        <x:f>SUMIFS(Receitas!$I$2:$I$37,Receitas!$A$2:$A$37,E21)</x:f>
        <x:v>587820.89</x:v>
      </x:c>
    </x:row>
    <x:row r="22">
      <x:c r="E22" t="str">
        <x:v>Usina Hidrelétrica de Além Paraíba/MG</x:v>
      </x:c>
      <x:c r="F22" s="5" t="n">
        <x:f>SUMIFS(Receitas!$I$2:$I$37,Receitas!$A$2:$A$37,E22)</x:f>
        <x:v>470490</x:v>
      </x:c>
    </x:row>
    <x:row r="23">
      <x:c r="E23" t="str">
        <x:v>SALITRE FERTILIZANTES LTDA</x:v>
      </x:c>
      <x:c r="F23" s="5" t="n">
        <x:f>SUMIFS(Receitas!$I$2:$I$37,Receitas!$A$2:$A$37,E23)</x:f>
        <x:v>378842.91000000003</x:v>
      </x:c>
    </x:row>
    <x:row r="24">
      <x:c r="E24" t="str">
        <x:v>SERENA GERAÇAO SA</x:v>
      </x:c>
      <x:c r="F24" s="5" t="n">
        <x:f>SUMIFS(Receitas!$I$2:$I$37,Receitas!$A$2:$A$37,E24)</x:f>
        <x:v>360615.16000000003</x:v>
      </x:c>
    </x:row>
    <x:row r="25">
      <x:c r="E25" t="str">
        <x:v>SERRA VERDE PESQUISA E MINERAÇÃO LTDA</x:v>
      </x:c>
      <x:c r="F25" s="5" t="n">
        <x:f>SUMIFS(Receitas!$I$2:$I$37,Receitas!$A$2:$A$37,E25)</x:f>
        <x:v>101085.03</x:v>
      </x:c>
    </x:row>
    <x:row r="26">
      <x:c r="F26" s="5"/>
    </x:row>
    <x:row r="27">
      <x:c r="F27" s="5"/>
    </x:row>
    <x:row r="28">
      <x:c r="F28" s="5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70f204af841e4d3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8.329999923706055" hidden="0" customWidth="1"/>
    <x:col min="3" max="3" width="8.329999923706055" hidden="0" customWidth="1"/>
    <x:col min="4" max="4" width="20" hidden="0" customWidth="1"/>
    <x:col min="5" max="5" width="24.440000534057617" hidden="0" customWidth="1"/>
    <x:col min="6" max="6" width="10.5600004196167" hidden="0" customWidth="1"/>
    <x:col min="7" max="7" width="24.440000534057617" hidden="0" customWidth="1"/>
    <x:col min="8" max="8" width="37.779998779296875" hidden="0" customWidth="1"/>
    <x:col min="9" max="9" width="13.32999992370605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6.670000076293945" hidden="0" customWidth="1"/>
    <x:col min="17" max="17" width="15.5600004196167" hidden="0" customWidth="1"/>
  </x:cols>
  <x:sheetData>
    <x:row r="1">
      <x:c r="A1" s="3" t="str">
        <x:v>Cliente</x:v>
      </x:c>
      <x:c r="B1" s="3" t="str">
        <x:v>Número</x:v>
      </x:c>
      <x:c r="C1" s="3" t="str">
        <x:v>Doc.</x:v>
      </x:c>
      <x:c r="D1" s="3" t="str">
        <x:v>Descrição</x:v>
      </x:c>
      <x:c r="E1" s="3" t="str">
        <x:v>Obs.</x:v>
      </x:c>
      <x:c r="F1" s="3" t="str">
        <x:v>Emissão</x:v>
      </x:c>
      <x:c r="G1" s="3" t="str">
        <x:v>Obra/Centro custo</x:v>
      </x:c>
      <x:c r="H1" s="3" t="str">
        <x:v>C. gerencial</x:v>
      </x:c>
      <x:c r="I1" s="3" t="str">
        <x:v>Vlr.bruto (R$)</x:v>
      </x:c>
      <x:c r="J1" s="3" t="str">
        <x:v>IR (R$)</x:v>
      </x:c>
      <x:c r="K1" s="3" t="str">
        <x:v>ISS (R$)</x:v>
      </x:c>
      <x:c r="L1" s="3" t="str">
        <x:v>INSS (R$)</x:v>
      </x:c>
      <x:c r="M1" s="3" t="str">
        <x:v>PIS (R$)</x:v>
      </x:c>
      <x:c r="N1" s="3" t="str">
        <x:v>COFINS (R$)</x:v>
      </x:c>
      <x:c r="O1" s="3" t="str">
        <x:v>CSLL (R$)</x:v>
      </x:c>
      <x:c r="P1" s="3" t="str">
        <x:v>Tarifa de Antecipação (R$)</x:v>
      </x:c>
      <x:c r="Q1" s="3" t="str">
        <x:v>Total líquido (R$)</x:v>
      </x:c>
    </x:row>
    <x:row r="2">
      <x:c r="A2" t="str">
        <x:v>CMOC BRASIL MINERAÇAO INDUSTRIAL E PARTICIPAÇOES</x:v>
      </x:c>
      <x:c r="B2" t="str">
        <x:v>.68</x:v>
      </x:c>
      <x:c r="C2" t="str">
        <x:v>015086</x:v>
      </x:c>
      <x:c r="D2"/>
      <x:c r="E2" t="str">
        <x:v>CMOC - PARADA BM 02</x:v>
      </x:c>
      <x:c r="F2" s="4" t="n">
        <x:v>46027</x:v>
      </x:c>
      <x:c r="G2" t="str">
        <x:v>CMOC CUBATÃO</x:v>
      </x:c>
      <x:c r="H2" t="str">
        <x:v>1.1.1 - Recebimento de Clientes - prestação de serviço</x:v>
      </x:c>
      <x:c r="I2" s="5" t="n">
        <x:v>454617.22</x:v>
      </x:c>
      <x:c r="J2" s="5" t="n">
        <x:v>21821.62656</x:v>
      </x:c>
      <x:c r="K2" s="5" t="n">
        <x:v>22730.861</x:v>
      </x:c>
      <x:c r="L2" s="5" t="n">
        <x:v>15911.602700000001</x:v>
      </x:c>
      <x:c r="M2" s="5" t="n">
        <x:v>2955.01193</x:v>
      </x:c>
      <x:c r="N2" s="5" t="n">
        <x:v>13638.516599999999</x:v>
      </x:c>
      <x:c r="O2" s="5" t="n">
        <x:v>13092.975935999999</x:v>
      </x:c>
      <x:c r="P2" s="5"/>
      <x:c r="Q2" s="5" t="n">
        <x:f>I2-SUM(J2:P2)</x:f>
        <x:v>364466.625274</x:v>
      </x:c>
    </x:row>
    <x:row r="3">
      <x:c r="A3" t="str">
        <x:v>CMOC BRASIL MINERAÇAO INDUSTRIAL E PARTICIPAÇOES</x:v>
      </x:c>
      <x:c r="B3" t="str">
        <x:v>.69</x:v>
      </x:c>
      <x:c r="C3" t="str">
        <x:v>015090</x:v>
      </x:c>
      <x:c r="D3"/>
      <x:c r="E3" t="str">
        <x:v>CONTRATO 18 M3SES - BM 02 PROVISÃO</x:v>
      </x:c>
      <x:c r="F3" s="4" t="n">
        <x:v>46027</x:v>
      </x:c>
      <x:c r="G3" t="str">
        <x:v>CMOC CUBATÃO</x:v>
      </x:c>
      <x:c r="H3" t="str">
        <x:v>1.1.1 - Recebimento de Clientes - prestação de serviço</x:v>
      </x:c>
      <x:c r="I3" s="5" t="n">
        <x:v>31425.87</x:v>
      </x:c>
      <x:c r="J3" s="5" t="n">
        <x:v>1508.44176</x:v>
      </x:c>
      <x:c r="K3" s="5" t="n">
        <x:v>1571.2935</x:v>
      </x:c>
      <x:c r="L3" s="5" t="n">
        <x:v>1099.90545</x:v>
      </x:c>
      <x:c r="M3" s="5" t="n">
        <x:v>204.268155</x:v>
      </x:c>
      <x:c r="N3" s="5" t="n">
        <x:v>942.7760999999999</x:v>
      </x:c>
      <x:c r="O3" s="5" t="n">
        <x:v>905.0650559999999</x:v>
      </x:c>
      <x:c r="P3" s="5"/>
      <x:c r="Q3" s="5" t="n">
        <x:f>I3-SUM(J3:P3)</x:f>
        <x:v>25194.119979</x:v>
      </x:c>
    </x:row>
    <x:row r="4">
      <x:c r="A4" t="str">
        <x:v>CMOC BRASIL MINERAÇAO INDUSTRIAL E PARTICIPAÇOES</x:v>
      </x:c>
      <x:c r="B4" t="str">
        <x:v>.70</x:v>
      </x:c>
      <x:c r="C4" t="str">
        <x:v>015097</x:v>
      </x:c>
      <x:c r="D4"/>
      <x:c r="E4" t="str">
        <x:v>VALDMAR R$ 30.000,00</x:v>
      </x:c>
      <x:c r="F4" s="4" t="n">
        <x:v>46027</x:v>
      </x:c>
      <x:c r="G4" t="str">
        <x:v>NIOBIO CMOC CONTRATO</x:v>
      </x:c>
      <x:c r="H4" t="str">
        <x:v>1.1.1 - Recebimento de Clientes - prestação de serviço</x:v>
      </x:c>
      <x:c r="I4" s="5" t="n">
        <x:v>262149.11</x:v>
      </x:c>
      <x:c r="J4" s="5" t="n">
        <x:v>12583.15728</x:v>
      </x:c>
      <x:c r="K4" s="5" t="n">
        <x:v>13107.4555</x:v>
      </x:c>
      <x:c r="L4" s="5" t="n">
        <x:v>9175.218850000001</x:v>
      </x:c>
      <x:c r="M4" s="5" t="n">
        <x:v>1703.969215</x:v>
      </x:c>
      <x:c r="N4" s="5" t="n">
        <x:v>7864.4733</x:v>
      </x:c>
      <x:c r="O4" s="5" t="n">
        <x:v>7549.894367999999</x:v>
      </x:c>
      <x:c r="P4" s="5"/>
      <x:c r="Q4" s="5" t="n">
        <x:f>I4-SUM(J4:P4)</x:f>
        <x:v>210164.94148699997</x:v>
      </x:c>
    </x:row>
    <x:row r="5">
      <x:c r="A5" t="str">
        <x:v>VLI MULTIMODAL S.A</x:v>
      </x:c>
      <x:c r="B5" t="str">
        <x:v>.71</x:v>
      </x:c>
      <x:c r="C5" t="str">
        <x:v>015099</x:v>
      </x:c>
      <x:c r="D5"/>
      <x:c r="E5"/>
      <x:c r="F5" s="4" t="n">
        <x:v>46027</x:v>
      </x:c>
      <x:c r="G5" t="str">
        <x:v>VLI PINTURA</x:v>
      </x:c>
      <x:c r="H5" t="str">
        <x:v>1.1.1 - Recebimento de Clientes - prestação de serviço</x:v>
      </x:c>
      <x:c r="I5" s="5" t="n">
        <x:v>600974.42</x:v>
      </x:c>
      <x:c r="J5" s="5" t="n">
        <x:v>28846.772160000004</x:v>
      </x:c>
      <x:c r="K5" s="5" t="n">
        <x:v>30048.721000000005</x:v>
      </x:c>
      <x:c r="L5" s="5" t="n">
        <x:v>21034.104700000004</x:v>
      </x:c>
      <x:c r="M5" s="5" t="n">
        <x:v>3906.3337300000007</x:v>
      </x:c>
      <x:c r="N5" s="5" t="n">
        <x:v>18029.2326</x:v>
      </x:c>
      <x:c r="O5" s="5" t="n">
        <x:v>17308.063296</x:v>
      </x:c>
      <x:c r="P5" s="5" t="n">
        <x:v>21674.41</x:v>
      </x:c>
      <x:c r="Q5" s="5" t="n">
        <x:f>I5-SUM(J5:P5)</x:f>
        <x:v>460126.782514</x:v>
      </x:c>
    </x:row>
    <x:row r="6">
      <x:c r="A6" t="str">
        <x:v>SERENA GERAÇAO SA</x:v>
      </x:c>
      <x:c r="B6"/>
      <x:c r="C6" t="str">
        <x:v>015363</x:v>
      </x:c>
      <x:c r="D6" t="str">
        <x:v>NOTAS DE DEBITO MES 12-2025</x:v>
      </x:c>
      <x:c r="E6"/>
      <x:c r="F6" s="4" t="n">
        <x:v>46027</x:v>
      </x:c>
      <x:c r="G6" t="str">
        <x:v>SERENA 10 TORRES 2025</x:v>
      </x:c>
      <x:c r="H6" t="str">
        <x:v>1.1.1 - Recebimento de Clientes - prestação de serviço</x:v>
      </x:c>
      <x:c r="I6" s="5" t="n">
        <x:v>26152.36</x:v>
      </x:c>
      <x:c r="J6" s="5" t="n">
        <x:v>1255.31328</x:v>
      </x:c>
      <x:c r="K6" s="5" t="n">
        <x:v>1307.6180000000002</x:v>
      </x:c>
      <x:c r="L6" s="5" t="n">
        <x:v>915.3326000000001</x:v>
      </x:c>
      <x:c r="M6" s="5" t="n">
        <x:v>169.99034000000003</x:v>
      </x:c>
      <x:c r="N6" s="5" t="n">
        <x:v>784.5708</x:v>
      </x:c>
      <x:c r="O6" s="5" t="n">
        <x:v>753.187968</x:v>
      </x:c>
      <x:c r="P6" s="5"/>
      <x:c r="Q6" s="5" t="n">
        <x:f>I6-SUM(J6:P6)</x:f>
        <x:v>20966.347012</x:v>
      </x:c>
    </x:row>
    <x:row r="7">
      <x:c r="A7" t="str">
        <x:v>CMOC BRASIL MINERAÇAO INDUSTRIAL E PARTICIPAÇOES</x:v>
      </x:c>
      <x:c r="B7" t="str">
        <x:v>.72</x:v>
      </x:c>
      <x:c r="C7" t="str">
        <x:v>015100</x:v>
      </x:c>
      <x:c r="D7"/>
      <x:c r="E7" t="str">
        <x:v>BM 24 ELISMAR</x:v>
      </x:c>
      <x:c r="F7" s="4" t="n">
        <x:v>46028</x:v>
      </x:c>
      <x:c r="G7" t="str">
        <x:v>NIOBIO CMOC CONTRATO</x:v>
      </x:c>
      <x:c r="H7" t="str">
        <x:v>1.1.1 - Recebimento de Clientes - prestação de serviço</x:v>
      </x:c>
      <x:c r="I7" s="5" t="n">
        <x:v>32233.95</x:v>
      </x:c>
      <x:c r="J7" s="5" t="n">
        <x:v>1547.2296000000001</x:v>
      </x:c>
      <x:c r="K7" s="5" t="n">
        <x:v>1611.6975000000002</x:v>
      </x:c>
      <x:c r="L7" s="5" t="n">
        <x:v>1128.1882500000002</x:v>
      </x:c>
      <x:c r="M7" s="5" t="n">
        <x:v>209.520675</x:v>
      </x:c>
      <x:c r="N7" s="5" t="n">
        <x:v>967.0185</x:v>
      </x:c>
      <x:c r="O7" s="5" t="n">
        <x:v>928.33776</x:v>
      </x:c>
      <x:c r="P7" s="5"/>
      <x:c r="Q7" s="5" t="n">
        <x:f>I7-SUM(J7:P7)</x:f>
        <x:v>25841.957715</x:v>
      </x:c>
    </x:row>
    <x:row r="8">
      <x:c r="A8" t="str">
        <x:v>CMOC BRASIL MINERAÇAO INDUSTRIAL E PARTICIPAÇOES</x:v>
      </x:c>
      <x:c r="B8" t="str">
        <x:v>.74</x:v>
      </x:c>
      <x:c r="C8" t="str">
        <x:v>015224</x:v>
      </x:c>
      <x:c r="D8"/>
      <x:c r="E8" t="str">
        <x:v>SPOT 1015-25</x:v>
      </x:c>
      <x:c r="F8" s="4" t="n">
        <x:v>46031</x:v>
      </x:c>
      <x:c r="G8" t="str">
        <x:v>NIOBIO CMOC CONTRATO</x:v>
      </x:c>
      <x:c r="H8" t="str">
        <x:v>1.1.1 - Recebimento de Clientes - prestação de serviço</x:v>
      </x:c>
      <x:c r="I8" s="5" t="n">
        <x:v>20403.4</x:v>
      </x:c>
      <x:c r="J8" s="5" t="n">
        <x:v>979.3632000000001</x:v>
      </x:c>
      <x:c r="K8" s="5" t="n">
        <x:v>1020.1700000000001</x:v>
      </x:c>
      <x:c r="L8" s="5" t="n">
        <x:v>714.1190000000001</x:v>
      </x:c>
      <x:c r="M8" s="5" t="n">
        <x:v>132.62210000000002</x:v>
      </x:c>
      <x:c r="N8" s="5" t="n">
        <x:v>612.102</x:v>
      </x:c>
      <x:c r="O8" s="5" t="n">
        <x:v>587.61792</x:v>
      </x:c>
      <x:c r="P8" s="5"/>
      <x:c r="Q8" s="5" t="n">
        <x:f>I8-SUM(J8:P8)</x:f>
        <x:v>16357.405780000001</x:v>
      </x:c>
    </x:row>
    <x:row r="9">
      <x:c r="A9" t="str">
        <x:v>SERRA VERDE PESQUISA E MINERAÇÃO LTDA</x:v>
      </x:c>
      <x:c r="B9" t="str">
        <x:v>.73</x:v>
      </x:c>
      <x:c r="C9" t="str">
        <x:v>015225</x:v>
      </x:c>
      <x:c r="D9"/>
      <x:c r="E9"/>
      <x:c r="F9" s="4" t="n">
        <x:v>46031</x:v>
      </x:c>
      <x:c r="G9" t="str">
        <x:v>CONTRATO 02 ANOS MINERAÇÃO SERRA VERDE</x:v>
      </x:c>
      <x:c r="H9" t="str">
        <x:v>1.1.1 - Recebimento de Clientes - prestação de serviço</x:v>
      </x:c>
      <x:c r="I9" s="5" t="n">
        <x:v>94185.03</x:v>
      </x:c>
      <x:c r="J9" s="5" t="n">
        <x:v>4520.88144</x:v>
      </x:c>
      <x:c r="K9" s="5" t="n">
        <x:v>4709.2515</x:v>
      </x:c>
      <x:c r="L9" s="5" t="n">
        <x:v>3296.47605</x:v>
      </x:c>
      <x:c r="M9" s="5" t="n">
        <x:v>612.2026950000001</x:v>
      </x:c>
      <x:c r="N9" s="5" t="n">
        <x:v>2825.5508999999997</x:v>
      </x:c>
      <x:c r="O9" s="5" t="n">
        <x:v>2712.528864</x:v>
      </x:c>
      <x:c r="P9" s="5"/>
      <x:c r="Q9" s="5" t="n">
        <x:f>I9-SUM(J9:P9)</x:f>
        <x:v>75508.138551</x:v>
      </x:c>
    </x:row>
    <x:row r="10">
      <x:c r="A10" t="str">
        <x:v>MOSAIC FERTILIZANTES DO BRASIL LTDA UBERABA ROTINA</x:v>
      </x:c>
      <x:c r="B10" t="str">
        <x:v>.75</x:v>
      </x:c>
      <x:c r="C10" t="str">
        <x:v>015326</x:v>
      </x:c>
      <x:c r="D10"/>
      <x:c r="E10" t="str">
        <x:v>PARADA 2025 BM 05</x:v>
      </x:c>
      <x:c r="F10" s="4" t="n">
        <x:v>46036</x:v>
      </x:c>
      <x:c r="G10" t="str">
        <x:v>MOSAIC UBERABA CONTRAT0 3 ANOS</x:v>
      </x:c>
      <x:c r="H10" t="str">
        <x:v>1.1.1 - Recebimento de Clientes - prestação de serviço</x:v>
      </x:c>
      <x:c r="I10" s="5" t="n">
        <x:v>130631.05</x:v>
      </x:c>
      <x:c r="J10" s="5" t="n">
        <x:v>6270.2904</x:v>
      </x:c>
      <x:c r="K10" s="5" t="n">
        <x:v>6531.552500000001</x:v>
      </x:c>
      <x:c r="L10" s="5" t="n">
        <x:v>4572.08675</x:v>
      </x:c>
      <x:c r="M10" s="5" t="n">
        <x:v>849.1018250000001</x:v>
      </x:c>
      <x:c r="N10" s="5" t="n">
        <x:v>3918.9315</x:v>
      </x:c>
      <x:c r="O10" s="5" t="n">
        <x:v>3762.17424</x:v>
      </x:c>
      <x:c r="P10" s="5"/>
      <x:c r="Q10" s="5" t="n">
        <x:f>I10-SUM(J10:P10)</x:f>
        <x:v>104726.91278500001</x:v>
      </x:c>
    </x:row>
    <x:row r="11">
      <x:c r="A11" t="str">
        <x:v>CMOC BRASIL MINERAÇAO INDUSTRIAL E PARTICIPAÇOES</x:v>
      </x:c>
      <x:c r="B11" t="str">
        <x:v>.76</x:v>
      </x:c>
      <x:c r="C11" t="str">
        <x:v>015327</x:v>
      </x:c>
      <x:c r="D11"/>
      <x:c r="E11" t="str">
        <x:v>BM 24</x:v>
      </x:c>
      <x:c r="F11" s="4" t="n">
        <x:v>46037</x:v>
      </x:c>
      <x:c r="G11" t="str">
        <x:v>FOSFATO CMOC CONTRAT</x:v>
      </x:c>
      <x:c r="H11" t="str">
        <x:v>1.1.1 - Recebimento de Clientes - prestação de serviço</x:v>
      </x:c>
      <x:c r="I11" s="5" t="n">
        <x:v>22133.97</x:v>
      </x:c>
      <x:c r="J11" s="5" t="n">
        <x:v>1062.43056</x:v>
      </x:c>
      <x:c r="K11" s="5" t="n">
        <x:v>1106.6985000000002</x:v>
      </x:c>
      <x:c r="L11" s="5" t="n">
        <x:v>774.6889500000001</x:v>
      </x:c>
      <x:c r="M11" s="5" t="n">
        <x:v>143.87080500000002</x:v>
      </x:c>
      <x:c r="N11" s="5" t="n">
        <x:v>664.0191</x:v>
      </x:c>
      <x:c r="O11" s="5" t="n">
        <x:v>637.458336</x:v>
      </x:c>
      <x:c r="P11" s="5"/>
      <x:c r="Q11" s="5" t="n">
        <x:f>I11-SUM(J11:P11)</x:f>
        <x:v>17744.803749</x:v>
      </x:c>
    </x:row>
    <x:row r="12">
      <x:c r="A12" t="str">
        <x:v>CMOC BRASIL MINERAÇAO INDUSTRIAL E PARTICIPAÇOES</x:v>
      </x:c>
      <x:c r="B12" t="str">
        <x:v>.77</x:v>
      </x:c>
      <x:c r="C12" t="str">
        <x:v>015356</x:v>
      </x:c>
      <x:c r="D12"/>
      <x:c r="E12" t="str">
        <x:v>r$ 6000,00 VALDMAR/ R$ 6000,00 RAPALLO</x:v>
      </x:c>
      <x:c r="F12" s="4" t="n">
        <x:v>46037</x:v>
      </x:c>
      <x:c r="G12" t="str">
        <x:v>NIOBIO CMOC CONTRATO</x:v>
      </x:c>
      <x:c r="H12" t="str">
        <x:v>1.1.1 - Recebimento de Clientes - prestação de serviço</x:v>
      </x:c>
      <x:c r="I12" s="5" t="n">
        <x:v>54325.32</x:v>
      </x:c>
      <x:c r="J12" s="5" t="n">
        <x:v>2607.6153600000002</x:v>
      </x:c>
      <x:c r="K12" s="5" t="n">
        <x:v>2716.266</x:v>
      </x:c>
      <x:c r="L12" s="5" t="n">
        <x:v>1901.3862000000001</x:v>
      </x:c>
      <x:c r="M12" s="5" t="n">
        <x:v>353.11458000000005</x:v>
      </x:c>
      <x:c r="N12" s="5" t="n">
        <x:v>1629.7595999999999</x:v>
      </x:c>
      <x:c r="O12" s="5" t="n">
        <x:v>1564.5692159999999</x:v>
      </x:c>
      <x:c r="P12" s="5"/>
      <x:c r="Q12" s="5" t="n">
        <x:f>I12-SUM(J12:P12)</x:f>
        <x:v>43552.609044</x:v>
      </x:c>
    </x:row>
    <x:row r="13">
      <x:c r="A13" t="str">
        <x:v>CMOC BRASIL MINERAÇAO INDUSTRIAL E PARTICIPAÇOES</x:v>
      </x:c>
      <x:c r="B13" t="str">
        <x:v>.78</x:v>
      </x:c>
      <x:c r="C13" t="str">
        <x:v>015357</x:v>
      </x:c>
      <x:c r="D13"/>
      <x:c r="E13" t="str">
        <x:v>R$ 1500,00 RAPALLO</x:v>
      </x:c>
      <x:c r="F13" s="4" t="n">
        <x:v>46037</x:v>
      </x:c>
      <x:c r="G13" t="str">
        <x:v>NIOBIO CMOC CONTRATO</x:v>
      </x:c>
      <x:c r="H13" t="str">
        <x:v>1.1.1 - Recebimento de Clientes - prestação de serviço</x:v>
      </x:c>
      <x:c r="I13" s="5" t="n">
        <x:v>30001.64</x:v>
      </x:c>
      <x:c r="J13" s="5" t="n">
        <x:v>1440.07872</x:v>
      </x:c>
      <x:c r="K13" s="5" t="n">
        <x:v>1500.082</x:v>
      </x:c>
      <x:c r="L13" s="5" t="n">
        <x:v>1050.0574000000001</x:v>
      </x:c>
      <x:c r="M13" s="5" t="n">
        <x:v>195.01066</x:v>
      </x:c>
      <x:c r="N13" s="5" t="n">
        <x:v>900.0491999999999</x:v>
      </x:c>
      <x:c r="O13" s="5" t="n">
        <x:v>864.047232</x:v>
      </x:c>
      <x:c r="P13" s="5"/>
      <x:c r="Q13" s="5" t="n">
        <x:f>I13-SUM(J13:P13)</x:f>
        <x:v>24052.314788</x:v>
      </x:c>
    </x:row>
    <x:row r="14">
      <x:c r="A14" t="str">
        <x:v>Usina Hidrelétrica de Além Paraíba/MG</x:v>
      </x:c>
      <x:c r="B14" t="str">
        <x:v>.79</x:v>
      </x:c>
      <x:c r="C14" t="str">
        <x:v>015359</x:v>
      </x:c>
      <x:c r="D14"/>
      <x:c r="E14" t="str">
        <x:v>BELZONA/TAMPONAMENTOS</x:v>
      </x:c>
      <x:c r="F14" s="4" t="n">
        <x:v>46038</x:v>
      </x:c>
      <x:c r="G14" t="str">
        <x:v>CONDUTOS UG 1 - ELETROBRAS</x:v>
      </x:c>
      <x:c r="H14" t="str">
        <x:v>1.1.1 - Recebimento de Clientes - prestação de serviço</x:v>
      </x:c>
      <x:c r="I14" s="5" t="n">
        <x:v>470490</x:v>
      </x:c>
      <x:c r="J14" s="5" t="n">
        <x:v>22583.52</x:v>
      </x:c>
      <x:c r="K14" s="5" t="n">
        <x:v>23524.5</x:v>
      </x:c>
      <x:c r="L14" s="5" t="n">
        <x:v>16467.15</x:v>
      </x:c>
      <x:c r="M14" s="5" t="n">
        <x:v>3058.1850000000004</x:v>
      </x:c>
      <x:c r="N14" s="5" t="n">
        <x:v>14114.699999999999</x:v>
      </x:c>
      <x:c r="O14" s="5" t="n">
        <x:v>13550.112</x:v>
      </x:c>
      <x:c r="P14" s="5"/>
      <x:c r="Q14" s="5" t="n">
        <x:f>I14-SUM(J14:P14)</x:f>
        <x:v>377191.833</x:v>
      </x:c>
    </x:row>
    <x:row r="15">
      <x:c r="A15" t="str">
        <x:v>CMOC BRASIL MINERAÇAO INDUSTRIAL E PARTICIPAÇOES</x:v>
      </x:c>
      <x:c r="B15" t="str">
        <x:v>.80</x:v>
      </x:c>
      <x:c r="C15" t="str">
        <x:v>015431</x:v>
      </x:c>
      <x:c r="D15"/>
      <x:c r="E15" t="str">
        <x:v>BM 23</x:v>
      </x:c>
      <x:c r="F15" s="4" t="n">
        <x:v>46041</x:v>
      </x:c>
      <x:c r="G15" t="str">
        <x:v>FOSFATO CMOC CONTRAT</x:v>
      </x:c>
      <x:c r="H15" t="str">
        <x:v>1.1.1 - Recebimento de Clientes - prestação de serviço</x:v>
      </x:c>
      <x:c r="I15" s="5" t="n">
        <x:v>82261.13</x:v>
      </x:c>
      <x:c r="J15" s="5" t="n">
        <x:v>3948.5342400000004</x:v>
      </x:c>
      <x:c r="K15" s="5" t="n">
        <x:v>4113.056500000001</x:v>
      </x:c>
      <x:c r="L15" s="5" t="n">
        <x:v>2879.1395500000003</x:v>
      </x:c>
      <x:c r="M15" s="5" t="n">
        <x:v>534.697345</x:v>
      </x:c>
      <x:c r="N15" s="5" t="n">
        <x:v>2467.8339</x:v>
      </x:c>
      <x:c r="O15" s="5" t="n">
        <x:v>2369.120544</x:v>
      </x:c>
      <x:c r="P15" s="5"/>
      <x:c r="Q15" s="5" t="n">
        <x:f>I15-SUM(J15:P15)</x:f>
        <x:v>65948.747921</x:v>
      </x:c>
    </x:row>
    <x:row r="16">
      <x:c r="A16" t="str">
        <x:v>CMOC BRASIL MINERAÇAO INDUSTRIAL E PARTICIPAÇOES</x:v>
      </x:c>
      <x:c r="B16" t="str">
        <x:v>.81</x:v>
      </x:c>
      <x:c r="C16" t="str">
        <x:v>015432</x:v>
      </x:c>
      <x:c r="D16"/>
      <x:c r="E16" t="str">
        <x:v>BM 25</x:v>
      </x:c>
      <x:c r="F16" s="4" t="n">
        <x:v>46041</x:v>
      </x:c>
      <x:c r="G16" t="str">
        <x:v>FOSFATO CMOC CONTRAT</x:v>
      </x:c>
      <x:c r="H16" t="str">
        <x:v>1.1.1 - Recebimento de Clientes - prestação de serviço</x:v>
      </x:c>
      <x:c r="I16" s="5" t="n">
        <x:v>67125.2</x:v>
      </x:c>
      <x:c r="J16" s="5" t="n">
        <x:v>3222.0096</x:v>
      </x:c>
      <x:c r="K16" s="5" t="n">
        <x:v>3356.26</x:v>
      </x:c>
      <x:c r="L16" s="5" t="n">
        <x:v>2349.382</x:v>
      </x:c>
      <x:c r="M16" s="5" t="n">
        <x:v>436.3138</x:v>
      </x:c>
      <x:c r="N16" s="5" t="n">
        <x:v>2013.7559999999999</x:v>
      </x:c>
      <x:c r="O16" s="5" t="n">
        <x:v>1933.2057599999998</x:v>
      </x:c>
      <x:c r="P16" s="5"/>
      <x:c r="Q16" s="5" t="n">
        <x:f>I16-SUM(J16:P16)</x:f>
        <x:v>53814.27284</x:v>
      </x:c>
    </x:row>
    <x:row r="17">
      <x:c r="A17" t="str">
        <x:v>SERENA GERAÇAO SA</x:v>
      </x:c>
      <x:c r="B17" t="str">
        <x:v>.82</x:v>
      </x:c>
      <x:c r="C17" t="str">
        <x:v>015433</x:v>
      </x:c>
      <x:c r="D17"/>
      <x:c r="E17"/>
      <x:c r="F17" s="4" t="n">
        <x:v>46041</x:v>
      </x:c>
      <x:c r="G17" t="str">
        <x:v>SERENA 10 TORRES 2025</x:v>
      </x:c>
      <x:c r="H17" t="str">
        <x:v>1.1.1 - Recebimento de Clientes - prestação de serviço</x:v>
      </x:c>
      <x:c r="I17" s="5" t="n">
        <x:v>76865.7</x:v>
      </x:c>
      <x:c r="J17" s="5" t="n">
        <x:v>3689.5535999999997</x:v>
      </x:c>
      <x:c r="K17" s="5" t="n">
        <x:v>3843.285</x:v>
      </x:c>
      <x:c r="L17" s="5" t="n">
        <x:v>2690.2995</x:v>
      </x:c>
      <x:c r="M17" s="5" t="n">
        <x:v>499.62705</x:v>
      </x:c>
      <x:c r="N17" s="5" t="n">
        <x:v>2305.971</x:v>
      </x:c>
      <x:c r="O17" s="5" t="n">
        <x:v>2213.73216</x:v>
      </x:c>
      <x:c r="P17" s="5"/>
      <x:c r="Q17" s="5" t="n">
        <x:f>I17-SUM(J17:P17)</x:f>
        <x:v>61623.23169</x:v>
      </x:c>
    </x:row>
    <x:row r="18">
      <x:c r="A18" t="str">
        <x:v>SERENA GERAÇAO SA</x:v>
      </x:c>
      <x:c r="B18" t="str">
        <x:v>.83</x:v>
      </x:c>
      <x:c r="C18" t="str">
        <x:v>015434</x:v>
      </x:c>
      <x:c r="D18"/>
      <x:c r="E18"/>
      <x:c r="F18" s="4" t="n">
        <x:v>46041</x:v>
      </x:c>
      <x:c r="G18" t="str">
        <x:v>SERENA 10 TORRES 2025</x:v>
      </x:c>
      <x:c r="H18" t="str">
        <x:v>1.1.1 - Recebimento de Clientes - prestação de serviço</x:v>
      </x:c>
      <x:c r="I18" s="5" t="n">
        <x:v>76865.7</x:v>
      </x:c>
      <x:c r="J18" s="5" t="n">
        <x:v>3689.5535999999997</x:v>
      </x:c>
      <x:c r="K18" s="5" t="n">
        <x:v>3843.285</x:v>
      </x:c>
      <x:c r="L18" s="5" t="n">
        <x:v>2690.2995</x:v>
      </x:c>
      <x:c r="M18" s="5" t="n">
        <x:v>499.62705</x:v>
      </x:c>
      <x:c r="N18" s="5" t="n">
        <x:v>2305.971</x:v>
      </x:c>
      <x:c r="O18" s="5" t="n">
        <x:v>2213.73216</x:v>
      </x:c>
      <x:c r="P18" s="5"/>
      <x:c r="Q18" s="5" t="n">
        <x:f>I18-SUM(J18:P18)</x:f>
        <x:v>61623.23169</x:v>
      </x:c>
    </x:row>
    <x:row r="19">
      <x:c r="A19" t="str">
        <x:v>SERENA GERAÇAO SA</x:v>
      </x:c>
      <x:c r="B19" t="str">
        <x:v>.84</x:v>
      </x:c>
      <x:c r="C19" t="str">
        <x:v>015437</x:v>
      </x:c>
      <x:c r="D19"/>
      <x:c r="E19"/>
      <x:c r="F19" s="4" t="n">
        <x:v>46041</x:v>
      </x:c>
      <x:c r="G19" t="str">
        <x:v>SERENA 10 TORRES 2025</x:v>
      </x:c>
      <x:c r="H19" t="str">
        <x:v>1.1.1 - Recebimento de Clientes - prestação de serviço</x:v>
      </x:c>
      <x:c r="I19" s="5" t="n">
        <x:v>76865.7</x:v>
      </x:c>
      <x:c r="J19" s="5" t="n">
        <x:v>3689.5535999999997</x:v>
      </x:c>
      <x:c r="K19" s="5" t="n">
        <x:v>3843.285</x:v>
      </x:c>
      <x:c r="L19" s="5" t="n">
        <x:v>2690.2995</x:v>
      </x:c>
      <x:c r="M19" s="5" t="n">
        <x:v>499.62705</x:v>
      </x:c>
      <x:c r="N19" s="5" t="n">
        <x:v>2305.971</x:v>
      </x:c>
      <x:c r="O19" s="5" t="n">
        <x:v>2213.73216</x:v>
      </x:c>
      <x:c r="P19" s="5"/>
      <x:c r="Q19" s="5" t="n">
        <x:f>I19-SUM(J19:P19)</x:f>
        <x:v>61623.23169</x:v>
      </x:c>
    </x:row>
    <x:row r="20">
      <x:c r="A20" t="str">
        <x:v>SERENA GERAÇAO SA</x:v>
      </x:c>
      <x:c r="B20" t="str">
        <x:v>.85</x:v>
      </x:c>
      <x:c r="C20" t="str">
        <x:v>015439</x:v>
      </x:c>
      <x:c r="D20"/>
      <x:c r="E20"/>
      <x:c r="F20" s="4" t="n">
        <x:v>46041</x:v>
      </x:c>
      <x:c r="G20" t="str">
        <x:v>SERENA 10 TORRES 2025</x:v>
      </x:c>
      <x:c r="H20" t="str">
        <x:v>1.1.1 - Recebimento de Clientes - prestação de serviço</x:v>
      </x:c>
      <x:c r="I20" s="5" t="n">
        <x:v>76865.7</x:v>
      </x:c>
      <x:c r="J20" s="5" t="n">
        <x:v>3689.5535999999997</x:v>
      </x:c>
      <x:c r="K20" s="5" t="n">
        <x:v>3843.285</x:v>
      </x:c>
      <x:c r="L20" s="5" t="n">
        <x:v>2690.2995</x:v>
      </x:c>
      <x:c r="M20" s="5" t="n">
        <x:v>499.62705</x:v>
      </x:c>
      <x:c r="N20" s="5" t="n">
        <x:v>2305.971</x:v>
      </x:c>
      <x:c r="O20" s="5" t="n">
        <x:v>2213.73216</x:v>
      </x:c>
      <x:c r="P20" s="5"/>
      <x:c r="Q20" s="5" t="n">
        <x:f>I20-SUM(J20:P20)</x:f>
        <x:v>61623.23169</x:v>
      </x:c>
    </x:row>
    <x:row r="21">
      <x:c r="A21" t="str">
        <x:v>SERENA GERAÇAO SA</x:v>
      </x:c>
      <x:c r="B21" t="str">
        <x:v>.86</x:v>
      </x:c>
      <x:c r="C21" t="str">
        <x:v>015440</x:v>
      </x:c>
      <x:c r="D21"/>
      <x:c r="E21" t="str">
        <x:v>NF PENSACOLA - HH</x:v>
      </x:c>
      <x:c r="F21" s="4" t="n">
        <x:v>46042</x:v>
      </x:c>
      <x:c r="G21" t="str">
        <x:v>SERENA 10 TORRES 2025</x:v>
      </x:c>
      <x:c r="H21" t="str">
        <x:v>1.1.1 - Recebimento de Clientes - prestação de serviço</x:v>
      </x:c>
      <x:c r="I21" s="5" t="n">
        <x:v>27000</x:v>
      </x:c>
      <x:c r="J21" s="5" t="n">
        <x:v>1296</x:v>
      </x:c>
      <x:c r="K21" s="5" t="n">
        <x:v>1350</x:v>
      </x:c>
      <x:c r="L21" s="5" t="n">
        <x:v>945.0000000000001</x:v>
      </x:c>
      <x:c r="M21" s="5" t="n">
        <x:v>175.50000000000003</x:v>
      </x:c>
      <x:c r="N21" s="5" t="n">
        <x:v>810</x:v>
      </x:c>
      <x:c r="O21" s="5" t="n">
        <x:v>777.6</x:v>
      </x:c>
      <x:c r="P21" s="5"/>
      <x:c r="Q21" s="5" t="n">
        <x:f>I21-SUM(J21:P21)</x:f>
        <x:v>21645.9</x:v>
      </x:c>
    </x:row>
    <x:row r="22">
      <x:c r="A22" t="str">
        <x:v>SALITRE FERTILIZANTES LTDA</x:v>
      </x:c>
      <x:c r="B22" t="str">
        <x:v>36.1</x:v>
      </x:c>
      <x:c r="C22" t="str">
        <x:v>015456</x:v>
      </x:c>
      <x:c r="D22"/>
      <x:c r="E22" t="str">
        <x:v>PLANTA ACIDO - LOCAÇÃO</x:v>
      </x:c>
      <x:c r="F22" s="4" t="n">
        <x:v>46043</x:v>
      </x:c>
      <x:c r="G22" t="str">
        <x:v>EUROCHEM SERRA DO SALITRE</x:v>
      </x:c>
      <x:c r="H22" t="str">
        <x:v>1.1.3 - Locação de Equipamentos</x:v>
      </x:c>
      <x:c r="I22" s="5" t="n">
        <x:v>32593.11</x:v>
      </x:c>
      <x:c r="J22" s="5" t="n">
        <x:v>1564.46928</x:v>
      </x:c>
      <x:c r="K22" s="5"/>
      <x:c r="L22" s="5" t="n">
        <x:v>1140.7588500000002</x:v>
      </x:c>
      <x:c r="M22" s="5" t="n">
        <x:v>211.85521500000002</x:v>
      </x:c>
      <x:c r="N22" s="5" t="n">
        <x:v>977.7932999999999</x:v>
      </x:c>
      <x:c r="O22" s="5" t="n">
        <x:v>938.681568</x:v>
      </x:c>
      <x:c r="P22" s="5"/>
      <x:c r="Q22" s="5" t="n">
        <x:f>I22-SUM(J22:P22)</x:f>
        <x:v>27759.551787</x:v>
      </x:c>
    </x:row>
    <x:row r="23">
      <x:c r="A23" t="str">
        <x:v>SALITRE FERTILIZANTES LTDA</x:v>
      </x:c>
      <x:c r="B23" t="str">
        <x:v>37.1</x:v>
      </x:c>
      <x:c r="C23" t="str">
        <x:v>015457</x:v>
      </x:c>
      <x:c r="D23"/>
      <x:c r="E23" t="str">
        <x:v>PLANTA FERTILIZANTES - LOCAÇÃO</x:v>
      </x:c>
      <x:c r="F23" s="4" t="n">
        <x:v>46043</x:v>
      </x:c>
      <x:c r="G23" t="str">
        <x:v>EUROCHEM SERRA DO SALITRE</x:v>
      </x:c>
      <x:c r="H23" t="str">
        <x:v>1.1.3 - Locação de Equipamentos</x:v>
      </x:c>
      <x:c r="I23" s="5" t="n">
        <x:v>32593.11</x:v>
      </x:c>
      <x:c r="J23" s="5" t="n">
        <x:v>1564.46928</x:v>
      </x:c>
      <x:c r="K23" s="5"/>
      <x:c r="L23" s="5" t="n">
        <x:v>1140.7588500000002</x:v>
      </x:c>
      <x:c r="M23" s="5" t="n">
        <x:v>211.85521500000002</x:v>
      </x:c>
      <x:c r="N23" s="5" t="n">
        <x:v>977.7932999999999</x:v>
      </x:c>
      <x:c r="O23" s="5" t="n">
        <x:v>938.681568</x:v>
      </x:c>
      <x:c r="P23" s="5"/>
      <x:c r="Q23" s="5" t="n">
        <x:f>I23-SUM(J23:P23)</x:f>
        <x:v>27759.551787</x:v>
      </x:c>
    </x:row>
    <x:row r="24">
      <x:c r="A24" t="str">
        <x:v>SALITRE FERTILIZANTES LTDA</x:v>
      </x:c>
      <x:c r="B24" t="str">
        <x:v>38.1</x:v>
      </x:c>
      <x:c r="C24" t="str">
        <x:v>015458</x:v>
      </x:c>
      <x:c r="D24"/>
      <x:c r="E24" t="str">
        <x:v>PLANTA MINERAL - LOCAÇÃO</x:v>
      </x:c>
      <x:c r="F24" s="4" t="n">
        <x:v>46043</x:v>
      </x:c>
      <x:c r="G24" t="str">
        <x:v>EUROCHEM SERRA DO SALITRE</x:v>
      </x:c>
      <x:c r="H24" t="str">
        <x:v>1.1.3 - Locação de Equipamentos</x:v>
      </x:c>
      <x:c r="I24" s="5" t="n">
        <x:v>32593.11</x:v>
      </x:c>
      <x:c r="J24" s="5" t="n">
        <x:v>1564.46928</x:v>
      </x:c>
      <x:c r="K24" s="5"/>
      <x:c r="L24" s="5" t="n">
        <x:v>1140.7588500000002</x:v>
      </x:c>
      <x:c r="M24" s="5" t="n">
        <x:v>211.85521500000002</x:v>
      </x:c>
      <x:c r="N24" s="5" t="n">
        <x:v>977.7932999999999</x:v>
      </x:c>
      <x:c r="O24" s="5" t="n">
        <x:v>938.681568</x:v>
      </x:c>
      <x:c r="P24" s="5"/>
      <x:c r="Q24" s="5" t="n">
        <x:f>I24-SUM(J24:P24)</x:f>
        <x:v>27759.551787</x:v>
      </x:c>
    </x:row>
    <x:row r="25">
      <x:c r="A25" t="str">
        <x:v>SALITRE FERTILIZANTES LTDA</x:v>
      </x:c>
      <x:c r="B25" t="str">
        <x:v>.87</x:v>
      </x:c>
      <x:c r="C25" t="str">
        <x:v>015460</x:v>
      </x:c>
      <x:c r="D25"/>
      <x:c r="E25"/>
      <x:c r="F25" s="4" t="n">
        <x:v>46043</x:v>
      </x:c>
      <x:c r="G25" t="str">
        <x:v>EUROCHEM SERRA DO SALITRE</x:v>
      </x:c>
      <x:c r="H25" t="str">
        <x:v>1.1.1 - Recebimento de Clientes - prestação de serviço</x:v>
      </x:c>
      <x:c r="I25" s="5" t="n">
        <x:v>4761.7</x:v>
      </x:c>
      <x:c r="J25" s="5" t="n">
        <x:v>228.5616</x:v>
      </x:c>
      <x:c r="K25" s="5" t="n">
        <x:v>238.085</x:v>
      </x:c>
      <x:c r="L25" s="5" t="n">
        <x:v>166.6595</x:v>
      </x:c>
      <x:c r="M25" s="5" t="n">
        <x:v>30.951050000000002</x:v>
      </x:c>
      <x:c r="N25" s="5" t="n">
        <x:v>142.851</x:v>
      </x:c>
      <x:c r="O25" s="5" t="n">
        <x:v>137.13696</x:v>
      </x:c>
      <x:c r="P25" s="5"/>
      <x:c r="Q25" s="5" t="n">
        <x:f>I25-SUM(J25:P25)</x:f>
        <x:v>3817.45489</x:v>
      </x:c>
    </x:row>
    <x:row r="26">
      <x:c r="A26" t="str">
        <x:v>SALITRE FERTILIZANTES LTDA</x:v>
      </x:c>
      <x:c r="B26" t="str">
        <x:v>.88</x:v>
      </x:c>
      <x:c r="C26" t="str">
        <x:v>015462</x:v>
      </x:c>
      <x:c r="D26"/>
      <x:c r="E26"/>
      <x:c r="F26" s="4" t="n">
        <x:v>46043</x:v>
      </x:c>
      <x:c r="G26" t="str">
        <x:v>EUROCHEM SERRA DO SALITRE</x:v>
      </x:c>
      <x:c r="H26" t="str">
        <x:v>1.1.1 - Recebimento de Clientes - prestação de serviço</x:v>
      </x:c>
      <x:c r="I26" s="5" t="n">
        <x:v>10725.92</x:v>
      </x:c>
      <x:c r="J26" s="5" t="n">
        <x:v>514.84416</x:v>
      </x:c>
      <x:c r="K26" s="5" t="n">
        <x:v>536.296</x:v>
      </x:c>
      <x:c r="L26" s="5" t="n">
        <x:v>375.40720000000005</x:v>
      </x:c>
      <x:c r="M26" s="5" t="n">
        <x:v>69.71848</x:v>
      </x:c>
      <x:c r="N26" s="5" t="n">
        <x:v>321.7776</x:v>
      </x:c>
      <x:c r="O26" s="5" t="n">
        <x:v>308.906496</x:v>
      </x:c>
      <x:c r="P26" s="5"/>
      <x:c r="Q26" s="5" t="n">
        <x:f>I26-SUM(J26:P26)</x:f>
        <x:v>8598.970064000001</x:v>
      </x:c>
    </x:row>
    <x:row r="27">
      <x:c r="A27" t="str">
        <x:v>SALITRE FERTILIZANTES LTDA</x:v>
      </x:c>
      <x:c r="B27" t="str">
        <x:v>.89</x:v>
      </x:c>
      <x:c r="C27" t="str">
        <x:v>015472</x:v>
      </x:c>
      <x:c r="D27"/>
      <x:c r="E27"/>
      <x:c r="F27" s="4" t="n">
        <x:v>46043</x:v>
      </x:c>
      <x:c r="G27" t="str">
        <x:v>EUROCHEM SERRA DO SALITRE</x:v>
      </x:c>
      <x:c r="H27" t="str">
        <x:v>1.1.1 - Recebimento de Clientes - prestação de serviço</x:v>
      </x:c>
      <x:c r="I27" s="5" t="n">
        <x:v>5516.16</x:v>
      </x:c>
      <x:c r="J27" s="5" t="n">
        <x:v>264.77568</x:v>
      </x:c>
      <x:c r="K27" s="5" t="n">
        <x:v>275.808</x:v>
      </x:c>
      <x:c r="L27" s="5" t="n">
        <x:v>193.06560000000002</x:v>
      </x:c>
      <x:c r="M27" s="5" t="n">
        <x:v>35.85504</x:v>
      </x:c>
      <x:c r="N27" s="5" t="n">
        <x:v>165.48479999999998</x:v>
      </x:c>
      <x:c r="O27" s="5" t="n">
        <x:v>158.865408</x:v>
      </x:c>
      <x:c r="P27" s="5"/>
      <x:c r="Q27" s="5" t="n">
        <x:f>I27-SUM(J27:P27)</x:f>
        <x:v>4422.305472</x:v>
      </x:c>
    </x:row>
    <x:row r="28">
      <x:c r="A28" t="str">
        <x:v>SALITRE FERTILIZANTES LTDA</x:v>
      </x:c>
      <x:c r="B28" t="str">
        <x:v>.90</x:v>
      </x:c>
      <x:c r="C28" t="str">
        <x:v>015473</x:v>
      </x:c>
      <x:c r="D28"/>
      <x:c r="E28"/>
      <x:c r="F28" s="4" t="n">
        <x:v>46043</x:v>
      </x:c>
      <x:c r="G28" t="str">
        <x:v>EUROCHEM SERRA DO SALITRE</x:v>
      </x:c>
      <x:c r="H28" t="str">
        <x:v>1.1.1 - Recebimento de Clientes - prestação de serviço</x:v>
      </x:c>
      <x:c r="I28" s="5" t="n">
        <x:v>14528.97</x:v>
      </x:c>
      <x:c r="J28" s="5" t="n">
        <x:v>697.3905599999999</x:v>
      </x:c>
      <x:c r="K28" s="5" t="n">
        <x:v>726.4485</x:v>
      </x:c>
      <x:c r="L28" s="5" t="n">
        <x:v>508.51395</x:v>
      </x:c>
      <x:c r="M28" s="5" t="n">
        <x:v>94.438305</x:v>
      </x:c>
      <x:c r="N28" s="5" t="n">
        <x:v>435.86909999999995</x:v>
      </x:c>
      <x:c r="O28" s="5" t="n">
        <x:v>418.434336</x:v>
      </x:c>
      <x:c r="P28" s="5"/>
      <x:c r="Q28" s="5" t="n">
        <x:f>I28-SUM(J28:P28)</x:f>
        <x:v>11647.875249</x:v>
      </x:c>
    </x:row>
    <x:row r="29">
      <x:c r="A29" t="str">
        <x:v>SALITRE FERTILIZANTES LTDA</x:v>
      </x:c>
      <x:c r="B29" t="str">
        <x:v>.91</x:v>
      </x:c>
      <x:c r="C29" t="str">
        <x:v>015474</x:v>
      </x:c>
      <x:c r="D29"/>
      <x:c r="E29"/>
      <x:c r="F29" s="4" t="n">
        <x:v>46043</x:v>
      </x:c>
      <x:c r="G29" t="str">
        <x:v>EUROCHEM SERRA DO SALITRE</x:v>
      </x:c>
      <x:c r="H29" t="str">
        <x:v>1.1.1 - Recebimento de Clientes - prestação de serviço</x:v>
      </x:c>
      <x:c r="I29" s="5" t="n">
        <x:v>13677.4</x:v>
      </x:c>
      <x:c r="J29" s="5" t="n">
        <x:v>656.5152</x:v>
      </x:c>
      <x:c r="K29" s="5" t="n">
        <x:v>683.87</x:v>
      </x:c>
      <x:c r="L29" s="5" t="n">
        <x:v>478.70900000000006</x:v>
      </x:c>
      <x:c r="M29" s="5" t="n">
        <x:v>88.90310000000001</x:v>
      </x:c>
      <x:c r="N29" s="5" t="n">
        <x:v>410.32199999999995</x:v>
      </x:c>
      <x:c r="O29" s="5" t="n">
        <x:v>393.90912</x:v>
      </x:c>
      <x:c r="P29" s="5"/>
      <x:c r="Q29" s="5" t="n">
        <x:f>I29-SUM(J29:P29)</x:f>
        <x:v>10965.17158</x:v>
      </x:c>
    </x:row>
    <x:row r="30">
      <x:c r="A30" t="str">
        <x:v>SALITRE FERTILIZANTES LTDA</x:v>
      </x:c>
      <x:c r="B30" t="str">
        <x:v>.92</x:v>
      </x:c>
      <x:c r="C30" t="str">
        <x:v>015475</x:v>
      </x:c>
      <x:c r="D30"/>
      <x:c r="E30"/>
      <x:c r="F30" s="4" t="n">
        <x:v>46043</x:v>
      </x:c>
      <x:c r="G30" t="str">
        <x:v>EUROCHEM SERRA DO SALITRE</x:v>
      </x:c>
      <x:c r="H30" t="str">
        <x:v>1.1.1 - Recebimento de Clientes - prestação de serviço</x:v>
      </x:c>
      <x:c r="I30" s="5" t="n">
        <x:v>28836.54</x:v>
      </x:c>
      <x:c r="J30" s="5" t="n">
        <x:v>1384.15392</x:v>
      </x:c>
      <x:c r="K30" s="5" t="n">
        <x:v>1441.8270000000002</x:v>
      </x:c>
      <x:c r="L30" s="5" t="n">
        <x:v>1009.2789000000001</x:v>
      </x:c>
      <x:c r="M30" s="5" t="n">
        <x:v>187.43751000000003</x:v>
      </x:c>
      <x:c r="N30" s="5" t="n">
        <x:v>865.0962</x:v>
      </x:c>
      <x:c r="O30" s="5" t="n">
        <x:v>830.492352</x:v>
      </x:c>
      <x:c r="P30" s="5"/>
      <x:c r="Q30" s="5" t="n">
        <x:f>I30-SUM(J30:P30)</x:f>
        <x:v>23118.254118</x:v>
      </x:c>
    </x:row>
    <x:row r="31">
      <x:c r="A31" t="str">
        <x:v>SALITRE FERTILIZANTES LTDA</x:v>
      </x:c>
      <x:c r="B31" t="str">
        <x:v>.93</x:v>
      </x:c>
      <x:c r="C31" t="str">
        <x:v>015476</x:v>
      </x:c>
      <x:c r="D31"/>
      <x:c r="E31"/>
      <x:c r="F31" s="4" t="n">
        <x:v>46043</x:v>
      </x:c>
      <x:c r="G31" t="str">
        <x:v>EUROCHEM SERRA DO SALITRE</x:v>
      </x:c>
      <x:c r="H31" t="str">
        <x:v>1.1.1 - Recebimento de Clientes - prestação de serviço</x:v>
      </x:c>
      <x:c r="I31" s="5" t="n">
        <x:v>203016.89</x:v>
      </x:c>
      <x:c r="J31" s="5" t="n">
        <x:v>9744.810720000001</x:v>
      </x:c>
      <x:c r="K31" s="5" t="n">
        <x:v>10150.844500000001</x:v>
      </x:c>
      <x:c r="L31" s="5" t="n">
        <x:v>7105.591150000001</x:v>
      </x:c>
      <x:c r="M31" s="5" t="n">
        <x:v>1319.609785</x:v>
      </x:c>
      <x:c r="N31" s="5" t="n">
        <x:v>6090.5067</x:v>
      </x:c>
      <x:c r="O31" s="5" t="n">
        <x:v>5846.886432</x:v>
      </x:c>
      <x:c r="P31" s="5"/>
      <x:c r="Q31" s="5" t="n">
        <x:f>I31-SUM(J31:P31)</x:f>
        <x:v>162758.64071300003</x:v>
      </x:c>
    </x:row>
    <x:row r="32">
      <x:c r="A32" t="str">
        <x:v>MOSAIC FERTILIZANTES DO BRASIL LTDA UBERABA ROTINA</x:v>
      </x:c>
      <x:c r="B32" t="str">
        <x:v>.97</x:v>
      </x:c>
      <x:c r="C32" t="str">
        <x:v>015813</x:v>
      </x:c>
      <x:c r="D32"/>
      <x:c r="E32"/>
      <x:c r="F32" s="4" t="n">
        <x:v>46044</x:v>
      </x:c>
      <x:c r="G32" t="str">
        <x:v>MOSAIC UBERABA CONTRAT0 3 ANOS</x:v>
      </x:c>
      <x:c r="H32" t="str">
        <x:v>1.1.1 - Recebimento de Clientes - prestação de serviço</x:v>
      </x:c>
      <x:c r="I32" s="5" t="n">
        <x:v>16372.78</x:v>
      </x:c>
      <x:c r="J32" s="5" t="n">
        <x:v>785.89344</x:v>
      </x:c>
      <x:c r="K32" s="5" t="n">
        <x:v>818.6390000000001</x:v>
      </x:c>
      <x:c r="L32" s="5" t="n">
        <x:v>573.0473000000001</x:v>
      </x:c>
      <x:c r="M32" s="5" t="n">
        <x:v>106.42307000000001</x:v>
      </x:c>
      <x:c r="N32" s="5" t="n">
        <x:v>491.1834</x:v>
      </x:c>
      <x:c r="O32" s="5" t="n">
        <x:v>471.536064</x:v>
      </x:c>
      <x:c r="P32" s="5"/>
      <x:c r="Q32" s="5" t="n">
        <x:f>I32-SUM(J32:P32)</x:f>
        <x:v>13126.057726000001</x:v>
      </x:c>
    </x:row>
    <x:row r="33">
      <x:c r="A33" t="str">
        <x:v>SERRA VERDE PESQUISA E MINERAÇÃO LTDA</x:v>
      </x:c>
      <x:c r="B33" t="str">
        <x:v>.94</x:v>
      </x:c>
      <x:c r="C33" t="str">
        <x:v>015811</x:v>
      </x:c>
      <x:c r="D33" t="str">
        <x:v>LOCAÇÃO - MAXIMA</x:v>
      </x:c>
      <x:c r="E33" t="str">
        <x:v>ISS - 207,00</x:v>
      </x:c>
      <x:c r="F33" s="4" t="n">
        <x:v>46045</x:v>
      </x:c>
      <x:c r="G33" t="str">
        <x:v>CONTRATO 02 ANOS MINERAÇÃO SERRA VERDE</x:v>
      </x:c>
      <x:c r="H33" t="str">
        <x:v>1.1.3 - Locação de Equipamentos</x:v>
      </x:c>
      <x:c r="I33" s="5" t="n">
        <x:v>6900</x:v>
      </x:c>
      <x:c r="J33" s="5" t="n">
        <x:v>331.2</x:v>
      </x:c>
      <x:c r="K33" s="5"/>
      <x:c r="L33" s="5" t="n">
        <x:v>241.50000000000003</x:v>
      </x:c>
      <x:c r="M33" s="5" t="n">
        <x:v>44.85</x:v>
      </x:c>
      <x:c r="N33" s="5" t="n">
        <x:v>207</x:v>
      </x:c>
      <x:c r="O33" s="5" t="n">
        <x:v>198.72</x:v>
      </x:c>
      <x:c r="P33" s="5"/>
      <x:c r="Q33" s="5" t="n">
        <x:f>I33-SUM(J33:P33)</x:f>
        <x:v>5876.73</x:v>
      </x:c>
    </x:row>
    <x:row r="34">
      <x:c r="A34" t="str">
        <x:v>MOSAIC FERTILIZANTES DO BRASIL LTDA UBERABA ROTINA</x:v>
      </x:c>
      <x:c r="B34" t="str">
        <x:v>.95</x:v>
      </x:c>
      <x:c r="C34" t="str">
        <x:v>015812</x:v>
      </x:c>
      <x:c r="D34"/>
      <x:c r="E34"/>
      <x:c r="F34" s="4" t="n">
        <x:v>46045</x:v>
      </x:c>
      <x:c r="G34" t="str">
        <x:v>MOSAIC UBERABA CONTRAT0 3 ANOS</x:v>
      </x:c>
      <x:c r="H34" t="str">
        <x:v>1.1.1 - Recebimento de Clientes - prestação de serviço</x:v>
      </x:c>
      <x:c r="I34" s="5" t="n">
        <x:v>184882.76</x:v>
      </x:c>
      <x:c r="J34" s="5" t="n">
        <x:v>8874.37248</x:v>
      </x:c>
      <x:c r="K34" s="5" t="n">
        <x:v>9244.138</x:v>
      </x:c>
      <x:c r="L34" s="5" t="n">
        <x:v>6470.896600000001</x:v>
      </x:c>
      <x:c r="M34" s="5" t="n">
        <x:v>1201.7379400000002</x:v>
      </x:c>
      <x:c r="N34" s="5" t="n">
        <x:v>5546.4828</x:v>
      </x:c>
      <x:c r="O34" s="5" t="n">
        <x:v>5324.623488</x:v>
      </x:c>
      <x:c r="P34" s="5"/>
      <x:c r="Q34" s="5" t="n">
        <x:f>I34-SUM(J34:P34)</x:f>
        <x:v>148220.508692</x:v>
      </x:c>
    </x:row>
    <x:row r="35">
      <x:c r="A35" t="str">
        <x:v>MOSAIC FERTILIZANTES DO BRASIL LTDA UBERABA ROTINA</x:v>
      </x:c>
      <x:c r="B35" t="str">
        <x:v>1359</x:v>
      </x:c>
      <x:c r="C35" t="str">
        <x:v>015814</x:v>
      </x:c>
      <x:c r="D35"/>
      <x:c r="E35"/>
      <x:c r="F35" s="4" t="n">
        <x:v>46049</x:v>
      </x:c>
      <x:c r="G35" t="str">
        <x:v>MOSAIC UBERABA CONTRAT0 3 ANOS</x:v>
      </x:c>
      <x:c r="H35" t="str">
        <x:v>1.1.2 - Venda Material</x:v>
      </x:c>
      <x:c r="I35" s="5" t="n">
        <x:v>98934.87</x:v>
      </x:c>
      <x:c r="J35" s="5" t="n">
        <x:v>4748.8737599999995</x:v>
      </x:c>
      <x:c r="K35" s="5" t="n">
        <x:v>4946.7435000000005</x:v>
      </x:c>
      <x:c r="L35" s="5" t="n">
        <x:v>3462.7204500000003</x:v>
      </x:c>
      <x:c r="M35" s="5" t="n">
        <x:v>643.0766550000001</x:v>
      </x:c>
      <x:c r="N35" s="5" t="n">
        <x:v>2968.0460999999996</x:v>
      </x:c>
      <x:c r="O35" s="5" t="n">
        <x:v>2849.324256</x:v>
      </x:c>
      <x:c r="P35" s="5" t="n">
        <x:v>5772.36</x:v>
      </x:c>
      <x:c r="Q35" s="5" t="n">
        <x:f>I35-SUM(J35:P35)</x:f>
        <x:v>73543.72527899999</x:v>
      </x:c>
    </x:row>
    <x:row r="36">
      <x:c r="A36" t="str">
        <x:v>MOSAIC FERTILIZANTES DO BRASIL LTDA UBERABA ROTINA</x:v>
      </x:c>
      <x:c r="B36" t="str">
        <x:v>1362</x:v>
      </x:c>
      <x:c r="C36" t="str">
        <x:v>015920</x:v>
      </x:c>
      <x:c r="D36"/>
      <x:c r="E36" t="str">
        <x:v>PTC 0915-26</x:v>
      </x:c>
      <x:c r="F36" s="4" t="n">
        <x:v>46052</x:v>
      </x:c>
      <x:c r="G36" t="str">
        <x:v>MOSAIC UBERABA CONTRAT0 3 ANOS</x:v>
      </x:c>
      <x:c r="H36" t="str">
        <x:v>1.1.2 - Venda Material</x:v>
      </x:c>
      <x:c r="I36" s="5" t="n">
        <x:v>117090.43</x:v>
      </x:c>
      <x:c r="J36" s="5" t="n">
        <x:v>5620.340639999999</x:v>
      </x:c>
      <x:c r="K36" s="5" t="n">
        <x:v>5854.5215</x:v>
      </x:c>
      <x:c r="L36" s="5" t="n">
        <x:v>4098.1650500000005</x:v>
      </x:c>
      <x:c r="M36" s="5" t="n">
        <x:v>761.087795</x:v>
      </x:c>
      <x:c r="N36" s="5" t="n">
        <x:v>3512.7128999999995</x:v>
      </x:c>
      <x:c r="O36" s="5" t="n">
        <x:v>3372.2043839999997</x:v>
      </x:c>
      <x:c r="P36" s="5" t="n">
        <x:v>7712.77</x:v>
      </x:c>
      <x:c r="Q36" s="5" t="n">
        <x:f>I36-SUM(J36:P36)</x:f>
        <x:v>86158.62773099999</x:v>
      </x:c>
    </x:row>
    <x:row r="37">
      <x:c r="A37" t="str">
        <x:v>MOSAIC FERTILIZANTES DO BRASIL LTDA UBERABA ROTINA</x:v>
      </x:c>
      <x:c r="B37" t="str">
        <x:v>1363</x:v>
      </x:c>
      <x:c r="C37" t="str">
        <x:v>015921</x:v>
      </x:c>
      <x:c r="D37"/>
      <x:c r="E37" t="str">
        <x:v>PTC 0915-26</x:v>
      </x:c>
      <x:c r="F37" s="4" t="n">
        <x:v>46052</x:v>
      </x:c>
      <x:c r="G37" t="str">
        <x:v>MOSAIC UBERABA CONTRAT0 3 ANOS</x:v>
      </x:c>
      <x:c r="H37" t="str">
        <x:v>1.1.2 - Venda Material</x:v>
      </x:c>
      <x:c r="I37" s="5" t="n">
        <x:v>39909</x:v>
      </x:c>
      <x:c r="J37" s="5" t="n">
        <x:v>1915.632</x:v>
      </x:c>
      <x:c r="K37" s="5" t="n">
        <x:v>1995.45</x:v>
      </x:c>
      <x:c r="L37" s="5" t="n">
        <x:v>1396.815</x:v>
      </x:c>
      <x:c r="M37" s="5" t="n">
        <x:v>259.4085</x:v>
      </x:c>
      <x:c r="N37" s="5" t="n">
        <x:v>1197.27</x:v>
      </x:c>
      <x:c r="O37" s="5" t="n">
        <x:v>1149.3791999999999</x:v>
      </x:c>
      <x:c r="P37" s="5" t="n">
        <x:v>2916.93</x:v>
      </x:c>
      <x:c r="Q37" s="5" t="n">
        <x:f>I37-SUM(J37:P37)</x:f>
        <x:v>29078.115299999998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29ace461aa9d46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8.329999923706055" hidden="0" customWidth="1"/>
    <x:col min="3" max="3" width="8.329999923706055" hidden="0" customWidth="1"/>
    <x:col min="4" max="4" width="24.440000534057617" hidden="0" customWidth="1"/>
    <x:col min="5" max="5" width="24.440000534057617" hidden="0" customWidth="1"/>
    <x:col min="6" max="6" width="10.5600004196167" hidden="0" customWidth="1"/>
    <x:col min="7" max="7" width="26.670000076293945" hidden="0" customWidth="1"/>
    <x:col min="8" max="8" width="37.779998779296875" hidden="0" customWidth="1"/>
    <x:col min="9" max="9" width="15.5600004196167" hidden="0" customWidth="1"/>
  </x:cols>
  <x:sheetData>
    <x:row r="1">
      <x:c r="A1" s="3" t="str">
        <x:v>Fornecedor</x:v>
      </x:c>
      <x:c r="B1" s="3" t="str">
        <x:v>Número</x:v>
      </x:c>
      <x:c r="C1" s="3" t="str">
        <x:v>Doc.</x:v>
      </x:c>
      <x:c r="D1" s="3" t="str">
        <x:v>Descrição</x:v>
      </x:c>
      <x:c r="E1" s="3" t="str">
        <x:v>Obs.</x:v>
      </x:c>
      <x:c r="F1" s="3" t="str">
        <x:v>Emissão</x:v>
      </x:c>
      <x:c r="G1" s="3" t="str">
        <x:v>Obra/Centro custo</x:v>
      </x:c>
      <x:c r="H1" s="3" t="str">
        <x:v>C. gerencial</x:v>
      </x:c>
      <x:c r="I1" s="3" t="str">
        <x:v>Total líquido (R$)</x:v>
      </x:c>
    </x:row>
    <x:row r="2">
      <x:c r="A2" t="str">
        <x:v>ALUGUEIS OBRAS</x:v>
      </x:c>
      <x:c r="B2"/>
      <x:c r="C2" t="str">
        <x:v>014345</x:v>
      </x:c>
      <x:c r="D2" t="str">
        <x:v>R. 413 Nº 315 PORTAL NORTE  01-01 A 01-02-26</x:v>
      </x:c>
      <x:c r="E2" t="str">
        <x:v>RAIMUNDA OLIVEIRA PIRES</x:v>
      </x:c>
      <x:c r="F2" s="4" t="n">
        <x:v>46023</x:v>
      </x:c>
      <x:c r="G2" t="str">
        <x:v>FOSFATO CMOC CONTRAT</x:v>
      </x:c>
      <x:c r="H2" t="str">
        <x:v>5.3 - ALUGUEL ALOJAMENTO</x:v>
      </x:c>
      <x:c r="I2" s="5" t="n">
        <x:v>850</x:v>
      </x:c>
    </x:row>
    <x:row r="3">
      <x:c r="A3" t="str">
        <x:v>ALUGUEIS OBRAS</x:v>
      </x:c>
      <x:c r="B3"/>
      <x:c r="C3" t="str">
        <x:v>014346</x:v>
      </x:c>
      <x:c r="D3" t="str">
        <x:v>R. 402 Nº 916 BAIRRO PORTAL NORTE / 01-01 A 01-02</x:v>
      </x:c>
      <x:c r="E3" t="str">
        <x:v>MARÇAL IMOVEIS - PIX  01.552.006/0001-34</x:v>
      </x:c>
      <x:c r="F3" s="4" t="n">
        <x:v>46023</x:v>
      </x:c>
      <x:c r="G3" t="str">
        <x:v>FOSFATO CMOC CONTRAT</x:v>
      </x:c>
      <x:c r="H3" t="str">
        <x:v>5.3 - ALUGUEL ALOJAMENTO</x:v>
      </x:c>
      <x:c r="I3" s="5" t="n">
        <x:v>1100</x:v>
      </x:c>
    </x:row>
    <x:row r="4">
      <x:c r="A4" t="str">
        <x:v>ALUGUEIS OBRAS</x:v>
      </x:c>
      <x:c r="B4"/>
      <x:c r="C4" t="str">
        <x:v>014347</x:v>
      </x:c>
      <x:c r="D4" t="str">
        <x:v>RUA 02 Nº 44 / SOCIETY 01.01 A 01.02</x:v>
      </x:c>
      <x:c r="E4" t="str">
        <x:v>MARLI XAVIER - PIX (64) 9 8110-5610</x:v>
      </x:c>
      <x:c r="F4" s="4" t="n">
        <x:v>46023</x:v>
      </x:c>
      <x:c r="G4" t="str">
        <x:v>NIOBIO CMOC CONTRATO</x:v>
      </x:c>
      <x:c r="H4" t="str">
        <x:v>5.3 - ALUGUEL ALOJAMENTO</x:v>
      </x:c>
      <x:c r="I4" s="5" t="n">
        <x:v>1200</x:v>
      </x:c>
    </x:row>
    <x:row r="5">
      <x:c r="A5" t="str">
        <x:v>ALUGUEIS OBRAS</x:v>
      </x:c>
      <x:c r="B5"/>
      <x:c r="C5" t="str">
        <x:v>014349</x:v>
      </x:c>
      <x:c r="D5" t="str">
        <x:v>RUA 419 Nº 85 BAIRRO PORTAL NORTE REF. 01/01 A 01/02</x:v>
      </x:c>
      <x:c r="E5" t="str">
        <x:v>MAGRET GEISE ALVES - PIX 903.633.298-20</x:v>
      </x:c>
      <x:c r="F5" s="4" t="n">
        <x:v>46023</x:v>
      </x:c>
      <x:c r="G5" t="str">
        <x:v>NIOBIO CMOC CONTRATO</x:v>
      </x:c>
      <x:c r="H5" t="str">
        <x:v>5.3 - ALUGUEL ALOJAMENTO</x:v>
      </x:c>
      <x:c r="I5" s="5" t="n">
        <x:v>1000</x:v>
      </x:c>
    </x:row>
    <x:row r="6">
      <x:c r="A6" t="str">
        <x:v>ALUGUEIS OBRAS</x:v>
      </x:c>
      <x:c r="B6"/>
      <x:c r="C6" t="str">
        <x:v>014350</x:v>
      </x:c>
      <x:c r="D6" t="str">
        <x:v>AV. BRASIL, POVOADO SOUZALANDIA</x:v>
      </x:c>
      <x:c r="E6" t="str">
        <x:v>AMAURI RODRIGUES DA COSTA - ITAÚ 4379/00365424</x:v>
      </x:c>
      <x:c r="F6" s="4" t="n">
        <x:v>46023</x:v>
      </x:c>
      <x:c r="G6" t="str">
        <x:v>CANTEIRO SOUZALANDIA</x:v>
      </x:c>
      <x:c r="H6" t="str">
        <x:v>5.3 - ALUGUEL ALOJAMENTO</x:v>
      </x:c>
      <x:c r="I6" s="5" t="n">
        <x:v>2000</x:v>
      </x:c>
    </x:row>
    <x:row r="7">
      <x:c r="A7" t="str">
        <x:v>ALUGUEIS OBRAS</x:v>
      </x:c>
      <x:c r="B7"/>
      <x:c r="C7" t="str">
        <x:v>014351</x:v>
      </x:c>
      <x:c r="D7" t="str">
        <x:v>AV. BRASIL, POVOADO SOUZALANDIA</x:v>
      </x:c>
      <x:c r="E7" t="str">
        <x:v>DELVONE RODRIGUES DA COSTA - CAIXA 2281/7817491</x:v>
      </x:c>
      <x:c r="F7" s="4" t="n">
        <x:v>46023</x:v>
      </x:c>
      <x:c r="G7" t="str">
        <x:v>CANTEIRO SOUZALANDIA</x:v>
      </x:c>
      <x:c r="H7" t="str">
        <x:v>5.3 - ALUGUEL ALOJAMENTO</x:v>
      </x:c>
      <x:c r="I7" s="5" t="n">
        <x:v>2000</x:v>
      </x:c>
    </x:row>
    <x:row r="8">
      <x:c r="A8" t="str">
        <x:v>HAPVIDA ASSISTENCIA MEDICA S.A.</x:v>
      </x:c>
      <x:c r="B8" t="str">
        <x:v>81439854</x:v>
      </x:c>
      <x:c r="C8" t="str">
        <x:v>015194</x:v>
      </x:c>
      <x:c r="D8" t="str">
        <x:v>PLANO SAÚDE REF. MÊS 01/26</x:v>
      </x:c>
      <x:c r="E8" t="str">
        <x:v>VENCIMENTO ORIGINAL DO BOLETO 25/01/26</x:v>
      </x:c>
      <x:c r="F8" s="4" t="n">
        <x:v>46023</x:v>
      </x:c>
      <x:c r="G8" t="str">
        <x:v>VLI PINTURA</x:v>
      </x:c>
      <x:c r="H8" t="str">
        <x:v>12.10 - PLANO DE SAUDE</x:v>
      </x:c>
      <x:c r="I8" s="5" t="n">
        <x:v>10410.12</x:v>
      </x:c>
    </x:row>
    <x:row r="9">
      <x:c r="A9" t="str">
        <x:v>V A PINT LOCAÇOES SERVIÇOS E PINTURA LTDA</x:v>
      </x:c>
      <x:c r="B9" t="str">
        <x:v>2741</x:v>
      </x:c>
      <x:c r="C9" t="str">
        <x:v>015247</x:v>
      </x:c>
      <x:c r="D9" t="str">
        <x:v>LOCAÇÃO COMPRESSOR REF. 06-12 A 19-12</x:v>
      </x:c>
      <x:c r="E9" t="str">
        <x:v>BOLETO</x:v>
      </x:c>
      <x:c r="F9" s="4" t="n">
        <x:v>46023</x:v>
      </x:c>
      <x:c r="G9" t="str">
        <x:v>VLI PINTURA</x:v>
      </x:c>
      <x:c r="H9" t="str">
        <x:v>7.2 - LOCAÇÃO COMPRESSORES</x:v>
      </x:c>
      <x:c r="I9" s="5" t="n">
        <x:v>7428.72</x:v>
      </x:c>
    </x:row>
    <x:row r="10">
      <x:c r="A10" t="str">
        <x:v>AMO ASSESSORIA MEDICA OCUPACIONAL LTDA</x:v>
      </x:c>
      <x:c r="B10" t="str">
        <x:v>19298</x:v>
      </x:c>
      <x:c r="C10" t="str">
        <x:v>015294</x:v>
      </x:c>
      <x:c r="D10" t="str">
        <x:v>EXAMES LABORAES</x:v>
      </x:c>
      <x:c r="E10"/>
      <x:c r="F10" s="4" t="n">
        <x:v>46023</x:v>
      </x:c>
      <x:c r="G10" t="str">
        <x:v>MOSAIC UBERABA CONTRAT0 3 ANOS</x:v>
      </x:c>
      <x:c r="H10" t="str">
        <x:v>14.1 - EXAMES</x:v>
      </x:c>
      <x:c r="I10" s="5" t="n">
        <x:v>2221.49</x:v>
      </x:c>
    </x:row>
    <x:row r="11">
      <x:c r="A11" t="str">
        <x:v>MATA FOME REFEICAO COLETIVA LTDA</x:v>
      </x:c>
      <x:c r="B11" t="str">
        <x:v>205</x:v>
      </x:c>
      <x:c r="C11" t="str">
        <x:v>015323</x:v>
      </x:c>
      <x:c r="D11" t="str">
        <x:v>REFEIÇÃO QUINZENAL VLI</x:v>
      </x:c>
      <x:c r="E11" t="str">
        <x:v>Chave PIX: 57730611000102</x:v>
      </x:c>
      <x:c r="F11" s="4" t="n">
        <x:v>46023</x:v>
      </x:c>
      <x:c r="G11" t="str">
        <x:v>VLI PINTURA</x:v>
      </x:c>
      <x:c r="H11" t="str">
        <x:v>12.5 - REFEIÇÕES FUNCIONARIOS</x:v>
      </x:c>
      <x:c r="I11" s="5" t="n">
        <x:v>1908</x:v>
      </x:c>
    </x:row>
    <x:row r="12">
      <x:c r="A12" t="str">
        <x:v>ZEQUINHA BORDADOS LTDA</x:v>
      </x:c>
      <x:c r="B12" t="str">
        <x:v>28</x:v>
      </x:c>
      <x:c r="C12" t="str">
        <x:v>015346</x:v>
      </x:c>
      <x:c r="D12" t="str">
        <x:v>BORDADO ZEQUINHA UNIFOMES ADM</x:v>
      </x:c>
      <x:c r="E12"/>
      <x:c r="F12" s="4" t="n">
        <x:v>46023</x:v>
      </x:c>
      <x:c r="G12" t="str">
        <x:v>ADMINISTRATIVO</x:v>
      </x:c>
      <x:c r="H12" t="str">
        <x:v>13.2 - UNIFORMES</x:v>
      </x:c>
      <x:c r="I12" s="5" t="n">
        <x:v>156.8</x:v>
      </x:c>
    </x:row>
    <x:row r="13">
      <x:c r="A13" t="str">
        <x:v>AQUARELA LANCHONETE E CONVENIENCIA LTDA</x:v>
      </x:c>
      <x:c r="B13" t="str">
        <x:v>1167</x:v>
      </x:c>
      <x:c r="C13" t="str">
        <x:v>015355</x:v>
      </x:c>
      <x:c r="D13" t="str">
        <x:v>AQUARELA LANCHONETE - PIX 09.327.589/0001-01</x:v>
      </x:c>
      <x:c r="E13" t="str">
        <x:v>REFEIÇÃO AABA REF. MES 12-2025</x:v>
      </x:c>
      <x:c r="F13" s="4" t="n">
        <x:v>46023</x:v>
      </x:c>
      <x:c r="G13" t="str">
        <x:v>ANGLO AMERICAN</x:v>
      </x:c>
      <x:c r="H13" t="str">
        <x:v>12.5 - REFEIÇÕES FUNCIONARIOS</x:v>
      </x:c>
      <x:c r="I13" s="5" t="n">
        <x:v>1200</x:v>
      </x:c>
    </x:row>
    <x:row r="14">
      <x:c r="A14" t="str">
        <x:v>THIAGO DE CASTRO VIEIRA</x:v>
      </x:c>
      <x:c r="B14" t="str">
        <x:v>20997 / 01</x:v>
      </x:c>
      <x:c r="C14" t="str">
        <x:v>014990</x:v>
      </x:c>
      <x:c r="D14" t="str">
        <x:v>COMBUSTÍVEL VEÍCULOS</x:v>
      </x:c>
      <x:c r="E14" t="str">
        <x:v>VENCIMENTO ORIGINAL DO BOLETO 10/01/26</x:v>
      </x:c>
      <x:c r="F14" s="4" t="n">
        <x:v>46024</x:v>
      </x:c>
      <x:c r="G14" t="str">
        <x:v>EUROCHEM SERRA DO SALITRE</x:v>
      </x:c>
      <x:c r="H14" t="str">
        <x:v>6.4 - COMBUSTIVEL VEICULOS</x:v>
      </x:c>
      <x:c r="I14" s="5" t="n">
        <x:v>1443.6</x:v>
      </x:c>
    </x:row>
    <x:row r="15">
      <x:c r="A15" t="str">
        <x:v>THIAGO DE CASTRO VIEIRA</x:v>
      </x:c>
      <x:c r="B15" t="str">
        <x:v>20997 / 02</x:v>
      </x:c>
      <x:c r="C15" t="str">
        <x:v>014991</x:v>
      </x:c>
      <x:c r="D15" t="str">
        <x:v>COMBUSTÍVEL EQUIPAMENTOS</x:v>
      </x:c>
      <x:c r="E15" t="str">
        <x:v>VENCIMENTO ORIGINAL DO BOLETO 10/01/26</x:v>
      </x:c>
      <x:c r="F15" s="4" t="n">
        <x:v>46024</x:v>
      </x:c>
      <x:c r="G15" t="str">
        <x:v>EUROCHEM SERRA DO SALITRE</x:v>
      </x:c>
      <x:c r="H15" t="str">
        <x:v>8.13 - COMBUSTIVEL EQUIPAMENTOS</x:v>
      </x:c>
      <x:c r="I15" s="5" t="n">
        <x:v>1039.19</x:v>
      </x:c>
    </x:row>
    <x:row r="16">
      <x:c r="A16" t="str">
        <x:v>RESCISOES / FGTS</x:v>
      </x:c>
      <x:c r="B16"/>
      <x:c r="C16" t="str">
        <x:v>015061</x:v>
      </x:c>
      <x:c r="D16" t="str">
        <x:v>WICLIFF NOGUEIRA DO NASCIMENTO</x:v>
      </x:c>
      <x:c r="E16" t="str">
        <x:v>MULTA RESCISÓRIA</x:v>
      </x:c>
      <x:c r="F16" s="4" t="n">
        <x:v>46024</x:v>
      </x:c>
      <x:c r="G16" t="str">
        <x:v>FOSFATO CMOC CONTRAT</x:v>
      </x:c>
      <x:c r="H16" t="str">
        <x:v>12.4 - MULTA RESCISORIAS FGTS</x:v>
      </x:c>
      <x:c r="I16" s="5" t="n">
        <x:v>2041.25</x:v>
      </x:c>
    </x:row>
    <x:row r="17">
      <x:c r="A17" t="str">
        <x:v>RESCISOES / FGTS</x:v>
      </x:c>
      <x:c r="B17"/>
      <x:c r="C17" t="str">
        <x:v>015065</x:v>
      </x:c>
      <x:c r="D17" t="str">
        <x:v>JOSE MARCELO GOMES DE QUEIROZ</x:v>
      </x:c>
      <x:c r="E17" t="str">
        <x:v>MULTA RESCISÓRIA</x:v>
      </x:c>
      <x:c r="F17" s="4" t="n">
        <x:v>46024</x:v>
      </x:c>
      <x:c r="G17" t="str">
        <x:v>MOSAIC UBERABA CONTRAT0 3 ANOS</x:v>
      </x:c>
      <x:c r="H17" t="str">
        <x:v>12.4 - MULTA RESCISORIAS FGTS</x:v>
      </x:c>
      <x:c r="I17" s="5" t="n">
        <x:v>1031.2</x:v>
      </x:c>
    </x:row>
    <x:row r="18">
      <x:c r="A18" t="str">
        <x:v>REDE MAQUINAS COMERCIO E SERVIÇOS DE MAQUINAS</x:v>
      </x:c>
      <x:c r="B18" t="str">
        <x:v>33172</x:v>
      </x:c>
      <x:c r="C18" t="str">
        <x:v>015105</x:v>
      </x:c>
      <x:c r="D18" t="str">
        <x:v>LOCAÇÃO CONTAINER REF. 29/12 A 27/01</x:v>
      </x:c>
      <x:c r="E18" t="str">
        <x:v>VENCIMENTO ORIGINAL DO BOLETO 01/02/26</x:v>
      </x:c>
      <x:c r="F18" s="4" t="n">
        <x:v>46024</x:v>
      </x:c>
      <x:c r="G18" t="str">
        <x:v>SERENA 10 TORRES 2025</x:v>
      </x:c>
      <x:c r="H18" t="str">
        <x:v>7.6 - LOCAÇÃO CONTAINER</x:v>
      </x:c>
      <x:c r="I18" s="5" t="n">
        <x:v>639.37</x:v>
      </x:c>
    </x:row>
    <x:row r="19">
      <x:c r="A19" t="str">
        <x:v>REDE DE POSTOS 2000 III DE COMBUSTIVEIS LTDA - UBERABA</x:v>
      </x:c>
      <x:c r="B19" t="str">
        <x:v>6000</x:v>
      </x:c>
      <x:c r="C19" t="str">
        <x:v>015106</x:v>
      </x:c>
      <x:c r="D19" t="str">
        <x:v>COMBUSTÍVEL EQUIPAMENTOS</x:v>
      </x:c>
      <x:c r="E19" t="str">
        <x:v>VENCIMENTO ORIGINAL DO BOLETO 15/01/26</x:v>
      </x:c>
      <x:c r="F19" s="4" t="n">
        <x:v>46024</x:v>
      </x:c>
      <x:c r="G19" t="str">
        <x:v>MOSAIC UBERABA CONTRAT0 3 ANOS</x:v>
      </x:c>
      <x:c r="H19" t="str">
        <x:v>6.4 - COMBUSTIVEL VEICULOS</x:v>
      </x:c>
      <x:c r="I19" s="5" t="n">
        <x:v>1302.94</x:v>
      </x:c>
    </x:row>
    <x:row r="20">
      <x:c r="A20" t="str">
        <x:v>CAIXA CARTÕES PRÉ-PAGOS S.A</x:v>
      </x:c>
      <x:c r="B20"/>
      <x:c r="C20" t="str">
        <x:v>015108</x:v>
      </x:c>
      <x:c r="D20" t="str">
        <x:v>TAG CAIXA REF. MÊS 12/2025</x:v>
      </x:c>
      <x:c r="E20"/>
      <x:c r="F20" s="4" t="n">
        <x:v>46024</x:v>
      </x:c>
      <x:c r="G20" t="str">
        <x:v>VEICULOS</x:v>
      </x:c>
      <x:c r="H20" t="str">
        <x:v>6.6 - PEDAGIOS</x:v>
      </x:c>
      <x:c r="I20" s="5" t="n">
        <x:v>282.34</x:v>
      </x:c>
    </x:row>
    <x:row r="21">
      <x:c r="A21" t="str">
        <x:v>TECSUPORT RADIOCOM E TELECOM LTDA</x:v>
      </x:c>
      <x:c r="B21" t="str">
        <x:v>2975</x:v>
      </x:c>
      <x:c r="C21" t="str">
        <x:v>015110</x:v>
      </x:c>
      <x:c r="D21" t="str">
        <x:v>LOCAÇÃO DE RÁDIO PORTÁTIL</x:v>
      </x:c>
      <x:c r="E21"/>
      <x:c r="F21" s="4" t="n">
        <x:v>46024</x:v>
      </x:c>
      <x:c r="G21" t="str">
        <x:v>MOSAIC UBERABA CONTRAT0 3 ANOS</x:v>
      </x:c>
      <x:c r="H21" t="str">
        <x:v>7.10 - LOCAÇAO RADIOS DE COMUNICAÇÃO</x:v>
      </x:c>
      <x:c r="I21" s="5" t="n">
        <x:v>1470</x:v>
      </x:c>
    </x:row>
    <x:row r="22">
      <x:c r="A22" t="str">
        <x:v>62.032.683 MAIARA DE ANDRADE SILVA</x:v>
      </x:c>
      <x:c r="B22" t="str">
        <x:v>12</x:v>
      </x:c>
      <x:c r="C22" t="str">
        <x:v>015158</x:v>
      </x:c>
      <x:c r="D22" t="str">
        <x:v>MAIARA DE ANDRADE - PIX mayaraandradesilva41@gmail.com</x:v>
      </x:c>
      <x:c r="E22" t="str">
        <x:v>REFEICAO FUNCIONARIOS 16/12 A 31/12</x:v>
      </x:c>
      <x:c r="F22" s="4" t="n">
        <x:v>46024</x:v>
      </x:c>
      <x:c r="G22" t="str">
        <x:v>EUROCHEM SERRA DO SALITRE</x:v>
      </x:c>
      <x:c r="H22" t="str">
        <x:v>12.5 - REFEIÇÕES FUNCIONARIOS</x:v>
      </x:c>
      <x:c r="I22" s="5" t="n">
        <x:v>3025</x:v>
      </x:c>
    </x:row>
    <x:row r="23">
      <x:c r="A23" t="str">
        <x:v>CASARAO MATERIAIS E CONSTRUCOES LTDA</x:v>
      </x:c>
      <x:c r="B23" t="str">
        <x:v>1149</x:v>
      </x:c>
      <x:c r="C23" t="str">
        <x:v>015164</x:v>
      </x:c>
      <x:c r="D23" t="str">
        <x:v>TINTAS E SOLVENTES</x:v>
      </x:c>
      <x:c r="E23" t="str">
        <x:v>VENCIMENTO ORIGINAL DO BOLETO 17/01/26</x:v>
      </x:c>
      <x:c r="F23" s="4" t="n">
        <x:v>46024</x:v>
      </x:c>
      <x:c r="G23" t="str">
        <x:v>ANGLO AMERICAN</x:v>
      </x:c>
      <x:c r="H23" t="str">
        <x:v>4.1 - TINTAS E SOLVENTES</x:v>
      </x:c>
      <x:c r="I23" s="5" t="n">
        <x:v>339.6</x:v>
      </x:c>
    </x:row>
    <x:row r="24">
      <x:c r="A24" t="str">
        <x:v>BANCO CAIXA</x:v>
      </x:c>
      <x:c r="B24"/>
      <x:c r="C24" t="str">
        <x:v>015984</x:v>
      </x:c>
      <x:c r="D24" t="str">
        <x:v>DEB IOF / DEB JUROS</x:v>
      </x:c>
      <x:c r="E24" t="str">
        <x:v>Documento gerado a partir do Mov. 017519</x:v>
      </x:c>
      <x:c r="F24" s="4" t="n">
        <x:v>46024</x:v>
      </x:c>
      <x:c r="G24" t="str">
        <x:v>ADMINISTRATIVO</x:v>
      </x:c>
      <x:c r="H24" t="str">
        <x:v>18.1 - JUROS BANCARIOS</x:v>
      </x:c>
      <x:c r="I24" s="5" t="n">
        <x:v>271.84</x:v>
      </x:c>
    </x:row>
    <x:row r="25">
      <x:c r="A25" t="str">
        <x:v>BANCO MERCANTIL</x:v>
      </x:c>
      <x:c r="B25"/>
      <x:c r="C25" t="str">
        <x:v>015985</x:v>
      </x:c>
      <x:c r="D25" t="str">
        <x:v>TAR. PACOTE SERVICOS</x:v>
      </x:c>
      <x:c r="E25" t="str">
        <x:v>Documento gerado a partir do Mov. 017520</x:v>
      </x:c>
      <x:c r="F25" s="4" t="n">
        <x:v>46024</x:v>
      </x:c>
      <x:c r="G25" t="str">
        <x:v>ADMINISTRATIVO</x:v>
      </x:c>
      <x:c r="H25" t="str">
        <x:v>18.2 - TARIFAS BANCARIAS</x:v>
      </x:c>
      <x:c r="I25" s="5" t="n">
        <x:v>190</x:v>
      </x:c>
    </x:row>
    <x:row r="26">
      <x:c r="A26" t="str">
        <x:v>BANCO MERCANTIL</x:v>
      </x:c>
      <x:c r="B26"/>
      <x:c r="C26" t="str">
        <x:v>015986</x:v>
      </x:c>
      <x:c r="D26" t="str">
        <x:v>IOF-CHEQUE ESPECIAL</x:v>
      </x:c>
      <x:c r="E26" t="str">
        <x:v>Documento gerado a partir do Mov. 017521</x:v>
      </x:c>
      <x:c r="F26" s="4" t="n">
        <x:v>46024</x:v>
      </x:c>
      <x:c r="G26" t="str">
        <x:v>ADMINISTRATIVO</x:v>
      </x:c>
      <x:c r="H26" t="str">
        <x:v>18.1 - JUROS BANCARIOS</x:v>
      </x:c>
      <x:c r="I26" s="5" t="n">
        <x:v>917.12</x:v>
      </x:c>
    </x:row>
    <x:row r="27">
      <x:c r="A27" t="str">
        <x:v>ALUGUEIS OBRAS</x:v>
      </x:c>
      <x:c r="B27"/>
      <x:c r="C27" t="str">
        <x:v>014544</x:v>
      </x:c>
      <x:c r="D27" t="str">
        <x:v>R. JACY GUIMARAES 12 CS REF. 05.01 A 05.02.26</x:v>
      </x:c>
      <x:c r="E27" t="str">
        <x:v>LIRIA SEBASTIANA COTES MELO ROCHA</x:v>
      </x:c>
      <x:c r="F27" s="4" t="n">
        <x:v>46027</x:v>
      </x:c>
      <x:c r="G27" t="str">
        <x:v>EUROCHEM SERRA DO SALITRE</x:v>
      </x:c>
      <x:c r="H27" t="str">
        <x:v>5.3 - ALUGUEL ALOJAMENTO</x:v>
      </x:c>
      <x:c r="I27" s="5" t="n">
        <x:v>1600</x:v>
      </x:c>
    </x:row>
    <x:row r="28">
      <x:c r="A28" t="str">
        <x:v>ALUGUEIS OBRAS</x:v>
      </x:c>
      <x:c r="B28"/>
      <x:c r="C28" t="str">
        <x:v>014545</x:v>
      </x:c>
      <x:c r="D28" t="str">
        <x:v>R. ALFEU MARRA Nº 65 CASA 02</x:v>
      </x:c>
      <x:c r="E28" t="str">
        <x:v>rodrigodominguessilva@yahoo.com.br</x:v>
      </x:c>
      <x:c r="F28" s="4" t="n">
        <x:v>46027</x:v>
      </x:c>
      <x:c r="G28" t="str">
        <x:v>EUROCHEM SERRA DO SALITRE</x:v>
      </x:c>
      <x:c r="H28" t="str">
        <x:v>5.3 - ALUGUEL ALOJAMENTO</x:v>
      </x:c>
      <x:c r="I28" s="5" t="n">
        <x:v>4000</x:v>
      </x:c>
    </x:row>
    <x:row r="29">
      <x:c r="A29" t="str">
        <x:v>CEMIG DISTRIBUIÇÃO S.A</x:v>
      </x:c>
      <x:c r="B29"/>
      <x:c r="C29" t="str">
        <x:v>014989</x:v>
      </x:c>
      <x:c r="D29" t="str">
        <x:v>AV. CORONEL JOAQUIM DE OLIVEIRA PRATA, 516 REF. 12/25</x:v>
      </x:c>
      <x:c r="E29" t="str">
        <x:v>Nº INSTALAÇÃO 3001730420</x:v>
      </x:c>
      <x:c r="F29" s="4" t="n">
        <x:v>46027</x:v>
      </x:c>
      <x:c r="G29" t="str">
        <x:v>MOSAIC UBERABA CONTRAT0 3 ANOS</x:v>
      </x:c>
      <x:c r="H29" t="str">
        <x:v>5.5 - ENERGIA ALOJAMENTO</x:v>
      </x:c>
      <x:c r="I29" s="5" t="n">
        <x:v>478.91</x:v>
      </x:c>
    </x:row>
    <x:row r="30">
      <x:c r="A30" t="str">
        <x:v>RADAR WISP LTDA</x:v>
      </x:c>
      <x:c r="B30"/>
      <x:c r="C30" t="str">
        <x:v>014992</x:v>
      </x:c>
      <x:c r="D30" t="str">
        <x:v>INTERNET ADM</x:v>
      </x:c>
      <x:c r="E30" t="str">
        <x:v>VENCIMENTO ORIGINAL DO BOLETO 10/01/26</x:v>
      </x:c>
      <x:c r="F30" s="4" t="n">
        <x:v>46027</x:v>
      </x:c>
      <x:c r="G30" t="str">
        <x:v>ADMINISTRATIVO</x:v>
      </x:c>
      <x:c r="H30" t="str">
        <x:v>11.6 - INTERNET / TELEFONE ADM</x:v>
      </x:c>
      <x:c r="I30" s="5" t="n">
        <x:v>139.9</x:v>
      </x:c>
    </x:row>
    <x:row r="31">
      <x:c r="A31" t="str">
        <x:v>PRUDENTIAL DO BRASIL SEGURO DE VIDAS</x:v>
      </x:c>
      <x:c r="B31"/>
      <x:c r="C31" t="str">
        <x:v>014993</x:v>
      </x:c>
      <x:c r="D31" t="str">
        <x:v>SEGURO DE VIDA GENILDO</x:v>
      </x:c>
      <x:c r="E31"/>
      <x:c r="F31" s="4" t="n">
        <x:v>46027</x:v>
      </x:c>
      <x:c r="G31" t="str">
        <x:v>ADMINISTRATIVO</x:v>
      </x:c>
      <x:c r="H31" t="str">
        <x:v>12.12 - SEGUROS DE VIDA</x:v>
      </x:c>
      <x:c r="I31" s="5" t="n">
        <x:v>3287.31</x:v>
      </x:c>
    </x:row>
    <x:row r="32">
      <x:c r="A32" t="str">
        <x:v>PRUDENTIAL DO BRASIL SEGURO DE VIDAS</x:v>
      </x:c>
      <x:c r="B32"/>
      <x:c r="C32" t="str">
        <x:v>014994</x:v>
      </x:c>
      <x:c r="D32" t="str">
        <x:v>SEGURO DE VIDA GILVAN</x:v>
      </x:c>
      <x:c r="E32"/>
      <x:c r="F32" s="4" t="n">
        <x:v>46027</x:v>
      </x:c>
      <x:c r="G32" t="str">
        <x:v>ADMINISTRATIVO</x:v>
      </x:c>
      <x:c r="H32" t="str">
        <x:v>12.12 - SEGUROS DE VIDA</x:v>
      </x:c>
      <x:c r="I32" s="5" t="n">
        <x:v>2819.22</x:v>
      </x:c>
    </x:row>
    <x:row r="33">
      <x:c r="A33" t="str">
        <x:v>START INSTITUTO DE DESENVOLVIMENTO HUMANO E PROFISSIONAL LTDA</x:v>
      </x:c>
      <x:c r="B33"/>
      <x:c r="C33" t="str">
        <x:v>014996</x:v>
      </x:c>
      <x:c r="D33" t="str">
        <x:v>START INSTITUTO DE DESENVOLVIM - PIX 20.494.981/0001-88</x:v>
      </x:c>
      <x:c r="E33" t="str">
        <x:v>ESTAGIO GABRIELLA MACHADO OLIVEIRA</x:v>
      </x:c>
      <x:c r="F33" s="4" t="n">
        <x:v>46027</x:v>
      </x:c>
      <x:c r="G33" t="str">
        <x:v>ADMINISTRATIVO</x:v>
      </x:c>
      <x:c r="H33" t="str">
        <x:v>14.2 - CURSOS / TREINAMENTOS</x:v>
      </x:c>
      <x:c r="I33" s="5" t="n">
        <x:v>62.07</x:v>
      </x:c>
    </x:row>
    <x:row r="34">
      <x:c r="A34" t="str">
        <x:v>LOCADORA LOCBEM MAQUINAS E EQUIPAMENTOS LTDA</x:v>
      </x:c>
      <x:c r="B34"/>
      <x:c r="C34" t="str">
        <x:v>015018</x:v>
      </x:c>
      <x:c r="D34" t="str">
        <x:v>LOCAÇÃO COMPRESSOR 15/11 A 29/12/25</x:v>
      </x:c>
      <x:c r="E34"/>
      <x:c r="F34" s="4" t="n">
        <x:v>46027</x:v>
      </x:c>
      <x:c r="G34" t="str">
        <x:v>MOSAIC UBERABA CONTRAT0 3 ANOS</x:v>
      </x:c>
      <x:c r="H34" t="str">
        <x:v>7.2 - LOCAÇÃO COMPRESSORES</x:v>
      </x:c>
      <x:c r="I34" s="5" t="n">
        <x:v>5313.281623</x:v>
      </x:c>
    </x:row>
    <x:row r="35">
      <x:c r="A35" t="str">
        <x:v>LOCADORA LOCBEM MAQUINAS E EQUIPAMENTOS LTDA</x:v>
      </x:c>
      <x:c r="B35"/>
      <x:c r="C35" t="str">
        <x:v>015018</x:v>
      </x:c>
      <x:c r="D35" t="str">
        <x:v>LOCAÇÃO COMPRESSOR 15/11 A 29/12/25</x:v>
      </x:c>
      <x:c r="E35"/>
      <x:c r="F35" s="4" t="n">
        <x:v>46027</x:v>
      </x:c>
      <x:c r="G35" t="str">
        <x:v>ANGLO AMERICAN</x:v>
      </x:c>
      <x:c r="H35" t="str">
        <x:v>7.2 - LOCAÇÃO COMPRESSORES</x:v>
      </x:c>
      <x:c r="I35" s="5" t="n">
        <x:v>2898.153613</x:v>
      </x:c>
    </x:row>
    <x:row r="36">
      <x:c r="A36" t="str">
        <x:v>LOCADORA LOCBEM MAQUINAS E EQUIPAMENTOS LTDA</x:v>
      </x:c>
      <x:c r="B36"/>
      <x:c r="C36" t="str">
        <x:v>015018</x:v>
      </x:c>
      <x:c r="D36" t="str">
        <x:v>LOCAÇÃO COMPRESSOR 15/11 A 29/12/25</x:v>
      </x:c>
      <x:c r="E36"/>
      <x:c r="F36" s="4" t="n">
        <x:v>46027</x:v>
      </x:c>
      <x:c r="G36" t="str">
        <x:v>EUROCHEM SERRA DO SALITRE</x:v>
      </x:c>
      <x:c r="H36" t="str">
        <x:v>7.2 - LOCAÇÃO COMPRESSORES</x:v>
      </x:c>
      <x:c r="I36" s="5" t="n">
        <x:v>2898.153613</x:v>
      </x:c>
    </x:row>
    <x:row r="37">
      <x:c r="A37" t="str">
        <x:v>LOCADORA LOCBEM MAQUINAS E EQUIPAMENTOS LTDA</x:v>
      </x:c>
      <x:c r="B37"/>
      <x:c r="C37" t="str">
        <x:v>015018</x:v>
      </x:c>
      <x:c r="D37" t="str">
        <x:v>LOCAÇÃO COMPRESSOR 15/11 A 29/12/25</x:v>
      </x:c>
      <x:c r="E37"/>
      <x:c r="F37" s="4" t="n">
        <x:v>46027</x:v>
      </x:c>
      <x:c r="G37" t="str">
        <x:v>CONDUTOS UG 1 - ELETROBRAS</x:v>
      </x:c>
      <x:c r="H37" t="str">
        <x:v>7.2 - LOCAÇÃO COMPRESSORES</x:v>
      </x:c>
      <x:c r="I37" s="5" t="n">
        <x:v>2640.411151</x:v>
      </x:c>
    </x:row>
    <x:row r="38">
      <x:c r="A38" t="str">
        <x:v>LOCADORA LOCBEM MAQUINAS E EQUIPAMENTOS LTDA</x:v>
      </x:c>
      <x:c r="B38"/>
      <x:c r="C38" t="str">
        <x:v>015018</x:v>
      </x:c>
      <x:c r="D38" t="str">
        <x:v>LOCAÇÃO COMPRESSOR 15/11 A 29/12/25</x:v>
      </x:c>
      <x:c r="E38"/>
      <x:c r="F38" s="4" t="n">
        <x:v>46027</x:v>
      </x:c>
      <x:c r="G38" t="str">
        <x:v>MOSAIC UBERABA CONTRAT0 3 ANOS</x:v>
      </x:c>
      <x:c r="H38" t="str">
        <x:v>7.2 - LOCAÇÃO COMPRESSORES</x:v>
      </x:c>
      <x:c r="I38" s="5" t="n">
        <x:v>8436.718377</x:v>
      </x:c>
    </x:row>
    <x:row r="39">
      <x:c r="A39" t="str">
        <x:v>LOCADORA LOCBEM MAQUINAS E EQUIPAMENTOS LTDA</x:v>
      </x:c>
      <x:c r="B39"/>
      <x:c r="C39" t="str">
        <x:v>015018</x:v>
      </x:c>
      <x:c r="D39" t="str">
        <x:v>LOCAÇÃO COMPRESSOR 15/11 A 29/12/25</x:v>
      </x:c>
      <x:c r="E39"/>
      <x:c r="F39" s="4" t="n">
        <x:v>46027</x:v>
      </x:c>
      <x:c r="G39" t="str">
        <x:v>ANGLO AMERICAN</x:v>
      </x:c>
      <x:c r="H39" t="str">
        <x:v>7.2 - LOCAÇÃO COMPRESSORES</x:v>
      </x:c>
      <x:c r="I39" s="5" t="n">
        <x:v>4601.846387</x:v>
      </x:c>
    </x:row>
    <x:row r="40">
      <x:c r="A40" t="str">
        <x:v>LOCADORA LOCBEM MAQUINAS E EQUIPAMENTOS LTDA</x:v>
      </x:c>
      <x:c r="B40"/>
      <x:c r="C40" t="str">
        <x:v>015018</x:v>
      </x:c>
      <x:c r="D40" t="str">
        <x:v>LOCAÇÃO COMPRESSOR 15/11 A 29/12/25</x:v>
      </x:c>
      <x:c r="E40"/>
      <x:c r="F40" s="4" t="n">
        <x:v>46027</x:v>
      </x:c>
      <x:c r="G40" t="str">
        <x:v>EUROCHEM SERRA DO SALITRE</x:v>
      </x:c>
      <x:c r="H40" t="str">
        <x:v>7.2 - LOCAÇÃO COMPRESSORES</x:v>
      </x:c>
      <x:c r="I40" s="5" t="n">
        <x:v>4601.846387</x:v>
      </x:c>
    </x:row>
    <x:row r="41">
      <x:c r="A41" t="str">
        <x:v>LOCADORA LOCBEM MAQUINAS E EQUIPAMENTOS LTDA</x:v>
      </x:c>
      <x:c r="B41"/>
      <x:c r="C41" t="str">
        <x:v>015018</x:v>
      </x:c>
      <x:c r="D41" t="str">
        <x:v>LOCAÇÃO COMPRESSOR 15/11 A 29/12/25</x:v>
      </x:c>
      <x:c r="E41"/>
      <x:c r="F41" s="4" t="n">
        <x:v>46027</x:v>
      </x:c>
      <x:c r="G41" t="str">
        <x:v>CONDUTOS UG 1 - ELETROBRAS</x:v>
      </x:c>
      <x:c r="H41" t="str">
        <x:v>7.2 - LOCAÇÃO COMPRESSORES</x:v>
      </x:c>
      <x:c r="I41" s="5" t="n">
        <x:v>4192.588849</x:v>
      </x:c>
    </x:row>
    <x:row r="42">
      <x:c r="A42" t="str">
        <x:v>AUTO POSTO SAO MARCOS LTDA</x:v>
      </x:c>
      <x:c r="B42" t="str">
        <x:v>28846</x:v>
      </x:c>
      <x:c r="C42" t="str">
        <x:v>015020</x:v>
      </x:c>
      <x:c r="D42" t="str">
        <x:v>COMBUSTÍVEL VEÍCULOS</x:v>
      </x:c>
      <x:c r="E42" t="str">
        <x:v>REEMBOLSO EDUARDO</x:v>
      </x:c>
      <x:c r="F42" s="4" t="n">
        <x:v>46027</x:v>
      </x:c>
      <x:c r="G42" t="str">
        <x:v>ADMINISTRATIVO</x:v>
      </x:c>
      <x:c r="H42" t="str">
        <x:v>6.4 - COMBUSTIVEL VEICULOS</x:v>
      </x:c>
      <x:c r="I42" s="5" t="n">
        <x:v>402.35</x:v>
      </x:c>
    </x:row>
    <x:row r="43">
      <x:c r="A43" t="str">
        <x:v>REFEIÇÃO OBRAS</x:v>
      </x:c>
      <x:c r="B43"/>
      <x:c r="C43" t="str">
        <x:v>015036</x:v>
      </x:c>
      <x:c r="D43" t="str">
        <x:v>REFEIÇÕES COLABORADORES REF. 05/01 A 15/01</x:v>
      </x:c>
      <x:c r="E43"/>
      <x:c r="F43" s="4" t="n">
        <x:v>46027</x:v>
      </x:c>
      <x:c r="G43" t="str">
        <x:v>ANGLO AMERICAN</x:v>
      </x:c>
      <x:c r="H43" t="str">
        <x:v>12.5 - REFEIÇÕES FUNCIONARIOS</x:v>
      </x:c>
      <x:c r="I43" s="5" t="n">
        <x:v>1040</x:v>
      </x:c>
    </x:row>
    <x:row r="44">
      <x:c r="A44" t="str">
        <x:v>REFEIÇÃO OBRAS</x:v>
      </x:c>
      <x:c r="B44"/>
      <x:c r="C44" t="str">
        <x:v>015037</x:v>
      </x:c>
      <x:c r="D44" t="str">
        <x:v>REFEIÇÕES COLABORADORES REF. 05/01 A 15/01</x:v>
      </x:c>
      <x:c r="E44"/>
      <x:c r="F44" s="4" t="n">
        <x:v>46027</x:v>
      </x:c>
      <x:c r="G44" t="str">
        <x:v>SERENA 10 TORRES 2025</x:v>
      </x:c>
      <x:c r="H44" t="str">
        <x:v>12.5 - REFEIÇÕES FUNCIONARIOS</x:v>
      </x:c>
      <x:c r="I44" s="5" t="n">
        <x:v>1790</x:v>
      </x:c>
    </x:row>
    <x:row r="45">
      <x:c r="A45" t="str">
        <x:v>REFEIÇÃO OBRAS</x:v>
      </x:c>
      <x:c r="B45"/>
      <x:c r="C45" t="str">
        <x:v>015038</x:v>
      </x:c>
      <x:c r="D45" t="str">
        <x:v>REFEIÇÕES COLABORADORES REF. 05/01 A 15/01</x:v>
      </x:c>
      <x:c r="E45"/>
      <x:c r="F45" s="4" t="n">
        <x:v>46027</x:v>
      </x:c>
      <x:c r="G45" t="str">
        <x:v>EUROCHEM SERRA DO SALITRE</x:v>
      </x:c>
      <x:c r="H45" t="str">
        <x:v>12.5 - REFEIÇÕES FUNCIONARIOS</x:v>
      </x:c>
      <x:c r="I45" s="5" t="n">
        <x:v>2275</x:v>
      </x:c>
    </x:row>
    <x:row r="46">
      <x:c r="A46" t="str">
        <x:v>REFEIÇÃO OBRAS</x:v>
      </x:c>
      <x:c r="B46"/>
      <x:c r="C46" t="str">
        <x:v>015039</x:v>
      </x:c>
      <x:c r="D46" t="str">
        <x:v>REFEIÇÕES COLABORADORES REF. 05/01 A 15/01</x:v>
      </x:c>
      <x:c r="E46"/>
      <x:c r="F46" s="4" t="n">
        <x:v>46027</x:v>
      </x:c>
      <x:c r="G46" t="str">
        <x:v>NIOBIO CMOC CONTRATO</x:v>
      </x:c>
      <x:c r="H46" t="str">
        <x:v>12.5 - REFEIÇÕES FUNCIONARIOS</x:v>
      </x:c>
      <x:c r="I46" s="5" t="n">
        <x:v>2657.5</x:v>
      </x:c>
    </x:row>
    <x:row r="47">
      <x:c r="A47" t="str">
        <x:v>REFEIÇÃO OBRAS</x:v>
      </x:c>
      <x:c r="B47"/>
      <x:c r="C47" t="str">
        <x:v>015040</x:v>
      </x:c>
      <x:c r="D47" t="str">
        <x:v>REFEIÇÕES COLABORADORES REF. 05/01 A 15/01</x:v>
      </x:c>
      <x:c r="E47"/>
      <x:c r="F47" s="4" t="n">
        <x:v>46027</x:v>
      </x:c>
      <x:c r="G47" t="str">
        <x:v>FOSFATO CMOC CONTRAT</x:v>
      </x:c>
      <x:c r="H47" t="str">
        <x:v>12.5 - REFEIÇÕES FUNCIONARIOS</x:v>
      </x:c>
      <x:c r="I47" s="5" t="n">
        <x:v>2540</x:v>
      </x:c>
    </x:row>
    <x:row r="48">
      <x:c r="A48" t="str">
        <x:v>ENCOMENDA DE CATALAO</x:v>
      </x:c>
      <x:c r="B48"/>
      <x:c r="C48" t="str">
        <x:v>015043</x:v>
      </x:c>
      <x:c r="D48" t="str">
        <x:v>GABRIELLE ELIAS DE FREITAS - PIX (64) 9 9259-1215</x:v>
      </x:c>
      <x:c r="E48"/>
      <x:c r="F48" s="4" t="n">
        <x:v>46027</x:v>
      </x:c>
      <x:c r="G48" t="str">
        <x:v>FOSFATO CMOC CONTRAT</x:v>
      </x:c>
      <x:c r="H48" t="str">
        <x:v>10.1 - FRETE MATERIAIS E EQUIPAMENTOS</x:v>
      </x:c>
      <x:c r="I48" s="5" t="n">
        <x:v>125</x:v>
      </x:c>
    </x:row>
    <x:row r="49">
      <x:c r="A49" t="str">
        <x:v>ENCOMENDA DE CATALAO</x:v>
      </x:c>
      <x:c r="B49"/>
      <x:c r="C49" t="str">
        <x:v>015043</x:v>
      </x:c>
      <x:c r="D49" t="str">
        <x:v>GABRIELLE ELIAS DE FREITAS - PIX (64) 9 9259-1215</x:v>
      </x:c>
      <x:c r="E49"/>
      <x:c r="F49" s="4" t="n">
        <x:v>46027</x:v>
      </x:c>
      <x:c r="G49" t="str">
        <x:v>NIOBIO CMOC CONTRATO</x:v>
      </x:c>
      <x:c r="H49" t="str">
        <x:v>10.1 - FRETE MATERIAIS E EQUIPAMENTOS</x:v>
      </x:c>
      <x:c r="I49" s="5" t="n">
        <x:v>125</x:v>
      </x:c>
    </x:row>
    <x:row r="50">
      <x:c r="A50" t="str">
        <x:v>RESTAURANTE IMPERIO DO ESPETO LTDA</x:v>
      </x:c>
      <x:c r="B50"/>
      <x:c r="C50" t="str">
        <x:v>015044</x:v>
      </x:c>
      <x:c r="D50" t="str">
        <x:v>ALIMENTAÇÃO ADM</x:v>
      </x:c>
      <x:c r="E50" t="str">
        <x:v>PAGAMENTO FEITO EM DÉBITO</x:v>
      </x:c>
      <x:c r="F50" s="4" t="n">
        <x:v>46027</x:v>
      </x:c>
      <x:c r="G50" t="str">
        <x:v>ADMINISTRATIVO</x:v>
      </x:c>
      <x:c r="H50" t="str">
        <x:v>11.5 - ALIMENTAÇÃO ADM</x:v>
      </x:c>
      <x:c r="I50" s="5" t="n">
        <x:v>76</x:v>
      </x:c>
    </x:row>
    <x:row r="51">
      <x:c r="A51" t="str">
        <x:v>RESTAURANTE IMPERIO DO ESPETO LTDA</x:v>
      </x:c>
      <x:c r="B51"/>
      <x:c r="C51" t="str">
        <x:v>015045</x:v>
      </x:c>
      <x:c r="D51" t="str">
        <x:v>ALIMENTAÇÃO ADM</x:v>
      </x:c>
      <x:c r="E51" t="str">
        <x:v>PAGAMENTO FEITO EM DÉBITO</x:v>
      </x:c>
      <x:c r="F51" s="4" t="n">
        <x:v>46027</x:v>
      </x:c>
      <x:c r="G51" t="str">
        <x:v>ADMINISTRATIVO</x:v>
      </x:c>
      <x:c r="H51" t="str">
        <x:v>11.5 - ALIMENTAÇÃO ADM</x:v>
      </x:c>
      <x:c r="I51" s="5" t="n">
        <x:v>19</x:v>
      </x:c>
    </x:row>
    <x:row r="52">
      <x:c r="A52" t="str">
        <x:v>BANCO ITAU</x:v>
      </x:c>
      <x:c r="B52"/>
      <x:c r="C52" t="str">
        <x:v>015046</x:v>
      </x:c>
      <x:c r="D52" t="str">
        <x:v>TAR CONTR/ RENOV CTA GAR / TAR CONTA CERTA 12/25 / TAR PIX PGTO TRANSF</x:v>
      </x:c>
      <x:c r="E52" t="str">
        <x:v>Documento gerado a partir do Mov. 016749</x:v>
      </x:c>
      <x:c r="F52" s="4" t="n">
        <x:v>46027</x:v>
      </x:c>
      <x:c r="G52" t="str">
        <x:v>ADMINISTRATIVO</x:v>
      </x:c>
      <x:c r="H52" t="str">
        <x:v>18.2 - TARIFAS BANCARIAS</x:v>
      </x:c>
      <x:c r="I52" s="5" t="n">
        <x:v>656.8</x:v>
      </x:c>
    </x:row>
    <x:row r="53">
      <x:c r="A53" t="str">
        <x:v>BANCO ITAU</x:v>
      </x:c>
      <x:c r="B53"/>
      <x:c r="C53" t="str">
        <x:v>015047</x:v>
      </x:c>
      <x:c r="D53" t="str">
        <x:v>IOF</x:v>
      </x:c>
      <x:c r="E53" t="str">
        <x:v>Documento gerado a partir do Mov. 016750</x:v>
      </x:c>
      <x:c r="F53" s="4" t="n">
        <x:v>46027</x:v>
      </x:c>
      <x:c r="G53" t="str">
        <x:v>ADMINISTRATIVO</x:v>
      </x:c>
      <x:c r="H53" t="str">
        <x:v>18.1 - JUROS BANCARIOS</x:v>
      </x:c>
      <x:c r="I53" s="5" t="n">
        <x:v>43.36</x:v>
      </x:c>
    </x:row>
    <x:row r="54">
      <x:c r="A54" t="str">
        <x:v>BONIFICAÇOES</x:v>
      </x:c>
      <x:c r="B54"/>
      <x:c r="C54" t="str">
        <x:v>015053</x:v>
      </x:c>
      <x:c r="D54" t="str">
        <x:v>BONIFICAÇÃO NIOBIO - NF 29 V</x:v>
      </x:c>
      <x:c r="E54"/>
      <x:c r="F54" s="4" t="n">
        <x:v>46027</x:v>
      </x:c>
      <x:c r="G54" t="str">
        <x:v>NIOBIO CMOC CONTRATO</x:v>
      </x:c>
      <x:c r="H54" t="str">
        <x:v>12.17 - BONIFICAÇOES</x:v>
      </x:c>
      <x:c r="I54" s="5" t="n">
        <x:v>6000</x:v>
      </x:c>
    </x:row>
    <x:row r="55">
      <x:c r="A55" t="str">
        <x:v>BONIFICAÇOES</x:v>
      </x:c>
      <x:c r="B55"/>
      <x:c r="C55" t="str">
        <x:v>015054</x:v>
      </x:c>
      <x:c r="D55" t="str">
        <x:v>BONIFICAÇÃO NIOBIO - NF 29 R</x:v>
      </x:c>
      <x:c r="E55"/>
      <x:c r="F55" s="4" t="n">
        <x:v>46027</x:v>
      </x:c>
      <x:c r="G55" t="str">
        <x:v>NIOBIO CMOC CONTRATO</x:v>
      </x:c>
      <x:c r="H55" t="str">
        <x:v>12.17 - BONIFICAÇOES</x:v>
      </x:c>
      <x:c r="I55" s="5" t="n">
        <x:v>6000</x:v>
      </x:c>
    </x:row>
    <x:row r="56">
      <x:c r="A56" t="str">
        <x:v>BONIFICAÇOES</x:v>
      </x:c>
      <x:c r="B56"/>
      <x:c r="C56" t="str">
        <x:v>015055</x:v>
      </x:c>
      <x:c r="D56" t="str">
        <x:v>BONIFICAÇÃO NIOBIO - NF 30 R</x:v>
      </x:c>
      <x:c r="E56"/>
      <x:c r="F56" s="4" t="n">
        <x:v>46027</x:v>
      </x:c>
      <x:c r="G56" t="str">
        <x:v>NIOBIO CMOC CONTRATO</x:v>
      </x:c>
      <x:c r="H56" t="str">
        <x:v>12.17 - BONIFICAÇOES</x:v>
      </x:c>
      <x:c r="I56" s="5" t="n">
        <x:v>20000</x:v>
      </x:c>
    </x:row>
    <x:row r="57">
      <x:c r="A57" t="str">
        <x:v>RICARDO RODRIGUES - COMERCIAL</x:v>
      </x:c>
      <x:c r="B57"/>
      <x:c r="C57" t="str">
        <x:v>015056</x:v>
      </x:c>
      <x:c r="D57" t="str">
        <x:v>VISITA TECNICA RICARDO OBRA AGREX</x:v>
      </x:c>
      <x:c r="E57"/>
      <x:c r="F57" s="4" t="n">
        <x:v>46027</x:v>
      </x:c>
      <x:c r="G57" t="str">
        <x:v>AGREX IMPERMEALIZAÇAO DE TELHADO</x:v>
      </x:c>
      <x:c r="H57" t="str">
        <x:v>6.4 - COMBUSTIVEL VEICULOS</x:v>
      </x:c>
      <x:c r="I57" s="5" t="n">
        <x:v>300</x:v>
      </x:c>
    </x:row>
    <x:row r="58">
      <x:c r="A58" t="str">
        <x:v>DESPESAS DE VIAGEM</x:v>
      </x:c>
      <x:c r="B58"/>
      <x:c r="C58" t="str">
        <x:v>015057</x:v>
      </x:c>
      <x:c r="D58" t="str">
        <x:v>REFEIÇÃO FUNCIONÁRIOS EVERTOM E RENAN</x:v>
      </x:c>
      <x:c r="E58"/>
      <x:c r="F58" s="4" t="n">
        <x:v>46027</x:v>
      </x:c>
      <x:c r="G58" t="str">
        <x:v>ANGLO AMERICAN</x:v>
      </x:c>
      <x:c r="H58" t="str">
        <x:v>12.5 - REFEIÇÕES FUNCIONARIOS</x:v>
      </x:c>
      <x:c r="I58" s="5" t="n">
        <x:v>320</x:v>
      </x:c>
    </x:row>
    <x:row r="59">
      <x:c r="A59" t="str">
        <x:v>DESPESAS DE VIAGEM</x:v>
      </x:c>
      <x:c r="B59"/>
      <x:c r="C59" t="str">
        <x:v>015058</x:v>
      </x:c>
      <x:c r="D59" t="str">
        <x:v>PASSAGEM FUNCIONÁRIOS CLEBER / JOSE NILTON E JOSE ROBERTO</x:v>
      </x:c>
      <x:c r="E59"/>
      <x:c r="F59" s="4" t="n">
        <x:v>46027</x:v>
      </x:c>
      <x:c r="G59" t="str">
        <x:v>SERENA 10 TORRES 2025</x:v>
      </x:c>
      <x:c r="H59" t="str">
        <x:v>12.9 - PASSAGENS FUNCIONARIOS</x:v>
      </x:c>
      <x:c r="I59" s="5" t="n">
        <x:v>240</x:v>
      </x:c>
    </x:row>
    <x:row r="60">
      <x:c r="A60" t="str">
        <x:v>FERRAGISTA OBRAS</x:v>
      </x:c>
      <x:c r="B60"/>
      <x:c r="C60" t="str">
        <x:v>015059</x:v>
      </x:c>
      <x:c r="D60" t="str">
        <x:v>MATERIAIS DE CONSUMO</x:v>
      </x:c>
      <x:c r="E60" t="str">
        <x:v>PAGAMENTO FEITO EM DÉBITO</x:v>
      </x:c>
      <x:c r="F60" s="4" t="n">
        <x:v>46027</x:v>
      </x:c>
      <x:c r="G60" t="str">
        <x:v>ADMINISTRATIVO</x:v>
      </x:c>
      <x:c r="H60" t="str">
        <x:v>8.9 - MATERIAIS DE CONSUMO EM OBRAS</x:v>
      </x:c>
      <x:c r="I60" s="5" t="n">
        <x:v>93.53</x:v>
      </x:c>
    </x:row>
    <x:row r="61">
      <x:c r="A61" t="str">
        <x:v>DESPESAS DE VIAGEM</x:v>
      </x:c>
      <x:c r="B61"/>
      <x:c r="C61" t="str">
        <x:v>015069</x:v>
      </x:c>
      <x:c r="D61" t="str">
        <x:v>DESPESA REF. 05/01 A 09/01</x:v>
      </x:c>
      <x:c r="E61"/>
      <x:c r="F61" s="4" t="n">
        <x:v>46027</x:v>
      </x:c>
      <x:c r="G61" t="str">
        <x:v>SERENA 10 TORRES 2025</x:v>
      </x:c>
      <x:c r="H61" t="str">
        <x:v>12.5 - REFEIÇÕES FUNCIONARIOS</x:v>
      </x:c>
      <x:c r="I61" s="5" t="n">
        <x:v>800</x:v>
      </x:c>
    </x:row>
    <x:row r="62">
      <x:c r="A62" t="str">
        <x:v>DESPESAS DE VIAGEM</x:v>
      </x:c>
      <x:c r="B62"/>
      <x:c r="C62" t="str">
        <x:v>015069</x:v>
      </x:c>
      <x:c r="D62" t="str">
        <x:v>DESPESA REF. 05/01 A 09/01</x:v>
      </x:c>
      <x:c r="E62"/>
      <x:c r="F62" s="4" t="n">
        <x:v>46027</x:v>
      </x:c>
      <x:c r="G62" t="str">
        <x:v>SERENA 10 TORRES 2025</x:v>
      </x:c>
      <x:c r="H62" t="str">
        <x:v>12.9 - PASSAGENS FUNCIONARIOS</x:v>
      </x:c>
      <x:c r="I62" s="5" t="n">
        <x:v>1232</x:v>
      </x:c>
    </x:row>
    <x:row r="63">
      <x:c r="A63" t="str">
        <x:v>POSTO A+ COMERCIO DE COMBUSTIVEL LTDA</x:v>
      </x:c>
      <x:c r="B63" t="str">
        <x:v>20278</x:v>
      </x:c>
      <x:c r="C63" t="str">
        <x:v>015093</x:v>
      </x:c>
      <x:c r="D63" t="str">
        <x:v>COMBUSTÍVEL VEÍCULOS</x:v>
      </x:c>
      <x:c r="E63"/>
      <x:c r="F63" s="4" t="n">
        <x:v>46027</x:v>
      </x:c>
      <x:c r="G63" t="str">
        <x:v>VLI PINTURA</x:v>
      </x:c>
      <x:c r="H63" t="str">
        <x:v>6.4 - COMBUSTIVEL VEICULOS</x:v>
      </x:c>
      <x:c r="I63" s="5" t="n">
        <x:v>865.29</x:v>
      </x:c>
    </x:row>
    <x:row r="64">
      <x:c r="A64" t="str">
        <x:v>EXPLORERNET TECNOLOGIA E COMUNICACAO LTDA</x:v>
      </x:c>
      <x:c r="B64" t="str">
        <x:v>302</x:v>
      </x:c>
      <x:c r="C64" t="str">
        <x:v>015109</x:v>
      </x:c>
      <x:c r="D64" t="str">
        <x:v>INTERNET ADM</x:v>
      </x:c>
      <x:c r="E64" t="str">
        <x:v>VENCIMENTO ORIGINAL DO BOLETO 20/01/26</x:v>
      </x:c>
      <x:c r="F64" s="4" t="n">
        <x:v>46027</x:v>
      </x:c>
      <x:c r="G64" t="str">
        <x:v>ADMINISTRATIVO</x:v>
      </x:c>
      <x:c r="H64" t="str">
        <x:v>11.6 - INTERNET / TELEFONE ADM</x:v>
      </x:c>
      <x:c r="I64" s="5" t="n">
        <x:v>909.63</x:v>
      </x:c>
    </x:row>
    <x:row r="65">
      <x:c r="A65" t="str">
        <x:v>A &amp; F CONSULTORIA EMPRESARIAL LTDA</x:v>
      </x:c>
      <x:c r="B65" t="str">
        <x:v>11</x:v>
      </x:c>
      <x:c r="C65" t="str">
        <x:v>015122</x:v>
      </x:c>
      <x:c r="D65" t="str">
        <x:v>A F CONSULTORIA EMPRESARIAL LTDA - PIX 31.340.669/0001-56</x:v>
      </x:c>
      <x:c r="E65" t="str">
        <x:v>HONORÁRIO DE CONSTITUIÇÃO - HOLDINGS</x:v>
      </x:c>
      <x:c r="F65" s="4" t="n">
        <x:v>46027</x:v>
      </x:c>
      <x:c r="G65" t="str">
        <x:v>ADMINISTRATIVO</x:v>
      </x:c>
      <x:c r="H65" t="str">
        <x:v>11.10 - CONTABILIDADE</x:v>
      </x:c>
      <x:c r="I65" s="5" t="n">
        <x:v>2155.78</x:v>
      </x:c>
    </x:row>
    <x:row r="66">
      <x:c r="A66" t="str">
        <x:v>QUALI TINTAS</x:v>
      </x:c>
      <x:c r="B66" t="str">
        <x:v>19100</x:v>
      </x:c>
      <x:c r="C66" t="str">
        <x:v>015123</x:v>
      </x:c>
      <x:c r="D66" t="str">
        <x:v>MATERIAIS DE CONSUMO</x:v>
      </x:c>
      <x:c r="E66"/>
      <x:c r="F66" s="4" t="n">
        <x:v>46027</x:v>
      </x:c>
      <x:c r="G66" t="str">
        <x:v>EUROCHEM SERRA DO SALITRE</x:v>
      </x:c>
      <x:c r="H66" t="str">
        <x:v>8.9 - MATERIAIS DE CONSUMO EM OBRAS</x:v>
      </x:c>
      <x:c r="I66" s="5" t="n">
        <x:v>2703.33</x:v>
      </x:c>
    </x:row>
    <x:row r="67">
      <x:c r="A67" t="str">
        <x:v>QUALI TINTAS</x:v>
      </x:c>
      <x:c r="B67" t="str">
        <x:v>19100</x:v>
      </x:c>
      <x:c r="C67" t="str">
        <x:v>015123</x:v>
      </x:c>
      <x:c r="D67" t="str">
        <x:v>MATERIAIS DE CONSUMO</x:v>
      </x:c>
      <x:c r="E67"/>
      <x:c r="F67" s="4" t="n">
        <x:v>46027</x:v>
      </x:c>
      <x:c r="G67" t="str">
        <x:v>EUROCHEM SERRA DO SALITRE</x:v>
      </x:c>
      <x:c r="H67" t="str">
        <x:v>8.9 - MATERIAIS DE CONSUMO EM OBRAS</x:v>
      </x:c>
      <x:c r="I67" s="5" t="n">
        <x:v>2703.33</x:v>
      </x:c>
    </x:row>
    <x:row r="68">
      <x:c r="A68" t="str">
        <x:v>QUALI TINTAS</x:v>
      </x:c>
      <x:c r="B68" t="str">
        <x:v>19100</x:v>
      </x:c>
      <x:c r="C68" t="str">
        <x:v>015123</x:v>
      </x:c>
      <x:c r="D68" t="str">
        <x:v>MATERIAIS DE CONSUMO</x:v>
      </x:c>
      <x:c r="E68"/>
      <x:c r="F68" s="4" t="n">
        <x:v>46027</x:v>
      </x:c>
      <x:c r="G68" t="str">
        <x:v>EUROCHEM SERRA DO SALITRE</x:v>
      </x:c>
      <x:c r="H68" t="str">
        <x:v>8.9 - MATERIAIS DE CONSUMO EM OBRAS</x:v>
      </x:c>
      <x:c r="I68" s="5" t="n">
        <x:v>2703.34</x:v>
      </x:c>
    </x:row>
    <x:row r="69">
      <x:c r="A69" t="str">
        <x:v>CAB INDUSTRIAL LTDA</x:v>
      </x:c>
      <x:c r="B69" t="str">
        <x:v>79162</x:v>
      </x:c>
      <x:c r="C69" t="str">
        <x:v>015157</x:v>
      </x:c>
      <x:c r="D69" t="str">
        <x:v>EPIS</x:v>
      </x:c>
      <x:c r="E69"/>
      <x:c r="F69" s="4" t="n">
        <x:v>46027</x:v>
      </x:c>
      <x:c r="G69" t="str">
        <x:v>MOSAIC UBERABA CONTRAT0 3 ANOS</x:v>
      </x:c>
      <x:c r="H69" t="str">
        <x:v>13.1 - EPIS</x:v>
      </x:c>
      <x:c r="I69" s="5" t="n">
        <x:v>274.57</x:v>
      </x:c>
    </x:row>
    <x:row r="70">
      <x:c r="A70" t="str">
        <x:v>JC RESTAURANTE INDUSTRIAL NIQUELANDIA LTDA</x:v>
      </x:c>
      <x:c r="B70" t="str">
        <x:v>1810</x:v>
      </x:c>
      <x:c r="C70" t="str">
        <x:v>015869</x:v>
      </x:c>
      <x:c r="D70" t="str">
        <x:v>REFEIÇÕES FUNCIONÁRIOS</x:v>
      </x:c>
      <x:c r="E70"/>
      <x:c r="F70" s="4" t="n">
        <x:v>46027</x:v>
      </x:c>
      <x:c r="G70" t="str">
        <x:v>FOSFATO CMOC CONTRAT</x:v>
      </x:c>
      <x:c r="H70" t="str">
        <x:v>12.5 - REFEIÇÕES FUNCIONARIOS</x:v>
      </x:c>
      <x:c r="I70" s="5" t="n">
        <x:v>1722.3</x:v>
      </x:c>
    </x:row>
    <x:row r="71">
      <x:c r="A71" t="str">
        <x:v>BANCO MERCANTIL</x:v>
      </x:c>
      <x:c r="B71"/>
      <x:c r="C71" t="str">
        <x:v>015987</x:v>
      </x:c>
      <x:c r="D71" t="str">
        <x:v>TARIFA ABERT.CREDITO</x:v>
      </x:c>
      <x:c r="E71" t="str">
        <x:v>Documento gerado a partir do Mov. 017522</x:v>
      </x:c>
      <x:c r="F71" s="4" t="n">
        <x:v>46027</x:v>
      </x:c>
      <x:c r="G71" t="str">
        <x:v>ADMINISTRATIVO</x:v>
      </x:c>
      <x:c r="H71" t="str">
        <x:v>18.2 - TARIFAS BANCARIAS</x:v>
      </x:c>
      <x:c r="I71" s="5" t="n">
        <x:v>600</x:v>
      </x:c>
    </x:row>
    <x:row r="72">
      <x:c r="A72" t="str">
        <x:v>BANCO SAFRA</x:v>
      </x:c>
      <x:c r="B72"/>
      <x:c r="C72" t="str">
        <x:v>016001</x:v>
      </x:c>
      <x:c r="D72" t="str">
        <x:v>PACOTE PJ EMPRESA 3</x:v>
      </x:c>
      <x:c r="E72" t="str">
        <x:v>Documento gerado a partir do Mov. 017548</x:v>
      </x:c>
      <x:c r="F72" s="4" t="n">
        <x:v>46027</x:v>
      </x:c>
      <x:c r="G72" t="str">
        <x:v>ADMINISTRATIVO</x:v>
      </x:c>
      <x:c r="H72" t="str">
        <x:v>18.2 - TARIFAS BANCARIAS</x:v>
      </x:c>
      <x:c r="I72" s="5" t="n">
        <x:v>420</x:v>
      </x:c>
    </x:row>
    <x:row r="73">
      <x:c r="A73" t="str">
        <x:v>BANCO CAIXA</x:v>
      </x:c>
      <x:c r="B73"/>
      <x:c r="C73" t="str">
        <x:v>004304</x:v>
      </x:c>
      <x:c r="D73" t="str">
        <x:v>EMPRESTIMO BANCO CAIXA / PEGO PARA PAGAR MERCANTIL</x:v>
      </x:c>
      <x:c r="E73" t="str">
        <x:v>TAXA DE JUROS 1,8% A.M</x:v>
      </x:c>
      <x:c r="F73" s="4" t="n">
        <x:v>46028</x:v>
      </x:c>
      <x:c r="G73" t="str">
        <x:v>EMPRESTIMOS</x:v>
      </x:c>
      <x:c r="H73" t="str">
        <x:v>11.9 - PAGAMENTOS EMPRESTIMOS</x:v>
      </x:c>
      <x:c r="I73" s="5" t="n">
        <x:v>20274.2</x:v>
      </x:c>
    </x:row>
    <x:row r="74">
      <x:c r="A74" t="str">
        <x:v>FOLHA DE PAGAMENTO</x:v>
      </x:c>
      <x:c r="B74"/>
      <x:c r="C74" t="str">
        <x:v>015021</x:v>
      </x:c>
      <x:c r="D74" t="str">
        <x:v>MAURO ALFREDO DE FREITAS</x:v>
      </x:c>
      <x:c r="E74" t="str">
        <x:v>VALOR COMPLEMENTAR DO SALÁRIO</x:v>
      </x:c>
      <x:c r="F74" s="4" t="n">
        <x:v>46028</x:v>
      </x:c>
      <x:c r="G74" t="str">
        <x:v>FOSFATO CMOC CONTRAT</x:v>
      </x:c>
      <x:c r="H74" t="str">
        <x:v>12.1 - SALARIO</x:v>
      </x:c>
      <x:c r="I74" s="5" t="n">
        <x:v>214.12</x:v>
      </x:c>
    </x:row>
    <x:row r="75">
      <x:c r="A75" t="str">
        <x:v>WILLIAM ADM</x:v>
      </x:c>
      <x:c r="B75"/>
      <x:c r="C75" t="str">
        <x:v>015041</x:v>
      </x:c>
      <x:c r="D75" t="str">
        <x:v>PASSAGENS FUNCIONÁRIO WILLIAN</x:v>
      </x:c>
      <x:c r="E75" t="str">
        <x:v>REEMBOLSO WILLIAN</x:v>
      </x:c>
      <x:c r="F75" s="4" t="n">
        <x:v>46028</x:v>
      </x:c>
      <x:c r="G75" t="str">
        <x:v>ADMINISTRATIVO</x:v>
      </x:c>
      <x:c r="H75" t="str">
        <x:v>12.9 - PASSAGENS FUNCIONARIOS</x:v>
      </x:c>
      <x:c r="I75" s="5" t="n">
        <x:v>897.74</x:v>
      </x:c>
    </x:row>
    <x:row r="76">
      <x:c r="A76" t="str">
        <x:v>CONTEINERES BARRO ALTO LTDA</x:v>
      </x:c>
      <x:c r="B76" t="str">
        <x:v>921</x:v>
      </x:c>
      <x:c r="C76" t="str">
        <x:v>015042</x:v>
      </x:c>
      <x:c r="D76" t="str">
        <x:v>LOCAÇÃO CONTAINER REF. PERÍODO DE 23/11 A 23/12</x:v>
      </x:c>
      <x:c r="E76" t="str">
        <x:v>VENCIMENTO ORIGINAL DO BOLETO 19/01/26</x:v>
      </x:c>
      <x:c r="F76" s="4" t="n">
        <x:v>46028</x:v>
      </x:c>
      <x:c r="G76" t="str">
        <x:v>ANGLO AMERICAN</x:v>
      </x:c>
      <x:c r="H76" t="str">
        <x:v>7.6 - LOCAÇÃO CONTAINER</x:v>
      </x:c>
      <x:c r="I76" s="5" t="n">
        <x:v>1535</x:v>
      </x:c>
    </x:row>
    <x:row r="77">
      <x:c r="A77" t="str">
        <x:v>SINDICATO EM MONTAGENS INDUSTRIAIS CEARA</x:v>
      </x:c>
      <x:c r="B77"/>
      <x:c r="C77" t="str">
        <x:v>015051</x:v>
      </x:c>
      <x:c r="D77" t="str">
        <x:v>SINDICATO</x:v>
      </x:c>
      <x:c r="E77"/>
      <x:c r="F77" s="4" t="n">
        <x:v>46028</x:v>
      </x:c>
      <x:c r="G77" t="str">
        <x:v>VLI PINTURA</x:v>
      </x:c>
      <x:c r="H77" t="str">
        <x:v>12.8 - SINDICATO</x:v>
      </x:c>
      <x:c r="I77" s="5" t="n">
        <x:v>1235.42</x:v>
      </x:c>
    </x:row>
    <x:row r="78">
      <x:c r="A78" t="str">
        <x:v>UBER MOACIR</x:v>
      </x:c>
      <x:c r="B78"/>
      <x:c r="C78" t="str">
        <x:v>015062</x:v>
      </x:c>
      <x:c r="D78" t="str">
        <x:v>MOACIR BERNARDO DE BRITO SANTO - PIX (62) 9 8247-7682</x:v>
      </x:c>
      <x:c r="E78" t="str">
        <x:v>LEVAR MATERIAL NA TRANSPORTADORA</x:v>
      </x:c>
      <x:c r="F78" s="4" t="n">
        <x:v>46028</x:v>
      </x:c>
      <x:c r="G78" t="str">
        <x:v>ADMINISTRATIVO</x:v>
      </x:c>
      <x:c r="H78" t="str">
        <x:v>3.8 - SERVIÇO MOTOBOY / UBER</x:v>
      </x:c>
      <x:c r="I78" s="5" t="n">
        <x:v>70</x:v>
      </x:c>
    </x:row>
    <x:row r="79">
      <x:c r="A79" t="str">
        <x:v>S O S BORRACHAS</x:v>
      </x:c>
      <x:c r="B79" t="str">
        <x:v>43482</x:v>
      </x:c>
      <x:c r="C79" t="str">
        <x:v>015072</x:v>
      </x:c>
      <x:c r="D79" t="str">
        <x:v>MANUTENÇÃO EQUIPAMENTOS</x:v>
      </x:c>
      <x:c r="E79" t="str">
        <x:v>PAGAMENTO FEITO EM DÉBITO</x:v>
      </x:c>
      <x:c r="F79" s="4" t="n">
        <x:v>46028</x:v>
      </x:c>
      <x:c r="G79" t="str">
        <x:v>CONDUTOS UG 1 - ELETROBRAS</x:v>
      </x:c>
      <x:c r="H79" t="str">
        <x:v>8.14 - MANUTENÇÃO/PEÇAS MAQUINAS E EQUIPAMENTOS</x:v>
      </x:c>
      <x:c r="I79" s="5" t="n">
        <x:v>370</x:v>
      </x:c>
    </x:row>
    <x:row r="80">
      <x:c r="A80" t="str">
        <x:v>DESPESAS DE VIAGEM</x:v>
      </x:c>
      <x:c r="B80"/>
      <x:c r="C80" t="str">
        <x:v>015079</x:v>
      </x:c>
      <x:c r="D80" t="str">
        <x:v>PASSAGEM FUNCIONÁRIO TARCISIO</x:v>
      </x:c>
      <x:c r="E80"/>
      <x:c r="F80" s="4" t="n">
        <x:v>46028</x:v>
      </x:c>
      <x:c r="G80" t="str">
        <x:v>FOSFATO CMOC CONTRAT</x:v>
      </x:c>
      <x:c r="H80" t="str">
        <x:v>12.9 - PASSAGENS FUNCIONARIOS</x:v>
      </x:c>
      <x:c r="I80" s="5" t="n">
        <x:v>194</x:v>
      </x:c>
    </x:row>
    <x:row r="81">
      <x:c r="A81" t="str">
        <x:v>DESPESAS DE VIAGEM</x:v>
      </x:c>
      <x:c r="B81"/>
      <x:c r="C81" t="str">
        <x:v>015080</x:v>
      </x:c>
      <x:c r="D81" t="str">
        <x:v>PASSAGEM FUNCIONÁRIO EZEQUIEL</x:v>
      </x:c>
      <x:c r="E81"/>
      <x:c r="F81" s="4" t="n">
        <x:v>46028</x:v>
      </x:c>
      <x:c r="G81" t="str">
        <x:v>MOSAIC UBERABA CONTRAT0 3 ANOS</x:v>
      </x:c>
      <x:c r="H81" t="str">
        <x:v>12.9 - PASSAGENS FUNCIONARIOS</x:v>
      </x:c>
      <x:c r="I81" s="5" t="n">
        <x:v>200</x:v>
      </x:c>
    </x:row>
    <x:row r="82">
      <x:c r="A82" t="str">
        <x:v>DESPESAS DE VIAGEM</x:v>
      </x:c>
      <x:c r="B82"/>
      <x:c r="C82" t="str">
        <x:v>015081</x:v>
      </x:c>
      <x:c r="D82" t="str">
        <x:v>PASSAGEM FUNCIONÁRIO FRANCISCO MACEDO</x:v>
      </x:c>
      <x:c r="E82"/>
      <x:c r="F82" s="4" t="n">
        <x:v>46028</x:v>
      </x:c>
      <x:c r="G82" t="str">
        <x:v>FOSFATO CMOC CONTRAT</x:v>
      </x:c>
      <x:c r="H82" t="str">
        <x:v>12.9 - PASSAGENS FUNCIONARIOS</x:v>
      </x:c>
      <x:c r="I82" s="5" t="n">
        <x:v>210</x:v>
      </x:c>
    </x:row>
    <x:row r="83">
      <x:c r="A83" t="str">
        <x:v>SALIM ENGENHARIA E REFORMAS LTDA</x:v>
      </x:c>
      <x:c r="B83" t="str">
        <x:v>13</x:v>
      </x:c>
      <x:c r="C83" t="str">
        <x:v>015082</x:v>
      </x:c>
      <x:c r="D83" t="str">
        <x:v>SALIM PROJETOS E CONSTRUCOES L - PIX 51.654.504/0001-66</x:v>
      </x:c>
      <x:c r="E83" t="str">
        <x:v>SERVIÇO DE REVISÃO DE TELHADO METÁLICO</x:v>
      </x:c>
      <x:c r="F83" s="4" t="n">
        <x:v>46028</x:v>
      </x:c>
      <x:c r="G83" t="str">
        <x:v>AGREX IMPERMEALIZAÇAO DE TELHADO</x:v>
      </x:c>
      <x:c r="H83" t="str">
        <x:v>3.20 - SERVIÇO MÃO DE OBRA TERCERIZADA</x:v>
      </x:c>
      <x:c r="I83" s="5" t="n">
        <x:v>29262</x:v>
      </x:c>
    </x:row>
    <x:row r="84">
      <x:c r="A84" t="str">
        <x:v>GRAFIMIDIAS COMERCIO DE INFORMATICA LTDA</x:v>
      </x:c>
      <x:c r="B84" t="str">
        <x:v>22014</x:v>
      </x:c>
      <x:c r="C84" t="str">
        <x:v>015148</x:v>
      </x:c>
      <x:c r="D84" t="str">
        <x:v>GRAFIMIDIA COM. DE INFORMATICA LTDA - PIX 13.822.617/0001-34</x:v>
      </x:c>
      <x:c r="E84" t="str">
        <x:v>ADESIVOS LEITOSO</x:v>
      </x:c>
      <x:c r="F84" s="4" t="n">
        <x:v>46028</x:v>
      </x:c>
      <x:c r="G84" t="str">
        <x:v>VLI PINTURA</x:v>
      </x:c>
      <x:c r="H84" t="str">
        <x:v>3.16 - SERVIÇO PLOTAGEM / ADESIVO / PLACAS / CRACHAS</x:v>
      </x:c>
      <x:c r="I84" s="5" t="n">
        <x:v>47.58</x:v>
      </x:c>
    </x:row>
    <x:row r="85">
      <x:c r="A85" t="str">
        <x:v>ABC INCOMPANY MATERIAIS, REPOSICAO E OPERACOES LTDA</x:v>
      </x:c>
      <x:c r="B85" t="str">
        <x:v>44665</x:v>
      </x:c>
      <x:c r="C85" t="str">
        <x:v>015156</x:v>
      </x:c>
      <x:c r="D85" t="str">
        <x:v>ABC INCOMPANY - PIX 09.461.101/0003-04</x:v>
      </x:c>
      <x:c r="E85" t="str">
        <x:v>EPIS</x:v>
      </x:c>
      <x:c r="F85" s="4" t="n">
        <x:v>46028</x:v>
      </x:c>
      <x:c r="G85" t="str">
        <x:v>CONTRATO 02 ANOS MINERAÇÃO SERRA VERDE</x:v>
      </x:c>
      <x:c r="H85" t="str">
        <x:v>13.1 - EPIS</x:v>
      </x:c>
      <x:c r="I85" s="5" t="n">
        <x:v>1938.82</x:v>
      </x:c>
    </x:row>
    <x:row r="86">
      <x:c r="A86" t="str">
        <x:v>REAL BORRACHA EIRELI</x:v>
      </x:c>
      <x:c r="B86" t="str">
        <x:v>96481</x:v>
      </x:c>
      <x:c r="C86" t="str">
        <x:v>015162</x:v>
      </x:c>
      <x:c r="D86" t="str">
        <x:v>EPIS</x:v>
      </x:c>
      <x:c r="E86"/>
      <x:c r="F86" s="4" t="n">
        <x:v>46028</x:v>
      </x:c>
      <x:c r="G86" t="str">
        <x:v>NIOBIO CMOC CONTRATO</x:v>
      </x:c>
      <x:c r="H86" t="str">
        <x:v>13.1 - EPIS</x:v>
      </x:c>
      <x:c r="I86" s="5" t="n">
        <x:v>112.4</x:v>
      </x:c>
    </x:row>
    <x:row r="87">
      <x:c r="A87" t="str">
        <x:v>REAL BORRACHA EIRELI</x:v>
      </x:c>
      <x:c r="B87" t="str">
        <x:v>96482</x:v>
      </x:c>
      <x:c r="C87" t="str">
        <x:v>015163</x:v>
      </x:c>
      <x:c r="D87" t="str">
        <x:v>MATERIAIS DE CONSUMO</x:v>
      </x:c>
      <x:c r="E87"/>
      <x:c r="F87" s="4" t="n">
        <x:v>46028</x:v>
      </x:c>
      <x:c r="G87" t="str">
        <x:v>FOSFATO CMOC CONTRAT</x:v>
      </x:c>
      <x:c r="H87" t="str">
        <x:v>8.9 - MATERIAIS DE CONSUMO EM OBRAS</x:v>
      </x:c>
      <x:c r="I87" s="5" t="n">
        <x:v>64</x:v>
      </x:c>
    </x:row>
    <x:row r="88">
      <x:c r="A88" t="str">
        <x:v>ESTRELA ENCOMENDAS LTDA</x:v>
      </x:c>
      <x:c r="B88" t="str">
        <x:v>138880</x:v>
      </x:c>
      <x:c r="C88" t="str">
        <x:v>015190</x:v>
      </x:c>
      <x:c r="D88" t="str">
        <x:v>ESTRELA ENCOMENDAS - PIX 43.905.695/0001-63</x:v>
      </x:c>
      <x:c r="E88" t="str">
        <x:v>FRETE GOIANIA X UBERABA MG - VENCIMENTO ORIGINAL DO BOLETO 15/01/26</x:v>
      </x:c>
      <x:c r="F88" s="4" t="n">
        <x:v>46028</x:v>
      </x:c>
      <x:c r="G88" t="str">
        <x:v>MOSAIC UBERABA CONTRAT0 3 ANOS</x:v>
      </x:c>
      <x:c r="H88" t="str">
        <x:v>10.1 - FRETE MATERIAIS E EQUIPAMENTOS</x:v>
      </x:c>
      <x:c r="I88" s="5" t="n">
        <x:v>232.87</x:v>
      </x:c>
    </x:row>
    <x:row r="89">
      <x:c r="A89" t="str">
        <x:v>EQUALIS SAUDE LTDA</x:v>
      </x:c>
      <x:c r="B89" t="str">
        <x:v>4203</x:v>
      </x:c>
      <x:c r="C89" t="str">
        <x:v>015843</x:v>
      </x:c>
      <x:c r="D89" t="str">
        <x:v>ASO - EXAMES</x:v>
      </x:c>
      <x:c r="E89" t="str">
        <x:v>VENCIMENTO ORIGINAL DO BOLETO 20/01/26</x:v>
      </x:c>
      <x:c r="F89" s="4" t="n">
        <x:v>46028</x:v>
      </x:c>
      <x:c r="G89" t="str">
        <x:v>FOSFATO CMOC CONTRAT</x:v>
      </x:c>
      <x:c r="H89" t="str">
        <x:v>14.1 - EXAMES</x:v>
      </x:c>
      <x:c r="I89" s="5" t="n">
        <x:v>847.32</x:v>
      </x:c>
    </x:row>
    <x:row r="90">
      <x:c r="A90" t="str">
        <x:v>NEOBETEL EPI, EQUIPAMENTOS DE PROTECAO INDIVIDUAL LTDA</x:v>
      </x:c>
      <x:c r="B90" t="str">
        <x:v>59657</x:v>
      </x:c>
      <x:c r="C90" t="str">
        <x:v>015083</x:v>
      </x:c>
      <x:c r="D90" t="str">
        <x:v>EPIS</x:v>
      </x:c>
      <x:c r="E90"/>
      <x:c r="F90" s="4" t="n">
        <x:v>46029</x:v>
      </x:c>
      <x:c r="G90" t="str">
        <x:v>ANGLO AMERICAN</x:v>
      </x:c>
      <x:c r="H90" t="str">
        <x:v>13.1 - EPIS</x:v>
      </x:c>
      <x:c r="I90" s="5" t="n">
        <x:v>850.42</x:v>
      </x:c>
    </x:row>
    <x:row r="91">
      <x:c r="A91" t="str">
        <x:v>VAI LOCAR EQUIPAMENTOS LTDA</x:v>
      </x:c>
      <x:c r="B91" t="str">
        <x:v>14793</x:v>
      </x:c>
      <x:c r="C91" t="str">
        <x:v>015084</x:v>
      </x:c>
      <x:c r="D91" t="str">
        <x:v>MANUTENÇÃO ASPIRADOR DE PO E LIQUIDO ELETRICO</x:v>
      </x:c>
      <x:c r="E91" t="str">
        <x:v>VENCIMENTO ORIGINAL DO BOLETO 25/12/25</x:v>
      </x:c>
      <x:c r="F91" s="4" t="n">
        <x:v>46029</x:v>
      </x:c>
      <x:c r="G91" t="str">
        <x:v>CONDUTOS UG 1 - ELETROBRAS</x:v>
      </x:c>
      <x:c r="H91" t="str">
        <x:v>7.4 - LOCAÇÃO EQUIPAMENTOS</x:v>
      </x:c>
      <x:c r="I91" s="5" t="n">
        <x:v>1477.58</x:v>
      </x:c>
    </x:row>
    <x:row r="92">
      <x:c r="A92" t="str">
        <x:v>VALDMAR AUGUSTO</x:v>
      </x:c>
      <x:c r="B92"/>
      <x:c r="C92" t="str">
        <x:v>015085</x:v>
      </x:c>
      <x:c r="D92" t="str">
        <x:v>PAGAMENTO DO SEM PARAR</x:v>
      </x:c>
      <x:c r="E92" t="str">
        <x:v>REEMBOLSO VALDMAR</x:v>
      </x:c>
      <x:c r="F92" s="4" t="n">
        <x:v>46029</x:v>
      </x:c>
      <x:c r="G92" t="str">
        <x:v>FOSFATO CMOC CONTRAT</x:v>
      </x:c>
      <x:c r="H92" t="str">
        <x:v>6.6 - PEDAGIOS</x:v>
      </x:c>
      <x:c r="I92" s="5" t="n">
        <x:v>263.21</x:v>
      </x:c>
    </x:row>
    <x:row r="93">
      <x:c r="A93" t="str">
        <x:v>MAXIMA CONSERVACAO E LIMPEZA LTDA</x:v>
      </x:c>
      <x:c r="B93" t="str">
        <x:v>3</x:v>
      </x:c>
      <x:c r="C93" t="str">
        <x:v>015087</x:v>
      </x:c>
      <x:c r="D93" t="str">
        <x:v>LOCAÇÃO DE CONTAINER 20/09 A 19/10/25</x:v>
      </x:c>
      <x:c r="E93"/>
      <x:c r="F93" s="4" t="n">
        <x:v>46029</x:v>
      </x:c>
      <x:c r="G93" t="str">
        <x:v>CONTRATO 02 ANOS MINERAÇÃO SERRA VERDE</x:v>
      </x:c>
      <x:c r="H93" t="str">
        <x:v>7.6 - LOCAÇÃO CONTAINER</x:v>
      </x:c>
      <x:c r="I93" s="5" t="n">
        <x:v>1700</x:v>
      </x:c>
    </x:row>
    <x:row r="94">
      <x:c r="A94" t="str">
        <x:v>BEM MKT SERVICOS ADMINISTRATIVO LTDA</x:v>
      </x:c>
      <x:c r="B94" t="str">
        <x:v>51</x:v>
      </x:c>
      <x:c r="C94" t="str">
        <x:v>015088</x:v>
      </x:c>
      <x:c r="D94" t="str">
        <x:v>BEM MKT SERVICOS ADMINISTRA... - PIX eder@bemnavenda.com.br</x:v>
      </x:c>
      <x:c r="E94" t="str">
        <x:v>GASTOS GOM PROPAGANDA/COMERCIAL</x:v>
      </x:c>
      <x:c r="F94" s="4" t="n">
        <x:v>46029</x:v>
      </x:c>
      <x:c r="G94" t="str">
        <x:v>ADMINISTRATIVO</x:v>
      </x:c>
      <x:c r="H94" t="str">
        <x:v>3.5 - SERVIÇO GOOGLE ADS</x:v>
      </x:c>
      <x:c r="I94" s="5" t="n">
        <x:v>590</x:v>
      </x:c>
    </x:row>
    <x:row r="95">
      <x:c r="A95" t="str">
        <x:v>CEMIG DISTRIBUIÇÃO S.A</x:v>
      </x:c>
      <x:c r="B95"/>
      <x:c r="C95" t="str">
        <x:v>015091</x:v>
      </x:c>
      <x:c r="D95" t="str">
        <x:v>R. JACY GUIMARAES 12 CS REF. 12/2025</x:v>
      </x:c>
      <x:c r="E95" t="str">
        <x:v>Nº CLIENTE 7201478974 / Nº INSTALAÇÃO 3012084336</x:v>
      </x:c>
      <x:c r="F95" s="4" t="n">
        <x:v>46029</x:v>
      </x:c>
      <x:c r="G95" t="str">
        <x:v>EUROCHEM SERRA DO SALITRE</x:v>
      </x:c>
      <x:c r="H95" t="str">
        <x:v>5.5 - ENERGIA ALOJAMENTO</x:v>
      </x:c>
      <x:c r="I95" s="5" t="n">
        <x:v>118.21</x:v>
      </x:c>
    </x:row>
    <x:row r="96">
      <x:c r="A96" t="str">
        <x:v>COPASA SANEAMENTO</x:v>
      </x:c>
      <x:c r="B96"/>
      <x:c r="C96" t="str">
        <x:v>015092</x:v>
      </x:c>
      <x:c r="D96" t="str">
        <x:v>R. JACY GUIMARÃES, 12 REF. 12/2025</x:v>
      </x:c>
      <x:c r="E96" t="str">
        <x:v>MATRICULA 0 013 063 237 6 / IDENTIFICADOR  0 014 324 897 9</x:v>
      </x:c>
      <x:c r="F96" s="4" t="n">
        <x:v>46029</x:v>
      </x:c>
      <x:c r="G96" t="str">
        <x:v>EUROCHEM SERRA DO SALITRE</x:v>
      </x:c>
      <x:c r="H96" t="str">
        <x:v>5.4 - AGUA ALOJAMENTO</x:v>
      </x:c>
      <x:c r="I96" s="5" t="n">
        <x:v>29.62</x:v>
      </x:c>
    </x:row>
    <x:row r="97">
      <x:c r="A97" t="str">
        <x:v>HELIO APARECIDO BIAQUINI</x:v>
      </x:c>
      <x:c r="B97"/>
      <x:c r="C97" t="str">
        <x:v>015095</x:v>
      </x:c>
      <x:c r="D97" t="str">
        <x:v>INTERNET OBRA</x:v>
      </x:c>
      <x:c r="E97"/>
      <x:c r="F97" s="4" t="n">
        <x:v>46029</x:v>
      </x:c>
      <x:c r="G97" t="str">
        <x:v>MOSAIC UBERABA CONTRAT0 3 ANOS</x:v>
      </x:c>
      <x:c r="H97" t="str">
        <x:v>11.14 - INTERNET OBRAS</x:v>
      </x:c>
      <x:c r="I97" s="5" t="n">
        <x:v>380</x:v>
      </x:c>
    </x:row>
    <x:row r="98">
      <x:c r="A98" t="str">
        <x:v>UNIODONTO UBERABA - COOP. DE ASSISTENCIA A SAUDE ODONTOLOGICA LTDA</x:v>
      </x:c>
      <x:c r="B98" t="str">
        <x:v>41883</x:v>
      </x:c>
      <x:c r="C98" t="str">
        <x:v>015096</x:v>
      </x:c>
      <x:c r="D98" t="str">
        <x:v>PLANO ODONTOLÓGICO REF. 12/2024</x:v>
      </x:c>
      <x:c r="E98"/>
      <x:c r="F98" s="4" t="n">
        <x:v>46029</x:v>
      </x:c>
      <x:c r="G98" t="str">
        <x:v>MOSAIC UBERABA CONTRAT0 3 ANOS</x:v>
      </x:c>
      <x:c r="H98" t="str">
        <x:v>12.10 - PLANO DE SAUDE</x:v>
      </x:c>
      <x:c r="I98" s="5" t="n">
        <x:v>311</x:v>
      </x:c>
    </x:row>
    <x:row r="99">
      <x:c r="A99" t="str">
        <x:v>POSTO FERREIRA MATIAS COMBUSTIVEL LTDA</x:v>
      </x:c>
      <x:c r="B99" t="str">
        <x:v>18506</x:v>
      </x:c>
      <x:c r="C99" t="str">
        <x:v>015098</x:v>
      </x:c>
      <x:c r="D99" t="str">
        <x:v>COMBUSTÍVEL VEÍCULOS</x:v>
      </x:c>
      <x:c r="E99" t="str">
        <x:v>VENCIMENTO ORIGINAL DO BOLETO 05/01/26</x:v>
      </x:c>
      <x:c r="F99" s="4" t="n">
        <x:v>46029</x:v>
      </x:c>
      <x:c r="G99" t="str">
        <x:v>ANGLO AMERICAN</x:v>
      </x:c>
      <x:c r="H99" t="str">
        <x:v>6.4 - COMBUSTIVEL VEICULOS</x:v>
      </x:c>
      <x:c r="I99" s="5" t="n">
        <x:v>561.66</x:v>
      </x:c>
    </x:row>
    <x:row r="100">
      <x:c r="A100" t="str">
        <x:v>POSTO MAIS LTDA</x:v>
      </x:c>
      <x:c r="B100" t="str">
        <x:v>626 / 01</x:v>
      </x:c>
      <x:c r="C100" t="str">
        <x:v>015101</x:v>
      </x:c>
      <x:c r="D100" t="str">
        <x:v>COMBUSTÍVEL VEÍCULOS</x:v>
      </x:c>
      <x:c r="E100" t="str">
        <x:v>VENCIMENTO ORIGINAL DO BOLETO 20/01/26</x:v>
      </x:c>
      <x:c r="F100" s="4" t="n">
        <x:v>46029</x:v>
      </x:c>
      <x:c r="G100" t="str">
        <x:v>NIOBIO CMOC CONTRATO</x:v>
      </x:c>
      <x:c r="H100" t="str">
        <x:v>6.4 - COMBUSTIVEL VEICULOS</x:v>
      </x:c>
      <x:c r="I100" s="5" t="n">
        <x:v>1225.46</x:v>
      </x:c>
    </x:row>
    <x:row r="101">
      <x:c r="A101" t="str">
        <x:v>POSTO MAIS LTDA</x:v>
      </x:c>
      <x:c r="B101" t="str">
        <x:v>626 / 02</x:v>
      </x:c>
      <x:c r="C101" t="str">
        <x:v>015102</x:v>
      </x:c>
      <x:c r="D101" t="str">
        <x:v>COMBUSTÍVEL EQUIPAMENTOS</x:v>
      </x:c>
      <x:c r="E101" t="str">
        <x:v>VENCIMENTO ORIGINAL DO BOLETO 20/01/26</x:v>
      </x:c>
      <x:c r="F101" s="4" t="n">
        <x:v>46029</x:v>
      </x:c>
      <x:c r="G101" t="str">
        <x:v>NIOBIO CMOC CONTRATO</x:v>
      </x:c>
      <x:c r="H101" t="str">
        <x:v>8.13 - COMBUSTIVEL EQUIPAMENTOS</x:v>
      </x:c>
      <x:c r="I101" s="5" t="n">
        <x:v>35.29</x:v>
      </x:c>
    </x:row>
    <x:row r="102">
      <x:c r="A102" t="str">
        <x:v>POSTO MAIS LTDA</x:v>
      </x:c>
      <x:c r="B102" t="str">
        <x:v>626 / 03</x:v>
      </x:c>
      <x:c r="C102" t="str">
        <x:v>015103</x:v>
      </x:c>
      <x:c r="D102" t="str">
        <x:v>COMBUSTÍVEL VEÍCULOS</x:v>
      </x:c>
      <x:c r="E102" t="str">
        <x:v>VENCIMENTO ORIGINAL DO BOLETO 20/01/26</x:v>
      </x:c>
      <x:c r="F102" s="4" t="n">
        <x:v>46029</x:v>
      </x:c>
      <x:c r="G102" t="str">
        <x:v>FOSFATO CMOC CONTRAT</x:v>
      </x:c>
      <x:c r="H102" t="str">
        <x:v>6.4 - COMBUSTIVEL VEICULOS</x:v>
      </x:c>
      <x:c r="I102" s="5" t="n">
        <x:v>5479.84</x:v>
      </x:c>
    </x:row>
    <x:row r="103">
      <x:c r="A103" t="str">
        <x:v>POSTO MAIS LTDA</x:v>
      </x:c>
      <x:c r="B103" t="str">
        <x:v>626 / 04</x:v>
      </x:c>
      <x:c r="C103" t="str">
        <x:v>015104</x:v>
      </x:c>
      <x:c r="D103" t="str">
        <x:v>COMBUSTÍVEL EQUIPAMENTOS</x:v>
      </x:c>
      <x:c r="E103" t="str">
        <x:v>VENCIMENTO ORIGINAL DO BOLETO 20/01/26</x:v>
      </x:c>
      <x:c r="F103" s="4" t="n">
        <x:v>46029</x:v>
      </x:c>
      <x:c r="G103" t="str">
        <x:v>FOSFATO CMOC CONTRAT</x:v>
      </x:c>
      <x:c r="H103" t="str">
        <x:v>8.13 - COMBUSTIVEL EQUIPAMENTOS</x:v>
      </x:c>
      <x:c r="I103" s="5" t="n">
        <x:v>35.29</x:v>
      </x:c>
    </x:row>
    <x:row r="104">
      <x:c r="A104" t="str">
        <x:v>IDELFONSO SOARES DOS REIS - ME</x:v>
      </x:c>
      <x:c r="B104" t="str">
        <x:v>4636</x:v>
      </x:c>
      <x:c r="C104" t="str">
        <x:v>015111</x:v>
      </x:c>
      <x:c r="D104" t="str">
        <x:v>MATERIAIS DE CONSUMO</x:v>
      </x:c>
      <x:c r="E104"/>
      <x:c r="F104" s="4" t="n">
        <x:v>46029</x:v>
      </x:c>
      <x:c r="G104" t="str">
        <x:v>EUROCHEM SERRA DO SALITRE</x:v>
      </x:c>
      <x:c r="H104" t="str">
        <x:v>8.9 - MATERIAIS DE CONSUMO EM OBRAS</x:v>
      </x:c>
      <x:c r="I104" s="5" t="n">
        <x:v>730</x:v>
      </x:c>
    </x:row>
    <x:row r="105">
      <x:c r="A105" t="str">
        <x:v>DESPESAS VEICULOS</x:v>
      </x:c>
      <x:c r="B105"/>
      <x:c r="C105" t="str">
        <x:v>015112</x:v>
      </x:c>
      <x:c r="D105" t="str">
        <x:v>JOSIMARA DA SILVA SANTOS - PIX (62) 9 9274-5847</x:v>
      </x:c>
      <x:c r="E105" t="str">
        <x:v>50% PLOTAGEM RANGER</x:v>
      </x:c>
      <x:c r="F105" s="4" t="n">
        <x:v>46029</x:v>
      </x:c>
      <x:c r="G105" t="str">
        <x:v>SERENA 10 TORRES 2025</x:v>
      </x:c>
      <x:c r="H105" t="str">
        <x:v>3.16 - SERVIÇO PLOTAGEM / ADESIVO / PLACAS / CRACHAS</x:v>
      </x:c>
      <x:c r="I105" s="5" t="n">
        <x:v>575</x:v>
      </x:c>
    </x:row>
    <x:row r="106">
      <x:c r="A106" t="str">
        <x:v>DESPESAS DE VIAGEM</x:v>
      </x:c>
      <x:c r="B106"/>
      <x:c r="C106" t="str">
        <x:v>015113</x:v>
      </x:c>
      <x:c r="D106" t="str">
        <x:v>DESPESAS REF. 05/01 A 09/0126</x:v>
      </x:c>
      <x:c r="E106"/>
      <x:c r="F106" s="4" t="n">
        <x:v>46029</x:v>
      </x:c>
      <x:c r="G106" t="str">
        <x:v>MOSAIC UBERABA CONTRAT0 3 ANOS</x:v>
      </x:c>
      <x:c r="H106" t="str">
        <x:v>12.5 - REFEIÇÕES FUNCIONARIOS</x:v>
      </x:c>
      <x:c r="I106" s="5" t="n">
        <x:v>440.51948</x:v>
      </x:c>
    </x:row>
    <x:row r="107">
      <x:c r="A107" t="str">
        <x:v>DESPESAS DE VIAGEM</x:v>
      </x:c>
      <x:c r="B107"/>
      <x:c r="C107" t="str">
        <x:v>015113</x:v>
      </x:c>
      <x:c r="D107" t="str">
        <x:v>DESPESAS REF. 05/01 A 09/0126</x:v>
      </x:c>
      <x:c r="E107"/>
      <x:c r="F107" s="4" t="n">
        <x:v>46029</x:v>
      </x:c>
      <x:c r="G107" t="str">
        <x:v>MOSAIC UBERABA CONTRAT0 3 ANOS</x:v>
      </x:c>
      <x:c r="H107" t="str">
        <x:v>12.9 - PASSAGENS FUNCIONARIOS</x:v>
      </x:c>
      <x:c r="I107" s="5" t="n">
        <x:v>619.480519</x:v>
      </x:c>
    </x:row>
    <x:row r="108">
      <x:c r="A108" t="str">
        <x:v>DESPESAS DE VIAGEM</x:v>
      </x:c>
      <x:c r="B108"/>
      <x:c r="C108" t="str">
        <x:v>015113</x:v>
      </x:c>
      <x:c r="D108" t="str">
        <x:v>DESPESAS REF. 05/01 A 09/0126</x:v>
      </x:c>
      <x:c r="E108"/>
      <x:c r="F108" s="4" t="n">
        <x:v>46029</x:v>
      </x:c>
      <x:c r="G108" t="str">
        <x:v>ANGLO AMERICAN</x:v>
      </x:c>
      <x:c r="H108" t="str">
        <x:v>12.5 - REFEIÇÕES FUNCIONARIOS</x:v>
      </x:c>
      <x:c r="I108" s="5" t="n">
        <x:v>66.493506</x:v>
      </x:c>
    </x:row>
    <x:row r="109">
      <x:c r="A109" t="str">
        <x:v>DESPESAS DE VIAGEM</x:v>
      </x:c>
      <x:c r="B109"/>
      <x:c r="C109" t="str">
        <x:v>015113</x:v>
      </x:c>
      <x:c r="D109" t="str">
        <x:v>DESPESAS REF. 05/01 A 09/0126</x:v>
      </x:c>
      <x:c r="E109"/>
      <x:c r="F109" s="4" t="n">
        <x:v>46029</x:v>
      </x:c>
      <x:c r="G109" t="str">
        <x:v>ANGLO AMERICAN</x:v>
      </x:c>
      <x:c r="H109" t="str">
        <x:v>12.9 - PASSAGENS FUNCIONARIOS</x:v>
      </x:c>
      <x:c r="I109" s="5" t="n">
        <x:v>93.506494</x:v>
      </x:c>
    </x:row>
    <x:row r="110">
      <x:c r="A110" t="str">
        <x:v>DESPESAS DE VIAGEM</x:v>
      </x:c>
      <x:c r="B110"/>
      <x:c r="C110" t="str">
        <x:v>015113</x:v>
      </x:c>
      <x:c r="D110" t="str">
        <x:v>DESPESAS REF. 05/01 A 09/0126</x:v>
      </x:c>
      <x:c r="E110"/>
      <x:c r="F110" s="4" t="n">
        <x:v>46029</x:v>
      </x:c>
      <x:c r="G110" t="str">
        <x:v>EUROCHEM SERRA DO SALITRE</x:v>
      </x:c>
      <x:c r="H110" t="str">
        <x:v>12.5 - REFEIÇÕES FUNCIONARIOS</x:v>
      </x:c>
      <x:c r="I110" s="5" t="n">
        <x:v>66.493506</x:v>
      </x:c>
    </x:row>
    <x:row r="111">
      <x:c r="A111" t="str">
        <x:v>DESPESAS DE VIAGEM</x:v>
      </x:c>
      <x:c r="B111"/>
      <x:c r="C111" t="str">
        <x:v>015113</x:v>
      </x:c>
      <x:c r="D111" t="str">
        <x:v>DESPESAS REF. 05/01 A 09/0126</x:v>
      </x:c>
      <x:c r="E111"/>
      <x:c r="F111" s="4" t="n">
        <x:v>46029</x:v>
      </x:c>
      <x:c r="G111" t="str">
        <x:v>EUROCHEM SERRA DO SALITRE</x:v>
      </x:c>
      <x:c r="H111" t="str">
        <x:v>12.9 - PASSAGENS FUNCIONARIOS</x:v>
      </x:c>
      <x:c r="I111" s="5" t="n">
        <x:v>93.506494</x:v>
      </x:c>
    </x:row>
    <x:row r="112">
      <x:c r="A112" t="str">
        <x:v>DESPESAS DE VIAGEM</x:v>
      </x:c>
      <x:c r="B112"/>
      <x:c r="C112" t="str">
        <x:v>015113</x:v>
      </x:c>
      <x:c r="D112" t="str">
        <x:v>DESPESAS REF. 05/01 A 09/0126</x:v>
      </x:c>
      <x:c r="E112"/>
      <x:c r="F112" s="4" t="n">
        <x:v>46029</x:v>
      </x:c>
      <x:c r="G112" t="str">
        <x:v>NIOBIO CMOC CONTRATO</x:v>
      </x:c>
      <x:c r="H112" t="str">
        <x:v>12.5 - REFEIÇÕES FUNCIONARIOS</x:v>
      </x:c>
      <x:c r="I112" s="5" t="n">
        <x:v>66.493506</x:v>
      </x:c>
    </x:row>
    <x:row r="113">
      <x:c r="A113" t="str">
        <x:v>DESPESAS DE VIAGEM</x:v>
      </x:c>
      <x:c r="B113"/>
      <x:c r="C113" t="str">
        <x:v>015113</x:v>
      </x:c>
      <x:c r="D113" t="str">
        <x:v>DESPESAS REF. 05/01 A 09/0126</x:v>
      </x:c>
      <x:c r="E113"/>
      <x:c r="F113" s="4" t="n">
        <x:v>46029</x:v>
      </x:c>
      <x:c r="G113" t="str">
        <x:v>NIOBIO CMOC CONTRATO</x:v>
      </x:c>
      <x:c r="H113" t="str">
        <x:v>12.9 - PASSAGENS FUNCIONARIOS</x:v>
      </x:c>
      <x:c r="I113" s="5" t="n">
        <x:v>93.506494</x:v>
      </x:c>
    </x:row>
    <x:row r="114">
      <x:c r="A114" t="str">
        <x:v>VS JARDINAGEM E PAISAGISMO LTDA</x:v>
      </x:c>
      <x:c r="B114" t="str">
        <x:v>2</x:v>
      </x:c>
      <x:c r="C114" t="str">
        <x:v>015129</x:v>
      </x:c>
      <x:c r="D114" t="str">
        <x:v>VITOR FERREIRA DOS - PIX 55.391.069/0001-85</x:v>
      </x:c>
      <x:c r="E114" t="str">
        <x:v>MANUTENÇÃO DO JARDIM</x:v>
      </x:c>
      <x:c r="F114" s="4" t="n">
        <x:v>46029</x:v>
      </x:c>
      <x:c r="G114" t="str">
        <x:v>ADMINISTRATIVO</x:v>
      </x:c>
      <x:c r="H114" t="str">
        <x:v>15.8 - GASTOS COM INFRAESTRUTURA SEDE</x:v>
      </x:c>
      <x:c r="I114" s="5" t="n">
        <x:v>1300</x:v>
      </x:c>
    </x:row>
    <x:row r="115">
      <x:c r="A115" t="str">
        <x:v>RHTRON INFORMATICA LTDA</x:v>
      </x:c>
      <x:c r="B115" t="str">
        <x:v>2574</x:v>
      </x:c>
      <x:c r="C115" t="str">
        <x:v>015130</x:v>
      </x:c>
      <x:c r="D115" t="str">
        <x:v>RESCISÃO DO CONTRATO</x:v>
      </x:c>
      <x:c r="E115" t="str">
        <x:v>VENCIMENTO ORIGINAL DO BOLETO 18/02/25</x:v>
      </x:c>
      <x:c r="F115" s="4" t="n">
        <x:v>46029</x:v>
      </x:c>
      <x:c r="G115" t="str">
        <x:v>ADMINISTRATIVO</x:v>
      </x:c>
      <x:c r="H115" t="str">
        <x:v>11.8 - SISTEMA / SERVIDOR</x:v>
      </x:c>
      <x:c r="I115" s="5" t="n">
        <x:v>911.4</x:v>
      </x:c>
    </x:row>
    <x:row r="116">
      <x:c r="A116" t="str">
        <x:v>MARCOS CONTAINER LTDA M.E</x:v>
      </x:c>
      <x:c r="B116" t="str">
        <x:v>18119</x:v>
      </x:c>
      <x:c r="C116" t="str">
        <x:v>015167</x:v>
      </x:c>
      <x:c r="D116" t="str">
        <x:v>LOCAÇÃO DE CONTAINER REF. PERÍODO 02/01 A 02/02</x:v>
      </x:c>
      <x:c r="E116" t="str">
        <x:v>VENCIMENTO ORIGINAL DO BOLETO 02/02/26</x:v>
      </x:c>
      <x:c r="F116" s="4" t="n">
        <x:v>46029</x:v>
      </x:c>
      <x:c r="G116" t="str">
        <x:v>NIOBIO CMOC CONTRATO</x:v>
      </x:c>
      <x:c r="H116" t="str">
        <x:v>7.6 - LOCAÇÃO CONTAINER</x:v>
      </x:c>
      <x:c r="I116" s="5" t="n">
        <x:v>503.3</x:v>
      </x:c>
    </x:row>
    <x:row r="117">
      <x:c r="A117" t="str">
        <x:v>FOLHA DE PAGAMENTO</x:v>
      </x:c>
      <x:c r="B117"/>
      <x:c r="C117" t="str">
        <x:v>015185</x:v>
      </x:c>
      <x:c r="D117" t="str">
        <x:v>FOLHA PGTO REF. MÊS 12/2025</x:v>
      </x:c>
      <x:c r="E117"/>
      <x:c r="F117" s="4" t="n">
        <x:v>46029</x:v>
      </x:c>
      <x:c r="G117" t="str">
        <x:v>ADMINISTRATIVO</x:v>
      </x:c>
      <x:c r="H117" t="str">
        <x:v>12.1 - SALARIO</x:v>
      </x:c>
      <x:c r="I117" s="5" t="n">
        <x:v>81223.11</x:v>
      </x:c>
    </x:row>
    <x:row r="118">
      <x:c r="A118" t="str">
        <x:v>FOLHA DE PAGAMENTO</x:v>
      </x:c>
      <x:c r="B118"/>
      <x:c r="C118" t="str">
        <x:v>015185</x:v>
      </x:c>
      <x:c r="D118" t="str">
        <x:v>FOLHA PGTO REF. MÊS 12/2025</x:v>
      </x:c>
      <x:c r="E118"/>
      <x:c r="F118" s="4" t="n">
        <x:v>46029</x:v>
      </x:c>
      <x:c r="G118" t="str">
        <x:v>SERENA 10 TORRES 2025</x:v>
      </x:c>
      <x:c r="H118" t="str">
        <x:v>12.1 - SALARIO</x:v>
      </x:c>
      <x:c r="I118" s="5" t="n">
        <x:v>52143.02</x:v>
      </x:c>
    </x:row>
    <x:row r="119">
      <x:c r="A119" t="str">
        <x:v>FOLHA DE PAGAMENTO</x:v>
      </x:c>
      <x:c r="B119"/>
      <x:c r="C119" t="str">
        <x:v>015186</x:v>
      </x:c>
      <x:c r="D119" t="str">
        <x:v>FOLHA PGTO REF. MÊS 12/2025</x:v>
      </x:c>
      <x:c r="E119"/>
      <x:c r="F119" s="4" t="n">
        <x:v>46029</x:v>
      </x:c>
      <x:c r="G119" t="str">
        <x:v>VLI PINTURA</x:v>
      </x:c>
      <x:c r="H119" t="str">
        <x:v>12.1 - SALARIO</x:v>
      </x:c>
      <x:c r="I119" s="5" t="n">
        <x:v>83701.4</x:v>
      </x:c>
    </x:row>
    <x:row r="120">
      <x:c r="A120" t="str">
        <x:v>FOLHA DE PAGAMENTO</x:v>
      </x:c>
      <x:c r="B120"/>
      <x:c r="C120" t="str">
        <x:v>015186</x:v>
      </x:c>
      <x:c r="D120" t="str">
        <x:v>FOLHA PGTO REF. MÊS 12/2025</x:v>
      </x:c>
      <x:c r="E120"/>
      <x:c r="F120" s="4" t="n">
        <x:v>46029</x:v>
      </x:c>
      <x:c r="G120" t="str">
        <x:v>MOSAIC UBERABA CONTRAT0 3 ANOS</x:v>
      </x:c>
      <x:c r="H120" t="str">
        <x:v>12.1 - SALARIO</x:v>
      </x:c>
      <x:c r="I120" s="5" t="n">
        <x:v>37549.32</x:v>
      </x:c>
    </x:row>
    <x:row r="121">
      <x:c r="A121" t="str">
        <x:v>FOLHA DE PAGAMENTO</x:v>
      </x:c>
      <x:c r="B121"/>
      <x:c r="C121" t="str">
        <x:v>015186</x:v>
      </x:c>
      <x:c r="D121" t="str">
        <x:v>FOLHA PGTO REF. MÊS 12/2025</x:v>
      </x:c>
      <x:c r="E121"/>
      <x:c r="F121" s="4" t="n">
        <x:v>46029</x:v>
      </x:c>
      <x:c r="G121" t="str">
        <x:v>ANGLO AMERICAN</x:v>
      </x:c>
      <x:c r="H121" t="str">
        <x:v>12.1 - SALARIO</x:v>
      </x:c>
      <x:c r="I121" s="5" t="n">
        <x:v>34783.5</x:v>
      </x:c>
    </x:row>
    <x:row r="122">
      <x:c r="A122" t="str">
        <x:v>FOLHA DE PAGAMENTO</x:v>
      </x:c>
      <x:c r="B122"/>
      <x:c r="C122" t="str">
        <x:v>015186</x:v>
      </x:c>
      <x:c r="D122" t="str">
        <x:v>FOLHA PGTO REF. MÊS 12/2025</x:v>
      </x:c>
      <x:c r="E122"/>
      <x:c r="F122" s="4" t="n">
        <x:v>46029</x:v>
      </x:c>
      <x:c r="G122" t="str">
        <x:v>EUROCHEM SERRA DO SALITRE</x:v>
      </x:c>
      <x:c r="H122" t="str">
        <x:v>12.1 - SALARIO</x:v>
      </x:c>
      <x:c r="I122" s="5" t="n">
        <x:v>29901.31</x:v>
      </x:c>
    </x:row>
    <x:row r="123">
      <x:c r="A123" t="str">
        <x:v>FOLHA DE PAGAMENTO</x:v>
      </x:c>
      <x:c r="B123"/>
      <x:c r="C123" t="str">
        <x:v>015186</x:v>
      </x:c>
      <x:c r="D123" t="str">
        <x:v>FOLHA PGTO REF. MÊS 12/2025</x:v>
      </x:c>
      <x:c r="E123"/>
      <x:c r="F123" s="4" t="n">
        <x:v>46029</x:v>
      </x:c>
      <x:c r="G123" t="str">
        <x:v>FOSFATO CMOC CONTRAT</x:v>
      </x:c>
      <x:c r="H123" t="str">
        <x:v>12.1 - SALARIO</x:v>
      </x:c>
      <x:c r="I123" s="5" t="n">
        <x:v>72577.77</x:v>
      </x:c>
    </x:row>
    <x:row r="124">
      <x:c r="A124" t="str">
        <x:v>FOLHA DE PAGAMENTO</x:v>
      </x:c>
      <x:c r="B124"/>
      <x:c r="C124" t="str">
        <x:v>015186</x:v>
      </x:c>
      <x:c r="D124" t="str">
        <x:v>FOLHA PGTO REF. MÊS 12/2025</x:v>
      </x:c>
      <x:c r="E124"/>
      <x:c r="F124" s="4" t="n">
        <x:v>46029</x:v>
      </x:c>
      <x:c r="G124" t="str">
        <x:v>NIOBIO CMOC CONTRATO</x:v>
      </x:c>
      <x:c r="H124" t="str">
        <x:v>12.1 - SALARIO</x:v>
      </x:c>
      <x:c r="I124" s="5" t="n">
        <x:v>43146.39</x:v>
      </x:c>
    </x:row>
    <x:row r="125">
      <x:c r="A125" t="str">
        <x:v>FOLHA DE PAGAMENTO</x:v>
      </x:c>
      <x:c r="B125"/>
      <x:c r="C125" t="str">
        <x:v>015186</x:v>
      </x:c>
      <x:c r="D125" t="str">
        <x:v>FOLHA PGTO REF. MÊS 12/2025</x:v>
      </x:c>
      <x:c r="E125"/>
      <x:c r="F125" s="4" t="n">
        <x:v>46029</x:v>
      </x:c>
      <x:c r="G125" t="str">
        <x:v>CONDUTOS UG 1 - ELETROBRAS</x:v>
      </x:c>
      <x:c r="H125" t="str">
        <x:v>12.1 - SALARIO</x:v>
      </x:c>
      <x:c r="I125" s="5" t="n">
        <x:v>9150.66</x:v>
      </x:c>
    </x:row>
    <x:row r="126">
      <x:c r="A126" t="str">
        <x:v>FOLHA DE PAGAMENTO</x:v>
      </x:c>
      <x:c r="B126"/>
      <x:c r="C126" t="str">
        <x:v>015186</x:v>
      </x:c>
      <x:c r="D126" t="str">
        <x:v>FOLHA PGTO REF. MÊS 12/2025</x:v>
      </x:c>
      <x:c r="E126"/>
      <x:c r="F126" s="4" t="n">
        <x:v>46029</x:v>
      </x:c>
      <x:c r="G126" t="str">
        <x:v>SERENA 10 TORRES 2025</x:v>
      </x:c>
      <x:c r="H126" t="str">
        <x:v>12.1 - SALARIO</x:v>
      </x:c>
      <x:c r="I126" s="5" t="n">
        <x:v>8788.51</x:v>
      </x:c>
    </x:row>
    <x:row r="127">
      <x:c r="A127" t="str">
        <x:v>FOLHA DE PAGAMENTO</x:v>
      </x:c>
      <x:c r="B127"/>
      <x:c r="C127" t="str">
        <x:v>015186</x:v>
      </x:c>
      <x:c r="D127" t="str">
        <x:v>FOLHA PGTO REF. MÊS 12/2025</x:v>
      </x:c>
      <x:c r="E127"/>
      <x:c r="F127" s="4" t="n">
        <x:v>46029</x:v>
      </x:c>
      <x:c r="G127" t="str">
        <x:v>CMOC CUBATÃO</x:v>
      </x:c>
      <x:c r="H127" t="str">
        <x:v>12.1 - SALARIO</x:v>
      </x:c>
      <x:c r="I127" s="5" t="n">
        <x:v>27825.05</x:v>
      </x:c>
    </x:row>
    <x:row r="128">
      <x:c r="A128" t="str">
        <x:v>FOLHA DE PAGAMENTO</x:v>
      </x:c>
      <x:c r="B128"/>
      <x:c r="C128" t="str">
        <x:v>015186</x:v>
      </x:c>
      <x:c r="D128" t="str">
        <x:v>FOLHA PGTO REF. MÊS 12/2025</x:v>
      </x:c>
      <x:c r="E128"/>
      <x:c r="F128" s="4" t="n">
        <x:v>46029</x:v>
      </x:c>
      <x:c r="G128" t="str">
        <x:v>CONTRATO 02 ANOS MINERAÇÃO SERRA VERDE</x:v>
      </x:c>
      <x:c r="H128" t="str">
        <x:v>12.1 - SALARIO</x:v>
      </x:c>
      <x:c r="I128" s="5" t="n">
        <x:v>27033.85</x:v>
      </x:c>
    </x:row>
    <x:row r="129">
      <x:c r="A129" t="str">
        <x:v>SH LOCACAO DE ANDAIMES</x:v>
      </x:c>
      <x:c r="B129" t="str">
        <x:v>68099</x:v>
      </x:c>
      <x:c r="C129" t="str">
        <x:v>015195</x:v>
      </x:c>
      <x:c r="D129" t="str">
        <x:v>LOCAÇÃO DE ANDAIMES</x:v>
      </x:c>
      <x:c r="E129"/>
      <x:c r="F129" s="4" t="n">
        <x:v>46029</x:v>
      </x:c>
      <x:c r="G129" t="str">
        <x:v>CONDUTOS UG 1 - ELETROBRAS</x:v>
      </x:c>
      <x:c r="H129" t="str">
        <x:v>7.7 - LOCAÇÃO ANDAIMES</x:v>
      </x:c>
      <x:c r="I129" s="5" t="n">
        <x:v>2397.58</x:v>
      </x:c>
    </x:row>
    <x:row r="130">
      <x:c r="A130" t="str">
        <x:v>SH LOCACAO DE ANDAIMES</x:v>
      </x:c>
      <x:c r="B130" t="str">
        <x:v>13/01</x:v>
      </x:c>
      <x:c r="C130" t="str">
        <x:v>015196</x:v>
      </x:c>
      <x:c r="D130" t="str">
        <x:v>INDENIZAÇÃO</x:v>
      </x:c>
      <x:c r="E130"/>
      <x:c r="F130" s="4" t="n">
        <x:v>46029</x:v>
      </x:c>
      <x:c r="G130" t="str">
        <x:v>CONDUTOS UG 1 - ELETROBRAS</x:v>
      </x:c>
      <x:c r="H130" t="str">
        <x:v>7.7 - LOCAÇÃO ANDAIMES</x:v>
      </x:c>
      <x:c r="I130" s="5" t="n">
        <x:v>1931.32</x:v>
      </x:c>
    </x:row>
    <x:row r="131">
      <x:c r="A131" t="str">
        <x:v>BANCO MERCANTIL</x:v>
      </x:c>
      <x:c r="B131"/>
      <x:c r="C131" t="str">
        <x:v>015988</x:v>
      </x:c>
      <x:c r="D131" t="str">
        <x:v>TAR.TEDINTERNET</x:v>
      </x:c>
      <x:c r="E131" t="str">
        <x:v>Documento gerado a partir do Mov. 017523</x:v>
      </x:c>
      <x:c r="F131" s="4" t="n">
        <x:v>46029</x:v>
      </x:c>
      <x:c r="G131" t="str">
        <x:v>ADMINISTRATIVO</x:v>
      </x:c>
      <x:c r="H131" t="str">
        <x:v>18.2 - TARIFAS BANCARIAS</x:v>
      </x:c>
      <x:c r="I131" s="5" t="n">
        <x:v>20</x:v>
      </x:c>
    </x:row>
    <x:row r="132">
      <x:c r="A132" t="str">
        <x:v>RICARDO RODRIGUES - COMERCIAL</x:v>
      </x:c>
      <x:c r="B132"/>
      <x:c r="C132" t="str">
        <x:v>014597</x:v>
      </x:c>
      <x:c r="D132" t="str">
        <x:v>CONTRATO PRESTAÇÃO DE SERVIÇO RICARDO MES 12-2025</x:v>
      </x:c>
      <x:c r="E132" t="str">
        <x:v>RICARDO RODRIGUES RIBEIRO</x:v>
      </x:c>
      <x:c r="F132" s="4" t="n">
        <x:v>46030</x:v>
      </x:c>
      <x:c r="G132" t="str">
        <x:v>ADMINISTRATIVO</x:v>
      </x:c>
      <x:c r="H132" t="str">
        <x:v>12.1 - SALARIO</x:v>
      </x:c>
      <x:c r="I132" s="5" t="n">
        <x:v>9000</x:v>
      </x:c>
    </x:row>
    <x:row r="133">
      <x:c r="A133" t="str">
        <x:v>WILLIAM ADM</x:v>
      </x:c>
      <x:c r="B133"/>
      <x:c r="C133" t="str">
        <x:v>014598</x:v>
      </x:c>
      <x:c r="D133" t="str">
        <x:v>AJUDA DE CUSTO MES 12-2025</x:v>
      </x:c>
      <x:c r="E133" t="str">
        <x:v>WILLIAM MONTEIRO BEZERRA</x:v>
      </x:c>
      <x:c r="F133" s="4" t="n">
        <x:v>46030</x:v>
      </x:c>
      <x:c r="G133" t="str">
        <x:v>ADMINISTRATIVO</x:v>
      </x:c>
      <x:c r="H133" t="str">
        <x:v>12.1 - SALARIO</x:v>
      </x:c>
      <x:c r="I133" s="5" t="n">
        <x:v>3000</x:v>
      </x:c>
    </x:row>
    <x:row r="134">
      <x:c r="A134" t="str">
        <x:v>TRANSPORTADORA AQUINO E DINIZ LTDA</x:v>
      </x:c>
      <x:c r="B134" t="str">
        <x:v>2012</x:v>
      </x:c>
      <x:c r="C134" t="str">
        <x:v>015117</x:v>
      </x:c>
      <x:c r="D134" t="str">
        <x:v>TRANSP. FUNCIONÁRIOS 11/25</x:v>
      </x:c>
      <x:c r="E134"/>
      <x:c r="F134" s="4" t="n">
        <x:v>46030</x:v>
      </x:c>
      <x:c r="G134" t="str">
        <x:v>ANGLO AMERICAN</x:v>
      </x:c>
      <x:c r="H134" t="str">
        <x:v>12.7 - TRANSPORTE FUNCIONARIOS</x:v>
      </x:c>
      <x:c r="I134" s="5" t="n">
        <x:v>1149</x:v>
      </x:c>
    </x:row>
    <x:row r="135">
      <x:c r="A135" t="str">
        <x:v>A S TURISMO</x:v>
      </x:c>
      <x:c r="B135"/>
      <x:c r="C135" t="str">
        <x:v>015118</x:v>
      </x:c>
      <x:c r="D135" t="str">
        <x:v>TRANSPORTE FUNCIONÁRIOS 12/2025</x:v>
      </x:c>
      <x:c r="E135"/>
      <x:c r="F135" s="4" t="n">
        <x:v>46030</x:v>
      </x:c>
      <x:c r="G135" t="str">
        <x:v>NIOBIO CMOC CONTRATO</x:v>
      </x:c>
      <x:c r="H135" t="str">
        <x:v>12.7 - TRANSPORTE FUNCIONARIOS</x:v>
      </x:c>
      <x:c r="I135" s="5" t="n">
        <x:v>10000</x:v>
      </x:c>
    </x:row>
    <x:row r="136">
      <x:c r="A136" t="str">
        <x:v>A S TURISMO</x:v>
      </x:c>
      <x:c r="B136"/>
      <x:c r="C136" t="str">
        <x:v>015119</x:v>
      </x:c>
      <x:c r="D136" t="str">
        <x:v>TRANSPORTE FUNCIONÁRIOS REF. 12/2025</x:v>
      </x:c>
      <x:c r="E136"/>
      <x:c r="F136" s="4" t="n">
        <x:v>46030</x:v>
      </x:c>
      <x:c r="G136" t="str">
        <x:v>FOSFATO CMOC CONTRAT</x:v>
      </x:c>
      <x:c r="H136" t="str">
        <x:v>12.7 - TRANSPORTE FUNCIONARIOS</x:v>
      </x:c>
      <x:c r="I136" s="5" t="n">
        <x:v>6700</x:v>
      </x:c>
    </x:row>
    <x:row r="137">
      <x:c r="A137" t="str">
        <x:v>EQUATORIAL DISTRIBUIDORA DE ENERGIA S.A.</x:v>
      </x:c>
      <x:c r="B137"/>
      <x:c r="C137" t="str">
        <x:v>015120</x:v>
      </x:c>
      <x:c r="D137" t="str">
        <x:v>R. OLIMPIA QD. 66A LT. AERA S/N REF. 12/2025</x:v>
      </x:c>
      <x:c r="E137" t="str">
        <x:v>UC 10039234680</x:v>
      </x:c>
      <x:c r="F137" s="4" t="n">
        <x:v>46030</x:v>
      </x:c>
      <x:c r="G137" t="str">
        <x:v>ADMINISTRATIVO</x:v>
      </x:c>
      <x:c r="H137" t="str">
        <x:v>11.3 - ENERGIA ADM</x:v>
      </x:c>
      <x:c r="I137" s="5" t="n">
        <x:v>1400.8</x:v>
      </x:c>
    </x:row>
    <x:row r="138">
      <x:c r="A138" t="str">
        <x:v>VAN OBRAS</x:v>
      </x:c>
      <x:c r="B138"/>
      <x:c r="C138" t="str">
        <x:v>015121</x:v>
      </x:c>
      <x:c r="D138" t="str">
        <x:v>JOAO PAULO DE MATOS - PIX (13) 97412-4988</x:v>
      </x:c>
      <x:c r="E138" t="str">
        <x:v>TRANSPORTE FUNCIONARIOS 01/12 A 31/12</x:v>
      </x:c>
      <x:c r="F138" s="4" t="n">
        <x:v>46030</x:v>
      </x:c>
      <x:c r="G138" t="str">
        <x:v>CMOC CUBATÃO</x:v>
      </x:c>
      <x:c r="H138" t="str">
        <x:v>12.7 - TRANSPORTE FUNCIONARIOS</x:v>
      </x:c>
      <x:c r="I138" s="5" t="n">
        <x:v>8159.08</x:v>
      </x:c>
    </x:row>
    <x:row r="139">
      <x:c r="A139" t="str">
        <x:v>MAXIMA CONSERVACAO E LIMPEZA LTDA</x:v>
      </x:c>
      <x:c r="B139" t="str">
        <x:v>4</x:v>
      </x:c>
      <x:c r="C139" t="str">
        <x:v>015124</x:v>
      </x:c>
      <x:c r="D139" t="str">
        <x:v>LOCAÇÃO DE CONTAINER 20/10 A 19/11/25</x:v>
      </x:c>
      <x:c r="E139"/>
      <x:c r="F139" s="4" t="n">
        <x:v>46030</x:v>
      </x:c>
      <x:c r="G139" t="str">
        <x:v>CONTRATO 02 ANOS MINERAÇÃO SERRA VERDE</x:v>
      </x:c>
      <x:c r="H139" t="str">
        <x:v>7.6 - LOCAÇÃO CONTAINER</x:v>
      </x:c>
      <x:c r="I139" s="5" t="n">
        <x:v>1700</x:v>
      </x:c>
    </x:row>
    <x:row r="140">
      <x:c r="A140" t="str">
        <x:v>MAXIMA CONSERVACAO E LIMPEZA LTDA</x:v>
      </x:c>
      <x:c r="B140" t="str">
        <x:v>5</x:v>
      </x:c>
      <x:c r="C140" t="str">
        <x:v>015125</x:v>
      </x:c>
      <x:c r="D140" t="str">
        <x:v>LOCAÇÃO DE CONTAINER 20/11 A 19/12/25</x:v>
      </x:c>
      <x:c r="E140"/>
      <x:c r="F140" s="4" t="n">
        <x:v>46030</x:v>
      </x:c>
      <x:c r="G140" t="str">
        <x:v>CONTRATO 02 ANOS MINERAÇÃO SERRA VERDE</x:v>
      </x:c>
      <x:c r="H140" t="str">
        <x:v>7.6 - LOCAÇÃO CONTAINER</x:v>
      </x:c>
      <x:c r="I140" s="5" t="n">
        <x:v>1700</x:v>
      </x:c>
    </x:row>
    <x:row r="141">
      <x:c r="A141" t="str">
        <x:v>SINDICATO DO TRABALHADORES NAS INDUSTRIAIS DA CONSTRUÇAO EDO MOBILIARIA DE UBERABA</x:v>
      </x:c>
      <x:c r="B141"/>
      <x:c r="C141" t="str">
        <x:v>015126</x:v>
      </x:c>
      <x:c r="D141" t="str">
        <x:v>SINDICATO</x:v>
      </x:c>
      <x:c r="E141"/>
      <x:c r="F141" s="4" t="n">
        <x:v>46030</x:v>
      </x:c>
      <x:c r="G141" t="str">
        <x:v>MOSAIC UBERABA CONTRAT0 3 ANOS</x:v>
      </x:c>
      <x:c r="H141" t="str">
        <x:v>12.8 - SINDICATO</x:v>
      </x:c>
      <x:c r="I141" s="5" t="n">
        <x:v>455.22</x:v>
      </x:c>
    </x:row>
    <x:row r="142">
      <x:c r="A142" t="str">
        <x:v>VATIC TECNOLOGIA VILMAR</x:v>
      </x:c>
      <x:c r="B142"/>
      <x:c r="C142" t="str">
        <x:v>015127</x:v>
      </x:c>
      <x:c r="D142" t="str">
        <x:v>SISTEMA / SERVIDOR</x:v>
      </x:c>
      <x:c r="E142" t="str">
        <x:v>VENCIMENTO ORIGINAL DO BOLETO 15/01/26</x:v>
      </x:c>
      <x:c r="F142" s="4" t="n">
        <x:v>46030</x:v>
      </x:c>
      <x:c r="G142" t="str">
        <x:v>ADMINISTRATIVO</x:v>
      </x:c>
      <x:c r="H142" t="str">
        <x:v>11.8 - SISTEMA / SERVIDOR</x:v>
      </x:c>
      <x:c r="I142" s="5" t="n">
        <x:v>778.74</x:v>
      </x:c>
    </x:row>
    <x:row r="143">
      <x:c r="A143" t="str">
        <x:v>SOFTEN SISTEMAS DE INFORMATICA LTDA</x:v>
      </x:c>
      <x:c r="B143" t="str">
        <x:v>530066</x:v>
      </x:c>
      <x:c r="C143" t="str">
        <x:v>015128</x:v>
      </x:c>
      <x:c r="D143" t="str">
        <x:v>LICENCA DE USO MENSAL DO SOFTWARE E SUPORTE TECNICO REF. 12/2025</x:v>
      </x:c>
      <x:c r="E143" t="str">
        <x:v>VENCIMENTO ORIGINAL DO BOLETO 20/01/26</x:v>
      </x:c>
      <x:c r="F143" s="4" t="n">
        <x:v>46030</x:v>
      </x:c>
      <x:c r="G143" t="str">
        <x:v>ADMINISTRATIVO</x:v>
      </x:c>
      <x:c r="H143" t="str">
        <x:v>11.8 - SISTEMA / SERVIDOR</x:v>
      </x:c>
      <x:c r="I143" s="5" t="n">
        <x:v>199.82</x:v>
      </x:c>
    </x:row>
    <x:row r="144">
      <x:c r="A144" t="str">
        <x:v>BIRCK &amp; AMP ROCHA LTDA</x:v>
      </x:c>
      <x:c r="B144" t="str">
        <x:v>20576</x:v>
      </x:c>
      <x:c r="C144" t="str">
        <x:v>015132</x:v>
      </x:c>
      <x:c r="D144" t="str">
        <x:v>MATERIAIS DE CONSUMO</x:v>
      </x:c>
      <x:c r="E144" t="str">
        <x:v>VENCIMENTO ORIGINAL DO BOLETO 16/01/26</x:v>
      </x:c>
      <x:c r="F144" s="4" t="n">
        <x:v>46030</x:v>
      </x:c>
      <x:c r="G144" t="str">
        <x:v>FOSFATO CMOC CONTRAT</x:v>
      </x:c>
      <x:c r="H144" t="str">
        <x:v>8.9 - MATERIAIS DE CONSUMO EM OBRAS</x:v>
      </x:c>
      <x:c r="I144" s="5" t="n">
        <x:v>310</x:v>
      </x:c>
    </x:row>
    <x:row r="145">
      <x:c r="A145" t="str">
        <x:v>BIRCK &amp; AMP ROCHA LTDA</x:v>
      </x:c>
      <x:c r="B145" t="str">
        <x:v>20587</x:v>
      </x:c>
      <x:c r="C145" t="str">
        <x:v>015133</x:v>
      </x:c>
      <x:c r="D145" t="str">
        <x:v>MATERIAIS DE CONSUMO</x:v>
      </x:c>
      <x:c r="E145" t="str">
        <x:v>VENCIMENTO ORIGINAL DO BOLETO 18/01/26</x:v>
      </x:c>
      <x:c r="F145" s="4" t="n">
        <x:v>46030</x:v>
      </x:c>
      <x:c r="G145" t="str">
        <x:v>FOSFATO CMOC CONTRAT</x:v>
      </x:c>
      <x:c r="H145" t="str">
        <x:v>8.9 - MATERIAIS DE CONSUMO EM OBRAS</x:v>
      </x:c>
      <x:c r="I145" s="5" t="n">
        <x:v>175</x:v>
      </x:c>
    </x:row>
    <x:row r="146">
      <x:c r="A146" t="str">
        <x:v>BIRCK &amp; AMP ROCHA LTDA</x:v>
      </x:c>
      <x:c r="B146" t="str">
        <x:v>20246</x:v>
      </x:c>
      <x:c r="C146" t="str">
        <x:v>015134</x:v>
      </x:c>
      <x:c r="D146" t="str">
        <x:v>TINTAS E SOLVENTES</x:v>
      </x:c>
      <x:c r="E146" t="str">
        <x:v>VENCIMENTO ORIGINAL DOS BOLETOS 05/12 E 04/01/26</x:v>
      </x:c>
      <x:c r="F146" s="4" t="n">
        <x:v>46030</x:v>
      </x:c>
      <x:c r="G146" t="str">
        <x:v>FOSFATO CMOC CONTRAT</x:v>
      </x:c>
      <x:c r="H146" t="str">
        <x:v>4.1 - TINTAS E SOLVENTES</x:v>
      </x:c>
      <x:c r="I146" s="5" t="n">
        <x:v>1017.1</x:v>
      </x:c>
    </x:row>
    <x:row r="147">
      <x:c r="A147" t="str">
        <x:v>BIRCK &amp; AMP ROCHA LTDA</x:v>
      </x:c>
      <x:c r="B147" t="str">
        <x:v>20246</x:v>
      </x:c>
      <x:c r="C147" t="str">
        <x:v>015134</x:v>
      </x:c>
      <x:c r="D147" t="str">
        <x:v>TINTAS E SOLVENTES</x:v>
      </x:c>
      <x:c r="E147" t="str">
        <x:v>VENCIMENTO ORIGINAL DOS BOLETOS 05/12 E 04/01/26</x:v>
      </x:c>
      <x:c r="F147" s="4" t="n">
        <x:v>46030</x:v>
      </x:c>
      <x:c r="G147" t="str">
        <x:v>FOSFATO CMOC CONTRAT</x:v>
      </x:c>
      <x:c r="H147" t="str">
        <x:v>4.1 - TINTAS E SOLVENTES</x:v>
      </x:c>
      <x:c r="I147" s="5" t="n">
        <x:v>1114.47</x:v>
      </x:c>
    </x:row>
    <x:row r="148">
      <x:c r="A148" t="str">
        <x:v>DETRAN - GO</x:v>
      </x:c>
      <x:c r="B148"/>
      <x:c r="C148" t="str">
        <x:v>015135</x:v>
      </x:c>
      <x:c r="D148" t="str">
        <x:v>IPVA EFFA/21 - PLACA SDJ9E34 1º PARCELA</x:v>
      </x:c>
      <x:c r="E148"/>
      <x:c r="F148" s="4" t="n">
        <x:v>46030</x:v>
      </x:c>
      <x:c r="G148" t="str">
        <x:v>VEICULOS</x:v>
      </x:c>
      <x:c r="H148" t="str">
        <x:v>6.1 - IPVA</x:v>
      </x:c>
      <x:c r="I148" s="5" t="n">
        <x:v>333.43</x:v>
      </x:c>
    </x:row>
    <x:row r="149">
      <x:c r="A149" t="str">
        <x:v>DETRAN - GO</x:v>
      </x:c>
      <x:c r="B149"/>
      <x:c r="C149" t="str">
        <x:v>015136</x:v>
      </x:c>
      <x:c r="D149" t="str">
        <x:v>IPVA FIAT/ARGO DRIVE 1.0 - PLACA PBE2E75 1º PARCELA</x:v>
      </x:c>
      <x:c r="E149"/>
      <x:c r="F149" s="4" t="n">
        <x:v>46030</x:v>
      </x:c>
      <x:c r="G149" t="str">
        <x:v>VEICULOS</x:v>
      </x:c>
      <x:c r="H149" t="str">
        <x:v>6.1 - IPVA</x:v>
      </x:c>
      <x:c r="I149" s="5" t="n">
        <x:v>157.64</x:v>
      </x:c>
    </x:row>
    <x:row r="150">
      <x:c r="A150" t="str">
        <x:v>DETRAN - GO</x:v>
      </x:c>
      <x:c r="B150"/>
      <x:c r="C150" t="str">
        <x:v>015137</x:v>
      </x:c>
      <x:c r="D150" t="str">
        <x:v>IPVA HYUNDAI/HB20S 1.6A PREM - PLACA QTS7F16 1º PARCELA</x:v>
      </x:c>
      <x:c r="E150"/>
      <x:c r="F150" s="4" t="n">
        <x:v>46030</x:v>
      </x:c>
      <x:c r="G150" t="str">
        <x:v>VEICULOS</x:v>
      </x:c>
      <x:c r="H150" t="str">
        <x:v>6.1 - IPVA</x:v>
      </x:c>
      <x:c r="I150" s="5" t="n">
        <x:v>284.24</x:v>
      </x:c>
    </x:row>
    <x:row r="151">
      <x:c r="A151" t="str">
        <x:v>DETRAN - GO</x:v>
      </x:c>
      <x:c r="B151"/>
      <x:c r="C151" t="str">
        <x:v>015138</x:v>
      </x:c>
      <x:c r="D151" t="str">
        <x:v>IPVA RENAULT/OROCH EXP 16 SCE - PLACA RTP7H45 1º PARCELA</x:v>
      </x:c>
      <x:c r="E151"/>
      <x:c r="F151" s="4" t="n">
        <x:v>46030</x:v>
      </x:c>
      <x:c r="G151" t="str">
        <x:v>VEICULOS</x:v>
      </x:c>
      <x:c r="H151" t="str">
        <x:v>6.1 - IPVA</x:v>
      </x:c>
      <x:c r="I151" s="5" t="n">
        <x:v>312.29</x:v>
      </x:c>
    </x:row>
    <x:row r="152">
      <x:c r="A152" t="str">
        <x:v>DETRAN - GO</x:v>
      </x:c>
      <x:c r="B152"/>
      <x:c r="C152" t="str">
        <x:v>015139</x:v>
      </x:c>
      <x:c r="D152" t="str">
        <x:v>IPVA RENAULT/OROCH PRO 16 - PLACA TGI6D98 1º PARCELA</x:v>
      </x:c>
      <x:c r="E152"/>
      <x:c r="F152" s="4" t="n">
        <x:v>46030</x:v>
      </x:c>
      <x:c r="G152" t="str">
        <x:v>VEICULOS</x:v>
      </x:c>
      <x:c r="H152" t="str">
        <x:v>6.1 - IPVA</x:v>
      </x:c>
      <x:c r="I152" s="5" t="n">
        <x:v>408.74</x:v>
      </x:c>
    </x:row>
    <x:row r="153">
      <x:c r="A153" t="str">
        <x:v>DETRAN - GO</x:v>
      </x:c>
      <x:c r="B153"/>
      <x:c r="C153" t="str">
        <x:v>015140</x:v>
      </x:c>
      <x:c r="D153" t="str">
        <x:v>IPVA RENAULT/OROCH PRO 16 - PLACA SDK1B29 1º PARCELA</x:v>
      </x:c>
      <x:c r="E153"/>
      <x:c r="F153" s="4" t="n">
        <x:v>46030</x:v>
      </x:c>
      <x:c r="G153" t="str">
        <x:v>VEICULOS</x:v>
      </x:c>
      <x:c r="H153" t="str">
        <x:v>6.1 - IPVA</x:v>
      </x:c>
      <x:c r="I153" s="5" t="n">
        <x:v>367.7</x:v>
      </x:c>
    </x:row>
    <x:row r="154">
      <x:c r="A154" t="str">
        <x:v>DETRAN - GO</x:v>
      </x:c>
      <x:c r="B154"/>
      <x:c r="C154" t="str">
        <x:v>015141</x:v>
      </x:c>
      <x:c r="D154" t="str">
        <x:v>IPVA I/FORD RANGER XLTCD4A32C - PLACA PRW6F12 1º PARCELA</x:v>
      </x:c>
      <x:c r="E154"/>
      <x:c r="F154" s="4" t="n">
        <x:v>46030</x:v>
      </x:c>
      <x:c r="G154" t="str">
        <x:v>VEICULOS</x:v>
      </x:c>
      <x:c r="H154" t="str">
        <x:v>6.1 - IPVA</x:v>
      </x:c>
      <x:c r="I154" s="5" t="n">
        <x:v>572.34</x:v>
      </x:c>
    </x:row>
    <x:row r="155">
      <x:c r="A155" t="str">
        <x:v>DETRAN - GO</x:v>
      </x:c>
      <x:c r="B155"/>
      <x:c r="C155" t="str">
        <x:v>015142</x:v>
      </x:c>
      <x:c r="D155" t="str">
        <x:v>IPVA I/FORD RANGER XLTCD4A32C - PLACA RCF2A85 1º PARCELA</x:v>
      </x:c>
      <x:c r="E155"/>
      <x:c r="F155" s="4" t="n">
        <x:v>46030</x:v>
      </x:c>
      <x:c r="G155" t="str">
        <x:v>VEICULOS</x:v>
      </x:c>
      <x:c r="H155" t="str">
        <x:v>6.1 - IPVA</x:v>
      </x:c>
      <x:c r="I155" s="5" t="n">
        <x:v>610.18</x:v>
      </x:c>
    </x:row>
    <x:row r="156">
      <x:c r="A156" t="str">
        <x:v>DETRAN - GO</x:v>
      </x:c>
      <x:c r="B156"/>
      <x:c r="C156" t="str">
        <x:v>015143</x:v>
      </x:c>
      <x:c r="D156" t="str">
        <x:v>IPVA I/FORD RANGER XLTCD3D4A - PLACA SDN9A29 1º PARCELA</x:v>
      </x:c>
      <x:c r="E156"/>
      <x:c r="F156" s="4" t="n">
        <x:v>46030</x:v>
      </x:c>
      <x:c r="G156" t="str">
        <x:v>VEICULOS</x:v>
      </x:c>
      <x:c r="H156" t="str">
        <x:v>6.1 - IPVA</x:v>
      </x:c>
      <x:c r="I156" s="5" t="n">
        <x:v>972.85</x:v>
      </x:c>
    </x:row>
    <x:row r="157">
      <x:c r="A157" t="str">
        <x:v>DETRAN - GO</x:v>
      </x:c>
      <x:c r="B157"/>
      <x:c r="C157" t="str">
        <x:v>015144</x:v>
      </x:c>
      <x:c r="D157" t="str">
        <x:v>IPVA I/FORD RANGER XLTCD3D4A - PLACA TFI0J58 1º PARCELA</x:v>
      </x:c>
      <x:c r="E157"/>
      <x:c r="F157" s="4" t="n">
        <x:v>46030</x:v>
      </x:c>
      <x:c r="G157" t="str">
        <x:v>VEICULOS</x:v>
      </x:c>
      <x:c r="H157" t="str">
        <x:v>6.1 - IPVA</x:v>
      </x:c>
      <x:c r="I157" s="5" t="n">
        <x:v>1043.03</x:v>
      </x:c>
    </x:row>
    <x:row r="158">
      <x:c r="A158" t="str">
        <x:v>DETRAN - GO</x:v>
      </x:c>
      <x:c r="B158"/>
      <x:c r="C158" t="str">
        <x:v>015145</x:v>
      </x:c>
      <x:c r="D158" t="str">
        <x:v>IPVA CHEVROLET/S10 LT DD4 - PLACA OBA1J57 1º PARCELA</x:v>
      </x:c>
      <x:c r="E158"/>
      <x:c r="F158" s="4" t="n">
        <x:v>46030</x:v>
      </x:c>
      <x:c r="G158" t="str">
        <x:v>VEICULOS</x:v>
      </x:c>
      <x:c r="H158" t="str">
        <x:v>6.1 - IPVA</x:v>
      </x:c>
      <x:c r="I158" s="5" t="n">
        <x:v>368.5</x:v>
      </x:c>
    </x:row>
    <x:row r="159">
      <x:c r="A159" t="str">
        <x:v>DETRAN - GO</x:v>
      </x:c>
      <x:c r="B159"/>
      <x:c r="C159" t="str">
        <x:v>015146</x:v>
      </x:c>
      <x:c r="D159" t="str">
        <x:v>IPVA SAVEIRO RB MBVS - PLACA QTN3I85 1º PARCELA</x:v>
      </x:c>
      <x:c r="E159"/>
      <x:c r="F159" s="4" t="n">
        <x:v>46030</x:v>
      </x:c>
      <x:c r="G159" t="str">
        <x:v>VEICULOS</x:v>
      </x:c>
      <x:c r="H159" t="str">
        <x:v>6.1 - IPVA</x:v>
      </x:c>
      <x:c r="I159" s="5" t="n">
        <x:v>226.76</x:v>
      </x:c>
    </x:row>
    <x:row r="160">
      <x:c r="A160" t="str">
        <x:v>DETRAN - GO</x:v>
      </x:c>
      <x:c r="B160"/>
      <x:c r="C160" t="str">
        <x:v>015147</x:v>
      </x:c>
      <x:c r="D160" t="str">
        <x:v>IPVA FIAT/TORO FREEDOM AT9 D - PLACA PLQ2I02 1º PARCELA</x:v>
      </x:c>
      <x:c r="E160"/>
      <x:c r="F160" s="4" t="n">
        <x:v>46030</x:v>
      </x:c>
      <x:c r="G160" t="str">
        <x:v>VEICULOS</x:v>
      </x:c>
      <x:c r="H160" t="str">
        <x:v>6.1 - IPVA</x:v>
      </x:c>
      <x:c r="I160" s="5" t="n">
        <x:v>440.97</x:v>
      </x:c>
    </x:row>
    <x:row r="161">
      <x:c r="A161" t="str">
        <x:v>REFEIÇÃO OBRAS</x:v>
      </x:c>
      <x:c r="B161"/>
      <x:c r="C161" t="str">
        <x:v>015149</x:v>
      </x:c>
      <x:c r="D161" t="str">
        <x:v>DEIVIDIANE KEMERY SANTANA DA SILVA - PIX (98) 9 8443-1787</x:v>
      </x:c>
      <x:c r="E161" t="str">
        <x:v>REFEIÇÕES REF. 01/12 A 18/12/25</x:v>
      </x:c>
      <x:c r="F161" s="4" t="n">
        <x:v>46030</x:v>
      </x:c>
      <x:c r="G161" t="str">
        <x:v>SERENA 10 TORRES 2025</x:v>
      </x:c>
      <x:c r="H161" t="str">
        <x:v>12.5 - REFEIÇÕES FUNCIONARIOS</x:v>
      </x:c>
      <x:c r="I161" s="5" t="n">
        <x:v>5589</x:v>
      </x:c>
    </x:row>
    <x:row r="162">
      <x:c r="A162" t="str">
        <x:v>KLEBER AUGUSTO L. C. DE BERNARDO</x:v>
      </x:c>
      <x:c r="B162" t="str">
        <x:v>136042</x:v>
      </x:c>
      <x:c r="C162" t="str">
        <x:v>015150</x:v>
      </x:c>
      <x:c r="D162" t="str">
        <x:v>MAQUINAS E EQUIPAMENTOS</x:v>
      </x:c>
      <x:c r="E162" t="str">
        <x:v>VENCIMENTO ORIGINAL DOS BOLETOS 19/12 18/01/26 E 17/02/26</x:v>
      </x:c>
      <x:c r="F162" s="4" t="n">
        <x:v>46030</x:v>
      </x:c>
      <x:c r="G162" t="str">
        <x:v>VLI PINTURA</x:v>
      </x:c>
      <x:c r="H162" t="str">
        <x:v>8.5 - MAQUINAS / EQUIPAMENTOS</x:v>
      </x:c>
      <x:c r="I162" s="5" t="n">
        <x:v>3733.82</x:v>
      </x:c>
    </x:row>
    <x:row r="163">
      <x:c r="A163" t="str">
        <x:v>KLEBER AUGUSTO L. C. DE BERNARDO</x:v>
      </x:c>
      <x:c r="B163" t="str">
        <x:v>136042</x:v>
      </x:c>
      <x:c r="C163" t="str">
        <x:v>015150</x:v>
      </x:c>
      <x:c r="D163" t="str">
        <x:v>MAQUINAS E EQUIPAMENTOS</x:v>
      </x:c>
      <x:c r="E163" t="str">
        <x:v>VENCIMENTO ORIGINAL DOS BOLETOS 19/12 18/01/26 E 17/02/26</x:v>
      </x:c>
      <x:c r="F163" s="4" t="n">
        <x:v>46030</x:v>
      </x:c>
      <x:c r="G163" t="str">
        <x:v>VLI PINTURA</x:v>
      </x:c>
      <x:c r="H163" t="str">
        <x:v>8.5 - MAQUINAS / EQUIPAMENTOS</x:v>
      </x:c>
      <x:c r="I163" s="5" t="n">
        <x:v>3511.88</x:v>
      </x:c>
    </x:row>
    <x:row r="164">
      <x:c r="A164" t="str">
        <x:v>KLEBER AUGUSTO L. C. DE BERNARDO</x:v>
      </x:c>
      <x:c r="B164" t="str">
        <x:v>136042</x:v>
      </x:c>
      <x:c r="C164" t="str">
        <x:v>015150</x:v>
      </x:c>
      <x:c r="D164" t="str">
        <x:v>MAQUINAS E EQUIPAMENTOS</x:v>
      </x:c>
      <x:c r="E164" t="str">
        <x:v>VENCIMENTO ORIGINAL DOS BOLETOS 19/12 18/01/26 E 17/02/26</x:v>
      </x:c>
      <x:c r="F164" s="4" t="n">
        <x:v>46030</x:v>
      </x:c>
      <x:c r="G164" t="str">
        <x:v>VLI PINTURA</x:v>
      </x:c>
      <x:c r="H164" t="str">
        <x:v>8.5 - MAQUINAS / EQUIPAMENTOS</x:v>
      </x:c>
      <x:c r="I164" s="5" t="n">
        <x:v>3511.87</x:v>
      </x:c>
    </x:row>
    <x:row r="165">
      <x:c r="A165" t="str">
        <x:v>BIRCK &amp; AMP ROCHA LTDA</x:v>
      </x:c>
      <x:c r="B165" t="str">
        <x:v>20615</x:v>
      </x:c>
      <x:c r="C165" t="str">
        <x:v>015151</x:v>
      </x:c>
      <x:c r="D165" t="str">
        <x:v>TINTAS E SOLVENTES</x:v>
      </x:c>
      <x:c r="E165" t="str">
        <x:v>VENCIMENTO ORIGINAL DO BOLETO 22/01/25</x:v>
      </x:c>
      <x:c r="F165" s="4" t="n">
        <x:v>46030</x:v>
      </x:c>
      <x:c r="G165" t="str">
        <x:v>NIOBIO CMOC CONTRATO</x:v>
      </x:c>
      <x:c r="H165" t="str">
        <x:v>4.1 - TINTAS E SOLVENTES</x:v>
      </x:c>
      <x:c r="I165" s="5" t="n">
        <x:v>1170</x:v>
      </x:c>
    </x:row>
    <x:row r="166">
      <x:c r="A166" t="str">
        <x:v>AGSMB ASSOSIAÇAO GOIANIA DE SOCORRO</x:v>
      </x:c>
      <x:c r="B166"/>
      <x:c r="C166" t="str">
        <x:v>015152</x:v>
      </x:c>
      <x:c r="D166" t="str">
        <x:v>SEGUROS VEÍCULOS</x:v>
      </x:c>
      <x:c r="E166" t="str">
        <x:v>RANGER/ARGO/PICK-UP/OROCH/HB20S/COURIER/SAVEIRO/TORO/DUSTER OROCH E OROCH</x:v>
      </x:c>
      <x:c r="F166" s="4" t="n">
        <x:v>46030</x:v>
      </x:c>
      <x:c r="G166" t="str">
        <x:v>VEICULOS</x:v>
      </x:c>
      <x:c r="H166" t="str">
        <x:v>6.5 - SEGUROS DE VEICULOS</x:v>
      </x:c>
      <x:c r="I166" s="5" t="n">
        <x:v>2711.5</x:v>
      </x:c>
    </x:row>
    <x:row r="167">
      <x:c r="A167" t="str">
        <x:v>FONTEBRAS HOME CENTER COM. DE MAT. PARA CONST. LTDA - EPP</x:v>
      </x:c>
      <x:c r="B167" t="str">
        <x:v>19295</x:v>
      </x:c>
      <x:c r="C167" t="str">
        <x:v>015153</x:v>
      </x:c>
      <x:c r="D167" t="str">
        <x:v>MATERIAIS DE CONSUMO</x:v>
      </x:c>
      <x:c r="E167"/>
      <x:c r="F167" s="4" t="n">
        <x:v>46030</x:v>
      </x:c>
      <x:c r="G167" t="str">
        <x:v>VLI PINTURA</x:v>
      </x:c>
      <x:c r="H167" t="str">
        <x:v>8.9 - MATERIAIS DE CONSUMO EM OBRAS</x:v>
      </x:c>
      <x:c r="I167" s="5" t="n">
        <x:v>345.45</x:v>
      </x:c>
    </x:row>
    <x:row r="168">
      <x:c r="A168" t="str">
        <x:v>FONTEBRAS HOME CENTER COM. DE MAT. PARA CONST. LTDA - EPP</x:v>
      </x:c>
      <x:c r="B168" t="str">
        <x:v>19277</x:v>
      </x:c>
      <x:c r="C168" t="str">
        <x:v>015154</x:v>
      </x:c>
      <x:c r="D168" t="str">
        <x:v>MATERIAIS DE ESCRITORIO</x:v>
      </x:c>
      <x:c r="E168"/>
      <x:c r="F168" s="4" t="n">
        <x:v>46030</x:v>
      </x:c>
      <x:c r="G168" t="str">
        <x:v>VLI PINTURA</x:v>
      </x:c>
      <x:c r="H168" t="str">
        <x:v>8.10 - MATERIAS DE ESCRITORIO</x:v>
      </x:c>
      <x:c r="I168" s="5" t="n">
        <x:v>113.57</x:v>
      </x:c>
    </x:row>
    <x:row r="169">
      <x:c r="A169" t="str">
        <x:v>DISTRIBUIDORA DE AGUA MINERAL SAPUCAIA LTDA</x:v>
      </x:c>
      <x:c r="B169" t="str">
        <x:v>2538</x:v>
      </x:c>
      <x:c r="C169" t="str">
        <x:v>015155</x:v>
      </x:c>
      <x:c r="D169" t="str">
        <x:v>DISTRIB. DE AGUA - PIX diskaguairmaowermelinger@gmail.com</x:v>
      </x:c>
      <x:c r="E169" t="str">
        <x:v>REFEIÇÕES FUNCIONÁRIOS</x:v>
      </x:c>
      <x:c r="F169" s="4" t="n">
        <x:v>46030</x:v>
      </x:c>
      <x:c r="G169" t="str">
        <x:v>CONDUTOS UG 1 - ELETROBRAS</x:v>
      </x:c>
      <x:c r="H169" t="str">
        <x:v>12.5 - REFEIÇÕES FUNCIONARIOS</x:v>
      </x:c>
      <x:c r="I169" s="5" t="n">
        <x:v>62.75</x:v>
      </x:c>
    </x:row>
    <x:row r="170">
      <x:c r="A170" t="str">
        <x:v>BIRCK &amp; AMP ROCHA LTDA</x:v>
      </x:c>
      <x:c r="B170" t="str">
        <x:v>20680</x:v>
      </x:c>
      <x:c r="C170" t="str">
        <x:v>015159</x:v>
      </x:c>
      <x:c r="D170" t="str">
        <x:v>TINTAS E SOLVENTES</x:v>
      </x:c>
      <x:c r="E170"/>
      <x:c r="F170" s="4" t="n">
        <x:v>46030</x:v>
      </x:c>
      <x:c r="G170" t="str">
        <x:v>FOSFATO CMOC CONTRAT</x:v>
      </x:c>
      <x:c r="H170" t="str">
        <x:v>4.1 - TINTAS E SOLVENTES</x:v>
      </x:c>
      <x:c r="I170" s="5" t="n">
        <x:v>1317</x:v>
      </x:c>
    </x:row>
    <x:row r="171">
      <x:c r="A171" t="str">
        <x:v>DETRAN - GO</x:v>
      </x:c>
      <x:c r="B171"/>
      <x:c r="C171" t="str">
        <x:v>015160</x:v>
      </x:c>
      <x:c r="D171" t="str">
        <x:v>LICENCIAMENTO M.BENZ/0 400 RSD PL - PLACA HWL2C60</x:v>
      </x:c>
      <x:c r="E171"/>
      <x:c r="F171" s="4" t="n">
        <x:v>46030</x:v>
      </x:c>
      <x:c r="G171" t="str">
        <x:v>VEICULOS</x:v>
      </x:c>
      <x:c r="H171" t="str">
        <x:v>6.1 - IPVA</x:v>
      </x:c>
      <x:c r="I171" s="5" t="n">
        <x:v>263.39</x:v>
      </x:c>
    </x:row>
    <x:row r="172">
      <x:c r="A172" t="str">
        <x:v>49.814.051 MAXSANDER MENEZES DE OLIVEIRA</x:v>
      </x:c>
      <x:c r="B172" t="str">
        <x:v>30</x:v>
      </x:c>
      <x:c r="C172" t="str">
        <x:v>015161</x:v>
      </x:c>
      <x:c r="D172" t="str">
        <x:v>MAXSANDER MENEZES - PIX 49.814.051/0001-46</x:v>
      </x:c>
      <x:c r="E172" t="str">
        <x:v>LAVAGEM SPIN</x:v>
      </x:c>
      <x:c r="F172" s="4" t="n">
        <x:v>46030</x:v>
      </x:c>
      <x:c r="G172" t="str">
        <x:v>SERENA 10 TORRES 2025</x:v>
      </x:c>
      <x:c r="H172" t="str">
        <x:v>6.10 - SERVIÇO LAVA JATO</x:v>
      </x:c>
      <x:c r="I172" s="5" t="n">
        <x:v>650</x:v>
      </x:c>
    </x:row>
    <x:row r="173">
      <x:c r="A173" t="str">
        <x:v>CVAL ALUGUEL DE VEÍCULOS LTDA</x:v>
      </x:c>
      <x:c r="B173" t="str">
        <x:v>25021</x:v>
      </x:c>
      <x:c r="C173" t="str">
        <x:v>015165</x:v>
      </x:c>
      <x:c r="D173" t="str">
        <x:v>LOCAÇÃO VEÍCULO HB20 REF. 14/12 A 05/01/26</x:v>
      </x:c>
      <x:c r="E173" t="str">
        <x:v>VENCIMENTO ORIGINAL DO BOLETO 23/01/26</x:v>
      </x:c>
      <x:c r="F173" s="4" t="n">
        <x:v>46030</x:v>
      </x:c>
      <x:c r="G173" t="str">
        <x:v>MOSAIC UBERABA CONTRAT0 3 ANOS</x:v>
      </x:c>
      <x:c r="H173" t="str">
        <x:v>7.8 - LOCAÇAO VEICULOS</x:v>
      </x:c>
      <x:c r="I173" s="5" t="n">
        <x:v>11858.65</x:v>
      </x:c>
    </x:row>
    <x:row r="174">
      <x:c r="A174" t="str">
        <x:v>SANEAMENTO DE GOIA S.A</x:v>
      </x:c>
      <x:c r="B174"/>
      <x:c r="C174" t="str">
        <x:v>015166</x:v>
      </x:c>
      <x:c r="D174" t="str">
        <x:v>R. SANTO ANTÔNIO QD 04 LT 07 REF. 12/2025</x:v>
      </x:c>
      <x:c r="E174" t="str">
        <x:v>CONTA Nº 0521587-0</x:v>
      </x:c>
      <x:c r="F174" s="4" t="n">
        <x:v>46030</x:v>
      </x:c>
      <x:c r="G174" t="str">
        <x:v>ANGLO AMERICAN</x:v>
      </x:c>
      <x:c r="H174" t="str">
        <x:v>5.4 - AGUA ALOJAMENTO</x:v>
      </x:c>
      <x:c r="I174" s="5" t="n">
        <x:v>234.55</x:v>
      </x:c>
    </x:row>
    <x:row r="175">
      <x:c r="A175" t="str">
        <x:v>DESPESAS DE OBRAS</x:v>
      </x:c>
      <x:c r="B175"/>
      <x:c r="C175" t="str">
        <x:v>015168</x:v>
      </x:c>
      <x:c r="D175" t="str">
        <x:v>MANGUEIRAS E CONEXÕES</x:v>
      </x:c>
      <x:c r="E175" t="str">
        <x:v>REEMBOLSO JOSE SIMÕES</x:v>
      </x:c>
      <x:c r="F175" s="4" t="n">
        <x:v>46030</x:v>
      </x:c>
      <x:c r="G175" t="str">
        <x:v>EUROCHEM SERRA DO SALITRE</x:v>
      </x:c>
      <x:c r="H175" t="str">
        <x:v>8.7 - MANGUEIRAS / CONEXÕES</x:v>
      </x:c>
      <x:c r="I175" s="5" t="n">
        <x:v>290</x:v>
      </x:c>
    </x:row>
    <x:row r="176">
      <x:c r="A176" t="str">
        <x:v>DESPESAS DE OBRAS</x:v>
      </x:c>
      <x:c r="B176"/>
      <x:c r="C176" t="str">
        <x:v>015169</x:v>
      </x:c>
      <x:c r="D176" t="str">
        <x:v>CESTAS NATALINAS P/ FUNCIONÁRIOS</x:v>
      </x:c>
      <x:c r="E176" t="str">
        <x:v>P/ VALDMAR</x:v>
      </x:c>
      <x:c r="F176" s="4" t="n">
        <x:v>46030</x:v>
      </x:c>
      <x:c r="G176" t="str">
        <x:v>EUROCHEM SERRA DO SALITRE</x:v>
      </x:c>
      <x:c r="H176" t="str">
        <x:v>3.19 - SERVIÇO BRINDES E ACESSORIOS E EVENTOS</x:v>
      </x:c>
      <x:c r="I176" s="5" t="n">
        <x:v>450</x:v>
      </x:c>
    </x:row>
    <x:row r="177">
      <x:c r="A177" t="str">
        <x:v>PATRÍCIA CARVALHO</x:v>
      </x:c>
      <x:c r="B177"/>
      <x:c r="C177" t="str">
        <x:v>015170</x:v>
      </x:c>
      <x:c r="D177" t="str">
        <x:v>CONFECÇÃO CRACHÁS P/ HERIVELTON E FRANCISCO JOSE</x:v>
      </x:c>
      <x:c r="E177" t="str">
        <x:v>REEMBOLSO PATRICIA</x:v>
      </x:c>
      <x:c r="F177" s="4" t="n">
        <x:v>46030</x:v>
      </x:c>
      <x:c r="G177" t="str">
        <x:v>FOSFATO CMOC CONTRAT</x:v>
      </x:c>
      <x:c r="H177" t="str">
        <x:v>3.16 - SERVIÇO PLOTAGEM / ADESIVO / PLACAS / CRACHAS</x:v>
      </x:c>
      <x:c r="I177" s="5" t="n">
        <x:v>20</x:v>
      </x:c>
    </x:row>
    <x:row r="178">
      <x:c r="A178" t="str">
        <x:v>PATRÍCIA CARVALHO</x:v>
      </x:c>
      <x:c r="B178"/>
      <x:c r="C178" t="str">
        <x:v>015170</x:v>
      </x:c>
      <x:c r="D178" t="str">
        <x:v>CONFECÇÃO CRACHÁS P/ HERIVELTON E FRANCISCO JOSE</x:v>
      </x:c>
      <x:c r="E178" t="str">
        <x:v>REEMBOLSO PATRICIA</x:v>
      </x:c>
      <x:c r="F178" s="4" t="n">
        <x:v>46030</x:v>
      </x:c>
      <x:c r="G178" t="str">
        <x:v>NIOBIO CMOC CONTRATO</x:v>
      </x:c>
      <x:c r="H178" t="str">
        <x:v>3.16 - SERVIÇO PLOTAGEM / ADESIVO / PLACAS / CRACHAS</x:v>
      </x:c>
      <x:c r="I178" s="5" t="n">
        <x:v>20</x:v>
      </x:c>
    </x:row>
    <x:row r="179">
      <x:c r="A179" t="str">
        <x:v>CG ENGENHARIA E CONSULTORIA LTDA</x:v>
      </x:c>
      <x:c r="B179" t="str">
        <x:v>367</x:v>
      </x:c>
      <x:c r="C179" t="str">
        <x:v>015171</x:v>
      </x:c>
      <x:c r="D179" t="str">
        <x:v>EXAMES - ASO</x:v>
      </x:c>
      <x:c r="E179" t="str">
        <x:v>VENCIMENTO ORIGINAL DO BOLETO 09/02/25</x:v>
      </x:c>
      <x:c r="F179" s="4" t="n">
        <x:v>46030</x:v>
      </x:c>
      <x:c r="G179" t="str">
        <x:v>MOSAIC UBERABA CONTRAT0 3 ANOS</x:v>
      </x:c>
      <x:c r="H179" t="str">
        <x:v>14.1 - EXAMES</x:v>
      </x:c>
      <x:c r="I179" s="5" t="n">
        <x:v>255.163333</x:v>
      </x:c>
    </x:row>
    <x:row r="180">
      <x:c r="A180" t="str">
        <x:v>CG ENGENHARIA E CONSULTORIA LTDA</x:v>
      </x:c>
      <x:c r="B180" t="str">
        <x:v>367</x:v>
      </x:c>
      <x:c r="C180" t="str">
        <x:v>015171</x:v>
      </x:c>
      <x:c r="D180" t="str">
        <x:v>EXAMES - ASO</x:v>
      </x:c>
      <x:c r="E180" t="str">
        <x:v>VENCIMENTO ORIGINAL DO BOLETO 09/02/25</x:v>
      </x:c>
      <x:c r="F180" s="4" t="n">
        <x:v>46030</x:v>
      </x:c>
      <x:c r="G180" t="str">
        <x:v>EUROCHEM SERRA DO SALITRE</x:v>
      </x:c>
      <x:c r="H180" t="str">
        <x:v>14.1 - EXAMES</x:v>
      </x:c>
      <x:c r="I180" s="5" t="n">
        <x:v>255.163333</x:v>
      </x:c>
    </x:row>
    <x:row r="181">
      <x:c r="A181" t="str">
        <x:v>CG ENGENHARIA E CONSULTORIA LTDA</x:v>
      </x:c>
      <x:c r="B181" t="str">
        <x:v>367</x:v>
      </x:c>
      <x:c r="C181" t="str">
        <x:v>015171</x:v>
      </x:c>
      <x:c r="D181" t="str">
        <x:v>EXAMES - ASO</x:v>
      </x:c>
      <x:c r="E181" t="str">
        <x:v>VENCIMENTO ORIGINAL DO BOLETO 09/02/25</x:v>
      </x:c>
      <x:c r="F181" s="4" t="n">
        <x:v>46030</x:v>
      </x:c>
      <x:c r="G181" t="str">
        <x:v>CMOC CUBATÃO</x:v>
      </x:c>
      <x:c r="H181" t="str">
        <x:v>14.1 - EXAMES</x:v>
      </x:c>
      <x:c r="I181" s="5" t="n">
        <x:v>255.163333</x:v>
      </x:c>
    </x:row>
    <x:row r="182">
      <x:c r="A182" t="str">
        <x:v>VALDMAR AUGUSTO</x:v>
      </x:c>
      <x:c r="B182"/>
      <x:c r="C182" t="str">
        <x:v>015172</x:v>
      </x:c>
      <x:c r="D182" t="str">
        <x:v>DESPESAS COM A OBRA</x:v>
      </x:c>
      <x:c r="E182" t="str">
        <x:v>REEMBOLSO VALDMAR</x:v>
      </x:c>
      <x:c r="F182" s="4" t="n">
        <x:v>46030</x:v>
      </x:c>
      <x:c r="G182" t="str">
        <x:v>NIOBIO CMOC CONTRATO</x:v>
      </x:c>
      <x:c r="H182" t="str">
        <x:v>8.9 - MATERIAIS DE CONSUMO EM OBRAS</x:v>
      </x:c>
      <x:c r="I182" s="5" t="n">
        <x:v>120</x:v>
      </x:c>
    </x:row>
    <x:row r="183">
      <x:c r="A183" t="str">
        <x:v>VALDMAR AUGUSTO</x:v>
      </x:c>
      <x:c r="B183"/>
      <x:c r="C183" t="str">
        <x:v>015172</x:v>
      </x:c>
      <x:c r="D183" t="str">
        <x:v>DESPESAS COM A OBRA</x:v>
      </x:c>
      <x:c r="E183" t="str">
        <x:v>REEMBOLSO VALDMAR</x:v>
      </x:c>
      <x:c r="F183" s="4" t="n">
        <x:v>46030</x:v>
      </x:c>
      <x:c r="G183" t="str">
        <x:v>NIOBIO CMOC CONTRATO</x:v>
      </x:c>
      <x:c r="H183" t="str">
        <x:v>4.1 - TINTAS E SOLVENTES</x:v>
      </x:c>
      <x:c r="I183" s="5" t="n">
        <x:v>265</x:v>
      </x:c>
    </x:row>
    <x:row r="184">
      <x:c r="A184" t="str">
        <x:v>VALDMAR AUGUSTO</x:v>
      </x:c>
      <x:c r="B184"/>
      <x:c r="C184" t="str">
        <x:v>015172</x:v>
      </x:c>
      <x:c r="D184" t="str">
        <x:v>DESPESAS COM A OBRA</x:v>
      </x:c>
      <x:c r="E184" t="str">
        <x:v>REEMBOLSO VALDMAR</x:v>
      </x:c>
      <x:c r="F184" s="4" t="n">
        <x:v>46030</x:v>
      </x:c>
      <x:c r="G184" t="str">
        <x:v>NIOBIO CMOC CONTRATO</x:v>
      </x:c>
      <x:c r="H184" t="str">
        <x:v>12.5 - REFEIÇÕES FUNCIONARIOS</x:v>
      </x:c>
      <x:c r="I184" s="5" t="n">
        <x:v>322.23</x:v>
      </x:c>
    </x:row>
    <x:row r="185">
      <x:c r="A185" t="str">
        <x:v>VALDMAR AUGUSTO</x:v>
      </x:c>
      <x:c r="B185"/>
      <x:c r="C185" t="str">
        <x:v>015173</x:v>
      </x:c>
      <x:c r="D185" t="str">
        <x:v>COMBUSTÍVEL VEÍCULOS</x:v>
      </x:c>
      <x:c r="E185" t="str">
        <x:v>REEMBOLSO VALDMAR</x:v>
      </x:c>
      <x:c r="F185" s="4" t="n">
        <x:v>46030</x:v>
      </x:c>
      <x:c r="G185" t="str">
        <x:v>NIOBIO CMOC CONTRATO</x:v>
      </x:c>
      <x:c r="H185" t="str">
        <x:v>6.4 - COMBUSTIVEL VEICULOS</x:v>
      </x:c>
      <x:c r="I185" s="5" t="n">
        <x:v>120</x:v>
      </x:c>
    </x:row>
    <x:row r="186">
      <x:c r="A186" t="str">
        <x:v>PATRÍCIA CARVALHO</x:v>
      </x:c>
      <x:c r="B186"/>
      <x:c r="C186" t="str">
        <x:v>015174</x:v>
      </x:c>
      <x:c r="D186" t="str">
        <x:v>MATERIAL DE LIMPEZA</x:v>
      </x:c>
      <x:c r="E186"/>
      <x:c r="F186" s="4" t="n">
        <x:v>46030</x:v>
      </x:c>
      <x:c r="G186" t="str">
        <x:v>NIOBIO CMOC CONTRATO</x:v>
      </x:c>
      <x:c r="H186" t="str">
        <x:v>8.11 - MATERIAIS DE LIMPEZA / HIGIENE</x:v>
      </x:c>
      <x:c r="I186" s="5" t="n">
        <x:v>0</x:v>
      </x:c>
    </x:row>
    <x:row r="187">
      <x:c r="A187" t="str">
        <x:v>CINQUENTAO COMERCIO DE COMBUSTIVEIS LTDA</x:v>
      </x:c>
      <x:c r="B187" t="str">
        <x:v>35286</x:v>
      </x:c>
      <x:c r="C187" t="str">
        <x:v>015175</x:v>
      </x:c>
      <x:c r="D187" t="str">
        <x:v>CINQUENTAO COMERCIO DE COMBUST - PIX 04.224.679/0003-15</x:v>
      </x:c>
      <x:c r="E187" t="str">
        <x:v>COMBUSTIVEL EQUIPAMENTOS</x:v>
      </x:c>
      <x:c r="F187" s="4" t="n">
        <x:v>46030</x:v>
      </x:c>
      <x:c r="G187" t="str">
        <x:v>MOSAIC UBERABA CONTRAT0 3 ANOS</x:v>
      </x:c>
      <x:c r="H187" t="str">
        <x:v>8.13 - COMBUSTIVEL EQUIPAMENTOS</x:v>
      </x:c>
      <x:c r="I187" s="5" t="n">
        <x:v>558.5</x:v>
      </x:c>
    </x:row>
    <x:row r="188">
      <x:c r="A188" t="str">
        <x:v>REFEIÇÃO OBRAS</x:v>
      </x:c>
      <x:c r="B188"/>
      <x:c r="C188" t="str">
        <x:v>015177</x:v>
      </x:c>
      <x:c r="D188" t="str">
        <x:v>REFEIÇÕES COLABORADORES REF. 06/01 A 15/01</x:v>
      </x:c>
      <x:c r="E188"/>
      <x:c r="F188" s="4" t="n">
        <x:v>46030</x:v>
      </x:c>
      <x:c r="G188" t="str">
        <x:v>MOSAIC UBERABA CONTRAT0 3 ANOS</x:v>
      </x:c>
      <x:c r="H188" t="str">
        <x:v>12.5 - REFEIÇÕES FUNCIONARIOS</x:v>
      </x:c>
      <x:c r="I188" s="5" t="n">
        <x:v>960</x:v>
      </x:c>
    </x:row>
    <x:row r="189">
      <x:c r="A189" t="str">
        <x:v>DESPESAS VEICULOS</x:v>
      </x:c>
      <x:c r="B189"/>
      <x:c r="C189" t="str">
        <x:v>015178</x:v>
      </x:c>
      <x:c r="D189" t="str">
        <x:v>JOSIMARA DA SILVA SANTOS - PIX (62) 9 9274-5847</x:v>
      </x:c>
      <x:c r="E189" t="str">
        <x:v>RESTANTE PLOTAGEM RANGER</x:v>
      </x:c>
      <x:c r="F189" s="4" t="n">
        <x:v>46030</x:v>
      </x:c>
      <x:c r="G189" t="str">
        <x:v>SERENA 10 TORRES 2025</x:v>
      </x:c>
      <x:c r="H189" t="str">
        <x:v>3.16 - SERVIÇO PLOTAGEM / ADESIVO / PLACAS / CRACHAS</x:v>
      </x:c>
      <x:c r="I189" s="5" t="n">
        <x:v>575</x:v>
      </x:c>
    </x:row>
    <x:row r="190">
      <x:c r="A190" t="str">
        <x:v>DESPESAS DE VIAGEM</x:v>
      </x:c>
      <x:c r="B190"/>
      <x:c r="C190" t="str">
        <x:v>015179</x:v>
      </x:c>
      <x:c r="D190" t="str">
        <x:v>QUERO PASSAGEM VIAGENS E TU... - PIX 6ac14f92-ee34-4340-9b7c-02890d25a9b2</x:v>
      </x:c>
      <x:c r="E190" t="str">
        <x:v>PASSAGEM ROBERTO GOIANESIA X GOIANIA</x:v>
      </x:c>
      <x:c r="F190" s="4" t="n">
        <x:v>46030</x:v>
      </x:c>
      <x:c r="G190" t="str">
        <x:v>SERENA 10 TORRES 2025</x:v>
      </x:c>
      <x:c r="H190" t="str">
        <x:v>12.9 - PASSAGENS FUNCIONARIOS</x:v>
      </x:c>
      <x:c r="I190" s="5" t="n">
        <x:v>109.97</x:v>
      </x:c>
    </x:row>
    <x:row r="191">
      <x:c r="A191" t="str">
        <x:v>RICARDO RODRIGUES - COMERCIAL</x:v>
      </x:c>
      <x:c r="B191"/>
      <x:c r="C191" t="str">
        <x:v>015180</x:v>
      </x:c>
      <x:c r="D191" t="str">
        <x:v>COMBUSTIVEL VEICULOS</x:v>
      </x:c>
      <x:c r="E191"/>
      <x:c r="F191" s="4" t="n">
        <x:v>46030</x:v>
      </x:c>
      <x:c r="G191" t="str">
        <x:v>AGREX IMPERMEALIZAÇAO DE TELHADO</x:v>
      </x:c>
      <x:c r="H191" t="str">
        <x:v>6.4 - COMBUSTIVEL VEICULOS</x:v>
      </x:c>
      <x:c r="I191" s="5" t="n">
        <x:v>428</x:v>
      </x:c>
    </x:row>
    <x:row r="192">
      <x:c r="A192" t="str">
        <x:v>TRANSPORTADORA AQUINO E DINIZ LTDA</x:v>
      </x:c>
      <x:c r="B192" t="str">
        <x:v>3855</x:v>
      </x:c>
      <x:c r="C192" t="str">
        <x:v>015187</x:v>
      </x:c>
      <x:c r="D192" t="str">
        <x:v>TRANSP. FUNCIONÁRIOS 100 VALES 12/25 E 50 VALES 01/2026</x:v>
      </x:c>
      <x:c r="E192" t="str">
        <x:v>VENCIMENTO ORIGINAL DO BOLETO 20/01/26</x:v>
      </x:c>
      <x:c r="F192" s="4" t="n">
        <x:v>46030</x:v>
      </x:c>
      <x:c r="G192" t="str">
        <x:v>ANGLO AMERICAN</x:v>
      </x:c>
      <x:c r="H192" t="str">
        <x:v>12.7 - TRANSPORTE FUNCIONARIOS</x:v>
      </x:c>
      <x:c r="I192" s="5" t="n">
        <x:v>1511.91</x:v>
      </x:c>
    </x:row>
    <x:row r="193">
      <x:c r="A193" t="str">
        <x:v>PRO MINAS MATERIAIS DE SEGURANÇA LTDA</x:v>
      </x:c>
      <x:c r="B193" t="str">
        <x:v>87420</x:v>
      </x:c>
      <x:c r="C193" t="str">
        <x:v>015189</x:v>
      </x:c>
      <x:c r="D193" t="str">
        <x:v>MATERIAIS DE CONSUMO</x:v>
      </x:c>
      <x:c r="E193"/>
      <x:c r="F193" s="4" t="n">
        <x:v>46030</x:v>
      </x:c>
      <x:c r="G193" t="str">
        <x:v>MOSAIC UBERABA CONTRAT0 3 ANOS</x:v>
      </x:c>
      <x:c r="H193" t="str">
        <x:v>8.9 - MATERIAIS DE CONSUMO EM OBRAS</x:v>
      </x:c>
      <x:c r="I193" s="5" t="n">
        <x:v>1273</x:v>
      </x:c>
    </x:row>
    <x:row r="194">
      <x:c r="A194" t="str">
        <x:v>G17 AUTO POSTO LTDA</x:v>
      </x:c>
      <x:c r="B194" t="str">
        <x:v>34</x:v>
      </x:c>
      <x:c r="C194" t="str">
        <x:v>015223</x:v>
      </x:c>
      <x:c r="D194" t="str">
        <x:v>COMBUSTIVEL VEÍCULOS</x:v>
      </x:c>
      <x:c r="E194"/>
      <x:c r="F194" s="4" t="n">
        <x:v>46030</x:v>
      </x:c>
      <x:c r="G194" t="str">
        <x:v>SERENA 10 TORRES 2025</x:v>
      </x:c>
      <x:c r="H194" t="str">
        <x:v>6.4 - COMBUSTIVEL VEICULOS</x:v>
      </x:c>
      <x:c r="I194" s="5" t="n">
        <x:v>272.3</x:v>
      </x:c>
    </x:row>
    <x:row r="195">
      <x:c r="A195" t="str">
        <x:v>JC RESTAURANTE INDUSTRIAL NIQUELANDIA LTDA</x:v>
      </x:c>
      <x:c r="B195" t="str">
        <x:v>3950</x:v>
      </x:c>
      <x:c r="C195" t="str">
        <x:v>015868</x:v>
      </x:c>
      <x:c r="D195" t="str">
        <x:v>REFEIÇÕES FUNCIONÁRIOS</x:v>
      </x:c>
      <x:c r="E195" t="str">
        <x:v>VENCIMENTO ORIGINAL DO BOLETO 23/01/26</x:v>
      </x:c>
      <x:c r="F195" s="4" t="n">
        <x:v>46030</x:v>
      </x:c>
      <x:c r="G195" t="str">
        <x:v>FOSFATO CMOC CONTRAT</x:v>
      </x:c>
      <x:c r="H195" t="str">
        <x:v>12.5 - REFEIÇÕES FUNCIONARIOS</x:v>
      </x:c>
      <x:c r="I195" s="5" t="n">
        <x:v>4500.65</x:v>
      </x:c>
    </x:row>
    <x:row r="196">
      <x:c r="A196" t="str">
        <x:v>JC RESTAURANTE INDUSTRIAL NIQUELANDIA LTDA</x:v>
      </x:c>
      <x:c r="B196" t="str">
        <x:v>3953</x:v>
      </x:c>
      <x:c r="C196" t="str">
        <x:v>015963</x:v>
      </x:c>
      <x:c r="D196" t="str">
        <x:v>REFEIÇÕES FUNCIONÁRIOS</x:v>
      </x:c>
      <x:c r="E196" t="str">
        <x:v>VENCIMENTO ORIGINAL DO BOLETO 10/02/26</x:v>
      </x:c>
      <x:c r="F196" s="4" t="n">
        <x:v>46030</x:v>
      </x:c>
      <x:c r="G196" t="str">
        <x:v>NIOBIO CMOC CONTRATO</x:v>
      </x:c>
      <x:c r="H196" t="str">
        <x:v>12.5 - REFEIÇÕES FUNCIONARIOS</x:v>
      </x:c>
      <x:c r="I196" s="5" t="n">
        <x:v>4438.8</x:v>
      </x:c>
    </x:row>
    <x:row r="197">
      <x:c r="A197" t="str">
        <x:v>REFEIÇÃO OBRAS</x:v>
      </x:c>
      <x:c r="B197"/>
      <x:c r="C197" t="str">
        <x:v>015183</x:v>
      </x:c>
      <x:c r="D197" t="str">
        <x:v>REFEIÇÕES COLABORADORES REF. 08/01 A 15/01</x:v>
      </x:c>
      <x:c r="E197" t="str">
        <x:v>FUNCIONARIO SEVERINO CAMARA</x:v>
      </x:c>
      <x:c r="F197" s="4" t="n">
        <x:v>46031</x:v>
      </x:c>
      <x:c r="G197" t="str">
        <x:v>EUROCHEM SERRA DO SALITRE</x:v>
      </x:c>
      <x:c r="H197" t="str">
        <x:v>12.5 - REFEIÇÕES FUNCIONARIOS</x:v>
      </x:c>
      <x:c r="I197" s="5" t="n">
        <x:v>420</x:v>
      </x:c>
    </x:row>
    <x:row r="198">
      <x:c r="A198" t="str">
        <x:v>MERCADO</x:v>
      </x:c>
      <x:c r="B198"/>
      <x:c r="C198" t="str">
        <x:v>015184</x:v>
      </x:c>
      <x:c r="D198" t="str">
        <x:v>ALIMENTAÇÃO ADM</x:v>
      </x:c>
      <x:c r="E198" t="str">
        <x:v>PAGAMENTO FEITO EM DÉBITO</x:v>
      </x:c>
      <x:c r="F198" s="4" t="n">
        <x:v>46031</x:v>
      </x:c>
      <x:c r="G198" t="str">
        <x:v>ADMINISTRATIVO</x:v>
      </x:c>
      <x:c r="H198" t="str">
        <x:v>11.5 - ALIMENTAÇÃO ADM</x:v>
      </x:c>
      <x:c r="I198" s="5" t="n">
        <x:v>259.14</x:v>
      </x:c>
    </x:row>
    <x:row r="199">
      <x:c r="A199" t="str">
        <x:v>ALCON ENGENHARIA DE SISTEMA LTDA</x:v>
      </x:c>
      <x:c r="B199" t="str">
        <x:v>15149</x:v>
      </x:c>
      <x:c r="C199" t="str">
        <x:v>015188</x:v>
      </x:c>
      <x:c r="D199" t="str">
        <x:v>LOCAÇÃO RÁDIO PERÍODO 15/12 A 14/01</x:v>
      </x:c>
      <x:c r="E199" t="str">
        <x:v>VENCIMENTO ORIGINAL DO BOLETO 23/02/26</x:v>
      </x:c>
      <x:c r="F199" s="4" t="n">
        <x:v>46031</x:v>
      </x:c>
      <x:c r="G199" t="str">
        <x:v>VLI PINTURA</x:v>
      </x:c>
      <x:c r="H199" t="str">
        <x:v>7.10 - LOCAÇAO RADIOS DE COMUNICAÇÃO</x:v>
      </x:c>
      <x:c r="I199" s="5" t="n">
        <x:v>903.54</x:v>
      </x:c>
    </x:row>
    <x:row r="200">
      <x:c r="A200" t="str">
        <x:v>RESCISOES / FGTS</x:v>
      </x:c>
      <x:c r="B200"/>
      <x:c r="C200" t="str">
        <x:v>015192</x:v>
      </x:c>
      <x:c r="D200" t="str">
        <x:v>DARCI GRAÇA FILHO</x:v>
      </x:c>
      <x:c r="E200" t="str">
        <x:v>MULTA RESCISÓRIA</x:v>
      </x:c>
      <x:c r="F200" s="4" t="n">
        <x:v>46031</x:v>
      </x:c>
      <x:c r="G200" t="str">
        <x:v>EUROCHEM SERRA DO SALITRE</x:v>
      </x:c>
      <x:c r="H200" t="str">
        <x:v>12.4 - MULTA RESCISORIAS FGTS</x:v>
      </x:c>
      <x:c r="I200" s="5" t="n">
        <x:v>1142.96</x:v>
      </x:c>
    </x:row>
    <x:row r="201">
      <x:c r="A201" t="str">
        <x:v>UBER JULIANO</x:v>
      </x:c>
      <x:c r="B201"/>
      <x:c r="C201" t="str">
        <x:v>015193</x:v>
      </x:c>
      <x:c r="D201" t="str">
        <x:v>NUBYA REGINA RODRIGUES - PIX (64) 9 8134-4382</x:v>
      </x:c>
      <x:c r="E201" t="str">
        <x:v>TRANSPORTE COLABORADORES REF. 15/12 A 19/12</x:v>
      </x:c>
      <x:c r="F201" s="4" t="n">
        <x:v>46031</x:v>
      </x:c>
      <x:c r="G201" t="str">
        <x:v>NIOBIO CMOC CONTRATO</x:v>
      </x:c>
      <x:c r="H201" t="str">
        <x:v>12.7 - TRANSPORTE FUNCIONARIOS</x:v>
      </x:c>
      <x:c r="I201" s="5" t="n">
        <x:v>395</x:v>
      </x:c>
    </x:row>
    <x:row r="202">
      <x:c r="A202" t="str">
        <x:v>LAVA JATO OBRAS</x:v>
      </x:c>
      <x:c r="B202"/>
      <x:c r="C202" t="str">
        <x:v>015197</x:v>
      </x:c>
      <x:c r="D202" t="str">
        <x:v>ENILSON MARTINS ALCIDES - PIX 62.841.673/0001-21</x:v>
      </x:c>
      <x:c r="E202" t="str">
        <x:v>LAVAGEM OROCH E MICROONIBUS</x:v>
      </x:c>
      <x:c r="F202" s="4" t="n">
        <x:v>46031</x:v>
      </x:c>
      <x:c r="G202" t="str">
        <x:v>FOSFATO CMOC CONTRAT</x:v>
      </x:c>
      <x:c r="H202" t="str">
        <x:v>6.10 - SERVIÇO LAVA JATO</x:v>
      </x:c>
      <x:c r="I202" s="5" t="n">
        <x:v>235</x:v>
      </x:c>
    </x:row>
    <x:row r="203">
      <x:c r="A203" t="str">
        <x:v>LAVA JATO OBRAS</x:v>
      </x:c>
      <x:c r="B203"/>
      <x:c r="C203" t="str">
        <x:v>015197</x:v>
      </x:c>
      <x:c r="D203" t="str">
        <x:v>ENILSON MARTINS ALCIDES - PIX 62.841.673/0001-21</x:v>
      </x:c>
      <x:c r="E203" t="str">
        <x:v>LAVAGEM OROCH E MICROONIBUS</x:v>
      </x:c>
      <x:c r="F203" s="4" t="n">
        <x:v>46031</x:v>
      </x:c>
      <x:c r="G203" t="str">
        <x:v>NIOBIO CMOC CONTRATO</x:v>
      </x:c>
      <x:c r="H203" t="str">
        <x:v>6.10 - SERVIÇO LAVA JATO</x:v>
      </x:c>
      <x:c r="I203" s="5" t="n">
        <x:v>235</x:v>
      </x:c>
    </x:row>
    <x:row r="204">
      <x:c r="A204" t="str">
        <x:v>DESPESAS VEICULOS</x:v>
      </x:c>
      <x:c r="B204"/>
      <x:c r="C204" t="str">
        <x:v>015198</x:v>
      </x:c>
      <x:c r="D204" t="str">
        <x:v>ALINHAMENTO E BALANCEAMENTO OROCH</x:v>
      </x:c>
      <x:c r="E204" t="str">
        <x:v>REEMBOLSO VALDMAR</x:v>
      </x:c>
      <x:c r="F204" s="4" t="n">
        <x:v>46031</x:v>
      </x:c>
      <x:c r="G204" t="str">
        <x:v>FOSFATO CMOC CONTRAT</x:v>
      </x:c>
      <x:c r="H204" t="str">
        <x:v>6.3 - MANUTENÇÃO/PEÇAS  VEICULOS</x:v>
      </x:c>
      <x:c r="I204" s="5" t="n">
        <x:v>170</x:v>
      </x:c>
    </x:row>
    <x:row r="205">
      <x:c r="A205" t="str">
        <x:v>VALDMAR AUGUSTO</x:v>
      </x:c>
      <x:c r="B205"/>
      <x:c r="C205" t="str">
        <x:v>015199</x:v>
      </x:c>
      <x:c r="D205" t="str">
        <x:v>VIAGEM VALDMAR FAZER VISITA NA OBRA EUROCHEM</x:v>
      </x:c>
      <x:c r="E205"/>
      <x:c r="F205" s="4" t="n">
        <x:v>46031</x:v>
      </x:c>
      <x:c r="G205" t="str">
        <x:v>EUROCHEM SERRA DO SALITRE</x:v>
      </x:c>
      <x:c r="H205" t="str">
        <x:v>6.4 - COMBUSTIVEL VEICULOS</x:v>
      </x:c>
      <x:c r="I205" s="5" t="n">
        <x:v>200</x:v>
      </x:c>
    </x:row>
    <x:row r="206">
      <x:c r="A206" t="str">
        <x:v>DESPESAS DE OBRAS</x:v>
      </x:c>
      <x:c r="B206"/>
      <x:c r="C206" t="str">
        <x:v>015200</x:v>
      </x:c>
      <x:c r="D206" t="str">
        <x:v>MAIARA DE ANDRADE SILVA - PIX 349.982.742-93</x:v>
      </x:c>
      <x:c r="E206" t="str">
        <x:v>REF. MANUTENÇÃO PIA DA COZINHA DO ALOJAMENTO</x:v>
      </x:c>
      <x:c r="F206" s="4" t="n">
        <x:v>46031</x:v>
      </x:c>
      <x:c r="G206" t="str">
        <x:v>EUROCHEM SERRA DO SALITRE</x:v>
      </x:c>
      <x:c r="H206" t="str">
        <x:v>8.14 - MANUTENÇÃO/PEÇAS MAQUINAS E EQUIPAMENTOS</x:v>
      </x:c>
      <x:c r="I206" s="5" t="n">
        <x:v>250</x:v>
      </x:c>
    </x:row>
    <x:row r="207">
      <x:c r="A207" t="str">
        <x:v>RESCISOES / FGTS</x:v>
      </x:c>
      <x:c r="B207"/>
      <x:c r="C207" t="str">
        <x:v>015202</x:v>
      </x:c>
      <x:c r="D207" t="str">
        <x:v>GUILHERME CABRAL SILVA</x:v>
      </x:c>
      <x:c r="E207" t="str">
        <x:v>MULTA RESCISÓRIA</x:v>
      </x:c>
      <x:c r="F207" s="4" t="n">
        <x:v>46031</x:v>
      </x:c>
      <x:c r="G207" t="str">
        <x:v>SERENA 10 TORRES 2025</x:v>
      </x:c>
      <x:c r="H207" t="str">
        <x:v>12.4 - MULTA RESCISORIAS FGTS</x:v>
      </x:c>
      <x:c r="I207" s="5" t="n">
        <x:v>621.41</x:v>
      </x:c>
    </x:row>
    <x:row r="208">
      <x:c r="A208" t="str">
        <x:v>CLARUS COM DE EPI'S E FERRAMENTAS LTDA</x:v>
      </x:c>
      <x:c r="B208" t="str">
        <x:v>258305</x:v>
      </x:c>
      <x:c r="C208" t="str">
        <x:v>015203</x:v>
      </x:c>
      <x:c r="D208" t="str">
        <x:v>EPIS</x:v>
      </x:c>
      <x:c r="E208"/>
      <x:c r="F208" s="4" t="n">
        <x:v>46031</x:v>
      </x:c>
      <x:c r="G208" t="str">
        <x:v>VLI PINTURA</x:v>
      </x:c>
      <x:c r="H208" t="str">
        <x:v>13.1 - EPIS</x:v>
      </x:c>
      <x:c r="I208" s="5" t="n">
        <x:v>406</x:v>
      </x:c>
    </x:row>
    <x:row r="209">
      <x:c r="A209" t="str">
        <x:v>FOLHA DE PAGAMENTO</x:v>
      </x:c>
      <x:c r="B209"/>
      <x:c r="C209" t="str">
        <x:v>015204</x:v>
      </x:c>
      <x:c r="D209" t="str">
        <x:v>NATALIA GRASIELY OLIVEIRA DOS SANTOS - PIX 046.431.875-05</x:v>
      </x:c>
      <x:c r="E209" t="str">
        <x:v>REF. PENSÃO ALIMENTÍCIA FILHO DO EVERTON</x:v>
      </x:c>
      <x:c r="F209" s="4" t="n">
        <x:v>46031</x:v>
      </x:c>
      <x:c r="G209" t="str">
        <x:v>CONDUTOS UG 1 - ELETROBRAS</x:v>
      </x:c>
      <x:c r="H209" t="str">
        <x:v>12.1 - SALARIO</x:v>
      </x:c>
      <x:c r="I209" s="5" t="n">
        <x:v>34.2</x:v>
      </x:c>
    </x:row>
    <x:row r="210">
      <x:c r="A210" t="str">
        <x:v>MAGNO</x:v>
      </x:c>
      <x:c r="B210"/>
      <x:c r="C210" t="str">
        <x:v>015205</x:v>
      </x:c>
      <x:c r="D210" t="str">
        <x:v>DESPESAS REF. 09/12 A 27/12</x:v>
      </x:c>
      <x:c r="E210" t="str">
        <x:v>REEMBOLSO MAGNO</x:v>
      </x:c>
      <x:c r="F210" s="4" t="n">
        <x:v>46031</x:v>
      </x:c>
      <x:c r="G210" t="str">
        <x:v>CMOC CUBATÃO</x:v>
      </x:c>
      <x:c r="H210" t="str">
        <x:v>3.8 - SERVIÇO MOTOBOY / UBER</x:v>
      </x:c>
      <x:c r="I210" s="5" t="n">
        <x:v>465.73</x:v>
      </x:c>
    </x:row>
    <x:row r="211">
      <x:c r="A211" t="str">
        <x:v>VAN OBRAS</x:v>
      </x:c>
      <x:c r="B211"/>
      <x:c r="C211" t="str">
        <x:v>015213</x:v>
      </x:c>
      <x:c r="D211" t="str">
        <x:v>EDIVALDO PEREIRA DE ARAUJO - PIX (34) 9 9907-1602</x:v>
      </x:c>
      <x:c r="E211" t="str">
        <x:v>TRANSPORTE COLABORADORES 22/12 A 04/01/26</x:v>
      </x:c>
      <x:c r="F211" s="4" t="n">
        <x:v>46031</x:v>
      </x:c>
      <x:c r="G211" t="str">
        <x:v>EUROCHEM SERRA DO SALITRE</x:v>
      </x:c>
      <x:c r="H211" t="str">
        <x:v>12.7 - TRANSPORTE FUNCIONARIOS</x:v>
      </x:c>
      <x:c r="I211" s="5" t="n">
        <x:v>1425</x:v>
      </x:c>
    </x:row>
    <x:row r="212">
      <x:c r="A212" t="str">
        <x:v>CLINICA OBRAS</x:v>
      </x:c>
      <x:c r="B212" t="str">
        <x:v>4575</x:v>
      </x:c>
      <x:c r="C212" t="str">
        <x:v>015214</x:v>
      </x:c>
      <x:c r="D212" t="str">
        <x:v>GOMES E FERREIRA E RODRIGUES OLIVEIRA LTDA - PIX 21.092.348/0001-26</x:v>
      </x:c>
      <x:c r="E212" t="str">
        <x:v>EXAMES</x:v>
      </x:c>
      <x:c r="F212" s="4" t="n">
        <x:v>46031</x:v>
      </x:c>
      <x:c r="G212" t="str">
        <x:v>ANGLO AMERICAN</x:v>
      </x:c>
      <x:c r="H212" t="str">
        <x:v>14.1 - EXAMES</x:v>
      </x:c>
      <x:c r="I212" s="5" t="n">
        <x:v>387</x:v>
      </x:c>
    </x:row>
    <x:row r="213">
      <x:c r="A213" t="str">
        <x:v>SAO JOSE COMERCIO DE EMBALAGENS LTDA</x:v>
      </x:c>
      <x:c r="B213" t="str">
        <x:v>40590</x:v>
      </x:c>
      <x:c r="C213" t="str">
        <x:v>015215</x:v>
      </x:c>
      <x:c r="D213" t="str">
        <x:v>MATERIAIS DE CONSUMO</x:v>
      </x:c>
      <x:c r="E213" t="str">
        <x:v>REEMBOLSO REINALDO DIAS</x:v>
      </x:c>
      <x:c r="F213" s="4" t="n">
        <x:v>46031</x:v>
      </x:c>
      <x:c r="G213" t="str">
        <x:v>ADMINISTRATIVO</x:v>
      </x:c>
      <x:c r="H213" t="str">
        <x:v>8.9 - MATERIAIS DE CONSUMO EM OBRAS</x:v>
      </x:c>
      <x:c r="I213" s="5" t="n">
        <x:v>49.8</x:v>
      </x:c>
    </x:row>
    <x:row r="214">
      <x:c r="A214" t="str">
        <x:v>MAGNO</x:v>
      </x:c>
      <x:c r="B214"/>
      <x:c r="C214" t="str">
        <x:v>015219</x:v>
      </x:c>
      <x:c r="D214" t="str">
        <x:v>DESPESAS REF. 09/12 A 27/12</x:v>
      </x:c>
      <x:c r="E214" t="str">
        <x:v>REEMBOLSO MAGNO</x:v>
      </x:c>
      <x:c r="F214" s="4" t="n">
        <x:v>46031</x:v>
      </x:c>
      <x:c r="G214" t="str">
        <x:v>MOSAIC UBERABA CONTRAT0 3 ANOS</x:v>
      </x:c>
      <x:c r="H214" t="str">
        <x:v>6.4 - COMBUSTIVEL VEICULOS</x:v>
      </x:c>
      <x:c r="I214" s="5" t="n">
        <x:v>160.61</x:v>
      </x:c>
    </x:row>
    <x:row r="215">
      <x:c r="A215" t="str">
        <x:v>MAGNO</x:v>
      </x:c>
      <x:c r="B215"/>
      <x:c r="C215" t="str">
        <x:v>015220</x:v>
      </x:c>
      <x:c r="D215" t="str">
        <x:v>DESPESAS REF. 09/12 A 27/12</x:v>
      </x:c>
      <x:c r="E215" t="str">
        <x:v>REEMBOLSO MAGNO</x:v>
      </x:c>
      <x:c r="F215" s="4" t="n">
        <x:v>46031</x:v>
      </x:c>
      <x:c r="G215" t="str">
        <x:v>MOSAIC UBERABA CONTRAT0 3 ANOS</x:v>
      </x:c>
      <x:c r="H215" t="str">
        <x:v>11.14 - INTERNET OBRAS</x:v>
      </x:c>
      <x:c r="I215" s="5" t="n">
        <x:v>94.89</x:v>
      </x:c>
    </x:row>
    <x:row r="216">
      <x:c r="A216" t="str">
        <x:v>MAGNO</x:v>
      </x:c>
      <x:c r="B216"/>
      <x:c r="C216" t="str">
        <x:v>015220</x:v>
      </x:c>
      <x:c r="D216" t="str">
        <x:v>DESPESAS REF. 09/12 A 27/12</x:v>
      </x:c>
      <x:c r="E216" t="str">
        <x:v>REEMBOLSO MAGNO</x:v>
      </x:c>
      <x:c r="F216" s="4" t="n">
        <x:v>46031</x:v>
      </x:c>
      <x:c r="G216" t="str">
        <x:v>MOSAIC UBERABA CONTRAT0 3 ANOS</x:v>
      </x:c>
      <x:c r="H216" t="str">
        <x:v>12.5 - REFEIÇÕES FUNCIONARIOS</x:v>
      </x:c>
      <x:c r="I216" s="5" t="n">
        <x:v>122</x:v>
      </x:c>
    </x:row>
    <x:row r="217">
      <x:c r="A217" t="str">
        <x:v>MAGNO</x:v>
      </x:c>
      <x:c r="B217"/>
      <x:c r="C217" t="str">
        <x:v>015220</x:v>
      </x:c>
      <x:c r="D217" t="str">
        <x:v>DESPESAS REF. 09/12 A 27/12</x:v>
      </x:c>
      <x:c r="E217" t="str">
        <x:v>REEMBOLSO MAGNO</x:v>
      </x:c>
      <x:c r="F217" s="4" t="n">
        <x:v>46031</x:v>
      </x:c>
      <x:c r="G217" t="str">
        <x:v>MOSAIC UBERABA CONTRAT0 3 ANOS</x:v>
      </x:c>
      <x:c r="H217" t="str">
        <x:v>6.10 - SERVIÇO LAVA JATO</x:v>
      </x:c>
      <x:c r="I217" s="5" t="n">
        <x:v>130</x:v>
      </x:c>
    </x:row>
    <x:row r="218">
      <x:c r="A218" t="str">
        <x:v>MAGNO</x:v>
      </x:c>
      <x:c r="B218"/>
      <x:c r="C218" t="str">
        <x:v>015220</x:v>
      </x:c>
      <x:c r="D218" t="str">
        <x:v>DESPESAS REF. 09/12 A 27/12</x:v>
      </x:c>
      <x:c r="E218" t="str">
        <x:v>REEMBOLSO MAGNO</x:v>
      </x:c>
      <x:c r="F218" s="4" t="n">
        <x:v>46031</x:v>
      </x:c>
      <x:c r="G218" t="str">
        <x:v>MOSAIC UBERABA CONTRAT0 3 ANOS</x:v>
      </x:c>
      <x:c r="H218" t="str">
        <x:v>6.6 - PEDAGIOS</x:v>
      </x:c>
      <x:c r="I218" s="5" t="n">
        <x:v>193.9</x:v>
      </x:c>
    </x:row>
    <x:row r="219">
      <x:c r="A219" t="str">
        <x:v>MAGNO</x:v>
      </x:c>
      <x:c r="B219"/>
      <x:c r="C219" t="str">
        <x:v>015220</x:v>
      </x:c>
      <x:c r="D219" t="str">
        <x:v>DESPESAS REF. 09/12 A 27/12</x:v>
      </x:c>
      <x:c r="E219" t="str">
        <x:v>REEMBOLSO MAGNO</x:v>
      </x:c>
      <x:c r="F219" s="4" t="n">
        <x:v>46031</x:v>
      </x:c>
      <x:c r="G219" t="str">
        <x:v>MOSAIC UBERABA CONTRAT0 3 ANOS</x:v>
      </x:c>
      <x:c r="H219" t="str">
        <x:v>3.8 - SERVIÇO MOTOBOY / UBER</x:v>
      </x:c>
      <x:c r="I219" s="5" t="n">
        <x:v>542.02</x:v>
      </x:c>
    </x:row>
    <x:row r="220">
      <x:c r="A220" t="str">
        <x:v>YCARO GOMES</x:v>
      </x:c>
      <x:c r="B220"/>
      <x:c r="C220" t="str">
        <x:v>015221</x:v>
      </x:c>
      <x:c r="D220" t="str">
        <x:v>DESPESAS REF. 26/12 A 29/12/25</x:v>
      </x:c>
      <x:c r="E220" t="str">
        <x:v>REEMBOLSO YCARO</x:v>
      </x:c>
      <x:c r="F220" s="4" t="n">
        <x:v>46031</x:v>
      </x:c>
      <x:c r="G220" t="str">
        <x:v>VLI PINTURA</x:v>
      </x:c>
      <x:c r="H220" t="str">
        <x:v>6.4 - COMBUSTIVEL VEICULOS</x:v>
      </x:c>
      <x:c r="I220" s="5" t="n">
        <x:v>1931.08</x:v>
      </x:c>
    </x:row>
    <x:row r="221">
      <x:c r="A221" t="str">
        <x:v>YCARO GOMES</x:v>
      </x:c>
      <x:c r="B221"/>
      <x:c r="C221" t="str">
        <x:v>015222</x:v>
      </x:c>
      <x:c r="D221" t="str">
        <x:v>DESPESAS REF. 26/12 A 29/12/25</x:v>
      </x:c>
      <x:c r="E221" t="str">
        <x:v>REEMBOLSO YCARO</x:v>
      </x:c>
      <x:c r="F221" s="4" t="n">
        <x:v>46031</x:v>
      </x:c>
      <x:c r="G221" t="str">
        <x:v>VLI PINTURA</x:v>
      </x:c>
      <x:c r="H221" t="str">
        <x:v>5.2 - LAVANDERIA</x:v>
      </x:c>
      <x:c r="I221" s="5" t="n">
        <x:v>40</x:v>
      </x:c>
    </x:row>
    <x:row r="222">
      <x:c r="A222" t="str">
        <x:v>YCARO GOMES</x:v>
      </x:c>
      <x:c r="B222"/>
      <x:c r="C222" t="str">
        <x:v>015222</x:v>
      </x:c>
      <x:c r="D222" t="str">
        <x:v>DESPESAS REF. 26/12 A 29/12/25</x:v>
      </x:c>
      <x:c r="E222" t="str">
        <x:v>REEMBOLSO YCARO</x:v>
      </x:c>
      <x:c r="F222" s="4" t="n">
        <x:v>46031</x:v>
      </x:c>
      <x:c r="G222" t="str">
        <x:v>VLI PINTURA</x:v>
      </x:c>
      <x:c r="H222" t="str">
        <x:v>8.10 - MATERIAS DE ESCRITORIO</x:v>
      </x:c>
      <x:c r="I222" s="5" t="n">
        <x:v>60</x:v>
      </x:c>
    </x:row>
    <x:row r="223">
      <x:c r="A223" t="str">
        <x:v>YCARO GOMES</x:v>
      </x:c>
      <x:c r="B223"/>
      <x:c r="C223" t="str">
        <x:v>015222</x:v>
      </x:c>
      <x:c r="D223" t="str">
        <x:v>DESPESAS REF. 26/12 A 29/12/25</x:v>
      </x:c>
      <x:c r="E223" t="str">
        <x:v>REEMBOLSO YCARO</x:v>
      </x:c>
      <x:c r="F223" s="4" t="n">
        <x:v>46031</x:v>
      </x:c>
      <x:c r="G223" t="str">
        <x:v>VLI PINTURA</x:v>
      </x:c>
      <x:c r="H223" t="str">
        <x:v>3.7 - SERVIÇO LIMPEZA ALOJAMENTO/ESCRITORIO</x:v>
      </x:c>
      <x:c r="I223" s="5" t="n">
        <x:v>117</x:v>
      </x:c>
    </x:row>
    <x:row r="224">
      <x:c r="A224" t="str">
        <x:v>YCARO GOMES</x:v>
      </x:c>
      <x:c r="B224"/>
      <x:c r="C224" t="str">
        <x:v>015222</x:v>
      </x:c>
      <x:c r="D224" t="str">
        <x:v>DESPESAS REF. 26/12 A 29/12/25</x:v>
      </x:c>
      <x:c r="E224" t="str">
        <x:v>REEMBOLSO YCARO</x:v>
      </x:c>
      <x:c r="F224" s="4" t="n">
        <x:v>46031</x:v>
      </x:c>
      <x:c r="G224" t="str">
        <x:v>VLI PINTURA</x:v>
      </x:c>
      <x:c r="H224" t="str">
        <x:v>12.5 - REFEIÇÕES FUNCIONARIOS</x:v>
      </x:c>
      <x:c r="I224" s="5" t="n">
        <x:v>163.79</x:v>
      </x:c>
    </x:row>
    <x:row r="225">
      <x:c r="A225" t="str">
        <x:v>YCARO GOMES</x:v>
      </x:c>
      <x:c r="B225"/>
      <x:c r="C225" t="str">
        <x:v>015222</x:v>
      </x:c>
      <x:c r="D225" t="str">
        <x:v>DESPESAS REF. 26/12 A 29/12/25</x:v>
      </x:c>
      <x:c r="E225" t="str">
        <x:v>REEMBOLSO YCARO</x:v>
      </x:c>
      <x:c r="F225" s="4" t="n">
        <x:v>46031</x:v>
      </x:c>
      <x:c r="G225" t="str">
        <x:v>VLI PINTURA</x:v>
      </x:c>
      <x:c r="H225" t="str">
        <x:v>5.1 - HOTEL FUNCIONARIOS</x:v>
      </x:c>
      <x:c r="I225" s="5" t="n">
        <x:v>170</x:v>
      </x:c>
    </x:row>
    <x:row r="226">
      <x:c r="A226" t="str">
        <x:v>SINDICATO DOS TRABALHADORES METABASE</x:v>
      </x:c>
      <x:c r="B226"/>
      <x:c r="C226" t="str">
        <x:v>015226</x:v>
      </x:c>
      <x:c r="D226" t="str">
        <x:v>CONTRIBUIÇÃO ASSOCIATIVA - ACT 2025-2026</x:v>
      </x:c>
      <x:c r="E226"/>
      <x:c r="F226" s="4" t="n">
        <x:v>46031</x:v>
      </x:c>
      <x:c r="G226" t="str">
        <x:v>EUROCHEM SERRA DO SALITRE</x:v>
      </x:c>
      <x:c r="H226" t="str">
        <x:v>12.8 - SINDICATO</x:v>
      </x:c>
      <x:c r="I226" s="5" t="n">
        <x:v>3600</x:v>
      </x:c>
    </x:row>
    <x:row r="227">
      <x:c r="A227" t="str">
        <x:v>RODOVIARIA MATEUS CABEÇA BRANCA</x:v>
      </x:c>
      <x:c r="B227"/>
      <x:c r="C227" t="str">
        <x:v>015227</x:v>
      </x:c>
      <x:c r="D227" t="str">
        <x:v>PASSAGENS DA SEMANA 29-12 A 02-01</x:v>
      </x:c>
      <x:c r="E227"/>
      <x:c r="F227" s="4" t="n">
        <x:v>46031</x:v>
      </x:c>
      <x:c r="G227" t="str">
        <x:v>ANGLO AMERICAN</x:v>
      </x:c>
      <x:c r="H227" t="str">
        <x:v>12.9 - PASSAGENS FUNCIONARIOS</x:v>
      </x:c>
      <x:c r="I227" s="5" t="n">
        <x:v>1654.99</x:v>
      </x:c>
    </x:row>
    <x:row r="228">
      <x:c r="A228" t="str">
        <x:v>RODOVIARIA MATEUS CABEÇA BRANCA</x:v>
      </x:c>
      <x:c r="B228"/>
      <x:c r="C228" t="str">
        <x:v>015227</x:v>
      </x:c>
      <x:c r="D228" t="str">
        <x:v>PASSAGENS DA SEMANA 29-12 A 02-01</x:v>
      </x:c>
      <x:c r="E228"/>
      <x:c r="F228" s="4" t="n">
        <x:v>46031</x:v>
      </x:c>
      <x:c r="G228" t="str">
        <x:v>SERENA 10 TORRES 2025</x:v>
      </x:c>
      <x:c r="H228" t="str">
        <x:v>12.9 - PASSAGENS FUNCIONARIOS</x:v>
      </x:c>
      <x:c r="I228" s="5" t="n">
        <x:v>3257.51</x:v>
      </x:c>
    </x:row>
    <x:row r="229">
      <x:c r="A229" t="str">
        <x:v>DESPESAS DE VIAGEM</x:v>
      </x:c>
      <x:c r="B229"/>
      <x:c r="C229" t="str">
        <x:v>015228</x:v>
      </x:c>
      <x:c r="D229" t="str">
        <x:v>CARLOS ANTONIO - EDIVALDO RIBEIRO</x:v>
      </x:c>
      <x:c r="E229" t="str">
        <x:v>PASSAGEM DE RETORNO REEM - VLI</x:v>
      </x:c>
      <x:c r="F229" s="4" t="n">
        <x:v>46031</x:v>
      </x:c>
      <x:c r="G229" t="str">
        <x:v>VLI PINTURA</x:v>
      </x:c>
      <x:c r="H229" t="str">
        <x:v>12.5 - REFEIÇÕES FUNCIONARIOS</x:v>
      </x:c>
      <x:c r="I229" s="5" t="n">
        <x:v>320</x:v>
      </x:c>
    </x:row>
    <x:row r="230">
      <x:c r="A230" t="str">
        <x:v>DESPESAS DE VIAGEM</x:v>
      </x:c>
      <x:c r="B230"/>
      <x:c r="C230" t="str">
        <x:v>015228</x:v>
      </x:c>
      <x:c r="D230" t="str">
        <x:v>CARLOS ANTONIO - EDIVALDO RIBEIRO</x:v>
      </x:c>
      <x:c r="E230" t="str">
        <x:v>PASSAGEM DE RETORNO REEM - VLI</x:v>
      </x:c>
      <x:c r="F230" s="4" t="n">
        <x:v>46031</x:v>
      </x:c>
      <x:c r="G230" t="str">
        <x:v>VLI PINTURA</x:v>
      </x:c>
      <x:c r="H230" t="str">
        <x:v>12.9 - PASSAGENS FUNCIONARIOS</x:v>
      </x:c>
      <x:c r="I230" s="5" t="n">
        <x:v>660</x:v>
      </x:c>
    </x:row>
    <x:row r="231">
      <x:c r="A231" t="str">
        <x:v>UBER OBRAS</x:v>
      </x:c>
      <x:c r="B231"/>
      <x:c r="C231" t="str">
        <x:v>015229</x:v>
      </x:c>
      <x:c r="D231" t="str">
        <x:v>UBER MAXSSANDER MENEZES DE OLIVIERA</x:v>
      </x:c>
      <x:c r="E231" t="str">
        <x:v>LAVA JATO X AIDEAL</x:v>
      </x:c>
      <x:c r="F231" s="4" t="n">
        <x:v>46031</x:v>
      </x:c>
      <x:c r="G231" t="str">
        <x:v>ADMINISTRATIVO</x:v>
      </x:c>
      <x:c r="H231" t="str">
        <x:v>3.8 - SERVIÇO MOTOBOY / UBER</x:v>
      </x:c>
      <x:c r="I231" s="5" t="n">
        <x:v>36.8</x:v>
      </x:c>
    </x:row>
    <x:row r="232">
      <x:c r="A232" t="str">
        <x:v>POUPAY</x:v>
      </x:c>
      <x:c r="B232"/>
      <x:c r="C232" t="str">
        <x:v>015230</x:v>
      </x:c>
      <x:c r="D232" t="str">
        <x:v>CERTIFICADO DIGITAL - AIDEAL SOLUCOES</x:v>
      </x:c>
      <x:c r="E232"/>
      <x:c r="F232" s="4" t="n">
        <x:v>46031</x:v>
      </x:c>
      <x:c r="G232" t="str">
        <x:v>ADMINISTRATIVO</x:v>
      </x:c>
      <x:c r="H232" t="str">
        <x:v>3.13 - SERVIÇO CARTORIO</x:v>
      </x:c>
      <x:c r="I232" s="5" t="n">
        <x:v>139</x:v>
      </x:c>
    </x:row>
    <x:row r="233">
      <x:c r="A233" t="str">
        <x:v>POUPAY</x:v>
      </x:c>
      <x:c r="B233"/>
      <x:c r="C233" t="str">
        <x:v>015231</x:v>
      </x:c>
      <x:c r="D233" t="str">
        <x:v>CERTIFICADO DIGITAL - AIDEAL ISOLAMENTO</x:v>
      </x:c>
      <x:c r="E233"/>
      <x:c r="F233" s="4" t="n">
        <x:v>46031</x:v>
      </x:c>
      <x:c r="G233" t="str">
        <x:v>ADMINISTRATIVO</x:v>
      </x:c>
      <x:c r="H233" t="str">
        <x:v>3.13 - SERVIÇO CARTORIO</x:v>
      </x:c>
      <x:c r="I233" s="5" t="n">
        <x:v>139</x:v>
      </x:c>
    </x:row>
    <x:row r="234">
      <x:c r="A234" t="str">
        <x:v>FOLHA DE PAGAMENTO</x:v>
      </x:c>
      <x:c r="B234"/>
      <x:c r="C234" t="str">
        <x:v>015232</x:v>
      </x:c>
      <x:c r="D234" t="str">
        <x:v>PERICULOSIDADE EXTRAORDIANRIA - REINALDO RIBEIRO - EVERTON</x:v>
      </x:c>
      <x:c r="E234"/>
      <x:c r="F234" s="4" t="n">
        <x:v>46031</x:v>
      </x:c>
      <x:c r="G234" t="str">
        <x:v>COMPORTAS - PORTO FERREIRA</x:v>
      </x:c>
      <x:c r="H234" t="str">
        <x:v>12.1 - SALARIO</x:v>
      </x:c>
      <x:c r="I234" s="5" t="n">
        <x:v>808.2</x:v>
      </x:c>
    </x:row>
    <x:row r="235">
      <x:c r="A235" t="str">
        <x:v>EMPRESA BRASILEIRA DE BENEFICIOS E PAGAMENTOS INSTITUICAO DE PAGAMENTO LTDA</x:v>
      </x:c>
      <x:c r="B235"/>
      <x:c r="C235" t="str">
        <x:v>015233</x:v>
      </x:c>
      <x:c r="D235" t="str">
        <x:v>VALE ALIMENTAÇÃO REF. MES 12</x:v>
      </x:c>
      <x:c r="E235"/>
      <x:c r="F235" s="4" t="n">
        <x:v>46031</x:v>
      </x:c>
      <x:c r="G235" t="str">
        <x:v>MOSAIC UBERABA CONTRAT0 3 ANOS</x:v>
      </x:c>
      <x:c r="H235" t="str">
        <x:v>12.13 - VALE ALIMENTAÇÃO</x:v>
      </x:c>
      <x:c r="I235" s="5" t="n">
        <x:v>23040</x:v>
      </x:c>
    </x:row>
    <x:row r="236">
      <x:c r="A236" t="str">
        <x:v>EMPRESA BRASILEIRA DE BENEFICIOS E PAGAMENTOS INSTITUICAO DE PAGAMENTO LTDA</x:v>
      </x:c>
      <x:c r="B236"/>
      <x:c r="C236" t="str">
        <x:v>015234</x:v>
      </x:c>
      <x:c r="D236" t="str">
        <x:v>VALE ALIMENTAÇÃO REF. 12</x:v>
      </x:c>
      <x:c r="E236"/>
      <x:c r="F236" s="4" t="n">
        <x:v>46031</x:v>
      </x:c>
      <x:c r="G236" t="str">
        <x:v>ANGLO AMERICAN</x:v>
      </x:c>
      <x:c r="H236" t="str">
        <x:v>12.13 - VALE ALIMENTAÇÃO</x:v>
      </x:c>
      <x:c r="I236" s="5" t="n">
        <x:v>5130</x:v>
      </x:c>
    </x:row>
    <x:row r="237">
      <x:c r="A237" t="str">
        <x:v>EMPRESA BRASILEIRA DE BENEFICIOS E PAGAMENTOS INSTITUICAO DE PAGAMENTO LTDA</x:v>
      </x:c>
      <x:c r="B237"/>
      <x:c r="C237" t="str">
        <x:v>015235</x:v>
      </x:c>
      <x:c r="D237" t="str">
        <x:v>VALE ALIMENTAÇÃO REF. 12</x:v>
      </x:c>
      <x:c r="E237" t="str">
        <x:v>flexivel</x:v>
      </x:c>
      <x:c r="F237" s="4" t="n">
        <x:v>46031</x:v>
      </x:c>
      <x:c r="G237" t="str">
        <x:v>ADMINISTRATIVO</x:v>
      </x:c>
      <x:c r="H237" t="str">
        <x:v>12.13 - VALE ALIMENTAÇÃO</x:v>
      </x:c>
      <x:c r="I237" s="5" t="n">
        <x:v>2800</x:v>
      </x:c>
    </x:row>
    <x:row r="238">
      <x:c r="A238" t="str">
        <x:v>EMPRESA BRASILEIRA DE BENEFICIOS E PAGAMENTOS INSTITUICAO DE PAGAMENTO LTDA</x:v>
      </x:c>
      <x:c r="B238"/>
      <x:c r="C238" t="str">
        <x:v>015235</x:v>
      </x:c>
      <x:c r="D238" t="str">
        <x:v>VALE ALIMENTAÇÃO REF. 12</x:v>
      </x:c>
      <x:c r="E238" t="str">
        <x:v>flexivel</x:v>
      </x:c>
      <x:c r="F238" s="4" t="n">
        <x:v>46031</x:v>
      </x:c>
      <x:c r="G238" t="str">
        <x:v>ANGLO AMERICAN</x:v>
      </x:c>
      <x:c r="H238" t="str">
        <x:v>12.13 - VALE ALIMENTAÇÃO</x:v>
      </x:c>
      <x:c r="I238" s="5" t="n">
        <x:v>1000</x:v>
      </x:c>
    </x:row>
    <x:row r="239">
      <x:c r="A239" t="str">
        <x:v>EMPRESA BRASILEIRA DE BENEFICIOS E PAGAMENTOS INSTITUICAO DE PAGAMENTO LTDA</x:v>
      </x:c>
      <x:c r="B239"/>
      <x:c r="C239" t="str">
        <x:v>015235</x:v>
      </x:c>
      <x:c r="D239" t="str">
        <x:v>VALE ALIMENTAÇÃO REF. 12</x:v>
      </x:c>
      <x:c r="E239" t="str">
        <x:v>flexivel</x:v>
      </x:c>
      <x:c r="F239" s="4" t="n">
        <x:v>46031</x:v>
      </x:c>
      <x:c r="G239" t="str">
        <x:v>FOSFATO CMOC CONTRAT</x:v>
      </x:c>
      <x:c r="H239" t="str">
        <x:v>12.13 - VALE ALIMENTAÇÃO</x:v>
      </x:c>
      <x:c r="I239" s="5" t="n">
        <x:v>2950</x:v>
      </x:c>
    </x:row>
    <x:row r="240">
      <x:c r="A240" t="str">
        <x:v>EMPRESA BRASILEIRA DE BENEFICIOS E PAGAMENTOS INSTITUICAO DE PAGAMENTO LTDA</x:v>
      </x:c>
      <x:c r="B240"/>
      <x:c r="C240" t="str">
        <x:v>015235</x:v>
      </x:c>
      <x:c r="D240" t="str">
        <x:v>VALE ALIMENTAÇÃO REF. 12</x:v>
      </x:c>
      <x:c r="E240" t="str">
        <x:v>flexivel</x:v>
      </x:c>
      <x:c r="F240" s="4" t="n">
        <x:v>46031</x:v>
      </x:c>
      <x:c r="G240" t="str">
        <x:v>NIOBIO CMOC CONTRATO</x:v>
      </x:c>
      <x:c r="H240" t="str">
        <x:v>12.13 - VALE ALIMENTAÇÃO</x:v>
      </x:c>
      <x:c r="I240" s="5" t="n">
        <x:v>300</x:v>
      </x:c>
    </x:row>
    <x:row r="241">
      <x:c r="A241" t="str">
        <x:v>EMPRESA BRASILEIRA DE BENEFICIOS E PAGAMENTOS INSTITUICAO DE PAGAMENTO LTDA</x:v>
      </x:c>
      <x:c r="B241"/>
      <x:c r="C241" t="str">
        <x:v>015236</x:v>
      </x:c>
      <x:c r="D241" t="str">
        <x:v>VALE ALIMENTAÇÃO REF. 12</x:v>
      </x:c>
      <x:c r="E241"/>
      <x:c r="F241" s="4" t="n">
        <x:v>46031</x:v>
      </x:c>
      <x:c r="G241" t="str">
        <x:v>NIOBIO CMOC CONTRATO</x:v>
      </x:c>
      <x:c r="H241" t="str">
        <x:v>12.13 - VALE ALIMENTAÇÃO</x:v>
      </x:c>
      <x:c r="I241" s="5" t="n">
        <x:v>570</x:v>
      </x:c>
    </x:row>
    <x:row r="242">
      <x:c r="A242" t="str">
        <x:v>EMPRESA BRASILEIRA DE BENEFICIOS E PAGAMENTOS INSTITUICAO DE PAGAMENTO LTDA</x:v>
      </x:c>
      <x:c r="B242"/>
      <x:c r="C242" t="str">
        <x:v>015237</x:v>
      </x:c>
      <x:c r="D242" t="str">
        <x:v>VALE ALIMENTAÇÃO REF. 12</x:v>
      </x:c>
      <x:c r="E242"/>
      <x:c r="F242" s="4" t="n">
        <x:v>46031</x:v>
      </x:c>
      <x:c r="G242" t="str">
        <x:v>EUROCHEM SERRA DO SALITRE</x:v>
      </x:c>
      <x:c r="H242" t="str">
        <x:v>12.13 - VALE ALIMENTAÇÃO</x:v>
      </x:c>
      <x:c r="I242" s="5" t="n">
        <x:v>1070</x:v>
      </x:c>
    </x:row>
    <x:row r="243">
      <x:c r="A243" t="str">
        <x:v>EMPRESA BRASILEIRA DE BENEFICIOS E PAGAMENTOS INSTITUICAO DE PAGAMENTO LTDA</x:v>
      </x:c>
      <x:c r="B243"/>
      <x:c r="C243" t="str">
        <x:v>015238</x:v>
      </x:c>
      <x:c r="D243" t="str">
        <x:v>VALE ALIMENTAÇÃO REF. 12</x:v>
      </x:c>
      <x:c r="E243"/>
      <x:c r="F243" s="4" t="n">
        <x:v>46031</x:v>
      </x:c>
      <x:c r="G243" t="str">
        <x:v>SERENA 10 TORRES 2025</x:v>
      </x:c>
      <x:c r="H243" t="str">
        <x:v>12.13 - VALE ALIMENTAÇÃO</x:v>
      </x:c>
      <x:c r="I243" s="5" t="n">
        <x:v>1240</x:v>
      </x:c>
    </x:row>
    <x:row r="244">
      <x:c r="A244" t="str">
        <x:v>EMPRESA BRASILEIRA DE BENEFICIOS E PAGAMENTOS INSTITUICAO DE PAGAMENTO LTDA</x:v>
      </x:c>
      <x:c r="B244"/>
      <x:c r="C244" t="str">
        <x:v>015239</x:v>
      </x:c>
      <x:c r="D244" t="str">
        <x:v>VALE ALIMENTAÇÃO REF. 12</x:v>
      </x:c>
      <x:c r="E244"/>
      <x:c r="F244" s="4" t="n">
        <x:v>46031</x:v>
      </x:c>
      <x:c r="G244" t="str">
        <x:v>ADMINISTRATIVO</x:v>
      </x:c>
      <x:c r="H244" t="str">
        <x:v>12.13 - VALE ALIMENTAÇÃO</x:v>
      </x:c>
      <x:c r="I244" s="5" t="n">
        <x:v>1610</x:v>
      </x:c>
    </x:row>
    <x:row r="245">
      <x:c r="A245" t="str">
        <x:v>EMPRESA BRASILEIRA DE BENEFICIOS E PAGAMENTOS INSTITUICAO DE PAGAMENTO LTDA</x:v>
      </x:c>
      <x:c r="B245"/>
      <x:c r="C245" t="str">
        <x:v>015240</x:v>
      </x:c>
      <x:c r="D245" t="str">
        <x:v>VALE ALIMENTAÇÃO REF. 12</x:v>
      </x:c>
      <x:c r="E245"/>
      <x:c r="F245" s="4" t="n">
        <x:v>46031</x:v>
      </x:c>
      <x:c r="G245" t="str">
        <x:v>CONDUTOS UG 1 - ELETROBRAS</x:v>
      </x:c>
      <x:c r="H245" t="str">
        <x:v>12.13 - VALE ALIMENTAÇÃO</x:v>
      </x:c>
      <x:c r="I245" s="5" t="n">
        <x:v>1173.33</x:v>
      </x:c>
    </x:row>
    <x:row r="246">
      <x:c r="A246" t="str">
        <x:v>EMPRESA BRASILEIRA DE BENEFICIOS E PAGAMENTOS INSTITUICAO DE PAGAMENTO LTDA</x:v>
      </x:c>
      <x:c r="B246"/>
      <x:c r="C246" t="str">
        <x:v>015241</x:v>
      </x:c>
      <x:c r="D246" t="str">
        <x:v>VALE ALIMENTAÇÃO REF. 12</x:v>
      </x:c>
      <x:c r="E246"/>
      <x:c r="F246" s="4" t="n">
        <x:v>46031</x:v>
      </x:c>
      <x:c r="G246" t="str">
        <x:v>CMOC CUBATÃO</x:v>
      </x:c>
      <x:c r="H246" t="str">
        <x:v>12.13 - VALE ALIMENTAÇÃO</x:v>
      </x:c>
      <x:c r="I246" s="5" t="n">
        <x:v>12819.33</x:v>
      </x:c>
    </x:row>
    <x:row r="247">
      <x:c r="A247" t="str">
        <x:v>EMPRESA BRASILEIRA DE BENEFICIOS E PAGAMENTOS INSTITUICAO DE PAGAMENTO LTDA</x:v>
      </x:c>
      <x:c r="B247"/>
      <x:c r="C247" t="str">
        <x:v>015242</x:v>
      </x:c>
      <x:c r="D247" t="str">
        <x:v>VALE ALIMENTAÇÃO REF. 12</x:v>
      </x:c>
      <x:c r="E247"/>
      <x:c r="F247" s="4" t="n">
        <x:v>46031</x:v>
      </x:c>
      <x:c r="G247" t="str">
        <x:v>CONTRATO 02 ANOS MINERAÇÃO SERRA VERDE</x:v>
      </x:c>
      <x:c r="H247" t="str">
        <x:v>12.13 - VALE ALIMENTAÇÃO</x:v>
      </x:c>
      <x:c r="I247" s="5" t="n">
        <x:v>3500</x:v>
      </x:c>
    </x:row>
    <x:row r="248">
      <x:c r="A248" t="str">
        <x:v>VALE ALIMENTAÇÃO OBRAS</x:v>
      </x:c>
      <x:c r="B248"/>
      <x:c r="C248" t="str">
        <x:v>015243</x:v>
      </x:c>
      <x:c r="D248" t="str">
        <x:v>VALE ALIMENTAÇÃO REF. 12 - LARISSE PEREIRA</x:v>
      </x:c>
      <x:c r="E248"/>
      <x:c r="F248" s="4" t="n">
        <x:v>46031</x:v>
      </x:c>
      <x:c r="G248" t="str">
        <x:v>NIOBIO CMOC CONTRATO</x:v>
      </x:c>
      <x:c r="H248" t="str">
        <x:v>12.13 - VALE ALIMENTAÇÃO</x:v>
      </x:c>
      <x:c r="I248" s="5" t="n">
        <x:v>1157.22</x:v>
      </x:c>
    </x:row>
    <x:row r="249">
      <x:c r="A249" t="str">
        <x:v>EMPRESA BRASILEIRA DE BENEFICIOS E PAGAMENTOS INSTITUICAO DE PAGAMENTO LTDA</x:v>
      </x:c>
      <x:c r="B249"/>
      <x:c r="C249" t="str">
        <x:v>015244</x:v>
      </x:c>
      <x:c r="D249" t="str">
        <x:v>VALE ALIMENTAÇÃO REF. 12</x:v>
      </x:c>
      <x:c r="E249" t="str">
        <x:v>PIX</x:v>
      </x:c>
      <x:c r="F249" s="4" t="n">
        <x:v>46031</x:v>
      </x:c>
      <x:c r="G249" t="str">
        <x:v>VLI PINTURA</x:v>
      </x:c>
      <x:c r="H249" t="str">
        <x:v>12.13 - VALE ALIMENTAÇÃO</x:v>
      </x:c>
      <x:c r="I249" s="5" t="n">
        <x:v>21199</x:v>
      </x:c>
    </x:row>
    <x:row r="250">
      <x:c r="A250" t="str">
        <x:v>EMPRESA BRASILEIRA DE BENEFICIOS E PAGAMENTOS INSTITUICAO DE PAGAMENTO LTDA</x:v>
      </x:c>
      <x:c r="B250"/>
      <x:c r="C250" t="str">
        <x:v>015245</x:v>
      </x:c>
      <x:c r="D250" t="str">
        <x:v>VALE ALIMENTAÇÃO REF. 12</x:v>
      </x:c>
      <x:c r="E250" t="str">
        <x:v>FLEXIVEL</x:v>
      </x:c>
      <x:c r="F250" s="4" t="n">
        <x:v>46031</x:v>
      </x:c>
      <x:c r="G250" t="str">
        <x:v>VLI PINTURA</x:v>
      </x:c>
      <x:c r="H250" t="str">
        <x:v>12.13 - VALE ALIMENTAÇÃO</x:v>
      </x:c>
      <x:c r="I250" s="5" t="n">
        <x:v>1000</x:v>
      </x:c>
    </x:row>
    <x:row r="251">
      <x:c r="A251" t="str">
        <x:v>DESPESAS DE OBRAS</x:v>
      </x:c>
      <x:c r="B251"/>
      <x:c r="C251" t="str">
        <x:v>015246</x:v>
      </x:c>
      <x:c r="D251" t="str">
        <x:v>WISLEY NAZARE NUNES</x:v>
      </x:c>
      <x:c r="E251" t="str">
        <x:v>SER. ELETRICO LIXADEIRAS</x:v>
      </x:c>
      <x:c r="F251" s="4" t="n">
        <x:v>46031</x:v>
      </x:c>
      <x:c r="G251" t="str">
        <x:v>CONTRATO 02 ANOS MINERAÇÃO SERRA VERDE</x:v>
      </x:c>
      <x:c r="H251" t="str">
        <x:v>3.2 - SERVIÇO ELETRICO</x:v>
      </x:c>
      <x:c r="I251" s="5" t="n">
        <x:v>50</x:v>
      </x:c>
    </x:row>
    <x:row r="252">
      <x:c r="A252" t="str">
        <x:v>FOLHA DE PAGAMENTO</x:v>
      </x:c>
      <x:c r="B252"/>
      <x:c r="C252" t="str">
        <x:v>015248</x:v>
      </x:c>
      <x:c r="D252" t="str">
        <x:v>PAG POR FORA - TST - PEDRO HENRIQUE</x:v>
      </x:c>
      <x:c r="E252"/>
      <x:c r="F252" s="4" t="n">
        <x:v>46031</x:v>
      </x:c>
      <x:c r="G252" t="str">
        <x:v>ANGLO AMERICAN</x:v>
      </x:c>
      <x:c r="H252" t="str">
        <x:v>12.1 - SALARIO</x:v>
      </x:c>
      <x:c r="I252" s="5" t="n">
        <x:v>500</x:v>
      </x:c>
    </x:row>
    <x:row r="253">
      <x:c r="A253" t="str">
        <x:v>REINALDO DIAS</x:v>
      </x:c>
      <x:c r="B253"/>
      <x:c r="C253" t="str">
        <x:v>015249</x:v>
      </x:c>
      <x:c r="D253" t="str">
        <x:v>REEM REINALDO DIAS. FERRAGISTA</x:v>
      </x:c>
      <x:c r="E253"/>
      <x:c r="F253" s="4" t="n">
        <x:v>46031</x:v>
      </x:c>
      <x:c r="G253" t="str">
        <x:v>ADMINISTRATIVO</x:v>
      </x:c>
      <x:c r="H253" t="str">
        <x:v>8.9 - MATERIAIS DE CONSUMO EM OBRAS</x:v>
      </x:c>
      <x:c r="I253" s="5" t="n">
        <x:v>503.19</x:v>
      </x:c>
    </x:row>
    <x:row r="254">
      <x:c r="A254" t="str">
        <x:v>ROBERTO SERVIÇOS</x:v>
      </x:c>
      <x:c r="B254"/>
      <x:c r="C254" t="str">
        <x:v>015250</x:v>
      </x:c>
      <x:c r="D254" t="str">
        <x:v>DIARIA ROBERTO - GOIANIA X GOIANESIA</x:v>
      </x:c>
      <x:c r="E254" t="str">
        <x:v>VIAGEM LEVAR A RANGER</x:v>
      </x:c>
      <x:c r="F254" s="4" t="n">
        <x:v>46031</x:v>
      </x:c>
      <x:c r="G254" t="str">
        <x:v>SERENA 10 TORRES 2025</x:v>
      </x:c>
      <x:c r="H254" t="str">
        <x:v>10.1 - FRETE MATERIAIS E EQUIPAMENTOS</x:v>
      </x:c>
      <x:c r="I254" s="5" t="n">
        <x:v>500</x:v>
      </x:c>
    </x:row>
    <x:row r="255">
      <x:c r="A255" t="str">
        <x:v>BRASLIMP TRANSPORTES ESPECIALIZADOS LTDA</x:v>
      </x:c>
      <x:c r="B255" t="str">
        <x:v>260939</x:v>
      </x:c>
      <x:c r="C255" t="str">
        <x:v>015333</x:v>
      </x:c>
      <x:c r="D255" t="str">
        <x:v>LOCAÇÃO CAÇAMBA</x:v>
      </x:c>
      <x:c r="E255" t="str">
        <x:v>VENCIMENTO ORIGINAL DO BOLETO 19/01/26</x:v>
      </x:c>
      <x:c r="F255" s="4" t="n">
        <x:v>46031</x:v>
      </x:c>
      <x:c r="G255" t="str">
        <x:v>VLI PINTURA</x:v>
      </x:c>
      <x:c r="H255" t="str">
        <x:v>7.9 - LOCAÇAO CAÇAMBA P/ RESIDUOS</x:v>
      </x:c>
      <x:c r="I255" s="5" t="n">
        <x:v>3984.97</x:v>
      </x:c>
    </x:row>
    <x:row r="256">
      <x:c r="A256" t="str">
        <x:v>MASTER TUR TRANSPORTE DE PASSAGEIROS LTDA</x:v>
      </x:c>
      <x:c r="B256"/>
      <x:c r="C256" t="str">
        <x:v>015409</x:v>
      </x:c>
      <x:c r="D256" t="str">
        <x:v>FATURA MEDIÇÃO MES 12</x:v>
      </x:c>
      <x:c r="E256"/>
      <x:c r="F256" s="4" t="n">
        <x:v>46031</x:v>
      </x:c>
      <x:c r="G256" t="str">
        <x:v>MOSAIC UBERABA CONTRAT0 3 ANOS</x:v>
      </x:c>
      <x:c r="H256" t="str">
        <x:v>12.7 - TRANSPORTE FUNCIONARIOS</x:v>
      </x:c>
      <x:c r="I256" s="5" t="n">
        <x:v>36000</x:v>
      </x:c>
    </x:row>
    <x:row r="257">
      <x:c r="A257" t="str">
        <x:v>BR HIDRAULICA EIRELI</x:v>
      </x:c>
      <x:c r="B257" t="str">
        <x:v>32970</x:v>
      </x:c>
      <x:c r="C257" t="str">
        <x:v>015852</x:v>
      </x:c>
      <x:c r="D257" t="str">
        <x:v>MANGUEIRAS E CONEXÕES</x:v>
      </x:c>
      <x:c r="E257"/>
      <x:c r="F257" s="4" t="n">
        <x:v>46031</x:v>
      </x:c>
      <x:c r="G257" t="str">
        <x:v>VLI PINTURA</x:v>
      </x:c>
      <x:c r="H257" t="str">
        <x:v>8.7 - MANGUEIRAS / CONEXÕES</x:v>
      </x:c>
      <x:c r="I257" s="5" t="n">
        <x:v>42.64</x:v>
      </x:c>
    </x:row>
    <x:row r="258">
      <x:c r="A258" t="str">
        <x:v>BANCO CAIXA</x:v>
      </x:c>
      <x:c r="B258"/>
      <x:c r="C258" t="str">
        <x:v>016005</x:v>
      </x:c>
      <x:c r="D258" t="str">
        <x:v>DEB TARIFA</x:v>
      </x:c>
      <x:c r="E258" t="str">
        <x:v>Documento gerado a partir do Mov. 017555</x:v>
      </x:c>
      <x:c r="F258" s="4" t="n">
        <x:v>46031</x:v>
      </x:c>
      <x:c r="G258" t="str">
        <x:v>ADMINISTRATIVO</x:v>
      </x:c>
      <x:c r="H258" t="str">
        <x:v>18.2 - TARIFAS BANCARIAS</x:v>
      </x:c>
      <x:c r="I258" s="5" t="n">
        <x:v>207.2</x:v>
      </x:c>
    </x:row>
    <x:row r="259">
      <x:c r="A259" t="str">
        <x:v>FINANCIAMENTO</x:v>
      </x:c>
      <x:c r="B259"/>
      <x:c r="C259" t="str">
        <x:v>013885</x:v>
      </x:c>
      <x:c r="D259" t="str">
        <x:v>CASA DE CALDAS GILVAN GENILDO REF. MÊS 12/25</x:v>
      </x:c>
      <x:c r="E259"/>
      <x:c r="F259" s="4" t="n">
        <x:v>46032</x:v>
      </x:c>
      <x:c r="G259" t="str">
        <x:v>RETIRADA</x:v>
      </x:c>
      <x:c r="H259" t="str">
        <x:v>16.2 - RETIRADAS</x:v>
      </x:c>
      <x:c r="I259" s="5" t="n">
        <x:v>2613.7</x:v>
      </x:c>
    </x:row>
    <x:row r="260">
      <x:c r="A260" t="str">
        <x:v>ALUGUEIS OBRAS</x:v>
      </x:c>
      <x:c r="B260"/>
      <x:c r="C260" t="str">
        <x:v>014648</x:v>
      </x:c>
      <x:c r="D260" t="str">
        <x:v>MARIA ÂNGELA - R. SANTO ANTONIO S/N</x:v>
      </x:c>
      <x:c r="E260" t="str">
        <x:v>PERÍODO 10/12 A 10/01</x:v>
      </x:c>
      <x:c r="F260" s="4" t="n">
        <x:v>46032</x:v>
      </x:c>
      <x:c r="G260" t="str">
        <x:v>ANGLO AMERICAN</x:v>
      </x:c>
      <x:c r="H260" t="str">
        <x:v>5.3 - ALUGUEL ALOJAMENTO</x:v>
      </x:c>
      <x:c r="I260" s="5" t="n">
        <x:v>1482.6</x:v>
      </x:c>
    </x:row>
    <x:row r="261">
      <x:c r="A261" t="str">
        <x:v>ALUGUEIS OBRAS</x:v>
      </x:c>
      <x:c r="B261"/>
      <x:c r="C261" t="str">
        <x:v>014649</x:v>
      </x:c>
      <x:c r="D261" t="str">
        <x:v>RUA DOS ANDRADES N 211 PERIODO 10-01 A 10-02</x:v>
      </x:c>
      <x:c r="E261" t="str">
        <x:v>FERNANDO CESAR DISCACCIATI SAD - PIX 424.326.696-49</x:v>
      </x:c>
      <x:c r="F261" s="4" t="n">
        <x:v>46032</x:v>
      </x:c>
      <x:c r="G261" t="str">
        <x:v>MOSAIC UBERABA CONTRAT0 3 ANOS</x:v>
      </x:c>
      <x:c r="H261" t="str">
        <x:v>5.3 - ALUGUEL ALOJAMENTO</x:v>
      </x:c>
      <x:c r="I261" s="5" t="n">
        <x:v>4800</x:v>
      </x:c>
    </x:row>
    <x:row r="262">
      <x:c r="A262" t="str">
        <x:v>ALUGUEIS OBRAS</x:v>
      </x:c>
      <x:c r="B262"/>
      <x:c r="C262" t="str">
        <x:v>014650</x:v>
      </x:c>
      <x:c r="D262" t="str">
        <x:v>MARIA ÂNGELA - R. SANTO ANTÔNIO QD 04 LT 07 Nº 207  BAIRRO CENTRO</x:v>
      </x:c>
      <x:c r="E262" t="str">
        <x:v>PERÍODO 10/12 A 10/01</x:v>
      </x:c>
      <x:c r="F262" s="4" t="n">
        <x:v>46032</x:v>
      </x:c>
      <x:c r="G262" t="str">
        <x:v>ANGLO AMERICAN</x:v>
      </x:c>
      <x:c r="H262" t="str">
        <x:v>5.3 - ALUGUEL ALOJAMENTO</x:v>
      </x:c>
      <x:c r="I262" s="5" t="n">
        <x:v>2223.4</x:v>
      </x:c>
    </x:row>
    <x:row r="263">
      <x:c r="A263" t="str">
        <x:v>ALUGUEIS OBRAS</x:v>
      </x:c>
      <x:c r="B263"/>
      <x:c r="C263" t="str">
        <x:v>014651</x:v>
      </x:c>
      <x:c r="D263" t="str">
        <x:v>ALUGUEL MAGNO 10/01 A 10/02/26</x:v>
      </x:c>
      <x:c r="E263"/>
      <x:c r="F263" s="4" t="n">
        <x:v>46032</x:v>
      </x:c>
      <x:c r="G263" t="str">
        <x:v>MOSAIC UBERABA CONTRAT0 3 ANOS</x:v>
      </x:c>
      <x:c r="H263" t="str">
        <x:v>5.3 - ALUGUEL ALOJAMENTO</x:v>
      </x:c>
      <x:c r="I263" s="5" t="n">
        <x:v>1000</x:v>
      </x:c>
    </x:row>
    <x:row r="264">
      <x:c r="A264" t="str">
        <x:v>UNIMED COOPERATIVA DE TRABALHO MEDICO</x:v>
      </x:c>
      <x:c r="B264"/>
      <x:c r="C264" t="str">
        <x:v>014652</x:v>
      </x:c>
      <x:c r="D264" t="str">
        <x:v>PLANO DE SAÚDE REF. MÊS 01/2026</x:v>
      </x:c>
      <x:c r="E264"/>
      <x:c r="F264" s="4" t="n">
        <x:v>46032</x:v>
      </x:c>
      <x:c r="G264" t="str">
        <x:v>NIOBIO CMOC CONTRATO</x:v>
      </x:c>
      <x:c r="H264" t="str">
        <x:v>12.10 - PLANO DE SAUDE</x:v>
      </x:c>
      <x:c r="I264" s="5" t="n">
        <x:v>2345.29</x:v>
      </x:c>
    </x:row>
    <x:row r="265">
      <x:c r="A265" t="str">
        <x:v>UNIMED COOPERATIVA DE TRABALHO MEDICO</x:v>
      </x:c>
      <x:c r="B265"/>
      <x:c r="C265" t="str">
        <x:v>014653</x:v>
      </x:c>
      <x:c r="D265" t="str">
        <x:v>UNIMED GILVAN MÊS 01/2026</x:v>
      </x:c>
      <x:c r="E265"/>
      <x:c r="F265" s="4" t="n">
        <x:v>46032</x:v>
      </x:c>
      <x:c r="G265" t="str">
        <x:v>ADMINISTRATIVO</x:v>
      </x:c>
      <x:c r="H265" t="str">
        <x:v>12.10 - PLANO DE SAUDE</x:v>
      </x:c>
      <x:c r="I265" s="5" t="n">
        <x:v>2916.75</x:v>
      </x:c>
    </x:row>
    <x:row r="266">
      <x:c r="A266" t="str">
        <x:v>UNIMED COOPERATIVA DE TRABALHO MEDICO</x:v>
      </x:c>
      <x:c r="B266"/>
      <x:c r="C266" t="str">
        <x:v>014654</x:v>
      </x:c>
      <x:c r="D266" t="str">
        <x:v>UNIMED GENILDO MÊS 01/2026</x:v>
      </x:c>
      <x:c r="E266"/>
      <x:c r="F266" s="4" t="n">
        <x:v>46032</x:v>
      </x:c>
      <x:c r="G266" t="str">
        <x:v>ADMINISTRATIVO</x:v>
      </x:c>
      <x:c r="H266" t="str">
        <x:v>12.10 - PLANO DE SAUDE</x:v>
      </x:c>
      <x:c r="I266" s="5" t="n">
        <x:v>3350.85</x:v>
      </x:c>
    </x:row>
    <x:row r="267">
      <x:c r="A267" t="str">
        <x:v>FINANCIAMENTO</x:v>
      </x:c>
      <x:c r="B267"/>
      <x:c r="C267" t="str">
        <x:v>014656</x:v>
      </x:c>
      <x:c r="D267" t="str">
        <x:v>CASA DE CALDAS GILVAN GENILDO REF. MÊS 01/26</x:v>
      </x:c>
      <x:c r="E267"/>
      <x:c r="F267" s="4" t="n">
        <x:v>46032</x:v>
      </x:c>
      <x:c r="G267" t="str">
        <x:v>RETIRADA</x:v>
      </x:c>
      <x:c r="H267" t="str">
        <x:v>16.2 - RETIRADAS</x:v>
      </x:c>
      <x:c r="I267" s="5" t="n">
        <x:v>2610.38</x:v>
      </x:c>
    </x:row>
    <x:row r="268">
      <x:c r="A268" t="str">
        <x:v>ALUGUEIS OBRAS</x:v>
      </x:c>
      <x:c r="B268"/>
      <x:c r="C268" t="str">
        <x:v>015089</x:v>
      </x:c>
      <x:c r="D268" t="str">
        <x:v>R. CONCEIÇÃO DAS ALAGOAS Nº 596 REF.10/01 A 10/02</x:v>
      </x:c>
      <x:c r="E268" t="str">
        <x:v>RUI ALBERTO DA SILVA - BOLETO</x:v>
      </x:c>
      <x:c r="F268" s="4" t="n">
        <x:v>46032</x:v>
      </x:c>
      <x:c r="G268" t="str">
        <x:v>MOSAIC UBERABA CONTRAT0 3 ANOS</x:v>
      </x:c>
      <x:c r="H268" t="str">
        <x:v>5.3 - ALUGUEL ALOJAMENTO</x:v>
      </x:c>
      <x:c r="I268" s="5" t="n">
        <x:v>2018.38</x:v>
      </x:c>
    </x:row>
    <x:row r="269">
      <x:c r="A269" t="str">
        <x:v>AYMORE CREDITO FINANCIAMENTO DE INV S.A</x:v>
      </x:c>
      <x:c r="B269"/>
      <x:c r="C269" t="str">
        <x:v>015341</x:v>
      </x:c>
      <x:c r="D269" t="str">
        <x:v>CAMINHAO ELFA</x:v>
      </x:c>
      <x:c r="E269"/>
      <x:c r="F269" s="4" t="n">
        <x:v>46032</x:v>
      </x:c>
      <x:c r="G269" t="str">
        <x:v>IMOBILIZADO / INVESTIMENTO</x:v>
      </x:c>
      <x:c r="H269" t="str">
        <x:v>11.7 - FINANCIAMENTO</x:v>
      </x:c>
      <x:c r="I269" s="5" t="n">
        <x:v>4372.84</x:v>
      </x:c>
    </x:row>
    <x:row r="270">
      <x:c r="A270" t="str">
        <x:v>EDUARDO RODRIGUES</x:v>
      </x:c>
      <x:c r="B270"/>
      <x:c r="C270" t="str">
        <x:v>015342</x:v>
      </x:c>
      <x:c r="D270" t="str">
        <x:v>COMBUSTIVEL ARLA</x:v>
      </x:c>
      <x:c r="E270"/>
      <x:c r="F270" s="4" t="n">
        <x:v>46032</x:v>
      </x:c>
      <x:c r="G270" t="str">
        <x:v>ADMINISTRATIVO</x:v>
      </x:c>
      <x:c r="H270" t="str">
        <x:v>6.4 - COMBUSTIVEL VEICULOS</x:v>
      </x:c>
      <x:c r="I270" s="5" t="n">
        <x:v>49.25</x:v>
      </x:c>
    </x:row>
    <x:row r="271">
      <x:c r="A271" t="str">
        <x:v>PROMA PROMOCOES LTDA</x:v>
      </x:c>
      <x:c r="B271"/>
      <x:c r="C271" t="str">
        <x:v>011664</x:v>
      </x:c>
      <x:c r="D271" t="str">
        <x:v>FEIRA DE EVENTO BRASMIN - 2027</x:v>
      </x:c>
      <x:c r="E271" t="str">
        <x:v>PARCELADO EM 12 X PIX 34.452.893/0001-28</x:v>
      </x:c>
      <x:c r="F271" s="4" t="n">
        <x:v>46034</x:v>
      </x:c>
      <x:c r="G271" t="str">
        <x:v>GASTOS COMERCIAIS</x:v>
      </x:c>
      <x:c r="H271" t="str">
        <x:v>3.19 - SERVIÇO BRINDES E ACESSORIOS E EVENTOS</x:v>
      </x:c>
      <x:c r="I271" s="5" t="n">
        <x:v>1510</x:v>
      </x:c>
    </x:row>
    <x:row r="272">
      <x:c r="A272" t="str">
        <x:v>CAGECE</x:v>
      </x:c>
      <x:c r="B272"/>
      <x:c r="C272" t="str">
        <x:v>015254</x:v>
      </x:c>
      <x:c r="D272" t="str">
        <x:v>R. NIQUEL Q. LOTE 8/9 APT 102 REF. 12/2025</x:v>
      </x:c>
      <x:c r="E272" t="str">
        <x:v>Nº DA INSCRIÇÃO 060731923</x:v>
      </x:c>
      <x:c r="F272" s="4" t="n">
        <x:v>46034</x:v>
      </x:c>
      <x:c r="G272" t="str">
        <x:v>VLI PINTURA</x:v>
      </x:c>
      <x:c r="H272" t="str">
        <x:v>5.4 - AGUA ALOJAMENTO</x:v>
      </x:c>
      <x:c r="I272" s="5" t="n">
        <x:v>140.98</x:v>
      </x:c>
    </x:row>
    <x:row r="273">
      <x:c r="A273" t="str">
        <x:v>EQUATORIAL DISTRIBUIDORA DE ENERGIA S.A.</x:v>
      </x:c>
      <x:c r="B273"/>
      <x:c r="C273" t="str">
        <x:v>015255</x:v>
      </x:c>
      <x:c r="D273" t="str">
        <x:v>RUA DO CAJUEIRO REF. 12/2025</x:v>
      </x:c>
      <x:c r="E273" t="str">
        <x:v>UC 8584230 / Nº DO CLIENTE 56620700</x:v>
      </x:c>
      <x:c r="F273" s="4" t="n">
        <x:v>46034</x:v>
      </x:c>
      <x:c r="G273" t="str">
        <x:v>VLI PINTURA</x:v>
      </x:c>
      <x:c r="H273" t="str">
        <x:v>5.5 - ENERGIA ALOJAMENTO</x:v>
      </x:c>
      <x:c r="I273" s="5" t="n">
        <x:v>163.26</x:v>
      </x:c>
    </x:row>
    <x:row r="274">
      <x:c r="A274" t="str">
        <x:v>EQUATORIAL DISTRIBUIDORA DE ENERGIA S.A.</x:v>
      </x:c>
      <x:c r="B274"/>
      <x:c r="C274" t="str">
        <x:v>015257</x:v>
      </x:c>
      <x:c r="D274" t="str">
        <x:v>R. TANCREDO NEVES, SN REF. 01/2026</x:v>
      </x:c>
      <x:c r="E274" t="str">
        <x:v>UNIDADE CONSUMIDORA: 3014994660</x:v>
      </x:c>
      <x:c r="F274" s="4" t="n">
        <x:v>46034</x:v>
      </x:c>
      <x:c r="G274" t="str">
        <x:v>SERENA 10 TORRES 2025</x:v>
      </x:c>
      <x:c r="H274" t="str">
        <x:v>5.5 - ENERGIA ALOJAMENTO</x:v>
      </x:c>
      <x:c r="I274" s="5" t="n">
        <x:v>147.76</x:v>
      </x:c>
    </x:row>
    <x:row r="275">
      <x:c r="A275" t="str">
        <x:v>REFEIÇÃO OBRAS</x:v>
      </x:c>
      <x:c r="B275"/>
      <x:c r="C275" t="str">
        <x:v>015259</x:v>
      </x:c>
      <x:c r="D275" t="str">
        <x:v>REEMBOLSO ALIMENTAÇÃO LARISSA ALVES RIBEIRO</x:v>
      </x:c>
      <x:c r="E275" t="str">
        <x:v>LARISSA ALVES RIBEIRO</x:v>
      </x:c>
      <x:c r="F275" s="4" t="n">
        <x:v>46034</x:v>
      </x:c>
      <x:c r="G275" t="str">
        <x:v>ANGLO AMERICAN</x:v>
      </x:c>
      <x:c r="H275" t="str">
        <x:v>12.5 - REFEIÇÕES FUNCIONARIOS</x:v>
      </x:c>
      <x:c r="I275" s="5" t="n">
        <x:v>109</x:v>
      </x:c>
    </x:row>
    <x:row r="276">
      <x:c r="A276" t="str">
        <x:v>EQUATORIAL DISTRIBUIDORA DE ENERGIA S.A.</x:v>
      </x:c>
      <x:c r="B276"/>
      <x:c r="C276" t="str">
        <x:v>015260</x:v>
      </x:c>
      <x:c r="D276" t="str">
        <x:v>AV. LENCOIS, 5 REF. 01/2026</x:v>
      </x:c>
      <x:c r="E276" t="str">
        <x:v>UC 33107480</x:v>
      </x:c>
      <x:c r="F276" s="4" t="n">
        <x:v>46034</x:v>
      </x:c>
      <x:c r="G276" t="str">
        <x:v>SERENA 10 TORRES 2025</x:v>
      </x:c>
      <x:c r="H276" t="str">
        <x:v>5.5 - ENERGIA ALOJAMENTO</x:v>
      </x:c>
      <x:c r="I276" s="5" t="n">
        <x:v>143.14</x:v>
      </x:c>
    </x:row>
    <x:row r="277">
      <x:c r="A277" t="str">
        <x:v>MARIA DA CONCEICAO</x:v>
      </x:c>
      <x:c r="B277" t="str">
        <x:v>213</x:v>
      </x:c>
      <x:c r="C277" t="str">
        <x:v>015261</x:v>
      </x:c>
      <x:c r="D277" t="str">
        <x:v>ALIMENTAÇÃO RESTAURANTE</x:v>
      </x:c>
      <x:c r="E277" t="str">
        <x:v>MARIA DA CONCEICAO: PIX 40.673.913/0001-93</x:v>
      </x:c>
      <x:c r="F277" s="4" t="n">
        <x:v>46034</x:v>
      </x:c>
      <x:c r="G277" t="str">
        <x:v>CMOC CUBATÃO</x:v>
      </x:c>
      <x:c r="H277" t="str">
        <x:v>12.5 - REFEIÇÕES FUNCIONARIOS</x:v>
      </x:c>
      <x:c r="I277" s="5" t="n">
        <x:v>4474.4</x:v>
      </x:c>
    </x:row>
    <x:row r="278">
      <x:c r="A278" t="str">
        <x:v>FUNDAÇAO SAO FRANCISCO XAVIER</x:v>
      </x:c>
      <x:c r="B278"/>
      <x:c r="C278" t="str">
        <x:v>015262</x:v>
      </x:c>
      <x:c r="D278" t="str">
        <x:v>PLANO DE SAUDE FUNDAÇÃO FRANCISCO XAVIER</x:v>
      </x:c>
      <x:c r="E278"/>
      <x:c r="F278" s="4" t="n">
        <x:v>46034</x:v>
      </x:c>
      <x:c r="G278" t="str">
        <x:v>MOSAIC UBERABA CONTRAT0 3 ANOS</x:v>
      </x:c>
      <x:c r="H278" t="str">
        <x:v>12.10 - PLANO DE SAUDE</x:v>
      </x:c>
      <x:c r="I278" s="5" t="n">
        <x:v>936.92</x:v>
      </x:c>
    </x:row>
    <x:row r="279">
      <x:c r="A279" t="str">
        <x:v>JC RESTAURANTE INDUSTRIAL NIQUELANDIA LTDA</x:v>
      </x:c>
      <x:c r="B279" t="str">
        <x:v>3949</x:v>
      </x:c>
      <x:c r="C279" t="str">
        <x:v>015263</x:v>
      </x:c>
      <x:c r="D279" t="str">
        <x:v>JC RESTAURANTE INDUSTRIAL NIQUELANDIA LTDA</x:v>
      </x:c>
      <x:c r="E279"/>
      <x:c r="F279" s="4" t="n">
        <x:v>46034</x:v>
      </x:c>
      <x:c r="G279" t="str">
        <x:v>NIOBIO CMOC CONTRATO</x:v>
      </x:c>
      <x:c r="H279" t="str">
        <x:v>12.5 - REFEIÇÕES FUNCIONARIOS</x:v>
      </x:c>
      <x:c r="I279" s="5" t="n">
        <x:v>3068.8</x:v>
      </x:c>
    </x:row>
    <x:row r="280">
      <x:c r="A280" t="str">
        <x:v>CREA</x:v>
      </x:c>
      <x:c r="B280"/>
      <x:c r="C280" t="str">
        <x:v>015267</x:v>
      </x:c>
      <x:c r="D280" t="str">
        <x:v>CREA - DF</x:v>
      </x:c>
      <x:c r="E280"/>
      <x:c r="F280" s="4" t="n">
        <x:v>46034</x:v>
      </x:c>
      <x:c r="G280" t="str">
        <x:v>ADMINISTRATIVO</x:v>
      </x:c>
      <x:c r="H280" t="str">
        <x:v>3.10 - SERVIÇO ART</x:v>
      </x:c>
      <x:c r="I280" s="5" t="n">
        <x:v>598.83</x:v>
      </x:c>
    </x:row>
    <x:row r="281">
      <x:c r="A281" t="str">
        <x:v>CREA</x:v>
      </x:c>
      <x:c r="B281"/>
      <x:c r="C281" t="str">
        <x:v>015268</x:v>
      </x:c>
      <x:c r="D281" t="str">
        <x:v>CREA - MA</x:v>
      </x:c>
      <x:c r="E281"/>
      <x:c r="F281" s="4" t="n">
        <x:v>46034</x:v>
      </x:c>
      <x:c r="G281" t="str">
        <x:v>SERENA 10 TORRES 2025</x:v>
      </x:c>
      <x:c r="H281" t="str">
        <x:v>3.10 - SERVIÇO ART</x:v>
      </x:c>
      <x:c r="I281" s="5" t="n">
        <x:v>1415.99</x:v>
      </x:c>
    </x:row>
    <x:row r="282">
      <x:c r="A282" t="str">
        <x:v>CREA</x:v>
      </x:c>
      <x:c r="B282"/>
      <x:c r="C282" t="str">
        <x:v>015269</x:v>
      </x:c>
      <x:c r="D282" t="str">
        <x:v>CREA - MG</x:v>
      </x:c>
      <x:c r="E282"/>
      <x:c r="F282" s="4" t="n">
        <x:v>46034</x:v>
      </x:c>
      <x:c r="G282" t="str">
        <x:v>MOSAIC UBERABA CONTRAT0 3 ANOS</x:v>
      </x:c>
      <x:c r="H282" t="str">
        <x:v>3.10 - SERVIÇO ART</x:v>
      </x:c>
      <x:c r="I282" s="5" t="n">
        <x:v>1415.99</x:v>
      </x:c>
    </x:row>
    <x:row r="283">
      <x:c r="A283" t="str">
        <x:v>CREA</x:v>
      </x:c>
      <x:c r="B283"/>
      <x:c r="C283" t="str">
        <x:v>015270</x:v>
      </x:c>
      <x:c r="D283" t="str">
        <x:v>CREA - GO</x:v>
      </x:c>
      <x:c r="E283"/>
      <x:c r="F283" s="4" t="n">
        <x:v>46034</x:v>
      </x:c>
      <x:c r="G283" t="str">
        <x:v>FOSFATO CMOC CONTRAT</x:v>
      </x:c>
      <x:c r="H283" t="str">
        <x:v>3.10 - SERVIÇO ART</x:v>
      </x:c>
      <x:c r="I283" s="5" t="n">
        <x:v>1415.99</x:v>
      </x:c>
    </x:row>
    <x:row r="284">
      <x:c r="A284" t="str">
        <x:v>CREA</x:v>
      </x:c>
      <x:c r="B284"/>
      <x:c r="C284" t="str">
        <x:v>015270</x:v>
      </x:c>
      <x:c r="D284" t="str">
        <x:v>CREA - GO</x:v>
      </x:c>
      <x:c r="E284"/>
      <x:c r="F284" s="4" t="n">
        <x:v>46034</x:v>
      </x:c>
      <x:c r="G284" t="str">
        <x:v>NIOBIO CMOC CONTRATO</x:v>
      </x:c>
      <x:c r="H284" t="str">
        <x:v>3.10 - SERVIÇO ART</x:v>
      </x:c>
      <x:c r="I284" s="5" t="n">
        <x:v>1415.99</x:v>
      </x:c>
    </x:row>
    <x:row r="285">
      <x:c r="A285" t="str">
        <x:v>LOC RADIO - LOCAÇAO E SERVIÇOS</x:v>
      </x:c>
      <x:c r="B285" t="str">
        <x:v>1</x:v>
      </x:c>
      <x:c r="C285" t="str">
        <x:v>015271</x:v>
      </x:c>
      <x:c r="D285" t="str">
        <x:v>LOCAÇÃO RADIO REF. MÊS 12/2025</x:v>
      </x:c>
      <x:c r="E285"/>
      <x:c r="F285" s="4" t="n">
        <x:v>46034</x:v>
      </x:c>
      <x:c r="G285" t="str">
        <x:v>FOSFATO CMOC CONTRAT</x:v>
      </x:c>
      <x:c r="H285" t="str">
        <x:v>7.10 - LOCAÇAO RADIOS DE COMUNICAÇÃO</x:v>
      </x:c>
      <x:c r="I285" s="5" t="n">
        <x:v>780</x:v>
      </x:c>
    </x:row>
    <x:row r="286">
      <x:c r="A286" t="str">
        <x:v>CONCIERGE BLINDADO SERVICOS AUTOMOTIVOS LTDA</x:v>
      </x:c>
      <x:c r="B286" t="str">
        <x:v>280921</x:v>
      </x:c>
      <x:c r="C286" t="str">
        <x:v>015272</x:v>
      </x:c>
      <x:c r="D286" t="str">
        <x:v>COBLI</x:v>
      </x:c>
      <x:c r="E286"/>
      <x:c r="F286" s="4" t="n">
        <x:v>46034</x:v>
      </x:c>
      <x:c r="G286" t="str">
        <x:v>VEICULOS</x:v>
      </x:c>
      <x:c r="H286" t="str">
        <x:v>3.14 - SERVIÇO TELEMETRIA / FADIGA</x:v>
      </x:c>
      <x:c r="I286" s="5" t="n">
        <x:v>2092.43</x:v>
      </x:c>
    </x:row>
    <x:row r="287">
      <x:c r="A287" t="str">
        <x:v>MOVIDA PARTICIPACOES S.A.</x:v>
      </x:c>
      <x:c r="B287"/>
      <x:c r="C287" t="str">
        <x:v>015273</x:v>
      </x:c>
      <x:c r="D287" t="str">
        <x:v>MOVIDA ALUGUEL DE VEICULOS</x:v>
      </x:c>
      <x:c r="E287"/>
      <x:c r="F287" s="4" t="n">
        <x:v>46034</x:v>
      </x:c>
      <x:c r="G287" t="str">
        <x:v>SERENA 10 TORRES 2025</x:v>
      </x:c>
      <x:c r="H287" t="str">
        <x:v>7.8 - LOCAÇAO VEICULOS</x:v>
      </x:c>
      <x:c r="I287" s="5" t="n">
        <x:v>5491.9</x:v>
      </x:c>
    </x:row>
    <x:row r="288">
      <x:c r="A288" t="str">
        <x:v>AUTO SOCORRO EZEQUIEL HIDRAULICA</x:v>
      </x:c>
      <x:c r="B288"/>
      <x:c r="C288" t="str">
        <x:v>015274</x:v>
      </x:c>
      <x:c r="D288" t="str">
        <x:v>AUTO SOCORRO EZEQUIEL HIDRAULICA</x:v>
      </x:c>
      <x:c r="E288" t="str">
        <x:v>FOSFATO OUVIDOR</x:v>
      </x:c>
      <x:c r="F288" s="4" t="n">
        <x:v>46034</x:v>
      </x:c>
      <x:c r="G288" t="str">
        <x:v>FOSFATO CMOC CONTRAT</x:v>
      </x:c>
      <x:c r="H288" t="str">
        <x:v>8.14 - MANUTENÇÃO/PEÇAS MAQUINAS E EQUIPAMENTOS</x:v>
      </x:c>
      <x:c r="I288" s="5" t="n">
        <x:v>300</x:v>
      </x:c>
    </x:row>
    <x:row r="289">
      <x:c r="A289" t="str">
        <x:v>PROTEGE DISTRIBUIDORA DE EPI EPC E SINALIZACAO LTDA</x:v>
      </x:c>
      <x:c r="B289" t="str">
        <x:v>1147</x:v>
      </x:c>
      <x:c r="C289" t="str">
        <x:v>015275</x:v>
      </x:c>
      <x:c r="D289" t="str">
        <x:v>PROTEGE DISTRIBUIDORA DE EPIS</x:v>
      </x:c>
      <x:c r="E289"/>
      <x:c r="F289" s="4" t="n">
        <x:v>46034</x:v>
      </x:c>
      <x:c r="G289" t="str">
        <x:v>ANGLO AMERICAN</x:v>
      </x:c>
      <x:c r="H289" t="str">
        <x:v>13.1 - EPIS</x:v>
      </x:c>
      <x:c r="I289" s="5" t="n">
        <x:v>358</x:v>
      </x:c>
    </x:row>
    <x:row r="290">
      <x:c r="A290" t="str">
        <x:v>FOLHA DE PAGAMENTO</x:v>
      </x:c>
      <x:c r="B290"/>
      <x:c r="C290" t="str">
        <x:v>015276</x:v>
      </x:c>
      <x:c r="D290" t="str">
        <x:v>FOLHA DE PAGAMENTO DIA 15</x:v>
      </x:c>
      <x:c r="E290"/>
      <x:c r="F290" s="4" t="n">
        <x:v>46034</x:v>
      </x:c>
      <x:c r="G290" t="str">
        <x:v>VLI PINTURA</x:v>
      </x:c>
      <x:c r="H290" t="str">
        <x:v>12.1 - SALARIO</x:v>
      </x:c>
      <x:c r="I290" s="5" t="n">
        <x:v>3338.71</x:v>
      </x:c>
    </x:row>
    <x:row r="291">
      <x:c r="A291" t="str">
        <x:v>FOLHA DE PAGAMENTO</x:v>
      </x:c>
      <x:c r="B291"/>
      <x:c r="C291" t="str">
        <x:v>015276</x:v>
      </x:c>
      <x:c r="D291" t="str">
        <x:v>FOLHA DE PAGAMENTO DIA 15</x:v>
      </x:c>
      <x:c r="E291"/>
      <x:c r="F291" s="4" t="n">
        <x:v>46034</x:v>
      </x:c>
      <x:c r="G291" t="str">
        <x:v>ADMINISTRATIVO</x:v>
      </x:c>
      <x:c r="H291" t="str">
        <x:v>12.1 - SALARIO</x:v>
      </x:c>
      <x:c r="I291" s="5" t="n">
        <x:v>2000</x:v>
      </x:c>
    </x:row>
    <x:row r="292">
      <x:c r="A292" t="str">
        <x:v>FOLHA DE PAGAMENTO</x:v>
      </x:c>
      <x:c r="B292"/>
      <x:c r="C292" t="str">
        <x:v>015276</x:v>
      </x:c>
      <x:c r="D292" t="str">
        <x:v>FOLHA DE PAGAMENTO DIA 15</x:v>
      </x:c>
      <x:c r="E292"/>
      <x:c r="F292" s="4" t="n">
        <x:v>46034</x:v>
      </x:c>
      <x:c r="G292" t="str">
        <x:v>MOSAIC UBERABA CONTRAT0 3 ANOS</x:v>
      </x:c>
      <x:c r="H292" t="str">
        <x:v>12.1 - SALARIO</x:v>
      </x:c>
      <x:c r="I292" s="5" t="n">
        <x:v>3860</x:v>
      </x:c>
    </x:row>
    <x:row r="293">
      <x:c r="A293" t="str">
        <x:v>FOLHA DE PAGAMENTO</x:v>
      </x:c>
      <x:c r="B293"/>
      <x:c r="C293" t="str">
        <x:v>015276</x:v>
      </x:c>
      <x:c r="D293" t="str">
        <x:v>FOLHA DE PAGAMENTO DIA 15</x:v>
      </x:c>
      <x:c r="E293"/>
      <x:c r="F293" s="4" t="n">
        <x:v>46034</x:v>
      </x:c>
      <x:c r="G293" t="str">
        <x:v>FOSFATO CMOC CONTRAT</x:v>
      </x:c>
      <x:c r="H293" t="str">
        <x:v>12.1 - SALARIO</x:v>
      </x:c>
      <x:c r="I293" s="5" t="n">
        <x:v>3860</x:v>
      </x:c>
    </x:row>
    <x:row r="294">
      <x:c r="A294" t="str">
        <x:v>MATRIX CONSULTORIA E GESTAO DE TREINAMENTO EIRELI</x:v>
      </x:c>
      <x:c r="B294" t="str">
        <x:v>1615</x:v>
      </x:c>
      <x:c r="C294" t="str">
        <x:v>015277</x:v>
      </x:c>
      <x:c r="D294" t="str">
        <x:v>MATRIX CONSULTORIA E GESTÃO</x:v>
      </x:c>
      <x:c r="E294"/>
      <x:c r="F294" s="4" t="n">
        <x:v>46034</x:v>
      </x:c>
      <x:c r="G294" t="str">
        <x:v>ANGLO AMERICAN</x:v>
      </x:c>
      <x:c r="H294" t="str">
        <x:v>14.2 - CURSOS / TREINAMENTOS</x:v>
      </x:c>
      <x:c r="I294" s="5" t="n">
        <x:v>239.8</x:v>
      </x:c>
    </x:row>
    <x:row r="295">
      <x:c r="A295" t="str">
        <x:v>MATRIX CONSULTORIA E GESTAO DE TREINAMENTO EIRELI</x:v>
      </x:c>
      <x:c r="B295" t="str">
        <x:v>1615</x:v>
      </x:c>
      <x:c r="C295" t="str">
        <x:v>015277</x:v>
      </x:c>
      <x:c r="D295" t="str">
        <x:v>MATRIX CONSULTORIA E GESTÃO</x:v>
      </x:c>
      <x:c r="E295"/>
      <x:c r="F295" s="4" t="n">
        <x:v>46034</x:v>
      </x:c>
      <x:c r="G295" t="str">
        <x:v>EUROCHEM SERRA DO SALITRE</x:v>
      </x:c>
      <x:c r="H295" t="str">
        <x:v>14.2 - CURSOS / TREINAMENTOS</x:v>
      </x:c>
      <x:c r="I295" s="5" t="n">
        <x:v>119.9</x:v>
      </x:c>
    </x:row>
    <x:row r="296">
      <x:c r="A296" t="str">
        <x:v>MATRIX CONSULTORIA E GESTAO DE TREINAMENTO EIRELI</x:v>
      </x:c>
      <x:c r="B296" t="str">
        <x:v>1615</x:v>
      </x:c>
      <x:c r="C296" t="str">
        <x:v>015277</x:v>
      </x:c>
      <x:c r="D296" t="str">
        <x:v>MATRIX CONSULTORIA E GESTÃO</x:v>
      </x:c>
      <x:c r="E296"/>
      <x:c r="F296" s="4" t="n">
        <x:v>46034</x:v>
      </x:c>
      <x:c r="G296" t="str">
        <x:v>SERENA 10 TORRES 2025</x:v>
      </x:c>
      <x:c r="H296" t="str">
        <x:v>14.2 - CURSOS / TREINAMENTOS</x:v>
      </x:c>
      <x:c r="I296" s="5" t="n">
        <x:v>769.5</x:v>
      </x:c>
    </x:row>
    <x:row r="297">
      <x:c r="A297" t="str">
        <x:v>STILO WEB</x:v>
      </x:c>
      <x:c r="B297"/>
      <x:c r="C297" t="str">
        <x:v>015321</x:v>
      </x:c>
      <x:c r="D297" t="str">
        <x:v>HOSPEDAGEM DE SITE / E-MAIL</x:v>
      </x:c>
      <x:c r="E297" t="str">
        <x:v>VENCIMENTO ORIGINAL DO BOLETO 10/11/25</x:v>
      </x:c>
      <x:c r="F297" s="4" t="n">
        <x:v>46034</x:v>
      </x:c>
      <x:c r="G297" t="str">
        <x:v>ADMINISTRATIVO</x:v>
      </x:c>
      <x:c r="H297" t="str">
        <x:v>11.8 - SISTEMA / SERVIDOR</x:v>
      </x:c>
      <x:c r="I297" s="5" t="n">
        <x:v>683.1</x:v>
      </x:c>
    </x:row>
    <x:row r="298">
      <x:c r="A298" t="str">
        <x:v>SANDRE - COMERCIO E INDUSTRIA DE EMBALAGENS LTDA</x:v>
      </x:c>
      <x:c r="B298" t="str">
        <x:v>119.512</x:v>
      </x:c>
      <x:c r="C298" t="str">
        <x:v>015343</x:v>
      </x:c>
      <x:c r="D298" t="str">
        <x:v>FITA DUPLA FACE</x:v>
      </x:c>
      <x:c r="E298"/>
      <x:c r="F298" s="4" t="n">
        <x:v>46034</x:v>
      </x:c>
      <x:c r="G298" t="str">
        <x:v>ADMINISTRATIVO</x:v>
      </x:c>
      <x:c r="H298" t="str">
        <x:v>8.9 - MATERIAIS DE CONSUMO EM OBRAS</x:v>
      </x:c>
      <x:c r="I298" s="5" t="n">
        <x:v>550.5</x:v>
      </x:c>
    </x:row>
    <x:row r="299">
      <x:c r="A299" t="str">
        <x:v>EDUARDO RODRIGUES</x:v>
      </x:c>
      <x:c r="B299"/>
      <x:c r="C299" t="str">
        <x:v>015344</x:v>
      </x:c>
      <x:c r="D299" t="str">
        <x:v>JUROS CONTA EDUARDO ITAU</x:v>
      </x:c>
      <x:c r="E299"/>
      <x:c r="F299" s="4" t="n">
        <x:v>46034</x:v>
      </x:c>
      <x:c r="G299" t="str">
        <x:v>ADMINISTRATIVO</x:v>
      </x:c>
      <x:c r="H299" t="str">
        <x:v>18.1 - JUROS BANCARIOS</x:v>
      </x:c>
      <x:c r="I299" s="5" t="n">
        <x:v>64.24</x:v>
      </x:c>
    </x:row>
    <x:row r="300">
      <x:c r="A300" t="str">
        <x:v>MERCADO LIVRE</x:v>
      </x:c>
      <x:c r="B300" t="str">
        <x:v>94299</x:v>
      </x:c>
      <x:c r="C300" t="str">
        <x:v>015345</x:v>
      </x:c>
      <x:c r="D300" t="str">
        <x:v>FERRAMENTAS MANUAIS</x:v>
      </x:c>
      <x:c r="E300"/>
      <x:c r="F300" s="4" t="n">
        <x:v>46034</x:v>
      </x:c>
      <x:c r="G300" t="str">
        <x:v>FOSFATO CMOC CONTRAT</x:v>
      </x:c>
      <x:c r="H300" t="str">
        <x:v>8.6 - MATERIAIS / FERRAMENTAS  MANUAIS</x:v>
      </x:c>
      <x:c r="I300" s="5" t="n">
        <x:v>635.2</x:v>
      </x:c>
    </x:row>
    <x:row r="301">
      <x:c r="A301" t="str">
        <x:v>DESPESAS DE VIAGEM</x:v>
      </x:c>
      <x:c r="B301"/>
      <x:c r="C301" t="str">
        <x:v>015347</x:v>
      </x:c>
      <x:c r="D301" t="str">
        <x:v>REEM PASSAGENS OBRAS</x:v>
      </x:c>
      <x:c r="E301"/>
      <x:c r="F301" s="4" t="n">
        <x:v>46034</x:v>
      </x:c>
      <x:c r="G301" t="str">
        <x:v>FOSFATO CMOC CONTRAT</x:v>
      </x:c>
      <x:c r="H301" t="str">
        <x:v>12.9 - PASSAGENS FUNCIONARIOS</x:v>
      </x:c>
      <x:c r="I301" s="5" t="n">
        <x:v>110</x:v>
      </x:c>
    </x:row>
    <x:row r="302">
      <x:c r="A302" t="str">
        <x:v>DESPESAS DE VIAGEM</x:v>
      </x:c>
      <x:c r="B302"/>
      <x:c r="C302" t="str">
        <x:v>015347</x:v>
      </x:c>
      <x:c r="D302" t="str">
        <x:v>REEM PASSAGENS OBRAS</x:v>
      </x:c>
      <x:c r="E302"/>
      <x:c r="F302" s="4" t="n">
        <x:v>46034</x:v>
      </x:c>
      <x:c r="G302" t="str">
        <x:v>NIOBIO CMOC CONTRATO</x:v>
      </x:c>
      <x:c r="H302" t="str">
        <x:v>12.9 - PASSAGENS FUNCIONARIOS</x:v>
      </x:c>
      <x:c r="I302" s="5" t="n">
        <x:v>205</x:v>
      </x:c>
    </x:row>
    <x:row r="303">
      <x:c r="A303" t="str">
        <x:v>OPÇÃO UNIFORMES LTDA</x:v>
      </x:c>
      <x:c r="B303" t="str">
        <x:v>11833</x:v>
      </x:c>
      <x:c r="C303" t="str">
        <x:v>015348</x:v>
      </x:c>
      <x:c r="D303" t="str">
        <x:v>UNIFORMES SAIVE</x:v>
      </x:c>
      <x:c r="E303"/>
      <x:c r="F303" s="4" t="n">
        <x:v>46034</x:v>
      </x:c>
      <x:c r="G303" t="str">
        <x:v>ADMINISTRATIVO</x:v>
      </x:c>
      <x:c r="H303" t="str">
        <x:v>13.2 - UNIFORMES</x:v>
      </x:c>
      <x:c r="I303" s="5" t="n">
        <x:v>313.6</x:v>
      </x:c>
    </x:row>
    <x:row r="304">
      <x:c r="A304" t="str">
        <x:v>MOTO BOY CLAUDEMIR</x:v>
      </x:c>
      <x:c r="B304"/>
      <x:c r="C304" t="str">
        <x:v>015349</x:v>
      </x:c>
      <x:c r="D304" t="str">
        <x:v>UBER MOTOBOY</x:v>
      </x:c>
      <x:c r="E304"/>
      <x:c r="F304" s="4" t="n">
        <x:v>46034</x:v>
      </x:c>
      <x:c r="G304" t="str">
        <x:v>ADMINISTRATIVO</x:v>
      </x:c>
      <x:c r="H304" t="str">
        <x:v>3.8 - SERVIÇO MOTOBOY / UBER</x:v>
      </x:c>
      <x:c r="I304" s="5" t="n">
        <x:v>30</x:v>
      </x:c>
    </x:row>
    <x:row r="305">
      <x:c r="A305" t="str">
        <x:v>PATRÍCIA CARVALHO</x:v>
      </x:c>
      <x:c r="B305"/>
      <x:c r="C305" t="str">
        <x:v>015350</x:v>
      </x:c>
      <x:c r="D305" t="str">
        <x:v>MATERIAL DE LIMPEZA ALOJAMENTOS</x:v>
      </x:c>
      <x:c r="E305"/>
      <x:c r="F305" s="4" t="n">
        <x:v>46034</x:v>
      </x:c>
      <x:c r="G305" t="str">
        <x:v>FOSFATO CMOC CONTRAT</x:v>
      </x:c>
      <x:c r="H305" t="str">
        <x:v>8.11 - MATERIAIS DE LIMPEZA / HIGIENE</x:v>
      </x:c>
      <x:c r="I305" s="5" t="n">
        <x:v>500</x:v>
      </x:c>
    </x:row>
    <x:row r="306">
      <x:c r="A306" t="str">
        <x:v>PATRÍCIA CARVALHO</x:v>
      </x:c>
      <x:c r="B306"/>
      <x:c r="C306" t="str">
        <x:v>015350</x:v>
      </x:c>
      <x:c r="D306" t="str">
        <x:v>MATERIAL DE LIMPEZA ALOJAMENTOS</x:v>
      </x:c>
      <x:c r="E306"/>
      <x:c r="F306" s="4" t="n">
        <x:v>46034</x:v>
      </x:c>
      <x:c r="G306" t="str">
        <x:v>NIOBIO CMOC CONTRATO</x:v>
      </x:c>
      <x:c r="H306" t="str">
        <x:v>8.11 - MATERIAIS DE LIMPEZA / HIGIENE</x:v>
      </x:c>
      <x:c r="I306" s="5" t="n">
        <x:v>500</x:v>
      </x:c>
    </x:row>
    <x:row r="307">
      <x:c r="A307" t="str">
        <x:v>DESPESAS VEICULOS</x:v>
      </x:c>
      <x:c r="B307"/>
      <x:c r="C307" t="str">
        <x:v>015351</x:v>
      </x:c>
      <x:c r="D307" t="str">
        <x:v>ENTRADA CAPA DOS BANCOS SPIN</x:v>
      </x:c>
      <x:c r="E307"/>
      <x:c r="F307" s="4" t="n">
        <x:v>46034</x:v>
      </x:c>
      <x:c r="G307" t="str">
        <x:v>VLI PINTURA</x:v>
      </x:c>
      <x:c r="H307" t="str">
        <x:v>6.3 - MANUTENÇÃO/PEÇAS  VEICULOS</x:v>
      </x:c>
      <x:c r="I307" s="5" t="n">
        <x:v>300</x:v>
      </x:c>
    </x:row>
    <x:row r="308">
      <x:c r="A308" t="str">
        <x:v>FERRAGISTA OBRAS</x:v>
      </x:c>
      <x:c r="B308"/>
      <x:c r="C308" t="str">
        <x:v>015352</x:v>
      </x:c>
      <x:c r="D308" t="str">
        <x:v>PEÇAS DE MANUTENÇAO MAQUINA DE JATO</x:v>
      </x:c>
      <x:c r="E308"/>
      <x:c r="F308" s="4" t="n">
        <x:v>46034</x:v>
      </x:c>
      <x:c r="G308" t="str">
        <x:v>CONDUTOS UG 1 - ELETROBRAS</x:v>
      </x:c>
      <x:c r="H308" t="str">
        <x:v>8.14 - MANUTENÇÃO/PEÇAS MAQUINAS E EQUIPAMENTOS</x:v>
      </x:c>
      <x:c r="I308" s="5" t="n">
        <x:v>605</x:v>
      </x:c>
    </x:row>
    <x:row r="309">
      <x:c r="A309" t="str">
        <x:v>CARTAO CREDITO EDUARDO</x:v>
      </x:c>
      <x:c r="B309" t="str">
        <x:v>239</x:v>
      </x:c>
      <x:c r="C309" t="str">
        <x:v>015529</x:v>
      </x:c>
      <x:c r="D309" t="str">
        <x:v>MANUTENÇÃO RANGER SERENA PRW</x:v>
      </x:c>
      <x:c r="E309" t="str">
        <x:v>ITAÚ</x:v>
      </x:c>
      <x:c r="F309" s="4" t="n">
        <x:v>46034</x:v>
      </x:c>
      <x:c r="G309" t="str">
        <x:v>SERENA 10 TORRES 2025</x:v>
      </x:c>
      <x:c r="H309" t="str">
        <x:v>6.3 - MANUTENÇÃO/PEÇAS  VEICULOS</x:v>
      </x:c>
      <x:c r="I309" s="5" t="n">
        <x:v>932.08</x:v>
      </x:c>
    </x:row>
    <x:row r="310">
      <x:c r="A310" t="str">
        <x:v>CARTAO CREDITO EDUARDO</x:v>
      </x:c>
      <x:c r="B310" t="str">
        <x:v>239</x:v>
      </x:c>
      <x:c r="C310" t="str">
        <x:v>015529</x:v>
      </x:c>
      <x:c r="D310" t="str">
        <x:v>MANUTENÇÃO RANGER SERENA PRW</x:v>
      </x:c>
      <x:c r="E310" t="str">
        <x:v>ITAÚ</x:v>
      </x:c>
      <x:c r="F310" s="4" t="n">
        <x:v>46034</x:v>
      </x:c>
      <x:c r="G310" t="str">
        <x:v>SERENA 10 TORRES 2025</x:v>
      </x:c>
      <x:c r="H310" t="str">
        <x:v>6.3 - MANUTENÇÃO/PEÇAS  VEICULOS</x:v>
      </x:c>
      <x:c r="I310" s="5" t="n">
        <x:v>932.08</x:v>
      </x:c>
    </x:row>
    <x:row r="311">
      <x:c r="A311" t="str">
        <x:v>CARTAO CREDITO EDUARDO</x:v>
      </x:c>
      <x:c r="B311" t="str">
        <x:v>239</x:v>
      </x:c>
      <x:c r="C311" t="str">
        <x:v>015529</x:v>
      </x:c>
      <x:c r="D311" t="str">
        <x:v>MANUTENÇÃO RANGER SERENA PRW</x:v>
      </x:c>
      <x:c r="E311" t="str">
        <x:v>ITAÚ</x:v>
      </x:c>
      <x:c r="F311" s="4" t="n">
        <x:v>46034</x:v>
      </x:c>
      <x:c r="G311" t="str">
        <x:v>SERENA 10 TORRES 2025</x:v>
      </x:c>
      <x:c r="H311" t="str">
        <x:v>6.3 - MANUTENÇÃO/PEÇAS  VEICULOS</x:v>
      </x:c>
      <x:c r="I311" s="5" t="n">
        <x:v>932.08</x:v>
      </x:c>
    </x:row>
    <x:row r="312">
      <x:c r="A312" t="str">
        <x:v>CARTAO CREDITO EDUARDO</x:v>
      </x:c>
      <x:c r="B312" t="str">
        <x:v>239</x:v>
      </x:c>
      <x:c r="C312" t="str">
        <x:v>015529</x:v>
      </x:c>
      <x:c r="D312" t="str">
        <x:v>MANUTENÇÃO RANGER SERENA PRW</x:v>
      </x:c>
      <x:c r="E312" t="str">
        <x:v>ITAÚ</x:v>
      </x:c>
      <x:c r="F312" s="4" t="n">
        <x:v>46034</x:v>
      </x:c>
      <x:c r="G312" t="str">
        <x:v>SERENA 10 TORRES 2025</x:v>
      </x:c>
      <x:c r="H312" t="str">
        <x:v>6.3 - MANUTENÇÃO/PEÇAS  VEICULOS</x:v>
      </x:c>
      <x:c r="I312" s="5" t="n">
        <x:v>932.08</x:v>
      </x:c>
    </x:row>
    <x:row r="313">
      <x:c r="A313" t="str">
        <x:v>CARTAO CREDITO EDUARDO</x:v>
      </x:c>
      <x:c r="B313" t="str">
        <x:v>239</x:v>
      </x:c>
      <x:c r="C313" t="str">
        <x:v>015529</x:v>
      </x:c>
      <x:c r="D313" t="str">
        <x:v>MANUTENÇÃO RANGER SERENA PRW</x:v>
      </x:c>
      <x:c r="E313" t="str">
        <x:v>ITAÚ</x:v>
      </x:c>
      <x:c r="F313" s="4" t="n">
        <x:v>46034</x:v>
      </x:c>
      <x:c r="G313" t="str">
        <x:v>SERENA 10 TORRES 2025</x:v>
      </x:c>
      <x:c r="H313" t="str">
        <x:v>6.3 - MANUTENÇÃO/PEÇAS  VEICULOS</x:v>
      </x:c>
      <x:c r="I313" s="5" t="n">
        <x:v>932.08</x:v>
      </x:c>
    </x:row>
    <x:row r="314">
      <x:c r="A314" t="str">
        <x:v>CARTAO CREDITO EDUARDO</x:v>
      </x:c>
      <x:c r="B314" t="str">
        <x:v>239</x:v>
      </x:c>
      <x:c r="C314" t="str">
        <x:v>015529</x:v>
      </x:c>
      <x:c r="D314" t="str">
        <x:v>MANUTENÇÃO RANGER SERENA PRW</x:v>
      </x:c>
      <x:c r="E314" t="str">
        <x:v>ITAÚ</x:v>
      </x:c>
      <x:c r="F314" s="4" t="n">
        <x:v>46034</x:v>
      </x:c>
      <x:c r="G314" t="str">
        <x:v>SERENA 10 TORRES 2025</x:v>
      </x:c>
      <x:c r="H314" t="str">
        <x:v>6.3 - MANUTENÇÃO/PEÇAS  VEICULOS</x:v>
      </x:c>
      <x:c r="I314" s="5" t="n">
        <x:v>932.08</x:v>
      </x:c>
    </x:row>
    <x:row r="315">
      <x:c r="A315" t="str">
        <x:v>BANCO CAIXA</x:v>
      </x:c>
      <x:c r="B315"/>
      <x:c r="C315" t="str">
        <x:v>016006</x:v>
      </x:c>
      <x:c r="D315" t="str">
        <x:v>IMOBILIARIO LOTE PARQUE OESTE</x:v>
      </x:c>
      <x:c r="E315"/>
      <x:c r="F315" s="4" t="n">
        <x:v>46034</x:v>
      </x:c>
      <x:c r="G315" t="str">
        <x:v>IMOBILIZADO / INVESTIMENTO</x:v>
      </x:c>
      <x:c r="H315" t="str">
        <x:v>11.7 - FINANCIAMENTO</x:v>
      </x:c>
      <x:c r="I315" s="5" t="n">
        <x:v>4531.17</x:v>
      </x:c>
    </x:row>
    <x:row r="316">
      <x:c r="A316" t="str">
        <x:v>BANCO CAIXA</x:v>
      </x:c>
      <x:c r="B316"/>
      <x:c r="C316" t="str">
        <x:v>016007</x:v>
      </x:c>
      <x:c r="D316" t="str">
        <x:v>DEB AUT / DB T CESTA</x:v>
      </x:c>
      <x:c r="E316" t="str">
        <x:v>Documento gerado a partir do Mov. 017557</x:v>
      </x:c>
      <x:c r="F316" s="4" t="n">
        <x:v>46034</x:v>
      </x:c>
      <x:c r="G316" t="str">
        <x:v>ADMINISTRATIVO</x:v>
      </x:c>
      <x:c r="H316" t="str">
        <x:v>18.2 - TARIFAS BANCARIAS</x:v>
      </x:c>
      <x:c r="I316" s="5" t="n">
        <x:v>471.34</x:v>
      </x:c>
    </x:row>
    <x:row r="317">
      <x:c r="A317" t="str">
        <x:v>CARTAO CREDITO EDUARDO</x:v>
      </x:c>
      <x:c r="B317" t="str">
        <x:v>225</x:v>
      </x:c>
      <x:c r="C317" t="str">
        <x:v>016270</x:v>
      </x:c>
      <x:c r="D317" t="str">
        <x:v>MANUTENCAO RANGER</x:v>
      </x:c>
      <x:c r="E317" t="str">
        <x:v>C6 BANK</x:v>
      </x:c>
      <x:c r="F317" s="4" t="n">
        <x:v>46034</x:v>
      </x:c>
      <x:c r="G317" t="str">
        <x:v>SERENA 10 TORRES 2025</x:v>
      </x:c>
      <x:c r="H317" t="str">
        <x:v>6.3 - MANUTENÇÃO/PEÇAS  VEICULOS</x:v>
      </x:c>
      <x:c r="I317" s="5" t="n">
        <x:v>4.72</x:v>
      </x:c>
    </x:row>
    <x:row r="318">
      <x:c r="A318" t="str">
        <x:v>CARTAO CREDITO EDUARDO</x:v>
      </x:c>
      <x:c r="B318" t="str">
        <x:v>240</x:v>
      </x:c>
      <x:c r="C318" t="str">
        <x:v>016271</x:v>
      </x:c>
      <x:c r="D318" t="str">
        <x:v>MANUTENCAO RANGER</x:v>
      </x:c>
      <x:c r="E318" t="str">
        <x:v>C6 BANK</x:v>
      </x:c>
      <x:c r="F318" s="4" t="n">
        <x:v>46034</x:v>
      </x:c>
      <x:c r="G318" t="str">
        <x:v>SERENA 10 TORRES 2025</x:v>
      </x:c>
      <x:c r="H318" t="str">
        <x:v>6.3 - MANUTENÇÃO/PEÇAS  VEICULOS</x:v>
      </x:c>
      <x:c r="I318" s="5" t="n">
        <x:v>1730</x:v>
      </x:c>
    </x:row>
    <x:row r="319">
      <x:c r="A319" t="str">
        <x:v>MAGNO</x:v>
      </x:c>
      <x:c r="B319"/>
      <x:c r="C319" t="str">
        <x:v>015278</x:v>
      </x:c>
      <x:c r="D319" t="str">
        <x:v>PRESTAÇÃO DE CONTA MAGNO</x:v>
      </x:c>
      <x:c r="E319" t="str">
        <x:v>UBER</x:v>
      </x:c>
      <x:c r="F319" s="4" t="n">
        <x:v>46035</x:v>
      </x:c>
      <x:c r="G319" t="str">
        <x:v>MOSAIC UBERABA CONTRAT0 3 ANOS</x:v>
      </x:c>
      <x:c r="H319" t="str">
        <x:v>12.7 - TRANSPORTE FUNCIONARIOS</x:v>
      </x:c>
      <x:c r="I319" s="5" t="n">
        <x:v>200</x:v>
      </x:c>
    </x:row>
    <x:row r="320">
      <x:c r="A320" t="str">
        <x:v>MAGNO</x:v>
      </x:c>
      <x:c r="B320"/>
      <x:c r="C320" t="str">
        <x:v>015279</x:v>
      </x:c>
      <x:c r="D320" t="str">
        <x:v>PRESTAÇÃO DE CONTA MAGNO</x:v>
      </x:c>
      <x:c r="E320" t="str">
        <x:v>UBER FUNCIONARIO EDMILSON</x:v>
      </x:c>
      <x:c r="F320" s="4" t="n">
        <x:v>46035</x:v>
      </x:c>
      <x:c r="G320" t="str">
        <x:v>MOSAIC UBERABA CONTRAT0 3 ANOS</x:v>
      </x:c>
      <x:c r="H320" t="str">
        <x:v>12.7 - TRANSPORTE FUNCIONARIOS</x:v>
      </x:c>
      <x:c r="I320" s="5" t="n">
        <x:v>200</x:v>
      </x:c>
    </x:row>
    <x:row r="321">
      <x:c r="A321" t="str">
        <x:v>MAGNO</x:v>
      </x:c>
      <x:c r="B321" t="str">
        <x:v>1814</x:v>
      </x:c>
      <x:c r="C321" t="str">
        <x:v>015280</x:v>
      </x:c>
      <x:c r="D321" t="str">
        <x:v>PRESTAÇÃO DE CONTA MAGNO</x:v>
      </x:c>
      <x:c r="E321" t="str">
        <x:v>RAFA RESTAURANTE</x:v>
      </x:c>
      <x:c r="F321" s="4" t="n">
        <x:v>46035</x:v>
      </x:c>
      <x:c r="G321" t="str">
        <x:v>MOSAIC UBERABA CONTRAT0 3 ANOS</x:v>
      </x:c>
      <x:c r="H321" t="str">
        <x:v>12.5 - REFEIÇÕES FUNCIONARIOS</x:v>
      </x:c>
      <x:c r="I321" s="5" t="n">
        <x:v>63.76</x:v>
      </x:c>
    </x:row>
    <x:row r="322">
      <x:c r="A322" t="str">
        <x:v>MAGNO</x:v>
      </x:c>
      <x:c r="B322" t="str">
        <x:v>1810</x:v>
      </x:c>
      <x:c r="C322" t="str">
        <x:v>015281</x:v>
      </x:c>
      <x:c r="D322" t="str">
        <x:v>PRESTAÇÃO DE CONTAS MAGNO</x:v>
      </x:c>
      <x:c r="E322" t="str">
        <x:v>RAFA RESTAURANTE 06/01/2026</x:v>
      </x:c>
      <x:c r="F322" s="4" t="n">
        <x:v>46035</x:v>
      </x:c>
      <x:c r="G322" t="str">
        <x:v>MOSAIC UBERABA CONTRAT0 3 ANOS</x:v>
      </x:c>
      <x:c r="H322" t="str">
        <x:v>12.5 - REFEIÇÕES FUNCIONARIOS</x:v>
      </x:c>
      <x:c r="I322" s="5" t="n">
        <x:v>46</x:v>
      </x:c>
    </x:row>
    <x:row r="323">
      <x:c r="A323" t="str">
        <x:v>MAGNO</x:v>
      </x:c>
      <x:c r="B323"/>
      <x:c r="C323" t="str">
        <x:v>015282</x:v>
      </x:c>
      <x:c r="D323" t="str">
        <x:v>PRESTAÇÃO DE CONTAS MAGNO</x:v>
      </x:c>
      <x:c r="E323" t="str">
        <x:v>FAXINA ANDRADAS 07/01/2026</x:v>
      </x:c>
      <x:c r="F323" s="4" t="n">
        <x:v>46035</x:v>
      </x:c>
      <x:c r="G323" t="str">
        <x:v>MOSAIC UBERABA CONTRAT0 3 ANOS</x:v>
      </x:c>
      <x:c r="H323" t="str">
        <x:v>12.7 - TRANSPORTE FUNCIONARIOS</x:v>
      </x:c>
      <x:c r="I323" s="5" t="n">
        <x:v>200</x:v>
      </x:c>
    </x:row>
    <x:row r="324">
      <x:c r="A324" t="str">
        <x:v>MAGNO</x:v>
      </x:c>
      <x:c r="B324" t="str">
        <x:v>1890</x:v>
      </x:c>
      <x:c r="C324" t="str">
        <x:v>015283</x:v>
      </x:c>
      <x:c r="D324" t="str">
        <x:v>PRESTAÇAÕ DE CONTAS MAGNO</x:v>
      </x:c>
      <x:c r="E324" t="str">
        <x:v>RAFA RESTAURANTE  07/01/2026</x:v>
      </x:c>
      <x:c r="F324" s="4" t="n">
        <x:v>46035</x:v>
      </x:c>
      <x:c r="G324" t="str">
        <x:v>MOSAIC UBERABA CONTRAT0 3 ANOS</x:v>
      </x:c>
      <x:c r="H324" t="str">
        <x:v>12.5 - REFEIÇÕES FUNCIONARIOS</x:v>
      </x:c>
      <x:c r="I324" s="5" t="n">
        <x:v>46</x:v>
      </x:c>
    </x:row>
    <x:row r="325">
      <x:c r="A325" t="str">
        <x:v>MAGNO</x:v>
      </x:c>
      <x:c r="B325"/>
      <x:c r="C325" t="str">
        <x:v>015284</x:v>
      </x:c>
      <x:c r="D325" t="str">
        <x:v>PRESTAÇÃO DE CONTA MAGNO</x:v>
      </x:c>
      <x:c r="E325" t="str">
        <x:v>CANTINA BARCELOS</x:v>
      </x:c>
      <x:c r="F325" s="4" t="n">
        <x:v>46035</x:v>
      </x:c>
      <x:c r="G325" t="str">
        <x:v>MOSAIC UBERABA CONTRAT0 3 ANOS</x:v>
      </x:c>
      <x:c r="H325" t="str">
        <x:v>12.5 - REFEIÇÕES FUNCIONARIOS</x:v>
      </x:c>
      <x:c r="I325" s="5" t="n">
        <x:v>46.55</x:v>
      </x:c>
    </x:row>
    <x:row r="326">
      <x:c r="A326" t="str">
        <x:v>MAGNO</x:v>
      </x:c>
      <x:c r="B326"/>
      <x:c r="C326" t="str">
        <x:v>015285</x:v>
      </x:c>
      <x:c r="D326" t="str">
        <x:v>PRESTAÇÃO DE CONTAS MAGNO</x:v>
      </x:c>
      <x:c r="E326" t="str">
        <x:v>SUPERMERCADO BH 11/01/2026</x:v>
      </x:c>
      <x:c r="F326" s="4" t="n">
        <x:v>46035</x:v>
      </x:c>
      <x:c r="G326" t="str">
        <x:v>MOSAIC UBERABA CONTRAT0 3 ANOS</x:v>
      </x:c>
      <x:c r="H326" t="str">
        <x:v>8.9 - MATERIAIS DE CONSUMO EM OBRAS</x:v>
      </x:c>
      <x:c r="I326" s="5" t="n">
        <x:v>55.15</x:v>
      </x:c>
    </x:row>
    <x:row r="327">
      <x:c r="A327" t="str">
        <x:v>MAGNO</x:v>
      </x:c>
      <x:c r="B327"/>
      <x:c r="C327" t="str">
        <x:v>015286</x:v>
      </x:c>
      <x:c r="D327" t="str">
        <x:v>PRESTAÇÃO DE CONTAS MAGNO</x:v>
      </x:c>
      <x:c r="E327" t="str">
        <x:v>SAPORE S.A</x:v>
      </x:c>
      <x:c r="F327" s="4" t="n">
        <x:v>46035</x:v>
      </x:c>
      <x:c r="G327" t="str">
        <x:v>CMOC CUBATÃO</x:v>
      </x:c>
      <x:c r="H327" t="str">
        <x:v>12.5 - REFEIÇÕES FUNCIONARIOS</x:v>
      </x:c>
      <x:c r="I327" s="5" t="n">
        <x:v>155.85</x:v>
      </x:c>
    </x:row>
    <x:row r="328">
      <x:c r="A328" t="str">
        <x:v>MAGNO</x:v>
      </x:c>
      <x:c r="B328"/>
      <x:c r="C328" t="str">
        <x:v>015287</x:v>
      </x:c>
      <x:c r="D328" t="str">
        <x:v>PRESTAÇÃO DE CONTAS MAGNO</x:v>
      </x:c>
      <x:c r="E328" t="str">
        <x:v>GASOLINA COMUM 12/01/2026</x:v>
      </x:c>
      <x:c r="F328" s="4" t="n">
        <x:v>46035</x:v>
      </x:c>
      <x:c r="G328" t="str">
        <x:v>CMOC CUBATÃO</x:v>
      </x:c>
      <x:c r="H328" t="str">
        <x:v>6.4 - COMBUSTIVEL VEICULOS</x:v>
      </x:c>
      <x:c r="I328" s="5" t="n">
        <x:v>234.27</x:v>
      </x:c>
    </x:row>
    <x:row r="329">
      <x:c r="A329" t="str">
        <x:v>MAGNO</x:v>
      </x:c>
      <x:c r="B329"/>
      <x:c r="C329" t="str">
        <x:v>015288</x:v>
      </x:c>
      <x:c r="D329" t="str">
        <x:v>PRESTAÇÃO DE CONTAS MAGNO</x:v>
      </x:c>
      <x:c r="E329" t="str">
        <x:v>3 IRMÃOS MUTTON &amp; CIA LTDA -  GASOLINA</x:v>
      </x:c>
      <x:c r="F329" s="4" t="n">
        <x:v>46035</x:v>
      </x:c>
      <x:c r="G329" t="str">
        <x:v>CMOC CUBATÃO</x:v>
      </x:c>
      <x:c r="H329" t="str">
        <x:v>6.4 - COMBUSTIVEL VEICULOS</x:v>
      </x:c>
      <x:c r="I329" s="5" t="n">
        <x:v>201.68</x:v>
      </x:c>
    </x:row>
    <x:row r="330">
      <x:c r="A330" t="str">
        <x:v>MAGNO</x:v>
      </x:c>
      <x:c r="B330"/>
      <x:c r="C330" t="str">
        <x:v>015289</x:v>
      </x:c>
      <x:c r="D330" t="str">
        <x:v>PRESTAÇÃO DE CONTAS MAGNO</x:v>
      </x:c>
      <x:c r="E330" t="str">
        <x:v>REDE DE SERVIÇOS PACHECO</x:v>
      </x:c>
      <x:c r="F330" s="4" t="n">
        <x:v>46035</x:v>
      </x:c>
      <x:c r="G330" t="str">
        <x:v>CMOC CUBATÃO</x:v>
      </x:c>
      <x:c r="H330" t="str">
        <x:v>6.4 - COMBUSTIVEL VEICULOS</x:v>
      </x:c>
      <x:c r="I330" s="5" t="n">
        <x:v>210.29</x:v>
      </x:c>
    </x:row>
    <x:row r="331">
      <x:c r="A331" t="str">
        <x:v>MAGNO</x:v>
      </x:c>
      <x:c r="B331"/>
      <x:c r="C331" t="str">
        <x:v>015290</x:v>
      </x:c>
      <x:c r="D331" t="str">
        <x:v>PRESTAÇÃO DE CONTAS MAGNO</x:v>
      </x:c>
      <x:c r="E331" t="str">
        <x:v>PIMENTA VERDE ALIMENTOS LTDA</x:v>
      </x:c>
      <x:c r="F331" s="4" t="n">
        <x:v>46035</x:v>
      </x:c>
      <x:c r="G331" t="str">
        <x:v>CMOC CUBATÃO</x:v>
      </x:c>
      <x:c r="H331" t="str">
        <x:v>12.5 - REFEIÇÕES FUNCIONARIOS</x:v>
      </x:c>
      <x:c r="I331" s="5" t="n">
        <x:v>33</x:v>
      </x:c>
    </x:row>
    <x:row r="332">
      <x:c r="A332" t="str">
        <x:v>MAGNO</x:v>
      </x:c>
      <x:c r="B332"/>
      <x:c r="C332" t="str">
        <x:v>015291</x:v>
      </x:c>
      <x:c r="D332" t="str">
        <x:v>PRESTAÇÃO DE CONTA MAGNO</x:v>
      </x:c>
      <x:c r="E332" t="str">
        <x:v>ASTRO CANTINA</x:v>
      </x:c>
      <x:c r="F332" s="4" t="n">
        <x:v>46035</x:v>
      </x:c>
      <x:c r="G332" t="str">
        <x:v>MOSAIC UBERABA CONTRAT0 3 ANOS</x:v>
      </x:c>
      <x:c r="H332" t="str">
        <x:v>12.5 - REFEIÇÕES FUNCIONARIOS</x:v>
      </x:c>
      <x:c r="I332" s="5" t="n">
        <x:v>33</x:v>
      </x:c>
    </x:row>
    <x:row r="333">
      <x:c r="A333" t="str">
        <x:v>MAGNO</x:v>
      </x:c>
      <x:c r="B333"/>
      <x:c r="C333" t="str">
        <x:v>015292</x:v>
      </x:c>
      <x:c r="D333" t="str">
        <x:v>PRESTAÇÃO DE CONTAS MAGNO</x:v>
      </x:c>
      <x:c r="E333" t="str">
        <x:v>NANFA PACHECO DA SILVA RUBIO</x:v>
      </x:c>
      <x:c r="F333" s="4" t="n">
        <x:v>46035</x:v>
      </x:c>
      <x:c r="G333" t="str">
        <x:v>CMOC CUBATÃO</x:v>
      </x:c>
      <x:c r="H333" t="str">
        <x:v>12.5 - REFEIÇÕES FUNCIONARIOS</x:v>
      </x:c>
      <x:c r="I333" s="5" t="n">
        <x:v>12</x:v>
      </x:c>
    </x:row>
    <x:row r="334">
      <x:c r="A334" t="str">
        <x:v>MAGNO</x:v>
      </x:c>
      <x:c r="B334"/>
      <x:c r="C334" t="str">
        <x:v>015293</x:v>
      </x:c>
      <x:c r="D334" t="str">
        <x:v>PRESTAÇÃO DE CONTAS MAGNO</x:v>
      </x:c>
      <x:c r="E334" t="str">
        <x:v>PEDAGIOS</x:v>
      </x:c>
      <x:c r="F334" s="4" t="n">
        <x:v>46035</x:v>
      </x:c>
      <x:c r="G334" t="str">
        <x:v>CMOC CUBATÃO</x:v>
      </x:c>
      <x:c r="H334" t="str">
        <x:v>6.6 - PEDAGIOS</x:v>
      </x:c>
      <x:c r="I334" s="5" t="n">
        <x:v>365.8</x:v>
      </x:c>
    </x:row>
    <x:row r="335">
      <x:c r="A335" t="str">
        <x:v>AJEL MATERIAIS ELETRICOS LTDA</x:v>
      </x:c>
      <x:c r="B335" t="str">
        <x:v>1039853</x:v>
      </x:c>
      <x:c r="C335" t="str">
        <x:v>015295</x:v>
      </x:c>
      <x:c r="D335" t="str">
        <x:v>ANJEL MATERIAIS ELETRICOS</x:v>
      </x:c>
      <x:c r="E335" t="str">
        <x:v>MANUTENÇÃO DE EQUIPAMENTOS</x:v>
      </x:c>
      <x:c r="F335" s="4" t="n">
        <x:v>46035</x:v>
      </x:c>
      <x:c r="G335" t="str">
        <x:v>CONDUTOS UG 1 - ELETROBRAS</x:v>
      </x:c>
      <x:c r="H335" t="str">
        <x:v>8.14 - MANUTENÇÃO/PEÇAS MAQUINAS E EQUIPAMENTOS</x:v>
      </x:c>
      <x:c r="I335" s="5" t="n">
        <x:v>1174.48</x:v>
      </x:c>
    </x:row>
    <x:row r="336">
      <x:c r="A336" t="str">
        <x:v>DESPESAS DE OBRAS</x:v>
      </x:c>
      <x:c r="B336"/>
      <x:c r="C336" t="str">
        <x:v>015296</x:v>
      </x:c>
      <x:c r="D336" t="str">
        <x:v>REEMBOLSO FUNCIONARIO/ COMPRA DE TORNEIRA/ NOSSA CASA</x:v>
      </x:c>
      <x:c r="E336" t="str">
        <x:v>JOSE SIMÕES</x:v>
      </x:c>
      <x:c r="F336" s="4" t="n">
        <x:v>46035</x:v>
      </x:c>
      <x:c r="G336" t="str">
        <x:v>EUROCHEM SERRA DO SALITRE</x:v>
      </x:c>
      <x:c r="H336" t="str">
        <x:v>8.9 - MATERIAIS DE CONSUMO EM OBRAS</x:v>
      </x:c>
      <x:c r="I336" s="5" t="n">
        <x:v>39.9</x:v>
      </x:c>
    </x:row>
    <x:row r="337">
      <x:c r="A337" t="str">
        <x:v>DESPESAS DE VIAGEM</x:v>
      </x:c>
      <x:c r="B337"/>
      <x:c r="C337" t="str">
        <x:v>015297</x:v>
      </x:c>
      <x:c r="D337" t="str">
        <x:v>REMARCAÇÃO DE PASSAGEM</x:v>
      </x:c>
      <x:c r="E337" t="str">
        <x:v>TARCISIO DE LIMA</x:v>
      </x:c>
      <x:c r="F337" s="4" t="n">
        <x:v>46035</x:v>
      </x:c>
      <x:c r="G337" t="str">
        <x:v>FOSFATO CMOC CONTRAT</x:v>
      </x:c>
      <x:c r="H337" t="str">
        <x:v>12.9 - PASSAGENS FUNCIONARIOS</x:v>
      </x:c>
      <x:c r="I337" s="5" t="n">
        <x:v>24.72</x:v>
      </x:c>
    </x:row>
    <x:row r="338">
      <x:c r="A338" t="str">
        <x:v>DESPESAS DE VIAGEM</x:v>
      </x:c>
      <x:c r="B338"/>
      <x:c r="C338" t="str">
        <x:v>015298</x:v>
      </x:c>
      <x:c r="D338" t="str">
        <x:v>OPÇÃO MOTO E CARRO</x:v>
      </x:c>
      <x:c r="E338" t="str">
        <x:v>JOSÉ EDSON ARRUDA DA SILVA</x:v>
      </x:c>
      <x:c r="F338" s="4" t="n">
        <x:v>46035</x:v>
      </x:c>
      <x:c r="G338" t="str">
        <x:v>NIOBIO CMOC CONTRATO</x:v>
      </x:c>
      <x:c r="H338" t="str">
        <x:v>12.9 - PASSAGENS FUNCIONARIOS</x:v>
      </x:c>
      <x:c r="I338" s="5" t="n">
        <x:v>437.84</x:v>
      </x:c>
    </x:row>
    <x:row r="339">
      <x:c r="A339" t="str">
        <x:v>DESPESAS DE VIAGEM</x:v>
      </x:c>
      <x:c r="B339"/>
      <x:c r="C339" t="str">
        <x:v>015299</x:v>
      </x:c>
      <x:c r="D339" t="str">
        <x:v>TRANSLADO ENTRE PAULINO NEVES- MA E  PARNAÍBA - PI</x:v>
      </x:c>
      <x:c r="E339" t="str">
        <x:v>ABIMAEL ALVES DA SILVA</x:v>
      </x:c>
      <x:c r="F339" s="4" t="n">
        <x:v>46035</x:v>
      </x:c>
      <x:c r="G339" t="str">
        <x:v>NIOBIO CMOC CONTRATO</x:v>
      </x:c>
      <x:c r="H339" t="str">
        <x:v>12.9 - PASSAGENS FUNCIONARIOS</x:v>
      </x:c>
      <x:c r="I339" s="5" t="n">
        <x:v>240</x:v>
      </x:c>
    </x:row>
    <x:row r="340">
      <x:c r="A340" t="str">
        <x:v>DESPESAS DE VIAGEM</x:v>
      </x:c>
      <x:c r="B340"/>
      <x:c r="C340" t="str">
        <x:v>015300</x:v>
      </x:c>
      <x:c r="D340" t="str">
        <x:v>REEMBOLSO FUNCIONARIO</x:v>
      </x:c>
      <x:c r="E340" t="str">
        <x:v>PATRICK SILVA SOUSA DO ROSARIO</x:v>
      </x:c>
      <x:c r="F340" s="4" t="n">
        <x:v>46035</x:v>
      </x:c>
      <x:c r="G340" t="str">
        <x:v>NIOBIO CMOC CONTRATO</x:v>
      </x:c>
      <x:c r="H340" t="str">
        <x:v>12.9 - PASSAGENS FUNCIONARIOS</x:v>
      </x:c>
      <x:c r="I340" s="5" t="n">
        <x:v>200</x:v>
      </x:c>
    </x:row>
    <x:row r="341">
      <x:c r="A341" t="str">
        <x:v>POSTO A+ COMERCIO DE COMBUSTIVEL LTDA</x:v>
      </x:c>
      <x:c r="B341" t="str">
        <x:v>20334 / 1</x:v>
      </x:c>
      <x:c r="C341" t="str">
        <x:v>015301</x:v>
      </x:c>
      <x:c r="D341" t="str">
        <x:v>COMBUSTIVEL VEICULOS</x:v>
      </x:c>
      <x:c r="E341" t="str">
        <x:v>BOLETO</x:v>
      </x:c>
      <x:c r="F341" s="4" t="n">
        <x:v>46035</x:v>
      </x:c>
      <x:c r="G341" t="str">
        <x:v>VLI PINTURA</x:v>
      </x:c>
      <x:c r="H341" t="str">
        <x:v>6.4 - COMBUSTIVEL VEICULOS</x:v>
      </x:c>
      <x:c r="I341" s="5" t="n">
        <x:v>1425.32</x:v>
      </x:c>
    </x:row>
    <x:row r="342">
      <x:c r="A342" t="str">
        <x:v>POSTO A+ COMERCIO DE COMBUSTIVEL LTDA</x:v>
      </x:c>
      <x:c r="B342" t="str">
        <x:v>20334 / 2</x:v>
      </x:c>
      <x:c r="C342" t="str">
        <x:v>015302</x:v>
      </x:c>
      <x:c r="D342" t="str">
        <x:v>COMBUSTIVEIS MAQUINAS</x:v>
      </x:c>
      <x:c r="E342"/>
      <x:c r="F342" s="4" t="n">
        <x:v>46035</x:v>
      </x:c>
      <x:c r="G342" t="str">
        <x:v>VLI PINTURA</x:v>
      </x:c>
      <x:c r="H342" t="str">
        <x:v>8.13 - COMBUSTIVEL EQUIPAMENTOS</x:v>
      </x:c>
      <x:c r="I342" s="5" t="n">
        <x:v>1713.99</x:v>
      </x:c>
    </x:row>
    <x:row r="343">
      <x:c r="A343" t="str">
        <x:v>49.814.051 MAXSANDER MENEZES DE OLIVEIRA</x:v>
      </x:c>
      <x:c r="B343" t="str">
        <x:v>31</x:v>
      </x:c>
      <x:c r="C343" t="str">
        <x:v>015303</x:v>
      </x:c>
      <x:c r="D343" t="str">
        <x:v>LAVA JATO  RANGER GENILDO</x:v>
      </x:c>
      <x:c r="E343" t="str">
        <x:v>PIX: 49814051000146</x:v>
      </x:c>
      <x:c r="F343" s="4" t="n">
        <x:v>46035</x:v>
      </x:c>
      <x:c r="G343" t="str">
        <x:v>ADMINISTRATIVO</x:v>
      </x:c>
      <x:c r="H343" t="str">
        <x:v>6.10 - SERVIÇO LAVA JATO</x:v>
      </x:c>
      <x:c r="I343" s="5" t="n">
        <x:v>150</x:v>
      </x:c>
    </x:row>
    <x:row r="344">
      <x:c r="A344" t="str">
        <x:v>RENOVE SOLUCOES EM SEGURANCA EIRELI</x:v>
      </x:c>
      <x:c r="B344" t="str">
        <x:v>1200</x:v>
      </x:c>
      <x:c r="C344" t="str">
        <x:v>015304</x:v>
      </x:c>
      <x:c r="D344" t="str">
        <x:v>EPIS ANGLO AMERICAN</x:v>
      </x:c>
      <x:c r="E344"/>
      <x:c r="F344" s="4" t="n">
        <x:v>46035</x:v>
      </x:c>
      <x:c r="G344" t="str">
        <x:v>ANGLO AMERICAN</x:v>
      </x:c>
      <x:c r="H344" t="str">
        <x:v>13.1 - EPIS</x:v>
      </x:c>
      <x:c r="I344" s="5" t="n">
        <x:v>2225.9</x:v>
      </x:c>
    </x:row>
    <x:row r="345">
      <x:c r="A345" t="str">
        <x:v>RENOVE SOLUCOES EM SEGURANCA EIRELI</x:v>
      </x:c>
      <x:c r="B345" t="str">
        <x:v>1200</x:v>
      </x:c>
      <x:c r="C345" t="str">
        <x:v>015304</x:v>
      </x:c>
      <x:c r="D345" t="str">
        <x:v>EPIS ANGLO AMERICAN</x:v>
      </x:c>
      <x:c r="E345"/>
      <x:c r="F345" s="4" t="n">
        <x:v>46035</x:v>
      </x:c>
      <x:c r="G345" t="str">
        <x:v>ANGLO AMERICAN</x:v>
      </x:c>
      <x:c r="H345" t="str">
        <x:v>13.1 - EPIS</x:v>
      </x:c>
      <x:c r="I345" s="5" t="n">
        <x:v>2225.9</x:v>
      </x:c>
    </x:row>
    <x:row r="346">
      <x:c r="A346" t="str">
        <x:v>DEDE TRANSPORTES LTDA</x:v>
      </x:c>
      <x:c r="B346" t="str">
        <x:v>38643</x:v>
      </x:c>
      <x:c r="C346" t="str">
        <x:v>015305</x:v>
      </x:c>
      <x:c r="D346" t="str">
        <x:v>FRENTE DE MATERIAIS E EQUIPAMENTOS</x:v>
      </x:c>
      <x:c r="E346"/>
      <x:c r="F346" s="4" t="n">
        <x:v>46035</x:v>
      </x:c>
      <x:c r="G346" t="str">
        <x:v>EUROCHEM SERRA DO SALITRE</x:v>
      </x:c>
      <x:c r="H346" t="str">
        <x:v>10.1 - FRETE MATERIAIS E EQUIPAMENTOS</x:v>
      </x:c>
      <x:c r="I346" s="5" t="n">
        <x:v>4500</x:v>
      </x:c>
    </x:row>
    <x:row r="347">
      <x:c r="A347" t="str">
        <x:v>FERCLAV COMERCIO DE FERRAGENS LTDA</x:v>
      </x:c>
      <x:c r="B347" t="str">
        <x:v>73464</x:v>
      </x:c>
      <x:c r="C347" t="str">
        <x:v>015399</x:v>
      </x:c>
      <x:c r="D347" t="str">
        <x:v>MANUTENÇÃO 4 LIXADEIRAS</x:v>
      </x:c>
      <x:c r="E347"/>
      <x:c r="F347" s="4" t="n">
        <x:v>46035</x:v>
      </x:c>
      <x:c r="G347" t="str">
        <x:v>FOSFATO CMOC CONTRAT</x:v>
      </x:c>
      <x:c r="H347" t="str">
        <x:v>8.14 - MANUTENÇÃO/PEÇAS MAQUINAS E EQUIPAMENTOS</x:v>
      </x:c>
      <x:c r="I347" s="5" t="n">
        <x:v>276.1</x:v>
      </x:c>
    </x:row>
    <x:row r="348">
      <x:c r="A348" t="str">
        <x:v>FERCLAV COMERCIO DE FERRAGENS LTDA</x:v>
      </x:c>
      <x:c r="B348" t="str">
        <x:v>73464</x:v>
      </x:c>
      <x:c r="C348" t="str">
        <x:v>015399</x:v>
      </x:c>
      <x:c r="D348" t="str">
        <x:v>MANUTENÇÃO 4 LIXADEIRAS</x:v>
      </x:c>
      <x:c r="E348"/>
      <x:c r="F348" s="4" t="n">
        <x:v>46035</x:v>
      </x:c>
      <x:c r="G348" t="str">
        <x:v>NIOBIO CMOC CONTRATO</x:v>
      </x:c>
      <x:c r="H348" t="str">
        <x:v>8.14 - MANUTENÇÃO/PEÇAS MAQUINAS E EQUIPAMENTOS</x:v>
      </x:c>
      <x:c r="I348" s="5" t="n">
        <x:v>276.1</x:v>
      </x:c>
    </x:row>
    <x:row r="349">
      <x:c r="A349" t="str">
        <x:v>REFEIÇÃO OBRAS</x:v>
      </x:c>
      <x:c r="B349"/>
      <x:c r="C349" t="str">
        <x:v>015400</x:v>
      </x:c>
      <x:c r="D349" t="str">
        <x:v>ALIMENTAÇÃO SERENA 12-01 A 15-01</x:v>
      </x:c>
      <x:c r="E349"/>
      <x:c r="F349" s="4" t="n">
        <x:v>46035</x:v>
      </x:c>
      <x:c r="G349" t="str">
        <x:v>SERENA 10 TORRES 2025</x:v>
      </x:c>
      <x:c r="H349" t="str">
        <x:v>12.5 - REFEIÇÕES FUNCIONARIOS</x:v>
      </x:c>
      <x:c r="I349" s="5" t="n">
        <x:v>336</x:v>
      </x:c>
    </x:row>
    <x:row r="350">
      <x:c r="A350" t="str">
        <x:v>DESPESAS DE VIAGEM</x:v>
      </x:c>
      <x:c r="B350"/>
      <x:c r="C350" t="str">
        <x:v>015402</x:v>
      </x:c>
      <x:c r="D350" t="str">
        <x:v>DESPESAS DA SEMANA 05/01/2026 A 09/01/2026</x:v>
      </x:c>
      <x:c r="E350"/>
      <x:c r="F350" s="4" t="n">
        <x:v>46035</x:v>
      </x:c>
      <x:c r="G350" t="str">
        <x:v>VLI PINTURA</x:v>
      </x:c>
      <x:c r="H350" t="str">
        <x:v>12.5 - REFEIÇÕES FUNCIONARIOS</x:v>
      </x:c>
      <x:c r="I350" s="5" t="n">
        <x:v>528.220588</x:v>
      </x:c>
    </x:row>
    <x:row r="351">
      <x:c r="A351" t="str">
        <x:v>DESPESAS DE VIAGEM</x:v>
      </x:c>
      <x:c r="B351"/>
      <x:c r="C351" t="str">
        <x:v>015402</x:v>
      </x:c>
      <x:c r="D351" t="str">
        <x:v>DESPESAS DA SEMANA 05/01/2026 A 09/01/2026</x:v>
      </x:c>
      <x:c r="E351"/>
      <x:c r="F351" s="4" t="n">
        <x:v>46035</x:v>
      </x:c>
      <x:c r="G351" t="str">
        <x:v>VLI PINTURA</x:v>
      </x:c>
      <x:c r="H351" t="str">
        <x:v>12.9 - PASSAGENS FUNCIONARIOS</x:v>
      </x:c>
      <x:c r="I351" s="5" t="n">
        <x:v>1811.779412</x:v>
      </x:c>
    </x:row>
    <x:row r="352">
      <x:c r="A352" t="str">
        <x:v>DESPESAS DE VIAGEM</x:v>
      </x:c>
      <x:c r="B352"/>
      <x:c r="C352" t="str">
        <x:v>015402</x:v>
      </x:c>
      <x:c r="D352" t="str">
        <x:v>DESPESAS DA SEMANA 05/01/2026 A 09/01/2026</x:v>
      </x:c>
      <x:c r="E352"/>
      <x:c r="F352" s="4" t="n">
        <x:v>46035</x:v>
      </x:c>
      <x:c r="G352" t="str">
        <x:v>MOSAIC UBERABA CONTRAT0 3 ANOS</x:v>
      </x:c>
      <x:c r="H352" t="str">
        <x:v>12.5 - REFEIÇÕES FUNCIONARIOS</x:v>
      </x:c>
      <x:c r="I352" s="5" t="n">
        <x:v>275.397059</x:v>
      </x:c>
    </x:row>
    <x:row r="353">
      <x:c r="A353" t="str">
        <x:v>DESPESAS DE VIAGEM</x:v>
      </x:c>
      <x:c r="B353"/>
      <x:c r="C353" t="str">
        <x:v>015402</x:v>
      </x:c>
      <x:c r="D353" t="str">
        <x:v>DESPESAS DA SEMANA 05/01/2026 A 09/01/2026</x:v>
      </x:c>
      <x:c r="E353"/>
      <x:c r="F353" s="4" t="n">
        <x:v>46035</x:v>
      </x:c>
      <x:c r="G353" t="str">
        <x:v>MOSAIC UBERABA CONTRAT0 3 ANOS</x:v>
      </x:c>
      <x:c r="H353" t="str">
        <x:v>12.9 - PASSAGENS FUNCIONARIOS</x:v>
      </x:c>
      <x:c r="I353" s="5" t="n">
        <x:v>944.602941</x:v>
      </x:c>
    </x:row>
    <x:row r="354">
      <x:c r="A354" t="str">
        <x:v>DESPESAS DE VIAGEM</x:v>
      </x:c>
      <x:c r="B354"/>
      <x:c r="C354" t="str">
        <x:v>015402</x:v>
      </x:c>
      <x:c r="D354" t="str">
        <x:v>DESPESAS DA SEMANA 05/01/2026 A 09/01/2026</x:v>
      </x:c>
      <x:c r="E354"/>
      <x:c r="F354" s="4" t="n">
        <x:v>46035</x:v>
      </x:c>
      <x:c r="G354" t="str">
        <x:v>EUROCHEM SERRA DO SALITRE</x:v>
      </x:c>
      <x:c r="H354" t="str">
        <x:v>12.5 - REFEIÇÕES FUNCIONARIOS</x:v>
      </x:c>
      <x:c r="I354" s="5" t="n">
        <x:v>424.382353</x:v>
      </x:c>
    </x:row>
    <x:row r="355">
      <x:c r="A355" t="str">
        <x:v>DESPESAS DE VIAGEM</x:v>
      </x:c>
      <x:c r="B355"/>
      <x:c r="C355" t="str">
        <x:v>015402</x:v>
      </x:c>
      <x:c r="D355" t="str">
        <x:v>DESPESAS DA SEMANA 05/01/2026 A 09/01/2026</x:v>
      </x:c>
      <x:c r="E355"/>
      <x:c r="F355" s="4" t="n">
        <x:v>46035</x:v>
      </x:c>
      <x:c r="G355" t="str">
        <x:v>EUROCHEM SERRA DO SALITRE</x:v>
      </x:c>
      <x:c r="H355" t="str">
        <x:v>12.9 - PASSAGENS FUNCIONARIOS</x:v>
      </x:c>
      <x:c r="I355" s="5" t="n">
        <x:v>1455.617647</x:v>
      </x:c>
    </x:row>
    <x:row r="356">
      <x:c r="A356" t="str">
        <x:v>MOTO BOY CLAUDEMIR</x:v>
      </x:c>
      <x:c r="B356"/>
      <x:c r="C356" t="str">
        <x:v>015404</x:v>
      </x:c>
      <x:c r="D356" t="str">
        <x:v>CLAUDEMIR</x:v>
      </x:c>
      <x:c r="E356" t="str">
        <x:v>BUSCAR ADESIVOS AIDEAL</x:v>
      </x:c>
      <x:c r="F356" s="4" t="n">
        <x:v>46035</x:v>
      </x:c>
      <x:c r="G356" t="str">
        <x:v>ADMINISTRATIVO</x:v>
      </x:c>
      <x:c r="H356" t="str">
        <x:v>3.8 - SERVIÇO MOTOBOY / UBER</x:v>
      </x:c>
      <x:c r="I356" s="5" t="n">
        <x:v>60</x:v>
      </x:c>
    </x:row>
    <x:row r="357">
      <x:c r="A357" t="str">
        <x:v>VALE TRANSPORTE</x:v>
      </x:c>
      <x:c r="B357"/>
      <x:c r="C357" t="str">
        <x:v>015405</x:v>
      </x:c>
      <x:c r="D357" t="str">
        <x:v>VALE TRANSPORTE JOVEM APRENDIZ</x:v>
      </x:c>
      <x:c r="E357" t="str">
        <x:v>05/01 A 02/02</x:v>
      </x:c>
      <x:c r="F357" s="4" t="n">
        <x:v>46035</x:v>
      </x:c>
      <x:c r="G357" t="str">
        <x:v>ADMINISTRATIVO</x:v>
      </x:c>
      <x:c r="H357" t="str">
        <x:v>12.7 - TRANSPORTE FUNCIONARIOS</x:v>
      </x:c>
      <x:c r="I357" s="5" t="n">
        <x:v>2066.3</x:v>
      </x:c>
    </x:row>
    <x:row r="358">
      <x:c r="A358" t="str">
        <x:v>SR APRIGIO RODRIGUES</x:v>
      </x:c>
      <x:c r="B358"/>
      <x:c r="C358" t="str">
        <x:v>015306</x:v>
      </x:c>
      <x:c r="D358" t="str">
        <x:v>APRIGIO JOAQUIM RODRIGUES</x:v>
      </x:c>
      <x:c r="E358" t="str">
        <x:v>FAXINEIRA SR. APRIGIO 10/12 A 10/01</x:v>
      </x:c>
      <x:c r="F358" s="4" t="n">
        <x:v>46036</x:v>
      </x:c>
      <x:c r="G358" t="str">
        <x:v>RETIRADA</x:v>
      </x:c>
      <x:c r="H358" t="str">
        <x:v>16.2 - RETIRADAS</x:v>
      </x:c>
      <x:c r="I358" s="5" t="n">
        <x:v>1000</x:v>
      </x:c>
    </x:row>
    <x:row r="359">
      <x:c r="A359" t="str">
        <x:v>MOVIDA PARTICIPACOES S.A.</x:v>
      </x:c>
      <x:c r="B359"/>
      <x:c r="C359" t="str">
        <x:v>015308</x:v>
      </x:c>
      <x:c r="D359" t="str">
        <x:v>MOVIDA ALUGUEL SPIN</x:v>
      </x:c>
      <x:c r="E359" t="str">
        <x:v>BOLETO</x:v>
      </x:c>
      <x:c r="F359" s="4" t="n">
        <x:v>46036</x:v>
      </x:c>
      <x:c r="G359" t="str">
        <x:v>SERENA 10 TORRES 2025</x:v>
      </x:c>
      <x:c r="H359" t="str">
        <x:v>7.8 - LOCAÇAO VEICULOS</x:v>
      </x:c>
      <x:c r="I359" s="5" t="n">
        <x:v>3512.7</x:v>
      </x:c>
    </x:row>
    <x:row r="360">
      <x:c r="A360" t="str">
        <x:v>S O S BORRACHAS</x:v>
      </x:c>
      <x:c r="B360" t="str">
        <x:v>43571</x:v>
      </x:c>
      <x:c r="C360" t="str">
        <x:v>015309</x:v>
      </x:c>
      <x:c r="D360" t="str">
        <x:v>MANUTENÇÃO DE EQUIPAMENTOS</x:v>
      </x:c>
      <x:c r="E360" t="str">
        <x:v>BOLETO</x:v>
      </x:c>
      <x:c r="F360" s="4" t="n">
        <x:v>46036</x:v>
      </x:c>
      <x:c r="G360" t="str">
        <x:v>CONDUTOS UG 1 - ELETROBRAS</x:v>
      </x:c>
      <x:c r="H360" t="str">
        <x:v>8.14 - MANUTENÇÃO/PEÇAS MAQUINAS E EQUIPAMENTOS</x:v>
      </x:c>
      <x:c r="I360" s="5" t="n">
        <x:v>665</x:v>
      </x:c>
    </x:row>
    <x:row r="361">
      <x:c r="A361" t="str">
        <x:v>MARIA DA FE VIDAL PASCOA COMBUSTIVEIS LTDA</x:v>
      </x:c>
      <x:c r="B361" t="str">
        <x:v>156</x:v>
      </x:c>
      <x:c r="C361" t="str">
        <x:v>015310</x:v>
      </x:c>
      <x:c r="D361" t="str">
        <x:v>POSTO SANTA FÉ</x:v>
      </x:c>
      <x:c r="E361" t="str">
        <x:v>MARIA DA FE VIDAL PASCOA - PIX 07.430.239/0001-40</x:v>
      </x:c>
      <x:c r="F361" s="4" t="n">
        <x:v>46036</x:v>
      </x:c>
      <x:c r="G361" t="str">
        <x:v>SERENA 10 TORRES 2025</x:v>
      </x:c>
      <x:c r="H361" t="str">
        <x:v>6.4 - COMBUSTIVEL VEICULOS</x:v>
      </x:c>
      <x:c r="I361" s="5" t="n">
        <x:v>811.09</x:v>
      </x:c>
    </x:row>
    <x:row r="362">
      <x:c r="A362" t="str">
        <x:v>CAB INDUSTRIAL LTDA</x:v>
      </x:c>
      <x:c r="B362" t="str">
        <x:v>79342</x:v>
      </x:c>
      <x:c r="C362" t="str">
        <x:v>015311</x:v>
      </x:c>
      <x:c r="D362" t="str">
        <x:v>EPIS</x:v>
      </x:c>
      <x:c r="E362"/>
      <x:c r="F362" s="4" t="n">
        <x:v>46036</x:v>
      </x:c>
      <x:c r="G362" t="str">
        <x:v>MOSAIC UBERABA CONTRAT0 3 ANOS</x:v>
      </x:c>
      <x:c r="H362" t="str">
        <x:v>13.1 - EPIS</x:v>
      </x:c>
      <x:c r="I362" s="5" t="n">
        <x:v>411.86</x:v>
      </x:c>
    </x:row>
    <x:row r="363">
      <x:c r="A363" t="str">
        <x:v>START INSTITUTO DE DESENVOLVIMENTO HUMANO E PROFISSIONAL LTDA</x:v>
      </x:c>
      <x:c r="B363"/>
      <x:c r="C363" t="str">
        <x:v>015408</x:v>
      </x:c>
      <x:c r="D363" t="str">
        <x:v>START - AGENCIA DO ESTAGIARIO</x:v>
      </x:c>
      <x:c r="E363"/>
      <x:c r="F363" s="4" t="n">
        <x:v>46036</x:v>
      </x:c>
      <x:c r="G363" t="str">
        <x:v>ADMINISTRATIVO</x:v>
      </x:c>
      <x:c r="H363" t="str">
        <x:v>12.1 - SALARIO</x:v>
      </x:c>
      <x:c r="I363" s="5" t="n">
        <x:v>64.29</x:v>
      </x:c>
    </x:row>
    <x:row r="364">
      <x:c r="A364" t="str">
        <x:v>DESPESAS DE VIAGEM</x:v>
      </x:c>
      <x:c r="B364"/>
      <x:c r="C364" t="str">
        <x:v>015412</x:v>
      </x:c>
      <x:c r="D364" t="str">
        <x:v>PASSAGEM CARLOS ANTONIO FERREIRA</x:v>
      </x:c>
      <x:c r="E364"/>
      <x:c r="F364" s="4" t="n">
        <x:v>46036</x:v>
      </x:c>
      <x:c r="G364" t="str">
        <x:v>VLI PINTURA</x:v>
      </x:c>
      <x:c r="H364" t="str">
        <x:v>12.9 - PASSAGENS FUNCIONARIOS</x:v>
      </x:c>
      <x:c r="I364" s="5" t="n">
        <x:v>1120</x:v>
      </x:c>
    </x:row>
    <x:row r="365">
      <x:c r="A365" t="str">
        <x:v>EXECUTIVA M E PATENTES LTDA</x:v>
      </x:c>
      <x:c r="B365"/>
      <x:c r="C365" t="str">
        <x:v>015413</x:v>
      </x:c>
      <x:c r="D365" t="str">
        <x:v>REGISTRO E PATENTE DA MARCA A IDEAL</x:v>
      </x:c>
      <x:c r="E365"/>
      <x:c r="F365" s="4" t="n">
        <x:v>46036</x:v>
      </x:c>
      <x:c r="G365" t="str">
        <x:v>ADMINISTRATIVO</x:v>
      </x:c>
      <x:c r="H365" t="str">
        <x:v>3.18 - SERVIÇO ALVARAS E LICENCIAMENTO</x:v>
      </x:c>
      <x:c r="I365" s="5" t="n">
        <x:v>826.87</x:v>
      </x:c>
    </x:row>
    <x:row r="366">
      <x:c r="A366" t="str">
        <x:v>FVX TECNOLOGIA DA INFORMACAO LTDA</x:v>
      </x:c>
      <x:c r="B366"/>
      <x:c r="C366" t="str">
        <x:v>015418</x:v>
      </x:c>
      <x:c r="D366" t="str">
        <x:v>LINHA VIRTUAL VOIP</x:v>
      </x:c>
      <x:c r="E366"/>
      <x:c r="F366" s="4" t="n">
        <x:v>46036</x:v>
      </x:c>
      <x:c r="G366" t="str">
        <x:v>ADMINISTRATIVO</x:v>
      </x:c>
      <x:c r="H366" t="str">
        <x:v>11.6 - INTERNET / TELEFONE ADM</x:v>
      </x:c>
      <x:c r="I366" s="5" t="n">
        <x:v>200</x:v>
      </x:c>
    </x:row>
    <x:row r="367">
      <x:c r="A367" t="str">
        <x:v>IPOG</x:v>
      </x:c>
      <x:c r="B367"/>
      <x:c r="C367" t="str">
        <x:v>015419</x:v>
      </x:c>
      <x:c r="D367" t="str">
        <x:v>CURSO POS GECYKA 12º MENSALIDADE</x:v>
      </x:c>
      <x:c r="E367"/>
      <x:c r="F367" s="4" t="n">
        <x:v>46036</x:v>
      </x:c>
      <x:c r="G367" t="str">
        <x:v>ADMINISTRATIVO</x:v>
      </x:c>
      <x:c r="H367" t="str">
        <x:v>14.2 - CURSOS / TREINAMENTOS</x:v>
      </x:c>
      <x:c r="I367" s="5" t="n">
        <x:v>1105</x:v>
      </x:c>
    </x:row>
    <x:row r="368">
      <x:c r="A368" t="str">
        <x:v>DETRAN - GO</x:v>
      </x:c>
      <x:c r="B368"/>
      <x:c r="C368" t="str">
        <x:v>015421</x:v>
      </x:c>
      <x:c r="D368" t="str">
        <x:v>MULTA DE TRANSITO RANGER SDN9A29</x:v>
      </x:c>
      <x:c r="E368"/>
      <x:c r="F368" s="4" t="n">
        <x:v>46036</x:v>
      </x:c>
      <x:c r="G368" t="str">
        <x:v>VEICULOS</x:v>
      </x:c>
      <x:c r="H368" t="str">
        <x:v>6.2 - MULTAS DE TRANSITO</x:v>
      </x:c>
      <x:c r="I368" s="5" t="n">
        <x:v>952.54</x:v>
      </x:c>
    </x:row>
    <x:row r="369">
      <x:c r="A369" t="str">
        <x:v>AUTO POSTO SAO MARCOS LTDA</x:v>
      </x:c>
      <x:c r="B369" t="str">
        <x:v>28849</x:v>
      </x:c>
      <x:c r="C369" t="str">
        <x:v>015424</x:v>
      </x:c>
      <x:c r="D369" t="str">
        <x:v>COMBUSTIVEL RANGER</x:v>
      </x:c>
      <x:c r="E369"/>
      <x:c r="F369" s="4" t="n">
        <x:v>46036</x:v>
      </x:c>
      <x:c r="G369" t="str">
        <x:v>ADMINISTRATIVO</x:v>
      </x:c>
      <x:c r="H369" t="str">
        <x:v>6.4 - COMBUSTIVEL VEICULOS</x:v>
      </x:c>
      <x:c r="I369" s="5" t="n">
        <x:v>398.28</x:v>
      </x:c>
    </x:row>
    <x:row r="370">
      <x:c r="A370" t="str">
        <x:v>BANCO MERCANTIL</x:v>
      </x:c>
      <x:c r="B370"/>
      <x:c r="C370" t="str">
        <x:v>015989</x:v>
      </x:c>
      <x:c r="D370" t="str">
        <x:v>JRS.PROP.CH.ESPECIAL</x:v>
      </x:c>
      <x:c r="E370" t="str">
        <x:v>Documento gerado a partir do Mov. 017524</x:v>
      </x:c>
      <x:c r="F370" s="4" t="n">
        <x:v>46036</x:v>
      </x:c>
      <x:c r="G370" t="str">
        <x:v>ADMINISTRATIVO</x:v>
      </x:c>
      <x:c r="H370" t="str">
        <x:v>18.1 - JUROS BANCARIOS</x:v>
      </x:c>
      <x:c r="I370" s="5" t="n">
        <x:v>2334.89</x:v>
      </x:c>
    </x:row>
    <x:row r="371">
      <x:c r="A371" t="str">
        <x:v>MAGNO</x:v>
      </x:c>
      <x:c r="B371"/>
      <x:c r="C371" t="str">
        <x:v>014094</x:v>
      </x:c>
      <x:c r="D371" t="str">
        <x:v>BONIFICAÇÃO MOSAIC PARADA 2025 - 30 MIL</x:v>
      </x:c>
      <x:c r="E371" t="str">
        <x:v>MAGNO DE LIMA</x:v>
      </x:c>
      <x:c r="F371" s="4" t="n">
        <x:v>46037</x:v>
      </x:c>
      <x:c r="G371" t="str">
        <x:v>MOSAIC UBERABA CONTRAT0 3 ANOS</x:v>
      </x:c>
      <x:c r="H371" t="str">
        <x:v>12.17 - BONIFICAÇOES</x:v>
      </x:c>
      <x:c r="I371" s="5" t="n">
        <x:v>5000</x:v>
      </x:c>
    </x:row>
    <x:row r="372">
      <x:c r="A372" t="str">
        <x:v>ALUGUEIS OBRAS</x:v>
      </x:c>
      <x:c r="B372"/>
      <x:c r="C372" t="str">
        <x:v>014794</x:v>
      </x:c>
      <x:c r="D372" t="str">
        <x:v>R. FRANCISCA NOG. COSTA Nº 564  15.01 A 15.02</x:v>
      </x:c>
      <x:c r="E372" t="str">
        <x:v>ELIANA ALCANTARA CESAR - PIX 649.698.603-78</x:v>
      </x:c>
      <x:c r="F372" s="4" t="n">
        <x:v>46037</x:v>
      </x:c>
      <x:c r="G372" t="str">
        <x:v>VLI PINTURA</x:v>
      </x:c>
      <x:c r="H372" t="str">
        <x:v>5.3 - ALUGUEL ALOJAMENTO</x:v>
      </x:c>
      <x:c r="I372" s="5" t="n">
        <x:v>1500</x:v>
      </x:c>
    </x:row>
    <x:row r="373">
      <x:c r="A373" t="str">
        <x:v>ADVOGADO</x:v>
      </x:c>
      <x:c r="B373"/>
      <x:c r="C373" t="str">
        <x:v>014795</x:v>
      </x:c>
      <x:c r="D373" t="str">
        <x:v>HONORÁRIO ADVOCATÍCIO - STELLA</x:v>
      </x:c>
      <x:c r="E373" t="str">
        <x:v>REF. MÊS 11/2025</x:v>
      </x:c>
      <x:c r="F373" s="4" t="n">
        <x:v>46037</x:v>
      </x:c>
      <x:c r="G373" t="str">
        <x:v>ADMINISTRATIVO</x:v>
      </x:c>
      <x:c r="H373" t="str">
        <x:v>9.1 - HONORARIOS ADVOCATICIOS</x:v>
      </x:c>
      <x:c r="I373" s="5" t="n">
        <x:v>150</x:v>
      </x:c>
    </x:row>
    <x:row r="374">
      <x:c r="A374" t="str">
        <x:v>ALUGUEIS OBRAS</x:v>
      </x:c>
      <x:c r="B374"/>
      <x:c r="C374" t="str">
        <x:v>014796</x:v>
      </x:c>
      <x:c r="D374" t="str">
        <x:v>RUA DO NIQUEL COND. ACACIA APT. 102 REF. 15-01 A 15-02</x:v>
      </x:c>
      <x:c r="E374" t="str">
        <x:v>KATIA REGINA BEZERRA -  PIX 4987479f-ecb5-4c78-9e84-ca7af04c50b7</x:v>
      </x:c>
      <x:c r="F374" s="4" t="n">
        <x:v>46037</x:v>
      </x:c>
      <x:c r="G374" t="str">
        <x:v>VLI PINTURA</x:v>
      </x:c>
      <x:c r="H374" t="str">
        <x:v>5.3 - ALUGUEL ALOJAMENTO</x:v>
      </x:c>
      <x:c r="I374" s="5" t="n">
        <x:v>1160</x:v>
      </x:c>
    </x:row>
    <x:row r="375">
      <x:c r="A375" t="str">
        <x:v>ALUGUEIS OBRAS</x:v>
      </x:c>
      <x:c r="B375"/>
      <x:c r="C375" t="str">
        <x:v>014797</x:v>
      </x:c>
      <x:c r="D375" t="str">
        <x:v>R. DOS ABACATEIROS APT 04 - GESTORLUCIANO - PIX (62) 9 8112-3739</x:v>
      </x:c>
      <x:c r="E375" t="str">
        <x:v>REF.  15-01 A 15-02</x:v>
      </x:c>
      <x:c r="F375" s="4" t="n">
        <x:v>46037</x:v>
      </x:c>
      <x:c r="G375" t="str">
        <x:v>ADMINISTRATIVO</x:v>
      </x:c>
      <x:c r="H375" t="str">
        <x:v>5.3 - ALUGUEL ALOJAMENTO</x:v>
      </x:c>
      <x:c r="I375" s="5" t="n">
        <x:v>1370</x:v>
      </x:c>
    </x:row>
    <x:row r="376">
      <x:c r="A376" t="str">
        <x:v>FOLHA DE PAGAMENTO</x:v>
      </x:c>
      <x:c r="B376"/>
      <x:c r="C376" t="str">
        <x:v>014798</x:v>
      </x:c>
      <x:c r="D376" t="str">
        <x:v>SALARIO JACINTO 12/2025</x:v>
      </x:c>
      <x:c r="E376"/>
      <x:c r="F376" s="4" t="n">
        <x:v>46037</x:v>
      </x:c>
      <x:c r="G376" t="str">
        <x:v>SERENA 10 TORRES 2025</x:v>
      </x:c>
      <x:c r="H376" t="str">
        <x:v>12.1 - SALARIO</x:v>
      </x:c>
      <x:c r="I376" s="5" t="n">
        <x:v>2500</x:v>
      </x:c>
    </x:row>
    <x:row r="377">
      <x:c r="A377" t="str">
        <x:v>ALUGUEIS OBRAS</x:v>
      </x:c>
      <x:c r="B377"/>
      <x:c r="C377" t="str">
        <x:v>014799</x:v>
      </x:c>
      <x:c r="D377" t="str">
        <x:v>RUA AV. BEATRIZ BRAGA CASA 03 REF. 15-01 A 15-02-26</x:v>
      </x:c>
      <x:c r="E377" t="str">
        <x:v>LUCIELDE ALVES OLIVEIRA (85) 9 9215-2258</x:v>
      </x:c>
      <x:c r="F377" s="4" t="n">
        <x:v>46037</x:v>
      </x:c>
      <x:c r="G377" t="str">
        <x:v>VLI PINTURA</x:v>
      </x:c>
      <x:c r="H377" t="str">
        <x:v>5.3 - ALUGUEL ALOJAMENTO</x:v>
      </x:c>
      <x:c r="I377" s="5" t="n">
        <x:v>800</x:v>
      </x:c>
    </x:row>
    <x:row r="378">
      <x:c r="A378" t="str">
        <x:v>EQUATORIAL DISTRIBUIDORA DE ENERGIA S.A.</x:v>
      </x:c>
      <x:c r="B378"/>
      <x:c r="C378" t="str">
        <x:v>014901</x:v>
      </x:c>
      <x:c r="D378" t="str">
        <x:v>RUA . 2, 44 JK CATALÃO  MES 12/2025</x:v>
      </x:c>
      <x:c r="E378" t="str">
        <x:v>UNIDADE CONSUMIDORA - 1990077204</x:v>
      </x:c>
      <x:c r="F378" s="4" t="n">
        <x:v>46037</x:v>
      </x:c>
      <x:c r="G378" t="str">
        <x:v>NIOBIO CMOC CONTRATO</x:v>
      </x:c>
      <x:c r="H378" t="str">
        <x:v>5.5 - ENERGIA ALOJAMENTO</x:v>
      </x:c>
      <x:c r="I378" s="5" t="n">
        <x:v>204.79</x:v>
      </x:c>
    </x:row>
    <x:row r="379">
      <x:c r="A379" t="str">
        <x:v>COPASA SANEAMENTO</x:v>
      </x:c>
      <x:c r="B379"/>
      <x:c r="C379" t="str">
        <x:v>015094</x:v>
      </x:c>
      <x:c r="D379" t="str">
        <x:v>R. ALFEU MARRA Nº 65 CASA 02 CENTRO REF. 12/2025</x:v>
      </x:c>
      <x:c r="E379" t="str">
        <x:v>MATRICULA 0 015 991 382 9 / IDENT. 0 015 991 365 9</x:v>
      </x:c>
      <x:c r="F379" s="4" t="n">
        <x:v>46037</x:v>
      </x:c>
      <x:c r="G379" t="str">
        <x:v>EUROCHEM SERRA DO SALITRE</x:v>
      </x:c>
      <x:c r="H379" t="str">
        <x:v>5.4 - AGUA ALOJAMENTO</x:v>
      </x:c>
      <x:c r="I379" s="5" t="n">
        <x:v>140.07</x:v>
      </x:c>
    </x:row>
    <x:row r="380">
      <x:c r="A380" t="str">
        <x:v>SANEAMENTO E ACOES URBANAS</x:v>
      </x:c>
      <x:c r="B380"/>
      <x:c r="C380" t="str">
        <x:v>015206</x:v>
      </x:c>
      <x:c r="D380" t="str">
        <x:v>R. DOS ANDRADAS 211 REF. 01/2026</x:v>
      </x:c>
      <x:c r="E380" t="str">
        <x:v>IDENTIFICADOR 8056</x:v>
      </x:c>
      <x:c r="F380" s="4" t="n">
        <x:v>46037</x:v>
      </x:c>
      <x:c r="G380" t="str">
        <x:v>MOSAIC UBERABA CONTRAT0 3 ANOS</x:v>
      </x:c>
      <x:c r="H380" t="str">
        <x:v>5.4 - AGUA ALOJAMENTO</x:v>
      </x:c>
      <x:c r="I380" s="5" t="n">
        <x:v>271.11</x:v>
      </x:c>
    </x:row>
    <x:row r="381">
      <x:c r="A381" t="str">
        <x:v>CEMIG DISTRIBUIÇÃO S.A</x:v>
      </x:c>
      <x:c r="B381"/>
      <x:c r="C381" t="str">
        <x:v>015207</x:v>
      </x:c>
      <x:c r="D381" t="str">
        <x:v>R. DOS ANDRADAS 211 REF. 12/2025</x:v>
      </x:c>
      <x:c r="E381" t="str">
        <x:v>UC 7003872857 / Nº DA INSTALAÇÃO 3000470094</x:v>
      </x:c>
      <x:c r="F381" s="4" t="n">
        <x:v>46037</x:v>
      </x:c>
      <x:c r="G381" t="str">
        <x:v>MOSAIC UBERABA CONTRAT0 3 ANOS</x:v>
      </x:c>
      <x:c r="H381" t="str">
        <x:v>5.5 - ENERGIA ALOJAMENTO</x:v>
      </x:c>
      <x:c r="I381" s="5" t="n">
        <x:v>742.91</x:v>
      </x:c>
    </x:row>
    <x:row r="382">
      <x:c r="A382" t="str">
        <x:v>SANEAMENTO DE GOIA S.A</x:v>
      </x:c>
      <x:c r="B382"/>
      <x:c r="C382" t="str">
        <x:v>015208</x:v>
      </x:c>
      <x:c r="D382" t="str">
        <x:v>R. OLIMPIA AREA QD 66-A REF. 01/2026</x:v>
      </x:c>
      <x:c r="E382" t="str">
        <x:v>Nº DA CONTA: 2722355-8</x:v>
      </x:c>
      <x:c r="F382" s="4" t="n">
        <x:v>46037</x:v>
      </x:c>
      <x:c r="G382" t="str">
        <x:v>ADMINISTRATIVO</x:v>
      </x:c>
      <x:c r="H382" t="str">
        <x:v>11.2 - AGUA ADM</x:v>
      </x:c>
      <x:c r="I382" s="5" t="n">
        <x:v>319.97</x:v>
      </x:c>
    </x:row>
    <x:row r="383">
      <x:c r="A383" t="str">
        <x:v>EQUATORIAL DISTRIBUIDORA DE ENERGIA S.A.</x:v>
      </x:c>
      <x:c r="B383"/>
      <x:c r="C383" t="str">
        <x:v>015209</x:v>
      </x:c>
      <x:c r="D383" t="str">
        <x:v>R. DOS ABACATEIROS QD 34 LT 15 CASA 04 REF. 05/25</x:v>
      </x:c>
      <x:c r="E383" t="str">
        <x:v>UC - 10035395638</x:v>
      </x:c>
      <x:c r="F383" s="4" t="n">
        <x:v>46037</x:v>
      </x:c>
      <x:c r="G383" t="str">
        <x:v>ADMINISTRATIVO</x:v>
      </x:c>
      <x:c r="H383" t="str">
        <x:v>5.5 - ENERGIA ALOJAMENTO</x:v>
      </x:c>
      <x:c r="I383" s="5" t="n">
        <x:v>47.5</x:v>
      </x:c>
    </x:row>
    <x:row r="384">
      <x:c r="A384" t="str">
        <x:v>EQUATORIAL DISTRIBUIDORA DE ENERGIA S.A.</x:v>
      </x:c>
      <x:c r="B384"/>
      <x:c r="C384" t="str">
        <x:v>015210</x:v>
      </x:c>
      <x:c r="D384" t="str">
        <x:v>R. DOS ABACATEIROS QD 34 LT 15 CASA 04 REF. 06/25</x:v>
      </x:c>
      <x:c r="E384" t="str">
        <x:v>UC - 10035395638</x:v>
      </x:c>
      <x:c r="F384" s="4" t="n">
        <x:v>46037</x:v>
      </x:c>
      <x:c r="G384" t="str">
        <x:v>ADMINISTRATIVO</x:v>
      </x:c>
      <x:c r="H384" t="str">
        <x:v>5.5 - ENERGIA ALOJAMENTO</x:v>
      </x:c>
      <x:c r="I384" s="5" t="n">
        <x:v>30.87</x:v>
      </x:c>
    </x:row>
    <x:row r="385">
      <x:c r="A385" t="str">
        <x:v>EQUATORIAL DISTRIBUIDORA DE ENERGIA S.A.</x:v>
      </x:c>
      <x:c r="B385"/>
      <x:c r="C385" t="str">
        <x:v>015211</x:v>
      </x:c>
      <x:c r="D385" t="str">
        <x:v>R. DOS ABACATEIROS QD 34 LT 15 CASA 04 REF. 07/25</x:v>
      </x:c>
      <x:c r="E385" t="str">
        <x:v>UC - 10035395638</x:v>
      </x:c>
      <x:c r="F385" s="4" t="n">
        <x:v>46037</x:v>
      </x:c>
      <x:c r="G385" t="str">
        <x:v>ADMINISTRATIVO</x:v>
      </x:c>
      <x:c r="H385" t="str">
        <x:v>5.5 - ENERGIA ALOJAMENTO</x:v>
      </x:c>
      <x:c r="I385" s="5" t="n">
        <x:v>94.66</x:v>
      </x:c>
    </x:row>
    <x:row r="386">
      <x:c r="A386" t="str">
        <x:v>EQUATORIAL DISTRIBUIDORA DE ENERGIA S.A.</x:v>
      </x:c>
      <x:c r="B386"/>
      <x:c r="C386" t="str">
        <x:v>015212</x:v>
      </x:c>
      <x:c r="D386" t="str">
        <x:v>R. DOS ABACATEIROS QD 34 LT 15 CASA 04 REF. 12/25</x:v>
      </x:c>
      <x:c r="E386" t="str">
        <x:v>UC - 10035395638</x:v>
      </x:c>
      <x:c r="F386" s="4" t="n">
        <x:v>46037</x:v>
      </x:c>
      <x:c r="G386" t="str">
        <x:v>ADMINISTRATIVO</x:v>
      </x:c>
      <x:c r="H386" t="str">
        <x:v>5.5 - ENERGIA ALOJAMENTO</x:v>
      </x:c>
      <x:c r="I386" s="5" t="n">
        <x:v>137.35</x:v>
      </x:c>
    </x:row>
    <x:row r="387">
      <x:c r="A387" t="str">
        <x:v>SANEAMENTO DE GOIA S.A</x:v>
      </x:c>
      <x:c r="B387"/>
      <x:c r="C387" t="str">
        <x:v>015216</x:v>
      </x:c>
      <x:c r="D387" t="str">
        <x:v>R. DOS ABACATEIROS QD 34 LT 15 CASA 04 REF. 01/26</x:v>
      </x:c>
      <x:c r="E387" t="str">
        <x:v>Nº CONTA 2557793-0 / DIONATAN ANTONIO DE OLIVEIRA</x:v>
      </x:c>
      <x:c r="F387" s="4" t="n">
        <x:v>46037</x:v>
      </x:c>
      <x:c r="G387" t="str">
        <x:v>ADMINISTRATIVO</x:v>
      </x:c>
      <x:c r="H387" t="str">
        <x:v>5.4 - AGUA ALOJAMENTO</x:v>
      </x:c>
      <x:c r="I387" s="5" t="n">
        <x:v>60.65</x:v>
      </x:c>
    </x:row>
    <x:row r="388">
      <x:c r="A388" t="str">
        <x:v>EQUATORIAL DISTRIBUIDORA DE ENERGIA S.A.</x:v>
      </x:c>
      <x:c r="B388"/>
      <x:c r="C388" t="str">
        <x:v>015217</x:v>
      </x:c>
      <x:c r="D388" t="str">
        <x:v>AV. BRASIL QD 00 LT 04 S/N SOUZALANDIA REF. 12/25</x:v>
      </x:c>
      <x:c r="E388" t="str">
        <x:v>UNIDADE CONSUMIDORA - 10018876240</x:v>
      </x:c>
      <x:c r="F388" s="4" t="n">
        <x:v>46037</x:v>
      </x:c>
      <x:c r="G388" t="str">
        <x:v>CANTEIRO SOUZALANDIA</x:v>
      </x:c>
      <x:c r="H388" t="str">
        <x:v>5.5 - ENERGIA ALOJAMENTO</x:v>
      </x:c>
      <x:c r="I388" s="5" t="n">
        <x:v>123.14</x:v>
      </x:c>
    </x:row>
    <x:row r="389">
      <x:c r="A389" t="str">
        <x:v>SANEAMENTO DE GOIA S.A</x:v>
      </x:c>
      <x:c r="B389"/>
      <x:c r="C389" t="str">
        <x:v>015218</x:v>
      </x:c>
      <x:c r="D389" t="str">
        <x:v>AV. BRASIL QD 00 LT 04 S/N SOUZALANDIA</x:v>
      </x:c>
      <x:c r="E389" t="str">
        <x:v>Nº CONTA  2083940-5</x:v>
      </x:c>
      <x:c r="F389" s="4" t="n">
        <x:v>46037</x:v>
      </x:c>
      <x:c r="G389" t="str">
        <x:v>CANTEIRO SOUZALANDIA</x:v>
      </x:c>
      <x:c r="H389" t="str">
        <x:v>5.4 - AGUA ALOJAMENTO</x:v>
      </x:c>
      <x:c r="I389" s="5" t="n">
        <x:v>22.85</x:v>
      </x:c>
    </x:row>
    <x:row r="390">
      <x:c r="A390" t="str">
        <x:v>ENCOMENDA DE CATALAO</x:v>
      </x:c>
      <x:c r="B390"/>
      <x:c r="C390" t="str">
        <x:v>015322</x:v>
      </x:c>
      <x:c r="D390" t="str">
        <x:v>ENCOMENDA GOIANIA X CATALAO</x:v>
      </x:c>
      <x:c r="E390" t="str">
        <x:v>PIX 64 9 92591215 GABRIELLE ELIAS DE FREITAS</x:v>
      </x:c>
      <x:c r="F390" s="4" t="n">
        <x:v>46037</x:v>
      </x:c>
      <x:c r="G390" t="str">
        <x:v>FOSFATO CMOC CONTRAT</x:v>
      </x:c>
      <x:c r="H390" t="str">
        <x:v>10.1 - FRETE MATERIAIS E EQUIPAMENTOS</x:v>
      </x:c>
      <x:c r="I390" s="5" t="n">
        <x:v>100</x:v>
      </x:c>
    </x:row>
    <x:row r="391">
      <x:c r="A391" t="str">
        <x:v>DESPESAS DE VIAGEM</x:v>
      </x:c>
      <x:c r="B391"/>
      <x:c r="C391" t="str">
        <x:v>015324</x:v>
      </x:c>
      <x:c r="D391" t="str">
        <x:v>DESPESA DE VIAGEM BARRO ALTO X GOIANIA</x:v>
      </x:c>
      <x:c r="E391" t="str">
        <x:v>RENAN SOARES DE OLIVIERA</x:v>
      </x:c>
      <x:c r="F391" s="4" t="n">
        <x:v>46037</x:v>
      </x:c>
      <x:c r="G391" t="str">
        <x:v>ANGLO AMERICAN</x:v>
      </x:c>
      <x:c r="H391" t="str">
        <x:v>12.9 - PASSAGENS FUNCIONARIOS</x:v>
      </x:c>
      <x:c r="I391" s="5" t="n">
        <x:v>79</x:v>
      </x:c>
    </x:row>
    <x:row r="392">
      <x:c r="A392" t="str">
        <x:v>SERVIÇOS DE LIMPEZA / FAXINA</x:v>
      </x:c>
      <x:c r="B392"/>
      <x:c r="C392" t="str">
        <x:v>015325</x:v>
      </x:c>
      <x:c r="D392" t="str">
        <x:v>ROSANGELA HELENA CPF 002.992.221-60</x:v>
      </x:c>
      <x:c r="E392" t="str">
        <x:v>5 LIMPEZA ADM TRINDADE REF. 06/12 13/12 17/12 03/01 10/01</x:v>
      </x:c>
      <x:c r="F392" s="4" t="n">
        <x:v>46037</x:v>
      </x:c>
      <x:c r="G392" t="str">
        <x:v>ADMINISTRATIVO</x:v>
      </x:c>
      <x:c r="H392" t="str">
        <x:v>3.7 - SERVIÇO LIMPEZA ALOJAMENTO/ESCRITORIO</x:v>
      </x:c>
      <x:c r="I392" s="5" t="n">
        <x:v>1500</x:v>
      </x:c>
    </x:row>
    <x:row r="393">
      <x:c r="A393" t="str">
        <x:v>CONNECT INF. E TECNOLOGIA</x:v>
      </x:c>
      <x:c r="B393"/>
      <x:c r="C393" t="str">
        <x:v>015328</x:v>
      </x:c>
      <x:c r="D393" t="str">
        <x:v>CONSULTA CONNECT REF. MÊS 12/2025</x:v>
      </x:c>
      <x:c r="E393" t="str">
        <x:v>VENCIMENTO ORIGINAL DO BOLETO 15/01/26</x:v>
      </x:c>
      <x:c r="F393" s="4" t="n">
        <x:v>46037</x:v>
      </x:c>
      <x:c r="G393" t="str">
        <x:v>ADMINISTRATIVO</x:v>
      </x:c>
      <x:c r="H393" t="str">
        <x:v>3.4 - SERVIÇO SERASA</x:v>
      </x:c>
      <x:c r="I393" s="5" t="n">
        <x:v>935.91</x:v>
      </x:c>
    </x:row>
    <x:row r="394">
      <x:c r="A394" t="str">
        <x:v>IPOG</x:v>
      </x:c>
      <x:c r="B394"/>
      <x:c r="C394" t="str">
        <x:v>015329</x:v>
      </x:c>
      <x:c r="D394" t="str">
        <x:v>CURSO POS EDUARDO 12º MENSALIDADE</x:v>
      </x:c>
      <x:c r="E394"/>
      <x:c r="F394" s="4" t="n">
        <x:v>46037</x:v>
      </x:c>
      <x:c r="G394" t="str">
        <x:v>ADMINISTRATIVO</x:v>
      </x:c>
      <x:c r="H394" t="str">
        <x:v>14.2 - CURSOS / TREINAMENTOS</x:v>
      </x:c>
      <x:c r="I394" s="5" t="n">
        <x:v>1041</x:v>
      </x:c>
    </x:row>
    <x:row r="395">
      <x:c r="A395" t="str">
        <x:v>RICARDO RODRIGUES - COMERCIAL</x:v>
      </x:c>
      <x:c r="B395"/>
      <x:c r="C395" t="str">
        <x:v>015330</x:v>
      </x:c>
      <x:c r="D395" t="str">
        <x:v>VISITA TECNICA</x:v>
      </x:c>
      <x:c r="E395" t="str">
        <x:v>REEM. RICARDO RODRIGUES RIBEIRO</x:v>
      </x:c>
      <x:c r="F395" s="4" t="n">
        <x:v>46037</x:v>
      </x:c>
      <x:c r="G395" t="str">
        <x:v>GASTOS COMERCIAIS</x:v>
      </x:c>
      <x:c r="H395" t="str">
        <x:v>6.4 - COMBUSTIVEL VEICULOS</x:v>
      </x:c>
      <x:c r="I395" s="5" t="n">
        <x:v>341.72</x:v>
      </x:c>
    </x:row>
    <x:row r="396">
      <x:c r="A396" t="str">
        <x:v>QUALI TINTAS</x:v>
      </x:c>
      <x:c r="B396"/>
      <x:c r="C396" t="str">
        <x:v>015332</x:v>
      </x:c>
      <x:c r="D396" t="str">
        <x:v>QUAILITINTAS</x:v>
      </x:c>
      <x:c r="E396" t="str">
        <x:v>DEPOSITO</x:v>
      </x:c>
      <x:c r="F396" s="4" t="n">
        <x:v>46037</x:v>
      </x:c>
      <x:c r="G396" t="str">
        <x:v>ADMINISTRATIVO</x:v>
      </x:c>
      <x:c r="H396" t="str">
        <x:v>4.1 - TINTAS E SOLVENTES</x:v>
      </x:c>
      <x:c r="I396" s="5" t="n">
        <x:v>450</x:v>
      </x:c>
    </x:row>
    <x:row r="397">
      <x:c r="A397" t="str">
        <x:v>QUALI TINTAS</x:v>
      </x:c>
      <x:c r="B397"/>
      <x:c r="C397" t="str">
        <x:v>015334</x:v>
      </x:c>
      <x:c r="D397" t="str">
        <x:v>QUALITINTAS</x:v>
      </x:c>
      <x:c r="E397"/>
      <x:c r="F397" s="4" t="n">
        <x:v>46037</x:v>
      </x:c>
      <x:c r="G397" t="str">
        <x:v>ANGLO AMERICAN</x:v>
      </x:c>
      <x:c r="H397" t="str">
        <x:v>4.1 - TINTAS E SOLVENTES</x:v>
      </x:c>
      <x:c r="I397" s="5" t="n">
        <x:v>390</x:v>
      </x:c>
    </x:row>
    <x:row r="398">
      <x:c r="A398" t="str">
        <x:v>RESTAURANTE MARINA LTDA</x:v>
      </x:c>
      <x:c r="B398" t="str">
        <x:v>441</x:v>
      </x:c>
      <x:c r="C398" t="str">
        <x:v>015335</x:v>
      </x:c>
      <x:c r="D398" t="str">
        <x:v>RESTAURANTE MARINA</x:v>
      </x:c>
      <x:c r="E398" t="str">
        <x:v>PIX 50531065000131</x:v>
      </x:c>
      <x:c r="F398" s="4" t="n">
        <x:v>46037</x:v>
      </x:c>
      <x:c r="G398" t="str">
        <x:v>VLI PINTURA</x:v>
      </x:c>
      <x:c r="H398" t="str">
        <x:v>12.5 - REFEIÇÕES FUNCIONARIOS</x:v>
      </x:c>
      <x:c r="I398" s="5" t="n">
        <x:v>4074</x:v>
      </x:c>
    </x:row>
    <x:row r="399">
      <x:c r="A399" t="str">
        <x:v>FGTS</x:v>
      </x:c>
      <x:c r="B399"/>
      <x:c r="C399" t="str">
        <x:v>015336</x:v>
      </x:c>
      <x:c r="D399" t="str">
        <x:v>GUIA DE FGTS</x:v>
      </x:c>
      <x:c r="E399" t="str">
        <x:v>GDF - GUIA DE FGTS</x:v>
      </x:c>
      <x:c r="F399" s="4" t="n">
        <x:v>46037</x:v>
      </x:c>
      <x:c r="G399" t="str">
        <x:v>VLI PINTURA</x:v>
      </x:c>
      <x:c r="H399" t="str">
        <x:v>12.14 - FGTS FUNCIONARIOS</x:v>
      </x:c>
      <x:c r="I399" s="5" t="n">
        <x:v>8923.71</x:v>
      </x:c>
    </x:row>
    <x:row r="400">
      <x:c r="A400" t="str">
        <x:v>FGTS</x:v>
      </x:c>
      <x:c r="B400"/>
      <x:c r="C400" t="str">
        <x:v>015336</x:v>
      </x:c>
      <x:c r="D400" t="str">
        <x:v>GUIA DE FGTS</x:v>
      </x:c>
      <x:c r="E400" t="str">
        <x:v>GDF - GUIA DE FGTS</x:v>
      </x:c>
      <x:c r="F400" s="4" t="n">
        <x:v>46037</x:v>
      </x:c>
      <x:c r="G400" t="str">
        <x:v>ADMINISTRATIVO</x:v>
      </x:c>
      <x:c r="H400" t="str">
        <x:v>12.14 - FGTS FUNCIONARIOS</x:v>
      </x:c>
      <x:c r="I400" s="5" t="n">
        <x:v>4461.85</x:v>
      </x:c>
    </x:row>
    <x:row r="401">
      <x:c r="A401" t="str">
        <x:v>FGTS</x:v>
      </x:c>
      <x:c r="B401"/>
      <x:c r="C401" t="str">
        <x:v>015336</x:v>
      </x:c>
      <x:c r="D401" t="str">
        <x:v>GUIA DE FGTS</x:v>
      </x:c>
      <x:c r="E401" t="str">
        <x:v>GDF - GUIA DE FGTS</x:v>
      </x:c>
      <x:c r="F401" s="4" t="n">
        <x:v>46037</x:v>
      </x:c>
      <x:c r="G401" t="str">
        <x:v>MOSAIC UBERABA CONTRAT0 3 ANOS</x:v>
      </x:c>
      <x:c r="H401" t="str">
        <x:v>12.14 - FGTS FUNCIONARIOS</x:v>
      </x:c>
      <x:c r="I401" s="5" t="n">
        <x:v>9561.12</x:v>
      </x:c>
    </x:row>
    <x:row r="402">
      <x:c r="A402" t="str">
        <x:v>FGTS</x:v>
      </x:c>
      <x:c r="B402"/>
      <x:c r="C402" t="str">
        <x:v>015336</x:v>
      </x:c>
      <x:c r="D402" t="str">
        <x:v>GUIA DE FGTS</x:v>
      </x:c>
      <x:c r="E402" t="str">
        <x:v>GDF - GUIA DE FGTS</x:v>
      </x:c>
      <x:c r="F402" s="4" t="n">
        <x:v>46037</x:v>
      </x:c>
      <x:c r="G402" t="str">
        <x:v>ANGLO AMERICAN</x:v>
      </x:c>
      <x:c r="H402" t="str">
        <x:v>12.14 - FGTS FUNCIONARIOS</x:v>
      </x:c>
      <x:c r="I402" s="5" t="n">
        <x:v>2868.33</x:v>
      </x:c>
    </x:row>
    <x:row r="403">
      <x:c r="A403" t="str">
        <x:v>FGTS</x:v>
      </x:c>
      <x:c r="B403"/>
      <x:c r="C403" t="str">
        <x:v>015336</x:v>
      </x:c>
      <x:c r="D403" t="str">
        <x:v>GUIA DE FGTS</x:v>
      </x:c>
      <x:c r="E403" t="str">
        <x:v>GDF - GUIA DE FGTS</x:v>
      </x:c>
      <x:c r="F403" s="4" t="n">
        <x:v>46037</x:v>
      </x:c>
      <x:c r="G403" t="str">
        <x:v>EUROCHEM SERRA DO SALITRE</x:v>
      </x:c>
      <x:c r="H403" t="str">
        <x:v>12.14 - FGTS FUNCIONARIOS</x:v>
      </x:c>
      <x:c r="I403" s="5" t="n">
        <x:v>2868.33</x:v>
      </x:c>
    </x:row>
    <x:row r="404">
      <x:c r="A404" t="str">
        <x:v>FGTS</x:v>
      </x:c>
      <x:c r="B404"/>
      <x:c r="C404" t="str">
        <x:v>015336</x:v>
      </x:c>
      <x:c r="D404" t="str">
        <x:v>GUIA DE FGTS</x:v>
      </x:c>
      <x:c r="E404" t="str">
        <x:v>GDF - GUIA DE FGTS</x:v>
      </x:c>
      <x:c r="F404" s="4" t="n">
        <x:v>46037</x:v>
      </x:c>
      <x:c r="G404" t="str">
        <x:v>FOSFATO CMOC CONTRAT</x:v>
      </x:c>
      <x:c r="H404" t="str">
        <x:v>12.14 - FGTS FUNCIONARIOS</x:v>
      </x:c>
      <x:c r="I404" s="5" t="n">
        <x:v>7011.48</x:v>
      </x:c>
    </x:row>
    <x:row r="405">
      <x:c r="A405" t="str">
        <x:v>FGTS</x:v>
      </x:c>
      <x:c r="B405"/>
      <x:c r="C405" t="str">
        <x:v>015336</x:v>
      </x:c>
      <x:c r="D405" t="str">
        <x:v>GUIA DE FGTS</x:v>
      </x:c>
      <x:c r="E405" t="str">
        <x:v>GDF - GUIA DE FGTS</x:v>
      </x:c>
      <x:c r="F405" s="4" t="n">
        <x:v>46037</x:v>
      </x:c>
      <x:c r="G405" t="str">
        <x:v>NIOBIO CMOC CONTRATO</x:v>
      </x:c>
      <x:c r="H405" t="str">
        <x:v>12.14 - FGTS FUNCIONARIOS</x:v>
      </x:c>
      <x:c r="I405" s="5" t="n">
        <x:v>3824.45</x:v>
      </x:c>
    </x:row>
    <x:row r="406">
      <x:c r="A406" t="str">
        <x:v>FGTS</x:v>
      </x:c>
      <x:c r="B406"/>
      <x:c r="C406" t="str">
        <x:v>015336</x:v>
      </x:c>
      <x:c r="D406" t="str">
        <x:v>GUIA DE FGTS</x:v>
      </x:c>
      <x:c r="E406" t="str">
        <x:v>GDF - GUIA DE FGTS</x:v>
      </x:c>
      <x:c r="F406" s="4" t="n">
        <x:v>46037</x:v>
      </x:c>
      <x:c r="G406" t="str">
        <x:v>SERENA 10 TORRES 2025</x:v>
      </x:c>
      <x:c r="H406" t="str">
        <x:v>12.14 - FGTS FUNCIONARIOS</x:v>
      </x:c>
      <x:c r="I406" s="5" t="n">
        <x:v>5736.67</x:v>
      </x:c>
    </x:row>
    <x:row r="407">
      <x:c r="A407" t="str">
        <x:v>FGTS</x:v>
      </x:c>
      <x:c r="B407"/>
      <x:c r="C407" t="str">
        <x:v>015336</x:v>
      </x:c>
      <x:c r="D407" t="str">
        <x:v>GUIA DE FGTS</x:v>
      </x:c>
      <x:c r="E407" t="str">
        <x:v>GDF - GUIA DE FGTS</x:v>
      </x:c>
      <x:c r="F407" s="4" t="n">
        <x:v>46037</x:v>
      </x:c>
      <x:c r="G407" t="str">
        <x:v>CMOC CUBATÃO</x:v>
      </x:c>
      <x:c r="H407" t="str">
        <x:v>12.14 - FGTS FUNCIONARIOS</x:v>
      </x:c>
      <x:c r="I407" s="5" t="n">
        <x:v>4780.56</x:v>
      </x:c>
    </x:row>
    <x:row r="408">
      <x:c r="A408" t="str">
        <x:v>FGTS</x:v>
      </x:c>
      <x:c r="B408"/>
      <x:c r="C408" t="str">
        <x:v>015336</x:v>
      </x:c>
      <x:c r="D408" t="str">
        <x:v>GUIA DE FGTS</x:v>
      </x:c>
      <x:c r="E408" t="str">
        <x:v>GDF - GUIA DE FGTS</x:v>
      </x:c>
      <x:c r="F408" s="4" t="n">
        <x:v>46037</x:v>
      </x:c>
      <x:c r="G408" t="str">
        <x:v>CONTRATO 02 ANOS MINERAÇÃO SERRA VERDE</x:v>
      </x:c>
      <x:c r="H408" t="str">
        <x:v>12.14 - FGTS FUNCIONARIOS</x:v>
      </x:c>
      <x:c r="I408" s="5" t="n">
        <x:v>2230.93</x:v>
      </x:c>
    </x:row>
    <x:row r="409">
      <x:c r="A409" t="str">
        <x:v>EMPRESTIMO CONSIGNADO - FGTS</x:v>
      </x:c>
      <x:c r="B409"/>
      <x:c r="C409" t="str">
        <x:v>015337</x:v>
      </x:c>
      <x:c r="D409" t="str">
        <x:v>EMPRESTIMO CLT</x:v>
      </x:c>
      <x:c r="E409" t="str">
        <x:v>EMPRESTIMO CONSIGNADO FGTS</x:v>
      </x:c>
      <x:c r="F409" s="4" t="n">
        <x:v>46037</x:v>
      </x:c>
      <x:c r="G409" t="str">
        <x:v>VLI PINTURA</x:v>
      </x:c>
      <x:c r="H409" t="str">
        <x:v>12.1 - SALARIO</x:v>
      </x:c>
      <x:c r="I409" s="5" t="n">
        <x:v>6249.09</x:v>
      </x:c>
    </x:row>
    <x:row r="410">
      <x:c r="A410" t="str">
        <x:v>EMPRESTIMO CONSIGNADO - FGTS</x:v>
      </x:c>
      <x:c r="B410"/>
      <x:c r="C410" t="str">
        <x:v>015337</x:v>
      </x:c>
      <x:c r="D410" t="str">
        <x:v>EMPRESTIMO CLT</x:v>
      </x:c>
      <x:c r="E410" t="str">
        <x:v>EMPRESTIMO CONSIGNADO FGTS</x:v>
      </x:c>
      <x:c r="F410" s="4" t="n">
        <x:v>46037</x:v>
      </x:c>
      <x:c r="G410" t="str">
        <x:v>ADMINISTRATIVO</x:v>
      </x:c>
      <x:c r="H410" t="str">
        <x:v>12.1 - SALARIO</x:v>
      </x:c>
      <x:c r="I410" s="5" t="n">
        <x:v>659.94</x:v>
      </x:c>
    </x:row>
    <x:row r="411">
      <x:c r="A411" t="str">
        <x:v>EMPRESTIMO CONSIGNADO - FGTS</x:v>
      </x:c>
      <x:c r="B411"/>
      <x:c r="C411" t="str">
        <x:v>015337</x:v>
      </x:c>
      <x:c r="D411" t="str">
        <x:v>EMPRESTIMO CLT</x:v>
      </x:c>
      <x:c r="E411" t="str">
        <x:v>EMPRESTIMO CONSIGNADO FGTS</x:v>
      </x:c>
      <x:c r="F411" s="4" t="n">
        <x:v>46037</x:v>
      </x:c>
      <x:c r="G411" t="str">
        <x:v>MOSAIC UBERABA CONTRAT0 3 ANOS</x:v>
      </x:c>
      <x:c r="H411" t="str">
        <x:v>12.1 - SALARIO</x:v>
      </x:c>
      <x:c r="I411" s="5" t="n">
        <x:v>5939.8</x:v>
      </x:c>
    </x:row>
    <x:row r="412">
      <x:c r="A412" t="str">
        <x:v>EMPRESTIMO CONSIGNADO - FGTS</x:v>
      </x:c>
      <x:c r="B412"/>
      <x:c r="C412" t="str">
        <x:v>015337</x:v>
      </x:c>
      <x:c r="D412" t="str">
        <x:v>EMPRESTIMO CLT</x:v>
      </x:c>
      <x:c r="E412" t="str">
        <x:v>EMPRESTIMO CONSIGNADO FGTS</x:v>
      </x:c>
      <x:c r="F412" s="4" t="n">
        <x:v>46037</x:v>
      </x:c>
      <x:c r="G412" t="str">
        <x:v>ANGLO AMERICAN</x:v>
      </x:c>
      <x:c r="H412" t="str">
        <x:v>12.1 - SALARIO</x:v>
      </x:c>
      <x:c r="I412" s="5" t="n">
        <x:v>530.8</x:v>
      </x:c>
    </x:row>
    <x:row r="413">
      <x:c r="A413" t="str">
        <x:v>EMPRESTIMO CONSIGNADO - FGTS</x:v>
      </x:c>
      <x:c r="B413"/>
      <x:c r="C413" t="str">
        <x:v>015337</x:v>
      </x:c>
      <x:c r="D413" t="str">
        <x:v>EMPRESTIMO CLT</x:v>
      </x:c>
      <x:c r="E413" t="str">
        <x:v>EMPRESTIMO CONSIGNADO FGTS</x:v>
      </x:c>
      <x:c r="F413" s="4" t="n">
        <x:v>46037</x:v>
      </x:c>
      <x:c r="G413" t="str">
        <x:v>EUROCHEM SERRA DO SALITRE</x:v>
      </x:c>
      <x:c r="H413" t="str">
        <x:v>12.1 - SALARIO</x:v>
      </x:c>
      <x:c r="I413" s="5" t="n">
        <x:v>2087.96</x:v>
      </x:c>
    </x:row>
    <x:row r="414">
      <x:c r="A414" t="str">
        <x:v>EMPRESTIMO CONSIGNADO - FGTS</x:v>
      </x:c>
      <x:c r="B414"/>
      <x:c r="C414" t="str">
        <x:v>015337</x:v>
      </x:c>
      <x:c r="D414" t="str">
        <x:v>EMPRESTIMO CLT</x:v>
      </x:c>
      <x:c r="E414" t="str">
        <x:v>EMPRESTIMO CONSIGNADO FGTS</x:v>
      </x:c>
      <x:c r="F414" s="4" t="n">
        <x:v>46037</x:v>
      </x:c>
      <x:c r="G414" t="str">
        <x:v>FOSFATO CMOC CONTRAT</x:v>
      </x:c>
      <x:c r="H414" t="str">
        <x:v>12.1 - SALARIO</x:v>
      </x:c>
      <x:c r="I414" s="5" t="n">
        <x:v>1591.3</x:v>
      </x:c>
    </x:row>
    <x:row r="415">
      <x:c r="A415" t="str">
        <x:v>EMPRESTIMO CONSIGNADO - FGTS</x:v>
      </x:c>
      <x:c r="B415"/>
      <x:c r="C415" t="str">
        <x:v>015337</x:v>
      </x:c>
      <x:c r="D415" t="str">
        <x:v>EMPRESTIMO CLT</x:v>
      </x:c>
      <x:c r="E415" t="str">
        <x:v>EMPRESTIMO CONSIGNADO FGTS</x:v>
      </x:c>
      <x:c r="F415" s="4" t="n">
        <x:v>46037</x:v>
      </x:c>
      <x:c r="G415" t="str">
        <x:v>NIOBIO CMOC CONTRATO</x:v>
      </x:c>
      <x:c r="H415" t="str">
        <x:v>12.1 - SALARIO</x:v>
      </x:c>
      <x:c r="I415" s="5" t="n">
        <x:v>1189.53</x:v>
      </x:c>
    </x:row>
    <x:row r="416">
      <x:c r="A416" t="str">
        <x:v>EMPRESTIMO CONSIGNADO - FGTS</x:v>
      </x:c>
      <x:c r="B416"/>
      <x:c r="C416" t="str">
        <x:v>015337</x:v>
      </x:c>
      <x:c r="D416" t="str">
        <x:v>EMPRESTIMO CLT</x:v>
      </x:c>
      <x:c r="E416" t="str">
        <x:v>EMPRESTIMO CONSIGNADO FGTS</x:v>
      </x:c>
      <x:c r="F416" s="4" t="n">
        <x:v>46037</x:v>
      </x:c>
      <x:c r="G416" t="str">
        <x:v>SERENA 10 TORRES 2025</x:v>
      </x:c>
      <x:c r="H416" t="str">
        <x:v>12.1 - SALARIO</x:v>
      </x:c>
      <x:c r="I416" s="5" t="n">
        <x:v>2509.08</x:v>
      </x:c>
    </x:row>
    <x:row r="417">
      <x:c r="A417" t="str">
        <x:v>EMPRESTIMO CONSIGNADO - FGTS</x:v>
      </x:c>
      <x:c r="B417"/>
      <x:c r="C417" t="str">
        <x:v>015337</x:v>
      </x:c>
      <x:c r="D417" t="str">
        <x:v>EMPRESTIMO CLT</x:v>
      </x:c>
      <x:c r="E417" t="str">
        <x:v>EMPRESTIMO CONSIGNADO FGTS</x:v>
      </x:c>
      <x:c r="F417" s="4" t="n">
        <x:v>46037</x:v>
      </x:c>
      <x:c r="G417" t="str">
        <x:v>CMOC CUBATÃO</x:v>
      </x:c>
      <x:c r="H417" t="str">
        <x:v>12.1 - SALARIO</x:v>
      </x:c>
      <x:c r="I417" s="5" t="n">
        <x:v>787.59</x:v>
      </x:c>
    </x:row>
    <x:row r="418">
      <x:c r="A418" t="str">
        <x:v>FONTEBRAS HOME CENTER COM. DE MAT.</x:v>
      </x:c>
      <x:c r="B418" t="str">
        <x:v>19399</x:v>
      </x:c>
      <x:c r="C418" t="str">
        <x:v>015338</x:v>
      </x:c>
      <x:c r="D418" t="str">
        <x:v>MATERIAIS DE CONSUMO</x:v>
      </x:c>
      <x:c r="E418"/>
      <x:c r="F418" s="4" t="n">
        <x:v>46037</x:v>
      </x:c>
      <x:c r="G418" t="str">
        <x:v>VLI PINTURA</x:v>
      </x:c>
      <x:c r="H418" t="str">
        <x:v>8.9 - MATERIAIS DE CONSUMO EM OBRAS</x:v>
      </x:c>
      <x:c r="I418" s="5" t="n">
        <x:v>638.63</x:v>
      </x:c>
    </x:row>
    <x:row r="419">
      <x:c r="A419" t="str">
        <x:v>SANEAMENTO DE GOIA S.A</x:v>
      </x:c>
      <x:c r="B419"/>
      <x:c r="C419" t="str">
        <x:v>015339</x:v>
      </x:c>
      <x:c r="D419" t="str">
        <x:v>R. OLIMPIA AREA QD 66-A REF. 01/2026</x:v>
      </x:c>
      <x:c r="E419" t="str">
        <x:v>Nº DA CONTA: 2722355-8</x:v>
      </x:c>
      <x:c r="F419" s="4" t="n">
        <x:v>46037</x:v>
      </x:c>
      <x:c r="G419" t="str">
        <x:v>ADMINISTRATIVO</x:v>
      </x:c>
      <x:c r="H419" t="str">
        <x:v>11.2 - AGUA ADM</x:v>
      </x:c>
      <x:c r="I419" s="5" t="n">
        <x:v>319.97</x:v>
      </x:c>
    </x:row>
    <x:row r="420">
      <x:c r="A420" t="str">
        <x:v>CLARO TELEFONIA</x:v>
      </x:c>
      <x:c r="B420"/>
      <x:c r="C420" t="str">
        <x:v>015340</x:v>
      </x:c>
      <x:c r="D420" t="str">
        <x:v>CONTA DE CHIPS</x:v>
      </x:c>
      <x:c r="E420" t="str">
        <x:v>REF 01/2026 TELEFONE: 498,40</x:v>
      </x:c>
      <x:c r="F420" s="4" t="n">
        <x:v>46037</x:v>
      </x:c>
      <x:c r="G420" t="str">
        <x:v>ADMINISTRATIVO</x:v>
      </x:c>
      <x:c r="H420" t="str">
        <x:v>11.6 - INTERNET / TELEFONE ADM</x:v>
      </x:c>
      <x:c r="I420" s="5" t="n">
        <x:v>498.4</x:v>
      </x:c>
    </x:row>
    <x:row r="421">
      <x:c r="A421" t="str">
        <x:v>MATA FOME REFEICAO COLETIVA LTDA</x:v>
      </x:c>
      <x:c r="B421" t="str">
        <x:v>221</x:v>
      </x:c>
      <x:c r="C421" t="str">
        <x:v>015358</x:v>
      </x:c>
      <x:c r="D421" t="str">
        <x:v>RESTAURANTE MATA FOME - PIX 57.730.611/0001-02</x:v>
      </x:c>
      <x:c r="E421" t="str">
        <x:v>REFEICOES FUNCIONARIOS 05/01 A 15/01</x:v>
      </x:c>
      <x:c r="F421" s="4" t="n">
        <x:v>46037</x:v>
      </x:c>
      <x:c r="G421" t="str">
        <x:v>VLI PINTURA</x:v>
      </x:c>
      <x:c r="H421" t="str">
        <x:v>12.5 - REFEIÇÕES FUNCIONARIOS</x:v>
      </x:c>
      <x:c r="I421" s="5" t="n">
        <x:v>4618</x:v>
      </x:c>
    </x:row>
    <x:row r="422">
      <x:c r="A422" t="str">
        <x:v>CARTAO CREDITO EDUARDO</x:v>
      </x:c>
      <x:c r="B422"/>
      <x:c r="C422" t="str">
        <x:v>015502</x:v>
      </x:c>
      <x:c r="D422" t="str">
        <x:v>REFORMULAÇÃO SITE A IDEAL PARTNER GOOGLE 10/10</x:v>
      </x:c>
      <x:c r="E422" t="str">
        <x:v>ITAÚ</x:v>
      </x:c>
      <x:c r="F422" s="4" t="n">
        <x:v>46037</x:v>
      </x:c>
      <x:c r="G422" t="str">
        <x:v>ADMINISTRATIVO</x:v>
      </x:c>
      <x:c r="H422" t="str">
        <x:v>11.8 - SISTEMA / SERVIDOR</x:v>
      </x:c>
      <x:c r="I422" s="5" t="n">
        <x:v>250</x:v>
      </x:c>
    </x:row>
    <x:row r="423">
      <x:c r="A423" t="str">
        <x:v>CARTAO CREDITO EDUARDO</x:v>
      </x:c>
      <x:c r="B423"/>
      <x:c r="C423" t="str">
        <x:v>015503</x:v>
      </x:c>
      <x:c r="D423" t="str">
        <x:v>CASA DO MARCINEIRO / MESA ADM ESCRITÓRIO 9/10</x:v>
      </x:c>
      <x:c r="E423" t="str">
        <x:v>ITAÚ</x:v>
      </x:c>
      <x:c r="F423" s="4" t="n">
        <x:v>46037</x:v>
      </x:c>
      <x:c r="G423" t="str">
        <x:v>ADMINISTRATIVO</x:v>
      </x:c>
      <x:c r="H423" t="str">
        <x:v>15.4 - DESPESAS C/ CONSTRUÇÃO ESCRITORIO ADM</x:v>
      </x:c>
      <x:c r="I423" s="5" t="n">
        <x:v>1495</x:v>
      </x:c>
    </x:row>
    <x:row r="424">
      <x:c r="A424" t="str">
        <x:v>CARTAO CREDITO EDUARDO</x:v>
      </x:c>
      <x:c r="B424"/>
      <x:c r="C424" t="str">
        <x:v>015504</x:v>
      </x:c>
      <x:c r="D424" t="str">
        <x:v>PORTO SEGURO / RANGER GILVAN 9/10</x:v>
      </x:c>
      <x:c r="E424" t="str">
        <x:v>ITAÚ</x:v>
      </x:c>
      <x:c r="F424" s="4" t="n">
        <x:v>46037</x:v>
      </x:c>
      <x:c r="G424" t="str">
        <x:v>VEICULOS</x:v>
      </x:c>
      <x:c r="H424" t="str">
        <x:v>6.5 - SEGUROS DE VEICULOS</x:v>
      </x:c>
      <x:c r="I424" s="5" t="n">
        <x:v>363.41</x:v>
      </x:c>
    </x:row>
    <x:row r="425">
      <x:c r="A425" t="str">
        <x:v>CARTAO CREDITO EDUARDO</x:v>
      </x:c>
      <x:c r="B425"/>
      <x:c r="C425" t="str">
        <x:v>015505</x:v>
      </x:c>
      <x:c r="D425" t="str">
        <x:v>JDL SEGURANCA CAMERAS, ALARMES E MOTOR 7/18</x:v>
      </x:c>
      <x:c r="E425" t="str">
        <x:v>ITAÚ</x:v>
      </x:c>
      <x:c r="F425" s="4" t="n">
        <x:v>46037</x:v>
      </x:c>
      <x:c r="G425" t="str">
        <x:v>ADMINISTRATIVO</x:v>
      </x:c>
      <x:c r="H425" t="str">
        <x:v>15.4 - DESPESAS C/ CONSTRUÇÃO ESCRITORIO ADM</x:v>
      </x:c>
      <x:c r="I425" s="5" t="n">
        <x:v>1000</x:v>
      </x:c>
    </x:row>
    <x:row r="426">
      <x:c r="A426" t="str">
        <x:v>CARTAO CREDITO EDUARDO</x:v>
      </x:c>
      <x:c r="B426"/>
      <x:c r="C426" t="str">
        <x:v>015507</x:v>
      </x:c>
      <x:c r="D426" t="str">
        <x:v>PASSAGEM AEREA LATAM P/ YCARO 3/3</x:v>
      </x:c>
      <x:c r="E426"/>
      <x:c r="F426" s="4" t="n">
        <x:v>46037</x:v>
      </x:c>
      <x:c r="G426" t="str">
        <x:v>CONDUTOS UG 1 - ELETROBRAS</x:v>
      </x:c>
      <x:c r="H426" t="str">
        <x:v>12.9 - PASSAGENS FUNCIONARIOS</x:v>
      </x:c>
      <x:c r="I426" s="5" t="n">
        <x:v>1039.53</x:v>
      </x:c>
    </x:row>
    <x:row r="427">
      <x:c r="A427" t="str">
        <x:v>CARTAO CREDITO EDUARDO</x:v>
      </x:c>
      <x:c r="B427"/>
      <x:c r="C427" t="str">
        <x:v>015509</x:v>
      </x:c>
      <x:c r="D427" t="str">
        <x:v>02 TENDAS 6X6 2/2</x:v>
      </x:c>
      <x:c r="E427" t="str">
        <x:v>ITAÚ</x:v>
      </x:c>
      <x:c r="F427" s="4" t="n">
        <x:v>46037</x:v>
      </x:c>
      <x:c r="G427" t="str">
        <x:v>CONTRATO 02 ANOS MINERAÇÃO SERRA VERDE</x:v>
      </x:c>
      <x:c r="H427" t="str">
        <x:v>8.5 - MAQUINAS / EQUIPAMENTOS</x:v>
      </x:c>
      <x:c r="I427" s="5" t="n">
        <x:v>2500.02</x:v>
      </x:c>
    </x:row>
    <x:row r="428">
      <x:c r="A428" t="str">
        <x:v>CARTAO CREDITO EDUARDO</x:v>
      </x:c>
      <x:c r="B428"/>
      <x:c r="C428" t="str">
        <x:v>015510</x:v>
      </x:c>
      <x:c r="D428" t="str">
        <x:v>STARLINK INTERNET AABA</x:v>
      </x:c>
      <x:c r="E428" t="str">
        <x:v>ITAÚ</x:v>
      </x:c>
      <x:c r="F428" s="4" t="n">
        <x:v>46037</x:v>
      </x:c>
      <x:c r="G428" t="str">
        <x:v>ANGLO AMERICAN</x:v>
      </x:c>
      <x:c r="H428" t="str">
        <x:v>11.14 - INTERNET OBRAS</x:v>
      </x:c>
      <x:c r="I428" s="5" t="n">
        <x:v>235.52</x:v>
      </x:c>
    </x:row>
    <x:row r="429">
      <x:c r="A429" t="str">
        <x:v>CARTAO CREDITO EDUARDO</x:v>
      </x:c>
      <x:c r="B429"/>
      <x:c r="C429" t="str">
        <x:v>015511</x:v>
      </x:c>
      <x:c r="D429" t="str">
        <x:v>STARLINK INTERNET MOSAIC UBA</x:v>
      </x:c>
      <x:c r="E429" t="str">
        <x:v>ITAÚ</x:v>
      </x:c>
      <x:c r="F429" s="4" t="n">
        <x:v>46037</x:v>
      </x:c>
      <x:c r="G429" t="str">
        <x:v>MOSAIC UBERABA CONTRAT0 3 ANOS</x:v>
      </x:c>
      <x:c r="H429" t="str">
        <x:v>11.14 - INTERNET OBRAS</x:v>
      </x:c>
      <x:c r="I429" s="5" t="n">
        <x:v>235.52</x:v>
      </x:c>
    </x:row>
    <x:row r="430">
      <x:c r="A430" t="str">
        <x:v>CARTAO CREDITO EDUARDO</x:v>
      </x:c>
      <x:c r="B430"/>
      <x:c r="C430" t="str">
        <x:v>015512</x:v>
      </x:c>
      <x:c r="D430" t="str">
        <x:v>STARLINK INTERNET CMOC CUBATAO</x:v>
      </x:c>
      <x:c r="E430" t="str">
        <x:v>ITAÚ</x:v>
      </x:c>
      <x:c r="F430" s="4" t="n">
        <x:v>46037</x:v>
      </x:c>
      <x:c r="G430" t="str">
        <x:v>CMOC CUBATÃO</x:v>
      </x:c>
      <x:c r="H430" t="str">
        <x:v>11.14 - INTERNET OBRAS</x:v>
      </x:c>
      <x:c r="I430" s="5" t="n">
        <x:v>235.52</x:v>
      </x:c>
    </x:row>
    <x:row r="431">
      <x:c r="A431" t="str">
        <x:v>CARTAO CREDITO EDUARDO</x:v>
      </x:c>
      <x:c r="B431"/>
      <x:c r="C431" t="str">
        <x:v>015513</x:v>
      </x:c>
      <x:c r="D431" t="str">
        <x:v>PASSAGEM AZUL P/ GENILDO E IVAN 2/2</x:v>
      </x:c>
      <x:c r="E431" t="str">
        <x:v>ITAU</x:v>
      </x:c>
      <x:c r="F431" s="4" t="n">
        <x:v>46037</x:v>
      </x:c>
      <x:c r="G431" t="str">
        <x:v>VLI PINTURA</x:v>
      </x:c>
      <x:c r="H431" t="str">
        <x:v>12.9 - PASSAGENS FUNCIONARIOS</x:v>
      </x:c>
      <x:c r="I431" s="5" t="n">
        <x:v>898.6</x:v>
      </x:c>
    </x:row>
    <x:row r="432">
      <x:c r="A432" t="str">
        <x:v>CARTAO CREDITO EDUARDO</x:v>
      </x:c>
      <x:c r="B432"/>
      <x:c r="C432" t="str">
        <x:v>015514</x:v>
      </x:c>
      <x:c r="D432" t="str">
        <x:v>PASSAGEM GOL P/ GENILDO E IVAN 2/2</x:v>
      </x:c>
      <x:c r="E432" t="str">
        <x:v>ITAÚ</x:v>
      </x:c>
      <x:c r="F432" s="4" t="n">
        <x:v>46037</x:v>
      </x:c>
      <x:c r="G432" t="str">
        <x:v>VLI PINTURA</x:v>
      </x:c>
      <x:c r="H432" t="str">
        <x:v>12.9 - PASSAGENS FUNCIONARIOS</x:v>
      </x:c>
      <x:c r="I432" s="5" t="n">
        <x:v>548.4</x:v>
      </x:c>
    </x:row>
    <x:row r="433">
      <x:c r="A433" t="str">
        <x:v>CARTAO CREDITO EDUARDO</x:v>
      </x:c>
      <x:c r="B433"/>
      <x:c r="C433" t="str">
        <x:v>015515</x:v>
      </x:c>
      <x:c r="D433" t="str">
        <x:v>MERCADO LIVRE - EPIS 2/2</x:v>
      </x:c>
      <x:c r="E433" t="str">
        <x:v>ITAÚ</x:v>
      </x:c>
      <x:c r="F433" s="4" t="n">
        <x:v>46037</x:v>
      </x:c>
      <x:c r="G433" t="str">
        <x:v>SERENA 10 TORRES 2025</x:v>
      </x:c>
      <x:c r="H433" t="str">
        <x:v>13.1 - EPIS</x:v>
      </x:c>
      <x:c r="I433" s="5" t="n">
        <x:v>1731.87</x:v>
      </x:c>
    </x:row>
    <x:row r="434">
      <x:c r="A434" t="str">
        <x:v>CARTAO CREDITO EDUARDO</x:v>
      </x:c>
      <x:c r="B434"/>
      <x:c r="C434" t="str">
        <x:v>015516</x:v>
      </x:c>
      <x:c r="D434" t="str">
        <x:v>CAIXA D'AGUA 2/3</x:v>
      </x:c>
      <x:c r="E434" t="str">
        <x:v>ITAÚ</x:v>
      </x:c>
      <x:c r="F434" s="4" t="n">
        <x:v>46037</x:v>
      </x:c>
      <x:c r="G434" t="str">
        <x:v>ADMINISTRATIVO</x:v>
      </x:c>
      <x:c r="H434" t="str">
        <x:v>8.5 - MAQUINAS / EQUIPAMENTOS</x:v>
      </x:c>
      <x:c r="I434" s="5" t="n">
        <x:v>4316.68</x:v>
      </x:c>
    </x:row>
    <x:row r="435">
      <x:c r="A435" t="str">
        <x:v>CARTAO CREDITO EDUARDO</x:v>
      </x:c>
      <x:c r="B435"/>
      <x:c r="C435" t="str">
        <x:v>015518</x:v>
      </x:c>
      <x:c r="D435" t="str">
        <x:v>STARLINK INTERNET ELETROBRAS</x:v>
      </x:c>
      <x:c r="E435" t="str">
        <x:v>ITAÚ</x:v>
      </x:c>
      <x:c r="F435" s="4" t="n">
        <x:v>46037</x:v>
      </x:c>
      <x:c r="G435" t="str">
        <x:v>CONDUTOS UG 1 - ELETROBRAS</x:v>
      </x:c>
      <x:c r="H435" t="str">
        <x:v>11.14 - INTERNET OBRAS</x:v>
      </x:c>
      <x:c r="I435" s="5" t="n">
        <x:v>36</x:v>
      </x:c>
    </x:row>
    <x:row r="436">
      <x:c r="A436" t="str">
        <x:v>CARTAO CREDITO EDUARDO</x:v>
      </x:c>
      <x:c r="B436"/>
      <x:c r="C436" t="str">
        <x:v>015519</x:v>
      </x:c>
      <x:c r="D436" t="str">
        <x:v>SEGURO RANGER PRW 1/10</x:v>
      </x:c>
      <x:c r="E436" t="str">
        <x:v>ITAÚ</x:v>
      </x:c>
      <x:c r="F436" s="4" t="n">
        <x:v>46037</x:v>
      </x:c>
      <x:c r="G436" t="str">
        <x:v>VEICULOS</x:v>
      </x:c>
      <x:c r="H436" t="str">
        <x:v>6.5 - SEGUROS DE VEICULOS</x:v>
      </x:c>
      <x:c r="I436" s="5" t="n">
        <x:v>560.09</x:v>
      </x:c>
    </x:row>
    <x:row r="437">
      <x:c r="A437" t="str">
        <x:v>CARTAO CREDITO EDUARDO</x:v>
      </x:c>
      <x:c r="B437"/>
      <x:c r="C437" t="str">
        <x:v>015530</x:v>
      </x:c>
      <x:c r="D437" t="str">
        <x:v>SEGURO RANGER SDN 1/10</x:v>
      </x:c>
      <x:c r="E437" t="str">
        <x:v>ITAÚ</x:v>
      </x:c>
      <x:c r="F437" s="4" t="n">
        <x:v>46037</x:v>
      </x:c>
      <x:c r="G437" t="str">
        <x:v>VEICULOS</x:v>
      </x:c>
      <x:c r="H437" t="str">
        <x:v>6.5 - SEGUROS DE VEICULOS</x:v>
      </x:c>
      <x:c r="I437" s="5" t="n">
        <x:v>592.94</x:v>
      </x:c>
    </x:row>
    <x:row r="438">
      <x:c r="A438" t="str">
        <x:v>QUALI TINTAS</x:v>
      </x:c>
      <x:c r="B438" t="str">
        <x:v>19663</x:v>
      </x:c>
      <x:c r="C438" t="str">
        <x:v>015834</x:v>
      </x:c>
      <x:c r="D438" t="str">
        <x:v>TINTAS E SOLVENTES</x:v>
      </x:c>
      <x:c r="E438"/>
      <x:c r="F438" s="4" t="n">
        <x:v>46037</x:v>
      </x:c>
      <x:c r="G438" t="str">
        <x:v>NIOBIO CMOC CONTRATO</x:v>
      </x:c>
      <x:c r="H438" t="str">
        <x:v>4.1 - TINTAS E SOLVENTES</x:v>
      </x:c>
      <x:c r="I438" s="5" t="n">
        <x:v>3530</x:v>
      </x:c>
    </x:row>
    <x:row r="439">
      <x:c r="A439" t="str">
        <x:v>QUALI TINTAS</x:v>
      </x:c>
      <x:c r="B439" t="str">
        <x:v>19663</x:v>
      </x:c>
      <x:c r="C439" t="str">
        <x:v>015834</x:v>
      </x:c>
      <x:c r="D439" t="str">
        <x:v>TINTAS E SOLVENTES</x:v>
      </x:c>
      <x:c r="E439"/>
      <x:c r="F439" s="4" t="n">
        <x:v>46037</x:v>
      </x:c>
      <x:c r="G439" t="str">
        <x:v>NIOBIO CMOC CONTRATO</x:v>
      </x:c>
      <x:c r="H439" t="str">
        <x:v>4.1 - TINTAS E SOLVENTES</x:v>
      </x:c>
      <x:c r="I439" s="5" t="n">
        <x:v>3530</x:v>
      </x:c>
    </x:row>
    <x:row r="440">
      <x:c r="A440" t="str">
        <x:v>QUALI TINTAS</x:v>
      </x:c>
      <x:c r="B440" t="str">
        <x:v>19663</x:v>
      </x:c>
      <x:c r="C440" t="str">
        <x:v>015834</x:v>
      </x:c>
      <x:c r="D440" t="str">
        <x:v>TINTAS E SOLVENTES</x:v>
      </x:c>
      <x:c r="E440"/>
      <x:c r="F440" s="4" t="n">
        <x:v>46037</x:v>
      </x:c>
      <x:c r="G440" t="str">
        <x:v>NIOBIO CMOC CONTRATO</x:v>
      </x:c>
      <x:c r="H440" t="str">
        <x:v>4.1 - TINTAS E SOLVENTES</x:v>
      </x:c>
      <x:c r="I440" s="5" t="n">
        <x:v>3530</x:v>
      </x:c>
    </x:row>
    <x:row r="441">
      <x:c r="A441" t="str">
        <x:v>SMART BOSS SERVIÇOS LTDA</x:v>
      </x:c>
      <x:c r="B441"/>
      <x:c r="C441" t="str">
        <x:v>007766</x:v>
      </x:c>
      <x:c r="D441" t="str">
        <x:v>SERVIÇO DE CONSULTORIA CONSELHO CONSULTIVO GERECIAL</x:v>
      </x:c>
      <x:c r="E441" t="str">
        <x:v>CHAVE PIX EMAIL CONTATO@SMARTBOSS.COM.BR</x:v>
      </x:c>
      <x:c r="F441" s="4" t="n">
        <x:v>46038</x:v>
      </x:c>
      <x:c r="G441" t="str">
        <x:v>ADMINISTRATIVO</x:v>
      </x:c>
      <x:c r="H441" t="str">
        <x:v>3.3 - SERVIÇOS DE CONSULTORIA</x:v>
      </x:c>
      <x:c r="I441" s="5" t="n">
        <x:v>5000</x:v>
      </x:c>
    </x:row>
    <x:row r="442">
      <x:c r="A442" t="str">
        <x:v>ENCOMENDA DE CATALAO</x:v>
      </x:c>
      <x:c r="B442"/>
      <x:c r="C442" t="str">
        <x:v>015353</x:v>
      </x:c>
      <x:c r="D442" t="str">
        <x:v>64 9 92591215 GABRIELLE ELIAS DE FREITAS</x:v>
      </x:c>
      <x:c r="E442" t="str">
        <x:v>FRETE GOIANIA X CATALAO</x:v>
      </x:c>
      <x:c r="F442" s="4" t="n">
        <x:v>46038</x:v>
      </x:c>
      <x:c r="G442" t="str">
        <x:v>NIOBIO CMOC CONTRATO</x:v>
      </x:c>
      <x:c r="H442" t="str">
        <x:v>10.1 - FRETE MATERIAIS E EQUIPAMENTOS</x:v>
      </x:c>
      <x:c r="I442" s="5" t="n">
        <x:v>100</x:v>
      </x:c>
    </x:row>
    <x:row r="443">
      <x:c r="A443" t="str">
        <x:v>CARTAO CREDITO EDUARDO</x:v>
      </x:c>
      <x:c r="B443"/>
      <x:c r="C443" t="str">
        <x:v>015506</x:v>
      </x:c>
      <x:c r="D443" t="str">
        <x:v>NOTEBOOK 5/6</x:v>
      </x:c>
      <x:c r="E443" t="str">
        <x:v>ITAÚ</x:v>
      </x:c>
      <x:c r="F443" s="4" t="n">
        <x:v>46038</x:v>
      </x:c>
      <x:c r="G443" t="str">
        <x:v>CMOC CUBATÃO</x:v>
      </x:c>
      <x:c r="H443" t="str">
        <x:v>11.13 - MATERIAIS DE INFORMATICA / COMPUTADOR</x:v>
      </x:c>
      <x:c r="I443" s="5" t="n">
        <x:v>261.95</x:v>
      </x:c>
    </x:row>
    <x:row r="444">
      <x:c r="A444" t="str">
        <x:v>CARTAO CREDITO EDUARDO</x:v>
      </x:c>
      <x:c r="B444"/>
      <x:c r="C444" t="str">
        <x:v>015506</x:v>
      </x:c>
      <x:c r="D444" t="str">
        <x:v>NOTEBOOK 5/6</x:v>
      </x:c>
      <x:c r="E444" t="str">
        <x:v>ITAÚ</x:v>
      </x:c>
      <x:c r="F444" s="4" t="n">
        <x:v>46038</x:v>
      </x:c>
      <x:c r="G444" t="str">
        <x:v>CONTRATO 02 ANOS MINERAÇÃO SERRA VERDE</x:v>
      </x:c>
      <x:c r="H444" t="str">
        <x:v>11.13 - MATERIAIS DE INFORMATICA / COMPUTADOR</x:v>
      </x:c>
      <x:c r="I444" s="5" t="n">
        <x:v>261.95</x:v>
      </x:c>
    </x:row>
    <x:row r="445">
      <x:c r="A445" t="str">
        <x:v>CARTAO CREDITO EDUARDO</x:v>
      </x:c>
      <x:c r="B445"/>
      <x:c r="C445" t="str">
        <x:v>015508</x:v>
      </x:c>
      <x:c r="D445" t="str">
        <x:v>CARTAO DE CREDITO SERVIÇO DE UBER</x:v>
      </x:c>
      <x:c r="E445"/>
      <x:c r="F445" s="4" t="n">
        <x:v>46038</x:v>
      </x:c>
      <x:c r="G445" t="str">
        <x:v>ADMINISTRATIVO</x:v>
      </x:c>
      <x:c r="H445" t="str">
        <x:v>3.8 - SERVIÇO MOTOBOY / UBER</x:v>
      </x:c>
      <x:c r="I445" s="5" t="n">
        <x:v>542.45</x:v>
      </x:c>
    </x:row>
    <x:row r="446">
      <x:c r="A446" t="str">
        <x:v>CARTAO CREDITO EDUARDO</x:v>
      </x:c>
      <x:c r="B446" t="str">
        <x:v>12203</x:v>
      </x:c>
      <x:c r="C446" t="str">
        <x:v>015540</x:v>
      </x:c>
      <x:c r="D446" t="str">
        <x:v>BICO DE JATO UMIDO - ML</x:v>
      </x:c>
      <x:c r="E446" t="str">
        <x:v>ITAÚ</x:v>
      </x:c>
      <x:c r="F446" s="4" t="n">
        <x:v>46038</x:v>
      </x:c>
      <x:c r="G446" t="str">
        <x:v>CONDUTOS UG 2 - ELETROBRAS</x:v>
      </x:c>
      <x:c r="H446" t="str">
        <x:v>8.5 - MAQUINAS / EQUIPAMENTOS</x:v>
      </x:c>
      <x:c r="I446" s="5" t="n">
        <x:v>995</x:v>
      </x:c>
    </x:row>
    <x:row r="447">
      <x:c r="A447" t="str">
        <x:v>CARTAO CREDITO EDUARDO</x:v>
      </x:c>
      <x:c r="B447" t="str">
        <x:v>12203</x:v>
      </x:c>
      <x:c r="C447" t="str">
        <x:v>015540</x:v>
      </x:c>
      <x:c r="D447" t="str">
        <x:v>BICO DE JATO UMIDO - ML</x:v>
      </x:c>
      <x:c r="E447" t="str">
        <x:v>ITAÚ</x:v>
      </x:c>
      <x:c r="F447" s="4" t="n">
        <x:v>46038</x:v>
      </x:c>
      <x:c r="G447" t="str">
        <x:v>CONDUTOS UG 2 - ELETROBRAS</x:v>
      </x:c>
      <x:c r="H447" t="str">
        <x:v>8.5 - MAQUINAS / EQUIPAMENTOS</x:v>
      </x:c>
      <x:c r="I447" s="5" t="n">
        <x:v>995</x:v>
      </x:c>
    </x:row>
    <x:row r="448">
      <x:c r="A448" t="str">
        <x:v>DESPESAS DE VIAGEM</x:v>
      </x:c>
      <x:c r="B448"/>
      <x:c r="C448" t="str">
        <x:v>015541</x:v>
      </x:c>
      <x:c r="D448" t="str">
        <x:v>PATRYKE MAIA - DESPESA VIAGEM</x:v>
      </x:c>
      <x:c r="E448" t="str">
        <x:v>PASSAGEM</x:v>
      </x:c>
      <x:c r="F448" s="4" t="n">
        <x:v>46038</x:v>
      </x:c>
      <x:c r="G448" t="str">
        <x:v>FOSFATO CMOC CONTRAT</x:v>
      </x:c>
      <x:c r="H448" t="str">
        <x:v>12.9 - PASSAGENS FUNCIONARIOS</x:v>
      </x:c>
      <x:c r="I448" s="5" t="n">
        <x:v>225</x:v>
      </x:c>
    </x:row>
    <x:row r="449">
      <x:c r="A449" t="str">
        <x:v>DESPESAS DE VIAGEM</x:v>
      </x:c>
      <x:c r="B449"/>
      <x:c r="C449" t="str">
        <x:v>015542</x:v>
      </x:c>
      <x:c r="D449" t="str">
        <x:v>WANDERSON - DESPESA VIAGEM</x:v>
      </x:c>
      <x:c r="E449" t="str">
        <x:v>PASSAGEM</x:v>
      </x:c>
      <x:c r="F449" s="4" t="n">
        <x:v>46038</x:v>
      </x:c>
      <x:c r="G449" t="str">
        <x:v>FOSFATO CMOC CONTRAT</x:v>
      </x:c>
      <x:c r="H449" t="str">
        <x:v>12.9 - PASSAGENS FUNCIONARIOS</x:v>
      </x:c>
      <x:c r="I449" s="5" t="n">
        <x:v>240</x:v>
      </x:c>
    </x:row>
    <x:row r="450">
      <x:c r="A450" t="str">
        <x:v>REINALDO DIAS</x:v>
      </x:c>
      <x:c r="B450"/>
      <x:c r="C450" t="str">
        <x:v>015543</x:v>
      </x:c>
      <x:c r="D450" t="str">
        <x:v>DESPESAS DA SEMANA - MATERIAL DE CONSUMO</x:v>
      </x:c>
      <x:c r="E450" t="str">
        <x:v>REEM REINALDO DIAS DAMAS</x:v>
      </x:c>
      <x:c r="F450" s="4" t="n">
        <x:v>46038</x:v>
      </x:c>
      <x:c r="G450" t="str">
        <x:v>ADMINISTRATIVO</x:v>
      </x:c>
      <x:c r="H450" t="str">
        <x:v>8.9 - MATERIAIS DE CONSUMO EM OBRAS</x:v>
      </x:c>
      <x:c r="I450" s="5" t="n">
        <x:v>325.48</x:v>
      </x:c>
    </x:row>
    <x:row r="451">
      <x:c r="A451" t="str">
        <x:v>REFEIÇÃO OBRAS</x:v>
      </x:c>
      <x:c r="B451"/>
      <x:c r="C451" t="str">
        <x:v>015544</x:v>
      </x:c>
      <x:c r="D451" t="str">
        <x:v>ALIMENTAÇÃO 2° QUINZENA JANEIRO</x:v>
      </x:c>
      <x:c r="E451"/>
      <x:c r="F451" s="4" t="n">
        <x:v>46038</x:v>
      </x:c>
      <x:c r="G451" t="str">
        <x:v>CONDUTOS UG 2 - ELETROBRAS</x:v>
      </x:c>
      <x:c r="H451" t="str">
        <x:v>12.5 - REFEIÇÕES FUNCIONARIOS</x:v>
      </x:c>
      <x:c r="I451" s="5" t="n">
        <x:v>990</x:v>
      </x:c>
    </x:row>
    <x:row r="452">
      <x:c r="A452" t="str">
        <x:v>REFEIÇÃO OBRAS</x:v>
      </x:c>
      <x:c r="B452"/>
      <x:c r="C452" t="str">
        <x:v>015545</x:v>
      </x:c>
      <x:c r="D452" t="str">
        <x:v>ALIMENTAÇÃO 2° QUINZENA JANEIRO</x:v>
      </x:c>
      <x:c r="E452"/>
      <x:c r="F452" s="4" t="n">
        <x:v>46038</x:v>
      </x:c>
      <x:c r="G452" t="str">
        <x:v>EUROCHEM SERRA DO SALITRE</x:v>
      </x:c>
      <x:c r="H452" t="str">
        <x:v>12.5 - REFEIÇÕES FUNCIONARIOS</x:v>
      </x:c>
      <x:c r="I452" s="5" t="n">
        <x:v>2757.5</x:v>
      </x:c>
    </x:row>
    <x:row r="453">
      <x:c r="A453" t="str">
        <x:v>REFEIÇÃO OBRAS</x:v>
      </x:c>
      <x:c r="B453"/>
      <x:c r="C453" t="str">
        <x:v>015546</x:v>
      </x:c>
      <x:c r="D453" t="str">
        <x:v>ALIMENTAÇÃO 2° QUINZENA JANEIRO</x:v>
      </x:c>
      <x:c r="E453"/>
      <x:c r="F453" s="4" t="n">
        <x:v>46038</x:v>
      </x:c>
      <x:c r="G453" t="str">
        <x:v>SERENA 10 TORRES 2025</x:v>
      </x:c>
      <x:c r="H453" t="str">
        <x:v>12.5 - REFEIÇÕES FUNCIONARIOS</x:v>
      </x:c>
      <x:c r="I453" s="5" t="n">
        <x:v>2692</x:v>
      </x:c>
    </x:row>
    <x:row r="454">
      <x:c r="A454" t="str">
        <x:v>REFEIÇÃO OBRAS</x:v>
      </x:c>
      <x:c r="B454"/>
      <x:c r="C454" t="str">
        <x:v>015547</x:v>
      </x:c>
      <x:c r="D454" t="str">
        <x:v>ALIMENTAÇÃO 2° QUINZENA JANEIRO</x:v>
      </x:c>
      <x:c r="E454"/>
      <x:c r="F454" s="4" t="n">
        <x:v>46038</x:v>
      </x:c>
      <x:c r="G454" t="str">
        <x:v>ANGLO AMERICAN</x:v>
      </x:c>
      <x:c r="H454" t="str">
        <x:v>12.5 - REFEIÇÕES FUNCIONARIOS</x:v>
      </x:c>
      <x:c r="I454" s="5" t="n">
        <x:v>1945</x:v>
      </x:c>
    </x:row>
    <x:row r="455">
      <x:c r="A455" t="str">
        <x:v>REFEIÇÃO OBRAS</x:v>
      </x:c>
      <x:c r="B455"/>
      <x:c r="C455" t="str">
        <x:v>015548</x:v>
      </x:c>
      <x:c r="D455" t="str">
        <x:v>ALIMENTAÇÃO 2° QUINZENA JANEIRO</x:v>
      </x:c>
      <x:c r="E455"/>
      <x:c r="F455" s="4" t="n">
        <x:v>46038</x:v>
      </x:c>
      <x:c r="G455" t="str">
        <x:v>MOSAIC UBERABA CONTRAT0 3 ANOS</x:v>
      </x:c>
      <x:c r="H455" t="str">
        <x:v>12.5 - REFEIÇÕES FUNCIONARIOS</x:v>
      </x:c>
      <x:c r="I455" s="5" t="n">
        <x:v>3580</x:v>
      </x:c>
    </x:row>
    <x:row r="456">
      <x:c r="A456" t="str">
        <x:v>REFEIÇÃO OBRAS</x:v>
      </x:c>
      <x:c r="B456"/>
      <x:c r="C456" t="str">
        <x:v>015549</x:v>
      </x:c>
      <x:c r="D456" t="str">
        <x:v>ALIMENTAÇÃO 2° QUINZENA JANEIRO</x:v>
      </x:c>
      <x:c r="E456"/>
      <x:c r="F456" s="4" t="n">
        <x:v>46038</x:v>
      </x:c>
      <x:c r="G456" t="str">
        <x:v>NIOBIO CMOC CONTRATO</x:v>
      </x:c>
      <x:c r="H456" t="str">
        <x:v>12.5 - REFEIÇÕES FUNCIONARIOS</x:v>
      </x:c>
      <x:c r="I456" s="5" t="n">
        <x:v>6507.5</x:v>
      </x:c>
    </x:row>
    <x:row r="457">
      <x:c r="A457" t="str">
        <x:v>REFEIÇÃO OBRAS</x:v>
      </x:c>
      <x:c r="B457"/>
      <x:c r="C457" t="str">
        <x:v>015550</x:v>
      </x:c>
      <x:c r="D457" t="str">
        <x:v>ALIMENTAÇÃO 2° QUINZENA JANEIRO</x:v>
      </x:c>
      <x:c r="E457"/>
      <x:c r="F457" s="4" t="n">
        <x:v>46038</x:v>
      </x:c>
      <x:c r="G457" t="str">
        <x:v>FOSFATO CMOC CONTRAT</x:v>
      </x:c>
      <x:c r="H457" t="str">
        <x:v>12.5 - REFEIÇÕES FUNCIONARIOS</x:v>
      </x:c>
      <x:c r="I457" s="5" t="n">
        <x:v>4320</x:v>
      </x:c>
    </x:row>
    <x:row r="458">
      <x:c r="A458" t="str">
        <x:v>QUALI TINTAS</x:v>
      </x:c>
      <x:c r="B458" t="str">
        <x:v>19709</x:v>
      </x:c>
      <x:c r="C458" t="str">
        <x:v>015835</x:v>
      </x:c>
      <x:c r="D458" t="str">
        <x:v>TINTAS E SOLVENTES</x:v>
      </x:c>
      <x:c r="E458"/>
      <x:c r="F458" s="4" t="n">
        <x:v>46038</x:v>
      </x:c>
      <x:c r="G458" t="str">
        <x:v>ADMINISTRATIVO</x:v>
      </x:c>
      <x:c r="H458" t="str">
        <x:v>4.1 - TINTAS E SOLVENTES</x:v>
      </x:c>
      <x:c r="I458" s="5" t="n">
        <x:v>65</x:v>
      </x:c>
    </x:row>
    <x:row r="459">
      <x:c r="A459" t="str">
        <x:v>THOMSON REUTERS BRASIL CONTEUDO E TECNOLOGIA LTDA</x:v>
      </x:c>
      <x:c r="B459" t="str">
        <x:v>71064</x:v>
      </x:c>
      <x:c r="C459" t="str">
        <x:v>015554</x:v>
      </x:c>
      <x:c r="D459" t="str">
        <x:v>SISTEMA/SERVIDOR REF. 01/2026</x:v>
      </x:c>
      <x:c r="E459" t="str">
        <x:v>VENCIMENTO ORIGINAL DO BOLETO 10/02/26</x:v>
      </x:c>
      <x:c r="F459" s="4" t="n">
        <x:v>46039</x:v>
      </x:c>
      <x:c r="G459" t="str">
        <x:v>ADMINISTRATIVO</x:v>
      </x:c>
      <x:c r="H459" t="str">
        <x:v>11.8 - SISTEMA / SERVIDOR</x:v>
      </x:c>
      <x:c r="I459" s="5" t="n">
        <x:v>501.16</x:v>
      </x:c>
    </x:row>
    <x:row r="460">
      <x:c r="A460" t="str">
        <x:v>THOMSON REUTERS BRASIL CONTEUDO E TECNOLOGIA LTDA</x:v>
      </x:c>
      <x:c r="B460" t="str">
        <x:v>71065</x:v>
      </x:c>
      <x:c r="C460" t="str">
        <x:v>015772</x:v>
      </x:c>
      <x:c r="D460" t="str">
        <x:v>SISTEMA/SERVIDOR REF. 01/2026</x:v>
      </x:c>
      <x:c r="E460" t="str">
        <x:v>VENCIMENTO ORIGINAL DO BOLETO 10/02/26</x:v>
      </x:c>
      <x:c r="F460" s="4" t="n">
        <x:v>46039</x:v>
      </x:c>
      <x:c r="G460" t="str">
        <x:v>ADMINISTRATIVO</x:v>
      </x:c>
      <x:c r="H460" t="str">
        <x:v>11.8 - SISTEMA / SERVIDOR</x:v>
      </x:c>
      <x:c r="I460" s="5" t="n">
        <x:v>1501.71</x:v>
      </x:c>
    </x:row>
    <x:row r="461">
      <x:c r="A461" t="str">
        <x:v>BANCO CAIXA</x:v>
      </x:c>
      <x:c r="B461"/>
      <x:c r="C461" t="str">
        <x:v>004329</x:v>
      </x:c>
      <x:c r="D461" t="str">
        <x:v>EMPRESTIMO BANCO CAIXA / CAPITAL DE GIRO R$ 300.000,00</x:v>
      </x:c>
      <x:c r="E461" t="str">
        <x:v>30 PARCELAS  6 MESES DE CARENCIA DT 12/04/2024 CONTRATO 734</x:v>
      </x:c>
      <x:c r="F461" s="4" t="n">
        <x:v>46040</x:v>
      </x:c>
      <x:c r="G461" t="str">
        <x:v>EMPRESTIMOS</x:v>
      </x:c>
      <x:c r="H461" t="str">
        <x:v>11.9 - PAGAMENTOS EMPRESTIMOS</x:v>
      </x:c>
      <x:c r="I461" s="5" t="n">
        <x:v>15804.58</x:v>
      </x:c>
    </x:row>
    <x:row r="462">
      <x:c r="A462" t="str">
        <x:v>FRETE OBRAS</x:v>
      </x:c>
      <x:c r="B462"/>
      <x:c r="C462" t="str">
        <x:v>015367</x:v>
      </x:c>
      <x:c r="D462" t="str">
        <x:v>Botosso Transporte PIX 51.158.620/0001-94</x:v>
      </x:c>
      <x:c r="E462" t="str">
        <x:v>BUSCAR AIRLESS DO DEMAP</x:v>
      </x:c>
      <x:c r="F462" s="4" t="n">
        <x:v>46041</x:v>
      </x:c>
      <x:c r="G462" t="str">
        <x:v>ADMINISTRATIVO</x:v>
      </x:c>
      <x:c r="H462" t="str">
        <x:v>10.1 - FRETE MATERIAIS E EQUIPAMENTOS</x:v>
      </x:c>
      <x:c r="I462" s="5" t="n">
        <x:v>294</x:v>
      </x:c>
    </x:row>
    <x:row r="463">
      <x:c r="A463" t="str">
        <x:v>ENCOMENDA DE CATALAO</x:v>
      </x:c>
      <x:c r="B463"/>
      <x:c r="C463" t="str">
        <x:v>015368</x:v>
      </x:c>
      <x:c r="D463" t="str">
        <x:v>64 9 92591215 GABRIELLE ELIAS DE FREITAS</x:v>
      </x:c>
      <x:c r="E463" t="str">
        <x:v>FRETE GOIANIA X CATALAO</x:v>
      </x:c>
      <x:c r="F463" s="4" t="n">
        <x:v>46041</x:v>
      </x:c>
      <x:c r="G463" t="str">
        <x:v>NIOBIO CMOC CONTRATO</x:v>
      </x:c>
      <x:c r="H463" t="str">
        <x:v>10.1 - FRETE MATERIAIS E EQUIPAMENTOS</x:v>
      </x:c>
      <x:c r="I463" s="5" t="n">
        <x:v>180</x:v>
      </x:c>
    </x:row>
    <x:row r="464">
      <x:c r="A464" t="str">
        <x:v>VALDMAR AUGUSTO</x:v>
      </x:c>
      <x:c r="B464"/>
      <x:c r="C464" t="str">
        <x:v>015369</x:v>
      </x:c>
      <x:c r="D464" t="str">
        <x:v>RESTAURANTE RECANTO DA CORUJA</x:v>
      </x:c>
      <x:c r="E464" t="str">
        <x:v>REEMBOLSO VALDMAR</x:v>
      </x:c>
      <x:c r="F464" s="4" t="n">
        <x:v>46041</x:v>
      </x:c>
      <x:c r="G464" t="str">
        <x:v>FOSFATO CMOC CONTRAT</x:v>
      </x:c>
      <x:c r="H464" t="str">
        <x:v>12.5 - REFEIÇÕES FUNCIONARIOS</x:v>
      </x:c>
      <x:c r="I464" s="5" t="n">
        <x:v>120</x:v>
      </x:c>
    </x:row>
    <x:row r="465">
      <x:c r="A465" t="str">
        <x:v>DESPESAS DE VIAGEM</x:v>
      </x:c>
      <x:c r="B465"/>
      <x:c r="C465" t="str">
        <x:v>015370</x:v>
      </x:c>
      <x:c r="D465" t="str">
        <x:v>DESPESAR COM VIAGENS</x:v>
      </x:c>
      <x:c r="E465" t="str">
        <x:v>WADSON NEVES</x:v>
      </x:c>
      <x:c r="F465" s="4" t="n">
        <x:v>46041</x:v>
      </x:c>
      <x:c r="G465" t="str">
        <x:v>EUROCHEM SERRA DO SALITRE</x:v>
      </x:c>
      <x:c r="H465" t="str">
        <x:v>12.9 - PASSAGENS FUNCIONARIOS</x:v>
      </x:c>
      <x:c r="I465" s="5" t="n">
        <x:v>240</x:v>
      </x:c>
    </x:row>
    <x:row r="466">
      <x:c r="A466" t="str">
        <x:v>SH LOCACAO DE ANDAIMES</x:v>
      </x:c>
      <x:c r="B466" t="str">
        <x:v>60126</x:v>
      </x:c>
      <x:c r="C466" t="str">
        <x:v>015371</x:v>
      </x:c>
      <x:c r="D466" t="str">
        <x:v>SH LOCAÇÕES DE ANDAIMES</x:v>
      </x:c>
      <x:c r="E466" t="str">
        <x:v>VENCIMENTO 21/01</x:v>
      </x:c>
      <x:c r="F466" s="4" t="n">
        <x:v>46041</x:v>
      </x:c>
      <x:c r="G466" t="str">
        <x:v>VLI PINTURA</x:v>
      </x:c>
      <x:c r="H466" t="str">
        <x:v>7.7 - LOCAÇÃO ANDAIMES</x:v>
      </x:c>
      <x:c r="I466" s="5" t="n">
        <x:v>27393.98</x:v>
      </x:c>
    </x:row>
    <x:row r="467">
      <x:c r="A467" t="str">
        <x:v>VALDMAR AUGUSTO</x:v>
      </x:c>
      <x:c r="B467"/>
      <x:c r="C467" t="str">
        <x:v>015372</x:v>
      </x:c>
      <x:c r="D467" t="str">
        <x:v>DESPESAS VISITAR EUROCHEM</x:v>
      </x:c>
      <x:c r="E467" t="str">
        <x:v>REEMBOLSO VALDMAR</x:v>
      </x:c>
      <x:c r="F467" s="4" t="n">
        <x:v>46041</x:v>
      </x:c>
      <x:c r="G467" t="str">
        <x:v>EUROCHEM SERRA DO SALITRE</x:v>
      </x:c>
      <x:c r="H467" t="str">
        <x:v>12.5 - REFEIÇÕES FUNCIONARIOS</x:v>
      </x:c>
      <x:c r="I467" s="5" t="n">
        <x:v>30</x:v>
      </x:c>
    </x:row>
    <x:row r="468">
      <x:c r="A468" t="str">
        <x:v>VALDMAR AUGUSTO</x:v>
      </x:c>
      <x:c r="B468"/>
      <x:c r="C468" t="str">
        <x:v>015372</x:v>
      </x:c>
      <x:c r="D468" t="str">
        <x:v>DESPESAS VISITAR EUROCHEM</x:v>
      </x:c>
      <x:c r="E468" t="str">
        <x:v>REEMBOLSO VALDMAR</x:v>
      </x:c>
      <x:c r="F468" s="4" t="n">
        <x:v>46041</x:v>
      </x:c>
      <x:c r="G468" t="str">
        <x:v>EUROCHEM SERRA DO SALITRE</x:v>
      </x:c>
      <x:c r="H468" t="str">
        <x:v>6.4 - COMBUSTIVEL VEICULOS</x:v>
      </x:c>
      <x:c r="I468" s="5" t="n">
        <x:v>100</x:v>
      </x:c>
    </x:row>
    <x:row r="469">
      <x:c r="A469" t="str">
        <x:v>FERREIRA NUNES LAVANDERIA LTDA</x:v>
      </x:c>
      <x:c r="B469" t="str">
        <x:v>66</x:v>
      </x:c>
      <x:c r="C469" t="str">
        <x:v>015373</x:v>
      </x:c>
      <x:c r="D469" t="str">
        <x:v>ELAV LAVANDERIA</x:v>
      </x:c>
      <x:c r="E469" t="str">
        <x:v>SERVIÇO DE LAVANDERIA</x:v>
      </x:c>
      <x:c r="F469" s="4" t="n">
        <x:v>46041</x:v>
      </x:c>
      <x:c r="G469" t="str">
        <x:v>CONDUTOS UG 1 - ELETROBRAS</x:v>
      </x:c>
      <x:c r="H469" t="str">
        <x:v>5.2 - LAVANDERIA</x:v>
      </x:c>
      <x:c r="I469" s="5" t="n">
        <x:v>391</x:v>
      </x:c>
    </x:row>
    <x:row r="470">
      <x:c r="A470" t="str">
        <x:v>PAPELARIA TRIBUTARIA LTDA</x:v>
      </x:c>
      <x:c r="B470" t="str">
        <x:v>799088</x:v>
      </x:c>
      <x:c r="C470" t="str">
        <x:v>015374</x:v>
      </x:c>
      <x:c r="D470" t="str">
        <x:v>MATERIAIS DE ESCRITÓRIO</x:v>
      </x:c>
      <x:c r="E470" t="str">
        <x:v>VENCIMENTO ORIGINAL DOS BOLETOS 15/02 E 17/03</x:v>
      </x:c>
      <x:c r="F470" s="4" t="n">
        <x:v>46041</x:v>
      </x:c>
      <x:c r="G470" t="str">
        <x:v>ANGLO AMERICAN</x:v>
      </x:c>
      <x:c r="H470" t="str">
        <x:v>8.10 - MATERIAS DE ESCRITORIO</x:v>
      </x:c>
      <x:c r="I470" s="5" t="n">
        <x:v>151.3</x:v>
      </x:c>
    </x:row>
    <x:row r="471">
      <x:c r="A471" t="str">
        <x:v>PAPELARIA TRIBUTARIA LTDA</x:v>
      </x:c>
      <x:c r="B471" t="str">
        <x:v>799088</x:v>
      </x:c>
      <x:c r="C471" t="str">
        <x:v>015374</x:v>
      </x:c>
      <x:c r="D471" t="str">
        <x:v>MATERIAIS DE ESCRITÓRIO</x:v>
      </x:c>
      <x:c r="E471" t="str">
        <x:v>VENCIMENTO ORIGINAL DOS BOLETOS 15/02 E 17/03</x:v>
      </x:c>
      <x:c r="F471" s="4" t="n">
        <x:v>46041</x:v>
      </x:c>
      <x:c r="G471" t="str">
        <x:v>ANGLO AMERICAN</x:v>
      </x:c>
      <x:c r="H471" t="str">
        <x:v>8.10 - MATERIAS DE ESCRITORIO</x:v>
      </x:c>
      <x:c r="I471" s="5" t="n">
        <x:v>151.3</x:v>
      </x:c>
    </x:row>
    <x:row r="472">
      <x:c r="A472" t="str">
        <x:v>PAPELARIA TRIBUTARIA LTDA</x:v>
      </x:c>
      <x:c r="B472" t="str">
        <x:v>799089</x:v>
      </x:c>
      <x:c r="C472" t="str">
        <x:v>015375</x:v>
      </x:c>
      <x:c r="D472" t="str">
        <x:v>MATERIAS DE ESCRITÓRIO</x:v>
      </x:c>
      <x:c r="E472" t="str">
        <x:v>VENCIMENTO ORIGINAL DO BOLETO 15/02/26</x:v>
      </x:c>
      <x:c r="F472" s="4" t="n">
        <x:v>46041</x:v>
      </x:c>
      <x:c r="G472" t="str">
        <x:v>CONTRATO 02 ANOS MINERAÇÃO SERRA VERDE</x:v>
      </x:c>
      <x:c r="H472" t="str">
        <x:v>8.10 - MATERIAS DE ESCRITORIO</x:v>
      </x:c>
      <x:c r="I472" s="5" t="n">
        <x:v>140.8</x:v>
      </x:c>
    </x:row>
    <x:row r="473">
      <x:c r="A473" t="str">
        <x:v>PAPELARIA TRIBUTARIA LTDA</x:v>
      </x:c>
      <x:c r="B473" t="str">
        <x:v>799090</x:v>
      </x:c>
      <x:c r="C473" t="str">
        <x:v>015376</x:v>
      </x:c>
      <x:c r="D473" t="str">
        <x:v>MATERIAIS DE ESCRITORIO</x:v>
      </x:c>
      <x:c r="E473" t="str">
        <x:v>VENCIMENTO ORIGINAL DOS BOLETOS 15/02 E 17/03</x:v>
      </x:c>
      <x:c r="F473" s="4" t="n">
        <x:v>46041</x:v>
      </x:c>
      <x:c r="G473" t="str">
        <x:v>ADMINISTRATIVO</x:v>
      </x:c>
      <x:c r="H473" t="str">
        <x:v>8.10 - MATERIAS DE ESCRITORIO</x:v>
      </x:c>
      <x:c r="I473" s="5" t="n">
        <x:v>157.46</x:v>
      </x:c>
    </x:row>
    <x:row r="474">
      <x:c r="A474" t="str">
        <x:v>PAPELARIA TRIBUTARIA LTDA</x:v>
      </x:c>
      <x:c r="B474" t="str">
        <x:v>799090</x:v>
      </x:c>
      <x:c r="C474" t="str">
        <x:v>015376</x:v>
      </x:c>
      <x:c r="D474" t="str">
        <x:v>MATERIAIS DE ESCRITORIO</x:v>
      </x:c>
      <x:c r="E474" t="str">
        <x:v>VENCIMENTO ORIGINAL DOS BOLETOS 15/02 E 17/03</x:v>
      </x:c>
      <x:c r="F474" s="4" t="n">
        <x:v>46041</x:v>
      </x:c>
      <x:c r="G474" t="str">
        <x:v>ADMINISTRATIVO</x:v>
      </x:c>
      <x:c r="H474" t="str">
        <x:v>8.10 - MATERIAS DE ESCRITORIO</x:v>
      </x:c>
      <x:c r="I474" s="5" t="n">
        <x:v>157.46</x:v>
      </x:c>
    </x:row>
    <x:row r="475">
      <x:c r="A475" t="str">
        <x:v>EMPRESTIMO CONSIGNADO - FGTS</x:v>
      </x:c>
      <x:c r="B475"/>
      <x:c r="C475" t="str">
        <x:v>015378</x:v>
      </x:c>
      <x:c r="D475" t="str">
        <x:v>GDF</x:v>
      </x:c>
      <x:c r="E475" t="str">
        <x:v>ALISSON MELO TORRES</x:v>
      </x:c>
      <x:c r="F475" s="4" t="n">
        <x:v>46041</x:v>
      </x:c>
      <x:c r="G475" t="str">
        <x:v>MOSAIC UBERABA CONTRAT0 3 ANOS</x:v>
      </x:c>
      <x:c r="H475" t="str">
        <x:v>12.1 - SALARIO</x:v>
      </x:c>
      <x:c r="I475" s="5" t="n">
        <x:v>259.29</x:v>
      </x:c>
    </x:row>
    <x:row r="476">
      <x:c r="A476" t="str">
        <x:v>RESCISOES / FGTS</x:v>
      </x:c>
      <x:c r="B476"/>
      <x:c r="C476" t="str">
        <x:v>015379</x:v>
      </x:c>
      <x:c r="D476" t="str">
        <x:v>FGTS RECISORIO</x:v>
      </x:c>
      <x:c r="E476" t="str">
        <x:v>ALISSON MELO TORRES</x:v>
      </x:c>
      <x:c r="F476" s="4" t="n">
        <x:v>46041</x:v>
      </x:c>
      <x:c r="G476" t="str">
        <x:v>MOSAIC UBERABA CONTRAT0 3 ANOS</x:v>
      </x:c>
      <x:c r="H476" t="str">
        <x:v>12.4 - MULTA RESCISORIAS FGTS</x:v>
      </x:c>
      <x:c r="I476" s="5" t="n">
        <x:v>2214.24</x:v>
      </x:c>
    </x:row>
    <x:row r="477">
      <x:c r="A477" t="str">
        <x:v>SAO JOSE COMERCIO DE EMBALAGENS LTDA</x:v>
      </x:c>
      <x:c r="B477" t="str">
        <x:v>40646</x:v>
      </x:c>
      <x:c r="C477" t="str">
        <x:v>015380</x:v>
      </x:c>
      <x:c r="D477" t="str">
        <x:v>MAIS DISTRIBUIDORA</x:v>
      </x:c>
      <x:c r="E477" t="str">
        <x:v>CAIXA ALMOXARIFADO</x:v>
      </x:c>
      <x:c r="F477" s="4" t="n">
        <x:v>46041</x:v>
      </x:c>
      <x:c r="G477" t="str">
        <x:v>ADMINISTRATIVO</x:v>
      </x:c>
      <x:c r="H477" t="str">
        <x:v>8.9 - MATERIAIS DE CONSUMO EM OBRAS</x:v>
      </x:c>
      <x:c r="I477" s="5" t="n">
        <x:v>214.6</x:v>
      </x:c>
    </x:row>
    <x:row r="478">
      <x:c r="A478" t="str">
        <x:v>SAO JOSE COMERCIO DE EMBALAGENS LTDA</x:v>
      </x:c>
      <x:c r="B478" t="str">
        <x:v>40645</x:v>
      </x:c>
      <x:c r="C478" t="str">
        <x:v>015381</x:v>
      </x:c>
      <x:c r="D478" t="str">
        <x:v>MAIS DISTRIBUIDORA</x:v>
      </x:c>
      <x:c r="E478" t="str">
        <x:v>MATERIAIS DE LIMPEZA</x:v>
      </x:c>
      <x:c r="F478" s="4" t="n">
        <x:v>46041</x:v>
      </x:c>
      <x:c r="G478" t="str">
        <x:v>CONTRATO 02 ANOS MINERAÇÃO SERRA VERDE</x:v>
      </x:c>
      <x:c r="H478" t="str">
        <x:v>8.9 - MATERIAIS DE CONSUMO EM OBRAS</x:v>
      </x:c>
      <x:c r="I478" s="5" t="n">
        <x:v>160.9</x:v>
      </x:c>
    </x:row>
    <x:row r="479">
      <x:c r="A479" t="str">
        <x:v>MERCADO</x:v>
      </x:c>
      <x:c r="B479"/>
      <x:c r="C479" t="str">
        <x:v>015382</x:v>
      </x:c>
      <x:c r="D479" t="str">
        <x:v>GUTHIERE FERNANDES SUPERMERCAO</x:v>
      </x:c>
      <x:c r="E479" t="str">
        <x:v>MATERIAIS DE LIMPEZA ADM</x:v>
      </x:c>
      <x:c r="F479" s="4" t="n">
        <x:v>46041</x:v>
      </x:c>
      <x:c r="G479" t="str">
        <x:v>ADMINISTRATIVO</x:v>
      </x:c>
      <x:c r="H479" t="str">
        <x:v>8.11 - MATERIAIS DE LIMPEZA / HIGIENE</x:v>
      </x:c>
      <x:c r="I479" s="5" t="n">
        <x:v>345.46</x:v>
      </x:c>
    </x:row>
    <x:row r="480">
      <x:c r="A480" t="str">
        <x:v>NEOBETEL EPI, EQUIPAMENTOS DE PROTECAO INDIVIDUAL LTDA</x:v>
      </x:c>
      <x:c r="B480" t="str">
        <x:v>60644</x:v>
      </x:c>
      <x:c r="C480" t="str">
        <x:v>015383</x:v>
      </x:c>
      <x:c r="D480" t="str">
        <x:v>EPIS NEOBETEL</x:v>
      </x:c>
      <x:c r="E480" t="str">
        <x:v>PIS FOSFATO CATALÃO</x:v>
      </x:c>
      <x:c r="F480" s="4" t="n">
        <x:v>46041</x:v>
      </x:c>
      <x:c r="G480" t="str">
        <x:v>FOSFATO CMOC CONTRAT</x:v>
      </x:c>
      <x:c r="H480" t="str">
        <x:v>13.1 - EPIS</x:v>
      </x:c>
      <x:c r="I480" s="5" t="n">
        <x:v>1258.71</x:v>
      </x:c>
    </x:row>
    <x:row r="481">
      <x:c r="A481" t="str">
        <x:v>NEOBETEL EPI, EQUIPAMENTOS DE PROTECAO INDIVIDUAL LTDA</x:v>
      </x:c>
      <x:c r="B481" t="str">
        <x:v>60645</x:v>
      </x:c>
      <x:c r="C481" t="str">
        <x:v>015384</x:v>
      </x:c>
      <x:c r="D481" t="str">
        <x:v>NEOBETEL EPI</x:v>
      </x:c>
      <x:c r="E481" t="str">
        <x:v>EPIS ALMOXARIFADO</x:v>
      </x:c>
      <x:c r="F481" s="4" t="n">
        <x:v>46041</x:v>
      </x:c>
      <x:c r="G481" t="str">
        <x:v>CANTEIRO TRINDADE</x:v>
      </x:c>
      <x:c r="H481" t="str">
        <x:v>13.1 - EPIS</x:v>
      </x:c>
      <x:c r="I481" s="5" t="n">
        <x:v>285</x:v>
      </x:c>
    </x:row>
    <x:row r="482">
      <x:c r="A482" t="str">
        <x:v>NEOBETEL EPI, EQUIPAMENTOS DE PROTECAO INDIVIDUAL LTDA</x:v>
      </x:c>
      <x:c r="B482" t="str">
        <x:v>60642</x:v>
      </x:c>
      <x:c r="C482" t="str">
        <x:v>015385</x:v>
      </x:c>
      <x:c r="D482" t="str">
        <x:v>NEOBETEL EPI</x:v>
      </x:c>
      <x:c r="E482" t="str">
        <x:v>EPI ANGLO AMERICAN</x:v>
      </x:c>
      <x:c r="F482" s="4" t="n">
        <x:v>46041</x:v>
      </x:c>
      <x:c r="G482" t="str">
        <x:v>ANGLO AMERICAN</x:v>
      </x:c>
      <x:c r="H482" t="str">
        <x:v>13.1 - EPIS</x:v>
      </x:c>
      <x:c r="I482" s="5" t="n">
        <x:v>1348.5</x:v>
      </x:c>
    </x:row>
    <x:row r="483">
      <x:c r="A483" t="str">
        <x:v>NEOBETEL EPI, EQUIPAMENTOS DE PROTECAO INDIVIDUAL LTDA</x:v>
      </x:c>
      <x:c r="B483" t="str">
        <x:v>60642</x:v>
      </x:c>
      <x:c r="C483" t="str">
        <x:v>015385</x:v>
      </x:c>
      <x:c r="D483" t="str">
        <x:v>NEOBETEL EPI</x:v>
      </x:c>
      <x:c r="E483" t="str">
        <x:v>EPI ANGLO AMERICAN</x:v>
      </x:c>
      <x:c r="F483" s="4" t="n">
        <x:v>46041</x:v>
      </x:c>
      <x:c r="G483" t="str">
        <x:v>ANGLO AMERICAN</x:v>
      </x:c>
      <x:c r="H483" t="str">
        <x:v>13.1 - EPIS</x:v>
      </x:c>
      <x:c r="I483" s="5" t="n">
        <x:v>1348.5</x:v>
      </x:c>
    </x:row>
    <x:row r="484">
      <x:c r="A484" t="str">
        <x:v>DEMEP COMERCIAL LTDA</x:v>
      </x:c>
      <x:c r="B484" t="str">
        <x:v>88</x:v>
      </x:c>
      <x:c r="C484" t="str">
        <x:v>015386</x:v>
      </x:c>
      <x:c r="D484" t="str">
        <x:v>DEMEP AIRLESS</x:v>
      </x:c>
      <x:c r="E484" t="str">
        <x:v>PIX: 62985447000</x:v>
      </x:c>
      <x:c r="F484" s="4" t="n">
        <x:v>46041</x:v>
      </x:c>
      <x:c r="G484" t="str">
        <x:v>CONDUTOS UG 1 - ELETROBRAS</x:v>
      </x:c>
      <x:c r="H484" t="str">
        <x:v>8.14 - MANUTENÇÃO/PEÇAS MAQUINAS E EQUIPAMENTOS</x:v>
      </x:c>
      <x:c r="I484" s="5" t="n">
        <x:v>4556.68</x:v>
      </x:c>
    </x:row>
    <x:row r="485">
      <x:c r="A485" t="str">
        <x:v>UBER OBRAS</x:v>
      </x:c>
      <x:c r="B485"/>
      <x:c r="C485" t="str">
        <x:v>015387</x:v>
      </x:c>
      <x:c r="D485" t="str">
        <x:v>UBER TRANSPORTE</x:v>
      </x:c>
      <x:c r="E485" t="str">
        <x:v>NUBYA REGINA RODRIGUES PIX 64981344382</x:v>
      </x:c>
      <x:c r="F485" s="4" t="n">
        <x:v>46041</x:v>
      </x:c>
      <x:c r="G485" t="str">
        <x:v>FOSFATO CMOC CONTRAT</x:v>
      </x:c>
      <x:c r="H485" t="str">
        <x:v>12.7 - TRANSPORTE FUNCIONARIOS</x:v>
      </x:c>
      <x:c r="I485" s="5" t="n">
        <x:v>210</x:v>
      </x:c>
    </x:row>
    <x:row r="486">
      <x:c r="A486" t="str">
        <x:v>MARCIA DIVINA FRANCA DA SILVA 89604040120</x:v>
      </x:c>
      <x:c r="B486"/>
      <x:c r="C486" t="str">
        <x:v>015388</x:v>
      </x:c>
      <x:c r="D486" t="str">
        <x:v>MARCIA DIVINA FRANCA - PIX (62) 9 9266-6886</x:v>
      </x:c>
      <x:c r="E486" t="str">
        <x:v>ALIMENTAÇÃO FUNCIONÁRIOS</x:v>
      </x:c>
      <x:c r="F486" s="4" t="n">
        <x:v>46041</x:v>
      </x:c>
      <x:c r="G486" t="str">
        <x:v>ADMINISTRATIVO</x:v>
      </x:c>
      <x:c r="H486" t="str">
        <x:v>11.5 - ALIMENTAÇÃO ADM</x:v>
      </x:c>
      <x:c r="I486" s="5" t="n">
        <x:v>2580</x:v>
      </x:c>
    </x:row>
    <x:row r="487">
      <x:c r="A487" t="str">
        <x:v>LOCALIZA RENT A CAR SA</x:v>
      </x:c>
      <x:c r="B487" t="str">
        <x:v>10865575</x:v>
      </x:c>
      <x:c r="C487" t="str">
        <x:v>015389</x:v>
      </x:c>
      <x:c r="D487" t="str">
        <x:v>INFRAÇÃO DE TRÂNSITO - CARRO PLACA TER3G61</x:v>
      </x:c>
      <x:c r="E487"/>
      <x:c r="F487" s="4" t="n">
        <x:v>46041</x:v>
      </x:c>
      <x:c r="G487" t="str">
        <x:v>VEICULOS</x:v>
      </x:c>
      <x:c r="H487" t="str">
        <x:v>6.2 - MULTAS DE TRANSITO</x:v>
      </x:c>
      <x:c r="I487" s="5" t="n">
        <x:v>204.99</x:v>
      </x:c>
    </x:row>
    <x:row r="488">
      <x:c r="A488" t="str">
        <x:v>LABORATORIO POPULAR LTDA.</x:v>
      </x:c>
      <x:c r="B488" t="str">
        <x:v>1603</x:v>
      </x:c>
      <x:c r="C488" t="str">
        <x:v>015390</x:v>
      </x:c>
      <x:c r="D488" t="str">
        <x:v>LABORATORIO POPULAR LTDA - PIX 18.409.521/0001-62</x:v>
      </x:c>
      <x:c r="E488" t="str">
        <x:v>EXAME OCUPACIONAL</x:v>
      </x:c>
      <x:c r="F488" s="4" t="n">
        <x:v>46041</x:v>
      </x:c>
      <x:c r="G488" t="str">
        <x:v>SERENA 10 TORRES 2025</x:v>
      </x:c>
      <x:c r="H488" t="str">
        <x:v>14.1 - EXAMES</x:v>
      </x:c>
      <x:c r="I488" s="5" t="n">
        <x:v>680</x:v>
      </x:c>
    </x:row>
    <x:row r="489">
      <x:c r="A489" t="str">
        <x:v>G17 AUTO POSTO LTDA</x:v>
      </x:c>
      <x:c r="B489" t="str">
        <x:v>37</x:v>
      </x:c>
      <x:c r="C489" t="str">
        <x:v>015478</x:v>
      </x:c>
      <x:c r="D489" t="str">
        <x:v>COMBUSTIVEL IVAN HB20</x:v>
      </x:c>
      <x:c r="E489" t="str">
        <x:v>REEM IVAN</x:v>
      </x:c>
      <x:c r="F489" s="4" t="n">
        <x:v>46041</x:v>
      </x:c>
      <x:c r="G489" t="str">
        <x:v>ADMINISTRATIVO</x:v>
      </x:c>
      <x:c r="H489" t="str">
        <x:v>6.4 - COMBUSTIVEL VEICULOS</x:v>
      </x:c>
      <x:c r="I489" s="5" t="n">
        <x:v>231.99</x:v>
      </x:c>
    </x:row>
    <x:row r="490">
      <x:c r="A490" t="str">
        <x:v>G17 AUTO POSTO LTDA</x:v>
      </x:c>
      <x:c r="B490" t="str">
        <x:v>38</x:v>
      </x:c>
      <x:c r="C490" t="str">
        <x:v>015480</x:v>
      </x:c>
      <x:c r="D490" t="str">
        <x:v>COMBUSTIVEL RANGER</x:v>
      </x:c>
      <x:c r="E490" t="str">
        <x:v>REEM REINALDO DIAS DAMAS</x:v>
      </x:c>
      <x:c r="F490" s="4" t="n">
        <x:v>46041</x:v>
      </x:c>
      <x:c r="G490" t="str">
        <x:v>AGREX IMPERMEALIZAÇAO DE TELHADO</x:v>
      </x:c>
      <x:c r="H490" t="str">
        <x:v>6.4 - COMBUSTIVEL VEICULOS</x:v>
      </x:c>
      <x:c r="I490" s="5" t="n">
        <x:v>451.91</x:v>
      </x:c>
    </x:row>
    <x:row r="491">
      <x:c r="A491" t="str">
        <x:v>G17 AUTO POSTO LTDA</x:v>
      </x:c>
      <x:c r="B491" t="str">
        <x:v>39</x:v>
      </x:c>
      <x:c r="C491" t="str">
        <x:v>015483</x:v>
      </x:c>
      <x:c r="D491" t="str">
        <x:v>COMBUSTIVEL MOTO</x:v>
      </x:c>
      <x:c r="E491" t="str">
        <x:v>REEM REINALDO DIAS DAMAS</x:v>
      </x:c>
      <x:c r="F491" s="4" t="n">
        <x:v>46041</x:v>
      </x:c>
      <x:c r="G491" t="str">
        <x:v>AGREX IMPERMEALIZAÇAO DE TELHADO</x:v>
      </x:c>
      <x:c r="H491" t="str">
        <x:v>6.4 - COMBUSTIVEL VEICULOS</x:v>
      </x:c>
      <x:c r="I491" s="5" t="n">
        <x:v>84.42</x:v>
      </x:c>
    </x:row>
    <x:row r="492">
      <x:c r="A492" t="str">
        <x:v>PGFN</x:v>
      </x:c>
      <x:c r="B492"/>
      <x:c r="C492" t="str">
        <x:v>015566</x:v>
      </x:c>
      <x:c r="D492" t="str">
        <x:v>PARLEMANETO PGFN - 014842405 60X</x:v>
      </x:c>
      <x:c r="E492" t="str">
        <x:v>PARCELAMENTO IRRF-IRPJ-COFINS-CSLL-PIS</x:v>
      </x:c>
      <x:c r="F492" s="4" t="n">
        <x:v>46041</x:v>
      </x:c>
      <x:c r="G492" t="str">
        <x:v>IMPOSTOS</x:v>
      </x:c>
      <x:c r="H492" t="str">
        <x:v>17.1 - PARCELAMENTO</x:v>
      </x:c>
      <x:c r="I492" s="5" t="n">
        <x:v>16345.24</x:v>
      </x:c>
    </x:row>
    <x:row r="493">
      <x:c r="A493" t="str">
        <x:v>PGFN</x:v>
      </x:c>
      <x:c r="B493"/>
      <x:c r="C493" t="str">
        <x:v>015626</x:v>
      </x:c>
      <x:c r="D493" t="str">
        <x:v>PARCELAMENTO - 014842865 60X</x:v>
      </x:c>
      <x:c r="E493" t="str">
        <x:v>IMPOSTOS DIVIDA ATIVA</x:v>
      </x:c>
      <x:c r="F493" s="4" t="n">
        <x:v>46041</x:v>
      </x:c>
      <x:c r="G493" t="str">
        <x:v>IMPOSTOS</x:v>
      </x:c>
      <x:c r="H493" t="str">
        <x:v>17.1 - PARCELAMENTO</x:v>
      </x:c>
      <x:c r="I493" s="5" t="n">
        <x:v>7781.37</x:v>
      </x:c>
    </x:row>
    <x:row r="494">
      <x:c r="A494" t="str">
        <x:v>PREFEITURA DE GOIANIA</x:v>
      </x:c>
      <x:c r="B494"/>
      <x:c r="C494" t="str">
        <x:v>015747</x:v>
      </x:c>
      <x:c r="D494" t="str">
        <x:v>TAXA DE EXPEDIENTE DE SERVIÇOS MES 11-2025</x:v>
      </x:c>
      <x:c r="E494"/>
      <x:c r="F494" s="4" t="n">
        <x:v>46041</x:v>
      </x:c>
      <x:c r="G494" t="str">
        <x:v>ADMINISTRATIVO</x:v>
      </x:c>
      <x:c r="H494" t="str">
        <x:v>11.15 - TARIFA PREFEITURA</x:v>
      </x:c>
      <x:c r="I494" s="5" t="n">
        <x:v>120.03</x:v>
      </x:c>
    </x:row>
    <x:row r="495">
      <x:c r="A495" t="str">
        <x:v>RESTAURANTES OBRAS</x:v>
      </x:c>
      <x:c r="B495"/>
      <x:c r="C495" t="str">
        <x:v>015748</x:v>
      </x:c>
      <x:c r="D495" t="str">
        <x:v>REFEIÇÃO NOVOS COLABORADORES</x:v>
      </x:c>
      <x:c r="E495" t="str">
        <x:v>SERRA VERDE</x:v>
      </x:c>
      <x:c r="F495" s="4" t="n">
        <x:v>46041</x:v>
      </x:c>
      <x:c r="G495" t="str">
        <x:v>CONTRATO 02 ANOS MINERAÇÃO SERRA VERDE</x:v>
      </x:c>
      <x:c r="H495" t="str">
        <x:v>12.5 - REFEIÇÕES FUNCIONARIOS</x:v>
      </x:c>
      <x:c r="I495" s="5" t="n">
        <x:v>71</x:v>
      </x:c>
    </x:row>
    <x:row r="496">
      <x:c r="A496" t="str">
        <x:v>FONTEBRAS HOME CENTER COM. DE MAT. PARA CONST. LTDA - EPP</x:v>
      </x:c>
      <x:c r="B496" t="str">
        <x:v>19475</x:v>
      </x:c>
      <x:c r="C496" t="str">
        <x:v>016235</x:v>
      </x:c>
      <x:c r="D496" t="str">
        <x:v>MATERIAIS DE CONSUMO</x:v>
      </x:c>
      <x:c r="E496"/>
      <x:c r="F496" s="4" t="n">
        <x:v>46041</x:v>
      </x:c>
      <x:c r="G496" t="str">
        <x:v>VLI PINTURA</x:v>
      </x:c>
      <x:c r="H496" t="str">
        <x:v>8.9 - MATERIAIS DE CONSUMO EM OBRAS</x:v>
      </x:c>
      <x:c r="I496" s="5" t="n">
        <x:v>151.2</x:v>
      </x:c>
    </x:row>
    <x:row r="497">
      <x:c r="A497" t="str">
        <x:v>ALUGUEIS OBRAS</x:v>
      </x:c>
      <x:c r="B497"/>
      <x:c r="C497" t="str">
        <x:v>014925</x:v>
      </x:c>
      <x:c r="D497" t="str">
        <x:v>AV. LENCOIS, 5 REF. 20.01 A 20.02</x:v>
      </x:c>
      <x:c r="E497" t="str">
        <x:v>KARLIANE SANTOS DE LIMA</x:v>
      </x:c>
      <x:c r="F497" s="4" t="n">
        <x:v>46042</x:v>
      </x:c>
      <x:c r="G497" t="str">
        <x:v>SERENA 10 TORRES 2025</x:v>
      </x:c>
      <x:c r="H497" t="str">
        <x:v>5.3 - ALUGUEL ALOJAMENTO</x:v>
      </x:c>
      <x:c r="I497" s="5" t="n">
        <x:v>1500</x:v>
      </x:c>
    </x:row>
    <x:row r="498">
      <x:c r="A498" t="str">
        <x:v>ALUGUEIS OBRAS</x:v>
      </x:c>
      <x:c r="B498"/>
      <x:c r="C498" t="str">
        <x:v>014926</x:v>
      </x:c>
      <x:c r="D498" t="str">
        <x:v>LAURINEA FEITOSA REIS - PIX (98) 9 8439-2585</x:v>
      </x:c>
      <x:c r="E498" t="str">
        <x:v>REF. 20.12 A 20.01</x:v>
      </x:c>
      <x:c r="F498" s="4" t="n">
        <x:v>46042</x:v>
      </x:c>
      <x:c r="G498" t="str">
        <x:v>SERENA 10 TORRES 2025</x:v>
      </x:c>
      <x:c r="H498" t="str">
        <x:v>5.3 - ALUGUEL ALOJAMENTO</x:v>
      </x:c>
      <x:c r="I498" s="5" t="n">
        <x:v>800</x:v>
      </x:c>
    </x:row>
    <x:row r="499">
      <x:c r="A499" t="str">
        <x:v>ADVOGADO</x:v>
      </x:c>
      <x:c r="B499"/>
      <x:c r="C499" t="str">
        <x:v>014927</x:v>
      </x:c>
      <x:c r="D499" t="str">
        <x:v>DR BRUNNA ADVOGADA ADM MES 12-2025</x:v>
      </x:c>
      <x:c r="E499" t="str">
        <x:v>BRUNNA SALGADO COSTA</x:v>
      </x:c>
      <x:c r="F499" s="4" t="n">
        <x:v>46042</x:v>
      </x:c>
      <x:c r="G499" t="str">
        <x:v>ADMINISTRATIVO</x:v>
      </x:c>
      <x:c r="H499" t="str">
        <x:v>9.1 - HONORARIOS ADVOCATICIOS</x:v>
      </x:c>
      <x:c r="I499" s="5" t="n">
        <x:v>3600</x:v>
      </x:c>
    </x:row>
    <x:row r="500">
      <x:c r="A500" t="str">
        <x:v>FLORENCE SOARES SILVA SOCIEDADE INDIVIDUAL DE ADVOCACIA</x:v>
      </x:c>
      <x:c r="B500"/>
      <x:c r="C500" t="str">
        <x:v>014928</x:v>
      </x:c>
      <x:c r="D500" t="str">
        <x:v>HONORARIOS ADVOCATICIOS REF. 12/2025</x:v>
      </x:c>
      <x:c r="E500" t="str">
        <x:v>FLORENCE SOARES SILVA</x:v>
      </x:c>
      <x:c r="F500" s="4" t="n">
        <x:v>46042</x:v>
      </x:c>
      <x:c r="G500" t="str">
        <x:v>ADMINISTRATIVO</x:v>
      </x:c>
      <x:c r="H500" t="str">
        <x:v>9.1 - HONORARIOS ADVOCATICIOS</x:v>
      </x:c>
      <x:c r="I500" s="5" t="n">
        <x:v>2933.1</x:v>
      </x:c>
    </x:row>
    <x:row r="501">
      <x:c r="A501" t="str">
        <x:v>YCARO GOMES</x:v>
      </x:c>
      <x:c r="B501"/>
      <x:c r="C501" t="str">
        <x:v>015391</x:v>
      </x:c>
      <x:c r="D501" t="str">
        <x:v>INTERNET CONTANINER CONTA VIVO REF 12/2025</x:v>
      </x:c>
      <x:c r="E501" t="str">
        <x:v>REEMBOLSO YCARO</x:v>
      </x:c>
      <x:c r="F501" s="4" t="n">
        <x:v>46042</x:v>
      </x:c>
      <x:c r="G501" t="str">
        <x:v>VLI PINTURA</x:v>
      </x:c>
      <x:c r="H501" t="str">
        <x:v>11.14 - INTERNET OBRAS</x:v>
      </x:c>
      <x:c r="I501" s="5" t="n">
        <x:v>150</x:v>
      </x:c>
    </x:row>
    <x:row r="502">
      <x:c r="A502" t="str">
        <x:v>YCARO GOMES</x:v>
      </x:c>
      <x:c r="B502"/>
      <x:c r="C502" t="str">
        <x:v>015392</x:v>
      </x:c>
      <x:c r="D502" t="str">
        <x:v>AGUA ALOJAMENTO CONTA DE AGUA REF 12/2025</x:v>
      </x:c>
      <x:c r="E502" t="str">
        <x:v>REEMBOLSO YCARO</x:v>
      </x:c>
      <x:c r="F502" s="4" t="n">
        <x:v>46042</x:v>
      </x:c>
      <x:c r="G502" t="str">
        <x:v>VLI PINTURA</x:v>
      </x:c>
      <x:c r="H502" t="str">
        <x:v>5.4 - AGUA ALOJAMENTO</x:v>
      </x:c>
      <x:c r="I502" s="5" t="n">
        <x:v>48</x:v>
      </x:c>
    </x:row>
    <x:row r="503">
      <x:c r="A503" t="str">
        <x:v>YCARO GOMES</x:v>
      </x:c>
      <x:c r="B503" t="str">
        <x:v>1894</x:v>
      </x:c>
      <x:c r="C503" t="str">
        <x:v>015393</x:v>
      </x:c>
      <x:c r="D503" t="str">
        <x:v>MANUTENÇÃO DE MANGUEIRA ALOJAMENTO</x:v>
      </x:c>
      <x:c r="E503" t="str">
        <x:v>REEMBOLSO YCARO</x:v>
      </x:c>
      <x:c r="F503" s="4" t="n">
        <x:v>46042</x:v>
      </x:c>
      <x:c r="G503" t="str">
        <x:v>VLI PINTURA</x:v>
      </x:c>
      <x:c r="H503" t="str">
        <x:v>5.3 - ALUGUEL ALOJAMENTO</x:v>
      </x:c>
      <x:c r="I503" s="5" t="n">
        <x:v>19</x:v>
      </x:c>
    </x:row>
    <x:row r="504">
      <x:c r="A504" t="str">
        <x:v>YCARO GOMES</x:v>
      </x:c>
      <x:c r="B504" t="str">
        <x:v>5922</x:v>
      </x:c>
      <x:c r="C504" t="str">
        <x:v>015394</x:v>
      </x:c>
      <x:c r="D504" t="str">
        <x:v>JD BEZERRA PEREIRA ME</x:v>
      </x:c>
      <x:c r="E504" t="str">
        <x:v>REEMBOLSO YCARO/ MANUTENÇÃO EFFA</x:v>
      </x:c>
      <x:c r="F504" s="4" t="n">
        <x:v>46042</x:v>
      </x:c>
      <x:c r="G504" t="str">
        <x:v>VLI PINTURA</x:v>
      </x:c>
      <x:c r="H504" t="str">
        <x:v>6.3 - MANUTENÇÃO/PEÇAS  VEICULOS</x:v>
      </x:c>
      <x:c r="I504" s="5" t="n">
        <x:v>74.33</x:v>
      </x:c>
    </x:row>
    <x:row r="505">
      <x:c r="A505" t="str">
        <x:v>YCARO GOMES</x:v>
      </x:c>
      <x:c r="B505" t="str">
        <x:v>48916</x:v>
      </x:c>
      <x:c r="C505" t="str">
        <x:v>015395</x:v>
      </x:c>
      <x:c r="D505" t="str">
        <x:v>MANUTENÇÃO FORD RANGER RCFA</x:v>
      </x:c>
      <x:c r="E505" t="str">
        <x:v>REEMBOLSO YCARO</x:v>
      </x:c>
      <x:c r="F505" s="4" t="n">
        <x:v>46042</x:v>
      </x:c>
      <x:c r="G505" t="str">
        <x:v>VLI PINTURA</x:v>
      </x:c>
      <x:c r="H505" t="str">
        <x:v>6.3 - MANUTENÇÃO/PEÇAS  VEICULOS</x:v>
      </x:c>
      <x:c r="I505" s="5" t="n">
        <x:v>1102.04</x:v>
      </x:c>
    </x:row>
    <x:row r="506">
      <x:c r="A506" t="str">
        <x:v>YCARO GOMES</x:v>
      </x:c>
      <x:c r="B506" t="str">
        <x:v>107761</x:v>
      </x:c>
      <x:c r="C506" t="str">
        <x:v>015396</x:v>
      </x:c>
      <x:c r="D506" t="str">
        <x:v>MANUTENÇÃO RANGER RCF 2A85</x:v>
      </x:c>
      <x:c r="E506" t="str">
        <x:v>REEMBOLSO YCARO</x:v>
      </x:c>
      <x:c r="F506" s="4" t="n">
        <x:v>46042</x:v>
      </x:c>
      <x:c r="G506" t="str">
        <x:v>VLI PINTURA</x:v>
      </x:c>
      <x:c r="H506" t="str">
        <x:v>6.3 - MANUTENÇÃO/PEÇAS  VEICULOS</x:v>
      </x:c>
      <x:c r="I506" s="5" t="n">
        <x:v>1104.81</x:v>
      </x:c>
    </x:row>
    <x:row r="507">
      <x:c r="A507" t="str">
        <x:v>YCARO GOMES</x:v>
      </x:c>
      <x:c r="B507"/>
      <x:c r="C507" t="str">
        <x:v>015397</x:v>
      </x:c>
      <x:c r="D507" t="str">
        <x:v>REFEIÇÃO VLI</x:v>
      </x:c>
      <x:c r="E507" t="str">
        <x:v>REEMBOLSO YCARO</x:v>
      </x:c>
      <x:c r="F507" s="4" t="n">
        <x:v>46042</x:v>
      </x:c>
      <x:c r="G507" t="str">
        <x:v>VLI PINTURA</x:v>
      </x:c>
      <x:c r="H507" t="str">
        <x:v>12.5 - REFEIÇÕES FUNCIONARIOS</x:v>
      </x:c>
      <x:c r="I507" s="5" t="n">
        <x:v>24.84</x:v>
      </x:c>
    </x:row>
    <x:row r="508">
      <x:c r="A508" t="str">
        <x:v>YCARO GOMES</x:v>
      </x:c>
      <x:c r="B508"/>
      <x:c r="C508" t="str">
        <x:v>015398</x:v>
      </x:c>
      <x:c r="D508" t="str">
        <x:v>MATERIAIS DE PINTURAS</x:v>
      </x:c>
      <x:c r="E508" t="str">
        <x:v>REEMBOLSO YCARO</x:v>
      </x:c>
      <x:c r="F508" s="4" t="n">
        <x:v>46042</x:v>
      </x:c>
      <x:c r="G508" t="str">
        <x:v>VLI PINTURA</x:v>
      </x:c>
      <x:c r="H508" t="str">
        <x:v>12.5 - REFEIÇÕES FUNCIONARIOS</x:v>
      </x:c>
      <x:c r="I508" s="5" t="n">
        <x:v>120</x:v>
      </x:c>
    </x:row>
    <x:row r="509">
      <x:c r="A509" t="str">
        <x:v>FABIANO PEREIRA DE OLIVEIRA LTDA</x:v>
      </x:c>
      <x:c r="B509" t="str">
        <x:v>9063</x:v>
      </x:c>
      <x:c r="C509" t="str">
        <x:v>015401</x:v>
      </x:c>
      <x:c r="D509" t="str">
        <x:v>LOCAÇÃO BANHEIROS QUÍMICOS REF. 12/12 A 11/01</x:v>
      </x:c>
      <x:c r="E509" t="str">
        <x:v>VENCIMENTO ORIGINAL DO BOLETO 14/02/26</x:v>
      </x:c>
      <x:c r="F509" s="4" t="n">
        <x:v>46042</x:v>
      </x:c>
      <x:c r="G509" t="str">
        <x:v>VLI PINTURA</x:v>
      </x:c>
      <x:c r="H509" t="str">
        <x:v>7.11 - LOCAÇAO BANHEIRO QUIMICO</x:v>
      </x:c>
      <x:c r="I509" s="5" t="n">
        <x:v>861.85</x:v>
      </x:c>
    </x:row>
    <x:row r="510">
      <x:c r="A510" t="str">
        <x:v>RODOVIARIA MATEUS CABEÇA BRANCA</x:v>
      </x:c>
      <x:c r="B510"/>
      <x:c r="C510" t="str">
        <x:v>015403</x:v>
      </x:c>
      <x:c r="D510" t="str">
        <x:v>PASSAGENS DA SEMANA 05/01 A 09/01</x:v>
      </x:c>
      <x:c r="E510"/>
      <x:c r="F510" s="4" t="n">
        <x:v>46042</x:v>
      </x:c>
      <x:c r="G510" t="str">
        <x:v>MOSAIC UBERABA CONTRAT0 3 ANOS</x:v>
      </x:c>
      <x:c r="H510" t="str">
        <x:v>12.9 - PASSAGENS FUNCIONARIOS</x:v>
      </x:c>
      <x:c r="I510" s="5" t="n">
        <x:v>1474.71</x:v>
      </x:c>
    </x:row>
    <x:row r="511">
      <x:c r="A511" t="str">
        <x:v>RODOVIARIA MATEUS CABEÇA BRANCA</x:v>
      </x:c>
      <x:c r="B511"/>
      <x:c r="C511" t="str">
        <x:v>015403</x:v>
      </x:c>
      <x:c r="D511" t="str">
        <x:v>PASSAGENS DA SEMANA 05/01 A 09/01</x:v>
      </x:c>
      <x:c r="E511"/>
      <x:c r="F511" s="4" t="n">
        <x:v>46042</x:v>
      </x:c>
      <x:c r="G511" t="str">
        <x:v>ANGLO AMERICAN</x:v>
      </x:c>
      <x:c r="H511" t="str">
        <x:v>12.9 - PASSAGENS FUNCIONARIOS</x:v>
      </x:c>
      <x:c r="I511" s="5" t="n">
        <x:v>824.2</x:v>
      </x:c>
    </x:row>
    <x:row r="512">
      <x:c r="A512" t="str">
        <x:v>RODOVIARIA MATEUS CABEÇA BRANCA</x:v>
      </x:c>
      <x:c r="B512"/>
      <x:c r="C512" t="str">
        <x:v>015403</x:v>
      </x:c>
      <x:c r="D512" t="str">
        <x:v>PASSAGENS DA SEMANA 05/01 A 09/01</x:v>
      </x:c>
      <x:c r="E512"/>
      <x:c r="F512" s="4" t="n">
        <x:v>46042</x:v>
      </x:c>
      <x:c r="G512" t="str">
        <x:v>EUROCHEM SERRA DO SALITRE</x:v>
      </x:c>
      <x:c r="H512" t="str">
        <x:v>12.9 - PASSAGENS FUNCIONARIOS</x:v>
      </x:c>
      <x:c r="I512" s="5" t="n">
        <x:v>1798.71</x:v>
      </x:c>
    </x:row>
    <x:row r="513">
      <x:c r="A513" t="str">
        <x:v>RODOVIARIA MATEUS CABEÇA BRANCA</x:v>
      </x:c>
      <x:c r="B513"/>
      <x:c r="C513" t="str">
        <x:v>015403</x:v>
      </x:c>
      <x:c r="D513" t="str">
        <x:v>PASSAGENS DA SEMANA 05/01 A 09/01</x:v>
      </x:c>
      <x:c r="E513"/>
      <x:c r="F513" s="4" t="n">
        <x:v>46042</x:v>
      </x:c>
      <x:c r="G513" t="str">
        <x:v>NIOBIO CMOC CONTRATO</x:v>
      </x:c>
      <x:c r="H513" t="str">
        <x:v>12.9 - PASSAGENS FUNCIONARIOS</x:v>
      </x:c>
      <x:c r="I513" s="5" t="n">
        <x:v>830.8</x:v>
      </x:c>
    </x:row>
    <x:row r="514">
      <x:c r="A514" t="str">
        <x:v>RODOVIARIA MATEUS CABEÇA BRANCA</x:v>
      </x:c>
      <x:c r="B514"/>
      <x:c r="C514" t="str">
        <x:v>015403</x:v>
      </x:c>
      <x:c r="D514" t="str">
        <x:v>PASSAGENS DA SEMANA 05/01 A 09/01</x:v>
      </x:c>
      <x:c r="E514"/>
      <x:c r="F514" s="4" t="n">
        <x:v>46042</x:v>
      </x:c>
      <x:c r="G514" t="str">
        <x:v>SERENA 10 TORRES 2025</x:v>
      </x:c>
      <x:c r="H514" t="str">
        <x:v>12.9 - PASSAGENS FUNCIONARIOS</x:v>
      </x:c>
      <x:c r="I514" s="5" t="n">
        <x:v>101.84</x:v>
      </x:c>
    </x:row>
    <x:row r="515">
      <x:c r="A515" t="str">
        <x:v>MAGNO</x:v>
      </x:c>
      <x:c r="B515"/>
      <x:c r="C515" t="str">
        <x:v>015406</x:v>
      </x:c>
      <x:c r="D515" t="str">
        <x:v>ALFA VIDROS</x:v>
      </x:c>
      <x:c r="E515" t="str">
        <x:v>REEMBOLSO MAGNO</x:v>
      </x:c>
      <x:c r="F515" s="4" t="n">
        <x:v>46042</x:v>
      </x:c>
      <x:c r="G515" t="str">
        <x:v>CMOC CUBATÃO</x:v>
      </x:c>
      <x:c r="H515" t="str">
        <x:v>12.7 - TRANSPORTE FUNCIONARIOS</x:v>
      </x:c>
      <x:c r="I515" s="5" t="n">
        <x:v>280</x:v>
      </x:c>
    </x:row>
    <x:row r="516">
      <x:c r="A516" t="str">
        <x:v>MAGNO</x:v>
      </x:c>
      <x:c r="B516"/>
      <x:c r="C516" t="str">
        <x:v>015406</x:v>
      </x:c>
      <x:c r="D516" t="str">
        <x:v>ALFA VIDROS</x:v>
      </x:c>
      <x:c r="E516" t="str">
        <x:v>REEMBOLSO MAGNO</x:v>
      </x:c>
      <x:c r="F516" s="4" t="n">
        <x:v>46042</x:v>
      </x:c>
      <x:c r="G516" t="str">
        <x:v>CMOC CUBATÃO</x:v>
      </x:c>
      <x:c r="H516" t="str">
        <x:v>13.1 - EPIS</x:v>
      </x:c>
      <x:c r="I516" s="5" t="n">
        <x:v>320</x:v>
      </x:c>
    </x:row>
    <x:row r="517">
      <x:c r="A517" t="str">
        <x:v>MAGNO</x:v>
      </x:c>
      <x:c r="B517"/>
      <x:c r="C517" t="str">
        <x:v>015407</x:v>
      </x:c>
      <x:c r="D517" t="str">
        <x:v>REEMBOLSO MAGNO</x:v>
      </x:c>
      <x:c r="E517" t="str">
        <x:v>PRESTAÇÃO DE CONTA</x:v>
      </x:c>
      <x:c r="F517" s="4" t="n">
        <x:v>46042</x:v>
      </x:c>
      <x:c r="G517" t="str">
        <x:v>MOSAIC UBERABA CONTRAT0 3 ANOS</x:v>
      </x:c>
      <x:c r="H517" t="str">
        <x:v>8.9 - MATERIAIS DE CONSUMO EM OBRAS</x:v>
      </x:c>
      <x:c r="I517" s="5" t="n">
        <x:v>40</x:v>
      </x:c>
    </x:row>
    <x:row r="518">
      <x:c r="A518" t="str">
        <x:v>MAGNO</x:v>
      </x:c>
      <x:c r="B518"/>
      <x:c r="C518" t="str">
        <x:v>015407</x:v>
      </x:c>
      <x:c r="D518" t="str">
        <x:v>REEMBOLSO MAGNO</x:v>
      </x:c>
      <x:c r="E518" t="str">
        <x:v>PRESTAÇÃO DE CONTA</x:v>
      </x:c>
      <x:c r="F518" s="4" t="n">
        <x:v>46042</x:v>
      </x:c>
      <x:c r="G518" t="str">
        <x:v>MOSAIC UBERABA CONTRAT0 3 ANOS</x:v>
      </x:c>
      <x:c r="H518" t="str">
        <x:v>11.14 - INTERNET OBRAS</x:v>
      </x:c>
      <x:c r="I518" s="5" t="n">
        <x:v>107.21</x:v>
      </x:c>
    </x:row>
    <x:row r="519">
      <x:c r="A519" t="str">
        <x:v>MAGNO</x:v>
      </x:c>
      <x:c r="B519"/>
      <x:c r="C519" t="str">
        <x:v>015407</x:v>
      </x:c>
      <x:c r="D519" t="str">
        <x:v>REEMBOLSO MAGNO</x:v>
      </x:c>
      <x:c r="E519" t="str">
        <x:v>PRESTAÇÃO DE CONTA</x:v>
      </x:c>
      <x:c r="F519" s="4" t="n">
        <x:v>46042</x:v>
      </x:c>
      <x:c r="G519" t="str">
        <x:v>MOSAIC UBERABA CONTRAT0 3 ANOS</x:v>
      </x:c>
      <x:c r="H519" t="str">
        <x:v>12.7 - TRANSPORTE FUNCIONARIOS</x:v>
      </x:c>
      <x:c r="I519" s="5" t="n">
        <x:v>140</x:v>
      </x:c>
    </x:row>
    <x:row r="520">
      <x:c r="A520" t="str">
        <x:v>MAGNO</x:v>
      </x:c>
      <x:c r="B520"/>
      <x:c r="C520" t="str">
        <x:v>015407</x:v>
      </x:c>
      <x:c r="D520" t="str">
        <x:v>REEMBOLSO MAGNO</x:v>
      </x:c>
      <x:c r="E520" t="str">
        <x:v>PRESTAÇÃO DE CONTA</x:v>
      </x:c>
      <x:c r="F520" s="4" t="n">
        <x:v>46042</x:v>
      </x:c>
      <x:c r="G520" t="str">
        <x:v>MOSAIC UBERABA CONTRAT0 3 ANOS</x:v>
      </x:c>
      <x:c r="H520" t="str">
        <x:v>12.5 - REFEIÇÕES FUNCIONARIOS</x:v>
      </x:c>
      <x:c r="I520" s="5" t="n">
        <x:v>201.4</x:v>
      </x:c>
    </x:row>
    <x:row r="521">
      <x:c r="A521" t="str">
        <x:v>MAGNO</x:v>
      </x:c>
      <x:c r="B521"/>
      <x:c r="C521" t="str">
        <x:v>015407</x:v>
      </x:c>
      <x:c r="D521" t="str">
        <x:v>REEMBOLSO MAGNO</x:v>
      </x:c>
      <x:c r="E521" t="str">
        <x:v>PRESTAÇÃO DE CONTA</x:v>
      </x:c>
      <x:c r="F521" s="4" t="n">
        <x:v>46042</x:v>
      </x:c>
      <x:c r="G521" t="str">
        <x:v>MOSAIC UBERABA CONTRAT0 3 ANOS</x:v>
      </x:c>
      <x:c r="H521" t="str">
        <x:v>13.1 - EPIS</x:v>
      </x:c>
      <x:c r="I521" s="5" t="n">
        <x:v>369.9</x:v>
      </x:c>
    </x:row>
    <x:row r="522">
      <x:c r="A522" t="str">
        <x:v>MAGNO</x:v>
      </x:c>
      <x:c r="B522"/>
      <x:c r="C522" t="str">
        <x:v>015414</x:v>
      </x:c>
      <x:c r="D522" t="str">
        <x:v>PRESTAÇÃO DE CONTAS MAGNO</x:v>
      </x:c>
      <x:c r="E522"/>
      <x:c r="F522" s="4" t="n">
        <x:v>46042</x:v>
      </x:c>
      <x:c r="G522" t="str">
        <x:v>MOSAIC UBERABA CONTRAT0 3 ANOS</x:v>
      </x:c>
      <x:c r="H522" t="str">
        <x:v>12.5 - REFEIÇÕES FUNCIONARIOS</x:v>
      </x:c>
      <x:c r="I522" s="5" t="n">
        <x:v>196.29</x:v>
      </x:c>
    </x:row>
    <x:row r="523">
      <x:c r="A523" t="str">
        <x:v>MAGNO</x:v>
      </x:c>
      <x:c r="B523"/>
      <x:c r="C523" t="str">
        <x:v>015414</x:v>
      </x:c>
      <x:c r="D523" t="str">
        <x:v>PRESTAÇÃO DE CONTAS MAGNO</x:v>
      </x:c>
      <x:c r="E523"/>
      <x:c r="F523" s="4" t="n">
        <x:v>46042</x:v>
      </x:c>
      <x:c r="G523" t="str">
        <x:v>MOSAIC UBERABA CONTRAT0 3 ANOS</x:v>
      </x:c>
      <x:c r="H523" t="str">
        <x:v>6.10 - SERVIÇO LAVA JATO</x:v>
      </x:c>
      <x:c r="I523" s="5" t="n">
        <x:v>240</x:v>
      </x:c>
    </x:row>
    <x:row r="524">
      <x:c r="A524" t="str">
        <x:v>MAGNO</x:v>
      </x:c>
      <x:c r="B524"/>
      <x:c r="C524" t="str">
        <x:v>015414</x:v>
      </x:c>
      <x:c r="D524" t="str">
        <x:v>PRESTAÇÃO DE CONTAS MAGNO</x:v>
      </x:c>
      <x:c r="E524"/>
      <x:c r="F524" s="4" t="n">
        <x:v>46042</x:v>
      </x:c>
      <x:c r="G524" t="str">
        <x:v>MOSAIC UBERABA CONTRAT0 3 ANOS</x:v>
      </x:c>
      <x:c r="H524" t="str">
        <x:v>6.4 - COMBUSTIVEL VEICULOS</x:v>
      </x:c>
      <x:c r="I524" s="5" t="n">
        <x:v>284.66</x:v>
      </x:c>
    </x:row>
    <x:row r="525">
      <x:c r="A525" t="str">
        <x:v>VAN OBRAS</x:v>
      </x:c>
      <x:c r="B525"/>
      <x:c r="C525" t="str">
        <x:v>015415</x:v>
      </x:c>
      <x:c r="D525" t="str">
        <x:v>TRANSPORTE DE FUNCIONARIOS EUROCHEM</x:v>
      </x:c>
      <x:c r="E525" t="str">
        <x:v>Edvaldo Pereira de Araújo 34999071602</x:v>
      </x:c>
      <x:c r="F525" s="4" t="n">
        <x:v>46042</x:v>
      </x:c>
      <x:c r="G525" t="str">
        <x:v>EUROCHEM SERRA DO SALITRE</x:v>
      </x:c>
      <x:c r="H525" t="str">
        <x:v>12.7 - TRANSPORTE FUNCIONARIOS</x:v>
      </x:c>
      <x:c r="I525" s="5" t="n">
        <x:v>2680</x:v>
      </x:c>
    </x:row>
    <x:row r="526">
      <x:c r="A526" t="str">
        <x:v>62.032.683 MAIARA DE ANDRADE SILVA</x:v>
      </x:c>
      <x:c r="B526"/>
      <x:c r="C526" t="str">
        <x:v>015416</x:v>
      </x:c>
      <x:c r="D526" t="str">
        <x:v>REFEIÇÃO FUNCIONARIOS 01 A DIA 15</x:v>
      </x:c>
      <x:c r="E526" t="str">
        <x:v>PIX MAYARAANDRADESILVA41@GMAIL.COM</x:v>
      </x:c>
      <x:c r="F526" s="4" t="n">
        <x:v>46042</x:v>
      </x:c>
      <x:c r="G526" t="str">
        <x:v>EUROCHEM SERRA DO SALITRE</x:v>
      </x:c>
      <x:c r="H526" t="str">
        <x:v>12.5 - REFEIÇÕES FUNCIONARIOS</x:v>
      </x:c>
      <x:c r="I526" s="5" t="n">
        <x:v>2128</x:v>
      </x:c>
    </x:row>
    <x:row r="527">
      <x:c r="A527" t="str">
        <x:v>FOLGA DE CAMPO</x:v>
      </x:c>
      <x:c r="B527"/>
      <x:c r="C527" t="str">
        <x:v>015420</x:v>
      </x:c>
      <x:c r="D527" t="str">
        <x:v>JOSÉ SIMÕES DE PINHO FILHO</x:v>
      </x:c>
      <x:c r="E527" t="str">
        <x:v>COMPRA DE FOLGA DE CAMPO</x:v>
      </x:c>
      <x:c r="F527" s="4" t="n">
        <x:v>46042</x:v>
      </x:c>
      <x:c r="G527" t="str">
        <x:v>EUROCHEM SERRA DO SALITRE</x:v>
      </x:c>
      <x:c r="H527" t="str">
        <x:v>12.9 - PASSAGENS FUNCIONARIOS</x:v>
      </x:c>
      <x:c r="I527" s="5" t="n">
        <x:v>1500</x:v>
      </x:c>
    </x:row>
    <x:row r="528">
      <x:c r="A528" t="str">
        <x:v>CORDEIRO REMOCOES GUINDASTES E TRANSPORTES LTDA</x:v>
      </x:c>
      <x:c r="B528" t="str">
        <x:v>957</x:v>
      </x:c>
      <x:c r="C528" t="str">
        <x:v>015422</x:v>
      </x:c>
      <x:c r="D528" t="str">
        <x:v>CORDEIRO REMOÇÕES - PIX 07.209.686/0001-74</x:v>
      </x:c>
      <x:c r="E528" t="str">
        <x:v>LOCAÇÃO CONTAINER REF. 01/12 A 31/12/25</x:v>
      </x:c>
      <x:c r="F528" s="4" t="n">
        <x:v>46042</x:v>
      </x:c>
      <x:c r="G528" t="str">
        <x:v>VLI PINTURA</x:v>
      </x:c>
      <x:c r="H528" t="str">
        <x:v>7.6 - LOCAÇÃO CONTAINER</x:v>
      </x:c>
      <x:c r="I528" s="5" t="n">
        <x:v>7043.64</x:v>
      </x:c>
    </x:row>
    <x:row r="529">
      <x:c r="A529" t="str">
        <x:v>PLANNING MAROX CONSULTORIA S/S LTDA</x:v>
      </x:c>
      <x:c r="B529" t="str">
        <x:v>781</x:v>
      </x:c>
      <x:c r="C529" t="str">
        <x:v>015423</x:v>
      </x:c>
      <x:c r="D529" t="str">
        <x:v>HONORARIOS CONTABIL E FISCAL</x:v>
      </x:c>
      <x:c r="E529" t="str">
        <x:v>VENCIMENTO ORIGINAL DO BOLETO  25/01/2026</x:v>
      </x:c>
      <x:c r="F529" s="4" t="n">
        <x:v>46042</x:v>
      </x:c>
      <x:c r="G529" t="str">
        <x:v>ADMINISTRATIVO</x:v>
      </x:c>
      <x:c r="H529" t="str">
        <x:v>11.10 - CONTABILIDADE</x:v>
      </x:c>
      <x:c r="I529" s="5" t="n">
        <x:v>7526.06</x:v>
      </x:c>
    </x:row>
    <x:row r="530">
      <x:c r="A530" t="str">
        <x:v>PLANNING MAROX CONSULTORIA S/S LTDA</x:v>
      </x:c>
      <x:c r="B530" t="str">
        <x:v>782</x:v>
      </x:c>
      <x:c r="C530" t="str">
        <x:v>015425</x:v>
      </x:c>
      <x:c r="D530" t="str">
        <x:v>SERVIÇO FOPAG - FECHAMENTO DE ENCARGOS</x:v>
      </x:c>
      <x:c r="E530" t="str">
        <x:v>VENCIMENTO ORIGINAL DO BOLETO 25/01/26</x:v>
      </x:c>
      <x:c r="F530" s="4" t="n">
        <x:v>46042</x:v>
      </x:c>
      <x:c r="G530" t="str">
        <x:v>ADMINISTRATIVO</x:v>
      </x:c>
      <x:c r="H530" t="str">
        <x:v>11.10 - CONTABILIDADE</x:v>
      </x:c>
      <x:c r="I530" s="5" t="n">
        <x:v>9035.4</x:v>
      </x:c>
    </x:row>
    <x:row r="531">
      <x:c r="A531" t="str">
        <x:v>FOLGA DE CAMPO</x:v>
      </x:c>
      <x:c r="B531"/>
      <x:c r="C531" t="str">
        <x:v>015426</x:v>
      </x:c>
      <x:c r="D531" t="str">
        <x:v>MARIA DO AMPARO SALES DA ROCHA</x:v>
      </x:c>
      <x:c r="E531" t="str">
        <x:v>COMPRA FOLGA DE CAMPO</x:v>
      </x:c>
      <x:c r="F531" s="4" t="n">
        <x:v>46042</x:v>
      </x:c>
      <x:c r="G531" t="str">
        <x:v>MOSAIC UBERABA CONTRAT0 3 ANOS</x:v>
      </x:c>
      <x:c r="H531" t="str">
        <x:v>12.7 - TRANSPORTE FUNCIONARIOS</x:v>
      </x:c>
      <x:c r="I531" s="5" t="n">
        <x:v>1500</x:v>
      </x:c>
    </x:row>
    <x:row r="532">
      <x:c r="A532" t="str">
        <x:v>INDUSTRIALLY REFEICOES EMPRESARIAIS E SERVICOS ADMINISTRATIV</x:v>
      </x:c>
      <x:c r="B532" t="str">
        <x:v>287</x:v>
      </x:c>
      <x:c r="C532" t="str">
        <x:v>015427</x:v>
      </x:c>
      <x:c r="D532" t="str">
        <x:v>REFEIÇÃO ANGLO</x:v>
      </x:c>
      <x:c r="E532" t="str">
        <x:v>INDUSTRIALY REFEIÇÕES  VENC 19/01/2026</x:v>
      </x:c>
      <x:c r="F532" s="4" t="n">
        <x:v>46042</x:v>
      </x:c>
      <x:c r="G532" t="str">
        <x:v>ANGLO AMERICAN</x:v>
      </x:c>
      <x:c r="H532" t="str">
        <x:v>12.5 - REFEIÇÕES FUNCIONARIOS</x:v>
      </x:c>
      <x:c r="I532" s="5" t="n">
        <x:v>2792.79</x:v>
      </x:c>
    </x:row>
    <x:row r="533">
      <x:c r="A533" t="str">
        <x:v>POSTO FERREIRA MATIAS COMBUSTIVEL LTDA</x:v>
      </x:c>
      <x:c r="B533" t="str">
        <x:v>18608</x:v>
      </x:c>
      <x:c r="C533" t="str">
        <x:v>015428</x:v>
      </x:c>
      <x:c r="D533" t="str">
        <x:v>FERREIRA MATIAS COMBUSTIVEIS LTDA</x:v>
      </x:c>
      <x:c r="E533" t="str">
        <x:v>BOLETO  VENC 22/01/2025</x:v>
      </x:c>
      <x:c r="F533" s="4" t="n">
        <x:v>46042</x:v>
      </x:c>
      <x:c r="G533" t="str">
        <x:v>ANGLO AMERICAN</x:v>
      </x:c>
      <x:c r="H533" t="str">
        <x:v>6.4 - COMBUSTIVEL VEICULOS</x:v>
      </x:c>
      <x:c r="I533" s="5" t="n">
        <x:v>143.098905</x:v>
      </x:c>
    </x:row>
    <x:row r="534">
      <x:c r="A534" t="str">
        <x:v>POSTO FERREIRA MATIAS COMBUSTIVEL LTDA</x:v>
      </x:c>
      <x:c r="B534" t="str">
        <x:v>18608</x:v>
      </x:c>
      <x:c r="C534" t="str">
        <x:v>015428</x:v>
      </x:c>
      <x:c r="D534" t="str">
        <x:v>FERREIRA MATIAS COMBUSTIVEIS LTDA</x:v>
      </x:c>
      <x:c r="E534" t="str">
        <x:v>BOLETO  VENC 22/01/2025</x:v>
      </x:c>
      <x:c r="F534" s="4" t="n">
        <x:v>46042</x:v>
      </x:c>
      <x:c r="G534" t="str">
        <x:v>ANGLO AMERICAN</x:v>
      </x:c>
      <x:c r="H534" t="str">
        <x:v>8.13 - COMBUSTIVEL EQUIPAMENTOS</x:v>
      </x:c>
      <x:c r="I534" s="5" t="n">
        <x:v>580.551095</x:v>
      </x:c>
    </x:row>
    <x:row r="535">
      <x:c r="A535" t="str">
        <x:v>CARTAO PRA TODOS</x:v>
      </x:c>
      <x:c r="B535" t="str">
        <x:v>237115</x:v>
      </x:c>
      <x:c r="C535" t="str">
        <x:v>015429</x:v>
      </x:c>
      <x:c r="D535" t="str">
        <x:v>CARTÃO DE TODOS</x:v>
      </x:c>
      <x:c r="E535" t="str">
        <x:v>VENC 23/01/2026</x:v>
      </x:c>
      <x:c r="F535" s="4" t="n">
        <x:v>46042</x:v>
      </x:c>
      <x:c r="G535" t="str">
        <x:v>ADMINISTRATIVO</x:v>
      </x:c>
      <x:c r="H535" t="str">
        <x:v>12.11 - ASSISTENCIA MEDICA ADM</x:v>
      </x:c>
      <x:c r="I535" s="5" t="n">
        <x:v>980.1</x:v>
      </x:c>
    </x:row>
    <x:row r="536">
      <x:c r="A536" t="str">
        <x:v>CARTAO PRA TODOS</x:v>
      </x:c>
      <x:c r="B536" t="str">
        <x:v>237115</x:v>
      </x:c>
      <x:c r="C536" t="str">
        <x:v>015429</x:v>
      </x:c>
      <x:c r="D536" t="str">
        <x:v>CARTÃO DE TODOS</x:v>
      </x:c>
      <x:c r="E536" t="str">
        <x:v>VENC 23/01/2026</x:v>
      </x:c>
      <x:c r="F536" s="4" t="n">
        <x:v>46042</x:v>
      </x:c>
      <x:c r="G536" t="str">
        <x:v>MOSAIC UBERABA CONTRAT0 3 ANOS</x:v>
      </x:c>
      <x:c r="H536" t="str">
        <x:v>12.11 - ASSISTENCIA MEDICA ADM</x:v>
      </x:c>
      <x:c r="I536" s="5" t="n">
        <x:v>772.2</x:v>
      </x:c>
    </x:row>
    <x:row r="537">
      <x:c r="A537" t="str">
        <x:v>CARTAO PRA TODOS</x:v>
      </x:c>
      <x:c r="B537" t="str">
        <x:v>237115</x:v>
      </x:c>
      <x:c r="C537" t="str">
        <x:v>015429</x:v>
      </x:c>
      <x:c r="D537" t="str">
        <x:v>CARTÃO DE TODOS</x:v>
      </x:c>
      <x:c r="E537" t="str">
        <x:v>VENC 23/01/2026</x:v>
      </x:c>
      <x:c r="F537" s="4" t="n">
        <x:v>46042</x:v>
      </x:c>
      <x:c r="G537" t="str">
        <x:v>ANGLO AMERICAN</x:v>
      </x:c>
      <x:c r="H537" t="str">
        <x:v>12.11 - ASSISTENCIA MEDICA ADM</x:v>
      </x:c>
      <x:c r="I537" s="5" t="n">
        <x:v>267.3</x:v>
      </x:c>
    </x:row>
    <x:row r="538">
      <x:c r="A538" t="str">
        <x:v>CARTAO PRA TODOS</x:v>
      </x:c>
      <x:c r="B538" t="str">
        <x:v>237115</x:v>
      </x:c>
      <x:c r="C538" t="str">
        <x:v>015429</x:v>
      </x:c>
      <x:c r="D538" t="str">
        <x:v>CARTÃO DE TODOS</x:v>
      </x:c>
      <x:c r="E538" t="str">
        <x:v>VENC 23/01/2026</x:v>
      </x:c>
      <x:c r="F538" s="4" t="n">
        <x:v>46042</x:v>
      </x:c>
      <x:c r="G538" t="str">
        <x:v>EUROCHEM SERRA DO SALITRE</x:v>
      </x:c>
      <x:c r="H538" t="str">
        <x:v>12.11 - ASSISTENCIA MEDICA ADM</x:v>
      </x:c>
      <x:c r="I538" s="5" t="n">
        <x:v>297</x:v>
      </x:c>
    </x:row>
    <x:row r="539">
      <x:c r="A539" t="str">
        <x:v>CARTAO PRA TODOS</x:v>
      </x:c>
      <x:c r="B539" t="str">
        <x:v>237115</x:v>
      </x:c>
      <x:c r="C539" t="str">
        <x:v>015429</x:v>
      </x:c>
      <x:c r="D539" t="str">
        <x:v>CARTÃO DE TODOS</x:v>
      </x:c>
      <x:c r="E539" t="str">
        <x:v>VENC 23/01/2026</x:v>
      </x:c>
      <x:c r="F539" s="4" t="n">
        <x:v>46042</x:v>
      </x:c>
      <x:c r="G539" t="str">
        <x:v>FOSFATO CMOC CONTRAT</x:v>
      </x:c>
      <x:c r="H539" t="str">
        <x:v>12.11 - ASSISTENCIA MEDICA ADM</x:v>
      </x:c>
      <x:c r="I539" s="5" t="n">
        <x:v>594</x:v>
      </x:c>
    </x:row>
    <x:row r="540">
      <x:c r="A540" t="str">
        <x:v>CARTAO PRA TODOS</x:v>
      </x:c>
      <x:c r="B540" t="str">
        <x:v>237115</x:v>
      </x:c>
      <x:c r="C540" t="str">
        <x:v>015429</x:v>
      </x:c>
      <x:c r="D540" t="str">
        <x:v>CARTÃO DE TODOS</x:v>
      </x:c>
      <x:c r="E540" t="str">
        <x:v>VENC 23/01/2026</x:v>
      </x:c>
      <x:c r="F540" s="4" t="n">
        <x:v>46042</x:v>
      </x:c>
      <x:c r="G540" t="str">
        <x:v>NIOBIO CMOC CONTRATO</x:v>
      </x:c>
      <x:c r="H540" t="str">
        <x:v>12.11 - ASSISTENCIA MEDICA ADM</x:v>
      </x:c>
      <x:c r="I540" s="5" t="n">
        <x:v>356.4</x:v>
      </x:c>
    </x:row>
    <x:row r="541">
      <x:c r="A541" t="str">
        <x:v>CARTAO PRA TODOS</x:v>
      </x:c>
      <x:c r="B541" t="str">
        <x:v>237115</x:v>
      </x:c>
      <x:c r="C541" t="str">
        <x:v>015429</x:v>
      </x:c>
      <x:c r="D541" t="str">
        <x:v>CARTÃO DE TODOS</x:v>
      </x:c>
      <x:c r="E541" t="str">
        <x:v>VENC 23/01/2026</x:v>
      </x:c>
      <x:c r="F541" s="4" t="n">
        <x:v>46042</x:v>
      </x:c>
      <x:c r="G541" t="str">
        <x:v>SERENA 10 TORRES 2025</x:v>
      </x:c>
      <x:c r="H541" t="str">
        <x:v>12.11 - ASSISTENCIA MEDICA ADM</x:v>
      </x:c>
      <x:c r="I541" s="5" t="n">
        <x:v>564.3</x:v>
      </x:c>
    </x:row>
    <x:row r="542">
      <x:c r="A542" t="str">
        <x:v>CARTAO PRA TODOS</x:v>
      </x:c>
      <x:c r="B542" t="str">
        <x:v>237115</x:v>
      </x:c>
      <x:c r="C542" t="str">
        <x:v>015429</x:v>
      </x:c>
      <x:c r="D542" t="str">
        <x:v>CARTÃO DE TODOS</x:v>
      </x:c>
      <x:c r="E542" t="str">
        <x:v>VENC 23/01/2026</x:v>
      </x:c>
      <x:c r="F542" s="4" t="n">
        <x:v>46042</x:v>
      </x:c>
      <x:c r="G542" t="str">
        <x:v>CMOC CUBATÃO</x:v>
      </x:c>
      <x:c r="H542" t="str">
        <x:v>12.11 - ASSISTENCIA MEDICA ADM</x:v>
      </x:c>
      <x:c r="I542" s="5" t="n">
        <x:v>445.5</x:v>
      </x:c>
    </x:row>
    <x:row r="543">
      <x:c r="A543" t="str">
        <x:v>CARTAO PRA TODOS</x:v>
      </x:c>
      <x:c r="B543" t="str">
        <x:v>237115</x:v>
      </x:c>
      <x:c r="C543" t="str">
        <x:v>015429</x:v>
      </x:c>
      <x:c r="D543" t="str">
        <x:v>CARTÃO DE TODOS</x:v>
      </x:c>
      <x:c r="E543" t="str">
        <x:v>VENC 23/01/2026</x:v>
      </x:c>
      <x:c r="F543" s="4" t="n">
        <x:v>46042</x:v>
      </x:c>
      <x:c r="G543" t="str">
        <x:v>CONTRATO 02 ANOS MINERAÇÃO SERRA VERDE</x:v>
      </x:c>
      <x:c r="H543" t="str">
        <x:v>12.11 - ASSISTENCIA MEDICA ADM</x:v>
      </x:c>
      <x:c r="I543" s="5" t="n">
        <x:v>207.9</x:v>
      </x:c>
    </x:row>
    <x:row r="544">
      <x:c r="A544" t="str">
        <x:v>CARTAO PRA TODOS</x:v>
      </x:c>
      <x:c r="B544" t="str">
        <x:v>237115</x:v>
      </x:c>
      <x:c r="C544" t="str">
        <x:v>015429</x:v>
      </x:c>
      <x:c r="D544" t="str">
        <x:v>CARTÃO DE TODOS</x:v>
      </x:c>
      <x:c r="E544" t="str">
        <x:v>VENC 23/01/2026</x:v>
      </x:c>
      <x:c r="F544" s="4" t="n">
        <x:v>46042</x:v>
      </x:c>
      <x:c r="G544" t="str">
        <x:v>AGREX IMPERMEALIZAÇAO DE TELHADO</x:v>
      </x:c>
      <x:c r="H544" t="str">
        <x:v>12.11 - ASSISTENCIA MEDICA ADM</x:v>
      </x:c>
      <x:c r="I544" s="5" t="n">
        <x:v>89.1</x:v>
      </x:c>
    </x:row>
    <x:row r="545">
      <x:c r="A545" t="str">
        <x:v>POSTO A+ COMERCIO DE COMBUSTIVEL LTDA</x:v>
      </x:c>
      <x:c r="B545" t="str">
        <x:v>20368</x:v>
      </x:c>
      <x:c r="C545" t="str">
        <x:v>015430</x:v>
      </x:c>
      <x:c r="D545" t="str">
        <x:v>COMBUSTÍVEL VEÍCULOS</x:v>
      </x:c>
      <x:c r="E545"/>
      <x:c r="F545" s="4" t="n">
        <x:v>46042</x:v>
      </x:c>
      <x:c r="G545" t="str">
        <x:v>VLI PINTURA</x:v>
      </x:c>
      <x:c r="H545" t="str">
        <x:v>6.4 - COMBUSTIVEL VEICULOS</x:v>
      </x:c>
      <x:c r="I545" s="5" t="n">
        <x:v>482.237855</x:v>
      </x:c>
    </x:row>
    <x:row r="546">
      <x:c r="A546" t="str">
        <x:v>POSTO A+ COMERCIO DE COMBUSTIVEL LTDA</x:v>
      </x:c>
      <x:c r="B546" t="str">
        <x:v>20368</x:v>
      </x:c>
      <x:c r="C546" t="str">
        <x:v>015430</x:v>
      </x:c>
      <x:c r="D546" t="str">
        <x:v>COMBUSTÍVEL VEÍCULOS</x:v>
      </x:c>
      <x:c r="E546"/>
      <x:c r="F546" s="4" t="n">
        <x:v>46042</x:v>
      </x:c>
      <x:c r="G546" t="str">
        <x:v>VLI PINTURA</x:v>
      </x:c>
      <x:c r="H546" t="str">
        <x:v>8.13 - COMBUSTIVEL EQUIPAMENTOS</x:v>
      </x:c>
      <x:c r="I546" s="5" t="n">
        <x:v>2214.702145</x:v>
      </x:c>
    </x:row>
    <x:row r="547">
      <x:c r="A547" t="str">
        <x:v>RODRIGO ELETRICISTA</x:v>
      </x:c>
      <x:c r="B547" t="str">
        <x:v>27</x:v>
      </x:c>
      <x:c r="C547" t="str">
        <x:v>015435</x:v>
      </x:c>
      <x:c r="D547" t="str">
        <x:v>SERVIÇOS ELETRICOS</x:v>
      </x:c>
      <x:c r="E547" t="str">
        <x:v>RODRIGO DANIEL DA CONCEIÇAO - PIX 017.143.291-60</x:v>
      </x:c>
      <x:c r="F547" s="4" t="n">
        <x:v>46042</x:v>
      </x:c>
      <x:c r="G547" t="str">
        <x:v>ADMINISTRATIVO</x:v>
      </x:c>
      <x:c r="H547" t="str">
        <x:v>3.2 - SERVIÇO ELETRICO</x:v>
      </x:c>
      <x:c r="I547" s="5" t="n">
        <x:v>650</x:v>
      </x:c>
    </x:row>
    <x:row r="548">
      <x:c r="A548" t="str">
        <x:v>AMO ASSESSORIA MEDICA OCUPACIONAL LTDA</x:v>
      </x:c>
      <x:c r="B548" t="str">
        <x:v>1277</x:v>
      </x:c>
      <x:c r="C548" t="str">
        <x:v>015438</x:v>
      </x:c>
      <x:c r="D548" t="str">
        <x:v>ELAB. DE DOCUMENTOS E EXAMES REF. 01/12 A 31/12</x:v>
      </x:c>
      <x:c r="E548"/>
      <x:c r="F548" s="4" t="n">
        <x:v>46042</x:v>
      </x:c>
      <x:c r="G548" t="str">
        <x:v>MOSAIC UBERABA CONTRAT0 3 ANOS</x:v>
      </x:c>
      <x:c r="H548" t="str">
        <x:v>14.1 - EXAMES</x:v>
      </x:c>
      <x:c r="I548" s="5" t="n">
        <x:v>3793.88</x:v>
      </x:c>
    </x:row>
    <x:row r="549">
      <x:c r="A549" t="str">
        <x:v>QUALISOL INDUSTRIA E COMERCIO DE PRODUTOS QUIMICOS LTDA</x:v>
      </x:c>
      <x:c r="B549" t="str">
        <x:v>135448</x:v>
      </x:c>
      <x:c r="C549" t="str">
        <x:v>015441</x:v>
      </x:c>
      <x:c r="D549" t="str">
        <x:v>TINTAS E SOLVENTES</x:v>
      </x:c>
      <x:c r="E549"/>
      <x:c r="F549" s="4" t="n">
        <x:v>46042</x:v>
      </x:c>
      <x:c r="G549" t="str">
        <x:v>ADMINISTRATIVO</x:v>
      </x:c>
      <x:c r="H549" t="str">
        <x:v>4.1 - TINTAS E SOLVENTES</x:v>
      </x:c>
      <x:c r="I549" s="5" t="n">
        <x:v>419.333333</x:v>
      </x:c>
    </x:row>
    <x:row r="550">
      <x:c r="A550" t="str">
        <x:v>QUALISOL INDUSTRIA E COMERCIO DE PRODUTOS QUIMICOS LTDA</x:v>
      </x:c>
      <x:c r="B550" t="str">
        <x:v>135448</x:v>
      </x:c>
      <x:c r="C550" t="str">
        <x:v>015441</x:v>
      </x:c>
      <x:c r="D550" t="str">
        <x:v>TINTAS E SOLVENTES</x:v>
      </x:c>
      <x:c r="E550"/>
      <x:c r="F550" s="4" t="n">
        <x:v>46042</x:v>
      </x:c>
      <x:c r="G550" t="str">
        <x:v>EUROCHEM SERRA DO SALITRE</x:v>
      </x:c>
      <x:c r="H550" t="str">
        <x:v>4.1 - TINTAS E SOLVENTES</x:v>
      </x:c>
      <x:c r="I550" s="5" t="n">
        <x:v>213.466667</x:v>
      </x:c>
    </x:row>
    <x:row r="551">
      <x:c r="A551" t="str">
        <x:v>QUALISOL INDUSTRIA E COMERCIO DE PRODUTOS QUIMICOS LTDA</x:v>
      </x:c>
      <x:c r="B551" t="str">
        <x:v>135448</x:v>
      </x:c>
      <x:c r="C551" t="str">
        <x:v>015441</x:v>
      </x:c>
      <x:c r="D551" t="str">
        <x:v>TINTAS E SOLVENTES</x:v>
      </x:c>
      <x:c r="E551"/>
      <x:c r="F551" s="4" t="n">
        <x:v>46042</x:v>
      </x:c>
      <x:c r="G551" t="str">
        <x:v>FOSFATO CMOC CONTRAT</x:v>
      </x:c>
      <x:c r="H551" t="str">
        <x:v>4.1 - TINTAS E SOLVENTES</x:v>
      </x:c>
      <x:c r="I551" s="5" t="n">
        <x:v>280</x:v>
      </x:c>
    </x:row>
    <x:row r="552">
      <x:c r="A552" t="str">
        <x:v>QUALISOL INDUSTRIA E COMERCIO DE PRODUTOS QUIMICOS LTDA</x:v>
      </x:c>
      <x:c r="B552" t="str">
        <x:v>135448</x:v>
      </x:c>
      <x:c r="C552" t="str">
        <x:v>015441</x:v>
      </x:c>
      <x:c r="D552" t="str">
        <x:v>TINTAS E SOLVENTES</x:v>
      </x:c>
      <x:c r="E552"/>
      <x:c r="F552" s="4" t="n">
        <x:v>46042</x:v>
      </x:c>
      <x:c r="G552" t="str">
        <x:v>NIOBIO CMOC CONTRATO</x:v>
      </x:c>
      <x:c r="H552" t="str">
        <x:v>4.1 - TINTAS E SOLVENTES</x:v>
      </x:c>
      <x:c r="I552" s="5" t="n">
        <x:v>56</x:v>
      </x:c>
    </x:row>
    <x:row r="553">
      <x:c r="A553" t="str">
        <x:v>QUALISOL INDUSTRIA E COMERCIO DE PRODUTOS QUIMICOS LTDA</x:v>
      </x:c>
      <x:c r="B553" t="str">
        <x:v>135448</x:v>
      </x:c>
      <x:c r="C553" t="str">
        <x:v>015441</x:v>
      </x:c>
      <x:c r="D553" t="str">
        <x:v>TINTAS E SOLVENTES</x:v>
      </x:c>
      <x:c r="E553"/>
      <x:c r="F553" s="4" t="n">
        <x:v>46042</x:v>
      </x:c>
      <x:c r="G553" t="str">
        <x:v>SERENA 10 TORRES 2025</x:v>
      </x:c>
      <x:c r="H553" t="str">
        <x:v>4.1 - TINTAS E SOLVENTES</x:v>
      </x:c>
      <x:c r="I553" s="5" t="n">
        <x:v>224</x:v>
      </x:c>
    </x:row>
    <x:row r="554">
      <x:c r="A554" t="str">
        <x:v>QUALISOL INDUSTRIA E COMERCIO DE PRODUTOS QUIMICOS LTDA</x:v>
      </x:c>
      <x:c r="B554" t="str">
        <x:v>135448</x:v>
      </x:c>
      <x:c r="C554" t="str">
        <x:v>015441</x:v>
      </x:c>
      <x:c r="D554" t="str">
        <x:v>TINTAS E SOLVENTES</x:v>
      </x:c>
      <x:c r="E554"/>
      <x:c r="F554" s="4" t="n">
        <x:v>46042</x:v>
      </x:c>
      <x:c r="G554" t="str">
        <x:v>ADMINISTRATIVO</x:v>
      </x:c>
      <x:c r="H554" t="str">
        <x:v>4.1 - TINTAS E SOLVENTES</x:v>
      </x:c>
      <x:c r="I554" s="5" t="n">
        <x:v>419.333333</x:v>
      </x:c>
    </x:row>
    <x:row r="555">
      <x:c r="A555" t="str">
        <x:v>QUALISOL INDUSTRIA E COMERCIO DE PRODUTOS QUIMICOS LTDA</x:v>
      </x:c>
      <x:c r="B555" t="str">
        <x:v>135448</x:v>
      </x:c>
      <x:c r="C555" t="str">
        <x:v>015441</x:v>
      </x:c>
      <x:c r="D555" t="str">
        <x:v>TINTAS E SOLVENTES</x:v>
      </x:c>
      <x:c r="E555"/>
      <x:c r="F555" s="4" t="n">
        <x:v>46042</x:v>
      </x:c>
      <x:c r="G555" t="str">
        <x:v>EUROCHEM SERRA DO SALITRE</x:v>
      </x:c>
      <x:c r="H555" t="str">
        <x:v>4.1 - TINTAS E SOLVENTES</x:v>
      </x:c>
      <x:c r="I555" s="5" t="n">
        <x:v>213.466667</x:v>
      </x:c>
    </x:row>
    <x:row r="556">
      <x:c r="A556" t="str">
        <x:v>QUALISOL INDUSTRIA E COMERCIO DE PRODUTOS QUIMICOS LTDA</x:v>
      </x:c>
      <x:c r="B556" t="str">
        <x:v>135448</x:v>
      </x:c>
      <x:c r="C556" t="str">
        <x:v>015441</x:v>
      </x:c>
      <x:c r="D556" t="str">
        <x:v>TINTAS E SOLVENTES</x:v>
      </x:c>
      <x:c r="E556"/>
      <x:c r="F556" s="4" t="n">
        <x:v>46042</x:v>
      </x:c>
      <x:c r="G556" t="str">
        <x:v>FOSFATO CMOC CONTRAT</x:v>
      </x:c>
      <x:c r="H556" t="str">
        <x:v>4.1 - TINTAS E SOLVENTES</x:v>
      </x:c>
      <x:c r="I556" s="5" t="n">
        <x:v>280</x:v>
      </x:c>
    </x:row>
    <x:row r="557">
      <x:c r="A557" t="str">
        <x:v>QUALISOL INDUSTRIA E COMERCIO DE PRODUTOS QUIMICOS LTDA</x:v>
      </x:c>
      <x:c r="B557" t="str">
        <x:v>135448</x:v>
      </x:c>
      <x:c r="C557" t="str">
        <x:v>015441</x:v>
      </x:c>
      <x:c r="D557" t="str">
        <x:v>TINTAS E SOLVENTES</x:v>
      </x:c>
      <x:c r="E557"/>
      <x:c r="F557" s="4" t="n">
        <x:v>46042</x:v>
      </x:c>
      <x:c r="G557" t="str">
        <x:v>NIOBIO CMOC CONTRATO</x:v>
      </x:c>
      <x:c r="H557" t="str">
        <x:v>4.1 - TINTAS E SOLVENTES</x:v>
      </x:c>
      <x:c r="I557" s="5" t="n">
        <x:v>56</x:v>
      </x:c>
    </x:row>
    <x:row r="558">
      <x:c r="A558" t="str">
        <x:v>QUALISOL INDUSTRIA E COMERCIO DE PRODUTOS QUIMICOS LTDA</x:v>
      </x:c>
      <x:c r="B558" t="str">
        <x:v>135448</x:v>
      </x:c>
      <x:c r="C558" t="str">
        <x:v>015441</x:v>
      </x:c>
      <x:c r="D558" t="str">
        <x:v>TINTAS E SOLVENTES</x:v>
      </x:c>
      <x:c r="E558"/>
      <x:c r="F558" s="4" t="n">
        <x:v>46042</x:v>
      </x:c>
      <x:c r="G558" t="str">
        <x:v>SERENA 10 TORRES 2025</x:v>
      </x:c>
      <x:c r="H558" t="str">
        <x:v>4.1 - TINTAS E SOLVENTES</x:v>
      </x:c>
      <x:c r="I558" s="5" t="n">
        <x:v>224</x:v>
      </x:c>
    </x:row>
    <x:row r="559">
      <x:c r="A559" t="str">
        <x:v>QUALISOL INDUSTRIA E COMERCIO DE PRODUTOS QUIMICOS LTDA</x:v>
      </x:c>
      <x:c r="B559" t="str">
        <x:v>135448</x:v>
      </x:c>
      <x:c r="C559" t="str">
        <x:v>015441</x:v>
      </x:c>
      <x:c r="D559" t="str">
        <x:v>TINTAS E SOLVENTES</x:v>
      </x:c>
      <x:c r="E559"/>
      <x:c r="F559" s="4" t="n">
        <x:v>46042</x:v>
      </x:c>
      <x:c r="G559" t="str">
        <x:v>ADMINISTRATIVO</x:v>
      </x:c>
      <x:c r="H559" t="str">
        <x:v>4.1 - TINTAS E SOLVENTES</x:v>
      </x:c>
      <x:c r="I559" s="5" t="n">
        <x:v>419.333333</x:v>
      </x:c>
    </x:row>
    <x:row r="560">
      <x:c r="A560" t="str">
        <x:v>QUALISOL INDUSTRIA E COMERCIO DE PRODUTOS QUIMICOS LTDA</x:v>
      </x:c>
      <x:c r="B560" t="str">
        <x:v>135448</x:v>
      </x:c>
      <x:c r="C560" t="str">
        <x:v>015441</x:v>
      </x:c>
      <x:c r="D560" t="str">
        <x:v>TINTAS E SOLVENTES</x:v>
      </x:c>
      <x:c r="E560"/>
      <x:c r="F560" s="4" t="n">
        <x:v>46042</x:v>
      </x:c>
      <x:c r="G560" t="str">
        <x:v>EUROCHEM SERRA DO SALITRE</x:v>
      </x:c>
      <x:c r="H560" t="str">
        <x:v>4.1 - TINTAS E SOLVENTES</x:v>
      </x:c>
      <x:c r="I560" s="5" t="n">
        <x:v>213.466667</x:v>
      </x:c>
    </x:row>
    <x:row r="561">
      <x:c r="A561" t="str">
        <x:v>QUALISOL INDUSTRIA E COMERCIO DE PRODUTOS QUIMICOS LTDA</x:v>
      </x:c>
      <x:c r="B561" t="str">
        <x:v>135448</x:v>
      </x:c>
      <x:c r="C561" t="str">
        <x:v>015441</x:v>
      </x:c>
      <x:c r="D561" t="str">
        <x:v>TINTAS E SOLVENTES</x:v>
      </x:c>
      <x:c r="E561"/>
      <x:c r="F561" s="4" t="n">
        <x:v>46042</x:v>
      </x:c>
      <x:c r="G561" t="str">
        <x:v>FOSFATO CMOC CONTRAT</x:v>
      </x:c>
      <x:c r="H561" t="str">
        <x:v>4.1 - TINTAS E SOLVENTES</x:v>
      </x:c>
      <x:c r="I561" s="5" t="n">
        <x:v>280</x:v>
      </x:c>
    </x:row>
    <x:row r="562">
      <x:c r="A562" t="str">
        <x:v>QUALISOL INDUSTRIA E COMERCIO DE PRODUTOS QUIMICOS LTDA</x:v>
      </x:c>
      <x:c r="B562" t="str">
        <x:v>135448</x:v>
      </x:c>
      <x:c r="C562" t="str">
        <x:v>015441</x:v>
      </x:c>
      <x:c r="D562" t="str">
        <x:v>TINTAS E SOLVENTES</x:v>
      </x:c>
      <x:c r="E562"/>
      <x:c r="F562" s="4" t="n">
        <x:v>46042</x:v>
      </x:c>
      <x:c r="G562" t="str">
        <x:v>NIOBIO CMOC CONTRATO</x:v>
      </x:c>
      <x:c r="H562" t="str">
        <x:v>4.1 - TINTAS E SOLVENTES</x:v>
      </x:c>
      <x:c r="I562" s="5" t="n">
        <x:v>56</x:v>
      </x:c>
    </x:row>
    <x:row r="563">
      <x:c r="A563" t="str">
        <x:v>QUALISOL INDUSTRIA E COMERCIO DE PRODUTOS QUIMICOS LTDA</x:v>
      </x:c>
      <x:c r="B563" t="str">
        <x:v>135448</x:v>
      </x:c>
      <x:c r="C563" t="str">
        <x:v>015441</x:v>
      </x:c>
      <x:c r="D563" t="str">
        <x:v>TINTAS E SOLVENTES</x:v>
      </x:c>
      <x:c r="E563"/>
      <x:c r="F563" s="4" t="n">
        <x:v>46042</x:v>
      </x:c>
      <x:c r="G563" t="str">
        <x:v>SERENA 10 TORRES 2025</x:v>
      </x:c>
      <x:c r="H563" t="str">
        <x:v>4.1 - TINTAS E SOLVENTES</x:v>
      </x:c>
      <x:c r="I563" s="5" t="n">
        <x:v>224</x:v>
      </x:c>
    </x:row>
    <x:row r="564">
      <x:c r="A564" t="str">
        <x:v>TRANSPORTADORA AQUINO E DINIZ LTDA</x:v>
      </x:c>
      <x:c r="B564" t="str">
        <x:v>2044</x:v>
      </x:c>
      <x:c r="C564" t="str">
        <x:v>015443</x:v>
      </x:c>
      <x:c r="D564" t="str">
        <x:v>TRANSPORTADORA AQUINO E DINIZ LTDA</x:v>
      </x:c>
      <x:c r="E564" t="str">
        <x:v>BOLETO 05/02/2026</x:v>
      </x:c>
      <x:c r="F564" s="4" t="n">
        <x:v>46042</x:v>
      </x:c>
      <x:c r="G564" t="str">
        <x:v>ANGLO AMERICAN</x:v>
      </x:c>
      <x:c r="H564" t="str">
        <x:v>12.7 - TRANSPORTE FUNCIONARIOS</x:v>
      </x:c>
      <x:c r="I564" s="5" t="n">
        <x:v>1035</x:v>
      </x:c>
    </x:row>
    <x:row r="565">
      <x:c r="A565" t="str">
        <x:v>JACINTO FERNANDES</x:v>
      </x:c>
      <x:c r="B565"/>
      <x:c r="C565" t="str">
        <x:v>015444</x:v>
      </x:c>
      <x:c r="D565" t="str">
        <x:v>PRESTAÇÃO DE CONTA JACINTO</x:v>
      </x:c>
      <x:c r="E565" t="str">
        <x:v>NOTAS 01/12/2025 A 07/12/2025</x:v>
      </x:c>
      <x:c r="F565" s="4" t="n">
        <x:v>46042</x:v>
      </x:c>
      <x:c r="G565" t="str">
        <x:v>SERENA 10 TORRES 2025</x:v>
      </x:c>
      <x:c r="H565" t="str">
        <x:v>8.13 - COMBUSTIVEL EQUIPAMENTOS</x:v>
      </x:c>
      <x:c r="I565" s="5" t="n">
        <x:v>82</x:v>
      </x:c>
    </x:row>
    <x:row r="566">
      <x:c r="A566" t="str">
        <x:v>JACINTO FERNANDES</x:v>
      </x:c>
      <x:c r="B566"/>
      <x:c r="C566" t="str">
        <x:v>015444</x:v>
      </x:c>
      <x:c r="D566" t="str">
        <x:v>PRESTAÇÃO DE CONTA JACINTO</x:v>
      </x:c>
      <x:c r="E566" t="str">
        <x:v>NOTAS 01/12/2025 A 07/12/2025</x:v>
      </x:c>
      <x:c r="F566" s="4" t="n">
        <x:v>46042</x:v>
      </x:c>
      <x:c r="G566" t="str">
        <x:v>SERENA 10 TORRES 2025</x:v>
      </x:c>
      <x:c r="H566" t="str">
        <x:v>11.14 - INTERNET OBRAS</x:v>
      </x:c>
      <x:c r="I566" s="5" t="n">
        <x:v>86.18</x:v>
      </x:c>
    </x:row>
    <x:row r="567">
      <x:c r="A567" t="str">
        <x:v>JACINTO FERNANDES</x:v>
      </x:c>
      <x:c r="B567"/>
      <x:c r="C567" t="str">
        <x:v>015444</x:v>
      </x:c>
      <x:c r="D567" t="str">
        <x:v>PRESTAÇÃO DE CONTA JACINTO</x:v>
      </x:c>
      <x:c r="E567" t="str">
        <x:v>NOTAS 01/12/2025 A 07/12/2025</x:v>
      </x:c>
      <x:c r="F567" s="4" t="n">
        <x:v>46042</x:v>
      </x:c>
      <x:c r="G567" t="str">
        <x:v>SERENA 10 TORRES 2025</x:v>
      </x:c>
      <x:c r="H567" t="str">
        <x:v>6.10 - SERVIÇO LAVA JATO</x:v>
      </x:c>
      <x:c r="I567" s="5" t="n">
        <x:v>200</x:v>
      </x:c>
    </x:row>
    <x:row r="568">
      <x:c r="A568" t="str">
        <x:v>JACINTO FERNANDES</x:v>
      </x:c>
      <x:c r="B568"/>
      <x:c r="C568" t="str">
        <x:v>015444</x:v>
      </x:c>
      <x:c r="D568" t="str">
        <x:v>PRESTAÇÃO DE CONTA JACINTO</x:v>
      </x:c>
      <x:c r="E568" t="str">
        <x:v>NOTAS 01/12/2025 A 07/12/2025</x:v>
      </x:c>
      <x:c r="F568" s="4" t="n">
        <x:v>46042</x:v>
      </x:c>
      <x:c r="G568" t="str">
        <x:v>SERENA 10 TORRES 2025</x:v>
      </x:c>
      <x:c r="H568" t="str">
        <x:v>8.9 - MATERIAIS DE CONSUMO EM OBRAS</x:v>
      </x:c>
      <x:c r="I568" s="5" t="n">
        <x:v>234</x:v>
      </x:c>
    </x:row>
    <x:row r="569">
      <x:c r="A569" t="str">
        <x:v>JACINTO FERNANDES</x:v>
      </x:c>
      <x:c r="B569"/>
      <x:c r="C569" t="str">
        <x:v>015445</x:v>
      </x:c>
      <x:c r="D569" t="str">
        <x:v>PRESTAÇÃO DE CONTA JACINTO</x:v>
      </x:c>
      <x:c r="E569" t="str">
        <x:v>GASTO CONFRETERNIZAÇÃO</x:v>
      </x:c>
      <x:c r="F569" s="4" t="n">
        <x:v>46042</x:v>
      </x:c>
      <x:c r="G569" t="str">
        <x:v>SERENA 10 TORRES 2025</x:v>
      </x:c>
      <x:c r="H569" t="str">
        <x:v>12.5 - REFEIÇÕES FUNCIONARIOS</x:v>
      </x:c>
      <x:c r="I569" s="5" t="n">
        <x:v>1939</x:v>
      </x:c>
    </x:row>
    <x:row r="570">
      <x:c r="A570" t="str">
        <x:v>JACINTO FERNANDES</x:v>
      </x:c>
      <x:c r="B570"/>
      <x:c r="C570" t="str">
        <x:v>015446</x:v>
      </x:c>
      <x:c r="D570" t="str">
        <x:v>PRESTAÇÃO DE CONTA JACINTO</x:v>
      </x:c>
      <x:c r="E570" t="str">
        <x:v>GASTOS COM HOSPEDAGEMS E VEICULO</x:v>
      </x:c>
      <x:c r="F570" s="4" t="n">
        <x:v>46042</x:v>
      </x:c>
      <x:c r="G570" t="str">
        <x:v>SERENA 10 TORRES 2025</x:v>
      </x:c>
      <x:c r="H570" t="str">
        <x:v>5.1 - HOTEL FUNCIONARIOS</x:v>
      </x:c>
      <x:c r="I570" s="5" t="n">
        <x:v>750</x:v>
      </x:c>
    </x:row>
    <x:row r="571">
      <x:c r="A571" t="str">
        <x:v>JACINTO FERNANDES</x:v>
      </x:c>
      <x:c r="B571"/>
      <x:c r="C571" t="str">
        <x:v>015446</x:v>
      </x:c>
      <x:c r="D571" t="str">
        <x:v>PRESTAÇÃO DE CONTA JACINTO</x:v>
      </x:c>
      <x:c r="E571" t="str">
        <x:v>GASTOS COM HOSPEDAGEMS E VEICULO</x:v>
      </x:c>
      <x:c r="F571" s="4" t="n">
        <x:v>46042</x:v>
      </x:c>
      <x:c r="G571" t="str">
        <x:v>SERENA 10 TORRES 2025</x:v>
      </x:c>
      <x:c r="H571" t="str">
        <x:v>6.3 - MANUTENÇÃO/PEÇAS  VEICULOS</x:v>
      </x:c>
      <x:c r="I571" s="5" t="n">
        <x:v>3903</x:v>
      </x:c>
    </x:row>
    <x:row r="572">
      <x:c r="A572" t="str">
        <x:v>JACINTO FERNANDES</x:v>
      </x:c>
      <x:c r="B572"/>
      <x:c r="C572" t="str">
        <x:v>015447</x:v>
      </x:c>
      <x:c r="D572" t="str">
        <x:v>PRESTAÇÃO DE CONTA JACINTO</x:v>
      </x:c>
      <x:c r="E572" t="str">
        <x:v>LAVA JATO 3 VEICULOS</x:v>
      </x:c>
      <x:c r="F572" s="4" t="n">
        <x:v>46042</x:v>
      </x:c>
      <x:c r="G572" t="str">
        <x:v>SERENA 10 TORRES 2025</x:v>
      </x:c>
      <x:c r="H572" t="str">
        <x:v>6.10 - SERVIÇO LAVA JATO</x:v>
      </x:c>
      <x:c r="I572" s="5" t="n">
        <x:v>220</x:v>
      </x:c>
    </x:row>
    <x:row r="573">
      <x:c r="A573" t="str">
        <x:v>JACINTO FERNANDES</x:v>
      </x:c>
      <x:c r="B573"/>
      <x:c r="C573" t="str">
        <x:v>015448</x:v>
      </x:c>
      <x:c r="D573" t="str">
        <x:v>PRESTAÇÃO DE CONTA JACINTO</x:v>
      </x:c>
      <x:c r="E573" t="str">
        <x:v>MATERIAIS DE LIMPEZA</x:v>
      </x:c>
      <x:c r="F573" s="4" t="n">
        <x:v>46042</x:v>
      </x:c>
      <x:c r="G573" t="str">
        <x:v>SERENA 10 TORRES 2025</x:v>
      </x:c>
      <x:c r="H573" t="str">
        <x:v>8.11 - MATERIAIS DE LIMPEZA / HIGIENE</x:v>
      </x:c>
      <x:c r="I573" s="5" t="n">
        <x:v>130</x:v>
      </x:c>
    </x:row>
    <x:row r="574">
      <x:c r="A574" t="str">
        <x:v>JACINTO FERNANDES</x:v>
      </x:c>
      <x:c r="B574"/>
      <x:c r="C574" t="str">
        <x:v>015449</x:v>
      </x:c>
      <x:c r="D574" t="str">
        <x:v>PRESTAÇÃO DE CONTA JACINTO</x:v>
      </x:c>
      <x:c r="E574"/>
      <x:c r="F574" s="4" t="n">
        <x:v>46042</x:v>
      </x:c>
      <x:c r="G574" t="str">
        <x:v>VLI PINTURA</x:v>
      </x:c>
      <x:c r="H574" t="str">
        <x:v>6.3 - MANUTENÇÃO/PEÇAS  VEICULOS</x:v>
      </x:c>
      <x:c r="I574" s="5" t="n">
        <x:v>55</x:v>
      </x:c>
    </x:row>
    <x:row r="575">
      <x:c r="A575" t="str">
        <x:v>JACINTO FERNANDES</x:v>
      </x:c>
      <x:c r="B575"/>
      <x:c r="C575" t="str">
        <x:v>015449</x:v>
      </x:c>
      <x:c r="D575" t="str">
        <x:v>PRESTAÇÃO DE CONTA JACINTO</x:v>
      </x:c>
      <x:c r="E575"/>
      <x:c r="F575" s="4" t="n">
        <x:v>46042</x:v>
      </x:c>
      <x:c r="G575" t="str">
        <x:v>VLI PINTURA</x:v>
      </x:c>
      <x:c r="H575" t="str">
        <x:v>8.9 - MATERIAIS DE CONSUMO EM OBRAS</x:v>
      </x:c>
      <x:c r="I575" s="5" t="n">
        <x:v>145</x:v>
      </x:c>
    </x:row>
    <x:row r="576">
      <x:c r="A576" t="str">
        <x:v>JACINTO FERNANDES</x:v>
      </x:c>
      <x:c r="B576"/>
      <x:c r="C576" t="str">
        <x:v>015449</x:v>
      </x:c>
      <x:c r="D576" t="str">
        <x:v>PRESTAÇÃO DE CONTA JACINTO</x:v>
      </x:c>
      <x:c r="E576"/>
      <x:c r="F576" s="4" t="n">
        <x:v>46042</x:v>
      </x:c>
      <x:c r="G576" t="str">
        <x:v>VLI PINTURA</x:v>
      </x:c>
      <x:c r="H576" t="str">
        <x:v>6.10 - SERVIÇO LAVA JATO</x:v>
      </x:c>
      <x:c r="I576" s="5" t="n">
        <x:v>160</x:v>
      </x:c>
    </x:row>
    <x:row r="577">
      <x:c r="A577" t="str">
        <x:v>JACINTO FERNANDES</x:v>
      </x:c>
      <x:c r="B577"/>
      <x:c r="C577" t="str">
        <x:v>015449</x:v>
      </x:c>
      <x:c r="D577" t="str">
        <x:v>PRESTAÇÃO DE CONTA JACINTO</x:v>
      </x:c>
      <x:c r="E577"/>
      <x:c r="F577" s="4" t="n">
        <x:v>46042</x:v>
      </x:c>
      <x:c r="G577" t="str">
        <x:v>VLI PINTURA</x:v>
      </x:c>
      <x:c r="H577" t="str">
        <x:v>11.14 - INTERNET OBRAS</x:v>
      </x:c>
      <x:c r="I577" s="5" t="n">
        <x:v>214.8</x:v>
      </x:c>
    </x:row>
    <x:row r="578">
      <x:c r="A578" t="str">
        <x:v>JACINTO FERNANDES</x:v>
      </x:c>
      <x:c r="B578"/>
      <x:c r="C578" t="str">
        <x:v>015450</x:v>
      </x:c>
      <x:c r="D578" t="str">
        <x:v>PRESTAÇÃO DE CONTA JACINTO</x:v>
      </x:c>
      <x:c r="E578" t="str">
        <x:v>MARANHÃO</x:v>
      </x:c>
      <x:c r="F578" s="4" t="n">
        <x:v>46042</x:v>
      </x:c>
      <x:c r="G578" t="str">
        <x:v>SERENA 10 TORRES 2025</x:v>
      </x:c>
      <x:c r="H578" t="str">
        <x:v>6.6 - PEDAGIOS</x:v>
      </x:c>
      <x:c r="I578" s="5" t="n">
        <x:v>93.77</x:v>
      </x:c>
    </x:row>
    <x:row r="579">
      <x:c r="A579" t="str">
        <x:v>JACINTO FERNANDES</x:v>
      </x:c>
      <x:c r="B579"/>
      <x:c r="C579" t="str">
        <x:v>015450</x:v>
      </x:c>
      <x:c r="D579" t="str">
        <x:v>PRESTAÇÃO DE CONTA JACINTO</x:v>
      </x:c>
      <x:c r="E579" t="str">
        <x:v>MARANHÃO</x:v>
      </x:c>
      <x:c r="F579" s="4" t="n">
        <x:v>46042</x:v>
      </x:c>
      <x:c r="G579" t="str">
        <x:v>SERENA 10 TORRES 2025</x:v>
      </x:c>
      <x:c r="H579" t="str">
        <x:v>12.5 - REFEIÇÕES FUNCIONARIOS</x:v>
      </x:c>
      <x:c r="I579" s="5" t="n">
        <x:v>120</x:v>
      </x:c>
    </x:row>
    <x:row r="580">
      <x:c r="A580" t="str">
        <x:v>JACINTO FERNANDES</x:v>
      </x:c>
      <x:c r="B580"/>
      <x:c r="C580" t="str">
        <x:v>015450</x:v>
      </x:c>
      <x:c r="D580" t="str">
        <x:v>PRESTAÇÃO DE CONTA JACINTO</x:v>
      </x:c>
      <x:c r="E580" t="str">
        <x:v>MARANHÃO</x:v>
      </x:c>
      <x:c r="F580" s="4" t="n">
        <x:v>46042</x:v>
      </x:c>
      <x:c r="G580" t="str">
        <x:v>SERENA 10 TORRES 2025</x:v>
      </x:c>
      <x:c r="H580" t="str">
        <x:v>5.1 - HOTEL FUNCIONARIOS</x:v>
      </x:c>
      <x:c r="I580" s="5" t="n">
        <x:v>200</x:v>
      </x:c>
    </x:row>
    <x:row r="581">
      <x:c r="A581" t="str">
        <x:v>JACINTO FERNANDES</x:v>
      </x:c>
      <x:c r="B581"/>
      <x:c r="C581" t="str">
        <x:v>015450</x:v>
      </x:c>
      <x:c r="D581" t="str">
        <x:v>PRESTAÇÃO DE CONTA JACINTO</x:v>
      </x:c>
      <x:c r="E581" t="str">
        <x:v>MARANHÃO</x:v>
      </x:c>
      <x:c r="F581" s="4" t="n">
        <x:v>46042</x:v>
      </x:c>
      <x:c r="G581" t="str">
        <x:v>SERENA 10 TORRES 2025</x:v>
      </x:c>
      <x:c r="H581" t="str">
        <x:v>6.4 - COMBUSTIVEL VEICULOS</x:v>
      </x:c>
      <x:c r="I581" s="5" t="n">
        <x:v>1383.68</x:v>
      </x:c>
    </x:row>
    <x:row r="582">
      <x:c r="A582" t="str">
        <x:v>JACINTO FERNANDES</x:v>
      </x:c>
      <x:c r="B582"/>
      <x:c r="C582" t="str">
        <x:v>015451</x:v>
      </x:c>
      <x:c r="D582" t="str">
        <x:v>PRESTAÇÃO DE CONTA JACINTO</x:v>
      </x:c>
      <x:c r="E582" t="str">
        <x:v>VIAGEM MARANHÃO</x:v>
      </x:c>
      <x:c r="F582" s="4" t="n">
        <x:v>46042</x:v>
      </x:c>
      <x:c r="G582" t="str">
        <x:v>SERENA 10 TORRES 2025</x:v>
      </x:c>
      <x:c r="H582" t="str">
        <x:v>6.6 - PEDAGIOS</x:v>
      </x:c>
      <x:c r="I582" s="5" t="n">
        <x:v>89.6</x:v>
      </x:c>
    </x:row>
    <x:row r="583">
      <x:c r="A583" t="str">
        <x:v>JACINTO FERNANDES</x:v>
      </x:c>
      <x:c r="B583"/>
      <x:c r="C583" t="str">
        <x:v>015451</x:v>
      </x:c>
      <x:c r="D583" t="str">
        <x:v>PRESTAÇÃO DE CONTA JACINTO</x:v>
      </x:c>
      <x:c r="E583" t="str">
        <x:v>VIAGEM MARANHÃO</x:v>
      </x:c>
      <x:c r="F583" s="4" t="n">
        <x:v>46042</x:v>
      </x:c>
      <x:c r="G583" t="str">
        <x:v>SERENA 10 TORRES 2025</x:v>
      </x:c>
      <x:c r="H583" t="str">
        <x:v>12.5 - REFEIÇÕES FUNCIONARIOS</x:v>
      </x:c>
      <x:c r="I583" s="5" t="n">
        <x:v>130</x:v>
      </x:c>
    </x:row>
    <x:row r="584">
      <x:c r="A584" t="str">
        <x:v>JACINTO FERNANDES</x:v>
      </x:c>
      <x:c r="B584"/>
      <x:c r="C584" t="str">
        <x:v>015451</x:v>
      </x:c>
      <x:c r="D584" t="str">
        <x:v>PRESTAÇÃO DE CONTA JACINTO</x:v>
      </x:c>
      <x:c r="E584" t="str">
        <x:v>VIAGEM MARANHÃO</x:v>
      </x:c>
      <x:c r="F584" s="4" t="n">
        <x:v>46042</x:v>
      </x:c>
      <x:c r="G584" t="str">
        <x:v>SERENA 10 TORRES 2025</x:v>
      </x:c>
      <x:c r="H584" t="str">
        <x:v>5.1 - HOTEL FUNCIONARIOS</x:v>
      </x:c>
      <x:c r="I584" s="5" t="n">
        <x:v>190</x:v>
      </x:c>
    </x:row>
    <x:row r="585">
      <x:c r="A585" t="str">
        <x:v>JACINTO FERNANDES</x:v>
      </x:c>
      <x:c r="B585"/>
      <x:c r="C585" t="str">
        <x:v>015451</x:v>
      </x:c>
      <x:c r="D585" t="str">
        <x:v>PRESTAÇÃO DE CONTA JACINTO</x:v>
      </x:c>
      <x:c r="E585" t="str">
        <x:v>VIAGEM MARANHÃO</x:v>
      </x:c>
      <x:c r="F585" s="4" t="n">
        <x:v>46042</x:v>
      </x:c>
      <x:c r="G585" t="str">
        <x:v>SERENA 10 TORRES 2025</x:v>
      </x:c>
      <x:c r="H585" t="str">
        <x:v>6.4 - COMBUSTIVEL VEICULOS</x:v>
      </x:c>
      <x:c r="I585" s="5" t="n">
        <x:v>1061.19</x:v>
      </x:c>
    </x:row>
    <x:row r="586">
      <x:c r="A586" t="str">
        <x:v>ENCOMENDA DE CATALAO</x:v>
      </x:c>
      <x:c r="B586"/>
      <x:c r="C586" t="str">
        <x:v>015452</x:v>
      </x:c>
      <x:c r="D586" t="str">
        <x:v>GABRIELLE ELIAS DE FREITAS PIX 64992591215</x:v>
      </x:c>
      <x:c r="E586" t="str">
        <x:v>ENCOMENDA TRINDADE A CATALAO</x:v>
      </x:c>
      <x:c r="F586" s="4" t="n">
        <x:v>46042</x:v>
      </x:c>
      <x:c r="G586" t="str">
        <x:v>FOSFATO CMOC CONTRAT</x:v>
      </x:c>
      <x:c r="H586" t="str">
        <x:v>10.1 - FRETE MATERIAIS E EQUIPAMENTOS</x:v>
      </x:c>
      <x:c r="I586" s="5" t="n">
        <x:v>130</x:v>
      </x:c>
    </x:row>
    <x:row r="587">
      <x:c r="A587" t="str">
        <x:v>DCTF WEB</x:v>
      </x:c>
      <x:c r="B587"/>
      <x:c r="C587" t="str">
        <x:v>015755</x:v>
      </x:c>
      <x:c r="D587" t="str">
        <x:v>DCTF WEB MES12/205</x:v>
      </x:c>
      <x:c r="E587"/>
      <x:c r="F587" s="4" t="n">
        <x:v>46042</x:v>
      </x:c>
      <x:c r="G587" t="str">
        <x:v>VLI PINTURA</x:v>
      </x:c>
      <x:c r="H587" t="str">
        <x:v>12.15 - DCTFWEB</x:v>
      </x:c>
      <x:c r="I587" s="5" t="n">
        <x:v>23363.052782</x:v>
      </x:c>
    </x:row>
    <x:row r="588">
      <x:c r="A588" t="str">
        <x:v>DCTF WEB</x:v>
      </x:c>
      <x:c r="B588"/>
      <x:c r="C588" t="str">
        <x:v>015755</x:v>
      </x:c>
      <x:c r="D588" t="str">
        <x:v>DCTF WEB MES12/205</x:v>
      </x:c>
      <x:c r="E588"/>
      <x:c r="F588" s="4" t="n">
        <x:v>46042</x:v>
      </x:c>
      <x:c r="G588" t="str">
        <x:v>ADMINISTRATIVO</x:v>
      </x:c>
      <x:c r="H588" t="str">
        <x:v>12.15 - DCTFWEB</x:v>
      </x:c>
      <x:c r="I588" s="5" t="n">
        <x:v>11681.526391</x:v>
      </x:c>
    </x:row>
    <x:row r="589">
      <x:c r="A589" t="str">
        <x:v>DCTF WEB</x:v>
      </x:c>
      <x:c r="B589"/>
      <x:c r="C589" t="str">
        <x:v>015755</x:v>
      </x:c>
      <x:c r="D589" t="str">
        <x:v>DCTF WEB MES12/205</x:v>
      </x:c>
      <x:c r="E589"/>
      <x:c r="F589" s="4" t="n">
        <x:v>46042</x:v>
      </x:c>
      <x:c r="G589" t="str">
        <x:v>MOSAIC UBERABA CONTRAT0 3 ANOS</x:v>
      </x:c>
      <x:c r="H589" t="str">
        <x:v>12.15 - DCTFWEB</x:v>
      </x:c>
      <x:c r="I589" s="5" t="n">
        <x:v>25031.844722</x:v>
      </x:c>
    </x:row>
    <x:row r="590">
      <x:c r="A590" t="str">
        <x:v>DCTF WEB</x:v>
      </x:c>
      <x:c r="B590"/>
      <x:c r="C590" t="str">
        <x:v>015755</x:v>
      </x:c>
      <x:c r="D590" t="str">
        <x:v>DCTF WEB MES12/205</x:v>
      </x:c>
      <x:c r="E590"/>
      <x:c r="F590" s="4" t="n">
        <x:v>46042</x:v>
      </x:c>
      <x:c r="G590" t="str">
        <x:v>ANGLO AMERICAN</x:v>
      </x:c>
      <x:c r="H590" t="str">
        <x:v>12.15 - DCTFWEB</x:v>
      </x:c>
      <x:c r="I590" s="5" t="n">
        <x:v>7509.555135</x:v>
      </x:c>
    </x:row>
    <x:row r="591">
      <x:c r="A591" t="str">
        <x:v>DCTF WEB</x:v>
      </x:c>
      <x:c r="B591"/>
      <x:c r="C591" t="str">
        <x:v>015755</x:v>
      </x:c>
      <x:c r="D591" t="str">
        <x:v>DCTF WEB MES12/205</x:v>
      </x:c>
      <x:c r="E591"/>
      <x:c r="F591" s="4" t="n">
        <x:v>46042</x:v>
      </x:c>
      <x:c r="G591" t="str">
        <x:v>EUROCHEM SERRA DO SALITRE</x:v>
      </x:c>
      <x:c r="H591" t="str">
        <x:v>12.15 - DCTFWEB</x:v>
      </x:c>
      <x:c r="I591" s="5" t="n">
        <x:v>7509.555135</x:v>
      </x:c>
    </x:row>
    <x:row r="592">
      <x:c r="A592" t="str">
        <x:v>DCTF WEB</x:v>
      </x:c>
      <x:c r="B592"/>
      <x:c r="C592" t="str">
        <x:v>015755</x:v>
      </x:c>
      <x:c r="D592" t="str">
        <x:v>DCTF WEB MES12/205</x:v>
      </x:c>
      <x:c r="E592"/>
      <x:c r="F592" s="4" t="n">
        <x:v>46042</x:v>
      </x:c>
      <x:c r="G592" t="str">
        <x:v>FOSFATO CMOC CONTRAT</x:v>
      </x:c>
      <x:c r="H592" t="str">
        <x:v>12.15 - DCTFWEB</x:v>
      </x:c>
      <x:c r="I592" s="5" t="n">
        <x:v>18356.685556</x:v>
      </x:c>
    </x:row>
    <x:row r="593">
      <x:c r="A593" t="str">
        <x:v>DCTF WEB</x:v>
      </x:c>
      <x:c r="B593"/>
      <x:c r="C593" t="str">
        <x:v>015755</x:v>
      </x:c>
      <x:c r="D593" t="str">
        <x:v>DCTF WEB MES12/205</x:v>
      </x:c>
      <x:c r="E593"/>
      <x:c r="F593" s="4" t="n">
        <x:v>46042</x:v>
      </x:c>
      <x:c r="G593" t="str">
        <x:v>NIOBIO CMOC CONTRATO</x:v>
      </x:c>
      <x:c r="H593" t="str">
        <x:v>12.15 - DCTFWEB</x:v>
      </x:c>
      <x:c r="I593" s="5" t="n">
        <x:v>10012.738748</x:v>
      </x:c>
    </x:row>
    <x:row r="594">
      <x:c r="A594" t="str">
        <x:v>DCTF WEB</x:v>
      </x:c>
      <x:c r="B594"/>
      <x:c r="C594" t="str">
        <x:v>015755</x:v>
      </x:c>
      <x:c r="D594" t="str">
        <x:v>DCTF WEB MES12/205</x:v>
      </x:c>
      <x:c r="E594"/>
      <x:c r="F594" s="4" t="n">
        <x:v>46042</x:v>
      </x:c>
      <x:c r="G594" t="str">
        <x:v>SERENA 10 TORRES 2025</x:v>
      </x:c>
      <x:c r="H594" t="str">
        <x:v>12.15 - DCTFWEB</x:v>
      </x:c>
      <x:c r="I594" s="5" t="n">
        <x:v>15019.105974</x:v>
      </x:c>
    </x:row>
    <x:row r="595">
      <x:c r="A595" t="str">
        <x:v>DCTF WEB</x:v>
      </x:c>
      <x:c r="B595"/>
      <x:c r="C595" t="str">
        <x:v>015755</x:v>
      </x:c>
      <x:c r="D595" t="str">
        <x:v>DCTF WEB MES12/205</x:v>
      </x:c>
      <x:c r="E595"/>
      <x:c r="F595" s="4" t="n">
        <x:v>46042</x:v>
      </x:c>
      <x:c r="G595" t="str">
        <x:v>CMOC CUBATÃO</x:v>
      </x:c>
      <x:c r="H595" t="str">
        <x:v>12.15 - DCTFWEB</x:v>
      </x:c>
      <x:c r="I595" s="5" t="n">
        <x:v>12515.922361</x:v>
      </x:c>
    </x:row>
    <x:row r="596">
      <x:c r="A596" t="str">
        <x:v>DCTF WEB</x:v>
      </x:c>
      <x:c r="B596"/>
      <x:c r="C596" t="str">
        <x:v>015755</x:v>
      </x:c>
      <x:c r="D596" t="str">
        <x:v>DCTF WEB MES12/205</x:v>
      </x:c>
      <x:c r="E596"/>
      <x:c r="F596" s="4" t="n">
        <x:v>46042</x:v>
      </x:c>
      <x:c r="G596" t="str">
        <x:v>CONTRATO 02 ANOS MINERAÇÃO SERRA VERDE</x:v>
      </x:c>
      <x:c r="H596" t="str">
        <x:v>12.15 - DCTFWEB</x:v>
      </x:c>
      <x:c r="I596" s="5" t="n">
        <x:v>5840.763196</x:v>
      </x:c>
    </x:row>
    <x:row r="597">
      <x:c r="A597" t="str">
        <x:v>DCTF WEB</x:v>
      </x:c>
      <x:c r="B597"/>
      <x:c r="C597" t="str">
        <x:v>015756</x:v>
      </x:c>
      <x:c r="D597" t="str">
        <x:v>DCTF WEB MES12/205</x:v>
      </x:c>
      <x:c r="E597"/>
      <x:c r="F597" s="4" t="n">
        <x:v>46042</x:v>
      </x:c>
      <x:c r="G597" t="str">
        <x:v>VLI PINTURA</x:v>
      </x:c>
      <x:c r="H597" t="str">
        <x:v>12.15 - DCTFWEB</x:v>
      </x:c>
      <x:c r="I597" s="5" t="n">
        <x:v>17854.637179</x:v>
      </x:c>
    </x:row>
    <x:row r="598">
      <x:c r="A598" t="str">
        <x:v>DCTF WEB</x:v>
      </x:c>
      <x:c r="B598"/>
      <x:c r="C598" t="str">
        <x:v>015756</x:v>
      </x:c>
      <x:c r="D598" t="str">
        <x:v>DCTF WEB MES12/205</x:v>
      </x:c>
      <x:c r="E598"/>
      <x:c r="F598" s="4" t="n">
        <x:v>46042</x:v>
      </x:c>
      <x:c r="G598" t="str">
        <x:v>ADMINISTRATIVO</x:v>
      </x:c>
      <x:c r="H598" t="str">
        <x:v>12.15 - DCTFWEB</x:v>
      </x:c>
      <x:c r="I598" s="5" t="n">
        <x:v>8927.318589</x:v>
      </x:c>
    </x:row>
    <x:row r="599">
      <x:c r="A599" t="str">
        <x:v>DCTF WEB</x:v>
      </x:c>
      <x:c r="B599"/>
      <x:c r="C599" t="str">
        <x:v>015756</x:v>
      </x:c>
      <x:c r="D599" t="str">
        <x:v>DCTF WEB MES12/205</x:v>
      </x:c>
      <x:c r="E599"/>
      <x:c r="F599" s="4" t="n">
        <x:v>46042</x:v>
      </x:c>
      <x:c r="G599" t="str">
        <x:v>MOSAIC UBERABA CONTRAT0 3 ANOS</x:v>
      </x:c>
      <x:c r="H599" t="str">
        <x:v>12.15 - DCTFWEB</x:v>
      </x:c>
      <x:c r="I599" s="5" t="n">
        <x:v>19129.970282</x:v>
      </x:c>
    </x:row>
    <x:row r="600">
      <x:c r="A600" t="str">
        <x:v>DCTF WEB</x:v>
      </x:c>
      <x:c r="B600"/>
      <x:c r="C600" t="str">
        <x:v>015756</x:v>
      </x:c>
      <x:c r="D600" t="str">
        <x:v>DCTF WEB MES12/205</x:v>
      </x:c>
      <x:c r="E600"/>
      <x:c r="F600" s="4" t="n">
        <x:v>46042</x:v>
      </x:c>
      <x:c r="G600" t="str">
        <x:v>ANGLO AMERICAN</x:v>
      </x:c>
      <x:c r="H600" t="str">
        <x:v>12.15 - DCTFWEB</x:v>
      </x:c>
      <x:c r="I600" s="5" t="n">
        <x:v>5738.992398</x:v>
      </x:c>
    </x:row>
    <x:row r="601">
      <x:c r="A601" t="str">
        <x:v>DCTF WEB</x:v>
      </x:c>
      <x:c r="B601"/>
      <x:c r="C601" t="str">
        <x:v>015756</x:v>
      </x:c>
      <x:c r="D601" t="str">
        <x:v>DCTF WEB MES12/205</x:v>
      </x:c>
      <x:c r="E601"/>
      <x:c r="F601" s="4" t="n">
        <x:v>46042</x:v>
      </x:c>
      <x:c r="G601" t="str">
        <x:v>EUROCHEM SERRA DO SALITRE</x:v>
      </x:c>
      <x:c r="H601" t="str">
        <x:v>12.15 - DCTFWEB</x:v>
      </x:c>
      <x:c r="I601" s="5" t="n">
        <x:v>5738.992398</x:v>
      </x:c>
    </x:row>
    <x:row r="602">
      <x:c r="A602" t="str">
        <x:v>DCTF WEB</x:v>
      </x:c>
      <x:c r="B602"/>
      <x:c r="C602" t="str">
        <x:v>015756</x:v>
      </x:c>
      <x:c r="D602" t="str">
        <x:v>DCTF WEB MES12/205</x:v>
      </x:c>
      <x:c r="E602"/>
      <x:c r="F602" s="4" t="n">
        <x:v>46042</x:v>
      </x:c>
      <x:c r="G602" t="str">
        <x:v>FOSFATO CMOC CONTRAT</x:v>
      </x:c>
      <x:c r="H602" t="str">
        <x:v>12.15 - DCTFWEB</x:v>
      </x:c>
      <x:c r="I602" s="5" t="n">
        <x:v>14028.644436</x:v>
      </x:c>
    </x:row>
    <x:row r="603">
      <x:c r="A603" t="str">
        <x:v>DCTF WEB</x:v>
      </x:c>
      <x:c r="B603"/>
      <x:c r="C603" t="str">
        <x:v>015756</x:v>
      </x:c>
      <x:c r="D603" t="str">
        <x:v>DCTF WEB MES12/205</x:v>
      </x:c>
      <x:c r="E603"/>
      <x:c r="F603" s="4" t="n">
        <x:v>46042</x:v>
      </x:c>
      <x:c r="G603" t="str">
        <x:v>NIOBIO CMOC CONTRATO</x:v>
      </x:c>
      <x:c r="H603" t="str">
        <x:v>12.15 - DCTFWEB</x:v>
      </x:c>
      <x:c r="I603" s="5" t="n">
        <x:v>7651.98877</x:v>
      </x:c>
    </x:row>
    <x:row r="604">
      <x:c r="A604" t="str">
        <x:v>DCTF WEB</x:v>
      </x:c>
      <x:c r="B604"/>
      <x:c r="C604" t="str">
        <x:v>015756</x:v>
      </x:c>
      <x:c r="D604" t="str">
        <x:v>DCTF WEB MES12/205</x:v>
      </x:c>
      <x:c r="E604"/>
      <x:c r="F604" s="4" t="n">
        <x:v>46042</x:v>
      </x:c>
      <x:c r="G604" t="str">
        <x:v>SERENA 10 TORRES 2025</x:v>
      </x:c>
      <x:c r="H604" t="str">
        <x:v>12.15 - DCTFWEB</x:v>
      </x:c>
      <x:c r="I604" s="5" t="n">
        <x:v>11477.981513</x:v>
      </x:c>
    </x:row>
    <x:row r="605">
      <x:c r="A605" t="str">
        <x:v>DCTF WEB</x:v>
      </x:c>
      <x:c r="B605"/>
      <x:c r="C605" t="str">
        <x:v>015756</x:v>
      </x:c>
      <x:c r="D605" t="str">
        <x:v>DCTF WEB MES12/205</x:v>
      </x:c>
      <x:c r="E605"/>
      <x:c r="F605" s="4" t="n">
        <x:v>46042</x:v>
      </x:c>
      <x:c r="G605" t="str">
        <x:v>CMOC CUBATÃO</x:v>
      </x:c>
      <x:c r="H605" t="str">
        <x:v>12.15 - DCTFWEB</x:v>
      </x:c>
      <x:c r="I605" s="5" t="n">
        <x:v>9564.985141</x:v>
      </x:c>
    </x:row>
    <x:row r="606">
      <x:c r="A606" t="str">
        <x:v>DCTF WEB</x:v>
      </x:c>
      <x:c r="B606"/>
      <x:c r="C606" t="str">
        <x:v>015756</x:v>
      </x:c>
      <x:c r="D606" t="str">
        <x:v>DCTF WEB MES12/205</x:v>
      </x:c>
      <x:c r="E606"/>
      <x:c r="F606" s="4" t="n">
        <x:v>46042</x:v>
      </x:c>
      <x:c r="G606" t="str">
        <x:v>CONTRATO 02 ANOS MINERAÇÃO SERRA VERDE</x:v>
      </x:c>
      <x:c r="H606" t="str">
        <x:v>12.15 - DCTFWEB</x:v>
      </x:c>
      <x:c r="I606" s="5" t="n">
        <x:v>4463.659295</x:v>
      </x:c>
    </x:row>
    <x:row r="607">
      <x:c r="A607" t="str">
        <x:v>ADIANTAMENTO SALARIAL</x:v>
      </x:c>
      <x:c r="B607"/>
      <x:c r="C607" t="str">
        <x:v>015759</x:v>
      </x:c>
      <x:c r="D607" t="str">
        <x:v>ADIANTAMENTO SALARIAL REF. FOLHA MES 01-2026</x:v>
      </x:c>
      <x:c r="E607"/>
      <x:c r="F607" s="4" t="n">
        <x:v>46042</x:v>
      </x:c>
      <x:c r="G607" t="str">
        <x:v>VLI PINTURA</x:v>
      </x:c>
      <x:c r="H607" t="str">
        <x:v>12.1 - SALARIO</x:v>
      </x:c>
      <x:c r="I607" s="5" t="n">
        <x:v>16998.375278</x:v>
      </x:c>
    </x:row>
    <x:row r="608">
      <x:c r="A608" t="str">
        <x:v>ADIANTAMENTO SALARIAL</x:v>
      </x:c>
      <x:c r="B608"/>
      <x:c r="C608" t="str">
        <x:v>015759</x:v>
      </x:c>
      <x:c r="D608" t="str">
        <x:v>ADIANTAMENTO SALARIAL REF. FOLHA MES 01-2026</x:v>
      </x:c>
      <x:c r="E608"/>
      <x:c r="F608" s="4" t="n">
        <x:v>46042</x:v>
      </x:c>
      <x:c r="G608" t="str">
        <x:v>MOSAIC UBERABA CONTRAT0 3 ANOS</x:v>
      </x:c>
      <x:c r="H608" t="str">
        <x:v>12.1 - SALARIO</x:v>
      </x:c>
      <x:c r="I608" s="5" t="n">
        <x:v>25474.751084</x:v>
      </x:c>
    </x:row>
    <x:row r="609">
      <x:c r="A609" t="str">
        <x:v>ADIANTAMENTO SALARIAL</x:v>
      </x:c>
      <x:c r="B609"/>
      <x:c r="C609" t="str">
        <x:v>015759</x:v>
      </x:c>
      <x:c r="D609" t="str">
        <x:v>ADIANTAMENTO SALARIAL REF. FOLHA MES 01-2026</x:v>
      </x:c>
      <x:c r="E609"/>
      <x:c r="F609" s="4" t="n">
        <x:v>46042</x:v>
      </x:c>
      <x:c r="G609" t="str">
        <x:v>EUROCHEM SERRA DO SALITRE</x:v>
      </x:c>
      <x:c r="H609" t="str">
        <x:v>12.1 - SALARIO</x:v>
      </x:c>
      <x:c r="I609" s="5" t="n">
        <x:v>885.093441</x:v>
      </x:c>
    </x:row>
    <x:row r="610">
      <x:c r="A610" t="str">
        <x:v>ADIANTAMENTO SALARIAL</x:v>
      </x:c>
      <x:c r="B610"/>
      <x:c r="C610" t="str">
        <x:v>015759</x:v>
      </x:c>
      <x:c r="D610" t="str">
        <x:v>ADIANTAMENTO SALARIAL REF. FOLHA MES 01-2026</x:v>
      </x:c>
      <x:c r="E610"/>
      <x:c r="F610" s="4" t="n">
        <x:v>46042</x:v>
      </x:c>
      <x:c r="G610" t="str">
        <x:v>CMOC CUBATÃO</x:v>
      </x:c>
      <x:c r="H610" t="str">
        <x:v>12.1 - SALARIO</x:v>
      </x:c>
      <x:c r="I610" s="5" t="n">
        <x:v>15181.990196</x:v>
      </x:c>
    </x:row>
    <x:row r="611">
      <x:c r="A611" t="str">
        <x:v>ADIANTAMENTO SALARIAL</x:v>
      </x:c>
      <x:c r="B611"/>
      <x:c r="C611" t="str">
        <x:v>015760</x:v>
      </x:c>
      <x:c r="D611" t="str">
        <x:v>ADIANTAMENTO SALARIAL REF. FOLHA MES 01-2026</x:v>
      </x:c>
      <x:c r="E611"/>
      <x:c r="F611" s="4" t="n">
        <x:v>46042</x:v>
      </x:c>
      <x:c r="G611" t="str">
        <x:v>VLI PINTURA</x:v>
      </x:c>
      <x:c r="H611" t="str">
        <x:v>12.1 - SALARIO</x:v>
      </x:c>
      <x:c r="I611" s="5" t="n">
        <x:v>1049.322144</x:v>
      </x:c>
    </x:row>
    <x:row r="612">
      <x:c r="A612" t="str">
        <x:v>ADIANTAMENTO SALARIAL</x:v>
      </x:c>
      <x:c r="B612"/>
      <x:c r="C612" t="str">
        <x:v>015760</x:v>
      </x:c>
      <x:c r="D612" t="str">
        <x:v>ADIANTAMENTO SALARIAL REF. FOLHA MES 01-2026</x:v>
      </x:c>
      <x:c r="E612"/>
      <x:c r="F612" s="4" t="n">
        <x:v>46042</x:v>
      </x:c>
      <x:c r="G612" t="str">
        <x:v>MOSAIC UBERABA CONTRAT0 3 ANOS</x:v>
      </x:c>
      <x:c r="H612" t="str">
        <x:v>12.1 - SALARIO</x:v>
      </x:c>
      <x:c r="I612" s="5" t="n">
        <x:v>1572.575026</x:v>
      </x:c>
    </x:row>
    <x:row r="613">
      <x:c r="A613" t="str">
        <x:v>ADIANTAMENTO SALARIAL</x:v>
      </x:c>
      <x:c r="B613"/>
      <x:c r="C613" t="str">
        <x:v>015760</x:v>
      </x:c>
      <x:c r="D613" t="str">
        <x:v>ADIANTAMENTO SALARIAL REF. FOLHA MES 01-2026</x:v>
      </x:c>
      <x:c r="E613"/>
      <x:c r="F613" s="4" t="n">
        <x:v>46042</x:v>
      </x:c>
      <x:c r="G613" t="str">
        <x:v>EUROCHEM SERRA DO SALITRE</x:v>
      </x:c>
      <x:c r="H613" t="str">
        <x:v>12.1 - SALARIO</x:v>
      </x:c>
      <x:c r="I613" s="5" t="n">
        <x:v>54.637466</x:v>
      </x:c>
    </x:row>
    <x:row r="614">
      <x:c r="A614" t="str">
        <x:v>ADIANTAMENTO SALARIAL</x:v>
      </x:c>
      <x:c r="B614"/>
      <x:c r="C614" t="str">
        <x:v>015760</x:v>
      </x:c>
      <x:c r="D614" t="str">
        <x:v>ADIANTAMENTO SALARIAL REF. FOLHA MES 01-2026</x:v>
      </x:c>
      <x:c r="E614"/>
      <x:c r="F614" s="4" t="n">
        <x:v>46042</x:v>
      </x:c>
      <x:c r="G614" t="str">
        <x:v>CMOC CUBATÃO</x:v>
      </x:c>
      <x:c r="H614" t="str">
        <x:v>12.1 - SALARIO</x:v>
      </x:c>
      <x:c r="I614" s="5" t="n">
        <x:v>937.195364</x:v>
      </x:c>
    </x:row>
    <x:row r="615">
      <x:c r="A615" t="str">
        <x:v>REFEIÇÃO OBRAS</x:v>
      </x:c>
      <x:c r="B615"/>
      <x:c r="C615" t="str">
        <x:v>015761</x:v>
      </x:c>
      <x:c r="D615" t="str">
        <x:v>REFEIÇÃO 15° EUROCHEM</x:v>
      </x:c>
      <x:c r="E615" t="str">
        <x:v>REGINALDO OLIVEIRA DE ALMEIDA</x:v>
      </x:c>
      <x:c r="F615" s="4" t="n">
        <x:v>46042</x:v>
      </x:c>
      <x:c r="G615" t="str">
        <x:v>EUROCHEM SERRA DO SALITRE</x:v>
      </x:c>
      <x:c r="H615" t="str">
        <x:v>12.5 - REFEIÇÕES FUNCIONARIOS</x:v>
      </x:c>
      <x:c r="I615" s="5" t="n">
        <x:v>417.5</x:v>
      </x:c>
    </x:row>
    <x:row r="616">
      <x:c r="A616" t="str">
        <x:v>RODOVIARIA MATEUS CABEÇA BRANCA</x:v>
      </x:c>
      <x:c r="B616"/>
      <x:c r="C616" t="str">
        <x:v>015762</x:v>
      </x:c>
      <x:c r="D616" t="str">
        <x:v>PASSAGENS DA SEMANA 12-01 A 16-01</x:v>
      </x:c>
      <x:c r="E616" t="str">
        <x:v>PASSGEM MATEUS</x:v>
      </x:c>
      <x:c r="F616" s="4" t="n">
        <x:v>46042</x:v>
      </x:c>
      <x:c r="G616" t="str">
        <x:v>VLI PINTURA</x:v>
      </x:c>
      <x:c r="H616" t="str">
        <x:v>12.9 - PASSAGENS FUNCIONARIOS</x:v>
      </x:c>
      <x:c r="I616" s="5" t="n">
        <x:v>339.57</x:v>
      </x:c>
    </x:row>
    <x:row r="617">
      <x:c r="A617" t="str">
        <x:v>RODOVIARIA MATEUS CABEÇA BRANCA</x:v>
      </x:c>
      <x:c r="B617"/>
      <x:c r="C617" t="str">
        <x:v>015762</x:v>
      </x:c>
      <x:c r="D617" t="str">
        <x:v>PASSAGENS DA SEMANA 12-01 A 16-01</x:v>
      </x:c>
      <x:c r="E617" t="str">
        <x:v>PASSGEM MATEUS</x:v>
      </x:c>
      <x:c r="F617" s="4" t="n">
        <x:v>46042</x:v>
      </x:c>
      <x:c r="G617" t="str">
        <x:v>MOSAIC UBERABA CONTRAT0 3 ANOS</x:v>
      </x:c>
      <x:c r="H617" t="str">
        <x:v>12.9 - PASSAGENS FUNCIONARIOS</x:v>
      </x:c>
      <x:c r="I617" s="5" t="n">
        <x:v>1429.44</x:v>
      </x:c>
    </x:row>
    <x:row r="618">
      <x:c r="A618" t="str">
        <x:v>RODOVIARIA MATEUS CABEÇA BRANCA</x:v>
      </x:c>
      <x:c r="B618"/>
      <x:c r="C618" t="str">
        <x:v>015762</x:v>
      </x:c>
      <x:c r="D618" t="str">
        <x:v>PASSAGENS DA SEMANA 12-01 A 16-01</x:v>
      </x:c>
      <x:c r="E618" t="str">
        <x:v>PASSGEM MATEUS</x:v>
      </x:c>
      <x:c r="F618" s="4" t="n">
        <x:v>46042</x:v>
      </x:c>
      <x:c r="G618" t="str">
        <x:v>ANGLO AMERICAN</x:v>
      </x:c>
      <x:c r="H618" t="str">
        <x:v>12.9 - PASSAGENS FUNCIONARIOS</x:v>
      </x:c>
      <x:c r="I618" s="5" t="n">
        <x:v>241.79</x:v>
      </x:c>
    </x:row>
    <x:row r="619">
      <x:c r="A619" t="str">
        <x:v>RODOVIARIA MATEUS CABEÇA BRANCA</x:v>
      </x:c>
      <x:c r="B619"/>
      <x:c r="C619" t="str">
        <x:v>015762</x:v>
      </x:c>
      <x:c r="D619" t="str">
        <x:v>PASSAGENS DA SEMANA 12-01 A 16-01</x:v>
      </x:c>
      <x:c r="E619" t="str">
        <x:v>PASSGEM MATEUS</x:v>
      </x:c>
      <x:c r="F619" s="4" t="n">
        <x:v>46042</x:v>
      </x:c>
      <x:c r="G619" t="str">
        <x:v>EUROCHEM SERRA DO SALITRE</x:v>
      </x:c>
      <x:c r="H619" t="str">
        <x:v>12.9 - PASSAGENS FUNCIONARIOS</x:v>
      </x:c>
      <x:c r="I619" s="5" t="n">
        <x:v>1846.89</x:v>
      </x:c>
    </x:row>
    <x:row r="620">
      <x:c r="A620" t="str">
        <x:v>DESPESAS DE VIAGEM</x:v>
      </x:c>
      <x:c r="B620"/>
      <x:c r="C620" t="str">
        <x:v>015763</x:v>
      </x:c>
      <x:c r="D620" t="str">
        <x:v>DESPESAS DE PASSAGEM SEMANA 19-01 A 23-01</x:v>
      </x:c>
      <x:c r="E620"/>
      <x:c r="F620" s="4" t="n">
        <x:v>46042</x:v>
      </x:c>
      <x:c r="G620" t="str">
        <x:v>MOSAIC UBERABA CONTRAT0 3 ANOS</x:v>
      </x:c>
      <x:c r="H620" t="str">
        <x:v>12.5 - REFEIÇÕES FUNCIONARIOS</x:v>
      </x:c>
      <x:c r="I620" s="5" t="n">
        <x:v>271.428571</x:v>
      </x:c>
    </x:row>
    <x:row r="621">
      <x:c r="A621" t="str">
        <x:v>DESPESAS DE VIAGEM</x:v>
      </x:c>
      <x:c r="B621"/>
      <x:c r="C621" t="str">
        <x:v>015763</x:v>
      </x:c>
      <x:c r="D621" t="str">
        <x:v>DESPESAS DE PASSAGEM SEMANA 19-01 A 23-01</x:v>
      </x:c>
      <x:c r="E621"/>
      <x:c r="F621" s="4" t="n">
        <x:v>46042</x:v>
      </x:c>
      <x:c r="G621" t="str">
        <x:v>MOSAIC UBERABA CONTRAT0 3 ANOS</x:v>
      </x:c>
      <x:c r="H621" t="str">
        <x:v>12.9 - PASSAGENS FUNCIONARIOS</x:v>
      </x:c>
      <x:c r="I621" s="5" t="n">
        <x:v>488.571429</x:v>
      </x:c>
    </x:row>
    <x:row r="622">
      <x:c r="A622" t="str">
        <x:v>DESPESAS DE VIAGEM</x:v>
      </x:c>
      <x:c r="B622"/>
      <x:c r="C622" t="str">
        <x:v>015763</x:v>
      </x:c>
      <x:c r="D622" t="str">
        <x:v>DESPESAS DE PASSAGEM SEMANA 19-01 A 23-01</x:v>
      </x:c>
      <x:c r="E622"/>
      <x:c r="F622" s="4" t="n">
        <x:v>46042</x:v>
      </x:c>
      <x:c r="G622" t="str">
        <x:v>ANGLO AMERICAN</x:v>
      </x:c>
      <x:c r="H622" t="str">
        <x:v>12.5 - REFEIÇÕES FUNCIONARIOS</x:v>
      </x:c>
      <x:c r="I622" s="5" t="n">
        <x:v>57.142857</x:v>
      </x:c>
    </x:row>
    <x:row r="623">
      <x:c r="A623" t="str">
        <x:v>DESPESAS DE VIAGEM</x:v>
      </x:c>
      <x:c r="B623"/>
      <x:c r="C623" t="str">
        <x:v>015763</x:v>
      </x:c>
      <x:c r="D623" t="str">
        <x:v>DESPESAS DE PASSAGEM SEMANA 19-01 A 23-01</x:v>
      </x:c>
      <x:c r="E623"/>
      <x:c r="F623" s="4" t="n">
        <x:v>46042</x:v>
      </x:c>
      <x:c r="G623" t="str">
        <x:v>ANGLO AMERICAN</x:v>
      </x:c>
      <x:c r="H623" t="str">
        <x:v>12.9 - PASSAGENS FUNCIONARIOS</x:v>
      </x:c>
      <x:c r="I623" s="5" t="n">
        <x:v>102.857143</x:v>
      </x:c>
    </x:row>
    <x:row r="624">
      <x:c r="A624" t="str">
        <x:v>DESPESAS DE VIAGEM</x:v>
      </x:c>
      <x:c r="B624"/>
      <x:c r="C624" t="str">
        <x:v>015763</x:v>
      </x:c>
      <x:c r="D624" t="str">
        <x:v>DESPESAS DE PASSAGEM SEMANA 19-01 A 23-01</x:v>
      </x:c>
      <x:c r="E624"/>
      <x:c r="F624" s="4" t="n">
        <x:v>46042</x:v>
      </x:c>
      <x:c r="G624" t="str">
        <x:v>EUROCHEM SERRA DO SALITRE</x:v>
      </x:c>
      <x:c r="H624" t="str">
        <x:v>12.5 - REFEIÇÕES FUNCIONARIOS</x:v>
      </x:c>
      <x:c r="I624" s="5" t="n">
        <x:v>414.285714</x:v>
      </x:c>
    </x:row>
    <x:row r="625">
      <x:c r="A625" t="str">
        <x:v>DESPESAS DE VIAGEM</x:v>
      </x:c>
      <x:c r="B625"/>
      <x:c r="C625" t="str">
        <x:v>015763</x:v>
      </x:c>
      <x:c r="D625" t="str">
        <x:v>DESPESAS DE PASSAGEM SEMANA 19-01 A 23-01</x:v>
      </x:c>
      <x:c r="E625"/>
      <x:c r="F625" s="4" t="n">
        <x:v>46042</x:v>
      </x:c>
      <x:c r="G625" t="str">
        <x:v>EUROCHEM SERRA DO SALITRE</x:v>
      </x:c>
      <x:c r="H625" t="str">
        <x:v>12.9 - PASSAGENS FUNCIONARIOS</x:v>
      </x:c>
      <x:c r="I625" s="5" t="n">
        <x:v>745.714286</x:v>
      </x:c>
    </x:row>
    <x:row r="626">
      <x:c r="A626" t="str">
        <x:v>DESPESAS DE VIAGEM</x:v>
      </x:c>
      <x:c r="B626"/>
      <x:c r="C626" t="str">
        <x:v>015763</x:v>
      </x:c>
      <x:c r="D626" t="str">
        <x:v>DESPESAS DE PASSAGEM SEMANA 19-01 A 23-01</x:v>
      </x:c>
      <x:c r="E626"/>
      <x:c r="F626" s="4" t="n">
        <x:v>46042</x:v>
      </x:c>
      <x:c r="G626" t="str">
        <x:v>FOSFATO CMOC CONTRAT</x:v>
      </x:c>
      <x:c r="H626" t="str">
        <x:v>12.5 - REFEIÇÕES FUNCIONARIOS</x:v>
      </x:c>
      <x:c r="I626" s="5" t="n">
        <x:v>57.142857</x:v>
      </x:c>
    </x:row>
    <x:row r="627">
      <x:c r="A627" t="str">
        <x:v>DESPESAS DE VIAGEM</x:v>
      </x:c>
      <x:c r="B627"/>
      <x:c r="C627" t="str">
        <x:v>015763</x:v>
      </x:c>
      <x:c r="D627" t="str">
        <x:v>DESPESAS DE PASSAGEM SEMANA 19-01 A 23-01</x:v>
      </x:c>
      <x:c r="E627"/>
      <x:c r="F627" s="4" t="n">
        <x:v>46042</x:v>
      </x:c>
      <x:c r="G627" t="str">
        <x:v>FOSFATO CMOC CONTRAT</x:v>
      </x:c>
      <x:c r="H627" t="str">
        <x:v>12.9 - PASSAGENS FUNCIONARIOS</x:v>
      </x:c>
      <x:c r="I627" s="5" t="n">
        <x:v>102.857143</x:v>
      </x:c>
    </x:row>
    <x:row r="628">
      <x:c r="A628" t="str">
        <x:v>BANCO ITAU</x:v>
      </x:c>
      <x:c r="B628"/>
      <x:c r="C628" t="str">
        <x:v>015765</x:v>
      </x:c>
      <x:c r="D628" t="str">
        <x:v>SEGURO ITAU EMPRESA 4/11 (SEDE) TRINDADE</x:v>
      </x:c>
      <x:c r="E628"/>
      <x:c r="F628" s="4" t="n">
        <x:v>46042</x:v>
      </x:c>
      <x:c r="G628" t="str">
        <x:v>ADMINISTRATIVO</x:v>
      </x:c>
      <x:c r="H628" t="str">
        <x:v>11.17 - SEGURO SEDE ADMINISTRATIVA</x:v>
      </x:c>
      <x:c r="I628" s="5" t="n">
        <x:v>933.71</x:v>
      </x:c>
    </x:row>
    <x:row r="629">
      <x:c r="A629" t="str">
        <x:v>PGR COMERCIAL LTDA</x:v>
      </x:c>
      <x:c r="B629" t="str">
        <x:v>27278</x:v>
      </x:c>
      <x:c r="C629" t="str">
        <x:v>015911</x:v>
      </x:c>
      <x:c r="D629" t="str">
        <x:v>MATERIAIS DE LIMPEZA</x:v>
      </x:c>
      <x:c r="E629"/>
      <x:c r="F629" s="4" t="n">
        <x:v>46042</x:v>
      </x:c>
      <x:c r="G629" t="str">
        <x:v>ANGLO AMERICAN</x:v>
      </x:c>
      <x:c r="H629" t="str">
        <x:v>8.11 - MATERIAIS DE LIMPEZA / HIGIENE</x:v>
      </x:c>
      <x:c r="I629" s="5" t="n">
        <x:v>472.74</x:v>
      </x:c>
    </x:row>
    <x:row r="630">
      <x:c r="A630" t="str">
        <x:v>CR DIESEL ( CARLOS RITLER )</x:v>
      </x:c>
      <x:c r="B630"/>
      <x:c r="C630" t="str">
        <x:v>015453</x:v>
      </x:c>
      <x:c r="D630" t="str">
        <x:v>.CARLOS RITLER MOREIRA  CNPJ 58.255.772/0001-54</x:v>
      </x:c>
      <x:c r="E630"/>
      <x:c r="F630" s="4" t="n">
        <x:v>46043</x:v>
      </x:c>
      <x:c r="G630" t="str">
        <x:v>SERENA 10 TORRES 2025</x:v>
      </x:c>
      <x:c r="H630" t="str">
        <x:v>6.3 - MANUTENÇÃO/PEÇAS  VEICULOS</x:v>
      </x:c>
      <x:c r="I630" s="5" t="n">
        <x:v>1719</x:v>
      </x:c>
    </x:row>
    <x:row r="631">
      <x:c r="A631" t="str">
        <x:v>WILLIAM ADM</x:v>
      </x:c>
      <x:c r="B631"/>
      <x:c r="C631" t="str">
        <x:v>015454</x:v>
      </x:c>
      <x:c r="D631" t="str">
        <x:v>WILLIAM MONTEIRO BEZERRA</x:v>
      </x:c>
      <x:c r="E631" t="str">
        <x:v>TRANSPORTE HOTEL X SISI - INTEGRAÇÃO</x:v>
      </x:c>
      <x:c r="F631" s="4" t="n">
        <x:v>46043</x:v>
      </x:c>
      <x:c r="G631" t="str">
        <x:v>CONTRATO 02 ANOS MINERAÇÃO SERRA VERDE</x:v>
      </x:c>
      <x:c r="H631" t="str">
        <x:v>12.7 - TRANSPORTE FUNCIONARIOS</x:v>
      </x:c>
      <x:c r="I631" s="5" t="n">
        <x:v>90</x:v>
      </x:c>
    </x:row>
    <x:row r="632">
      <x:c r="A632" t="str">
        <x:v>REFEIÇÃO OBRAS</x:v>
      </x:c>
      <x:c r="B632"/>
      <x:c r="C632" t="str">
        <x:v>015455</x:v>
      </x:c>
      <x:c r="D632" t="str">
        <x:v>ALIMENTAÇÃO EQUIPE RESTANTE</x:v>
      </x:c>
      <x:c r="E632"/>
      <x:c r="F632" s="4" t="n">
        <x:v>46043</x:v>
      </x:c>
      <x:c r="G632" t="str">
        <x:v>SERENA 10 TORRES 2025</x:v>
      </x:c>
      <x:c r="H632" t="str">
        <x:v>12.5 - REFEIÇÕES FUNCIONARIOS</x:v>
      </x:c>
      <x:c r="I632" s="5" t="n">
        <x:v>1620</x:v>
      </x:c>
    </x:row>
    <x:row r="633">
      <x:c r="A633" t="str">
        <x:v>CAIXA ROTATIVO OBRAS</x:v>
      </x:c>
      <x:c r="B633"/>
      <x:c r="C633" t="str">
        <x:v>015459</x:v>
      </x:c>
      <x:c r="D633" t="str">
        <x:v>CAIXA ROTATIVO REF. MÊS 12/2025</x:v>
      </x:c>
      <x:c r="E633" t="str">
        <x:v>JOSE EDUARDO</x:v>
      </x:c>
      <x:c r="F633" s="4" t="n">
        <x:v>46043</x:v>
      </x:c>
      <x:c r="G633" t="str">
        <x:v>EUROCHEM SERRA DO SALITRE</x:v>
      </x:c>
      <x:c r="H633" t="str">
        <x:v>8.10 - MATERIAS DE ESCRITORIO</x:v>
      </x:c>
      <x:c r="I633" s="5" t="n">
        <x:v>15</x:v>
      </x:c>
    </x:row>
    <x:row r="634">
      <x:c r="A634" t="str">
        <x:v>CAIXA ROTATIVO OBRAS</x:v>
      </x:c>
      <x:c r="B634"/>
      <x:c r="C634" t="str">
        <x:v>015459</x:v>
      </x:c>
      <x:c r="D634" t="str">
        <x:v>CAIXA ROTATIVO REF. MÊS 12/2025</x:v>
      </x:c>
      <x:c r="E634" t="str">
        <x:v>JOSE EDUARDO</x:v>
      </x:c>
      <x:c r="F634" s="4" t="n">
        <x:v>46043</x:v>
      </x:c>
      <x:c r="G634" t="str">
        <x:v>EUROCHEM SERRA DO SALITRE</x:v>
      </x:c>
      <x:c r="H634" t="str">
        <x:v>6.10 - SERVIÇO LAVA JATO</x:v>
      </x:c>
      <x:c r="I634" s="5" t="n">
        <x:v>120</x:v>
      </x:c>
    </x:row>
    <x:row r="635">
      <x:c r="A635" t="str">
        <x:v>CAIXA ROTATIVO OBRAS</x:v>
      </x:c>
      <x:c r="B635"/>
      <x:c r="C635" t="str">
        <x:v>015459</x:v>
      </x:c>
      <x:c r="D635" t="str">
        <x:v>CAIXA ROTATIVO REF. MÊS 12/2025</x:v>
      </x:c>
      <x:c r="E635" t="str">
        <x:v>JOSE EDUARDO</x:v>
      </x:c>
      <x:c r="F635" s="4" t="n">
        <x:v>46043</x:v>
      </x:c>
      <x:c r="G635" t="str">
        <x:v>EUROCHEM SERRA DO SALITRE</x:v>
      </x:c>
      <x:c r="H635" t="str">
        <x:v>8.11 - MATERIAIS DE LIMPEZA / HIGIENE</x:v>
      </x:c>
      <x:c r="I635" s="5" t="n">
        <x:v>1025.45</x:v>
      </x:c>
    </x:row>
    <x:row r="636">
      <x:c r="A636" t="str">
        <x:v>CEMIG DISTRIBUIÇÃO S.A</x:v>
      </x:c>
      <x:c r="B636"/>
      <x:c r="C636" t="str">
        <x:v>015461</x:v>
      </x:c>
      <x:c r="D636" t="str">
        <x:v>R. JACY GUIMARAES 12 CS REF. 01/2026</x:v>
      </x:c>
      <x:c r="E636" t="str">
        <x:v>Nº DA UNIDADE CONSUMIDORA 9.105.625.018.00</x:v>
      </x:c>
      <x:c r="F636" s="4" t="n">
        <x:v>46043</x:v>
      </x:c>
      <x:c r="G636" t="str">
        <x:v>EUROCHEM SERRA DO SALITRE</x:v>
      </x:c>
      <x:c r="H636" t="str">
        <x:v>5.5 - ENERGIA ALOJAMENTO</x:v>
      </x:c>
      <x:c r="I636" s="5" t="n">
        <x:v>89.98</x:v>
      </x:c>
    </x:row>
    <x:row r="637">
      <x:c r="A637" t="str">
        <x:v>DESPESAS DE VIAGEM</x:v>
      </x:c>
      <x:c r="B637"/>
      <x:c r="C637" t="str">
        <x:v>015463</x:v>
      </x:c>
      <x:c r="D637" t="str">
        <x:v>REEMBOLSO FUNCIONARIO</x:v>
      </x:c>
      <x:c r="E637" t="str">
        <x:v>JOSE EDSON DE ARRUDA</x:v>
      </x:c>
      <x:c r="F637" s="4" t="n">
        <x:v>46043</x:v>
      </x:c>
      <x:c r="G637" t="str">
        <x:v>FOSFATO CMOC CONTRAT</x:v>
      </x:c>
      <x:c r="H637" t="str">
        <x:v>12.7 - TRANSPORTE FUNCIONARIOS</x:v>
      </x:c>
      <x:c r="I637" s="5" t="n">
        <x:v>224.72</x:v>
      </x:c>
    </x:row>
    <x:row r="638">
      <x:c r="A638" t="str">
        <x:v>PRO MINAS MATERIAIS DE SEGURANÇA LTDA</x:v>
      </x:c>
      <x:c r="B638" t="str">
        <x:v>87664</x:v>
      </x:c>
      <x:c r="C638" t="str">
        <x:v>015468</x:v>
      </x:c>
      <x:c r="D638" t="str">
        <x:v>EPIS</x:v>
      </x:c>
      <x:c r="E638"/>
      <x:c r="F638" s="4" t="n">
        <x:v>46043</x:v>
      </x:c>
      <x:c r="G638" t="str">
        <x:v>MOSAIC UBERABA CONTRAT0 3 ANOS</x:v>
      </x:c>
      <x:c r="H638" t="str">
        <x:v>13.1 - EPIS</x:v>
      </x:c>
      <x:c r="I638" s="5" t="n">
        <x:v>351</x:v>
      </x:c>
    </x:row>
    <x:row r="639">
      <x:c r="A639" t="str">
        <x:v>SANEAMENTO E ACOES URBANAS</x:v>
      </x:c>
      <x:c r="B639"/>
      <x:c r="C639" t="str">
        <x:v>015469</x:v>
      </x:c>
      <x:c r="D639" t="str">
        <x:v>R. DOS ANDRADAS 211 REF. 02/2026</x:v>
      </x:c>
      <x:c r="E639" t="str">
        <x:v>IDENTIFICADOR 8056</x:v>
      </x:c>
      <x:c r="F639" s="4" t="n">
        <x:v>46043</x:v>
      </x:c>
      <x:c r="G639" t="str">
        <x:v>MOSAIC UBERABA CONTRAT0 3 ANOS</x:v>
      </x:c>
      <x:c r="H639" t="str">
        <x:v>5.4 - AGUA ALOJAMENTO</x:v>
      </x:c>
      <x:c r="I639" s="5" t="n">
        <x:v>106.27</x:v>
      </x:c>
    </x:row>
    <x:row r="640">
      <x:c r="A640" t="str">
        <x:v>HOTEIS OBRAS</x:v>
      </x:c>
      <x:c r="B640"/>
      <x:c r="C640" t="str">
        <x:v>015471</x:v>
      </x:c>
      <x:c r="D640" t="str">
        <x:v>PIX CNPJ 63.670.121/0001-60 TAMIRES BEATRIZ</x:v>
      </x:c>
      <x:c r="E640" t="str">
        <x:v>DOMITORIO MINAÇU</x:v>
      </x:c>
      <x:c r="F640" s="4" t="n">
        <x:v>46043</x:v>
      </x:c>
      <x:c r="G640" t="str">
        <x:v>CONTRATO 02 ANOS MINERAÇÃO SERRA VERDE</x:v>
      </x:c>
      <x:c r="H640" t="str">
        <x:v>5.1 - HOTEL FUNCIONARIOS</x:v>
      </x:c>
      <x:c r="I640" s="5" t="n">
        <x:v>400</x:v>
      </x:c>
    </x:row>
    <x:row r="641">
      <x:c r="A641" t="str">
        <x:v>GUSA DO BRASIL MOBILIARIO E CONTAINER</x:v>
      </x:c>
      <x:c r="B641" t="str">
        <x:v>470</x:v>
      </x:c>
      <x:c r="C641" t="str">
        <x:v>015484</x:v>
      </x:c>
      <x:c r="D641" t="str">
        <x:v>LOCAÇÃO CONTAINER REF. 05/02 A 04/03</x:v>
      </x:c>
      <x:c r="E641" t="str">
        <x:v>VENCIMENTO ORIGINAL DO BOLETO 10/02/26</x:v>
      </x:c>
      <x:c r="F641" s="4" t="n">
        <x:v>46043</x:v>
      </x:c>
      <x:c r="G641" t="str">
        <x:v>SERENA 10 TORRES 2025</x:v>
      </x:c>
      <x:c r="H641" t="str">
        <x:v>7.6 - LOCAÇÃO CONTAINER</x:v>
      </x:c>
      <x:c r="I641" s="5" t="n">
        <x:v>919.8</x:v>
      </x:c>
    </x:row>
    <x:row r="642">
      <x:c r="A642" t="str">
        <x:v>ESTADO DE GOIAS</x:v>
      </x:c>
      <x:c r="B642"/>
      <x:c r="C642" t="str">
        <x:v>015758</x:v>
      </x:c>
      <x:c r="D642" t="str">
        <x:v>ICMS</x:v>
      </x:c>
      <x:c r="E642" t="str">
        <x:v>BOLETO VENC</x:v>
      </x:c>
      <x:c r="F642" s="4" t="n">
        <x:v>46043</x:v>
      </x:c>
      <x:c r="G642" t="str">
        <x:v>IMPOSTOS</x:v>
      </x:c>
      <x:c r="H642" t="str">
        <x:v>17.9 - ICMS</x:v>
      </x:c>
      <x:c r="I642" s="5" t="n">
        <x:v>18234.82</x:v>
      </x:c>
    </x:row>
    <x:row r="643">
      <x:c r="A643" t="str">
        <x:v>G17 AUTO POSTO LTDA</x:v>
      </x:c>
      <x:c r="B643" t="str">
        <x:v>43</x:v>
      </x:c>
      <x:c r="C643" t="str">
        <x:v>015767</x:v>
      </x:c>
      <x:c r="D643" t="str">
        <x:v>COMBUSTIVEL RICARDO</x:v>
      </x:c>
      <x:c r="E643" t="str">
        <x:v>REEM RICARDO</x:v>
      </x:c>
      <x:c r="F643" s="4" t="n">
        <x:v>46043</x:v>
      </x:c>
      <x:c r="G643" t="str">
        <x:v>GASTOS COMERCIAIS</x:v>
      </x:c>
      <x:c r="H643" t="str">
        <x:v>6.4 - COMBUSTIVEL VEICULOS</x:v>
      </x:c>
      <x:c r="I643" s="5" t="n">
        <x:v>100</x:v>
      </x:c>
    </x:row>
    <x:row r="644">
      <x:c r="A644" t="str">
        <x:v>G17 AUTO POSTO LTDA</x:v>
      </x:c>
      <x:c r="B644" t="str">
        <x:v>43</x:v>
      </x:c>
      <x:c r="C644" t="str">
        <x:v>015767</x:v>
      </x:c>
      <x:c r="D644" t="str">
        <x:v>COMBUSTIVEL RICARDO</x:v>
      </x:c>
      <x:c r="E644" t="str">
        <x:v>REEM RICARDO</x:v>
      </x:c>
      <x:c r="F644" s="4" t="n">
        <x:v>46043</x:v>
      </x:c>
      <x:c r="G644" t="str">
        <x:v>GASTOS COMERCIAIS</x:v>
      </x:c>
      <x:c r="H644" t="str">
        <x:v>6.4 - COMBUSTIVEL VEICULOS</x:v>
      </x:c>
      <x:c r="I644" s="5" t="n">
        <x:v>79.98</x:v>
      </x:c>
    </x:row>
    <x:row r="645">
      <x:c r="A645" t="str">
        <x:v>UBER JULIANO</x:v>
      </x:c>
      <x:c r="B645"/>
      <x:c r="C645" t="str">
        <x:v>015769</x:v>
      </x:c>
      <x:c r="D645" t="str">
        <x:v>UBER JULIANO</x:v>
      </x:c>
      <x:c r="E645" t="str">
        <x:v>ARTHUR RODRIGUES SEIDEMAN - PIX (64) 9 9302-3866</x:v>
      </x:c>
      <x:c r="F645" s="4" t="n">
        <x:v>46043</x:v>
      </x:c>
      <x:c r="G645" t="str">
        <x:v>FOSFATO CMOC CONTRAT</x:v>
      </x:c>
      <x:c r="H645" t="str">
        <x:v>12.7 - TRANSPORTE FUNCIONARIOS</x:v>
      </x:c>
      <x:c r="I645" s="5" t="n">
        <x:v>210</x:v>
      </x:c>
    </x:row>
    <x:row r="646">
      <x:c r="A646" t="str">
        <x:v>RESTAURANTE MARINA LTDA</x:v>
      </x:c>
      <x:c r="B646" t="str">
        <x:v>453</x:v>
      </x:c>
      <x:c r="C646" t="str">
        <x:v>015827</x:v>
      </x:c>
      <x:c r="D646" t="str">
        <x:v>RESTAURANTE MARINA - PIX 50.531.065/0001-31</x:v>
      </x:c>
      <x:c r="E646" t="str">
        <x:v>REFEIÇÃO FUNCIONÁRIOS REF. 12/2025</x:v>
      </x:c>
      <x:c r="F646" s="4" t="n">
        <x:v>46043</x:v>
      </x:c>
      <x:c r="G646" t="str">
        <x:v>VLI PINTURA</x:v>
      </x:c>
      <x:c r="H646" t="str">
        <x:v>12.5 - REFEIÇÕES FUNCIONARIOS</x:v>
      </x:c>
      <x:c r="I646" s="5" t="n">
        <x:v>2133</x:v>
      </x:c>
    </x:row>
    <x:row r="647">
      <x:c r="A647" t="str">
        <x:v>HS TREINAMENTOS E CONSULTORIA EM SEGURANCA DO TRABALHO LTDA</x:v>
      </x:c>
      <x:c r="B647" t="str">
        <x:v>1386</x:v>
      </x:c>
      <x:c r="C647" t="str">
        <x:v>015956</x:v>
      </x:c>
      <x:c r="D647" t="str">
        <x:v>TREINAMENTO DE BRIGADA DE INCENDIO</x:v>
      </x:c>
      <x:c r="E647"/>
      <x:c r="F647" s="4" t="n">
        <x:v>46043</x:v>
      </x:c>
      <x:c r="G647" t="str">
        <x:v>ANGLO AMERICAN</x:v>
      </x:c>
      <x:c r="H647" t="str">
        <x:v>14.2 - CURSOS / TREINAMENTOS</x:v>
      </x:c>
      <x:c r="I647" s="5" t="n">
        <x:v>3200</x:v>
      </x:c>
    </x:row>
    <x:row r="648">
      <x:c r="A648" t="str">
        <x:v>AUTO POSTO TERRA SANTA LTDA</x:v>
      </x:c>
      <x:c r="B648" t="str">
        <x:v>7860</x:v>
      </x:c>
      <x:c r="C648" t="str">
        <x:v>015477</x:v>
      </x:c>
      <x:c r="D648" t="str">
        <x:v>COMBUSTIVEL RANGER ADM</x:v>
      </x:c>
      <x:c r="E648"/>
      <x:c r="F648" s="4" t="n">
        <x:v>46044</x:v>
      </x:c>
      <x:c r="G648" t="str">
        <x:v>ADMINISTRATIVO</x:v>
      </x:c>
      <x:c r="H648" t="str">
        <x:v>6.4 - COMBUSTIVEL VEICULOS</x:v>
      </x:c>
      <x:c r="I648" s="5" t="n">
        <x:v>435.01</x:v>
      </x:c>
    </x:row>
    <x:row r="649">
      <x:c r="A649" t="str">
        <x:v>MDG MATERIAIS PARA CONSTRUCAO LTDA-ME</x:v>
      </x:c>
      <x:c r="B649" t="str">
        <x:v>2155</x:v>
      </x:c>
      <x:c r="C649" t="str">
        <x:v>015479</x:v>
      </x:c>
      <x:c r="D649" t="str">
        <x:v>MATERIAL PARA INSTALAÇÃO CAIXA DE AGUA</x:v>
      </x:c>
      <x:c r="E649" t="str">
        <x:v>REEM REINALDO DIAS DAMAS</x:v>
      </x:c>
      <x:c r="F649" s="4" t="n">
        <x:v>46044</x:v>
      </x:c>
      <x:c r="G649" t="str">
        <x:v>ADMINISTRATIVO</x:v>
      </x:c>
      <x:c r="H649" t="str">
        <x:v>8.9 - MATERIAIS DE CONSUMO EM OBRAS</x:v>
      </x:c>
      <x:c r="I649" s="5" t="n">
        <x:v>90.8</x:v>
      </x:c>
    </x:row>
    <x:row r="650">
      <x:c r="A650" t="str">
        <x:v>REAL BORRACHA EIRELI</x:v>
      </x:c>
      <x:c r="B650" t="str">
        <x:v>97012</x:v>
      </x:c>
      <x:c r="C650" t="str">
        <x:v>015482</x:v>
      </x:c>
      <x:c r="D650" t="str">
        <x:v>EPIS</x:v>
      </x:c>
      <x:c r="E650"/>
      <x:c r="F650" s="4" t="n">
        <x:v>46044</x:v>
      </x:c>
      <x:c r="G650" t="str">
        <x:v>VLI PINTURA</x:v>
      </x:c>
      <x:c r="H650" t="str">
        <x:v>13.1 - EPIS</x:v>
      </x:c>
      <x:c r="I650" s="5" t="n">
        <x:v>412</x:v>
      </x:c>
    </x:row>
    <x:row r="651">
      <x:c r="A651" t="str">
        <x:v>MOVIDA PARTICIPACOES S.A.</x:v>
      </x:c>
      <x:c r="B651" t="str">
        <x:v>7827200</x:v>
      </x:c>
      <x:c r="C651" t="str">
        <x:v>015485</x:v>
      </x:c>
      <x:c r="D651" t="str">
        <x:v>LOCAÇÃO VEÍCULO REF. 18/12 A 17/01/26</x:v>
      </x:c>
      <x:c r="E651" t="str">
        <x:v>VENCIMENTO ORIGINAL DO BOLETO 10/02/26</x:v>
      </x:c>
      <x:c r="F651" s="4" t="n">
        <x:v>46044</x:v>
      </x:c>
      <x:c r="G651" t="str">
        <x:v>ADMINISTRATIVO</x:v>
      </x:c>
      <x:c r="H651" t="str">
        <x:v>7.8 - LOCAÇAO VEICULOS</x:v>
      </x:c>
      <x:c r="I651" s="5" t="n">
        <x:v>2964.57</x:v>
      </x:c>
    </x:row>
    <x:row r="652">
      <x:c r="A652" t="str">
        <x:v>BERTI &amp; JARDIM</x:v>
      </x:c>
      <x:c r="B652" t="str">
        <x:v>4</x:v>
      </x:c>
      <x:c r="C652" t="str">
        <x:v>015486</x:v>
      </x:c>
      <x:c r="D652" t="str">
        <x:v>JAIME PIX 25595134801</x:v>
      </x:c>
      <x:c r="E652" t="str">
        <x:v>MANUTENÇÃO MAQUINAS DE HIDROJATO 4 MAQ</x:v>
      </x:c>
      <x:c r="F652" s="4" t="n">
        <x:v>46044</x:v>
      </x:c>
      <x:c r="G652" t="str">
        <x:v>MANUTENÇÃO DE EQUIPAMENTOS</x:v>
      </x:c>
      <x:c r="H652" t="str">
        <x:v>8.14 - MANUTENÇÃO/PEÇAS MAQUINAS E EQUIPAMENTOS</x:v>
      </x:c>
      <x:c r="I652" s="5" t="n">
        <x:v>6109.25</x:v>
      </x:c>
    </x:row>
    <x:row r="653">
      <x:c r="A653" t="str">
        <x:v>JOTUN BRASIL IMP. EXP. E INDUSTRIAL</x:v>
      </x:c>
      <x:c r="B653" t="str">
        <x:v>99116</x:v>
      </x:c>
      <x:c r="C653" t="str">
        <x:v>015487</x:v>
      </x:c>
      <x:c r="D653" t="str">
        <x:v>TINTAS E SOLVENTES</x:v>
      </x:c>
      <x:c r="E653" t="str">
        <x:v>VENCIMENTO ORIGINAL DO BOLETO 17/03/26</x:v>
      </x:c>
      <x:c r="F653" s="4" t="n">
        <x:v>46044</x:v>
      </x:c>
      <x:c r="G653" t="str">
        <x:v>CONTRATO 02 ANOS MINERAÇÃO SERRA VERDE</x:v>
      </x:c>
      <x:c r="H653" t="str">
        <x:v>4.1 - TINTAS E SOLVENTES</x:v>
      </x:c>
      <x:c r="I653" s="5" t="n">
        <x:v>1552.24</x:v>
      </x:c>
    </x:row>
    <x:row r="654">
      <x:c r="A654" t="str">
        <x:v>JOTUN BRASIL IMP. EXP. E INDUSTRIAL</x:v>
      </x:c>
      <x:c r="B654" t="str">
        <x:v>99115</x:v>
      </x:c>
      <x:c r="C654" t="str">
        <x:v>015488</x:v>
      </x:c>
      <x:c r="D654" t="str">
        <x:v>TINTAS E SOLVENTES</x:v>
      </x:c>
      <x:c r="E654" t="str">
        <x:v>VENCIMENTO ORIGINAL DO BOLETO 17/03/28</x:v>
      </x:c>
      <x:c r="F654" s="4" t="n">
        <x:v>46044</x:v>
      </x:c>
      <x:c r="G654" t="str">
        <x:v>CONTRATO 02 ANOS MINERAÇÃO SERRA VERDE</x:v>
      </x:c>
      <x:c r="H654" t="str">
        <x:v>4.1 - TINTAS E SOLVENTES</x:v>
      </x:c>
      <x:c r="I654" s="5" t="n">
        <x:v>7409.97</x:v>
      </x:c>
    </x:row>
    <x:row r="655">
      <x:c r="A655" t="str">
        <x:v>SERVIÇOS DE LIMPEZA / FAXINA</x:v>
      </x:c>
      <x:c r="B655"/>
      <x:c r="C655" t="str">
        <x:v>015489</x:v>
      </x:c>
      <x:c r="D655" t="str">
        <x:v>LUCIENE SOUZA DE OLIVEIRA - PIX 043.949.565-28</x:v>
      </x:c>
      <x:c r="E655" t="str">
        <x:v>FAXINA ALOJAMENTO TRINDADE</x:v>
      </x:c>
      <x:c r="F655" s="4" t="n">
        <x:v>46044</x:v>
      </x:c>
      <x:c r="G655" t="str">
        <x:v>ADMINISTRATIVO</x:v>
      </x:c>
      <x:c r="H655" t="str">
        <x:v>3.7 - SERVIÇO LIMPEZA ALOJAMENTO/ESCRITORIO</x:v>
      </x:c>
      <x:c r="I655" s="5" t="n">
        <x:v>100</x:v>
      </x:c>
    </x:row>
    <x:row r="656">
      <x:c r="A656" t="str">
        <x:v>DESPESAS DE OBRAS</x:v>
      </x:c>
      <x:c r="B656"/>
      <x:c r="C656" t="str">
        <x:v>015491</x:v>
      </x:c>
      <x:c r="D656" t="str">
        <x:v>REEMBOLSO ERIVALDO NUNES DE ANDRADE</x:v>
      </x:c>
      <x:c r="E656" t="str">
        <x:v>PIX nerivaldo751@gmail.com</x:v>
      </x:c>
      <x:c r="F656" s="4" t="n">
        <x:v>46044</x:v>
      </x:c>
      <x:c r="G656" t="str">
        <x:v>FOSFATO CMOC CONTRAT</x:v>
      </x:c>
      <x:c r="H656" t="str">
        <x:v>5.3 - ALUGUEL ALOJAMENTO</x:v>
      </x:c>
      <x:c r="I656" s="5" t="n">
        <x:v>184</x:v>
      </x:c>
    </x:row>
    <x:row r="657">
      <x:c r="A657" t="str">
        <x:v>REFEIÇÃO OBRAS</x:v>
      </x:c>
      <x:c r="B657"/>
      <x:c r="C657" t="str">
        <x:v>015494</x:v>
      </x:c>
      <x:c r="D657" t="str">
        <x:v>PATRICIA GRACIANO TAVARES - PIX 042.601.731-54</x:v>
      </x:c>
      <x:c r="E657" t="str">
        <x:v>REEMBOLSO PATRICIA</x:v>
      </x:c>
      <x:c r="F657" s="4" t="n">
        <x:v>46044</x:v>
      </x:c>
      <x:c r="G657" t="str">
        <x:v>NIOBIO CMOC CONTRATO</x:v>
      </x:c>
      <x:c r="H657" t="str">
        <x:v>12.5 - REFEIÇÕES FUNCIONARIOS</x:v>
      </x:c>
      <x:c r="I657" s="5" t="n">
        <x:v>200</x:v>
      </x:c>
    </x:row>
    <x:row r="658">
      <x:c r="A658" t="str">
        <x:v>EQUATORIAL DISTRIBUIDORA DE ENERGIA S.A.</x:v>
      </x:c>
      <x:c r="B658"/>
      <x:c r="C658" t="str">
        <x:v>015496</x:v>
      </x:c>
      <x:c r="D658" t="str">
        <x:v>R. SANTO ANTONIO QD 04 LT 07 REF. 01/2026</x:v>
      </x:c>
      <x:c r="E658" t="str">
        <x:v>UC 1150013609</x:v>
      </x:c>
      <x:c r="F658" s="4" t="n">
        <x:v>46044</x:v>
      </x:c>
      <x:c r="G658" t="str">
        <x:v>ANGLO AMERICAN</x:v>
      </x:c>
      <x:c r="H658" t="str">
        <x:v>5.5 - ENERGIA ALOJAMENTO</x:v>
      </x:c>
      <x:c r="I658" s="5" t="n">
        <x:v>350.67</x:v>
      </x:c>
    </x:row>
    <x:row r="659">
      <x:c r="A659" t="str">
        <x:v>DESPESAS DE VIAGEM</x:v>
      </x:c>
      <x:c r="B659"/>
      <x:c r="C659" t="str">
        <x:v>015497</x:v>
      </x:c>
      <x:c r="D659" t="str">
        <x:v>REEMBOLSO FUNCIONARIO</x:v>
      </x:c>
      <x:c r="E659" t="str">
        <x:v>REGINALDO OLIVEIRA DE ALMEIDA</x:v>
      </x:c>
      <x:c r="F659" s="4" t="n">
        <x:v>46044</x:v>
      </x:c>
      <x:c r="G659" t="str">
        <x:v>EUROCHEM SERRA DO SALITRE</x:v>
      </x:c>
      <x:c r="H659" t="str">
        <x:v>12.7 - TRANSPORTE FUNCIONARIOS</x:v>
      </x:c>
      <x:c r="I659" s="5" t="n">
        <x:v>500</x:v>
      </x:c>
    </x:row>
    <x:row r="660">
      <x:c r="A660" t="str">
        <x:v>MANUTENÇÃO EQUIPAMENTOS</x:v>
      </x:c>
      <x:c r="B660"/>
      <x:c r="C660" t="str">
        <x:v>015498</x:v>
      </x:c>
      <x:c r="D660" t="str">
        <x:v>FERCLAV COMERCIO DE FERRAGENS - PIX 37.662.137/0001-11</x:v>
      </x:c>
      <x:c r="E660" t="str">
        <x:v>MANUTENÇÃO EQUIPAMENTOS</x:v>
      </x:c>
      <x:c r="F660" s="4" t="n">
        <x:v>46044</x:v>
      </x:c>
      <x:c r="G660" t="str">
        <x:v>FOSFATO CMOC CONTRAT</x:v>
      </x:c>
      <x:c r="H660" t="str">
        <x:v>8.14 - MANUTENÇÃO/PEÇAS MAQUINAS E EQUIPAMENTOS</x:v>
      </x:c>
      <x:c r="I660" s="5" t="n">
        <x:v>152</x:v>
      </x:c>
    </x:row>
    <x:row r="661">
      <x:c r="A661" t="str">
        <x:v>POWER EPI</x:v>
      </x:c>
      <x:c r="B661" t="str">
        <x:v>72236</x:v>
      </x:c>
      <x:c r="C661" t="str">
        <x:v>015500</x:v>
      </x:c>
      <x:c r="D661" t="str">
        <x:v>EPIS</x:v>
      </x:c>
      <x:c r="E661"/>
      <x:c r="F661" s="4" t="n">
        <x:v>46044</x:v>
      </x:c>
      <x:c r="G661" t="str">
        <x:v>VLI PINTURA</x:v>
      </x:c>
      <x:c r="H661" t="str">
        <x:v>13.1 - EPIS</x:v>
      </x:c>
      <x:c r="I661" s="5" t="n">
        <x:v>3944.61</x:v>
      </x:c>
    </x:row>
    <x:row r="662">
      <x:c r="A662" t="str">
        <x:v>POWER EPI</x:v>
      </x:c>
      <x:c r="B662" t="str">
        <x:v>72236</x:v>
      </x:c>
      <x:c r="C662" t="str">
        <x:v>015500</x:v>
      </x:c>
      <x:c r="D662" t="str">
        <x:v>EPIS</x:v>
      </x:c>
      <x:c r="E662"/>
      <x:c r="F662" s="4" t="n">
        <x:v>46044</x:v>
      </x:c>
      <x:c r="G662" t="str">
        <x:v>VLI PINTURA</x:v>
      </x:c>
      <x:c r="H662" t="str">
        <x:v>13.1 - EPIS</x:v>
      </x:c>
      <x:c r="I662" s="5" t="n">
        <x:v>3944.61</x:v>
      </x:c>
    </x:row>
    <x:row r="663">
      <x:c r="A663" t="str">
        <x:v>POWER EPI</x:v>
      </x:c>
      <x:c r="B663" t="str">
        <x:v>72236</x:v>
      </x:c>
      <x:c r="C663" t="str">
        <x:v>015500</x:v>
      </x:c>
      <x:c r="D663" t="str">
        <x:v>EPIS</x:v>
      </x:c>
      <x:c r="E663"/>
      <x:c r="F663" s="4" t="n">
        <x:v>46044</x:v>
      </x:c>
      <x:c r="G663" t="str">
        <x:v>VLI PINTURA</x:v>
      </x:c>
      <x:c r="H663" t="str">
        <x:v>13.1 - EPIS</x:v>
      </x:c>
      <x:c r="I663" s="5" t="n">
        <x:v>3945.78</x:v>
      </x:c>
    </x:row>
    <x:row r="664">
      <x:c r="A664" t="str">
        <x:v>AC COSTA NETO - CONSTRUTORA E SERVICOS</x:v>
      </x:c>
      <x:c r="B664" t="str">
        <x:v>1085</x:v>
      </x:c>
      <x:c r="C664" t="str">
        <x:v>015501</x:v>
      </x:c>
      <x:c r="D664" t="str">
        <x:v>MATERIAL ELÉTRICO</x:v>
      </x:c>
      <x:c r="E664" t="str">
        <x:v>VENCIMENTO ORIGINAL DO BOLETO 20/02/26</x:v>
      </x:c>
      <x:c r="F664" s="4" t="n">
        <x:v>46044</x:v>
      </x:c>
      <x:c r="G664" t="str">
        <x:v>CONTRATO 02 ANOS MINERAÇÃO SERRA VERDE</x:v>
      </x:c>
      <x:c r="H664" t="str">
        <x:v>8.8 - MATERIAL ELETRICO</x:v>
      </x:c>
      <x:c r="I664" s="5" t="n">
        <x:v>42</x:v>
      </x:c>
    </x:row>
    <x:row r="665">
      <x:c r="A665" t="str">
        <x:v>PAPELARIA OBRAS</x:v>
      </x:c>
      <x:c r="B665" t="str">
        <x:v>452</x:v>
      </x:c>
      <x:c r="C665" t="str">
        <x:v>015552</x:v>
      </x:c>
      <x:c r="D665" t="str">
        <x:v>ANA CLAUDIA MENEZES CNPJ 51281956/0001-40</x:v>
      </x:c>
      <x:c r="E665" t="str">
        <x:v>CADERNOS MANUAL DE CONDUTA 200 UNIDADES</x:v>
      </x:c>
      <x:c r="F665" s="4" t="n">
        <x:v>46044</x:v>
      </x:c>
      <x:c r="G665" t="str">
        <x:v>ADMINISTRATIVO</x:v>
      </x:c>
      <x:c r="H665" t="str">
        <x:v>3.9 - SERVIÇO GRAFICA / IMPRESSAO</x:v>
      </x:c>
      <x:c r="I665" s="5" t="n">
        <x:v>2000</x:v>
      </x:c>
    </x:row>
    <x:row r="666">
      <x:c r="A666" t="str">
        <x:v>CARTAO CREDITO EDUARDO</x:v>
      </x:c>
      <x:c r="B666" t="str">
        <x:v>5524</x:v>
      </x:c>
      <x:c r="C666" t="str">
        <x:v>015553</x:v>
      </x:c>
      <x:c r="D666" t="str">
        <x:v>4 LIXADEIRAS PNEUMATICAS PUMA</x:v>
      </x:c>
      <x:c r="E666" t="str">
        <x:v>ITAÚ</x:v>
      </x:c>
      <x:c r="F666" s="4" t="n">
        <x:v>46044</x:v>
      </x:c>
      <x:c r="G666" t="str">
        <x:v>VLI PINTURA</x:v>
      </x:c>
      <x:c r="H666" t="str">
        <x:v>8.5 - MAQUINAS / EQUIPAMENTOS</x:v>
      </x:c>
      <x:c r="I666" s="5" t="n">
        <x:v>1483.43</x:v>
      </x:c>
    </x:row>
    <x:row r="667">
      <x:c r="A667" t="str">
        <x:v>CARTAO CREDITO EDUARDO</x:v>
      </x:c>
      <x:c r="B667" t="str">
        <x:v>5524</x:v>
      </x:c>
      <x:c r="C667" t="str">
        <x:v>015553</x:v>
      </x:c>
      <x:c r="D667" t="str">
        <x:v>4 LIXADEIRAS PNEUMATICAS PUMA</x:v>
      </x:c>
      <x:c r="E667" t="str">
        <x:v>ITAÚ</x:v>
      </x:c>
      <x:c r="F667" s="4" t="n">
        <x:v>46044</x:v>
      </x:c>
      <x:c r="G667" t="str">
        <x:v>VLI PINTURA</x:v>
      </x:c>
      <x:c r="H667" t="str">
        <x:v>8.5 - MAQUINAS / EQUIPAMENTOS</x:v>
      </x:c>
      <x:c r="I667" s="5" t="n">
        <x:v>1308.19</x:v>
      </x:c>
    </x:row>
    <x:row r="668">
      <x:c r="A668" t="str">
        <x:v>CARTAO CREDITO EDUARDO</x:v>
      </x:c>
      <x:c r="B668" t="str">
        <x:v>5524</x:v>
      </x:c>
      <x:c r="C668" t="str">
        <x:v>015553</x:v>
      </x:c>
      <x:c r="D668" t="str">
        <x:v>4 LIXADEIRAS PNEUMATICAS PUMA</x:v>
      </x:c>
      <x:c r="E668" t="str">
        <x:v>ITAÚ</x:v>
      </x:c>
      <x:c r="F668" s="4" t="n">
        <x:v>46044</x:v>
      </x:c>
      <x:c r="G668" t="str">
        <x:v>VLI PINTURA</x:v>
      </x:c>
      <x:c r="H668" t="str">
        <x:v>8.5 - MAQUINAS / EQUIPAMENTOS</x:v>
      </x:c>
      <x:c r="I668" s="5" t="n">
        <x:v>1308.19</x:v>
      </x:c>
    </x:row>
    <x:row r="669">
      <x:c r="A669" t="str">
        <x:v>CARTAO CREDITO EDUARDO</x:v>
      </x:c>
      <x:c r="B669" t="str">
        <x:v>5524</x:v>
      </x:c>
      <x:c r="C669" t="str">
        <x:v>015553</x:v>
      </x:c>
      <x:c r="D669" t="str">
        <x:v>4 LIXADEIRAS PNEUMATICAS PUMA</x:v>
      </x:c>
      <x:c r="E669" t="str">
        <x:v>ITAÚ</x:v>
      </x:c>
      <x:c r="F669" s="4" t="n">
        <x:v>46044</x:v>
      </x:c>
      <x:c r="G669" t="str">
        <x:v>VLI PINTURA</x:v>
      </x:c>
      <x:c r="H669" t="str">
        <x:v>8.5 - MAQUINAS / EQUIPAMENTOS</x:v>
      </x:c>
      <x:c r="I669" s="5" t="n">
        <x:v>1308.19</x:v>
      </x:c>
    </x:row>
    <x:row r="670">
      <x:c r="A670" t="str">
        <x:v>G17 AUTO POSTO LTDA</x:v>
      </x:c>
      <x:c r="B670" t="str">
        <x:v>45</x:v>
      </x:c>
      <x:c r="C670" t="str">
        <x:v>015768</x:v>
      </x:c>
      <x:c r="D670" t="str">
        <x:v>COMBUSTIVEL RICARDO</x:v>
      </x:c>
      <x:c r="E670" t="str">
        <x:v>REEM RICARDO RODRIGUES</x:v>
      </x:c>
      <x:c r="F670" s="4" t="n">
        <x:v>46044</x:v>
      </x:c>
      <x:c r="G670" t="str">
        <x:v>GASTOS COMERCIAIS</x:v>
      </x:c>
      <x:c r="H670" t="str">
        <x:v>6.4 - COMBUSTIVEL VEICULOS</x:v>
      </x:c>
      <x:c r="I670" s="5" t="n">
        <x:v>200</x:v>
      </x:c>
    </x:row>
    <x:row r="671">
      <x:c r="A671" t="str">
        <x:v>DESPESAS DE VIAGEM</x:v>
      </x:c>
      <x:c r="B671"/>
      <x:c r="C671" t="str">
        <x:v>015770</x:v>
      </x:c>
      <x:c r="D671" t="str">
        <x:v>DESPESA DE VIAGEM - PATRYCK DA SILVA</x:v>
      </x:c>
      <x:c r="E671" t="str">
        <x:v>PATRYCK DA SILVA</x:v>
      </x:c>
      <x:c r="F671" s="4" t="n">
        <x:v>46044</x:v>
      </x:c>
      <x:c r="G671" t="str">
        <x:v>NIOBIO CMOC CONTRATO</x:v>
      </x:c>
      <x:c r="H671" t="str">
        <x:v>12.9 - PASSAGENS FUNCIONARIOS</x:v>
      </x:c>
      <x:c r="I671" s="5" t="n">
        <x:v>200</x:v>
      </x:c>
    </x:row>
    <x:row r="672">
      <x:c r="A672" t="str">
        <x:v>GOOGLE INTERNET LTDA</x:v>
      </x:c>
      <x:c r="B672"/>
      <x:c r="C672" t="str">
        <x:v>015771</x:v>
      </x:c>
      <x:c r="D672" t="str">
        <x:v>TRAFEGO PAGO GOOGLE</x:v>
      </x:c>
      <x:c r="E672" t="str">
        <x:v>PIX COPIA E COLA</x:v>
      </x:c>
      <x:c r="F672" s="4" t="n">
        <x:v>46044</x:v>
      </x:c>
      <x:c r="G672" t="str">
        <x:v>GASTOS COMERCIAIS</x:v>
      </x:c>
      <x:c r="H672" t="str">
        <x:v>3.5 - SERVIÇO GOOGLE ADS</x:v>
      </x:c>
      <x:c r="I672" s="5" t="n">
        <x:v>100</x:v>
      </x:c>
    </x:row>
    <x:row r="673">
      <x:c r="A673" t="str">
        <x:v>CLINICA OBRAS</x:v>
      </x:c>
      <x:c r="B673"/>
      <x:c r="C673" t="str">
        <x:v>015773</x:v>
      </x:c>
      <x:c r="D673" t="str">
        <x:v>ASO - COLABORADOR RENOVAÇÃO</x:v>
      </x:c>
      <x:c r="E673" t="str">
        <x:v>PIX CLINICA CMS ASSESSORIA EM SEGURANÇA</x:v>
      </x:c>
      <x:c r="F673" s="4" t="n">
        <x:v>46044</x:v>
      </x:c>
      <x:c r="G673" t="str">
        <x:v>EUROCHEM SERRA DO SALITRE</x:v>
      </x:c>
      <x:c r="H673" t="str">
        <x:v>14.1 - EXAMES</x:v>
      </x:c>
      <x:c r="I673" s="5" t="n">
        <x:v>454</x:v>
      </x:c>
    </x:row>
    <x:row r="674">
      <x:c r="A674" t="str">
        <x:v>BANCO CAIXA</x:v>
      </x:c>
      <x:c r="B674"/>
      <x:c r="C674" t="str">
        <x:v>016008</x:v>
      </x:c>
      <x:c r="D674" t="str">
        <x:v>DEB TARIFA</x:v>
      </x:c>
      <x:c r="E674" t="str">
        <x:v>Documento gerado a partir do Mov. 017560</x:v>
      </x:c>
      <x:c r="F674" s="4" t="n">
        <x:v>46044</x:v>
      </x:c>
      <x:c r="G674" t="str">
        <x:v>ADMINISTRATIVO</x:v>
      </x:c>
      <x:c r="H674" t="str">
        <x:v>18.2 - TARIFAS BANCARIAS</x:v>
      </x:c>
      <x:c r="I674" s="5" t="n">
        <x:v>86.8</x:v>
      </x:c>
    </x:row>
    <x:row r="675">
      <x:c r="A675" t="str">
        <x:v>INTERNET OBRAS</x:v>
      </x:c>
      <x:c r="B675"/>
      <x:c r="C675" t="str">
        <x:v>014983</x:v>
      </x:c>
      <x:c r="D675" t="str">
        <x:v>INTERNET PARCERIA EUROCHEM SERRA</x:v>
      </x:c>
      <x:c r="E675" t="str">
        <x:v>JOSE DHYEGO DE SOUSA BRANDAÃO 13 9 9635-9823</x:v>
      </x:c>
      <x:c r="F675" s="4" t="n">
        <x:v>46045</x:v>
      </x:c>
      <x:c r="G675" t="str">
        <x:v>EUROCHEM SERRA DO SALITRE</x:v>
      </x:c>
      <x:c r="H675" t="str">
        <x:v>11.14 - INTERNET OBRAS</x:v>
      </x:c>
      <x:c r="I675" s="5" t="n">
        <x:v>200</x:v>
      </x:c>
    </x:row>
    <x:row r="676">
      <x:c r="A676" t="str">
        <x:v>MARIA DA FE VIDAL PASCOA COMBUSTIVEIS LTDA</x:v>
      </x:c>
      <x:c r="B676" t="str">
        <x:v>161</x:v>
      </x:c>
      <x:c r="C676" t="str">
        <x:v>015551</x:v>
      </x:c>
      <x:c r="D676" t="str">
        <x:v>COMBUSTIVEL VEICULOS</x:v>
      </x:c>
      <x:c r="E676" t="str">
        <x:v>MARIA DA FE VIDAL PASCOA - PIX 07.430.239/0001-40</x:v>
      </x:c>
      <x:c r="F676" s="4" t="n">
        <x:v>46045</x:v>
      </x:c>
      <x:c r="G676" t="str">
        <x:v>SERENA 10 TORRES 2025</x:v>
      </x:c>
      <x:c r="H676" t="str">
        <x:v>6.4 - COMBUSTIVEL VEICULOS</x:v>
      </x:c>
      <x:c r="I676" s="5" t="n">
        <x:v>927.61</x:v>
      </x:c>
    </x:row>
    <x:row r="677">
      <x:c r="A677" t="str">
        <x:v>IDELFONSO SOARES DOS REIS - ME</x:v>
      </x:c>
      <x:c r="B677" t="str">
        <x:v>4677</x:v>
      </x:c>
      <x:c r="C677" t="str">
        <x:v>015555</x:v>
      </x:c>
      <x:c r="D677" t="str">
        <x:v>FERRAGISTA MADRI</x:v>
      </x:c>
      <x:c r="E677" t="str">
        <x:v>BOLETO  VENC 04/02/2026</x:v>
      </x:c>
      <x:c r="F677" s="4" t="n">
        <x:v>46045</x:v>
      </x:c>
      <x:c r="G677" t="str">
        <x:v>NIOBIO CMOC CONTRATO</x:v>
      </x:c>
      <x:c r="H677" t="str">
        <x:v>8.9 - MATERIAIS DE CONSUMO EM OBRAS</x:v>
      </x:c>
      <x:c r="I677" s="5" t="n">
        <x:v>293.1</x:v>
      </x:c>
    </x:row>
    <x:row r="678">
      <x:c r="A678" t="str">
        <x:v>IDELFONSO SOARES DOS REIS - ME</x:v>
      </x:c>
      <x:c r="B678" t="str">
        <x:v>4678</x:v>
      </x:c>
      <x:c r="C678" t="str">
        <x:v>015556</x:v>
      </x:c>
      <x:c r="D678" t="str">
        <x:v>FERRAMENTAS MANUAIS</x:v>
      </x:c>
      <x:c r="E678"/>
      <x:c r="F678" s="4" t="n">
        <x:v>46045</x:v>
      </x:c>
      <x:c r="G678" t="str">
        <x:v>CONTRATO 02 ANOS MINERAÇÃO SERRA VERDE</x:v>
      </x:c>
      <x:c r="H678" t="str">
        <x:v>8.6 - MATERIAIS / FERRAMENTAS  MANUAIS</x:v>
      </x:c>
      <x:c r="I678" s="5" t="n">
        <x:v>630</x:v>
      </x:c>
    </x:row>
    <x:row r="679">
      <x:c r="A679" t="str">
        <x:v>MAGNO</x:v>
      </x:c>
      <x:c r="B679"/>
      <x:c r="C679" t="str">
        <x:v>015557</x:v>
      </x:c>
      <x:c r="D679" t="str">
        <x:v>PRESTAÇÃO DE CONTA MAGNO</x:v>
      </x:c>
      <x:c r="E679" t="str">
        <x:v>REEMBOLSO MAGNO</x:v>
      </x:c>
      <x:c r="F679" s="4" t="n">
        <x:v>46045</x:v>
      </x:c>
      <x:c r="G679" t="str">
        <x:v>MOSAIC UBERABA CONTRAT0 3 ANOS</x:v>
      </x:c>
      <x:c r="H679" t="str">
        <x:v>12.5 - REFEIÇÕES FUNCIONARIOS</x:v>
      </x:c>
      <x:c r="I679" s="5" t="n">
        <x:v>221.5</x:v>
      </x:c>
    </x:row>
    <x:row r="680">
      <x:c r="A680" t="str">
        <x:v>MAGNO</x:v>
      </x:c>
      <x:c r="B680"/>
      <x:c r="C680" t="str">
        <x:v>015557</x:v>
      </x:c>
      <x:c r="D680" t="str">
        <x:v>PRESTAÇÃO DE CONTA MAGNO</x:v>
      </x:c>
      <x:c r="E680" t="str">
        <x:v>REEMBOLSO MAGNO</x:v>
      </x:c>
      <x:c r="F680" s="4" t="n">
        <x:v>46045</x:v>
      </x:c>
      <x:c r="G680" t="str">
        <x:v>MOSAIC UBERABA CONTRAT0 3 ANOS</x:v>
      </x:c>
      <x:c r="H680" t="str">
        <x:v>8.11 - MATERIAIS DE LIMPEZA / HIGIENE</x:v>
      </x:c>
      <x:c r="I680" s="5" t="n">
        <x:v>283.1</x:v>
      </x:c>
    </x:row>
    <x:row r="681">
      <x:c r="A681" t="str">
        <x:v>MAGNO</x:v>
      </x:c>
      <x:c r="B681"/>
      <x:c r="C681" t="str">
        <x:v>015558</x:v>
      </x:c>
      <x:c r="D681" t="str">
        <x:v>PRESTAÇÃO DE CONTA MAGNO</x:v>
      </x:c>
      <x:c r="E681" t="str">
        <x:v>REEMBOLSO FUNCIONARIO</x:v>
      </x:c>
      <x:c r="F681" s="4" t="n">
        <x:v>46045</x:v>
      </x:c>
      <x:c r="G681" t="str">
        <x:v>CMOC CUBATÃO</x:v>
      </x:c>
      <x:c r="H681" t="str">
        <x:v>8.14 - MANUTENÇÃO/PEÇAS MAQUINAS E EQUIPAMENTOS</x:v>
      </x:c>
      <x:c r="I681" s="5" t="n">
        <x:v>40</x:v>
      </x:c>
    </x:row>
    <x:row r="682">
      <x:c r="A682" t="str">
        <x:v>UNIODONTO UBERABA - COOP. DE ASSISTENCIA A SAUDE ODONTOLOGICA LTDA</x:v>
      </x:c>
      <x:c r="B682" t="str">
        <x:v>2532</x:v>
      </x:c>
      <x:c r="C682" t="str">
        <x:v>015559</x:v>
      </x:c>
      <x:c r="D682" t="str">
        <x:v>PLANO ODONTOLÓGICO REF. 01/2026</x:v>
      </x:c>
      <x:c r="E682"/>
      <x:c r="F682" s="4" t="n">
        <x:v>46045</x:v>
      </x:c>
      <x:c r="G682" t="str">
        <x:v>MOSAIC UBERABA CONTRAT0 3 ANOS</x:v>
      </x:c>
      <x:c r="H682" t="str">
        <x:v>12.10 - PLANO DE SAUDE</x:v>
      </x:c>
      <x:c r="I682" s="5" t="n">
        <x:v>301</x:v>
      </x:c>
    </x:row>
    <x:row r="683">
      <x:c r="A683" t="str">
        <x:v>VAN OBRAS</x:v>
      </x:c>
      <x:c r="B683"/>
      <x:c r="C683" t="str">
        <x:v>015560</x:v>
      </x:c>
      <x:c r="D683" t="str">
        <x:v>JULIO CESAR DE OLIVEIRA QUEIROZ - PIX 416.142.593-72</x:v>
      </x:c>
      <x:c r="E683" t="str">
        <x:v>TRANSPORTE COLABORADORES 20/12 A 20/01/206</x:v>
      </x:c>
      <x:c r="F683" s="4" t="n">
        <x:v>46045</x:v>
      </x:c>
      <x:c r="G683" t="str">
        <x:v>VLI PINTURA</x:v>
      </x:c>
      <x:c r="H683" t="str">
        <x:v>12.7 - TRANSPORTE FUNCIONARIOS</x:v>
      </x:c>
      <x:c r="I683" s="5" t="n">
        <x:v>2600</x:v>
      </x:c>
    </x:row>
    <x:row r="684">
      <x:c r="A684" t="str">
        <x:v>REFEIÇÃO OBRAS</x:v>
      </x:c>
      <x:c r="B684"/>
      <x:c r="C684" t="str">
        <x:v>015561</x:v>
      </x:c>
      <x:c r="D684" t="str">
        <x:v>CAIO VINICIOS PEREI - PIX (62) 9 8231-2127</x:v>
      </x:c>
      <x:c r="E684" t="str">
        <x:v>REFEIÇÕES FUNCIONÁRIOS</x:v>
      </x:c>
      <x:c r="F684" s="4" t="n">
        <x:v>46045</x:v>
      </x:c>
      <x:c r="G684" t="str">
        <x:v>ANGLO AMERICAN</x:v>
      </x:c>
      <x:c r="H684" t="str">
        <x:v>12.5 - REFEIÇÕES FUNCIONARIOS</x:v>
      </x:c>
      <x:c r="I684" s="5" t="n">
        <x:v>150</x:v>
      </x:c>
    </x:row>
    <x:row r="685">
      <x:c r="A685" t="str">
        <x:v>UBER JULIANO</x:v>
      </x:c>
      <x:c r="B685"/>
      <x:c r="C685" t="str">
        <x:v>015562</x:v>
      </x:c>
      <x:c r="D685" t="str">
        <x:v>ARTHUR RODRIGUES SEIDEMAN - PIX (64) 9 9302-3866</x:v>
      </x:c>
      <x:c r="E685" t="str">
        <x:v>TRANSPORTE COLABORADORES REF. 18/01 A 23/01</x:v>
      </x:c>
      <x:c r="F685" s="4" t="n">
        <x:v>46045</x:v>
      </x:c>
      <x:c r="G685" t="str">
        <x:v>FOSFATO CMOC CONTRAT</x:v>
      </x:c>
      <x:c r="H685" t="str">
        <x:v>12.7 - TRANSPORTE FUNCIONARIOS</x:v>
      </x:c>
      <x:c r="I685" s="5" t="n">
        <x:v>210</x:v>
      </x:c>
    </x:row>
    <x:row r="686">
      <x:c r="A686" t="str">
        <x:v>ENCOMENDA DE CATALAO</x:v>
      </x:c>
      <x:c r="B686"/>
      <x:c r="C686" t="str">
        <x:v>015564</x:v>
      </x:c>
      <x:c r="D686" t="str">
        <x:v>GABRIELLE ELIAS DE FREITAS - PIX (64) 9 9259-1215</x:v>
      </x:c>
      <x:c r="E686" t="str">
        <x:v>ENCOMENDA GOIANIA X CATALÃO</x:v>
      </x:c>
      <x:c r="F686" s="4" t="n">
        <x:v>46045</x:v>
      </x:c>
      <x:c r="G686" t="str">
        <x:v>FOSFATO CMOC CONTRAT</x:v>
      </x:c>
      <x:c r="H686" t="str">
        <x:v>10.1 - FRETE MATERIAIS E EQUIPAMENTOS</x:v>
      </x:c>
      <x:c r="I686" s="5" t="n">
        <x:v>150</x:v>
      </x:c>
    </x:row>
    <x:row r="687">
      <x:c r="A687" t="str">
        <x:v>MANUTENÇÃO EQUIPAMENTOS</x:v>
      </x:c>
      <x:c r="B687" t="str">
        <x:v>2833</x:v>
      </x:c>
      <x:c r="C687" t="str">
        <x:v>015786</x:v>
      </x:c>
      <x:c r="D687" t="str">
        <x:v>ALINE AIRES PEREIRA - PIX 10.899.310/0001-43</x:v>
      </x:c>
      <x:c r="E687" t="str">
        <x:v>MANUTENÇAO IMPRESSORA EPSON L3150</x:v>
      </x:c>
      <x:c r="F687" s="4" t="n">
        <x:v>46045</x:v>
      </x:c>
      <x:c r="G687" t="str">
        <x:v>FOSFATO CMOC CONTRAT</x:v>
      </x:c>
      <x:c r="H687" t="str">
        <x:v>8.14 - MANUTENÇÃO/PEÇAS MAQUINAS E EQUIPAMENTOS</x:v>
      </x:c>
      <x:c r="I687" s="5" t="n">
        <x:v>145</x:v>
      </x:c>
    </x:row>
    <x:row r="688">
      <x:c r="A688" t="str">
        <x:v>A F DE OLIVEIRA - FRANCA LOCACOES EIRELI - ME</x:v>
      </x:c>
      <x:c r="B688" t="str">
        <x:v>15057</x:v>
      </x:c>
      <x:c r="C688" t="str">
        <x:v>015789</x:v>
      </x:c>
      <x:c r="D688" t="str">
        <x:v>A F DE OLIVEIRA - LOJA DAS CAD - PIX 24.183.993/0001-42</x:v>
      </x:c>
      <x:c r="E688" t="str">
        <x:v>DOAÇÃO - CADEIRA BISTRO</x:v>
      </x:c>
      <x:c r="F688" s="4" t="n">
        <x:v>46045</x:v>
      </x:c>
      <x:c r="G688" t="str">
        <x:v>ADMINISTRATIVO</x:v>
      </x:c>
      <x:c r="H688" t="str">
        <x:v>16.4 - DOAÇÕES BENEFICENTES</x:v>
      </x:c>
      <x:c r="I688" s="5" t="n">
        <x:v>149.76</x:v>
      </x:c>
    </x:row>
    <x:row r="689">
      <x:c r="A689" t="str">
        <x:v>AUTO POSTO TERRA SANTA LTDA</x:v>
      </x:c>
      <x:c r="B689" t="str">
        <x:v>7862</x:v>
      </x:c>
      <x:c r="C689" t="str">
        <x:v>015792</x:v>
      </x:c>
      <x:c r="D689" t="str">
        <x:v>AUTO POSTO TERRA SANTA LTDA - PIX 3c014e4f-220a-44f7-80fd-c147aae5ed10</x:v>
      </x:c>
      <x:c r="E689" t="str">
        <x:v>COMBUSTÍVEL VEÍCULOS</x:v>
      </x:c>
      <x:c r="F689" s="4" t="n">
        <x:v>46045</x:v>
      </x:c>
      <x:c r="G689" t="str">
        <x:v>ANGLO AMERICAN</x:v>
      </x:c>
      <x:c r="H689" t="str">
        <x:v>6.4 - COMBUSTIVEL VEICULOS</x:v>
      </x:c>
      <x:c r="I689" s="5" t="n">
        <x:v>250.3</x:v>
      </x:c>
    </x:row>
    <x:row r="690">
      <x:c r="A690" t="str">
        <x:v>SKYTECH IMPRESSORAS E INFORMATICA LTDA</x:v>
      </x:c>
      <x:c r="B690" t="str">
        <x:v>110</x:v>
      </x:c>
      <x:c r="C690" t="str">
        <x:v>015794</x:v>
      </x:c>
      <x:c r="D690" t="str">
        <x:v>SKYTECH IMPRESSORAS E INFORMAT - PIX 11.736.619/0001-85</x:v>
      </x:c>
      <x:c r="E690" t="str">
        <x:v>MANUTENÇAO IMPRESSORA BROTHER DCP-L3560</x:v>
      </x:c>
      <x:c r="F690" s="4" t="n">
        <x:v>46045</x:v>
      </x:c>
      <x:c r="G690" t="str">
        <x:v>ADMINISTRATIVO</x:v>
      </x:c>
      <x:c r="H690" t="str">
        <x:v>8.14 - MANUTENÇÃO/PEÇAS MAQUINAS E EQUIPAMENTOS</x:v>
      </x:c>
      <x:c r="I690" s="5" t="n">
        <x:v>570</x:v>
      </x:c>
    </x:row>
    <x:row r="691">
      <x:c r="A691" t="str">
        <x:v>ROBERTO SERVIÇOS</x:v>
      </x:c>
      <x:c r="B691"/>
      <x:c r="C691" t="str">
        <x:v>015795</x:v>
      </x:c>
      <x:c r="D691" t="str">
        <x:v>VIAGEM ROBERTO GOIÂNIA X GOIANÉSIA</x:v>
      </x:c>
      <x:c r="E691"/>
      <x:c r="F691" s="4" t="n">
        <x:v>46045</x:v>
      </x:c>
      <x:c r="G691" t="str">
        <x:v>ANGLO AMERICAN</x:v>
      </x:c>
      <x:c r="H691" t="str">
        <x:v>10.1 - FRETE MATERIAIS E EQUIPAMENTOS</x:v>
      </x:c>
      <x:c r="I691" s="5" t="n">
        <x:v>200</x:v>
      </x:c>
    </x:row>
    <x:row r="692">
      <x:c r="A692" t="str">
        <x:v>UBER MOACIR</x:v>
      </x:c>
      <x:c r="B692"/>
      <x:c r="C692" t="str">
        <x:v>015796</x:v>
      </x:c>
      <x:c r="D692" t="str">
        <x:v>MOACIR BERNARDO DE BRITO SANTO - PIX (62) 9 9179-6006</x:v>
      </x:c>
      <x:c r="E692" t="str">
        <x:v>BUSCAR IMPRESSORA</x:v>
      </x:c>
      <x:c r="F692" s="4" t="n">
        <x:v>46045</x:v>
      </x:c>
      <x:c r="G692" t="str">
        <x:v>ADMINISTRATIVO</x:v>
      </x:c>
      <x:c r="H692" t="str">
        <x:v>3.8 - SERVIÇO MOTOBOY / UBER</x:v>
      </x:c>
      <x:c r="I692" s="5" t="n">
        <x:v>80</x:v>
      </x:c>
    </x:row>
    <x:row r="693">
      <x:c r="A693" t="str">
        <x:v>BONIFICAÇOES</x:v>
      </x:c>
      <x:c r="B693"/>
      <x:c r="C693" t="str">
        <x:v>015797</x:v>
      </x:c>
      <x:c r="D693" t="str">
        <x:v>BONIFICAÇÃO - GESTOR VLI</x:v>
      </x:c>
      <x:c r="E693" t="str">
        <x:v>RECIBO</x:v>
      </x:c>
      <x:c r="F693" s="4" t="n">
        <x:v>46045</x:v>
      </x:c>
      <x:c r="G693" t="str">
        <x:v>VLI PINTURA</x:v>
      </x:c>
      <x:c r="H693" t="str">
        <x:v>12.17 - BONIFICAÇOES</x:v>
      </x:c>
      <x:c r="I693" s="5" t="n">
        <x:v>4000</x:v>
      </x:c>
    </x:row>
    <x:row r="694">
      <x:c r="A694" t="str">
        <x:v>AJEL MATERIAIS ELETRICOS LTDA</x:v>
      </x:c>
      <x:c r="B694" t="str">
        <x:v>1043788</x:v>
      </x:c>
      <x:c r="C694" t="str">
        <x:v>015841</x:v>
      </x:c>
      <x:c r="D694" t="str">
        <x:v>MATERIAIS ELÉTRICOS</x:v>
      </x:c>
      <x:c r="E694"/>
      <x:c r="F694" s="4" t="n">
        <x:v>46045</x:v>
      </x:c>
      <x:c r="G694" t="str">
        <x:v>CONTRATO 02 ANOS MINERAÇÃO SERRA VERDE</x:v>
      </x:c>
      <x:c r="H694" t="str">
        <x:v>8.8 - MATERIAL ELETRICO</x:v>
      </x:c>
      <x:c r="I694" s="5" t="n">
        <x:v>584.77</x:v>
      </x:c>
    </x:row>
    <x:row r="695">
      <x:c r="A695" t="str">
        <x:v>CARTAO CREDITO EDUARDO</x:v>
      </x:c>
      <x:c r="B695" t="str">
        <x:v>229</x:v>
      </x:c>
      <x:c r="C695" t="str">
        <x:v>016263</x:v>
      </x:c>
      <x:c r="D695" t="str">
        <x:v>MANUTENÇÃO FIAT TORO 1/4</x:v>
      </x:c>
      <x:c r="E695" t="str">
        <x:v>ITAÚ</x:v>
      </x:c>
      <x:c r="F695" s="4" t="n">
        <x:v>46045</x:v>
      </x:c>
      <x:c r="G695" t="str">
        <x:v>ANGLO AMERICAN</x:v>
      </x:c>
      <x:c r="H695" t="str">
        <x:v>6.3 - MANUTENÇÃO/PEÇAS  VEICULOS</x:v>
      </x:c>
      <x:c r="I695" s="5" t="n">
        <x:v>357.87</x:v>
      </x:c>
    </x:row>
    <x:row r="696">
      <x:c r="A696" t="str">
        <x:v>CARTAO CREDITO EDUARDO</x:v>
      </x:c>
      <x:c r="B696" t="str">
        <x:v>229</x:v>
      </x:c>
      <x:c r="C696" t="str">
        <x:v>016263</x:v>
      </x:c>
      <x:c r="D696" t="str">
        <x:v>MANUTENÇÃO FIAT TORO 1/4</x:v>
      </x:c>
      <x:c r="E696" t="str">
        <x:v>ITAÚ</x:v>
      </x:c>
      <x:c r="F696" s="4" t="n">
        <x:v>46045</x:v>
      </x:c>
      <x:c r="G696" t="str">
        <x:v>ANGLO AMERICAN</x:v>
      </x:c>
      <x:c r="H696" t="str">
        <x:v>6.3 - MANUTENÇÃO/PEÇAS  VEICULOS</x:v>
      </x:c>
      <x:c r="I696" s="5" t="n">
        <x:v>357.87</x:v>
      </x:c>
    </x:row>
    <x:row r="697">
      <x:c r="A697" t="str">
        <x:v>CARTAO CREDITO EDUARDO</x:v>
      </x:c>
      <x:c r="B697" t="str">
        <x:v>229</x:v>
      </x:c>
      <x:c r="C697" t="str">
        <x:v>016263</x:v>
      </x:c>
      <x:c r="D697" t="str">
        <x:v>MANUTENÇÃO FIAT TORO 1/4</x:v>
      </x:c>
      <x:c r="E697" t="str">
        <x:v>ITAÚ</x:v>
      </x:c>
      <x:c r="F697" s="4" t="n">
        <x:v>46045</x:v>
      </x:c>
      <x:c r="G697" t="str">
        <x:v>ANGLO AMERICAN</x:v>
      </x:c>
      <x:c r="H697" t="str">
        <x:v>6.3 - MANUTENÇÃO/PEÇAS  VEICULOS</x:v>
      </x:c>
      <x:c r="I697" s="5" t="n">
        <x:v>357.87</x:v>
      </x:c>
    </x:row>
    <x:row r="698">
      <x:c r="A698" t="str">
        <x:v>CARTAO CREDITO EDUARDO</x:v>
      </x:c>
      <x:c r="B698" t="str">
        <x:v>229</x:v>
      </x:c>
      <x:c r="C698" t="str">
        <x:v>016263</x:v>
      </x:c>
      <x:c r="D698" t="str">
        <x:v>MANUTENÇÃO FIAT TORO 1/4</x:v>
      </x:c>
      <x:c r="E698" t="str">
        <x:v>ITAÚ</x:v>
      </x:c>
      <x:c r="F698" s="4" t="n">
        <x:v>46045</x:v>
      </x:c>
      <x:c r="G698" t="str">
        <x:v>ANGLO AMERICAN</x:v>
      </x:c>
      <x:c r="H698" t="str">
        <x:v>6.3 - MANUTENÇÃO/PEÇAS  VEICULOS</x:v>
      </x:c>
      <x:c r="I698" s="5" t="n">
        <x:v>357.87</x:v>
      </x:c>
    </x:row>
    <x:row r="699">
      <x:c r="A699" t="str">
        <x:v>CARTAO CREDITO EDUARDO</x:v>
      </x:c>
      <x:c r="B699" t="str">
        <x:v>244</x:v>
      </x:c>
      <x:c r="C699" t="str">
        <x:v>016264</x:v>
      </x:c>
      <x:c r="D699" t="str">
        <x:v>MANUTENÇÃO FIAT TORO 1/4</x:v>
      </x:c>
      <x:c r="E699" t="str">
        <x:v>ITAÚ</x:v>
      </x:c>
      <x:c r="F699" s="4" t="n">
        <x:v>46045</x:v>
      </x:c>
      <x:c r="G699" t="str">
        <x:v>ANGLO AMERICAN</x:v>
      </x:c>
      <x:c r="H699" t="str">
        <x:v>6.3 - MANUTENÇÃO/PEÇAS  VEICULOS</x:v>
      </x:c>
      <x:c r="I699" s="5" t="n">
        <x:v>767.5</x:v>
      </x:c>
    </x:row>
    <x:row r="700">
      <x:c r="A700" t="str">
        <x:v>CARTAO CREDITO EDUARDO</x:v>
      </x:c>
      <x:c r="B700" t="str">
        <x:v>244</x:v>
      </x:c>
      <x:c r="C700" t="str">
        <x:v>016264</x:v>
      </x:c>
      <x:c r="D700" t="str">
        <x:v>MANUTENÇÃO FIAT TORO 1/4</x:v>
      </x:c>
      <x:c r="E700" t="str">
        <x:v>ITAÚ</x:v>
      </x:c>
      <x:c r="F700" s="4" t="n">
        <x:v>46045</x:v>
      </x:c>
      <x:c r="G700" t="str">
        <x:v>ANGLO AMERICAN</x:v>
      </x:c>
      <x:c r="H700" t="str">
        <x:v>6.3 - MANUTENÇÃO/PEÇAS  VEICULOS</x:v>
      </x:c>
      <x:c r="I700" s="5" t="n">
        <x:v>767.5</x:v>
      </x:c>
    </x:row>
    <x:row r="701">
      <x:c r="A701" t="str">
        <x:v>CARTAO CREDITO EDUARDO</x:v>
      </x:c>
      <x:c r="B701" t="str">
        <x:v>244</x:v>
      </x:c>
      <x:c r="C701" t="str">
        <x:v>016264</x:v>
      </x:c>
      <x:c r="D701" t="str">
        <x:v>MANUTENÇÃO FIAT TORO 1/4</x:v>
      </x:c>
      <x:c r="E701" t="str">
        <x:v>ITAÚ</x:v>
      </x:c>
      <x:c r="F701" s="4" t="n">
        <x:v>46045</x:v>
      </x:c>
      <x:c r="G701" t="str">
        <x:v>ANGLO AMERICAN</x:v>
      </x:c>
      <x:c r="H701" t="str">
        <x:v>6.3 - MANUTENÇÃO/PEÇAS  VEICULOS</x:v>
      </x:c>
      <x:c r="I701" s="5" t="n">
        <x:v>767.5</x:v>
      </x:c>
    </x:row>
    <x:row r="702">
      <x:c r="A702" t="str">
        <x:v>CARTAO CREDITO EDUARDO</x:v>
      </x:c>
      <x:c r="B702" t="str">
        <x:v>244</x:v>
      </x:c>
      <x:c r="C702" t="str">
        <x:v>016264</x:v>
      </x:c>
      <x:c r="D702" t="str">
        <x:v>MANUTENÇÃO FIAT TORO 1/4</x:v>
      </x:c>
      <x:c r="E702" t="str">
        <x:v>ITAÚ</x:v>
      </x:c>
      <x:c r="F702" s="4" t="n">
        <x:v>46045</x:v>
      </x:c>
      <x:c r="G702" t="str">
        <x:v>ANGLO AMERICAN</x:v>
      </x:c>
      <x:c r="H702" t="str">
        <x:v>6.3 - MANUTENÇÃO/PEÇAS  VEICULOS</x:v>
      </x:c>
      <x:c r="I702" s="5" t="n">
        <x:v>767.5</x:v>
      </x:c>
    </x:row>
    <x:row r="703">
      <x:c r="A703" t="str">
        <x:v>MARIA DA CONCEICAO</x:v>
      </x:c>
      <x:c r="B703" t="str">
        <x:v>223</x:v>
      </x:c>
      <x:c r="C703" t="str">
        <x:v>015840</x:v>
      </x:c>
      <x:c r="D703" t="str">
        <x:v>MARIA DA CONCEIÇÃO - PIX 40.673.913/0001-93</x:v>
      </x:c>
      <x:c r="E703" t="str">
        <x:v>REFEIÇÕES FUNCIONÁRIOS</x:v>
      </x:c>
      <x:c r="F703" s="4" t="n">
        <x:v>46047</x:v>
      </x:c>
      <x:c r="G703" t="str">
        <x:v>CMOC CUBATÃO</x:v>
      </x:c>
      <x:c r="H703" t="str">
        <x:v>12.5 - REFEIÇÕES FUNCIONARIOS</x:v>
      </x:c>
      <x:c r="I703" s="5" t="n">
        <x:v>5264</x:v>
      </x:c>
    </x:row>
    <x:row r="704">
      <x:c r="A704" t="str">
        <x:v>RETIRADA</x:v>
      </x:c>
      <x:c r="B704"/>
      <x:c r="C704" t="str">
        <x:v>015366</x:v>
      </x:c>
      <x:c r="D704" t="str">
        <x:v>PARTICIPAÇÃO PORTO FERREIRA 50% DO PAGAMENTO</x:v>
      </x:c>
      <x:c r="E704" t="str">
        <x:v>38% GI 38% GE 9,5% SRE 9,5% RMP 5% IVAN</x:v>
      </x:c>
      <x:c r="F704" s="4" t="n">
        <x:v>46048</x:v>
      </x:c>
      <x:c r="G704" t="str">
        <x:v>RETIRADA</x:v>
      </x:c>
      <x:c r="H704" t="str">
        <x:v>16.2 - RETIRADAS</x:v>
      </x:c>
      <x:c r="I704" s="5" t="n">
        <x:v>100000</x:v>
      </x:c>
    </x:row>
    <x:row r="705">
      <x:c r="A705" t="str">
        <x:v>ESPEDITO ADESIVOS</x:v>
      </x:c>
      <x:c r="B705"/>
      <x:c r="C705" t="str">
        <x:v>015563</x:v>
      </x:c>
      <x:c r="D705" t="str">
        <x:v>ESPEDITO NICOLAU DOS SANTOS - PIX  271.495.521-53</x:v>
      </x:c>
      <x:c r="E705" t="str">
        <x:v>ADESIVOS DE PORTA PARA CARROS</x:v>
      </x:c>
      <x:c r="F705" s="4" t="n">
        <x:v>46048</x:v>
      </x:c>
      <x:c r="G705" t="str">
        <x:v>ADMINISTRATIVO</x:v>
      </x:c>
      <x:c r="H705" t="str">
        <x:v>3.16 - SERVIÇO PLOTAGEM / ADESIVO / PLACAS / CRACHAS</x:v>
      </x:c>
      <x:c r="I705" s="5" t="n">
        <x:v>237.5</x:v>
      </x:c>
    </x:row>
    <x:row r="706">
      <x:c r="A706" t="str">
        <x:v>51.428.354 VINICIUS VIEIRA DE ARAUJO</x:v>
      </x:c>
      <x:c r="B706" t="str">
        <x:v>687</x:v>
      </x:c>
      <x:c r="C706" t="str">
        <x:v>015565</x:v>
      </x:c>
      <x:c r="D706" t="str">
        <x:v>VINICIUS VIEIRA DE ARAUJO - PIX :  (62) 9 9697-8051</x:v>
      </x:c>
      <x:c r="E706" t="str">
        <x:v>FRETE GOIANIA X BRASILIA X SOUZALANDIA</x:v>
      </x:c>
      <x:c r="F706" s="4" t="n">
        <x:v>46048</x:v>
      </x:c>
      <x:c r="G706" t="str">
        <x:v>ANGLO AMERICAN</x:v>
      </x:c>
      <x:c r="H706" t="str">
        <x:v>10.1 - FRETE MATERIAIS E EQUIPAMENTOS</x:v>
      </x:c>
      <x:c r="I706" s="5" t="n">
        <x:v>3034.5</x:v>
      </x:c>
    </x:row>
    <x:row r="707">
      <x:c r="A707" t="str">
        <x:v>PRUDENTIAL DO BRASIL SEGURO DE VIDAS</x:v>
      </x:c>
      <x:c r="B707"/>
      <x:c r="C707" t="str">
        <x:v>015802</x:v>
      </x:c>
      <x:c r="D707" t="str">
        <x:v>SEGURO DE VIDA GILVAN</x:v>
      </x:c>
      <x:c r="E707"/>
      <x:c r="F707" s="4" t="n">
        <x:v>46048</x:v>
      </x:c>
      <x:c r="G707" t="str">
        <x:v>ADMINISTRATIVO</x:v>
      </x:c>
      <x:c r="H707" t="str">
        <x:v>12.12 - SEGUROS DE VIDA</x:v>
      </x:c>
      <x:c r="I707" s="5" t="n">
        <x:v>2720.36</x:v>
      </x:c>
    </x:row>
    <x:row r="708">
      <x:c r="A708" t="str">
        <x:v>PRUDENTIAL DO BRASIL SEGURO DE VIDAS</x:v>
      </x:c>
      <x:c r="B708"/>
      <x:c r="C708" t="str">
        <x:v>015803</x:v>
      </x:c>
      <x:c r="D708" t="str">
        <x:v>SEGURO DE VIDA GENILDO</x:v>
      </x:c>
      <x:c r="E708"/>
      <x:c r="F708" s="4" t="n">
        <x:v>46048</x:v>
      </x:c>
      <x:c r="G708" t="str">
        <x:v>ADMINISTRATIVO</x:v>
      </x:c>
      <x:c r="H708" t="str">
        <x:v>12.12 - SEGUROS DE VIDA</x:v>
      </x:c>
      <x:c r="I708" s="5" t="n">
        <x:v>3167.69</x:v>
      </x:c>
    </x:row>
    <x:row r="709">
      <x:c r="A709" t="str">
        <x:v>GENILDO</x:v>
      </x:c>
      <x:c r="B709"/>
      <x:c r="C709" t="str">
        <x:v>015804</x:v>
      </x:c>
      <x:c r="D709" t="str">
        <x:v>VIAGEM VISITA TECNICA GENILDO</x:v>
      </x:c>
      <x:c r="E709"/>
      <x:c r="F709" s="4" t="n">
        <x:v>46048</x:v>
      </x:c>
      <x:c r="G709" t="str">
        <x:v>CONTRATO 02 ANOS MINERAÇÃO SERRA VERDE</x:v>
      </x:c>
      <x:c r="H709" t="str">
        <x:v>6.4 - COMBUSTIVEL VEICULOS</x:v>
      </x:c>
      <x:c r="I709" s="5" t="n">
        <x:v>1000</x:v>
      </x:c>
    </x:row>
    <x:row r="710">
      <x:c r="A710" t="str">
        <x:v>ALIMENTAÇÃO ADM</x:v>
      </x:c>
      <x:c r="B710"/>
      <x:c r="C710" t="str">
        <x:v>015805</x:v>
      </x:c>
      <x:c r="D710" t="str">
        <x:v>MARCELO LOPES DE SOUZA - PIX (62) 9 8406-5777</x:v>
      </x:c>
      <x:c r="E710" t="str">
        <x:v>REFEIÇÃO REF. EVENTO POLO INDUSTRIAL DE TRINDADE</x:v>
      </x:c>
      <x:c r="F710" s="4" t="n">
        <x:v>46048</x:v>
      </x:c>
      <x:c r="G710" t="str">
        <x:v>ADMINISTRATIVO</x:v>
      </x:c>
      <x:c r="H710" t="str">
        <x:v>11.5 - ALIMENTAÇÃO ADM</x:v>
      </x:c>
      <x:c r="I710" s="5" t="n">
        <x:v>70</x:v>
      </x:c>
    </x:row>
    <x:row r="711">
      <x:c r="A711" t="str">
        <x:v>DESPESAS VEICULOS</x:v>
      </x:c>
      <x:c r="B711" t="str">
        <x:v>18</x:v>
      </x:c>
      <x:c r="C711" t="str">
        <x:v>015806</x:v>
      </x:c>
      <x:c r="D711" t="str">
        <x:v>AGRICOLA SERVICOS LTDA - PIX 53.602.733/0001-62</x:v>
      </x:c>
      <x:c r="E711" t="str">
        <x:v>MANUTENÇAO VEÍCULO OROCH</x:v>
      </x:c>
      <x:c r="F711" s="4" t="n">
        <x:v>46048</x:v>
      </x:c>
      <x:c r="G711" t="str">
        <x:v>EUROCHEM SERRA DO SALITRE</x:v>
      </x:c>
      <x:c r="H711" t="str">
        <x:v>6.3 - MANUTENÇÃO/PEÇAS  VEICULOS</x:v>
      </x:c>
      <x:c r="I711" s="5" t="n">
        <x:v>180</x:v>
      </x:c>
    </x:row>
    <x:row r="712">
      <x:c r="A712" t="str">
        <x:v>Agricola Auto Pecas Ltda-me</x:v>
      </x:c>
      <x:c r="B712" t="str">
        <x:v>15809</x:v>
      </x:c>
      <x:c r="C712" t="str">
        <x:v>015807</x:v>
      </x:c>
      <x:c r="D712" t="str">
        <x:v>AGRICOLA AUTO PECAS LTDA - PIX 02.702.210/0001-57</x:v>
      </x:c>
      <x:c r="E712" t="str">
        <x:v>MANUTENÇÃO VEÍCULOS OROCH</x:v>
      </x:c>
      <x:c r="F712" s="4" t="n">
        <x:v>46048</x:v>
      </x:c>
      <x:c r="G712" t="str">
        <x:v>EUROCHEM SERRA DO SALITRE</x:v>
      </x:c>
      <x:c r="H712" t="str">
        <x:v>6.3 - MANUTENÇÃO/PEÇAS  VEICULOS</x:v>
      </x:c>
      <x:c r="I712" s="5" t="n">
        <x:v>309</x:v>
      </x:c>
    </x:row>
    <x:row r="713">
      <x:c r="A713" t="str">
        <x:v>FERRAGISTA OBRAS</x:v>
      </x:c>
      <x:c r="B713"/>
      <x:c r="C713" t="str">
        <x:v>015808</x:v>
      </x:c>
      <x:c r="D713" t="str">
        <x:v>TECIDOS E ARMARINHOS MIGUEL BA - PIX 17.359.233/0001-88</x:v>
      </x:c>
      <x:c r="E713" t="str">
        <x:v>03 BACIAS DE CONTENÇÃO DE 500L</x:v>
      </x:c>
      <x:c r="F713" s="4" t="n">
        <x:v>46048</x:v>
      </x:c>
      <x:c r="G713" t="str">
        <x:v>VLI PINTURA</x:v>
      </x:c>
      <x:c r="H713" t="str">
        <x:v>8.9 - MATERIAIS DE CONSUMO EM OBRAS</x:v>
      </x:c>
      <x:c r="I713" s="5" t="n">
        <x:v>1364.79</x:v>
      </x:c>
    </x:row>
    <x:row r="714">
      <x:c r="A714" t="str">
        <x:v>MULTIPLACAS SINALIZADORAS LTDA</x:v>
      </x:c>
      <x:c r="B714" t="str">
        <x:v>102</x:v>
      </x:c>
      <x:c r="C714" t="str">
        <x:v>015831</x:v>
      </x:c>
      <x:c r="D714" t="str">
        <x:v>ESPEDITO NICOLAU DOS SANTOS - PIX  58.568.133/0001-49</x:v>
      </x:c>
      <x:c r="E714" t="str">
        <x:v>PLACA PVC 03MM X 70X35</x:v>
      </x:c>
      <x:c r="F714" s="4" t="n">
        <x:v>46048</x:v>
      </x:c>
      <x:c r="G714" t="str">
        <x:v>CONTRATO 02 ANOS MINERAÇÃO SERRA VERDE</x:v>
      </x:c>
      <x:c r="H714" t="str">
        <x:v>3.16 - SERVIÇO PLOTAGEM / ADESIVO / PLACAS / CRACHAS</x:v>
      </x:c>
      <x:c r="I714" s="5" t="n">
        <x:v>294</x:v>
      </x:c>
    </x:row>
    <x:row r="715">
      <x:c r="A715" t="str">
        <x:v>POTENCIA COMERCIO DE EXTINTORES LTDA</x:v>
      </x:c>
      <x:c r="B715" t="str">
        <x:v>10318</x:v>
      </x:c>
      <x:c r="C715" t="str">
        <x:v>015839</x:v>
      </x:c>
      <x:c r="D715" t="str">
        <x:v>MATERIAIS DE CONSUMO</x:v>
      </x:c>
      <x:c r="E715"/>
      <x:c r="F715" s="4" t="n">
        <x:v>46048</x:v>
      </x:c>
      <x:c r="G715" t="str">
        <x:v>CONTRATO 02 ANOS MINERAÇÃO SERRA VERDE</x:v>
      </x:c>
      <x:c r="H715" t="str">
        <x:v>8.9 - MATERIAIS DE CONSUMO EM OBRAS</x:v>
      </x:c>
      <x:c r="I715" s="5" t="n">
        <x:v>540</x:v>
      </x:c>
    </x:row>
    <x:row r="716">
      <x:c r="A716" t="str">
        <x:v>DUEZZ MARKETING DIGITAL LTDA</x:v>
      </x:c>
      <x:c r="B716" t="str">
        <x:v>9</x:v>
      </x:c>
      <x:c r="C716" t="str">
        <x:v>015849</x:v>
      </x:c>
      <x:c r="D716" t="str">
        <x:v>DUEZZ MARKETING DIGITAL - PIX 51.842.871/0001-93</x:v>
      </x:c>
      <x:c r="E716" t="str">
        <x:v>50% VALOR INICIAL IMAGENS EM GOIATUBA</x:v>
      </x:c>
      <x:c r="F716" s="4" t="n">
        <x:v>46048</x:v>
      </x:c>
      <x:c r="G716" t="str">
        <x:v>AGREX IMPERMEALIZAÇAO DE TELHADO</x:v>
      </x:c>
      <x:c r="H716" t="str">
        <x:v>3.21 - SERVIÇO MARKETING</x:v>
      </x:c>
      <x:c r="I716" s="5" t="n">
        <x:v>1053.5</x:v>
      </x:c>
    </x:row>
    <x:row r="717">
      <x:c r="A717" t="str">
        <x:v>REAL BORRACHA EIRELI</x:v>
      </x:c>
      <x:c r="B717" t="str">
        <x:v>97121</x:v>
      </x:c>
      <x:c r="C717" t="str">
        <x:v>015850</x:v>
      </x:c>
      <x:c r="D717" t="str">
        <x:v>EPIS</x:v>
      </x:c>
      <x:c r="E717" t="str">
        <x:v>VENCIMENTO ORIGINAL DO BOLETO 23/02/26</x:v>
      </x:c>
      <x:c r="F717" s="4" t="n">
        <x:v>46048</x:v>
      </x:c>
      <x:c r="G717" t="str">
        <x:v>NIOBIO CMOC CONTRATO</x:v>
      </x:c>
      <x:c r="H717" t="str">
        <x:v>13.1 - EPIS</x:v>
      </x:c>
      <x:c r="I717" s="5" t="n">
        <x:v>188.26</x:v>
      </x:c>
    </x:row>
    <x:row r="718">
      <x:c r="A718" t="str">
        <x:v>GENILDO</x:v>
      </x:c>
      <x:c r="B718" t="str">
        <x:v>6054</x:v>
      </x:c>
      <x:c r="C718" t="str">
        <x:v>015973</x:v>
      </x:c>
      <x:c r="D718" t="str">
        <x:v>COMBUSTIVEL VEÍCULOS</x:v>
      </x:c>
      <x:c r="E718" t="str">
        <x:v>REEMBOLSO GENILDO</x:v>
      </x:c>
      <x:c r="F718" s="4" t="n">
        <x:v>46048</x:v>
      </x:c>
      <x:c r="G718" t="str">
        <x:v>CONTRATO 02 ANOS MINERAÇÃO SERRA VERDE</x:v>
      </x:c>
      <x:c r="H718" t="str">
        <x:v>6.4 - COMBUSTIVEL VEICULOS</x:v>
      </x:c>
      <x:c r="I718" s="5" t="n">
        <x:v>295.05</x:v>
      </x:c>
    </x:row>
    <x:row r="719">
      <x:c r="A719" t="str">
        <x:v>GENILDO</x:v>
      </x:c>
      <x:c r="B719" t="str">
        <x:v>1388</x:v>
      </x:c>
      <x:c r="C719" t="str">
        <x:v>015977</x:v>
      </x:c>
      <x:c r="D719" t="str">
        <x:v>COMBUSTIVEL VEICULOS</x:v>
      </x:c>
      <x:c r="E719" t="str">
        <x:v>REEMBOLSO GENILDO</x:v>
      </x:c>
      <x:c r="F719" s="4" t="n">
        <x:v>46048</x:v>
      </x:c>
      <x:c r="G719" t="str">
        <x:v>ANGLO AMERICAN</x:v>
      </x:c>
      <x:c r="H719" t="str">
        <x:v>6.4 - COMBUSTIVEL VEICULOS</x:v>
      </x:c>
      <x:c r="I719" s="5" t="n">
        <x:v>421.92</x:v>
      </x:c>
    </x:row>
    <x:row r="720">
      <x:c r="A720" t="str">
        <x:v>BANCO ITAU</x:v>
      </x:c>
      <x:c r="B720"/>
      <x:c r="C720" t="str">
        <x:v>006542</x:v>
      </x:c>
      <x:c r="D720" t="str">
        <x:v>FINANCIAMENTO OROCH</x:v>
      </x:c>
      <x:c r="E720"/>
      <x:c r="F720" s="4" t="n">
        <x:v>46049</x:v>
      </x:c>
      <x:c r="G720" t="str">
        <x:v>IMOBILIZADO / INVESTIMENTO</x:v>
      </x:c>
      <x:c r="H720" t="str">
        <x:v>11.7 - FINANCIAMENTO</x:v>
      </x:c>
      <x:c r="I720" s="5" t="n">
        <x:v>3601.26</x:v>
      </x:c>
    </x:row>
    <x:row r="721">
      <x:c r="A721" t="str">
        <x:v>QUALI TINTAS</x:v>
      </x:c>
      <x:c r="B721" t="str">
        <x:v>19807</x:v>
      </x:c>
      <x:c r="C721" t="str">
        <x:v>015632</x:v>
      </x:c>
      <x:c r="D721" t="str">
        <x:v>QUALITINTAS</x:v>
      </x:c>
      <x:c r="E721" t="str">
        <x:v>DEPOSITO 30 DIAS A PARTIR DO DIA 26/01/2026</x:v>
      </x:c>
      <x:c r="F721" s="4" t="n">
        <x:v>46049</x:v>
      </x:c>
      <x:c r="G721" t="str">
        <x:v>CONTRATO 02 ANOS MINERAÇÃO SERRA VERDE</x:v>
      </x:c>
      <x:c r="H721" t="str">
        <x:v>8.9 - MATERIAIS DE CONSUMO EM OBRAS</x:v>
      </x:c>
      <x:c r="I721" s="5" t="n">
        <x:v>810</x:v>
      </x:c>
    </x:row>
    <x:row r="722">
      <x:c r="A722" t="str">
        <x:v>PROMEDIC PREVENCAO E ORIENTACAO MEDICA INDUSTRIAL E COMERCIAL LTDA</x:v>
      </x:c>
      <x:c r="B722" t="str">
        <x:v>62023</x:v>
      </x:c>
      <x:c r="C722" t="str">
        <x:v>015749</x:v>
      </x:c>
      <x:c r="D722" t="str">
        <x:v>ASOS REF. 01/12 A 31/12/25</x:v>
      </x:c>
      <x:c r="E722" t="str">
        <x:v>VENCIMENTO ORIGINAL DO BOLETO 22/01/2026</x:v>
      </x:c>
      <x:c r="F722" s="4" t="n">
        <x:v>46049</x:v>
      </x:c>
      <x:c r="G722" t="str">
        <x:v>ANGLO AMERICAN</x:v>
      </x:c>
      <x:c r="H722" t="str">
        <x:v>14.1 - EXAMES</x:v>
      </x:c>
      <x:c r="I722" s="5" t="n">
        <x:v>14.4</x:v>
      </x:c>
    </x:row>
    <x:row r="723">
      <x:c r="A723" t="str">
        <x:v>EMPRESA BRASILEIRA DE BENEFICIOS E PAGAMENTOS INSTITUICAO DE PAGAMENTO LTDA</x:v>
      </x:c>
      <x:c r="B723" t="str">
        <x:v>6518145</x:v>
      </x:c>
      <x:c r="C723" t="str">
        <x:v>015751</x:v>
      </x:c>
      <x:c r="D723" t="str">
        <x:v>VALE TRANSPORTE FUNCIONARIOS</x:v>
      </x:c>
      <x:c r="E723"/>
      <x:c r="F723" s="4" t="n">
        <x:v>46049</x:v>
      </x:c>
      <x:c r="G723" t="str">
        <x:v>ADMINISTRATIVO</x:v>
      </x:c>
      <x:c r="H723" t="str">
        <x:v>12.7 - TRANSPORTE FUNCIONARIOS</x:v>
      </x:c>
      <x:c r="I723" s="5" t="n">
        <x:v>860</x:v>
      </x:c>
    </x:row>
    <x:row r="724">
      <x:c r="A724" t="str">
        <x:v>EMPRESA BRASILEIRA DE BENEFICIOS E PAGAMENTOS INSTITUICAO DE PAGAMENTO LTDA</x:v>
      </x:c>
      <x:c r="B724" t="str">
        <x:v>6518145</x:v>
      </x:c>
      <x:c r="C724" t="str">
        <x:v>015751</x:v>
      </x:c>
      <x:c r="D724" t="str">
        <x:v>VALE TRANSPORTE FUNCIONARIOS</x:v>
      </x:c>
      <x:c r="E724"/>
      <x:c r="F724" s="4" t="n">
        <x:v>46049</x:v>
      </x:c>
      <x:c r="G724" t="str">
        <x:v>CMOC CUBATÃO</x:v>
      </x:c>
      <x:c r="H724" t="str">
        <x:v>12.7 - TRANSPORTE FUNCIONARIOS</x:v>
      </x:c>
      <x:c r="I724" s="5" t="n">
        <x:v>200</x:v>
      </x:c>
    </x:row>
    <x:row r="725">
      <x:c r="A725" t="str">
        <x:v>OBRAS SOCIAIS DO CENTRO ESPIRITA IRMAO AUREO</x:v>
      </x:c>
      <x:c r="B725"/>
      <x:c r="C725" t="str">
        <x:v>015764</x:v>
      </x:c>
      <x:c r="D725" t="str">
        <x:v>JOVEM APRENDIZ</x:v>
      </x:c>
      <x:c r="E725" t="str">
        <x:v>VENCIMENTO ORIGINAL DO BOLETO 05/02/26</x:v>
      </x:c>
      <x:c r="F725" s="4" t="n">
        <x:v>46049</x:v>
      </x:c>
      <x:c r="G725" t="str">
        <x:v>ADMINISTRATIVO</x:v>
      </x:c>
      <x:c r="H725" t="str">
        <x:v>3.3 - SERVIÇOS DE CONSULTORIA</x:v>
      </x:c>
      <x:c r="I725" s="5" t="n">
        <x:v>2968.6</x:v>
      </x:c>
    </x:row>
    <x:row r="726">
      <x:c r="A726" t="str">
        <x:v>CLINICA OBRAS</x:v>
      </x:c>
      <x:c r="B726"/>
      <x:c r="C726" t="str">
        <x:v>015815</x:v>
      </x:c>
      <x:c r="D726" t="str">
        <x:v>CARVALHO &amp; PAIXAO LTDA - ME - PIX 07.121.386/0001-39</x:v>
      </x:c>
      <x:c r="E726" t="str">
        <x:v>EXAMES - ASO</x:v>
      </x:c>
      <x:c r="F726" s="4" t="n">
        <x:v>46049</x:v>
      </x:c>
      <x:c r="G726" t="str">
        <x:v>MOSAIC UBERABA CONTRAT0 3 ANOS</x:v>
      </x:c>
      <x:c r="H726" t="str">
        <x:v>14.1 - EXAMES</x:v>
      </x:c>
      <x:c r="I726" s="5" t="n">
        <x:v>580</x:v>
      </x:c>
    </x:row>
    <x:row r="727">
      <x:c r="A727" t="str">
        <x:v>RODOVIARIA MATEUS CABEÇA BRANCA</x:v>
      </x:c>
      <x:c r="B727"/>
      <x:c r="C727" t="str">
        <x:v>015816</x:v>
      </x:c>
      <x:c r="D727" t="str">
        <x:v>JOSE MARIA DE MELO SOUSA - PIX (86) 9 9977-0777</x:v>
      </x:c>
      <x:c r="E727" t="str">
        <x:v>PASSAGENS FUNCIONÁRIOS REF. 19/01 A 23/01</x:v>
      </x:c>
      <x:c r="F727" s="4" t="n">
        <x:v>46049</x:v>
      </x:c>
      <x:c r="G727" t="str">
        <x:v>ANGLO AMERICAN</x:v>
      </x:c>
      <x:c r="H727" t="str">
        <x:v>12.9 - PASSAGENS FUNCIONARIOS</x:v>
      </x:c>
      <x:c r="I727" s="5" t="n">
        <x:v>755.78</x:v>
      </x:c>
    </x:row>
    <x:row r="728">
      <x:c r="A728" t="str">
        <x:v>RODOVIARIA MATEUS CABEÇA BRANCA</x:v>
      </x:c>
      <x:c r="B728"/>
      <x:c r="C728" t="str">
        <x:v>015816</x:v>
      </x:c>
      <x:c r="D728" t="str">
        <x:v>JOSE MARIA DE MELO SOUSA - PIX (86) 9 9977-0777</x:v>
      </x:c>
      <x:c r="E728" t="str">
        <x:v>PASSAGENS FUNCIONÁRIOS REF. 19/01 A 23/01</x:v>
      </x:c>
      <x:c r="F728" s="4" t="n">
        <x:v>46049</x:v>
      </x:c>
      <x:c r="G728" t="str">
        <x:v>EUROCHEM SERRA DO SALITRE</x:v>
      </x:c>
      <x:c r="H728" t="str">
        <x:v>12.9 - PASSAGENS FUNCIONARIOS</x:v>
      </x:c>
      <x:c r="I728" s="5" t="n">
        <x:v>606.88</x:v>
      </x:c>
    </x:row>
    <x:row r="729">
      <x:c r="A729" t="str">
        <x:v>RODOVIARIA MATEUS CABEÇA BRANCA</x:v>
      </x:c>
      <x:c r="B729"/>
      <x:c r="C729" t="str">
        <x:v>015816</x:v>
      </x:c>
      <x:c r="D729" t="str">
        <x:v>JOSE MARIA DE MELO SOUSA - PIX (86) 9 9977-0777</x:v>
      </x:c>
      <x:c r="E729" t="str">
        <x:v>PASSAGENS FUNCIONÁRIOS REF. 19/01 A 23/01</x:v>
      </x:c>
      <x:c r="F729" s="4" t="n">
        <x:v>46049</x:v>
      </x:c>
      <x:c r="G729" t="str">
        <x:v>FOSFATO CMOC CONTRAT</x:v>
      </x:c>
      <x:c r="H729" t="str">
        <x:v>12.9 - PASSAGENS FUNCIONARIOS</x:v>
      </x:c>
      <x:c r="I729" s="5" t="n">
        <x:v>832.8</x:v>
      </x:c>
    </x:row>
    <x:row r="730">
      <x:c r="A730" t="str">
        <x:v>SEGUROS SURA S/A</x:v>
      </x:c>
      <x:c r="B730"/>
      <x:c r="C730" t="str">
        <x:v>015817</x:v>
      </x:c>
      <x:c r="D730" t="str">
        <x:v>SEGURO DE VIDA REF. MÊS 12/2025</x:v>
      </x:c>
      <x:c r="E730"/>
      <x:c r="F730" s="4" t="n">
        <x:v>46049</x:v>
      </x:c>
      <x:c r="G730" t="str">
        <x:v>VLI PINTURA</x:v>
      </x:c>
      <x:c r="H730" t="str">
        <x:v>12.12 - SEGUROS DE VIDA</x:v>
      </x:c>
      <x:c r="I730" s="5" t="n">
        <x:v>251.409025</x:v>
      </x:c>
    </x:row>
    <x:row r="731">
      <x:c r="A731" t="str">
        <x:v>SEGUROS SURA S/A</x:v>
      </x:c>
      <x:c r="B731"/>
      <x:c r="C731" t="str">
        <x:v>015817</x:v>
      </x:c>
      <x:c r="D731" t="str">
        <x:v>SEGURO DE VIDA REF. MÊS 12/2025</x:v>
      </x:c>
      <x:c r="E731"/>
      <x:c r="F731" s="4" t="n">
        <x:v>46049</x:v>
      </x:c>
      <x:c r="G731" t="str">
        <x:v>ADMINISTRATIVO</x:v>
      </x:c>
      <x:c r="H731" t="str">
        <x:v>12.12 - SEGUROS DE VIDA</x:v>
      </x:c>
      <x:c r="I731" s="5" t="n">
        <x:v>593.780365</x:v>
      </x:c>
    </x:row>
    <x:row r="732">
      <x:c r="A732" t="str">
        <x:v>SEGUROS SURA S/A</x:v>
      </x:c>
      <x:c r="B732"/>
      <x:c r="C732" t="str">
        <x:v>015817</x:v>
      </x:c>
      <x:c r="D732" t="str">
        <x:v>SEGURO DE VIDA REF. MÊS 12/2025</x:v>
      </x:c>
      <x:c r="E732"/>
      <x:c r="F732" s="4" t="n">
        <x:v>46049</x:v>
      </x:c>
      <x:c r="G732" t="str">
        <x:v>MOSAIC UBERABA CONTRAT0 3 ANOS</x:v>
      </x:c>
      <x:c r="H732" t="str">
        <x:v>12.12 - SEGUROS DE VIDA</x:v>
      </x:c>
      <x:c r="I732" s="5" t="n">
        <x:v>260.387918</x:v>
      </x:c>
    </x:row>
    <x:row r="733">
      <x:c r="A733" t="str">
        <x:v>SEGUROS SURA S/A</x:v>
      </x:c>
      <x:c r="B733"/>
      <x:c r="C733" t="str">
        <x:v>015817</x:v>
      </x:c>
      <x:c r="D733" t="str">
        <x:v>SEGURO DE VIDA REF. MÊS 12/2025</x:v>
      </x:c>
      <x:c r="E733"/>
      <x:c r="F733" s="4" t="n">
        <x:v>46049</x:v>
      </x:c>
      <x:c r="G733" t="str">
        <x:v>ANGLO AMERICAN</x:v>
      </x:c>
      <x:c r="H733" t="str">
        <x:v>12.12 - SEGUROS DE VIDA</x:v>
      </x:c>
      <x:c r="I733" s="5" t="n">
        <x:v>80.810044</x:v>
      </x:c>
    </x:row>
    <x:row r="734">
      <x:c r="A734" t="str">
        <x:v>SEGUROS SURA S/A</x:v>
      </x:c>
      <x:c r="B734"/>
      <x:c r="C734" t="str">
        <x:v>015817</x:v>
      </x:c>
      <x:c r="D734" t="str">
        <x:v>SEGURO DE VIDA REF. MÊS 12/2025</x:v>
      </x:c>
      <x:c r="E734"/>
      <x:c r="F734" s="4" t="n">
        <x:v>46049</x:v>
      </x:c>
      <x:c r="G734" t="str">
        <x:v>EUROCHEM SERRA DO SALITRE</x:v>
      </x:c>
      <x:c r="H734" t="str">
        <x:v>12.12 - SEGUROS DE VIDA</x:v>
      </x:c>
      <x:c r="I734" s="5" t="n">
        <x:v>89.788937</x:v>
      </x:c>
    </x:row>
    <x:row r="735">
      <x:c r="A735" t="str">
        <x:v>SEGUROS SURA S/A</x:v>
      </x:c>
      <x:c r="B735"/>
      <x:c r="C735" t="str">
        <x:v>015817</x:v>
      </x:c>
      <x:c r="D735" t="str">
        <x:v>SEGURO DE VIDA REF. MÊS 12/2025</x:v>
      </x:c>
      <x:c r="E735"/>
      <x:c r="F735" s="4" t="n">
        <x:v>46049</x:v>
      </x:c>
      <x:c r="G735" t="str">
        <x:v>FOSFATO CMOC CONTRAT</x:v>
      </x:c>
      <x:c r="H735" t="str">
        <x:v>12.12 - SEGUROS DE VIDA</x:v>
      </x:c>
      <x:c r="I735" s="5" t="n">
        <x:v>188.556768</x:v>
      </x:c>
    </x:row>
    <x:row r="736">
      <x:c r="A736" t="str">
        <x:v>SEGUROS SURA S/A</x:v>
      </x:c>
      <x:c r="B736"/>
      <x:c r="C736" t="str">
        <x:v>015817</x:v>
      </x:c>
      <x:c r="D736" t="str">
        <x:v>SEGURO DE VIDA REF. MÊS 12/2025</x:v>
      </x:c>
      <x:c r="E736"/>
      <x:c r="F736" s="4" t="n">
        <x:v>46049</x:v>
      </x:c>
      <x:c r="G736" t="str">
        <x:v>NIOBIO CMOC CONTRATO</x:v>
      </x:c>
      <x:c r="H736" t="str">
        <x:v>12.12 - SEGUROS DE VIDA</x:v>
      </x:c>
      <x:c r="I736" s="5" t="n">
        <x:v>116.725619</x:v>
      </x:c>
    </x:row>
    <x:row r="737">
      <x:c r="A737" t="str">
        <x:v>SEGUROS SURA S/A</x:v>
      </x:c>
      <x:c r="B737"/>
      <x:c r="C737" t="str">
        <x:v>015817</x:v>
      </x:c>
      <x:c r="D737" t="str">
        <x:v>SEGURO DE VIDA REF. MÊS 12/2025</x:v>
      </x:c>
      <x:c r="E737"/>
      <x:c r="F737" s="4" t="n">
        <x:v>46049</x:v>
      </x:c>
      <x:c r="G737" t="str">
        <x:v>SERENA 10 TORRES 2025</x:v>
      </x:c>
      <x:c r="H737" t="str">
        <x:v>12.12 - SEGUROS DE VIDA</x:v>
      </x:c>
      <x:c r="I737" s="5" t="n">
        <x:v>170.598981</x:v>
      </x:c>
    </x:row>
    <x:row r="738">
      <x:c r="A738" t="str">
        <x:v>SEGUROS SURA S/A</x:v>
      </x:c>
      <x:c r="B738"/>
      <x:c r="C738" t="str">
        <x:v>015817</x:v>
      </x:c>
      <x:c r="D738" t="str">
        <x:v>SEGURO DE VIDA REF. MÊS 12/2025</x:v>
      </x:c>
      <x:c r="E738"/>
      <x:c r="F738" s="4" t="n">
        <x:v>46049</x:v>
      </x:c>
      <x:c r="G738" t="str">
        <x:v>CMOC CUBATÃO</x:v>
      </x:c>
      <x:c r="H738" t="str">
        <x:v>12.12 - SEGUROS DE VIDA</x:v>
      </x:c>
      <x:c r="I738" s="5" t="n">
        <x:v>134.683406</x:v>
      </x:c>
    </x:row>
    <x:row r="739">
      <x:c r="A739" t="str">
        <x:v>SEGUROS SURA S/A</x:v>
      </x:c>
      <x:c r="B739"/>
      <x:c r="C739" t="str">
        <x:v>015817</x:v>
      </x:c>
      <x:c r="D739" t="str">
        <x:v>SEGURO DE VIDA REF. MÊS 12/2025</x:v>
      </x:c>
      <x:c r="E739"/>
      <x:c r="F739" s="4" t="n">
        <x:v>46049</x:v>
      </x:c>
      <x:c r="G739" t="str">
        <x:v>CONTRATO 02 ANOS MINERAÇÃO SERRA VERDE</x:v>
      </x:c>
      <x:c r="H739" t="str">
        <x:v>12.12 - SEGUROS DE VIDA</x:v>
      </x:c>
      <x:c r="I739" s="5" t="n">
        <x:v>62.852256</x:v>
      </x:c>
    </x:row>
    <x:row r="740">
      <x:c r="A740" t="str">
        <x:v>SEGUROS SURA S/A</x:v>
      </x:c>
      <x:c r="B740"/>
      <x:c r="C740" t="str">
        <x:v>015817</x:v>
      </x:c>
      <x:c r="D740" t="str">
        <x:v>SEGURO DE VIDA REF. MÊS 12/2025</x:v>
      </x:c>
      <x:c r="E740"/>
      <x:c r="F740" s="4" t="n">
        <x:v>46049</x:v>
      </x:c>
      <x:c r="G740" t="str">
        <x:v>AGREX IMPERMEALIZAÇAO DE TELHADO</x:v>
      </x:c>
      <x:c r="H740" t="str">
        <x:v>12.12 - SEGUROS DE VIDA</x:v>
      </x:c>
      <x:c r="I740" s="5" t="n">
        <x:v>26.936681</x:v>
      </x:c>
    </x:row>
    <x:row r="741">
      <x:c r="A741" t="str">
        <x:v>DESPESAS DE VIAGEM</x:v>
      </x:c>
      <x:c r="B741"/>
      <x:c r="C741" t="str">
        <x:v>015819</x:v>
      </x:c>
      <x:c r="D741" t="str">
        <x:v>DESPESA REF. 26/01 A 30/01</x:v>
      </x:c>
      <x:c r="E741"/>
      <x:c r="F741" s="4" t="n">
        <x:v>46049</x:v>
      </x:c>
      <x:c r="G741" t="str">
        <x:v>VLI PINTURA</x:v>
      </x:c>
      <x:c r="H741" t="str">
        <x:v>12.5 - REFEIÇÕES FUNCIONARIOS</x:v>
      </x:c>
      <x:c r="I741" s="5" t="n">
        <x:v>169.206349</x:v>
      </x:c>
    </x:row>
    <x:row r="742">
      <x:c r="A742" t="str">
        <x:v>DESPESAS DE VIAGEM</x:v>
      </x:c>
      <x:c r="B742"/>
      <x:c r="C742" t="str">
        <x:v>015819</x:v>
      </x:c>
      <x:c r="D742" t="str">
        <x:v>DESPESA REF. 26/01 A 30/01</x:v>
      </x:c>
      <x:c r="E742"/>
      <x:c r="F742" s="4" t="n">
        <x:v>46049</x:v>
      </x:c>
      <x:c r="G742" t="str">
        <x:v>VLI PINTURA</x:v>
      </x:c>
      <x:c r="H742" t="str">
        <x:v>12.9 - PASSAGENS FUNCIONARIOS</x:v>
      </x:c>
      <x:c r="I742" s="5" t="n">
        <x:v>240.793651</x:v>
      </x:c>
    </x:row>
    <x:row r="743">
      <x:c r="A743" t="str">
        <x:v>DESPESAS DE VIAGEM</x:v>
      </x:c>
      <x:c r="B743"/>
      <x:c r="C743" t="str">
        <x:v>015819</x:v>
      </x:c>
      <x:c r="D743" t="str">
        <x:v>DESPESA REF. 26/01 A 30/01</x:v>
      </x:c>
      <x:c r="E743"/>
      <x:c r="F743" s="4" t="n">
        <x:v>46049</x:v>
      </x:c>
      <x:c r="G743" t="str">
        <x:v>SERENA 10 TORRES 2025</x:v>
      </x:c>
      <x:c r="H743" t="str">
        <x:v>12.5 - REFEIÇÕES FUNCIONARIOS</x:v>
      </x:c>
      <x:c r="I743" s="5" t="n">
        <x:v>90.793651</x:v>
      </x:c>
    </x:row>
    <x:row r="744">
      <x:c r="A744" t="str">
        <x:v>DESPESAS DE VIAGEM</x:v>
      </x:c>
      <x:c r="B744"/>
      <x:c r="C744" t="str">
        <x:v>015819</x:v>
      </x:c>
      <x:c r="D744" t="str">
        <x:v>DESPESA REF. 26/01 A 30/01</x:v>
      </x:c>
      <x:c r="E744"/>
      <x:c r="F744" s="4" t="n">
        <x:v>46049</x:v>
      </x:c>
      <x:c r="G744" t="str">
        <x:v>SERENA 10 TORRES 2025</x:v>
      </x:c>
      <x:c r="H744" t="str">
        <x:v>12.9 - PASSAGENS FUNCIONARIOS</x:v>
      </x:c>
      <x:c r="I744" s="5" t="n">
        <x:v>129.206349</x:v>
      </x:c>
    </x:row>
    <x:row r="745">
      <x:c r="A745" t="str">
        <x:v>MOVIDA PARTICIPACOES S.A.</x:v>
      </x:c>
      <x:c r="B745" t="str">
        <x:v>7588794</x:v>
      </x:c>
      <x:c r="C745" t="str">
        <x:v>015820</x:v>
      </x:c>
      <x:c r="D745" t="str">
        <x:v>LOCAÇÃO VEÍCULO REF. 22/10 A 21/11/25</x:v>
      </x:c>
      <x:c r="E745"/>
      <x:c r="F745" s="4" t="n">
        <x:v>46049</x:v>
      </x:c>
      <x:c r="G745" t="str">
        <x:v>SERENA 10 TORRES 2025</x:v>
      </x:c>
      <x:c r="H745" t="str">
        <x:v>7.8 - LOCAÇAO VEICULOS</x:v>
      </x:c>
      <x:c r="I745" s="5" t="n">
        <x:v>5491.9</x:v>
      </x:c>
    </x:row>
    <x:row r="746">
      <x:c r="A746" t="str">
        <x:v>MOVIDA PARTICIPACOES S.A.</x:v>
      </x:c>
      <x:c r="B746" t="str">
        <x:v>7604560</x:v>
      </x:c>
      <x:c r="C746" t="str">
        <x:v>015821</x:v>
      </x:c>
      <x:c r="D746" t="str">
        <x:v>LOCAÇÃO VEÍCULO REF. 24/10 A 23/11/25</x:v>
      </x:c>
      <x:c r="E746"/>
      <x:c r="F746" s="4" t="n">
        <x:v>46049</x:v>
      </x:c>
      <x:c r="G746" t="str">
        <x:v>ADMINISTRATIVO</x:v>
      </x:c>
      <x:c r="H746" t="str">
        <x:v>7.8 - LOCAÇAO VEICULOS</x:v>
      </x:c>
      <x:c r="I746" s="5" t="n">
        <x:v>2767.25</x:v>
      </x:c>
    </x:row>
    <x:row r="747">
      <x:c r="A747" t="str">
        <x:v>MOTO BOY CLAUDEMIR</x:v>
      </x:c>
      <x:c r="B747"/>
      <x:c r="C747" t="str">
        <x:v>015822</x:v>
      </x:c>
      <x:c r="D747" t="str">
        <x:v>CLAUDEMIR NUNES DA SILVA - PIX (62) 9 9193-5380</x:v>
      </x:c>
      <x:c r="E747" t="str">
        <x:v>BUSCAR PLACAS E ADESIVOS</x:v>
      </x:c>
      <x:c r="F747" s="4" t="n">
        <x:v>46049</x:v>
      </x:c>
      <x:c r="G747" t="str">
        <x:v>ADMINISTRATIVO</x:v>
      </x:c>
      <x:c r="H747" t="str">
        <x:v>3.8 - SERVIÇO MOTOBOY / UBER</x:v>
      </x:c>
      <x:c r="I747" s="5" t="n">
        <x:v>150</x:v>
      </x:c>
    </x:row>
    <x:row r="748">
      <x:c r="A748" t="str">
        <x:v>MULTIPLACAS SINALIZADORAS LTDA</x:v>
      </x:c>
      <x:c r="B748" t="str">
        <x:v>103</x:v>
      </x:c>
      <x:c r="C748" t="str">
        <x:v>015823</x:v>
      </x:c>
      <x:c r="D748" t="str">
        <x:v>ESPEDITO NICOLAU DOS SANTOS - PIX  58.568.133/0001-49</x:v>
      </x:c>
      <x:c r="E748" t="str">
        <x:v>ADESIVO REFLETIVO - VENDA MOSAIC</x:v>
      </x:c>
      <x:c r="F748" s="4" t="n">
        <x:v>46049</x:v>
      </x:c>
      <x:c r="G748" t="str">
        <x:v>MOSAIC UBERABA CONTRAT0 3 ANOS</x:v>
      </x:c>
      <x:c r="H748" t="str">
        <x:v>3.16 - SERVIÇO PLOTAGEM / ADESIVO / PLACAS / CRACHAS</x:v>
      </x:c>
      <x:c r="I748" s="5" t="n">
        <x:v>10096.66</x:v>
      </x:c>
    </x:row>
    <x:row r="749">
      <x:c r="A749" t="str">
        <x:v>MULTIPLACAS SINALIZADORAS LTDA</x:v>
      </x:c>
      <x:c r="B749" t="str">
        <x:v>103</x:v>
      </x:c>
      <x:c r="C749" t="str">
        <x:v>015823</x:v>
      </x:c>
      <x:c r="D749" t="str">
        <x:v>ESPEDITO NICOLAU DOS SANTOS - PIX  58.568.133/0001-49</x:v>
      </x:c>
      <x:c r="E749" t="str">
        <x:v>ADESIVO REFLETIVO - VENDA MOSAIC</x:v>
      </x:c>
      <x:c r="F749" s="4" t="n">
        <x:v>46049</x:v>
      </x:c>
      <x:c r="G749" t="str">
        <x:v>MOSAIC UBERABA CONTRAT0 3 ANOS</x:v>
      </x:c>
      <x:c r="H749" t="str">
        <x:v>3.16 - SERVIÇO PLOTAGEM / ADESIVO / PLACAS / CRACHAS</x:v>
      </x:c>
      <x:c r="I749" s="5" t="n">
        <x:v>10096.67</x:v>
      </x:c>
    </x:row>
    <x:row r="750">
      <x:c r="A750" t="str">
        <x:v>MULTIPLACAS SINALIZADORAS LTDA</x:v>
      </x:c>
      <x:c r="B750" t="str">
        <x:v>103</x:v>
      </x:c>
      <x:c r="C750" t="str">
        <x:v>015823</x:v>
      </x:c>
      <x:c r="D750" t="str">
        <x:v>ESPEDITO NICOLAU DOS SANTOS - PIX  58.568.133/0001-49</x:v>
      </x:c>
      <x:c r="E750" t="str">
        <x:v>ADESIVO REFLETIVO - VENDA MOSAIC</x:v>
      </x:c>
      <x:c r="F750" s="4" t="n">
        <x:v>46049</x:v>
      </x:c>
      <x:c r="G750" t="str">
        <x:v>MOSAIC UBERABA CONTRAT0 3 ANOS</x:v>
      </x:c>
      <x:c r="H750" t="str">
        <x:v>3.16 - SERVIÇO PLOTAGEM / ADESIVO / PLACAS / CRACHAS</x:v>
      </x:c>
      <x:c r="I750" s="5" t="n">
        <x:v>10096.67</x:v>
      </x:c>
    </x:row>
    <x:row r="751">
      <x:c r="A751" t="str">
        <x:v>ZERO ONE TECNOLOGIA DA INFORMAÇAO LTDA</x:v>
      </x:c>
      <x:c r="B751" t="str">
        <x:v>995</x:v>
      </x:c>
      <x:c r="C751" t="str">
        <x:v>015830</x:v>
      </x:c>
      <x:c r="D751" t="str">
        <x:v>SISTEMA OBRA PRIMA</x:v>
      </x:c>
      <x:c r="E751" t="str">
        <x:v>VENCIMENTO ORIGINAL DO BOLETO 10/02/26</x:v>
      </x:c>
      <x:c r="F751" s="4" t="n">
        <x:v>46049</x:v>
      </x:c>
      <x:c r="G751" t="str">
        <x:v>ADMINISTRATIVO</x:v>
      </x:c>
      <x:c r="H751" t="str">
        <x:v>11.8 - SISTEMA / SERVIDOR</x:v>
      </x:c>
      <x:c r="I751" s="5" t="n">
        <x:v>860.1</x:v>
      </x:c>
    </x:row>
    <x:row r="752">
      <x:c r="A752" t="str">
        <x:v>CABANHA E FACAS &amp; BRINDES</x:v>
      </x:c>
      <x:c r="B752" t="str">
        <x:v>610</x:v>
      </x:c>
      <x:c r="C752" t="str">
        <x:v>015832</x:v>
      </x:c>
      <x:c r="D752" t="str">
        <x:v>BRINDES</x:v>
      </x:c>
      <x:c r="E752" t="str">
        <x:v>VENCIMENTO ORIGINAL DO 2º E 3º BOLETO 26/02 E 28/03</x:v>
      </x:c>
      <x:c r="F752" s="4" t="n">
        <x:v>46049</x:v>
      </x:c>
      <x:c r="G752" t="str">
        <x:v>ADMINISTRATIVO</x:v>
      </x:c>
      <x:c r="H752" t="str">
        <x:v>3.19 - SERVIÇO BRINDES E ACESSORIOS E EVENTOS</x:v>
      </x:c>
      <x:c r="I752" s="5" t="n">
        <x:v>532</x:v>
      </x:c>
    </x:row>
    <x:row r="753">
      <x:c r="A753" t="str">
        <x:v>CABANHA E FACAS &amp; BRINDES</x:v>
      </x:c>
      <x:c r="B753" t="str">
        <x:v>610</x:v>
      </x:c>
      <x:c r="C753" t="str">
        <x:v>015832</x:v>
      </x:c>
      <x:c r="D753" t="str">
        <x:v>BRINDES</x:v>
      </x:c>
      <x:c r="E753" t="str">
        <x:v>VENCIMENTO ORIGINAL DO 2º E 3º BOLETO 26/02 E 28/03</x:v>
      </x:c>
      <x:c r="F753" s="4" t="n">
        <x:v>46049</x:v>
      </x:c>
      <x:c r="G753" t="str">
        <x:v>ADMINISTRATIVO</x:v>
      </x:c>
      <x:c r="H753" t="str">
        <x:v>3.19 - SERVIÇO BRINDES E ACESSORIOS E EVENTOS</x:v>
      </x:c>
      <x:c r="I753" s="5" t="n">
        <x:v>532</x:v>
      </x:c>
    </x:row>
    <x:row r="754">
      <x:c r="A754" t="str">
        <x:v>CABANHA E FACAS &amp; BRINDES</x:v>
      </x:c>
      <x:c r="B754" t="str">
        <x:v>610</x:v>
      </x:c>
      <x:c r="C754" t="str">
        <x:v>015832</x:v>
      </x:c>
      <x:c r="D754" t="str">
        <x:v>BRINDES</x:v>
      </x:c>
      <x:c r="E754" t="str">
        <x:v>VENCIMENTO ORIGINAL DO 2º E 3º BOLETO 26/02 E 28/03</x:v>
      </x:c>
      <x:c r="F754" s="4" t="n">
        <x:v>46049</x:v>
      </x:c>
      <x:c r="G754" t="str">
        <x:v>ADMINISTRATIVO</x:v>
      </x:c>
      <x:c r="H754" t="str">
        <x:v>3.19 - SERVIÇO BRINDES E ACESSORIOS E EVENTOS</x:v>
      </x:c>
      <x:c r="I754" s="5" t="n">
        <x:v>532</x:v>
      </x:c>
    </x:row>
    <x:row r="755">
      <x:c r="A755" t="str">
        <x:v>DANIEL BATISTA  DE LIMA</x:v>
      </x:c>
      <x:c r="B755" t="str">
        <x:v>434</x:v>
      </x:c>
      <x:c r="C755" t="str">
        <x:v>015833</x:v>
      </x:c>
      <x:c r="D755" t="str">
        <x:v>GASTOS COM INFRAESTRUTURA SEDE</x:v>
      </x:c>
      <x:c r="E755" t="str">
        <x:v>VENCIMENTO ORIGINAL DO BOLETO 06/02/26</x:v>
      </x:c>
      <x:c r="F755" s="4" t="n">
        <x:v>46049</x:v>
      </x:c>
      <x:c r="G755" t="str">
        <x:v>ADMINISTRATIVO</x:v>
      </x:c>
      <x:c r="H755" t="str">
        <x:v>15.8 - GASTOS COM INFRAESTRUTURA SEDE</x:v>
      </x:c>
      <x:c r="I755" s="5" t="n">
        <x:v>185</x:v>
      </x:c>
    </x:row>
    <x:row r="756">
      <x:c r="A756" t="str">
        <x:v>MANUTENÇÃO EQUIPAMENTOS</x:v>
      </x:c>
      <x:c r="B756" t="str">
        <x:v>519</x:v>
      </x:c>
      <x:c r="C756" t="str">
        <x:v>015838</x:v>
      </x:c>
      <x:c r="D756" t="str">
        <x:v>HL SERVICOS USINAGEM E CALDEIR - PIX 1dc56f17-ad71-4ef7-af28-6d46d392d294</x:v>
      </x:c>
      <x:c r="E756" t="str">
        <x:v>MANUTENÇÃO HIDROJATO</x:v>
      </x:c>
      <x:c r="F756" s="4" t="n">
        <x:v>46049</x:v>
      </x:c>
      <x:c r="G756" t="str">
        <x:v>VLI PINTURA</x:v>
      </x:c>
      <x:c r="H756" t="str">
        <x:v>8.14 - MANUTENÇÃO/PEÇAS MAQUINAS E EQUIPAMENTOS</x:v>
      </x:c>
      <x:c r="I756" s="5" t="n">
        <x:v>500</x:v>
      </x:c>
    </x:row>
    <x:row r="757">
      <x:c r="A757" t="str">
        <x:v>PRO MINAS MATERIAIS DE SEGURANÇA LTDA</x:v>
      </x:c>
      <x:c r="B757" t="str">
        <x:v>87894</x:v>
      </x:c>
      <x:c r="C757" t="str">
        <x:v>015855</x:v>
      </x:c>
      <x:c r="D757" t="str">
        <x:v>EPIS</x:v>
      </x:c>
      <x:c r="E757"/>
      <x:c r="F757" s="4" t="n">
        <x:v>46049</x:v>
      </x:c>
      <x:c r="G757" t="str">
        <x:v>MOSAIC UBERABA CONTRAT0 3 ANOS</x:v>
      </x:c>
      <x:c r="H757" t="str">
        <x:v>13.1 - EPIS</x:v>
      </x:c>
      <x:c r="I757" s="5" t="n">
        <x:v>405</x:v>
      </x:c>
    </x:row>
    <x:row r="758">
      <x:c r="A758" t="str">
        <x:v>FONTEBRAS HOME CENTER COM. DE MAT. PARA CONST. LTDA - EPP</x:v>
      </x:c>
      <x:c r="B758" t="str">
        <x:v>19562</x:v>
      </x:c>
      <x:c r="C758" t="str">
        <x:v>015908</x:v>
      </x:c>
      <x:c r="D758" t="str">
        <x:v>MATERIAIS DE LIMPEZA</x:v>
      </x:c>
      <x:c r="E758" t="str">
        <x:v>VENCIMENTO ORIGINAL DO BOLETO 24/02/26</x:v>
      </x:c>
      <x:c r="F758" s="4" t="n">
        <x:v>46049</x:v>
      </x:c>
      <x:c r="G758" t="str">
        <x:v>VLI PINTURA</x:v>
      </x:c>
      <x:c r="H758" t="str">
        <x:v>8.11 - MATERIAIS DE LIMPEZA / HIGIENE</x:v>
      </x:c>
      <x:c r="I758" s="5" t="n">
        <x:v>148.81</x:v>
      </x:c>
    </x:row>
    <x:row r="759">
      <x:c r="A759" t="str">
        <x:v>GENILDO</x:v>
      </x:c>
      <x:c r="B759" t="str">
        <x:v>8943</x:v>
      </x:c>
      <x:c r="C759" t="str">
        <x:v>015970</x:v>
      </x:c>
      <x:c r="D759" t="str">
        <x:v>HOSPEDAGEM GENILDO</x:v>
      </x:c>
      <x:c r="E759" t="str">
        <x:v>REEMBOLSO GENILDO</x:v>
      </x:c>
      <x:c r="F759" s="4" t="n">
        <x:v>46049</x:v>
      </x:c>
      <x:c r="G759" t="str">
        <x:v>CONTRATO 02 ANOS MINERAÇÃO SERRA VERDE</x:v>
      </x:c>
      <x:c r="H759" t="str">
        <x:v>5.1 - HOTEL FUNCIONARIOS</x:v>
      </x:c>
      <x:c r="I759" s="5" t="n">
        <x:v>326</x:v>
      </x:c>
    </x:row>
    <x:row r="760">
      <x:c r="A760" t="str">
        <x:v>GENILDO</x:v>
      </x:c>
      <x:c r="B760" t="str">
        <x:v>15803</x:v>
      </x:c>
      <x:c r="C760" t="str">
        <x:v>015972</x:v>
      </x:c>
      <x:c r="D760" t="str">
        <x:v>HOSPEDAGEM IVAN CESAR</x:v>
      </x:c>
      <x:c r="E760" t="str">
        <x:v>REEMBOLSO GENILDO</x:v>
      </x:c>
      <x:c r="F760" s="4" t="n">
        <x:v>46049</x:v>
      </x:c>
      <x:c r="G760" t="str">
        <x:v>CONTRATO 02 ANOS MINERAÇÃO SERRA VERDE</x:v>
      </x:c>
      <x:c r="H760" t="str">
        <x:v>5.1 - HOTEL FUNCIONARIOS</x:v>
      </x:c>
      <x:c r="I760" s="5" t="n">
        <x:v>180</x:v>
      </x:c>
    </x:row>
    <x:row r="761">
      <x:c r="A761" t="str">
        <x:v>COPASA SANEAMENTO</x:v>
      </x:c>
      <x:c r="B761"/>
      <x:c r="C761" t="str">
        <x:v>015777</x:v>
      </x:c>
      <x:c r="D761" t="str">
        <x:v>R. JACY GUIMARÃES, 12 REF. 01/2025</x:v>
      </x:c>
      <x:c r="E761" t="str">
        <x:v>MATRICULA 0 013 063 237 6 / IDENTIFICADOR  0 014 324 897 9</x:v>
      </x:c>
      <x:c r="F761" s="4" t="n">
        <x:v>46050</x:v>
      </x:c>
      <x:c r="G761" t="str">
        <x:v>EUROCHEM SERRA DO SALITRE</x:v>
      </x:c>
      <x:c r="H761" t="str">
        <x:v>5.4 - AGUA ALOJAMENTO</x:v>
      </x:c>
      <x:c r="I761" s="5" t="n">
        <x:v>45.72</x:v>
      </x:c>
    </x:row>
    <x:row r="762">
      <x:c r="A762" t="str">
        <x:v>POSTO A+ COMERCIO DE COMBUSTIVEL LTDA</x:v>
      </x:c>
      <x:c r="B762" t="str">
        <x:v>20409</x:v>
      </x:c>
      <x:c r="C762" t="str">
        <x:v>015778</x:v>
      </x:c>
      <x:c r="D762" t="str">
        <x:v>COMBUSTÍVEL VEÍCULOS</x:v>
      </x:c>
      <x:c r="E762"/>
      <x:c r="F762" s="4" t="n">
        <x:v>46050</x:v>
      </x:c>
      <x:c r="G762" t="str">
        <x:v>VLI PINTURA</x:v>
      </x:c>
      <x:c r="H762" t="str">
        <x:v>8.13 - COMBUSTIVEL EQUIPAMENTOS</x:v>
      </x:c>
      <x:c r="I762" s="5" t="n">
        <x:v>500</x:v>
      </x:c>
    </x:row>
    <x:row r="763">
      <x:c r="A763" t="str">
        <x:v>POSTO A+ COMERCIO DE COMBUSTIVEL LTDA</x:v>
      </x:c>
      <x:c r="B763" t="str">
        <x:v>20409</x:v>
      </x:c>
      <x:c r="C763" t="str">
        <x:v>015778</x:v>
      </x:c>
      <x:c r="D763" t="str">
        <x:v>COMBUSTÍVEL VEÍCULOS</x:v>
      </x:c>
      <x:c r="E763"/>
      <x:c r="F763" s="4" t="n">
        <x:v>46050</x:v>
      </x:c>
      <x:c r="G763" t="str">
        <x:v>VLI PINTURA</x:v>
      </x:c>
      <x:c r="H763" t="str">
        <x:v>6.4 - COMBUSTIVEL VEICULOS</x:v>
      </x:c>
      <x:c r="I763" s="5" t="n">
        <x:v>1049.03</x:v>
      </x:c>
    </x:row>
    <x:row r="764">
      <x:c r="A764" t="str">
        <x:v>SANEAMENTO DE GOIA S.A</x:v>
      </x:c>
      <x:c r="B764"/>
      <x:c r="C764" t="str">
        <x:v>015780</x:v>
      </x:c>
      <x:c r="D764" t="str">
        <x:v>R. SANTO ANTÔNIO QD 04 LT 07 REF. 01/2025</x:v>
      </x:c>
      <x:c r="E764" t="str">
        <x:v>CONTA Nº 0521587-0</x:v>
      </x:c>
      <x:c r="F764" s="4" t="n">
        <x:v>46050</x:v>
      </x:c>
      <x:c r="G764" t="str">
        <x:v>ANGLO AMERICAN</x:v>
      </x:c>
      <x:c r="H764" t="str">
        <x:v>5.4 - AGUA ALOJAMENTO</x:v>
      </x:c>
      <x:c r="I764" s="5" t="n">
        <x:v>743.05</x:v>
      </x:c>
    </x:row>
    <x:row r="765">
      <x:c r="A765" t="str">
        <x:v>RESCISOES / FGTS</x:v>
      </x:c>
      <x:c r="B765"/>
      <x:c r="C765" t="str">
        <x:v>015782</x:v>
      </x:c>
      <x:c r="D765" t="str">
        <x:v>JOÃO DE DEUS DE SOUSA SILVA</x:v>
      </x:c>
      <x:c r="E765" t="str">
        <x:v>MULTA RESCISÓRIA</x:v>
      </x:c>
      <x:c r="F765" s="4" t="n">
        <x:v>46050</x:v>
      </x:c>
      <x:c r="G765" t="str">
        <x:v>SERENA 10 TORRES 2025</x:v>
      </x:c>
      <x:c r="H765" t="str">
        <x:v>12.4 - MULTA RESCISORIAS FGTS</x:v>
      </x:c>
      <x:c r="I765" s="5" t="n">
        <x:v>9143.74</x:v>
      </x:c>
    </x:row>
    <x:row r="766">
      <x:c r="A766" t="str">
        <x:v>RESCISOES / FGTS</x:v>
      </x:c>
      <x:c r="B766"/>
      <x:c r="C766" t="str">
        <x:v>015784</x:v>
      </x:c>
      <x:c r="D766" t="str">
        <x:v>IADSON DA SILVA BASTOS</x:v>
      </x:c>
      <x:c r="E766" t="str">
        <x:v>MULTA RESCISÓRIA</x:v>
      </x:c>
      <x:c r="F766" s="4" t="n">
        <x:v>46050</x:v>
      </x:c>
      <x:c r="G766" t="str">
        <x:v>SERENA 10 TORRES 2025</x:v>
      </x:c>
      <x:c r="H766" t="str">
        <x:v>12.4 - MULTA RESCISORIAS FGTS</x:v>
      </x:c>
      <x:c r="I766" s="5" t="n">
        <x:v>5320.95</x:v>
      </x:c>
    </x:row>
    <x:row r="767">
      <x:c r="A767" t="str">
        <x:v>RESCISOES / FGTS</x:v>
      </x:c>
      <x:c r="B767"/>
      <x:c r="C767" t="str">
        <x:v>015787</x:v>
      </x:c>
      <x:c r="D767" t="str">
        <x:v>GILVAN BASTISTA DA SILVA</x:v>
      </x:c>
      <x:c r="E767" t="str">
        <x:v>MULTA RESCISÓRIA</x:v>
      </x:c>
      <x:c r="F767" s="4" t="n">
        <x:v>46050</x:v>
      </x:c>
      <x:c r="G767" t="str">
        <x:v>SERENA 10 TORRES 2025</x:v>
      </x:c>
      <x:c r="H767" t="str">
        <x:v>12.4 - MULTA RESCISORIAS FGTS</x:v>
      </x:c>
      <x:c r="I767" s="5" t="n">
        <x:v>5623.83</x:v>
      </x:c>
    </x:row>
    <x:row r="768">
      <x:c r="A768" t="str">
        <x:v>RESCISOES / FGTS</x:v>
      </x:c>
      <x:c r="B768"/>
      <x:c r="C768" t="str">
        <x:v>015790</x:v>
      </x:c>
      <x:c r="D768" t="str">
        <x:v>ERIC SANTOS DA SILVA</x:v>
      </x:c>
      <x:c r="E768" t="str">
        <x:v>MULTA RESCISÓRIA</x:v>
      </x:c>
      <x:c r="F768" s="4" t="n">
        <x:v>46050</x:v>
      </x:c>
      <x:c r="G768" t="str">
        <x:v>SERENA 10 TORRES 2025</x:v>
      </x:c>
      <x:c r="H768" t="str">
        <x:v>12.4 - MULTA RESCISORIAS FGTS</x:v>
      </x:c>
      <x:c r="I768" s="5" t="n">
        <x:v>3774.02</x:v>
      </x:c>
    </x:row>
    <x:row r="769">
      <x:c r="A769" t="str">
        <x:v>FGTS</x:v>
      </x:c>
      <x:c r="B769"/>
      <x:c r="C769" t="str">
        <x:v>015798</x:v>
      </x:c>
      <x:c r="D769" t="str">
        <x:v>ITHAUANNY SOUSA COSTA</x:v>
      </x:c>
      <x:c r="E769" t="str">
        <x:v>FGTS REF. 01/2026</x:v>
      </x:c>
      <x:c r="F769" s="4" t="n">
        <x:v>46050</x:v>
      </x:c>
      <x:c r="G769" t="str">
        <x:v>CMOC CUBATÃO</x:v>
      </x:c>
      <x:c r="H769" t="str">
        <x:v>12.14 - FGTS FUNCIONARIOS</x:v>
      </x:c>
      <x:c r="I769" s="5" t="n">
        <x:v>143.99</x:v>
      </x:c>
    </x:row>
    <x:row r="770">
      <x:c r="A770" t="str">
        <x:v>RESCISOES / FGTS</x:v>
      </x:c>
      <x:c r="B770"/>
      <x:c r="C770" t="str">
        <x:v>015801</x:v>
      </x:c>
      <x:c r="D770" t="str">
        <x:v>JOAO FERNANDES MORAIS SILVA</x:v>
      </x:c>
      <x:c r="E770" t="str">
        <x:v>MULTA RESCISÓRIA</x:v>
      </x:c>
      <x:c r="F770" s="4" t="n">
        <x:v>46050</x:v>
      </x:c>
      <x:c r="G770" t="str">
        <x:v>VLI PINTURA</x:v>
      </x:c>
      <x:c r="H770" t="str">
        <x:v>12.4 - MULTA RESCISORIAS FGTS</x:v>
      </x:c>
      <x:c r="I770" s="5" t="n">
        <x:v>4192.11</x:v>
      </x:c>
    </x:row>
    <x:row r="771">
      <x:c r="A771" t="str">
        <x:v>DETRAN - GO</x:v>
      </x:c>
      <x:c r="B771"/>
      <x:c r="C771" t="str">
        <x:v>015818</x:v>
      </x:c>
      <x:c r="D771" t="str">
        <x:v>MULTA DE TRANSITO - RANGER RBN3G39</x:v>
      </x:c>
      <x:c r="E771"/>
      <x:c r="F771" s="4" t="n">
        <x:v>46050</x:v>
      </x:c>
      <x:c r="G771" t="str">
        <x:v>VEICULOS</x:v>
      </x:c>
      <x:c r="H771" t="str">
        <x:v>6.2 - MULTAS DE TRANSITO</x:v>
      </x:c>
      <x:c r="I771" s="5" t="n">
        <x:v>234.29</x:v>
      </x:c>
    </x:row>
    <x:row r="772">
      <x:c r="A772" t="str">
        <x:v>JACINTO FERNANDES</x:v>
      </x:c>
      <x:c r="B772"/>
      <x:c r="C772" t="str">
        <x:v>015824</x:v>
      </x:c>
      <x:c r="D772" t="str">
        <x:v>DESP. REF. 19/01 A 25/01</x:v>
      </x:c>
      <x:c r="E772" t="str">
        <x:v>REEMBOLSO JACINTO</x:v>
      </x:c>
      <x:c r="F772" s="4" t="n">
        <x:v>46050</x:v>
      </x:c>
      <x:c r="G772" t="str">
        <x:v>SERENA 10 TORRES 2025</x:v>
      </x:c>
      <x:c r="H772" t="str">
        <x:v>6.10 - SERVIÇO LAVA JATO</x:v>
      </x:c>
      <x:c r="I772" s="5" t="n">
        <x:v>80</x:v>
      </x:c>
    </x:row>
    <x:row r="773">
      <x:c r="A773" t="str">
        <x:v>AGNALDO BASILIO ENG SEGURANÇA</x:v>
      </x:c>
      <x:c r="B773"/>
      <x:c r="C773" t="str">
        <x:v>015825</x:v>
      </x:c>
      <x:c r="D773" t="str">
        <x:v>AGNALDO BASÍLICO - PIX 585.550.641-04</x:v>
      </x:c>
      <x:c r="E773" t="str">
        <x:v>CONFECÇÃO DO PPP DE COLABORADORES</x:v>
      </x:c>
      <x:c r="F773" s="4" t="n">
        <x:v>46050</x:v>
      </x:c>
      <x:c r="G773" t="str">
        <x:v>ADMINISTRATIVO</x:v>
      </x:c>
      <x:c r="H773" t="str">
        <x:v>14.3 - PROGRAMA DE SEGURANÇA DO TRABALHO</x:v>
      </x:c>
      <x:c r="I773" s="5" t="n">
        <x:v>120</x:v>
      </x:c>
    </x:row>
    <x:row r="774">
      <x:c r="A774" t="str">
        <x:v>UBER MOACIR</x:v>
      </x:c>
      <x:c r="B774"/>
      <x:c r="C774" t="str">
        <x:v>015826</x:v>
      </x:c>
      <x:c r="D774" t="str">
        <x:v>MOACIR BERNARDO DE BRITO SANTO - PIX (62) 9 9179-6006</x:v>
      </x:c>
      <x:c r="E774" t="str">
        <x:v>LEVAR IMPRESSÃO</x:v>
      </x:c>
      <x:c r="F774" s="4" t="n">
        <x:v>46050</x:v>
      </x:c>
      <x:c r="G774" t="str">
        <x:v>ADMINISTRATIVO</x:v>
      </x:c>
      <x:c r="H774" t="str">
        <x:v>3.8 - SERVIÇO MOTOBOY / UBER</x:v>
      </x:c>
      <x:c r="I774" s="5" t="n">
        <x:v>70</x:v>
      </x:c>
    </x:row>
    <x:row r="775">
      <x:c r="A775" t="str">
        <x:v>CR DIESEL ( CARLOS RITLER )</x:v>
      </x:c>
      <x:c r="B775"/>
      <x:c r="C775" t="str">
        <x:v>015828</x:v>
      </x:c>
      <x:c r="D775" t="str">
        <x:v>.CARLOS RITLER MOREIRA  CNPJ 58.255.772/0001-54</x:v>
      </x:c>
      <x:c r="E775" t="str">
        <x:v>MANUTENÇÃO VEÍCULOS - ARGO</x:v>
      </x:c>
      <x:c r="F775" s="4" t="n">
        <x:v>46050</x:v>
      </x:c>
      <x:c r="G775" t="str">
        <x:v>SERENA 10 TORRES 2025</x:v>
      </x:c>
      <x:c r="H775" t="str">
        <x:v>6.3 - MANUTENÇÃO/PEÇAS  VEICULOS</x:v>
      </x:c>
      <x:c r="I775" s="5" t="n">
        <x:v>367</x:v>
      </x:c>
    </x:row>
    <x:row r="776">
      <x:c r="A776" t="str">
        <x:v>CR DIESEL ( CARLOS RITLER )</x:v>
      </x:c>
      <x:c r="B776"/>
      <x:c r="C776" t="str">
        <x:v>015829</x:v>
      </x:c>
      <x:c r="D776" t="str">
        <x:v>.CARLOS RITLER MOREIRA  CNPJ 58.255.772/0001-54</x:v>
      </x:c>
      <x:c r="E776" t="str">
        <x:v>MANUTENÇÃO VEÍCULOS - S-10</x:v>
      </x:c>
      <x:c r="F776" s="4" t="n">
        <x:v>46050</x:v>
      </x:c>
      <x:c r="G776" t="str">
        <x:v>SERENA 10 TORRES 2025</x:v>
      </x:c>
      <x:c r="H776" t="str">
        <x:v>6.3 - MANUTENÇÃO/PEÇAS  VEICULOS</x:v>
      </x:c>
      <x:c r="I776" s="5" t="n">
        <x:v>565</x:v>
      </x:c>
    </x:row>
    <x:row r="777">
      <x:c r="A777" t="str">
        <x:v>MARIA DA FE VIDAL PASCOA COMBUSTIVEIS LTDA</x:v>
      </x:c>
      <x:c r="B777" t="str">
        <x:v>163</x:v>
      </x:c>
      <x:c r="C777" t="str">
        <x:v>015836</x:v>
      </x:c>
      <x:c r="D777" t="str">
        <x:v>MARIA DA FE VIDAL PASCOA - PIX 07.430.239/0001-40</x:v>
      </x:c>
      <x:c r="E777" t="str">
        <x:v>COMBUSTÍVEL VEÍCULOS</x:v>
      </x:c>
      <x:c r="F777" s="4" t="n">
        <x:v>46050</x:v>
      </x:c>
      <x:c r="G777" t="str">
        <x:v>SERENA 10 TORRES 2025</x:v>
      </x:c>
      <x:c r="H777" t="str">
        <x:v>6.4 - COMBUSTIVEL VEICULOS</x:v>
      </x:c>
      <x:c r="I777" s="5" t="n">
        <x:v>642.88</x:v>
      </x:c>
    </x:row>
    <x:row r="778">
      <x:c r="A778" t="str">
        <x:v>DESPESAS DE VIAGEM</x:v>
      </x:c>
      <x:c r="B778"/>
      <x:c r="C778" t="str">
        <x:v>015837</x:v>
      </x:c>
      <x:c r="D778" t="str">
        <x:v>PASSAGEM FUNCIONÁRIO KEVIN DE JESUS</x:v>
      </x:c>
      <x:c r="E778"/>
      <x:c r="F778" s="4" t="n">
        <x:v>46050</x:v>
      </x:c>
      <x:c r="G778" t="str">
        <x:v>ANGLO AMERICAN</x:v>
      </x:c>
      <x:c r="H778" t="str">
        <x:v>12.9 - PASSAGENS FUNCIONARIOS</x:v>
      </x:c>
      <x:c r="I778" s="5" t="n">
        <x:v>200</x:v>
      </x:c>
    </x:row>
    <x:row r="779">
      <x:c r="A779" t="str">
        <x:v>SUPORTE LOCAÇOES E SERVIÇOS LTDA</x:v>
      </x:c>
      <x:c r="B779" t="str">
        <x:v>24206</x:v>
      </x:c>
      <x:c r="C779" t="str">
        <x:v>015844</x:v>
      </x:c>
      <x:c r="D779" t="str">
        <x:v>LOCAÇÃO CONTAINERS 01/12 A 31/12</x:v>
      </x:c>
      <x:c r="E779" t="str">
        <x:v>VENCIMENTO ORIGINAL DO BOLETO 23/02/26</x:v>
      </x:c>
      <x:c r="F779" s="4" t="n">
        <x:v>46050</x:v>
      </x:c>
      <x:c r="G779" t="str">
        <x:v>MOSAIC UBERABA CONTRAT0 3 ANOS</x:v>
      </x:c>
      <x:c r="H779" t="str">
        <x:v>7.6 - LOCAÇÃO CONTAINER</x:v>
      </x:c>
      <x:c r="I779" s="5" t="n">
        <x:v>1350</x:v>
      </x:c>
    </x:row>
    <x:row r="780">
      <x:c r="A780" t="str">
        <x:v>REAL BORRACHA EIRELI</x:v>
      </x:c>
      <x:c r="B780" t="str">
        <x:v>97188</x:v>
      </x:c>
      <x:c r="C780" t="str">
        <x:v>015851</x:v>
      </x:c>
      <x:c r="D780" t="str">
        <x:v>MATERIAIS DE CONSUMO</x:v>
      </x:c>
      <x:c r="E780" t="str">
        <x:v>VENCIMENTO ORIGINAL DOS BOLETOS 27/02 29/03 E 28/04</x:v>
      </x:c>
      <x:c r="F780" s="4" t="n">
        <x:v>46050</x:v>
      </x:c>
      <x:c r="G780" t="str">
        <x:v>NIOBIO CMOC CONTRATO</x:v>
      </x:c>
      <x:c r="H780" t="str">
        <x:v>8.9 - MATERIAIS DE CONSUMO EM OBRAS</x:v>
      </x:c>
      <x:c r="I780" s="5" t="n">
        <x:v>333.33</x:v>
      </x:c>
    </x:row>
    <x:row r="781">
      <x:c r="A781" t="str">
        <x:v>REAL BORRACHA EIRELI</x:v>
      </x:c>
      <x:c r="B781" t="str">
        <x:v>97188</x:v>
      </x:c>
      <x:c r="C781" t="str">
        <x:v>015851</x:v>
      </x:c>
      <x:c r="D781" t="str">
        <x:v>MATERIAIS DE CONSUMO</x:v>
      </x:c>
      <x:c r="E781" t="str">
        <x:v>VENCIMENTO ORIGINAL DOS BOLETOS 27/02 29/03 E 28/04</x:v>
      </x:c>
      <x:c r="F781" s="4" t="n">
        <x:v>46050</x:v>
      </x:c>
      <x:c r="G781" t="str">
        <x:v>NIOBIO CMOC CONTRATO</x:v>
      </x:c>
      <x:c r="H781" t="str">
        <x:v>8.9 - MATERIAIS DE CONSUMO EM OBRAS</x:v>
      </x:c>
      <x:c r="I781" s="5" t="n">
        <x:v>333.33</x:v>
      </x:c>
    </x:row>
    <x:row r="782">
      <x:c r="A782" t="str">
        <x:v>REAL BORRACHA EIRELI</x:v>
      </x:c>
      <x:c r="B782" t="str">
        <x:v>97188</x:v>
      </x:c>
      <x:c r="C782" t="str">
        <x:v>015851</x:v>
      </x:c>
      <x:c r="D782" t="str">
        <x:v>MATERIAIS DE CONSUMO</x:v>
      </x:c>
      <x:c r="E782" t="str">
        <x:v>VENCIMENTO ORIGINAL DOS BOLETOS 27/02 29/03 E 28/04</x:v>
      </x:c>
      <x:c r="F782" s="4" t="n">
        <x:v>46050</x:v>
      </x:c>
      <x:c r="G782" t="str">
        <x:v>NIOBIO CMOC CONTRATO</x:v>
      </x:c>
      <x:c r="H782" t="str">
        <x:v>8.9 - MATERIAIS DE CONSUMO EM OBRAS</x:v>
      </x:c>
      <x:c r="I782" s="5" t="n">
        <x:v>333.33</x:v>
      </x:c>
    </x:row>
    <x:row r="783">
      <x:c r="A783" t="str">
        <x:v>MDG MATERIAIS PARA CONSTRUCAO LTDA-ME</x:v>
      </x:c>
      <x:c r="B783" t="str">
        <x:v>2160</x:v>
      </x:c>
      <x:c r="C783" t="str">
        <x:v>015886</x:v>
      </x:c>
      <x:c r="D783" t="str">
        <x:v>MATERIAIS DE CONSUMO</x:v>
      </x:c>
      <x:c r="E783" t="str">
        <x:v>REEMBOLSO REINALDO DIAS</x:v>
      </x:c>
      <x:c r="F783" s="4" t="n">
        <x:v>46050</x:v>
      </x:c>
      <x:c r="G783" t="str">
        <x:v>ADMINISTRATIVO</x:v>
      </x:c>
      <x:c r="H783" t="str">
        <x:v>8.9 - MATERIAIS DE CONSUMO EM OBRAS</x:v>
      </x:c>
      <x:c r="I783" s="5" t="n">
        <x:v>77</x:v>
      </x:c>
    </x:row>
    <x:row r="784">
      <x:c r="A784" t="str">
        <x:v>GENILDO</x:v>
      </x:c>
      <x:c r="B784" t="str">
        <x:v>18679</x:v>
      </x:c>
      <x:c r="C784" t="str">
        <x:v>015974</x:v>
      </x:c>
      <x:c r="D784" t="str">
        <x:v>COMBUSTÍVEL VEÍCULOS</x:v>
      </x:c>
      <x:c r="E784" t="str">
        <x:v>REEMBOLSO GENILDO</x:v>
      </x:c>
      <x:c r="F784" s="4" t="n">
        <x:v>46050</x:v>
      </x:c>
      <x:c r="G784" t="str">
        <x:v>CONTRATO 02 ANOS MINERAÇÃO SERRA VERDE</x:v>
      </x:c>
      <x:c r="H784" t="str">
        <x:v>6.4 - COMBUSTIVEL VEICULOS</x:v>
      </x:c>
      <x:c r="I784" s="5" t="n">
        <x:v>350.81</x:v>
      </x:c>
    </x:row>
    <x:row r="785">
      <x:c r="A785" t="str">
        <x:v>RFB</x:v>
      </x:c>
      <x:c r="B785"/>
      <x:c r="C785" t="str">
        <x:v>005672</x:v>
      </x:c>
      <x:c r="D785" t="str">
        <x:v>PARCELAMENTO RFB 2435 01-60</x:v>
      </x:c>
      <x:c r="E785" t="str">
        <x:v>NV AIDEAL SOLUCOES  GUERRA ADVOGADOS</x:v>
      </x:c>
      <x:c r="F785" s="4" t="n">
        <x:v>46051</x:v>
      </x:c>
      <x:c r="G785" t="str">
        <x:v>IMPOSTOS</x:v>
      </x:c>
      <x:c r="H785" t="str">
        <x:v>17.1 - PARCELAMENTO</x:v>
      </x:c>
      <x:c r="I785" s="5" t="n">
        <x:v>59353.77</x:v>
      </x:c>
    </x:row>
    <x:row r="786">
      <x:c r="A786" t="str">
        <x:v>PGFN</x:v>
      </x:c>
      <x:c r="B786"/>
      <x:c r="C786" t="str">
        <x:v>009904</x:v>
      </x:c>
      <x:c r="D786" t="str">
        <x:v>PARCELAMENTO ENTRADA PGFN 011319029 1-6</x:v>
      </x:c>
      <x:c r="E786" t="str">
        <x:v>NV AIDEAL SOLUCOES  GUERRA ADVOGADOS</x:v>
      </x:c>
      <x:c r="F786" s="4" t="n">
        <x:v>46051</x:v>
      </x:c>
      <x:c r="G786" t="str">
        <x:v>IMPOSTOS</x:v>
      </x:c>
      <x:c r="H786" t="str">
        <x:v>17.1 - PARCELAMENTO</x:v>
      </x:c>
      <x:c r="I786" s="5" t="n">
        <x:v>2664.81</x:v>
      </x:c>
    </x:row>
    <x:row r="787">
      <x:c r="A787" t="str">
        <x:v>MERCADO LIVRE</x:v>
      </x:c>
      <x:c r="B787"/>
      <x:c r="C787" t="str">
        <x:v>015846</x:v>
      </x:c>
      <x:c r="D787" t="str">
        <x:v>MANUTENÇÃO EQUIPAMENTOS</x:v>
      </x:c>
      <x:c r="E787"/>
      <x:c r="F787" s="4" t="n">
        <x:v>46051</x:v>
      </x:c>
      <x:c r="G787" t="str">
        <x:v>VLI PINTURA</x:v>
      </x:c>
      <x:c r="H787" t="str">
        <x:v>8.14 - MANUTENÇÃO/PEÇAS MAQUINAS E EQUIPAMENTOS</x:v>
      </x:c>
      <x:c r="I787" s="5" t="n">
        <x:v>266</x:v>
      </x:c>
    </x:row>
    <x:row r="788">
      <x:c r="A788" t="str">
        <x:v>AGSMB ASSOSIAÇAO GOIANIA DE SOCORRO</x:v>
      </x:c>
      <x:c r="B788"/>
      <x:c r="C788" t="str">
        <x:v>015854</x:v>
      </x:c>
      <x:c r="D788" t="str">
        <x:v>SEGUROS VEÍCULOS</x:v>
      </x:c>
      <x:c r="E788" t="str">
        <x:v>RANGER/ARGO/PICK-UP/OROCH/HB20S/COURIER/SAVEIRO/TORO/DUSTER OROCH E OROCH</x:v>
      </x:c>
      <x:c r="F788" s="4" t="n">
        <x:v>46051</x:v>
      </x:c>
      <x:c r="G788" t="str">
        <x:v>VEICULOS</x:v>
      </x:c>
      <x:c r="H788" t="str">
        <x:v>6.5 - SEGUROS DE VEICULOS</x:v>
      </x:c>
      <x:c r="I788" s="5" t="n">
        <x:v>2718.27</x:v>
      </x:c>
    </x:row>
    <x:row r="789">
      <x:c r="A789" t="str">
        <x:v>SINDICATO DO TRABALHADORES NAS INDUSTRIAIS DA CONSTRUÇAO EDO MOBILIARIA DE UBERABA</x:v>
      </x:c>
      <x:c r="B789"/>
      <x:c r="C789" t="str">
        <x:v>015856</x:v>
      </x:c>
      <x:c r="D789" t="str">
        <x:v>SINDICATO</x:v>
      </x:c>
      <x:c r="E789"/>
      <x:c r="F789" s="4" t="n">
        <x:v>46051</x:v>
      </x:c>
      <x:c r="G789" t="str">
        <x:v>MOSAIC UBERABA CONTRAT0 3 ANOS</x:v>
      </x:c>
      <x:c r="H789" t="str">
        <x:v>12.8 - SINDICATO</x:v>
      </x:c>
      <x:c r="I789" s="5" t="n">
        <x:v>425.53</x:v>
      </x:c>
    </x:row>
    <x:row r="790">
      <x:c r="A790" t="str">
        <x:v>FERREIRA NUNES LAVANDERIA LTDA</x:v>
      </x:c>
      <x:c r="B790" t="str">
        <x:v>69</x:v>
      </x:c>
      <x:c r="C790" t="str">
        <x:v>015857</x:v>
      </x:c>
      <x:c r="D790" t="str">
        <x:v>LAVAGEM DE UNIFORMES</x:v>
      </x:c>
      <x:c r="E790"/>
      <x:c r="F790" s="4" t="n">
        <x:v>46051</x:v>
      </x:c>
      <x:c r="G790" t="str">
        <x:v>ADMINISTRATIVO</x:v>
      </x:c>
      <x:c r="H790" t="str">
        <x:v>5.2 - LAVANDERIA</x:v>
      </x:c>
      <x:c r="I790" s="5" t="n">
        <x:v>431</x:v>
      </x:c>
    </x:row>
    <x:row r="791">
      <x:c r="A791" t="str">
        <x:v>RESCISOES / FGTS</x:v>
      </x:c>
      <x:c r="B791"/>
      <x:c r="C791" t="str">
        <x:v>015865</x:v>
      </x:c>
      <x:c r="D791" t="str">
        <x:v>EDINALDO ARRUDA DA ROCHA</x:v>
      </x:c>
      <x:c r="E791" t="str">
        <x:v>MULTA RESCISÓRIA</x:v>
      </x:c>
      <x:c r="F791" s="4" t="n">
        <x:v>46051</x:v>
      </x:c>
      <x:c r="G791" t="str">
        <x:v>VLI PINTURA</x:v>
      </x:c>
      <x:c r="H791" t="str">
        <x:v>12.4 - MULTA RESCISORIAS FGTS</x:v>
      </x:c>
      <x:c r="I791" s="5" t="n">
        <x:v>4294.18</x:v>
      </x:c>
    </x:row>
    <x:row r="792">
      <x:c r="A792" t="str">
        <x:v>SINDICATO EM MONTAGENS INDUSTRIAIS CEARA</x:v>
      </x:c>
      <x:c r="B792"/>
      <x:c r="C792" t="str">
        <x:v>015866</x:v>
      </x:c>
      <x:c r="D792" t="str">
        <x:v>SINDICATO</x:v>
      </x:c>
      <x:c r="E792"/>
      <x:c r="F792" s="4" t="n">
        <x:v>46051</x:v>
      </x:c>
      <x:c r="G792" t="str">
        <x:v>VLI PINTURA</x:v>
      </x:c>
      <x:c r="H792" t="str">
        <x:v>12.8 - SINDICATO</x:v>
      </x:c>
      <x:c r="I792" s="5" t="n">
        <x:v>1189.88</x:v>
      </x:c>
    </x:row>
    <x:row r="793">
      <x:c r="A793" t="str">
        <x:v>VAN OBRAS</x:v>
      </x:c>
      <x:c r="B793"/>
      <x:c r="C793" t="str">
        <x:v>015867</x:v>
      </x:c>
      <x:c r="D793" t="str">
        <x:v>JULIO CESAR DE OLIVEIRA QUEIROZ - PIX 416.142.593-72</x:v>
      </x:c>
      <x:c r="E793" t="str">
        <x:v>TRANSPORTE COLABORADORES 20/12 A 20/01/26 - RESTANTE</x:v>
      </x:c>
      <x:c r="F793" s="4" t="n">
        <x:v>46051</x:v>
      </x:c>
      <x:c r="G793" t="str">
        <x:v>VLI PINTURA</x:v>
      </x:c>
      <x:c r="H793" t="str">
        <x:v>12.7 - TRANSPORTE FUNCIONARIOS</x:v>
      </x:c>
      <x:c r="I793" s="5" t="n">
        <x:v>2340</x:v>
      </x:c>
    </x:row>
    <x:row r="794">
      <x:c r="A794" t="str">
        <x:v>PGFN</x:v>
      </x:c>
      <x:c r="B794"/>
      <x:c r="C794" t="str">
        <x:v>015870</x:v>
      </x:c>
      <x:c r="D794" t="str">
        <x:v>PARCELAMENTO PGFN SISPAR 012544309</x:v>
      </x:c>
      <x:c r="E794"/>
      <x:c r="F794" s="4" t="n">
        <x:v>46051</x:v>
      </x:c>
      <x:c r="G794" t="str">
        <x:v>IMPOSTOS</x:v>
      </x:c>
      <x:c r="H794" t="str">
        <x:v>17.1 - PARCELAMENTO</x:v>
      </x:c>
      <x:c r="I794" s="5" t="n">
        <x:v>1032.52</x:v>
      </x:c>
    </x:row>
    <x:row r="795">
      <x:c r="A795" t="str">
        <x:v>PGFN</x:v>
      </x:c>
      <x:c r="B795"/>
      <x:c r="C795" t="str">
        <x:v>015871</x:v>
      </x:c>
      <x:c r="D795" t="str">
        <x:v>PARCELAMENTO PGFN SISPAR 012544350</x:v>
      </x:c>
      <x:c r="E795"/>
      <x:c r="F795" s="4" t="n">
        <x:v>46051</x:v>
      </x:c>
      <x:c r="G795" t="str">
        <x:v>IMPOSTOS</x:v>
      </x:c>
      <x:c r="H795" t="str">
        <x:v>17.1 - PARCELAMENTO</x:v>
      </x:c>
      <x:c r="I795" s="5" t="n">
        <x:v>4414.63</x:v>
      </x:c>
    </x:row>
    <x:row r="796">
      <x:c r="A796" t="str">
        <x:v>PGFN</x:v>
      </x:c>
      <x:c r="B796"/>
      <x:c r="C796" t="str">
        <x:v>015872</x:v>
      </x:c>
      <x:c r="D796" t="str">
        <x:v>PARCELAMENTO PGFN SISPAR 012544350</x:v>
      </x:c>
      <x:c r="E796"/>
      <x:c r="F796" s="4" t="n">
        <x:v>46051</x:v>
      </x:c>
      <x:c r="G796" t="str">
        <x:v>IMPOSTOS</x:v>
      </x:c>
      <x:c r="H796" t="str">
        <x:v>17.1 - PARCELAMENTO</x:v>
      </x:c>
      <x:c r="I796" s="5" t="n">
        <x:v>4414.63</x:v>
      </x:c>
    </x:row>
    <x:row r="797">
      <x:c r="A797" t="str">
        <x:v>RFB</x:v>
      </x:c>
      <x:c r="B797"/>
      <x:c r="C797" t="str">
        <x:v>015873</x:v>
      </x:c>
      <x:c r="D797" t="str">
        <x:v>PARCELAMENTO RFB 994023382588</x:v>
      </x:c>
      <x:c r="E797"/>
      <x:c r="F797" s="4" t="n">
        <x:v>46051</x:v>
      </x:c>
      <x:c r="G797" t="str">
        <x:v>IMPOSTOS</x:v>
      </x:c>
      <x:c r="H797" t="str">
        <x:v>17.1 - PARCELAMENTO</x:v>
      </x:c>
      <x:c r="I797" s="5" t="n">
        <x:v>18905.26</x:v>
      </x:c>
    </x:row>
    <x:row r="798">
      <x:c r="A798" t="str">
        <x:v>ISS</x:v>
      </x:c>
      <x:c r="B798"/>
      <x:c r="C798" t="str">
        <x:v>015874</x:v>
      </x:c>
      <x:c r="D798" t="str">
        <x:v>ISS (DIVIDA ATIVA AMIGAVEL PARCELADA)  004/048 PROCESSO 87278727</x:v>
      </x:c>
      <x:c r="E798"/>
      <x:c r="F798" s="4" t="n">
        <x:v>46051</x:v>
      </x:c>
      <x:c r="G798" t="str">
        <x:v>IMPOSTOS</x:v>
      </x:c>
      <x:c r="H798" t="str">
        <x:v>17.1 - PARCELAMENTO</x:v>
      </x:c>
      <x:c r="I798" s="5" t="n">
        <x:v>2653.58</x:v>
      </x:c>
    </x:row>
    <x:row r="799">
      <x:c r="A799" t="str">
        <x:v>ISS</x:v>
      </x:c>
      <x:c r="B799"/>
      <x:c r="C799" t="str">
        <x:v>015875</x:v>
      </x:c>
      <x:c r="D799" t="str">
        <x:v>ISS (DIVIDA ATIVA AMIGAVEL PARCELADA)  005/048 PROCESSO 87278727</x:v>
      </x:c>
      <x:c r="E799"/>
      <x:c r="F799" s="4" t="n">
        <x:v>46051</x:v>
      </x:c>
      <x:c r="G799" t="str">
        <x:v>IMPOSTOS</x:v>
      </x:c>
      <x:c r="H799" t="str">
        <x:v>17.1 - PARCELAMENTO</x:v>
      </x:c>
      <x:c r="I799" s="5" t="n">
        <x:v>2627.31</x:v>
      </x:c>
    </x:row>
    <x:row r="800">
      <x:c r="A800" t="str">
        <x:v>PREVIDENCIA SOCIAL GPS 3º</x:v>
      </x:c>
      <x:c r="B800"/>
      <x:c r="C800" t="str">
        <x:v>015876</x:v>
      </x:c>
      <x:c r="D800" t="str">
        <x:v>GPS DESCRIÇÃO 637648862</x:v>
      </x:c>
      <x:c r="E800"/>
      <x:c r="F800" s="4" t="n">
        <x:v>46051</x:v>
      </x:c>
      <x:c r="G800" t="str">
        <x:v>IMPOSTOS</x:v>
      </x:c>
      <x:c r="H800" t="str">
        <x:v>17.1 - PARCELAMENTO</x:v>
      </x:c>
      <x:c r="I800" s="5" t="n">
        <x:v>3249.67</x:v>
      </x:c>
    </x:row>
    <x:row r="801">
      <x:c r="A801" t="str">
        <x:v>MERCADO</x:v>
      </x:c>
      <x:c r="B801"/>
      <x:c r="C801" t="str">
        <x:v>015877</x:v>
      </x:c>
      <x:c r="D801" t="str">
        <x:v>MATERIAIS DE LIMPEZA / HIGIENE</x:v>
      </x:c>
      <x:c r="E801" t="str">
        <x:v>PAGAMENTO FEITO EM DÉBITO</x:v>
      </x:c>
      <x:c r="F801" s="4" t="n">
        <x:v>46051</x:v>
      </x:c>
      <x:c r="G801" t="str">
        <x:v>ADMINISTRATIVO</x:v>
      </x:c>
      <x:c r="H801" t="str">
        <x:v>8.11 - MATERIAIS DE LIMPEZA / HIGIENE</x:v>
      </x:c>
      <x:c r="I801" s="5" t="n">
        <x:v>165.31</x:v>
      </x:c>
    </x:row>
    <x:row r="802">
      <x:c r="A802" t="str">
        <x:v>XCELL CELULARES E INFORMATICA LTDA</x:v>
      </x:c>
      <x:c r="B802" t="str">
        <x:v>251</x:v>
      </x:c>
      <x:c r="C802" t="str">
        <x:v>015879</x:v>
      </x:c>
      <x:c r="D802" t="str">
        <x:v>MATERIAIS DE INFORMÁTICA</x:v>
      </x:c>
      <x:c r="E802"/>
      <x:c r="F802" s="4" t="n">
        <x:v>46051</x:v>
      </x:c>
      <x:c r="G802" t="str">
        <x:v>ADMINISTRATIVO</x:v>
      </x:c>
      <x:c r="H802" t="str">
        <x:v>11.13 - MATERIAIS DE INFORMATICA / COMPUTADOR</x:v>
      </x:c>
      <x:c r="I802" s="5" t="n">
        <x:v>130</x:v>
      </x:c>
    </x:row>
    <x:row r="803">
      <x:c r="A803" t="str">
        <x:v>QUALI TINTAS</x:v>
      </x:c>
      <x:c r="B803" t="str">
        <x:v>19813</x:v>
      </x:c>
      <x:c r="C803" t="str">
        <x:v>015884</x:v>
      </x:c>
      <x:c r="D803" t="str">
        <x:v>MATERIAIS DE CONSUMO</x:v>
      </x:c>
      <x:c r="E803"/>
      <x:c r="F803" s="4" t="n">
        <x:v>46051</x:v>
      </x:c>
      <x:c r="G803" t="str">
        <x:v>VLI PINTURA</x:v>
      </x:c>
      <x:c r="H803" t="str">
        <x:v>8.9 - MATERIAIS DE CONSUMO EM OBRAS</x:v>
      </x:c>
      <x:c r="I803" s="5" t="n">
        <x:v>1082.5</x:v>
      </x:c>
    </x:row>
    <x:row r="804">
      <x:c r="A804" t="str">
        <x:v>QUALI TINTAS</x:v>
      </x:c>
      <x:c r="B804" t="str">
        <x:v>19813</x:v>
      </x:c>
      <x:c r="C804" t="str">
        <x:v>015884</x:v>
      </x:c>
      <x:c r="D804" t="str">
        <x:v>MATERIAIS DE CONSUMO</x:v>
      </x:c>
      <x:c r="E804"/>
      <x:c r="F804" s="4" t="n">
        <x:v>46051</x:v>
      </x:c>
      <x:c r="G804" t="str">
        <x:v>VLI PINTURA</x:v>
      </x:c>
      <x:c r="H804" t="str">
        <x:v>8.9 - MATERIAIS DE CONSUMO EM OBRAS</x:v>
      </x:c>
      <x:c r="I804" s="5" t="n">
        <x:v>1082.5</x:v>
      </x:c>
    </x:row>
    <x:row r="805">
      <x:c r="A805" t="str">
        <x:v>G17 AUTO POSTO LTDA</x:v>
      </x:c>
      <x:c r="B805" t="str">
        <x:v>48</x:v>
      </x:c>
      <x:c r="C805" t="str">
        <x:v>015885</x:v>
      </x:c>
      <x:c r="D805" t="str">
        <x:v>COMBUSTÍVEL VEÍCULOS</x:v>
      </x:c>
      <x:c r="E805" t="str">
        <x:v>REEMBOLSO REINALDO DIAS</x:v>
      </x:c>
      <x:c r="F805" s="4" t="n">
        <x:v>46051</x:v>
      </x:c>
      <x:c r="G805" t="str">
        <x:v>ADMINISTRATIVO</x:v>
      </x:c>
      <x:c r="H805" t="str">
        <x:v>6.4 - COMBUSTIVEL VEICULOS</x:v>
      </x:c>
      <x:c r="I805" s="5" t="n">
        <x:v>86.3</x:v>
      </x:c>
    </x:row>
    <x:row r="806">
      <x:c r="A806" t="str">
        <x:v>MERCADO LIVRE</x:v>
      </x:c>
      <x:c r="B806" t="str">
        <x:v>78</x:v>
      </x:c>
      <x:c r="C806" t="str">
        <x:v>015949</x:v>
      </x:c>
      <x:c r="D806" t="str">
        <x:v>MANUTENÇÃO EQUIPAMENTOS</x:v>
      </x:c>
      <x:c r="E806"/>
      <x:c r="F806" s="4" t="n">
        <x:v>46051</x:v>
      </x:c>
      <x:c r="G806" t="str">
        <x:v>VLI PINTURA</x:v>
      </x:c>
      <x:c r="H806" t="str">
        <x:v>8.14 - MANUTENÇÃO/PEÇAS MAQUINAS E EQUIPAMENTOS</x:v>
      </x:c>
      <x:c r="I806" s="5" t="n">
        <x:v>350</x:v>
      </x:c>
    </x:row>
    <x:row r="807">
      <x:c r="A807" t="str">
        <x:v>MERCADO LIVRE</x:v>
      </x:c>
      <x:c r="B807" t="str">
        <x:v>77</x:v>
      </x:c>
      <x:c r="C807" t="str">
        <x:v>015950</x:v>
      </x:c>
      <x:c r="D807" t="str">
        <x:v>MANUTENÇÃO EQUIPAMENTOS</x:v>
      </x:c>
      <x:c r="E807"/>
      <x:c r="F807" s="4" t="n">
        <x:v>46051</x:v>
      </x:c>
      <x:c r="G807" t="str">
        <x:v>VLI PINTURA</x:v>
      </x:c>
      <x:c r="H807" t="str">
        <x:v>8.14 - MANUTENÇÃO/PEÇAS MAQUINAS E EQUIPAMENTOS</x:v>
      </x:c>
      <x:c r="I807" s="5" t="n">
        <x:v>800</x:v>
      </x:c>
    </x:row>
    <x:row r="808">
      <x:c r="A808" t="str">
        <x:v>MERCADO LIVRE</x:v>
      </x:c>
      <x:c r="B808" t="str">
        <x:v>147352</x:v>
      </x:c>
      <x:c r="C808" t="str">
        <x:v>015951</x:v>
      </x:c>
      <x:c r="D808" t="str">
        <x:v>MANUTENÇÃO EQUIPAMENTOS</x:v>
      </x:c>
      <x:c r="E808"/>
      <x:c r="F808" s="4" t="n">
        <x:v>46051</x:v>
      </x:c>
      <x:c r="G808" t="str">
        <x:v>VLI PINTURA</x:v>
      </x:c>
      <x:c r="H808" t="str">
        <x:v>8.14 - MANUTENÇÃO/PEÇAS MAQUINAS E EQUIPAMENTOS</x:v>
      </x:c>
      <x:c r="I808" s="5" t="n">
        <x:v>599.16</x:v>
      </x:c>
    </x:row>
    <x:row r="809">
      <x:c r="A809" t="str">
        <x:v>MERCADO LIVRE</x:v>
      </x:c>
      <x:c r="B809" t="str">
        <x:v>293793</x:v>
      </x:c>
      <x:c r="C809" t="str">
        <x:v>015952</x:v>
      </x:c>
      <x:c r="D809" t="str">
        <x:v>MANUTENÇÃO VEÍCULO - OROCH</x:v>
      </x:c>
      <x:c r="E809"/>
      <x:c r="F809" s="4" t="n">
        <x:v>46051</x:v>
      </x:c>
      <x:c r="G809" t="str">
        <x:v>EUROCHEM SERRA DO SALITRE</x:v>
      </x:c>
      <x:c r="H809" t="str">
        <x:v>6.3 - MANUTENÇÃO/PEÇAS  VEICULOS</x:v>
      </x:c>
      <x:c r="I809" s="5" t="n">
        <x:v>605.89</x:v>
      </x:c>
    </x:row>
    <x:row r="810">
      <x:c r="A810" t="str">
        <x:v>LAVANDERIA SOL NASCENTE LTDA</x:v>
      </x:c>
      <x:c r="B810" t="str">
        <x:v>2671</x:v>
      </x:c>
      <x:c r="C810" t="str">
        <x:v>016042</x:v>
      </x:c>
      <x:c r="D810" t="str">
        <x:v>SOL NASCENTE LAVANDERIA - PIX 08.807.690/0001-05</x:v>
      </x:c>
      <x:c r="E810" t="str">
        <x:v>HIGIENIZAÇÃO DE EPIS</x:v>
      </x:c>
      <x:c r="F810" s="4" t="n">
        <x:v>46051</x:v>
      </x:c>
      <x:c r="G810" t="str">
        <x:v>ANGLO AMERICAN</x:v>
      </x:c>
      <x:c r="H810" t="str">
        <x:v>5.2 - LAVANDERIA</x:v>
      </x:c>
      <x:c r="I810" s="5" t="n">
        <x:v>424.5</x:v>
      </x:c>
    </x:row>
    <x:row r="811">
      <x:c r="A811" t="str">
        <x:v>PGFN</x:v>
      </x:c>
      <x:c r="B811"/>
      <x:c r="C811" t="str">
        <x:v>005417</x:v>
      </x:c>
      <x:c r="D811" t="str">
        <x:v>PGFN 011015050 PIS - CONFINS - CSLL - ISS</x:v>
      </x:c>
      <x:c r="E811" t="str">
        <x:v>PARCELAMENTO A IDEAL ISOLAMENTO</x:v>
      </x:c>
      <x:c r="F811" s="4" t="n">
        <x:v>46052</x:v>
      </x:c>
      <x:c r="G811" t="str">
        <x:v>IMPOSTOS</x:v>
      </x:c>
      <x:c r="H811" t="str">
        <x:v>17.1 - PARCELAMENTO</x:v>
      </x:c>
      <x:c r="I811" s="5" t="n">
        <x:v>572.61</x:v>
      </x:c>
    </x:row>
    <x:row r="812">
      <x:c r="A812" t="str">
        <x:v>PGFN</x:v>
      </x:c>
      <x:c r="B812"/>
      <x:c r="C812" t="str">
        <x:v>005418</x:v>
      </x:c>
      <x:c r="D812" t="str">
        <x:v>PGFN 011015050 PIS - CONFINS - CSLL - ISS</x:v>
      </x:c>
      <x:c r="E812" t="str">
        <x:v>PARCELAMENTO A IDEAL ISOLAMENTO</x:v>
      </x:c>
      <x:c r="F812" s="4" t="n">
        <x:v>46052</x:v>
      </x:c>
      <x:c r="G812" t="str">
        <x:v>IMPOSTOS</x:v>
      </x:c>
      <x:c r="H812" t="str">
        <x:v>17.1 - PARCELAMENTO</x:v>
      </x:c>
      <x:c r="I812" s="5" t="n">
        <x:v>572.61</x:v>
      </x:c>
    </x:row>
    <x:row r="813">
      <x:c r="A813" t="str">
        <x:v>PGFN</x:v>
      </x:c>
      <x:c r="B813"/>
      <x:c r="C813" t="str">
        <x:v>005479</x:v>
      </x:c>
      <x:c r="D813" t="str">
        <x:v>PGFN 011015098</x:v>
      </x:c>
      <x:c r="E813" t="str">
        <x:v>PARCELAMENTO A IDEAL ANDAIMES</x:v>
      </x:c>
      <x:c r="F813" s="4" t="n">
        <x:v>46052</x:v>
      </x:c>
      <x:c r="G813" t="str">
        <x:v>IMPOSTOS</x:v>
      </x:c>
      <x:c r="H813" t="str">
        <x:v>17.1 - PARCELAMENTO</x:v>
      </x:c>
      <x:c r="I813" s="5" t="n">
        <x:v>118.97</x:v>
      </x:c>
    </x:row>
    <x:row r="814">
      <x:c r="A814" t="str">
        <x:v>PGFN</x:v>
      </x:c>
      <x:c r="B814"/>
      <x:c r="C814" t="str">
        <x:v>005480</x:v>
      </x:c>
      <x:c r="D814" t="str">
        <x:v>PGFN 011015098</x:v>
      </x:c>
      <x:c r="E814" t="str">
        <x:v>PARCELAMENTO A IDEAL ANDAIMES</x:v>
      </x:c>
      <x:c r="F814" s="4" t="n">
        <x:v>46052</x:v>
      </x:c>
      <x:c r="G814" t="str">
        <x:v>IMPOSTOS</x:v>
      </x:c>
      <x:c r="H814" t="str">
        <x:v>17.1 - PARCELAMENTO</x:v>
      </x:c>
      <x:c r="I814" s="5" t="n">
        <x:v>118.97</x:v>
      </x:c>
    </x:row>
    <x:row r="815">
      <x:c r="A815" t="str">
        <x:v>PGFN</x:v>
      </x:c>
      <x:c r="B815"/>
      <x:c r="C815" t="str">
        <x:v>005516</x:v>
      </x:c>
      <x:c r="D815" t="str">
        <x:v>DAS PARCSN VERSAO 2.0.0 PIS - CONFINS - INSS - IRPJ</x:v>
      </x:c>
      <x:c r="E815" t="str">
        <x:v>PARCELAMENTO A IDEAL ANDAIMES</x:v>
      </x:c>
      <x:c r="F815" s="4" t="n">
        <x:v>46052</x:v>
      </x:c>
      <x:c r="G815" t="str">
        <x:v>IMPOSTOS</x:v>
      </x:c>
      <x:c r="H815" t="str">
        <x:v>17.1 - PARCELAMENTO</x:v>
      </x:c>
      <x:c r="I815" s="5" t="n">
        <x:v>354.86</x:v>
      </x:c>
    </x:row>
    <x:row r="816">
      <x:c r="A816" t="str">
        <x:v>PGFN</x:v>
      </x:c>
      <x:c r="B816"/>
      <x:c r="C816" t="str">
        <x:v>009905</x:v>
      </x:c>
      <x:c r="D816" t="str">
        <x:v>PARCELAMENTO ENTRADA PGFN 011319029 1-6</x:v>
      </x:c>
      <x:c r="E816" t="str">
        <x:v>NV AIDEAL SOLUCOES  GUERRA ADVOGADOS</x:v>
      </x:c>
      <x:c r="F816" s="4" t="n">
        <x:v>46052</x:v>
      </x:c>
      <x:c r="G816" t="str">
        <x:v>IMPOSTOS</x:v>
      </x:c>
      <x:c r="H816" t="str">
        <x:v>17.1 - PARCELAMENTO</x:v>
      </x:c>
      <x:c r="I816" s="5" t="n">
        <x:v>2691.6</x:v>
      </x:c>
    </x:row>
    <x:row r="817">
      <x:c r="A817" t="str">
        <x:v>PROMA PROMOCOES LTDA</x:v>
      </x:c>
      <x:c r="B817"/>
      <x:c r="C817" t="str">
        <x:v>015878</x:v>
      </x:c>
      <x:c r="D817" t="str">
        <x:v>FEIRA DE EVENTO BRASMIN - 2027</x:v>
      </x:c>
      <x:c r="E817" t="str">
        <x:v>PARCELADO EM 02 X PIX 34.452.893/0001-28</x:v>
      </x:c>
      <x:c r="F817" s="4" t="n">
        <x:v>46052</x:v>
      </x:c>
      <x:c r="G817" t="str">
        <x:v>GASTOS COMERCIAIS</x:v>
      </x:c>
      <x:c r="H817" t="str">
        <x:v>3.19 - SERVIÇO BRINDES E ACESSORIOS E EVENTOS</x:v>
      </x:c>
      <x:c r="I817" s="5" t="n">
        <x:v>1568</x:v>
      </x:c>
    </x:row>
    <x:row r="818">
      <x:c r="A818" t="str">
        <x:v>PROMA PROMOCOES LTDA</x:v>
      </x:c>
      <x:c r="B818"/>
      <x:c r="C818" t="str">
        <x:v>015878</x:v>
      </x:c>
      <x:c r="D818" t="str">
        <x:v>FEIRA DE EVENTO BRASMIN - 2027</x:v>
      </x:c>
      <x:c r="E818" t="str">
        <x:v>PARCELADO EM 02 X PIX 34.452.893/0001-28</x:v>
      </x:c>
      <x:c r="F818" s="4" t="n">
        <x:v>46052</x:v>
      </x:c>
      <x:c r="G818" t="str">
        <x:v>GASTOS COMERCIAIS</x:v>
      </x:c>
      <x:c r="H818" t="str">
        <x:v>3.19 - SERVIÇO BRINDES E ACESSORIOS E EVENTOS</x:v>
      </x:c>
      <x:c r="I818" s="5" t="n">
        <x:v>1568</x:v>
      </x:c>
    </x:row>
    <x:row r="819">
      <x:c r="A819" t="str">
        <x:v>ENCOMENDA DE CATALAO</x:v>
      </x:c>
      <x:c r="B819"/>
      <x:c r="C819" t="str">
        <x:v>015880</x:v>
      </x:c>
      <x:c r="D819" t="str">
        <x:v>GABRIELLE ELIAS DE FREITAS - PIX (64) 9 9259-1215</x:v>
      </x:c>
      <x:c r="E819"/>
      <x:c r="F819" s="4" t="n">
        <x:v>46052</x:v>
      </x:c>
      <x:c r="G819" t="str">
        <x:v>FOSFATO CMOC CONTRAT</x:v>
      </x:c>
      <x:c r="H819" t="str">
        <x:v>10.1 - FRETE MATERIAIS E EQUIPAMENTOS</x:v>
      </x:c>
      <x:c r="I819" s="5" t="n">
        <x:v>100</x:v>
      </x:c>
    </x:row>
    <x:row r="820">
      <x:c r="A820" t="str">
        <x:v>64.258.497 ANNA KARLA DA SILVA MORAES</x:v>
      </x:c>
      <x:c r="B820" t="str">
        <x:v>1</x:v>
      </x:c>
      <x:c r="C820" t="str">
        <x:v>015882</x:v>
      </x:c>
      <x:c r="D820" t="str">
        <x:v>ANNA KARLA DA SILVA MORAES - PIX (62) 9 8241-5229</x:v>
      </x:c>
      <x:c r="E820" t="str">
        <x:v>DECORAÇÃO DE INTERIORES EM 2 AMBIENTES</x:v>
      </x:c>
      <x:c r="F820" s="4" t="n">
        <x:v>46052</x:v>
      </x:c>
      <x:c r="G820" t="str">
        <x:v>ADMINISTRATIVO</x:v>
      </x:c>
      <x:c r="H820" t="str">
        <x:v>15.5 - PROJETOS</x:v>
      </x:c>
      <x:c r="I820" s="5" t="n">
        <x:v>750</x:v>
      </x:c>
    </x:row>
    <x:row r="821">
      <x:c r="A821" t="str">
        <x:v>INTERNET OBRAS</x:v>
      </x:c>
      <x:c r="B821"/>
      <x:c r="C821" t="str">
        <x:v>015883</x:v>
      </x:c>
      <x:c r="D821" t="str">
        <x:v>INTERNET AABA</x:v>
      </x:c>
      <x:c r="E821" t="str">
        <x:v>REEMBOLSO WILLIAM MONTEIRO</x:v>
      </x:c>
      <x:c r="F821" s="4" t="n">
        <x:v>46052</x:v>
      </x:c>
      <x:c r="G821" t="str">
        <x:v>ANGLO AMERICAN</x:v>
      </x:c>
      <x:c r="H821" t="str">
        <x:v>11.14 - INTERNET OBRAS</x:v>
      </x:c>
      <x:c r="I821" s="5" t="n">
        <x:v>70</x:v>
      </x:c>
    </x:row>
    <x:row r="822">
      <x:c r="A822" t="str">
        <x:v>MAGNO</x:v>
      </x:c>
      <x:c r="B822"/>
      <x:c r="C822" t="str">
        <x:v>015887</x:v>
      </x:c>
      <x:c r="D822" t="str">
        <x:v>DESPESAS REF. 23/01 A 27/01</x:v>
      </x:c>
      <x:c r="E822" t="str">
        <x:v>REEMBOLSO MAGNO</x:v>
      </x:c>
      <x:c r="F822" s="4" t="n">
        <x:v>46052</x:v>
      </x:c>
      <x:c r="G822" t="str">
        <x:v>MOSAIC UBERABA CONTRAT0 3 ANOS</x:v>
      </x:c>
      <x:c r="H822" t="str">
        <x:v>12.5 - REFEIÇÕES FUNCIONARIOS</x:v>
      </x:c>
      <x:c r="I822" s="5" t="n">
        <x:v>92</x:v>
      </x:c>
    </x:row>
    <x:row r="823">
      <x:c r="A823" t="str">
        <x:v>MAGNO</x:v>
      </x:c>
      <x:c r="B823"/>
      <x:c r="C823" t="str">
        <x:v>015887</x:v>
      </x:c>
      <x:c r="D823" t="str">
        <x:v>DESPESAS REF. 23/01 A 27/01</x:v>
      </x:c>
      <x:c r="E823" t="str">
        <x:v>REEMBOLSO MAGNO</x:v>
      </x:c>
      <x:c r="F823" s="4" t="n">
        <x:v>46052</x:v>
      </x:c>
      <x:c r="G823" t="str">
        <x:v>MOSAIC UBERABA CONTRAT0 3 ANOS</x:v>
      </x:c>
      <x:c r="H823" t="str">
        <x:v>3.8 - SERVIÇO MOTOBOY / UBER</x:v>
      </x:c>
      <x:c r="I823" s="5" t="n">
        <x:v>140</x:v>
      </x:c>
    </x:row>
    <x:row r="824">
      <x:c r="A824" t="str">
        <x:v>MAGNO</x:v>
      </x:c>
      <x:c r="B824"/>
      <x:c r="C824" t="str">
        <x:v>015887</x:v>
      </x:c>
      <x:c r="D824" t="str">
        <x:v>DESPESAS REF. 23/01 A 27/01</x:v>
      </x:c>
      <x:c r="E824" t="str">
        <x:v>REEMBOLSO MAGNO</x:v>
      </x:c>
      <x:c r="F824" s="4" t="n">
        <x:v>46052</x:v>
      </x:c>
      <x:c r="G824" t="str">
        <x:v>MOSAIC UBERABA CONTRAT0 3 ANOS</x:v>
      </x:c>
      <x:c r="H824" t="str">
        <x:v>8.9 - MATERIAIS DE CONSUMO EM OBRAS</x:v>
      </x:c>
      <x:c r="I824" s="5" t="n">
        <x:v>152</x:v>
      </x:c>
    </x:row>
    <x:row r="825">
      <x:c r="A825" t="str">
        <x:v>MAGNO</x:v>
      </x:c>
      <x:c r="B825"/>
      <x:c r="C825" t="str">
        <x:v>015887</x:v>
      </x:c>
      <x:c r="D825" t="str">
        <x:v>DESPESAS REF. 23/01 A 27/01</x:v>
      </x:c>
      <x:c r="E825" t="str">
        <x:v>REEMBOLSO MAGNO</x:v>
      </x:c>
      <x:c r="F825" s="4" t="n">
        <x:v>46052</x:v>
      </x:c>
      <x:c r="G825" t="str">
        <x:v>MOSAIC UBERABA CONTRAT0 3 ANOS</x:v>
      </x:c>
      <x:c r="H825" t="str">
        <x:v>6.4 - COMBUSTIVEL VEICULOS</x:v>
      </x:c>
      <x:c r="I825" s="5" t="n">
        <x:v>390.48</x:v>
      </x:c>
    </x:row>
    <x:row r="826">
      <x:c r="A826" t="str">
        <x:v>DESPESAS DE VIAGEM</x:v>
      </x:c>
      <x:c r="B826"/>
      <x:c r="C826" t="str">
        <x:v>015888</x:v>
      </x:c>
      <x:c r="D826" t="str">
        <x:v>PASSAGEM FUNCIONÁRIO WISLEY NAZARÉ</x:v>
      </x:c>
      <x:c r="E826"/>
      <x:c r="F826" s="4" t="n">
        <x:v>46052</x:v>
      </x:c>
      <x:c r="G826" t="str">
        <x:v>CONTRATO 02 ANOS MINERAÇÃO SERRA VERDE</x:v>
      </x:c>
      <x:c r="H826" t="str">
        <x:v>12.9 - PASSAGENS FUNCIONARIOS</x:v>
      </x:c>
      <x:c r="I826" s="5" t="n">
        <x:v>600</x:v>
      </x:c>
    </x:row>
    <x:row r="827">
      <x:c r="A827" t="str">
        <x:v>XCELL CELULARES E INFORMATICA LTDA</x:v>
      </x:c>
      <x:c r="B827" t="str">
        <x:v>252</x:v>
      </x:c>
      <x:c r="C827" t="str">
        <x:v>015902</x:v>
      </x:c>
      <x:c r="D827" t="str">
        <x:v>MATERIAIS DE INFORMÁTICA</x:v>
      </x:c>
      <x:c r="E827"/>
      <x:c r="F827" s="4" t="n">
        <x:v>46052</x:v>
      </x:c>
      <x:c r="G827" t="str">
        <x:v>ADMINISTRATIVO</x:v>
      </x:c>
      <x:c r="H827" t="str">
        <x:v>11.13 - MATERIAIS DE INFORMATICA / COMPUTADOR</x:v>
      </x:c>
      <x:c r="I827" s="5" t="n">
        <x:v>140</x:v>
      </x:c>
    </x:row>
    <x:row r="828">
      <x:c r="A828" t="str">
        <x:v>55.324.724 GABRIEL VINICIUS ABREU FERREIRA</x:v>
      </x:c>
      <x:c r="B828"/>
      <x:c r="C828" t="str">
        <x:v>015903</x:v>
      </x:c>
      <x:c r="D828" t="str">
        <x:v>GABRIEL VINICIUS AB - PIX 55.324.724/0001-82</x:v>
      </x:c>
      <x:c r="E828" t="str">
        <x:v>LEVAR MATERIAL NA TRANSPORTADORA</x:v>
      </x:c>
      <x:c r="F828" s="4" t="n">
        <x:v>46052</x:v>
      </x:c>
      <x:c r="G828" t="str">
        <x:v>ADMINISTRATIVO</x:v>
      </x:c>
      <x:c r="H828" t="str">
        <x:v>3.8 - SERVIÇO MOTOBOY / UBER</x:v>
      </x:c>
      <x:c r="I828" s="5" t="n">
        <x:v>160</x:v>
      </x:c>
    </x:row>
    <x:row r="829">
      <x:c r="A829" t="str">
        <x:v>UBER OBRAS</x:v>
      </x:c>
      <x:c r="B829"/>
      <x:c r="C829" t="str">
        <x:v>015904</x:v>
      </x:c>
      <x:c r="D829" t="str">
        <x:v>UBER DO BRASIL TECNOLOGIA LTDA - PIX 3f7cde38-80f4-44d8-a4f3-be9badbbc87b</x:v>
      </x:c>
      <x:c r="E829" t="str">
        <x:v>TRAZER CARREGADOR NOTEBOOK</x:v>
      </x:c>
      <x:c r="F829" s="4" t="n">
        <x:v>46052</x:v>
      </x:c>
      <x:c r="G829" t="str">
        <x:v>ADMINISTRATIVO</x:v>
      </x:c>
      <x:c r="H829" t="str">
        <x:v>10.1 - FRETE MATERIAIS E EQUIPAMENTOS</x:v>
      </x:c>
      <x:c r="I829" s="5" t="n">
        <x:v>17.93</x:v>
      </x:c>
    </x:row>
    <x:row r="830">
      <x:c r="A830" t="str">
        <x:v>JUCEG</x:v>
      </x:c>
      <x:c r="B830"/>
      <x:c r="C830" t="str">
        <x:v>015905</x:v>
      </x:c>
      <x:c r="D830" t="str">
        <x:v>GUIA JUCEG</x:v>
      </x:c>
      <x:c r="E830" t="str">
        <x:v>TAXA DE SERVIÇOS ESTADUAIS</x:v>
      </x:c>
      <x:c r="F830" s="4" t="n">
        <x:v>46052</x:v>
      </x:c>
      <x:c r="G830" t="str">
        <x:v>ADMINISTRATIVO</x:v>
      </x:c>
      <x:c r="H830" t="str">
        <x:v>3.13 - SERVIÇO CARTORIO</x:v>
      </x:c>
      <x:c r="I830" s="5" t="n">
        <x:v>356</x:v>
      </x:c>
    </x:row>
    <x:row r="831">
      <x:c r="A831" t="str">
        <x:v>SOFTEN SISTEMAS DE INFORMATICA LTDA</x:v>
      </x:c>
      <x:c r="B831" t="str">
        <x:v>533824</x:v>
      </x:c>
      <x:c r="C831" t="str">
        <x:v>015909</x:v>
      </x:c>
      <x:c r="D831" t="str">
        <x:v>LICENCA DE USO MENSAL DO SOFTWARE E SUPORTE TECNICO REF. 01/2026</x:v>
      </x:c>
      <x:c r="E831" t="str">
        <x:v>VENCIMENTO ORIGINAL DO BOLETO 20/02/26</x:v>
      </x:c>
      <x:c r="F831" s="4" t="n">
        <x:v>46052</x:v>
      </x:c>
      <x:c r="G831" t="str">
        <x:v>ADMINISTRATIVO</x:v>
      </x:c>
      <x:c r="H831" t="str">
        <x:v>11.8 - SISTEMA / SERVIDOR</x:v>
      </x:c>
      <x:c r="I831" s="5" t="n">
        <x:v>195.9</x:v>
      </x:c>
    </x:row>
    <x:row r="832">
      <x:c r="A832" t="str">
        <x:v>INDUSTRIA E COMERCIO DE MOVEIS NOBRE LTDA - EPP</x:v>
      </x:c>
      <x:c r="B832" t="str">
        <x:v>10953</x:v>
      </x:c>
      <x:c r="C832" t="str">
        <x:v>015916</x:v>
      </x:c>
      <x:c r="D832" t="str">
        <x:v>MATERIAIS DE ESCRITÓRIO</x:v>
      </x:c>
      <x:c r="E832" t="str">
        <x:v>VENCIMENTO ORIGINAL DOS BOLETOS 02/03 02/04 E 02/05/26</x:v>
      </x:c>
      <x:c r="F832" s="4" t="n">
        <x:v>46052</x:v>
      </x:c>
      <x:c r="G832" t="str">
        <x:v>ADMINISTRATIVO</x:v>
      </x:c>
      <x:c r="H832" t="str">
        <x:v>8.10 - MATERIAS DE ESCRITORIO</x:v>
      </x:c>
      <x:c r="I832" s="5" t="n">
        <x:v>351.23</x:v>
      </x:c>
    </x:row>
    <x:row r="833">
      <x:c r="A833" t="str">
        <x:v>INDUSTRIA E COMERCIO DE MOVEIS NOBRE LTDA - EPP</x:v>
      </x:c>
      <x:c r="B833" t="str">
        <x:v>10953</x:v>
      </x:c>
      <x:c r="C833" t="str">
        <x:v>015916</x:v>
      </x:c>
      <x:c r="D833" t="str">
        <x:v>MATERIAIS DE ESCRITÓRIO</x:v>
      </x:c>
      <x:c r="E833" t="str">
        <x:v>VENCIMENTO ORIGINAL DOS BOLETOS 02/03 02/04 E 02/05/26</x:v>
      </x:c>
      <x:c r="F833" s="4" t="n">
        <x:v>46052</x:v>
      </x:c>
      <x:c r="G833" t="str">
        <x:v>ADMINISTRATIVO</x:v>
      </x:c>
      <x:c r="H833" t="str">
        <x:v>8.10 - MATERIAS DE ESCRITORIO</x:v>
      </x:c>
      <x:c r="I833" s="5" t="n">
        <x:v>314.09</x:v>
      </x:c>
    </x:row>
    <x:row r="834">
      <x:c r="A834" t="str">
        <x:v>INDUSTRIA E COMERCIO DE MOVEIS NOBRE LTDA - EPP</x:v>
      </x:c>
      <x:c r="B834" t="str">
        <x:v>10953</x:v>
      </x:c>
      <x:c r="C834" t="str">
        <x:v>015916</x:v>
      </x:c>
      <x:c r="D834" t="str">
        <x:v>MATERIAIS DE ESCRITÓRIO</x:v>
      </x:c>
      <x:c r="E834" t="str">
        <x:v>VENCIMENTO ORIGINAL DOS BOLETOS 02/03 02/04 E 02/05/26</x:v>
      </x:c>
      <x:c r="F834" s="4" t="n">
        <x:v>46052</x:v>
      </x:c>
      <x:c r="G834" t="str">
        <x:v>ADMINISTRATIVO</x:v>
      </x:c>
      <x:c r="H834" t="str">
        <x:v>8.10 - MATERIAS DE ESCRITORIO</x:v>
      </x:c>
      <x:c r="I834" s="5" t="n">
        <x:v>314.07</x:v>
      </x:c>
    </x:row>
    <x:row r="835">
      <x:c r="A835" t="str">
        <x:v>POSTO MAIS LTDA</x:v>
      </x:c>
      <x:c r="B835" t="str">
        <x:v>660</x:v>
      </x:c>
      <x:c r="C835" t="str">
        <x:v>015918</x:v>
      </x:c>
      <x:c r="D835" t="str">
        <x:v>COMBUSTÍVEL VEÍCULOS</x:v>
      </x:c>
      <x:c r="E835" t="str">
        <x:v>VENCIMENTO ORIGINAL DO BOLETO 20/02/26</x:v>
      </x:c>
      <x:c r="F835" s="4" t="n">
        <x:v>46052</x:v>
      </x:c>
      <x:c r="G835" t="str">
        <x:v>FOSFATO CMOC CONTRAT</x:v>
      </x:c>
      <x:c r="H835" t="str">
        <x:v>8.13 - COMBUSTIVEL EQUIPAMENTOS</x:v>
      </x:c>
      <x:c r="I835" s="5" t="n">
        <x:v>25.642612</x:v>
      </x:c>
    </x:row>
    <x:row r="836">
      <x:c r="A836" t="str">
        <x:v>POSTO MAIS LTDA</x:v>
      </x:c>
      <x:c r="B836" t="str">
        <x:v>660</x:v>
      </x:c>
      <x:c r="C836" t="str">
        <x:v>015918</x:v>
      </x:c>
      <x:c r="D836" t="str">
        <x:v>COMBUSTÍVEL VEÍCULOS</x:v>
      </x:c>
      <x:c r="E836" t="str">
        <x:v>VENCIMENTO ORIGINAL DO BOLETO 20/02/26</x:v>
      </x:c>
      <x:c r="F836" s="4" t="n">
        <x:v>46052</x:v>
      </x:c>
      <x:c r="G836" t="str">
        <x:v>FOSFATO CMOC CONTRAT</x:v>
      </x:c>
      <x:c r="H836" t="str">
        <x:v>6.4 - COMBUSTIVEL VEICULOS</x:v>
      </x:c>
      <x:c r="I836" s="5" t="n">
        <x:v>5701.457387</x:v>
      </x:c>
    </x:row>
    <x:row r="837">
      <x:c r="A837" t="str">
        <x:v>POSTO MAIS LTDA</x:v>
      </x:c>
      <x:c r="B837" t="str">
        <x:v>660</x:v>
      </x:c>
      <x:c r="C837" t="str">
        <x:v>015918</x:v>
      </x:c>
      <x:c r="D837" t="str">
        <x:v>COMBUSTÍVEL VEÍCULOS</x:v>
      </x:c>
      <x:c r="E837" t="str">
        <x:v>VENCIMENTO ORIGINAL DO BOLETO 20/02/26</x:v>
      </x:c>
      <x:c r="F837" s="4" t="n">
        <x:v>46052</x:v>
      </x:c>
      <x:c r="G837" t="str">
        <x:v>NIOBIO CMOC CONTRATO</x:v>
      </x:c>
      <x:c r="H837" t="str">
        <x:v>8.13 - COMBUSTIVEL EQUIPAMENTOS</x:v>
      </x:c>
      <x:c r="I837" s="5" t="n">
        <x:v>5.487387</x:v>
      </x:c>
    </x:row>
    <x:row r="838">
      <x:c r="A838" t="str">
        <x:v>POSTO MAIS LTDA</x:v>
      </x:c>
      <x:c r="B838" t="str">
        <x:v>660</x:v>
      </x:c>
      <x:c r="C838" t="str">
        <x:v>015918</x:v>
      </x:c>
      <x:c r="D838" t="str">
        <x:v>COMBUSTÍVEL VEÍCULOS</x:v>
      </x:c>
      <x:c r="E838" t="str">
        <x:v>VENCIMENTO ORIGINAL DO BOLETO 20/02/26</x:v>
      </x:c>
      <x:c r="F838" s="4" t="n">
        <x:v>46052</x:v>
      </x:c>
      <x:c r="G838" t="str">
        <x:v>NIOBIO CMOC CONTRATO</x:v>
      </x:c>
      <x:c r="H838" t="str">
        <x:v>6.4 - COMBUSTIVEL VEICULOS</x:v>
      </x:c>
      <x:c r="I838" s="5" t="n">
        <x:v>1220.082613</x:v>
      </x:c>
    </x:row>
    <x:row r="839">
      <x:c r="A839" t="str">
        <x:v>PROTEGE DISTRIBUIDORA DE EPI EPC E SINALIZACAO LTDA</x:v>
      </x:c>
      <x:c r="B839" t="str">
        <x:v>1255</x:v>
      </x:c>
      <x:c r="C839" t="str">
        <x:v>015923</x:v>
      </x:c>
      <x:c r="D839" t="str">
        <x:v>EPIS</x:v>
      </x:c>
      <x:c r="E839"/>
      <x:c r="F839" s="4" t="n">
        <x:v>46052</x:v>
      </x:c>
      <x:c r="G839" t="str">
        <x:v>ANGLO AMERICAN</x:v>
      </x:c>
      <x:c r="H839" t="str">
        <x:v>13.1 - EPIS</x:v>
      </x:c>
      <x:c r="I839" s="5" t="n">
        <x:v>189</x:v>
      </x:c>
    </x:row>
    <x:row r="840">
      <x:c r="A840" t="str">
        <x:v>G17 AUTO POSTO LTDA</x:v>
      </x:c>
      <x:c r="B840" t="str">
        <x:v>49</x:v>
      </x:c>
      <x:c r="C840" t="str">
        <x:v>015924</x:v>
      </x:c>
      <x:c r="D840" t="str">
        <x:v>COMBUSTÍVEL VEÍCULOS</x:v>
      </x:c>
      <x:c r="E840"/>
      <x:c r="F840" s="4" t="n">
        <x:v>46052</x:v>
      </x:c>
      <x:c r="G840" t="str">
        <x:v>ADMINISTRATIVO</x:v>
      </x:c>
      <x:c r="H840" t="str">
        <x:v>6.4 - COMBUSTIVEL VEICULOS</x:v>
      </x:c>
      <x:c r="I840" s="5" t="n">
        <x:v>233.21</x:v>
      </x:c>
    </x:row>
    <x:row r="841">
      <x:c r="A841" t="str">
        <x:v>M R EQUIPAMENTOS COMBATE A INCENDIO LTDA</x:v>
      </x:c>
      <x:c r="B841" t="str">
        <x:v>4828</x:v>
      </x:c>
      <x:c r="C841" t="str">
        <x:v>015954</x:v>
      </x:c>
      <x:c r="D841" t="str">
        <x:v>ANTONIO MOREIRA FONTINELE (85) 98738-3839</x:v>
      </x:c>
      <x:c r="E841" t="str">
        <x:v>RECARGA E MANUTENÇÃO EXTINTORES</x:v>
      </x:c>
      <x:c r="F841" s="4" t="n">
        <x:v>46052</x:v>
      </x:c>
      <x:c r="G841" t="str">
        <x:v>VLI PINTURA</x:v>
      </x:c>
      <x:c r="H841" t="str">
        <x:v>8.14 - MANUTENÇÃO/PEÇAS MAQUINAS E EQUIPAMENTOS</x:v>
      </x:c>
      <x:c r="I841" s="5" t="n">
        <x:v>250</x:v>
      </x:c>
    </x:row>
    <x:row r="842">
      <x:c r="A842" t="str">
        <x:v>IMPOSTO A IDEAL ISOLAMENTO</x:v>
      </x:c>
      <x:c r="B842"/>
      <x:c r="C842" t="str">
        <x:v>016009</x:v>
      </x:c>
      <x:c r="D842" t="str">
        <x:v>IMPOSTOS DEBITADOS EM CONTA CAIXA ECONOMICA</x:v>
      </x:c>
      <x:c r="E842"/>
      <x:c r="F842" s="4" t="n">
        <x:v>46052</x:v>
      </x:c>
      <x:c r="G842" t="str">
        <x:v>IMPOSTOS</x:v>
      </x:c>
      <x:c r="H842" t="str">
        <x:v>17.1 - PARCELAMENTO</x:v>
      </x:c>
      <x:c r="I842" s="5" t="n">
        <x:v>21227.86</x:v>
      </x:c>
    </x:row>
    <x:row r="843">
      <x:c r="A843" t="str">
        <x:v>QUALI TINTAS</x:v>
      </x:c>
      <x:c r="B843" t="str">
        <x:v>19965</x:v>
      </x:c>
      <x:c r="C843" t="str">
        <x:v>016013</x:v>
      </x:c>
      <x:c r="D843" t="str">
        <x:v>TINTAS E SOLVENTES</x:v>
      </x:c>
      <x:c r="E843"/>
      <x:c r="F843" s="4" t="n">
        <x:v>46052</x:v>
      </x:c>
      <x:c r="G843" t="str">
        <x:v>MOSAIC UBERABA CONTRAT0 3 ANOS</x:v>
      </x:c>
      <x:c r="H843" t="str">
        <x:v>4.1 - TINTAS E SOLVENTES</x:v>
      </x:c>
      <x:c r="I843" s="5" t="n">
        <x:v>7610</x:v>
      </x:c>
    </x:row>
    <x:row r="844">
      <x:c r="A844" t="str">
        <x:v>QUALI TINTAS</x:v>
      </x:c>
      <x:c r="B844" t="str">
        <x:v>19965</x:v>
      </x:c>
      <x:c r="C844" t="str">
        <x:v>016013</x:v>
      </x:c>
      <x:c r="D844" t="str">
        <x:v>TINTAS E SOLVENTES</x:v>
      </x:c>
      <x:c r="E844"/>
      <x:c r="F844" s="4" t="n">
        <x:v>46052</x:v>
      </x:c>
      <x:c r="G844" t="str">
        <x:v>MOSAIC UBERABA CONTRAT0 3 ANOS</x:v>
      </x:c>
      <x:c r="H844" t="str">
        <x:v>4.1 - TINTAS E SOLVENTES</x:v>
      </x:c>
      <x:c r="I844" s="5" t="n">
        <x:v>7610</x:v>
      </x:c>
    </x:row>
    <x:row r="845">
      <x:c r="A845" t="str">
        <x:v>QUALI TINTAS</x:v>
      </x:c>
      <x:c r="B845" t="str">
        <x:v>19965</x:v>
      </x:c>
      <x:c r="C845" t="str">
        <x:v>016013</x:v>
      </x:c>
      <x:c r="D845" t="str">
        <x:v>TINTAS E SOLVENTES</x:v>
      </x:c>
      <x:c r="E845"/>
      <x:c r="F845" s="4" t="n">
        <x:v>46052</x:v>
      </x:c>
      <x:c r="G845" t="str">
        <x:v>MOSAIC UBERABA CONTRAT0 3 ANOS</x:v>
      </x:c>
      <x:c r="H845" t="str">
        <x:v>4.1 - TINTAS E SOLVENTES</x:v>
      </x:c>
      <x:c r="I845" s="5" t="n">
        <x:v>7610</x:v>
      </x:c>
    </x:row>
    <x:row r="846">
      <x:c r="A846" t="str">
        <x:v>PGFN</x:v>
      </x:c>
      <x:c r="B846"/>
      <x:c r="C846" t="str">
        <x:v>005517</x:v>
      </x:c>
      <x:c r="D846" t="str">
        <x:v>DAS PARCSN VERSAO 2.0.0 PIS - CONFINS - INSS - IRPJ</x:v>
      </x:c>
      <x:c r="E846" t="str">
        <x:v>PARCELAMENTO A IDEAL ANDAIMES</x:v>
      </x:c>
      <x:c r="F846" s="4" t="n">
        <x:v>46053</x:v>
      </x:c>
      <x:c r="G846" t="str">
        <x:v>IMPOSTOS</x:v>
      </x:c>
      <x:c r="H846" t="str">
        <x:v>17.1 - PARCELAMENTO</x:v>
      </x:c>
      <x:c r="I846" s="5" t="n">
        <x:v>354.86</x:v>
      </x:c>
    </x:row>
    <x:row r="847">
      <x:c r="A847" t="str">
        <x:v>PREVISÃO</x:v>
      </x:c>
      <x:c r="B847"/>
      <x:c r="C847"/>
      <x:c r="D847"/>
      <x:c r="E847"/>
      <x:c r="F847" s="4" t="n">
        <x:v>46023</x:v>
      </x:c>
      <x:c r="G847" t="str">
        <x:v>FOSFATO CMOC CONTRAT</x:v>
      </x:c>
      <x:c r="H847" t="str">
        <x:v>12.4 - PREVISÃO FÉRIAS</x:v>
      </x:c>
      <x:c r="I847" s="5" t="n">
        <x:v>23.731633333333335</x:v>
      </x:c>
    </x:row>
    <x:row r="848">
      <x:c r="A848" t="str">
        <x:v>PREVISÃO</x:v>
      </x:c>
      <x:c r="B848"/>
      <x:c r="C848"/>
      <x:c r="D848"/>
      <x:c r="E848"/>
      <x:c r="F848" s="4" t="n">
        <x:v>46023</x:v>
      </x:c>
      <x:c r="G848" t="str">
        <x:v>ADMINISTRATIVO</x:v>
      </x:c>
      <x:c r="H848" t="str">
        <x:v>12.4 - PREVISÃO FÉRIAS</x:v>
      </x:c>
      <x:c r="I848" s="5" t="n">
        <x:v>9002.228025</x:v>
      </x:c>
    </x:row>
    <x:row r="849">
      <x:c r="A849" t="str">
        <x:v>PREVISÃO</x:v>
      </x:c>
      <x:c r="B849"/>
      <x:c r="C849"/>
      <x:c r="D849"/>
      <x:c r="E849"/>
      <x:c r="F849" s="4" t="n">
        <x:v>46023</x:v>
      </x:c>
      <x:c r="G849" t="str">
        <x:v>SERENA 10 TORRES 2025</x:v>
      </x:c>
      <x:c r="H849" t="str">
        <x:v>12.4 - PREVISÃO FÉRIAS</x:v>
      </x:c>
      <x:c r="I849" s="5" t="n">
        <x:v>5779.184716666666</x:v>
      </x:c>
    </x:row>
    <x:row r="850">
      <x:c r="A850" t="str">
        <x:v>PREVISÃO</x:v>
      </x:c>
      <x:c r="B850"/>
      <x:c r="C850"/>
      <x:c r="D850"/>
      <x:c r="E850"/>
      <x:c r="F850" s="4" t="n">
        <x:v>46023</x:v>
      </x:c>
      <x:c r="G850" t="str">
        <x:v>VLI PINTURA</x:v>
      </x:c>
      <x:c r="H850" t="str">
        <x:v>12.4 - PREVISÃO FÉRIAS</x:v>
      </x:c>
      <x:c r="I850" s="5" t="n">
        <x:v>9276.905166666666</x:v>
      </x:c>
    </x:row>
    <x:row r="851">
      <x:c r="A851" t="str">
        <x:v>PREVISÃO</x:v>
      </x:c>
      <x:c r="B851"/>
      <x:c r="C851"/>
      <x:c r="D851"/>
      <x:c r="E851"/>
      <x:c r="F851" s="4" t="n">
        <x:v>46023</x:v>
      </x:c>
      <x:c r="G851" t="str">
        <x:v>MOSAIC UBERABA CONTRAT0 3 ANOS</x:v>
      </x:c>
      <x:c r="H851" t="str">
        <x:v>12.4 - PREVISÃO FÉRIAS</x:v>
      </x:c>
      <x:c r="I851" s="5" t="n">
        <x:v>4161.7163</x:v>
      </x:c>
    </x:row>
    <x:row r="852">
      <x:c r="A852" t="str">
        <x:v>PREVISÃO</x:v>
      </x:c>
      <x:c r="B852"/>
      <x:c r="C852"/>
      <x:c r="D852"/>
      <x:c r="E852"/>
      <x:c r="F852" s="4" t="n">
        <x:v>46023</x:v>
      </x:c>
      <x:c r="G852" t="str">
        <x:v>ANGLO AMERICAN</x:v>
      </x:c>
      <x:c r="H852" t="str">
        <x:v>12.4 - PREVISÃO FÉRIAS</x:v>
      </x:c>
      <x:c r="I852" s="5" t="n">
        <x:v>3855.1712500000003</x:v>
      </x:c>
    </x:row>
    <x:row r="853">
      <x:c r="A853" t="str">
        <x:v>PREVISÃO</x:v>
      </x:c>
      <x:c r="B853"/>
      <x:c r="C853"/>
      <x:c r="D853"/>
      <x:c r="E853"/>
      <x:c r="F853" s="4" t="n">
        <x:v>46023</x:v>
      </x:c>
      <x:c r="G853" t="str">
        <x:v>EUROCHEM SERRA DO SALITRE</x:v>
      </x:c>
      <x:c r="H853" t="str">
        <x:v>12.4 - PREVISÃO FÉRIAS</x:v>
      </x:c>
      <x:c r="I853" s="5" t="n">
        <x:v>3314.0618583333335</x:v>
      </x:c>
    </x:row>
    <x:row r="854">
      <x:c r="A854" t="str">
        <x:v>PREVISÃO</x:v>
      </x:c>
      <x:c r="B854"/>
      <x:c r="C854"/>
      <x:c r="D854"/>
      <x:c r="E854"/>
      <x:c r="F854" s="4" t="n">
        <x:v>46023</x:v>
      </x:c>
      <x:c r="G854" t="str">
        <x:v>FOSFATO CMOC CONTRAT</x:v>
      </x:c>
      <x:c r="H854" t="str">
        <x:v>12.4 - PREVISÃO FÉRIAS</x:v>
      </x:c>
      <x:c r="I854" s="5" t="n">
        <x:v>8044.036175</x:v>
      </x:c>
    </x:row>
    <x:row r="855">
      <x:c r="A855" t="str">
        <x:v>PREVISÃO</x:v>
      </x:c>
      <x:c r="B855"/>
      <x:c r="C855"/>
      <x:c r="D855"/>
      <x:c r="E855"/>
      <x:c r="F855" s="4" t="n">
        <x:v>46023</x:v>
      </x:c>
      <x:c r="G855" t="str">
        <x:v>NIOBIO CMOC CONTRATO</x:v>
      </x:c>
      <x:c r="H855" t="str">
        <x:v>12.4 - PREVISÃO FÉRIAS</x:v>
      </x:c>
      <x:c r="I855" s="5" t="n">
        <x:v>4782.058225</x:v>
      </x:c>
    </x:row>
    <x:row r="856">
      <x:c r="A856" t="str">
        <x:v>PREVISÃO</x:v>
      </x:c>
      <x:c r="B856"/>
      <x:c r="C856"/>
      <x:c r="D856"/>
      <x:c r="E856"/>
      <x:c r="F856" s="4" t="n">
        <x:v>46023</x:v>
      </x:c>
      <x:c r="G856" t="str">
        <x:v>CONDUTOS UG 1 - ELETROBRAS</x:v>
      </x:c>
      <x:c r="H856" t="str">
        <x:v>12.4 - PREVISÃO FÉRIAS</x:v>
      </x:c>
      <x:c r="I856" s="5" t="n">
        <x:v>1014.1981499999999</x:v>
      </x:c>
    </x:row>
    <x:row r="857">
      <x:c r="A857" t="str">
        <x:v>PREVISÃO</x:v>
      </x:c>
      <x:c r="B857"/>
      <x:c r="C857"/>
      <x:c r="D857"/>
      <x:c r="E857"/>
      <x:c r="F857" s="4" t="n">
        <x:v>46023</x:v>
      </x:c>
      <x:c r="G857" t="str">
        <x:v>SERENA 10 TORRES 2025</x:v>
      </x:c>
      <x:c r="H857" t="str">
        <x:v>12.4 - PREVISÃO FÉRIAS</x:v>
      </x:c>
      <x:c r="I857" s="5" t="n">
        <x:v>974.0598583333334</x:v>
      </x:c>
    </x:row>
    <x:row r="858">
      <x:c r="A858" t="str">
        <x:v>PREVISÃO</x:v>
      </x:c>
      <x:c r="B858"/>
      <x:c r="C858"/>
      <x:c r="D858"/>
      <x:c r="E858"/>
      <x:c r="F858" s="4" t="n">
        <x:v>46023</x:v>
      </x:c>
      <x:c r="G858" t="str">
        <x:v>CMOC CUBATÃO</x:v>
      </x:c>
      <x:c r="H858" t="str">
        <x:v>12.4 - PREVISÃO FÉRIAS</x:v>
      </x:c>
      <x:c r="I858" s="5" t="n">
        <x:v>3083.9430416666664</x:v>
      </x:c>
    </x:row>
    <x:row r="859">
      <x:c r="A859" t="str">
        <x:v>PREVISÃO</x:v>
      </x:c>
      <x:c r="B859"/>
      <x:c r="C859"/>
      <x:c r="D859"/>
      <x:c r="E859"/>
      <x:c r="F859" s="4" t="n">
        <x:v>46023</x:v>
      </x:c>
      <x:c r="G859" t="str">
        <x:v>CONTRATO 02 ANOS MINERAÇÃO SERRA VERDE</x:v>
      </x:c>
      <x:c r="H859" t="str">
        <x:v>12.4 - PREVISÃO FÉRIAS</x:v>
      </x:c>
      <x:c r="I859" s="5" t="n">
        <x:v>2996.251708333333</x:v>
      </x:c>
    </x:row>
    <x:row r="860">
      <x:c r="A860" t="str">
        <x:v>PREVISÃO</x:v>
      </x:c>
      <x:c r="B860"/>
      <x:c r="C860"/>
      <x:c r="D860"/>
      <x:c r="E860"/>
      <x:c r="F860" s="4" t="n">
        <x:v>46023</x:v>
      </x:c>
      <x:c r="G860" t="str">
        <x:v>ADMINISTRATIVO</x:v>
      </x:c>
      <x:c r="H860" t="str">
        <x:v>12.4 - PREVISÃO FÉRIAS</x:v>
      </x:c>
      <x:c r="I860" s="5" t="n">
        <x:v>997.5</x:v>
      </x:c>
    </x:row>
    <x:row r="861">
      <x:c r="A861" t="str">
        <x:v>PREVISÃO</x:v>
      </x:c>
      <x:c r="B861"/>
      <x:c r="C861"/>
      <x:c r="D861"/>
      <x:c r="E861"/>
      <x:c r="F861" s="4" t="n">
        <x:v>46023</x:v>
      </x:c>
      <x:c r="G861" t="str">
        <x:v>ADMINISTRATIVO</x:v>
      </x:c>
      <x:c r="H861" t="str">
        <x:v>12.4 - PREVISÃO FÉRIAS</x:v>
      </x:c>
      <x:c r="I861" s="5" t="n">
        <x:v>332.5</x:v>
      </x:c>
    </x:row>
    <x:row r="862">
      <x:c r="A862" t="str">
        <x:v>PREVISÃO</x:v>
      </x:c>
      <x:c r="B862"/>
      <x:c r="C862"/>
      <x:c r="D862"/>
      <x:c r="E862"/>
      <x:c r="F862" s="4" t="n">
        <x:v>46023</x:v>
      </x:c>
      <x:c r="G862" t="str">
        <x:v>CONDUTOS UG 1 - ELETROBRAS</x:v>
      </x:c>
      <x:c r="H862" t="str">
        <x:v>12.4 - PREVISÃO FÉRIAS</x:v>
      </x:c>
      <x:c r="I862" s="5" t="n">
        <x:v>3.7905</x:v>
      </x:c>
    </x:row>
    <x:row r="863">
      <x:c r="A863" t="str">
        <x:v>PREVISÃO</x:v>
      </x:c>
      <x:c r="B863"/>
      <x:c r="C863"/>
      <x:c r="D863"/>
      <x:c r="E863"/>
      <x:c r="F863" s="4" t="n">
        <x:v>46023</x:v>
      </x:c>
      <x:c r="G863" t="str">
        <x:v>COMPORTAS - PORTO FERREIRA</x:v>
      </x:c>
      <x:c r="H863" t="str">
        <x:v>12.4 - PREVISÃO FÉRIAS</x:v>
      </x:c>
      <x:c r="I863" s="5" t="n">
        <x:v>89.5755</x:v>
      </x:c>
    </x:row>
    <x:row r="864">
      <x:c r="A864" t="str">
        <x:v>PREVISÃO</x:v>
      </x:c>
      <x:c r="B864"/>
      <x:c r="C864"/>
      <x:c r="D864"/>
      <x:c r="E864"/>
      <x:c r="F864" s="4" t="n">
        <x:v>46023</x:v>
      </x:c>
      <x:c r="G864" t="str">
        <x:v>ANGLO AMERICAN</x:v>
      </x:c>
      <x:c r="H864" t="str">
        <x:v>12.4 - PREVISÃO FÉRIAS</x:v>
      </x:c>
      <x:c r="I864" s="5" t="n">
        <x:v>55.416666666666664</x:v>
      </x:c>
    </x:row>
    <x:row r="865">
      <x:c r="A865" t="str">
        <x:v>PREVISÃO</x:v>
      </x:c>
      <x:c r="B865"/>
      <x:c r="C865"/>
      <x:c r="D865"/>
      <x:c r="E865"/>
      <x:c r="F865" s="4" t="n">
        <x:v>46023</x:v>
      </x:c>
      <x:c r="G865" t="str">
        <x:v>VLI PINTURA</x:v>
      </x:c>
      <x:c r="H865" t="str">
        <x:v>12.4 - PREVISÃO FÉRIAS</x:v>
      </x:c>
      <x:c r="I865" s="5" t="n">
        <x:v>370.04035833333336</x:v>
      </x:c>
    </x:row>
    <x:row r="866">
      <x:c r="A866" t="str">
        <x:v>PREVISÃO</x:v>
      </x:c>
      <x:c r="B866"/>
      <x:c r="C866"/>
      <x:c r="D866"/>
      <x:c r="E866"/>
      <x:c r="F866" s="4" t="n">
        <x:v>46023</x:v>
      </x:c>
      <x:c r="G866" t="str">
        <x:v>ADMINISTRATIVO</x:v>
      </x:c>
      <x:c r="H866" t="str">
        <x:v>12.4 - PREVISÃO FÉRIAS</x:v>
      </x:c>
      <x:c r="I866" s="5" t="n">
        <x:v>221.66666666666666</x:v>
      </x:c>
    </x:row>
    <x:row r="867">
      <x:c r="A867" t="str">
        <x:v>PREVISÃO</x:v>
      </x:c>
      <x:c r="B867"/>
      <x:c r="C867"/>
      <x:c r="D867"/>
      <x:c r="E867"/>
      <x:c r="F867" s="4" t="n">
        <x:v>46023</x:v>
      </x:c>
      <x:c r="G867" t="str">
        <x:v>MOSAIC UBERABA CONTRAT0 3 ANOS</x:v>
      </x:c>
      <x:c r="H867" t="str">
        <x:v>12.4 - PREVISÃO FÉRIAS</x:v>
      </x:c>
      <x:c r="I867" s="5" t="n">
        <x:v>427.8166666666667</x:v>
      </x:c>
    </x:row>
    <x:row r="868">
      <x:c r="A868" t="str">
        <x:v>PREVISÃO</x:v>
      </x:c>
      <x:c r="B868"/>
      <x:c r="C868"/>
      <x:c r="D868"/>
      <x:c r="E868"/>
      <x:c r="F868" s="4" t="n">
        <x:v>46023</x:v>
      </x:c>
      <x:c r="G868" t="str">
        <x:v>FOSFATO CMOC CONTRAT</x:v>
      </x:c>
      <x:c r="H868" t="str">
        <x:v>12.4 - PREVISÃO FÉRIAS</x:v>
      </x:c>
      <x:c r="I868" s="5" t="n">
        <x:v>427.8166666666667</x:v>
      </x:c>
    </x:row>
    <x:row r="869">
      <x:c r="A869" t="str">
        <x:v>PREVISÃO</x:v>
      </x:c>
      <x:c r="B869"/>
      <x:c r="C869"/>
      <x:c r="D869"/>
      <x:c r="E869"/>
      <x:c r="F869" s="4" t="n">
        <x:v>46023</x:v>
      </x:c>
      <x:c r="G869" t="str">
        <x:v>ADMINISTRATIVO</x:v>
      </x:c>
      <x:c r="H869" t="str">
        <x:v>12.4 - PREVISÃO FÉRIAS</x:v>
      </x:c>
      <x:c r="I869" s="5" t="n">
        <x:v>7.125475000000002</x:v>
      </x:c>
    </x:row>
    <x:row r="870">
      <x:c r="A870" t="str">
        <x:v>PREVISÃO</x:v>
      </x:c>
      <x:c r="B870"/>
      <x:c r="C870"/>
      <x:c r="D870"/>
      <x:c r="E870"/>
      <x:c r="F870" s="4" t="n">
        <x:v>46023</x:v>
      </x:c>
      <x:c r="G870" t="str">
        <x:v>SERENA 10 TORRES 2025</x:v>
      </x:c>
      <x:c r="H870" t="str">
        <x:v>12.4 - PREVISÃO FÉRIAS</x:v>
      </x:c>
      <x:c r="I870" s="5" t="n">
        <x:v>277.08333333333337</x:v>
      </x:c>
    </x:row>
    <x:row r="871">
      <x:c r="A871" t="str">
        <x:v>PREVISÃO</x:v>
      </x:c>
      <x:c r="B871"/>
      <x:c r="C871"/>
      <x:c r="D871"/>
      <x:c r="E871"/>
      <x:c r="F871" s="4" t="n">
        <x:v>46023</x:v>
      </x:c>
      <x:c r="G871" t="str">
        <x:v>VLI PINTURA</x:v>
      </x:c>
      <x:c r="H871" t="str">
        <x:v>12.4 - PREVISÃO FÉRIAS</x:v>
      </x:c>
      <x:c r="I871" s="5" t="n">
        <x:v>692.607475</x:v>
      </x:c>
    </x:row>
    <x:row r="872">
      <x:c r="A872" t="str">
        <x:v>PREVISÃO</x:v>
      </x:c>
      <x:c r="B872"/>
      <x:c r="C872"/>
      <x:c r="D872"/>
      <x:c r="E872"/>
      <x:c r="F872" s="4" t="n">
        <x:v>46023</x:v>
      </x:c>
      <x:c r="G872" t="str">
        <x:v>ADMINISTRATIVO</x:v>
      </x:c>
      <x:c r="H872" t="str">
        <x:v>12.4 - PREVISÃO FÉRIAS</x:v>
      </x:c>
      <x:c r="I872" s="5" t="n">
        <x:v>73.14335</x:v>
      </x:c>
    </x:row>
    <x:row r="873">
      <x:c r="A873" t="str">
        <x:v>PREVISÃO</x:v>
      </x:c>
      <x:c r="B873"/>
      <x:c r="C873"/>
      <x:c r="D873"/>
      <x:c r="E873"/>
      <x:c r="F873" s="4" t="n">
        <x:v>46023</x:v>
      </x:c>
      <x:c r="G873" t="str">
        <x:v>MOSAIC UBERABA CONTRAT0 3 ANOS</x:v>
      </x:c>
      <x:c r="H873" t="str">
        <x:v>12.4 - PREVISÃO FÉRIAS</x:v>
      </x:c>
      <x:c r="I873" s="5" t="n">
        <x:v>658.3278333333334</x:v>
      </x:c>
    </x:row>
    <x:row r="874">
      <x:c r="A874" t="str">
        <x:v>PREVISÃO</x:v>
      </x:c>
      <x:c r="B874"/>
      <x:c r="C874"/>
      <x:c r="D874"/>
      <x:c r="E874"/>
      <x:c r="F874" s="4" t="n">
        <x:v>46023</x:v>
      </x:c>
      <x:c r="G874" t="str">
        <x:v>ANGLO AMERICAN</x:v>
      </x:c>
      <x:c r="H874" t="str">
        <x:v>12.4 - PREVISÃO FÉRIAS</x:v>
      </x:c>
      <x:c r="I874" s="5" t="n">
        <x:v>58.83033333333333</x:v>
      </x:c>
    </x:row>
    <x:row r="875">
      <x:c r="A875" t="str">
        <x:v>PREVISÃO</x:v>
      </x:c>
      <x:c r="B875"/>
      <x:c r="C875"/>
      <x:c r="D875"/>
      <x:c r="E875"/>
      <x:c r="F875" s="4" t="n">
        <x:v>46023</x:v>
      </x:c>
      <x:c r="G875" t="str">
        <x:v>EUROCHEM SERRA DO SALITRE</x:v>
      </x:c>
      <x:c r="H875" t="str">
        <x:v>12.4 - PREVISÃO FÉRIAS</x:v>
      </x:c>
      <x:c r="I875" s="5" t="n">
        <x:v>231.41556666666668</x:v>
      </x:c>
    </x:row>
    <x:row r="876">
      <x:c r="A876" t="str">
        <x:v>PREVISÃO</x:v>
      </x:c>
      <x:c r="B876"/>
      <x:c r="C876"/>
      <x:c r="D876"/>
      <x:c r="E876"/>
      <x:c r="F876" s="4" t="n">
        <x:v>46023</x:v>
      </x:c>
      <x:c r="G876" t="str">
        <x:v>FOSFATO CMOC CONTRAT</x:v>
      </x:c>
      <x:c r="H876" t="str">
        <x:v>12.4 - PREVISÃO FÉRIAS</x:v>
      </x:c>
      <x:c r="I876" s="5" t="n">
        <x:v>176.36908333333332</x:v>
      </x:c>
    </x:row>
    <x:row r="877">
      <x:c r="A877" t="str">
        <x:v>PREVISÃO</x:v>
      </x:c>
      <x:c r="B877"/>
      <x:c r="C877"/>
      <x:c r="D877"/>
      <x:c r="E877"/>
      <x:c r="F877" s="4" t="n">
        <x:v>46023</x:v>
      </x:c>
      <x:c r="G877" t="str">
        <x:v>NIOBIO CMOC CONTRATO</x:v>
      </x:c>
      <x:c r="H877" t="str">
        <x:v>12.4 - PREVISÃO FÉRIAS</x:v>
      </x:c>
      <x:c r="I877" s="5" t="n">
        <x:v>131.839575</x:v>
      </x:c>
    </x:row>
    <x:row r="878">
      <x:c r="A878" t="str">
        <x:v>PREVISÃO</x:v>
      </x:c>
      <x:c r="B878"/>
      <x:c r="C878"/>
      <x:c r="D878"/>
      <x:c r="E878"/>
      <x:c r="F878" s="4" t="n">
        <x:v>46023</x:v>
      </x:c>
      <x:c r="G878" t="str">
        <x:v>SERENA 10 TORRES 2025</x:v>
      </x:c>
      <x:c r="H878" t="str">
        <x:v>12.4 - PREVISÃO FÉRIAS</x:v>
      </x:c>
      <x:c r="I878" s="5" t="n">
        <x:v>278.0897</x:v>
      </x:c>
    </x:row>
    <x:row r="879">
      <x:c r="A879" t="str">
        <x:v>PREVISÃO</x:v>
      </x:c>
      <x:c r="B879"/>
      <x:c r="C879"/>
      <x:c r="D879"/>
      <x:c r="E879"/>
      <x:c r="F879" s="4" t="n">
        <x:v>46023</x:v>
      </x:c>
      <x:c r="G879" t="str">
        <x:v>CMOC CUBATÃO</x:v>
      </x:c>
      <x:c r="H879" t="str">
        <x:v>12.4 - PREVISÃO FÉRIAS</x:v>
      </x:c>
      <x:c r="I879" s="5" t="n">
        <x:v>87.29122500000001</x:v>
      </x:c>
    </x:row>
    <x:row r="880">
      <x:c r="A880" t="str">
        <x:v>PREVISÃO</x:v>
      </x:c>
      <x:c r="B880"/>
      <x:c r="C880"/>
      <x:c r="D880"/>
      <x:c r="E880"/>
      <x:c r="F880" s="4" t="n">
        <x:v>46023</x:v>
      </x:c>
      <x:c r="G880" t="str">
        <x:v>MOSAIC UBERABA CONTRAT0 3 ANOS</x:v>
      </x:c>
      <x:c r="H880" t="str">
        <x:v>12.4 - PREVISÃO FÉRIAS</x:v>
      </x:c>
      <x:c r="I880" s="5" t="n">
        <x:v>28.737975000000002</x:v>
      </x:c>
    </x:row>
    <x:row r="881">
      <x:c r="A881" t="str">
        <x:v>PREVISÃO</x:v>
      </x:c>
      <x:c r="B881"/>
      <x:c r="C881"/>
      <x:c r="D881"/>
      <x:c r="E881"/>
      <x:c r="F881" s="4" t="n">
        <x:v>46023</x:v>
      </x:c>
      <x:c r="G881" t="str">
        <x:v>VLI PINTURA</x:v>
      </x:c>
      <x:c r="H881" t="str">
        <x:v>12.4 - PREVISÃO FÉRIAS</x:v>
      </x:c>
      <x:c r="I881" s="5" t="n">
        <x:v>1883.9865933116666</x:v>
      </x:c>
    </x:row>
    <x:row r="882">
      <x:c r="A882" t="str">
        <x:v>PREVISÃO</x:v>
      </x:c>
      <x:c r="B882"/>
      <x:c r="C882"/>
      <x:c r="D882"/>
      <x:c r="E882"/>
      <x:c r="F882" s="4" t="n">
        <x:v>46023</x:v>
      </x:c>
      <x:c r="G882" t="str">
        <x:v>MOSAIC UBERABA CONTRAT0 3 ANOS</x:v>
      </x:c>
      <x:c r="H882" t="str">
        <x:v>12.4 - PREVISÃO FÉRIAS</x:v>
      </x:c>
      <x:c r="I882" s="5" t="n">
        <x:v>2823.4515784766663</x:v>
      </x:c>
    </x:row>
    <x:row r="883">
      <x:c r="A883" t="str">
        <x:v>PREVISÃO</x:v>
      </x:c>
      <x:c r="B883"/>
      <x:c r="C883"/>
      <x:c r="D883"/>
      <x:c r="E883"/>
      <x:c r="F883" s="4" t="n">
        <x:v>46023</x:v>
      </x:c>
      <x:c r="G883" t="str">
        <x:v>EUROCHEM SERRA DO SALITRE</x:v>
      </x:c>
      <x:c r="H883" t="str">
        <x:v>12.4 - PREVISÃO FÉRIAS</x:v>
      </x:c>
      <x:c r="I883" s="5" t="n">
        <x:v>98.0978563775</x:v>
      </x:c>
    </x:row>
    <x:row r="884">
      <x:c r="A884" t="str">
        <x:v>PREVISÃO</x:v>
      </x:c>
      <x:c r="B884"/>
      <x:c r="C884"/>
      <x:c r="D884"/>
      <x:c r="E884"/>
      <x:c r="F884" s="4" t="n">
        <x:v>46023</x:v>
      </x:c>
      <x:c r="G884" t="str">
        <x:v>CMOC CUBATÃO</x:v>
      </x:c>
      <x:c r="H884" t="str">
        <x:v>12.4 - PREVISÃO FÉRIAS</x:v>
      </x:c>
      <x:c r="I884" s="5" t="n">
        <x:v>1682.6705800566667</x:v>
      </x:c>
    </x:row>
    <x:row r="885">
      <x:c r="A885" t="str">
        <x:v>PREVISÃO</x:v>
      </x:c>
      <x:c r="B885"/>
      <x:c r="C885"/>
      <x:c r="D885"/>
      <x:c r="E885"/>
      <x:c r="F885" s="4" t="n">
        <x:v>46023</x:v>
      </x:c>
      <x:c r="G885" t="str">
        <x:v>VLI PINTURA</x:v>
      </x:c>
      <x:c r="H885" t="str">
        <x:v>12.4 - PREVISÃO FÉRIAS</x:v>
      </x:c>
      <x:c r="I885" s="5" t="n">
        <x:v>116.29987095999999</x:v>
      </x:c>
    </x:row>
    <x:row r="886">
      <x:c r="A886" t="str">
        <x:v>PREVISÃO</x:v>
      </x:c>
      <x:c r="B886"/>
      <x:c r="C886"/>
      <x:c r="D886"/>
      <x:c r="E886"/>
      <x:c r="F886" s="4" t="n">
        <x:v>46023</x:v>
      </x:c>
      <x:c r="G886" t="str">
        <x:v>MOSAIC UBERABA CONTRAT0 3 ANOS</x:v>
      </x:c>
      <x:c r="H886" t="str">
        <x:v>12.4 - PREVISÃO FÉRIAS</x:v>
      </x:c>
      <x:c r="I886" s="5" t="n">
        <x:v>174.29373204833334</x:v>
      </x:c>
    </x:row>
    <x:row r="887">
      <x:c r="A887" t="str">
        <x:v>PREVISÃO</x:v>
      </x:c>
      <x:c r="B887"/>
      <x:c r="C887"/>
      <x:c r="D887"/>
      <x:c r="E887"/>
      <x:c r="F887" s="4" t="n">
        <x:v>46023</x:v>
      </x:c>
      <x:c r="G887" t="str">
        <x:v>EUROCHEM SERRA DO SALITRE</x:v>
      </x:c>
      <x:c r="H887" t="str">
        <x:v>12.4 - PREVISÃO FÉRIAS</x:v>
      </x:c>
      <x:c r="I887" s="5" t="n">
        <x:v>6.055652481666668</x:v>
      </x:c>
    </x:row>
    <x:row r="888">
      <x:c r="A888" t="str">
        <x:v>PREVISÃO</x:v>
      </x:c>
      <x:c r="B888"/>
      <x:c r="C888"/>
      <x:c r="D888"/>
      <x:c r="E888"/>
      <x:c r="F888" s="4" t="n">
        <x:v>46023</x:v>
      </x:c>
      <x:c r="G888" t="str">
        <x:v>CMOC CUBATÃO</x:v>
      </x:c>
      <x:c r="H888" t="str">
        <x:v>12.4 - PREVISÃO FÉRIAS</x:v>
      </x:c>
      <x:c r="I888" s="5" t="n">
        <x:v>103.87248617666667</x:v>
      </x:c>
    </x:row>
    <x:row r="889">
      <x:c r="A889" t="str">
        <x:v>PREVISÃO</x:v>
      </x:c>
      <x:c r="B889"/>
      <x:c r="C889"/>
      <x:c r="D889"/>
      <x:c r="E889"/>
      <x:c r="F889" s="4" t="n">
        <x:v>46023</x:v>
      </x:c>
      <x:c r="G889" t="str">
        <x:v>FOSFATO CMOC CONTRAT</x:v>
      </x:c>
      <x:c r="H889" t="str">
        <x:v>12.3 - PREVISÃO 13°</x:v>
      </x:c>
      <x:c r="I889" s="5" t="n">
        <x:v>17.843333333333334</x:v>
      </x:c>
    </x:row>
    <x:row r="890">
      <x:c r="A890" t="str">
        <x:v>PREVISÃO</x:v>
      </x:c>
      <x:c r="B890"/>
      <x:c r="C890"/>
      <x:c r="D890"/>
      <x:c r="E890"/>
      <x:c r="F890" s="4" t="n">
        <x:v>46023</x:v>
      </x:c>
      <x:c r="G890" t="str">
        <x:v>ADMINISTRATIVO</x:v>
      </x:c>
      <x:c r="H890" t="str">
        <x:v>12.3 - PREVISÃO 13°</x:v>
      </x:c>
      <x:c r="I890" s="5" t="n">
        <x:v>6768.5925</x:v>
      </x:c>
    </x:row>
    <x:row r="891">
      <x:c r="A891" t="str">
        <x:v>PREVISÃO</x:v>
      </x:c>
      <x:c r="B891"/>
      <x:c r="C891"/>
      <x:c r="D891"/>
      <x:c r="E891"/>
      <x:c r="F891" s="4" t="n">
        <x:v>46023</x:v>
      </x:c>
      <x:c r="G891" t="str">
        <x:v>SERENA 10 TORRES 2025</x:v>
      </x:c>
      <x:c r="H891" t="str">
        <x:v>12.3 - PREVISÃO 13°</x:v>
      </x:c>
      <x:c r="I891" s="5" t="n">
        <x:v>4345.251666666666</x:v>
      </x:c>
    </x:row>
    <x:row r="892">
      <x:c r="A892" t="str">
        <x:v>PREVISÃO</x:v>
      </x:c>
      <x:c r="B892"/>
      <x:c r="C892"/>
      <x:c r="D892"/>
      <x:c r="E892"/>
      <x:c r="F892" s="4" t="n">
        <x:v>46023</x:v>
      </x:c>
      <x:c r="G892" t="str">
        <x:v>VLI PINTURA</x:v>
      </x:c>
      <x:c r="H892" t="str">
        <x:v>12.3 - PREVISÃO 13°</x:v>
      </x:c>
      <x:c r="I892" s="5" t="n">
        <x:v>6975.116666666666</x:v>
      </x:c>
    </x:row>
    <x:row r="893">
      <x:c r="A893" t="str">
        <x:v>PREVISÃO</x:v>
      </x:c>
      <x:c r="B893"/>
      <x:c r="C893"/>
      <x:c r="D893"/>
      <x:c r="E893"/>
      <x:c r="F893" s="4" t="n">
        <x:v>46023</x:v>
      </x:c>
      <x:c r="G893" t="str">
        <x:v>MOSAIC UBERABA CONTRAT0 3 ANOS</x:v>
      </x:c>
      <x:c r="H893" t="str">
        <x:v>12.3 - PREVISÃO 13°</x:v>
      </x:c>
      <x:c r="I893" s="5" t="n">
        <x:v>3129.11</x:v>
      </x:c>
    </x:row>
    <x:row r="894">
      <x:c r="A894" t="str">
        <x:v>PREVISÃO</x:v>
      </x:c>
      <x:c r="B894"/>
      <x:c r="C894"/>
      <x:c r="D894"/>
      <x:c r="E894"/>
      <x:c r="F894" s="4" t="n">
        <x:v>46023</x:v>
      </x:c>
      <x:c r="G894" t="str">
        <x:v>ANGLO AMERICAN</x:v>
      </x:c>
      <x:c r="H894" t="str">
        <x:v>12.3 - PREVISÃO 13°</x:v>
      </x:c>
      <x:c r="I894" s="5" t="n">
        <x:v>2898.625</x:v>
      </x:c>
    </x:row>
    <x:row r="895">
      <x:c r="A895" t="str">
        <x:v>PREVISÃO</x:v>
      </x:c>
      <x:c r="B895"/>
      <x:c r="C895"/>
      <x:c r="D895"/>
      <x:c r="E895"/>
      <x:c r="F895" s="4" t="n">
        <x:v>46023</x:v>
      </x:c>
      <x:c r="G895" t="str">
        <x:v>EUROCHEM SERRA DO SALITRE</x:v>
      </x:c>
      <x:c r="H895" t="str">
        <x:v>12.3 - PREVISÃO 13°</x:v>
      </x:c>
      <x:c r="I895" s="5" t="n">
        <x:v>2491.7758333333336</x:v>
      </x:c>
    </x:row>
    <x:row r="896">
      <x:c r="A896" t="str">
        <x:v>PREVISÃO</x:v>
      </x:c>
      <x:c r="B896"/>
      <x:c r="C896"/>
      <x:c r="D896"/>
      <x:c r="E896"/>
      <x:c r="F896" s="4" t="n">
        <x:v>46023</x:v>
      </x:c>
      <x:c r="G896" t="str">
        <x:v>FOSFATO CMOC CONTRAT</x:v>
      </x:c>
      <x:c r="H896" t="str">
        <x:v>12.3 - PREVISÃO 13°</x:v>
      </x:c>
      <x:c r="I896" s="5" t="n">
        <x:v>6048.1475</x:v>
      </x:c>
    </x:row>
    <x:row r="897">
      <x:c r="A897" t="str">
        <x:v>PREVISÃO</x:v>
      </x:c>
      <x:c r="B897"/>
      <x:c r="C897"/>
      <x:c r="D897"/>
      <x:c r="E897"/>
      <x:c r="F897" s="4" t="n">
        <x:v>46023</x:v>
      </x:c>
      <x:c r="G897" t="str">
        <x:v>NIOBIO CMOC CONTRATO</x:v>
      </x:c>
      <x:c r="H897" t="str">
        <x:v>12.3 - PREVISÃO 13°</x:v>
      </x:c>
      <x:c r="I897" s="5" t="n">
        <x:v>3595.5325</x:v>
      </x:c>
    </x:row>
    <x:row r="898">
      <x:c r="A898" t="str">
        <x:v>PREVISÃO</x:v>
      </x:c>
      <x:c r="B898"/>
      <x:c r="C898"/>
      <x:c r="D898"/>
      <x:c r="E898"/>
      <x:c r="F898" s="4" t="n">
        <x:v>46023</x:v>
      </x:c>
      <x:c r="G898" t="str">
        <x:v>CONDUTOS UG 1 - ELETROBRAS</x:v>
      </x:c>
      <x:c r="H898" t="str">
        <x:v>12.3 - PREVISÃO 13°</x:v>
      </x:c>
      <x:c r="I898" s="5" t="n">
        <x:v>762.555</x:v>
      </x:c>
    </x:row>
    <x:row r="899">
      <x:c r="A899" t="str">
        <x:v>PREVISÃO</x:v>
      </x:c>
      <x:c r="B899"/>
      <x:c r="C899"/>
      <x:c r="D899"/>
      <x:c r="E899"/>
      <x:c r="F899" s="4" t="n">
        <x:v>46023</x:v>
      </x:c>
      <x:c r="G899" t="str">
        <x:v>SERENA 10 TORRES 2025</x:v>
      </x:c>
      <x:c r="H899" t="str">
        <x:v>12.3 - PREVISÃO 13°</x:v>
      </x:c>
      <x:c r="I899" s="5" t="n">
        <x:v>732.3758333333334</x:v>
      </x:c>
    </x:row>
    <x:row r="900">
      <x:c r="A900" t="str">
        <x:v>PREVISÃO</x:v>
      </x:c>
      <x:c r="B900"/>
      <x:c r="C900"/>
      <x:c r="D900"/>
      <x:c r="E900"/>
      <x:c r="F900" s="4" t="n">
        <x:v>46023</x:v>
      </x:c>
      <x:c r="G900" t="str">
        <x:v>CMOC CUBATÃO</x:v>
      </x:c>
      <x:c r="H900" t="str">
        <x:v>12.3 - PREVISÃO 13°</x:v>
      </x:c>
      <x:c r="I900" s="5" t="n">
        <x:v>2318.7541666666666</x:v>
      </x:c>
    </x:row>
    <x:row r="901">
      <x:c r="A901" t="str">
        <x:v>PREVISÃO</x:v>
      </x:c>
      <x:c r="B901"/>
      <x:c r="C901"/>
      <x:c r="D901"/>
      <x:c r="E901"/>
      <x:c r="F901" s="4" t="n">
        <x:v>46023</x:v>
      </x:c>
      <x:c r="G901" t="str">
        <x:v>CONTRATO 02 ANOS MINERAÇÃO SERRA VERDE</x:v>
      </x:c>
      <x:c r="H901" t="str">
        <x:v>12.3 - PREVISÃO 13°</x:v>
      </x:c>
      <x:c r="I901" s="5" t="n">
        <x:v>2252.820833333333</x:v>
      </x:c>
    </x:row>
    <x:row r="902">
      <x:c r="A902" t="str">
        <x:v>PREVISÃO</x:v>
      </x:c>
      <x:c r="B902"/>
      <x:c r="C902"/>
      <x:c r="D902"/>
      <x:c r="E902"/>
      <x:c r="F902" s="4" t="n">
        <x:v>46023</x:v>
      </x:c>
      <x:c r="G902" t="str">
        <x:v>ADMINISTRATIVO</x:v>
      </x:c>
      <x:c r="H902" t="str">
        <x:v>12.3 - PREVISÃO 13°</x:v>
      </x:c>
      <x:c r="I902" s="5" t="n">
        <x:v>750</x:v>
      </x:c>
    </x:row>
    <x:row r="903">
      <x:c r="A903" t="str">
        <x:v>PREVISÃO</x:v>
      </x:c>
      <x:c r="B903"/>
      <x:c r="C903"/>
      <x:c r="D903"/>
      <x:c r="E903"/>
      <x:c r="F903" s="4" t="n">
        <x:v>46023</x:v>
      </x:c>
      <x:c r="G903" t="str">
        <x:v>ADMINISTRATIVO</x:v>
      </x:c>
      <x:c r="H903" t="str">
        <x:v>12.3 - PREVISÃO 13°</x:v>
      </x:c>
      <x:c r="I903" s="5" t="n">
        <x:v>250</x:v>
      </x:c>
    </x:row>
    <x:row r="904">
      <x:c r="A904" t="str">
        <x:v>PREVISÃO</x:v>
      </x:c>
      <x:c r="B904"/>
      <x:c r="C904"/>
      <x:c r="D904"/>
      <x:c r="E904"/>
      <x:c r="F904" s="4" t="n">
        <x:v>46023</x:v>
      </x:c>
      <x:c r="G904" t="str">
        <x:v>CONDUTOS UG 1 - ELETROBRAS</x:v>
      </x:c>
      <x:c r="H904" t="str">
        <x:v>12.3 - PREVISÃO 13°</x:v>
      </x:c>
      <x:c r="I904" s="5" t="n">
        <x:v>2.85</x:v>
      </x:c>
    </x:row>
    <x:row r="905">
      <x:c r="A905" t="str">
        <x:v>PREVISÃO</x:v>
      </x:c>
      <x:c r="B905"/>
      <x:c r="C905"/>
      <x:c r="D905"/>
      <x:c r="E905"/>
      <x:c r="F905" s="4" t="n">
        <x:v>46023</x:v>
      </x:c>
      <x:c r="G905" t="str">
        <x:v>COMPORTAS - PORTO FERREIRA</x:v>
      </x:c>
      <x:c r="H905" t="str">
        <x:v>12.3 - PREVISÃO 13°</x:v>
      </x:c>
      <x:c r="I905" s="5" t="n">
        <x:v>67.35000000000001</x:v>
      </x:c>
    </x:row>
    <x:row r="906">
      <x:c r="A906" t="str">
        <x:v>PREVISÃO</x:v>
      </x:c>
      <x:c r="B906"/>
      <x:c r="C906"/>
      <x:c r="D906"/>
      <x:c r="E906"/>
      <x:c r="F906" s="4" t="n">
        <x:v>46023</x:v>
      </x:c>
      <x:c r="G906" t="str">
        <x:v>ANGLO AMERICAN</x:v>
      </x:c>
      <x:c r="H906" t="str">
        <x:v>12.3 - PREVISÃO 13°</x:v>
      </x:c>
      <x:c r="I906" s="5" t="n">
        <x:v>41.666666666666664</x:v>
      </x:c>
    </x:row>
    <x:row r="907">
      <x:c r="A907" t="str">
        <x:v>PREVISÃO</x:v>
      </x:c>
      <x:c r="B907"/>
      <x:c r="C907"/>
      <x:c r="D907"/>
      <x:c r="E907"/>
      <x:c r="F907" s="4" t="n">
        <x:v>46023</x:v>
      </x:c>
      <x:c r="G907" t="str">
        <x:v>VLI PINTURA</x:v>
      </x:c>
      <x:c r="H907" t="str">
        <x:v>12.3 - PREVISÃO 13°</x:v>
      </x:c>
      <x:c r="I907" s="5" t="n">
        <x:v>278.22583333333336</x:v>
      </x:c>
    </x:row>
    <x:row r="908">
      <x:c r="A908" t="str">
        <x:v>PREVISÃO</x:v>
      </x:c>
      <x:c r="B908"/>
      <x:c r="C908"/>
      <x:c r="D908"/>
      <x:c r="E908"/>
      <x:c r="F908" s="4" t="n">
        <x:v>46023</x:v>
      </x:c>
      <x:c r="G908" t="str">
        <x:v>ADMINISTRATIVO</x:v>
      </x:c>
      <x:c r="H908" t="str">
        <x:v>12.3 - PREVISÃO 13°</x:v>
      </x:c>
      <x:c r="I908" s="5" t="n">
        <x:v>166.66666666666666</x:v>
      </x:c>
    </x:row>
    <x:row r="909">
      <x:c r="A909" t="str">
        <x:v>PREVISÃO</x:v>
      </x:c>
      <x:c r="B909"/>
      <x:c r="C909"/>
      <x:c r="D909"/>
      <x:c r="E909"/>
      <x:c r="F909" s="4" t="n">
        <x:v>46023</x:v>
      </x:c>
      <x:c r="G909" t="str">
        <x:v>MOSAIC UBERABA CONTRAT0 3 ANOS</x:v>
      </x:c>
      <x:c r="H909" t="str">
        <x:v>12.3 - PREVISÃO 13°</x:v>
      </x:c>
      <x:c r="I909" s="5" t="n">
        <x:v>321.6666666666667</x:v>
      </x:c>
    </x:row>
    <x:row r="910">
      <x:c r="A910" t="str">
        <x:v>PREVISÃO</x:v>
      </x:c>
      <x:c r="B910"/>
      <x:c r="C910"/>
      <x:c r="D910"/>
      <x:c r="E910"/>
      <x:c r="F910" s="4" t="n">
        <x:v>46023</x:v>
      </x:c>
      <x:c r="G910" t="str">
        <x:v>FOSFATO CMOC CONTRAT</x:v>
      </x:c>
      <x:c r="H910" t="str">
        <x:v>12.3 - PREVISÃO 13°</x:v>
      </x:c>
      <x:c r="I910" s="5" t="n">
        <x:v>321.6666666666667</x:v>
      </x:c>
    </x:row>
    <x:row r="911">
      <x:c r="A911" t="str">
        <x:v>PREVISÃO</x:v>
      </x:c>
      <x:c r="B911"/>
      <x:c r="C911"/>
      <x:c r="D911"/>
      <x:c r="E911"/>
      <x:c r="F911" s="4" t="n">
        <x:v>46023</x:v>
      </x:c>
      <x:c r="G911" t="str">
        <x:v>ADMINISTRATIVO</x:v>
      </x:c>
      <x:c r="H911" t="str">
        <x:v>12.3 - PREVISÃO 13°</x:v>
      </x:c>
      <x:c r="I911" s="5" t="n">
        <x:v>5.357500000000001</x:v>
      </x:c>
    </x:row>
    <x:row r="912">
      <x:c r="A912" t="str">
        <x:v>PREVISÃO</x:v>
      </x:c>
      <x:c r="B912"/>
      <x:c r="C912"/>
      <x:c r="D912"/>
      <x:c r="E912"/>
      <x:c r="F912" s="4" t="n">
        <x:v>46023</x:v>
      </x:c>
      <x:c r="G912" t="str">
        <x:v>SERENA 10 TORRES 2025</x:v>
      </x:c>
      <x:c r="H912" t="str">
        <x:v>12.3 - PREVISÃO 13°</x:v>
      </x:c>
      <x:c r="I912" s="5" t="n">
        <x:v>208.33333333333334</x:v>
      </x:c>
    </x:row>
    <x:row r="913">
      <x:c r="A913" t="str">
        <x:v>PREVISÃO</x:v>
      </x:c>
      <x:c r="B913"/>
      <x:c r="C913"/>
      <x:c r="D913"/>
      <x:c r="E913"/>
      <x:c r="F913" s="4" t="n">
        <x:v>46023</x:v>
      </x:c>
      <x:c r="G913" t="str">
        <x:v>VLI PINTURA</x:v>
      </x:c>
      <x:c r="H913" t="str">
        <x:v>12.3 - PREVISÃO 13°</x:v>
      </x:c>
      <x:c r="I913" s="5" t="n">
        <x:v>520.7575</x:v>
      </x:c>
    </x:row>
    <x:row r="914">
      <x:c r="A914" t="str">
        <x:v>PREVISÃO</x:v>
      </x:c>
      <x:c r="B914"/>
      <x:c r="C914"/>
      <x:c r="D914"/>
      <x:c r="E914"/>
      <x:c r="F914" s="4" t="n">
        <x:v>46023</x:v>
      </x:c>
      <x:c r="G914" t="str">
        <x:v>ADMINISTRATIVO</x:v>
      </x:c>
      <x:c r="H914" t="str">
        <x:v>12.3 - PREVISÃO 13°</x:v>
      </x:c>
      <x:c r="I914" s="5" t="n">
        <x:v>54.995000000000005</x:v>
      </x:c>
    </x:row>
    <x:row r="915">
      <x:c r="A915" t="str">
        <x:v>PREVISÃO</x:v>
      </x:c>
      <x:c r="B915"/>
      <x:c r="C915"/>
      <x:c r="D915"/>
      <x:c r="E915"/>
      <x:c r="F915" s="4" t="n">
        <x:v>46023</x:v>
      </x:c>
      <x:c r="G915" t="str">
        <x:v>MOSAIC UBERABA CONTRAT0 3 ANOS</x:v>
      </x:c>
      <x:c r="H915" t="str">
        <x:v>12.3 - PREVISÃO 13°</x:v>
      </x:c>
      <x:c r="I915" s="5" t="n">
        <x:v>494.98333333333335</x:v>
      </x:c>
    </x:row>
    <x:row r="916">
      <x:c r="A916" t="str">
        <x:v>PREVISÃO</x:v>
      </x:c>
      <x:c r="B916"/>
      <x:c r="C916"/>
      <x:c r="D916"/>
      <x:c r="E916"/>
      <x:c r="F916" s="4" t="n">
        <x:v>46023</x:v>
      </x:c>
      <x:c r="G916" t="str">
        <x:v>ANGLO AMERICAN</x:v>
      </x:c>
      <x:c r="H916" t="str">
        <x:v>12.3 - PREVISÃO 13°</x:v>
      </x:c>
      <x:c r="I916" s="5" t="n">
        <x:v>44.23333333333333</x:v>
      </x:c>
    </x:row>
    <x:row r="917">
      <x:c r="A917" t="str">
        <x:v>PREVISÃO</x:v>
      </x:c>
      <x:c r="B917"/>
      <x:c r="C917"/>
      <x:c r="D917"/>
      <x:c r="E917"/>
      <x:c r="F917" s="4" t="n">
        <x:v>46023</x:v>
      </x:c>
      <x:c r="G917" t="str">
        <x:v>EUROCHEM SERRA DO SALITRE</x:v>
      </x:c>
      <x:c r="H917" t="str">
        <x:v>12.3 - PREVISÃO 13°</x:v>
      </x:c>
      <x:c r="I917" s="5" t="n">
        <x:v>173.99666666666667</x:v>
      </x:c>
    </x:row>
    <x:row r="918">
      <x:c r="A918" t="str">
        <x:v>PREVISÃO</x:v>
      </x:c>
      <x:c r="B918"/>
      <x:c r="C918"/>
      <x:c r="D918"/>
      <x:c r="E918"/>
      <x:c r="F918" s="4" t="n">
        <x:v>46023</x:v>
      </x:c>
      <x:c r="G918" t="str">
        <x:v>FOSFATO CMOC CONTRAT</x:v>
      </x:c>
      <x:c r="H918" t="str">
        <x:v>12.3 - PREVISÃO 13°</x:v>
      </x:c>
      <x:c r="I918" s="5" t="n">
        <x:v>132.60833333333332</x:v>
      </x:c>
    </x:row>
    <x:row r="919">
      <x:c r="A919" t="str">
        <x:v>PREVISÃO</x:v>
      </x:c>
      <x:c r="B919"/>
      <x:c r="C919"/>
      <x:c r="D919"/>
      <x:c r="E919"/>
      <x:c r="F919" s="4" t="n">
        <x:v>46023</x:v>
      </x:c>
      <x:c r="G919" t="str">
        <x:v>NIOBIO CMOC CONTRATO</x:v>
      </x:c>
      <x:c r="H919" t="str">
        <x:v>12.3 - PREVISÃO 13°</x:v>
      </x:c>
      <x:c r="I919" s="5" t="n">
        <x:v>99.1275</x:v>
      </x:c>
    </x:row>
    <x:row r="920">
      <x:c r="A920" t="str">
        <x:v>PREVISÃO</x:v>
      </x:c>
      <x:c r="B920"/>
      <x:c r="C920"/>
      <x:c r="D920"/>
      <x:c r="E920"/>
      <x:c r="F920" s="4" t="n">
        <x:v>46023</x:v>
      </x:c>
      <x:c r="G920" t="str">
        <x:v>SERENA 10 TORRES 2025</x:v>
      </x:c>
      <x:c r="H920" t="str">
        <x:v>12.3 - PREVISÃO 13°</x:v>
      </x:c>
      <x:c r="I920" s="5" t="n">
        <x:v>209.09</x:v>
      </x:c>
    </x:row>
    <x:row r="921">
      <x:c r="A921" t="str">
        <x:v>PREVISÃO</x:v>
      </x:c>
      <x:c r="B921"/>
      <x:c r="C921"/>
      <x:c r="D921"/>
      <x:c r="E921"/>
      <x:c r="F921" s="4" t="n">
        <x:v>46023</x:v>
      </x:c>
      <x:c r="G921" t="str">
        <x:v>CMOC CUBATÃO</x:v>
      </x:c>
      <x:c r="H921" t="str">
        <x:v>12.3 - PREVISÃO 13°</x:v>
      </x:c>
      <x:c r="I921" s="5" t="n">
        <x:v>65.63250000000001</x:v>
      </x:c>
    </x:row>
    <x:row r="922">
      <x:c r="A922" t="str">
        <x:v>PREVISÃO</x:v>
      </x:c>
      <x:c r="B922"/>
      <x:c r="C922"/>
      <x:c r="D922"/>
      <x:c r="E922"/>
      <x:c r="F922" s="4" t="n">
        <x:v>46023</x:v>
      </x:c>
      <x:c r="G922" t="str">
        <x:v>MOSAIC UBERABA CONTRAT0 3 ANOS</x:v>
      </x:c>
      <x:c r="H922" t="str">
        <x:v>12.3 - PREVISÃO 13°</x:v>
      </x:c>
      <x:c r="I922" s="5" t="n">
        <x:v>21.6075</x:v>
      </x:c>
    </x:row>
    <x:row r="923">
      <x:c r="A923" t="str">
        <x:v>PREVISÃO</x:v>
      </x:c>
      <x:c r="B923"/>
      <x:c r="C923"/>
      <x:c r="D923"/>
      <x:c r="E923"/>
      <x:c r="F923" s="4" t="n">
        <x:v>46023</x:v>
      </x:c>
      <x:c r="G923" t="str">
        <x:v>VLI PINTURA</x:v>
      </x:c>
      <x:c r="H923" t="str">
        <x:v>12.3 - PREVISÃO 13°</x:v>
      </x:c>
      <x:c r="I923" s="5" t="n">
        <x:v>1416.5312731666666</x:v>
      </x:c>
    </x:row>
    <x:row r="924">
      <x:c r="A924" t="str">
        <x:v>PREVISÃO</x:v>
      </x:c>
      <x:c r="B924"/>
      <x:c r="C924"/>
      <x:c r="D924"/>
      <x:c r="E924"/>
      <x:c r="F924" s="4" t="n">
        <x:v>46023</x:v>
      </x:c>
      <x:c r="G924" t="str">
        <x:v>MOSAIC UBERABA CONTRAT0 3 ANOS</x:v>
      </x:c>
      <x:c r="H924" t="str">
        <x:v>12.3 - PREVISÃO 13°</x:v>
      </x:c>
      <x:c r="I924" s="5" t="n">
        <x:v>2122.8959236666665</x:v>
      </x:c>
    </x:row>
    <x:row r="925">
      <x:c r="A925" t="str">
        <x:v>PREVISÃO</x:v>
      </x:c>
      <x:c r="B925"/>
      <x:c r="C925"/>
      <x:c r="D925"/>
      <x:c r="E925"/>
      <x:c r="F925" s="4" t="n">
        <x:v>46023</x:v>
      </x:c>
      <x:c r="G925" t="str">
        <x:v>EUROCHEM SERRA DO SALITRE</x:v>
      </x:c>
      <x:c r="H925" t="str">
        <x:v>12.3 - PREVISÃO 13°</x:v>
      </x:c>
      <x:c r="I925" s="5" t="n">
        <x:v>73.75778675</x:v>
      </x:c>
    </x:row>
    <x:row r="926">
      <x:c r="A926" t="str">
        <x:v>PREVISÃO</x:v>
      </x:c>
      <x:c r="B926"/>
      <x:c r="C926"/>
      <x:c r="D926"/>
      <x:c r="E926"/>
      <x:c r="F926" s="4" t="n">
        <x:v>46023</x:v>
      </x:c>
      <x:c r="G926" t="str">
        <x:v>CMOC CUBATÃO</x:v>
      </x:c>
      <x:c r="H926" t="str">
        <x:v>12.3 - PREVISÃO 13°</x:v>
      </x:c>
      <x:c r="I926" s="5" t="n">
        <x:v>1265.1658496666666</x:v>
      </x:c>
    </x:row>
    <x:row r="927">
      <x:c r="A927" t="str">
        <x:v>PREVISÃO</x:v>
      </x:c>
      <x:c r="B927"/>
      <x:c r="C927"/>
      <x:c r="D927"/>
      <x:c r="E927"/>
      <x:c r="F927" s="4" t="n">
        <x:v>46023</x:v>
      </x:c>
      <x:c r="G927" t="str">
        <x:v>VLI PINTURA</x:v>
      </x:c>
      <x:c r="H927" t="str">
        <x:v>12.3 - PREVISÃO 13°</x:v>
      </x:c>
      <x:c r="I927" s="5" t="n">
        <x:v>87.443512</x:v>
      </x:c>
    </x:row>
    <x:row r="928">
      <x:c r="A928" t="str">
        <x:v>PREVISÃO</x:v>
      </x:c>
      <x:c r="B928"/>
      <x:c r="C928"/>
      <x:c r="D928"/>
      <x:c r="E928"/>
      <x:c r="F928" s="4" t="n">
        <x:v>46023</x:v>
      </x:c>
      <x:c r="G928" t="str">
        <x:v>MOSAIC UBERABA CONTRAT0 3 ANOS</x:v>
      </x:c>
      <x:c r="H928" t="str">
        <x:v>12.3 - PREVISÃO 13°</x:v>
      </x:c>
      <x:c r="I928" s="5" t="n">
        <x:v>131.04791883333334</x:v>
      </x:c>
    </x:row>
    <x:row r="929">
      <x:c r="A929" t="str">
        <x:v>PREVISÃO</x:v>
      </x:c>
      <x:c r="B929"/>
      <x:c r="C929"/>
      <x:c r="D929"/>
      <x:c r="E929"/>
      <x:c r="F929" s="4" t="n">
        <x:v>46023</x:v>
      </x:c>
      <x:c r="G929" t="str">
        <x:v>EUROCHEM SERRA DO SALITRE</x:v>
      </x:c>
      <x:c r="H929" t="str">
        <x:v>12.3 - PREVISÃO 13°</x:v>
      </x:c>
      <x:c r="I929" s="5" t="n">
        <x:v>4.553122166666667</x:v>
      </x:c>
    </x:row>
    <x:row r="930">
      <x:c r="A930" t="str">
        <x:v>PREVISÃO</x:v>
      </x:c>
      <x:c r="B930"/>
      <x:c r="C930"/>
      <x:c r="D930"/>
      <x:c r="E930"/>
      <x:c r="F930" s="4" t="n">
        <x:v>46023</x:v>
      </x:c>
      <x:c r="G930" t="str">
        <x:v>CMOC CUBATÃO</x:v>
      </x:c>
      <x:c r="H930" t="str">
        <x:v>12.3 - PREVISÃO 13°</x:v>
      </x:c>
      <x:c r="I930" s="5" t="n">
        <x:v>78.09961366666667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9d041fb6d1ef44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28.889999389648438" hidden="0" customWidth="1"/>
    <x:col min="3" max="3" width="8.329999923706055" hidden="0" customWidth="1"/>
    <x:col min="4" max="4" width="8.329999923706055" hidden="0" customWidth="1"/>
    <x:col min="5" max="5" width="24.440000534057617" hidden="0" customWidth="1"/>
    <x:col min="6" max="6" width="24.440000534057617" hidden="0" customWidth="1"/>
    <x:col min="7" max="7" width="10.5600004196167" hidden="0" customWidth="1"/>
    <x:col min="8" max="8" width="26.670000076293945" hidden="0" customWidth="1"/>
    <x:col min="9" max="9" width="37.779998779296875" hidden="0" customWidth="1"/>
    <x:col min="10" max="10" width="15" hidden="0" customWidth="1"/>
    <x:col min="11" max="11" width="16.110000610351562" hidden="0" customWidth="1"/>
    <x:col min="12" max="12" width="16.110000610351562" hidden="0" customWidth="1"/>
    <x:col min="13" max="13" width="15" hidden="0" customWidth="1"/>
  </x:cols>
  <x:sheetData>
    <x:row r="1">
      <x:c r="A1" s="3" t="str">
        <x:v>Tipo</x:v>
      </x:c>
      <x:c r="B1" s="3" t="str">
        <x:v>Cliente/Fornecedor</x:v>
      </x:c>
      <x:c r="C1" s="3" t="str">
        <x:v>Número</x:v>
      </x:c>
      <x:c r="D1" s="3" t="str">
        <x:v>Doc.</x:v>
      </x:c>
      <x:c r="E1" s="3" t="str">
        <x:v>Descrição</x:v>
      </x:c>
      <x:c r="F1" s="3" t="str">
        <x:v>Obs.</x:v>
      </x:c>
      <x:c r="G1" s="3" t="str">
        <x:v>Emissão</x:v>
      </x:c>
      <x:c r="H1" s="3" t="str">
        <x:v>Obra/Centro custo</x:v>
      </x:c>
      <x:c r="I1" s="3" t="str">
        <x:v>C. gerencial</x:v>
      </x:c>
      <x:c r="J1" s="3" t="str">
        <x:v>Valor bruto (R$)</x:v>
      </x:c>
      <x:c r="K1" s="3" t="str">
        <x:v>Deduções/taxas (R$)</x:v>
      </x:c>
      <x:c r="L1" s="3" t="str">
        <x:v>Total líquido (R$)</x:v>
      </x:c>
      <x:c r="M1" s="3" t="str">
        <x:v>Valor DRE (R$)</x:v>
      </x:c>
    </x:row>
    <x:row r="2">
      <x:c r="A2" t="str">
        <x:f>"Receita"</x:f>
        <x:v>Receita</x:v>
      </x:c>
      <x:c r="B2" t="str">
        <x:f>Receitas!A2</x:f>
        <x:v>CMOC BRASIL MINERAÇAO INDUSTRIAL E PARTICIPAÇOES</x:v>
      </x:c>
      <x:c r="C2" t="str">
        <x:f>Receitas!B2</x:f>
        <x:v>.68</x:v>
      </x:c>
      <x:c r="D2" t="str">
        <x:f>Receitas!C2</x:f>
        <x:v>015086</x:v>
      </x:c>
      <x:c r="E2" t="n">
        <x:f>Receitas!D2</x:f>
        <x:v>0</x:v>
      </x:c>
      <x:c r="F2" t="str">
        <x:f>Receitas!E2</x:f>
        <x:v>CMOC - PARADA BM 02</x:v>
      </x:c>
      <x:c r="G2" s="4" t="n">
        <x:f>Receitas!F2</x:f>
        <x:v>46027</x:v>
      </x:c>
      <x:c r="H2" t="str">
        <x:f>Receitas!G2</x:f>
        <x:v>CMOC CUBATÃO</x:v>
      </x:c>
      <x:c r="I2" t="str">
        <x:f>Receitas!H2</x:f>
        <x:v>1.1.1 - Recebimento de Clientes - prestação de serviço</x:v>
      </x:c>
      <x:c r="J2" s="5" t="n">
        <x:f>Receitas!I2</x:f>
        <x:v>454617.22</x:v>
      </x:c>
      <x:c r="K2" s="5" t="n">
        <x:f>SUM(Receitas!J2:P2)</x:f>
        <x:v>90150.59472600001</x:v>
      </x:c>
      <x:c r="L2" s="5" t="n">
        <x:f>Receitas!Q2</x:f>
        <x:v>364466.625274</x:v>
      </x:c>
      <x:c r="M2" s="5" t="n">
        <x:f>L2</x:f>
        <x:v>364466.625274</x:v>
      </x:c>
    </x:row>
    <x:row r="3">
      <x:c r="A3" t="str">
        <x:f>"Receita"</x:f>
        <x:v>Receita</x:v>
      </x:c>
      <x:c r="B3" t="str">
        <x:f>Receitas!A3</x:f>
        <x:v>CMOC BRASIL MINERAÇAO INDUSTRIAL E PARTICIPAÇOES</x:v>
      </x:c>
      <x:c r="C3" t="str">
        <x:f>Receitas!B3</x:f>
        <x:v>.69</x:v>
      </x:c>
      <x:c r="D3" t="str">
        <x:f>Receitas!C3</x:f>
        <x:v>015090</x:v>
      </x:c>
      <x:c r="E3" t="n">
        <x:f>Receitas!D3</x:f>
        <x:v>0</x:v>
      </x:c>
      <x:c r="F3" t="str">
        <x:f>Receitas!E3</x:f>
        <x:v>CONTRATO 18 M3SES - BM 02 PROVISÃO</x:v>
      </x:c>
      <x:c r="G3" s="4" t="n">
        <x:f>Receitas!F3</x:f>
        <x:v>46027</x:v>
      </x:c>
      <x:c r="H3" t="str">
        <x:f>Receitas!G3</x:f>
        <x:v>CMOC CUBATÃO</x:v>
      </x:c>
      <x:c r="I3" t="str">
        <x:f>Receitas!H3</x:f>
        <x:v>1.1.1 - Recebimento de Clientes - prestação de serviço</x:v>
      </x:c>
      <x:c r="J3" s="5" t="n">
        <x:f>Receitas!I3</x:f>
        <x:v>31425.87</x:v>
      </x:c>
      <x:c r="K3" s="5" t="n">
        <x:f>SUM(Receitas!J3:P3)</x:f>
        <x:v>6231.750021</x:v>
      </x:c>
      <x:c r="L3" s="5" t="n">
        <x:f>Receitas!Q3</x:f>
        <x:v>25194.119979</x:v>
      </x:c>
      <x:c r="M3" s="5" t="n">
        <x:f>L3</x:f>
        <x:v>25194.119979</x:v>
      </x:c>
    </x:row>
    <x:row r="4">
      <x:c r="A4" t="str">
        <x:f>"Receita"</x:f>
        <x:v>Receita</x:v>
      </x:c>
      <x:c r="B4" t="str">
        <x:f>Receitas!A4</x:f>
        <x:v>CMOC BRASIL MINERAÇAO INDUSTRIAL E PARTICIPAÇOES</x:v>
      </x:c>
      <x:c r="C4" t="str">
        <x:f>Receitas!B4</x:f>
        <x:v>.70</x:v>
      </x:c>
      <x:c r="D4" t="str">
        <x:f>Receitas!C4</x:f>
        <x:v>015097</x:v>
      </x:c>
      <x:c r="E4" t="n">
        <x:f>Receitas!D4</x:f>
        <x:v>0</x:v>
      </x:c>
      <x:c r="F4" t="str">
        <x:f>Receitas!E4</x:f>
        <x:v>VALDMAR R$ 30.000,00</x:v>
      </x:c>
      <x:c r="G4" s="4" t="n">
        <x:f>Receitas!F4</x:f>
        <x:v>46027</x:v>
      </x:c>
      <x:c r="H4" t="str">
        <x:f>Receitas!G4</x:f>
        <x:v>NIOBIO CMOC CONTRATO</x:v>
      </x:c>
      <x:c r="I4" t="str">
        <x:f>Receitas!H4</x:f>
        <x:v>1.1.1 - Recebimento de Clientes - prestação de serviço</x:v>
      </x:c>
      <x:c r="J4" s="5" t="n">
        <x:f>Receitas!I4</x:f>
        <x:v>262149.11</x:v>
      </x:c>
      <x:c r="K4" s="5" t="n">
        <x:f>SUM(Receitas!J4:P4)</x:f>
        <x:v>51984.168513</x:v>
      </x:c>
      <x:c r="L4" s="5" t="n">
        <x:f>Receitas!Q4</x:f>
        <x:v>210164.94148699997</x:v>
      </x:c>
      <x:c r="M4" s="5" t="n">
        <x:f>L4</x:f>
        <x:v>210164.94148699997</x:v>
      </x:c>
    </x:row>
    <x:row r="5">
      <x:c r="A5" t="str">
        <x:f>"Receita"</x:f>
        <x:v>Receita</x:v>
      </x:c>
      <x:c r="B5" t="str">
        <x:f>Receitas!A5</x:f>
        <x:v>VLI MULTIMODAL S.A</x:v>
      </x:c>
      <x:c r="C5" t="str">
        <x:f>Receitas!B5</x:f>
        <x:v>.71</x:v>
      </x:c>
      <x:c r="D5" t="str">
        <x:f>Receitas!C5</x:f>
        <x:v>015099</x:v>
      </x:c>
      <x:c r="E5" t="n">
        <x:f>Receitas!D5</x:f>
        <x:v>0</x:v>
      </x:c>
      <x:c r="F5" t="n">
        <x:f>Receitas!E5</x:f>
        <x:v>0</x:v>
      </x:c>
      <x:c r="G5" s="4" t="n">
        <x:f>Receitas!F5</x:f>
        <x:v>46027</x:v>
      </x:c>
      <x:c r="H5" t="str">
        <x:f>Receitas!G5</x:f>
        <x:v>VLI PINTURA</x:v>
      </x:c>
      <x:c r="I5" t="str">
        <x:f>Receitas!H5</x:f>
        <x:v>1.1.1 - Recebimento de Clientes - prestação de serviço</x:v>
      </x:c>
      <x:c r="J5" s="5" t="n">
        <x:f>Receitas!I5</x:f>
        <x:v>600974.42</x:v>
      </x:c>
      <x:c r="K5" s="5" t="n">
        <x:f>SUM(Receitas!J5:P5)</x:f>
        <x:v>140847.63748600002</x:v>
      </x:c>
      <x:c r="L5" s="5" t="n">
        <x:f>Receitas!Q5</x:f>
        <x:v>460126.782514</x:v>
      </x:c>
      <x:c r="M5" s="5" t="n">
        <x:f>L5</x:f>
        <x:v>460126.782514</x:v>
      </x:c>
    </x:row>
    <x:row r="6">
      <x:c r="A6" t="str">
        <x:f>"Receita"</x:f>
        <x:v>Receita</x:v>
      </x:c>
      <x:c r="B6" t="str">
        <x:f>Receitas!A6</x:f>
        <x:v>SERENA GERAÇAO SA</x:v>
      </x:c>
      <x:c r="C6" t="n">
        <x:f>Receitas!B6</x:f>
        <x:v>0</x:v>
      </x:c>
      <x:c r="D6" t="str">
        <x:f>Receitas!C6</x:f>
        <x:v>015363</x:v>
      </x:c>
      <x:c r="E6" t="str">
        <x:f>Receitas!D6</x:f>
        <x:v>NOTAS DE DEBITO MES 12-2025</x:v>
      </x:c>
      <x:c r="F6" t="n">
        <x:f>Receitas!E6</x:f>
        <x:v>0</x:v>
      </x:c>
      <x:c r="G6" s="4" t="n">
        <x:f>Receitas!F6</x:f>
        <x:v>46027</x:v>
      </x:c>
      <x:c r="H6" t="str">
        <x:f>Receitas!G6</x:f>
        <x:v>SERENA 10 TORRES 2025</x:v>
      </x:c>
      <x:c r="I6" t="str">
        <x:f>Receitas!H6</x:f>
        <x:v>1.1.1 - Recebimento de Clientes - prestação de serviço</x:v>
      </x:c>
      <x:c r="J6" s="5" t="n">
        <x:f>Receitas!I6</x:f>
        <x:v>26152.36</x:v>
      </x:c>
      <x:c r="K6" s="5" t="n">
        <x:f>SUM(Receitas!J6:P6)</x:f>
        <x:v>5186.012988</x:v>
      </x:c>
      <x:c r="L6" s="5" t="n">
        <x:f>Receitas!Q6</x:f>
        <x:v>20966.347012</x:v>
      </x:c>
      <x:c r="M6" s="5" t="n">
        <x:f>L6</x:f>
        <x:v>20966.347012</x:v>
      </x:c>
    </x:row>
    <x:row r="7">
      <x:c r="A7" t="str">
        <x:f>"Receita"</x:f>
        <x:v>Receita</x:v>
      </x:c>
      <x:c r="B7" t="str">
        <x:f>Receitas!A7</x:f>
        <x:v>CMOC BRASIL MINERAÇAO INDUSTRIAL E PARTICIPAÇOES</x:v>
      </x:c>
      <x:c r="C7" t="str">
        <x:f>Receitas!B7</x:f>
        <x:v>.72</x:v>
      </x:c>
      <x:c r="D7" t="str">
        <x:f>Receitas!C7</x:f>
        <x:v>015100</x:v>
      </x:c>
      <x:c r="E7" t="n">
        <x:f>Receitas!D7</x:f>
        <x:v>0</x:v>
      </x:c>
      <x:c r="F7" t="str">
        <x:f>Receitas!E7</x:f>
        <x:v>BM 24 ELISMAR</x:v>
      </x:c>
      <x:c r="G7" s="4" t="n">
        <x:f>Receitas!F7</x:f>
        <x:v>46028</x:v>
      </x:c>
      <x:c r="H7" t="str">
        <x:f>Receitas!G7</x:f>
        <x:v>NIOBIO CMOC CONTRATO</x:v>
      </x:c>
      <x:c r="I7" t="str">
        <x:f>Receitas!H7</x:f>
        <x:v>1.1.1 - Recebimento de Clientes - prestação de serviço</x:v>
      </x:c>
      <x:c r="J7" s="5" t="n">
        <x:f>Receitas!I7</x:f>
        <x:v>32233.95</x:v>
      </x:c>
      <x:c r="K7" s="5" t="n">
        <x:f>SUM(Receitas!J7:P7)</x:f>
        <x:v>6391.992285</x:v>
      </x:c>
      <x:c r="L7" s="5" t="n">
        <x:f>Receitas!Q7</x:f>
        <x:v>25841.957715</x:v>
      </x:c>
      <x:c r="M7" s="5" t="n">
        <x:f>L7</x:f>
        <x:v>25841.957715</x:v>
      </x:c>
    </x:row>
    <x:row r="8">
      <x:c r="A8" t="str">
        <x:f>"Receita"</x:f>
        <x:v>Receita</x:v>
      </x:c>
      <x:c r="B8" t="str">
        <x:f>Receitas!A8</x:f>
        <x:v>CMOC BRASIL MINERAÇAO INDUSTRIAL E PARTICIPAÇOES</x:v>
      </x:c>
      <x:c r="C8" t="str">
        <x:f>Receitas!B8</x:f>
        <x:v>.74</x:v>
      </x:c>
      <x:c r="D8" t="str">
        <x:f>Receitas!C8</x:f>
        <x:v>015224</x:v>
      </x:c>
      <x:c r="E8" t="n">
        <x:f>Receitas!D8</x:f>
        <x:v>0</x:v>
      </x:c>
      <x:c r="F8" t="str">
        <x:f>Receitas!E8</x:f>
        <x:v>SPOT 1015-25</x:v>
      </x:c>
      <x:c r="G8" s="4" t="n">
        <x:f>Receitas!F8</x:f>
        <x:v>46031</x:v>
      </x:c>
      <x:c r="H8" t="str">
        <x:f>Receitas!G8</x:f>
        <x:v>NIOBIO CMOC CONTRATO</x:v>
      </x:c>
      <x:c r="I8" t="str">
        <x:f>Receitas!H8</x:f>
        <x:v>1.1.1 - Recebimento de Clientes - prestação de serviço</x:v>
      </x:c>
      <x:c r="J8" s="5" t="n">
        <x:f>Receitas!I8</x:f>
        <x:v>20403.4</x:v>
      </x:c>
      <x:c r="K8" s="5" t="n">
        <x:f>SUM(Receitas!J8:P8)</x:f>
        <x:v>4045.9942200000005</x:v>
      </x:c>
      <x:c r="L8" s="5" t="n">
        <x:f>Receitas!Q8</x:f>
        <x:v>16357.405780000001</x:v>
      </x:c>
      <x:c r="M8" s="5" t="n">
        <x:f>L8</x:f>
        <x:v>16357.405780000001</x:v>
      </x:c>
    </x:row>
    <x:row r="9">
      <x:c r="A9" t="str">
        <x:f>"Receita"</x:f>
        <x:v>Receita</x:v>
      </x:c>
      <x:c r="B9" t="str">
        <x:f>Receitas!A9</x:f>
        <x:v>SERRA VERDE PESQUISA E MINERAÇÃO LTDA</x:v>
      </x:c>
      <x:c r="C9" t="str">
        <x:f>Receitas!B9</x:f>
        <x:v>.73</x:v>
      </x:c>
      <x:c r="D9" t="str">
        <x:f>Receitas!C9</x:f>
        <x:v>015225</x:v>
      </x:c>
      <x:c r="E9" t="n">
        <x:f>Receitas!D9</x:f>
        <x:v>0</x:v>
      </x:c>
      <x:c r="F9" t="n">
        <x:f>Receitas!E9</x:f>
        <x:v>0</x:v>
      </x:c>
      <x:c r="G9" s="4" t="n">
        <x:f>Receitas!F9</x:f>
        <x:v>46031</x:v>
      </x:c>
      <x:c r="H9" t="str">
        <x:f>Receitas!G9</x:f>
        <x:v>CONTRATO 02 ANOS MINERAÇÃO SERRA VERDE</x:v>
      </x:c>
      <x:c r="I9" t="str">
        <x:f>Receitas!H9</x:f>
        <x:v>1.1.1 - Recebimento de Clientes - prestação de serviço</x:v>
      </x:c>
      <x:c r="J9" s="5" t="n">
        <x:f>Receitas!I9</x:f>
        <x:v>94185.03</x:v>
      </x:c>
      <x:c r="K9" s="5" t="n">
        <x:f>SUM(Receitas!J9:P9)</x:f>
        <x:v>18676.891449000002</x:v>
      </x:c>
      <x:c r="L9" s="5" t="n">
        <x:f>Receitas!Q9</x:f>
        <x:v>75508.138551</x:v>
      </x:c>
      <x:c r="M9" s="5" t="n">
        <x:f>L9</x:f>
        <x:v>75508.138551</x:v>
      </x:c>
    </x:row>
    <x:row r="10">
      <x:c r="A10" t="str">
        <x:f>"Receita"</x:f>
        <x:v>Receita</x:v>
      </x:c>
      <x:c r="B10" t="str">
        <x:f>Receitas!A10</x:f>
        <x:v>MOSAIC FERTILIZANTES DO BRASIL LTDA UBERABA ROTINA</x:v>
      </x:c>
      <x:c r="C10" t="str">
        <x:f>Receitas!B10</x:f>
        <x:v>.75</x:v>
      </x:c>
      <x:c r="D10" t="str">
        <x:f>Receitas!C10</x:f>
        <x:v>015326</x:v>
      </x:c>
      <x:c r="E10" t="n">
        <x:f>Receitas!D10</x:f>
        <x:v>0</x:v>
      </x:c>
      <x:c r="F10" t="str">
        <x:f>Receitas!E10</x:f>
        <x:v>PARADA 2025 BM 05</x:v>
      </x:c>
      <x:c r="G10" s="4" t="n">
        <x:f>Receitas!F10</x:f>
        <x:v>46036</x:v>
      </x:c>
      <x:c r="H10" t="str">
        <x:f>Receitas!G10</x:f>
        <x:v>MOSAIC UBERABA CONTRAT0 3 ANOS</x:v>
      </x:c>
      <x:c r="I10" t="str">
        <x:f>Receitas!H10</x:f>
        <x:v>1.1.1 - Recebimento de Clientes - prestação de serviço</x:v>
      </x:c>
      <x:c r="J10" s="5" t="n">
        <x:f>Receitas!I10</x:f>
        <x:v>130631.05</x:v>
      </x:c>
      <x:c r="K10" s="5" t="n">
        <x:f>SUM(Receitas!J10:P10)</x:f>
        <x:v>25904.137215</x:v>
      </x:c>
      <x:c r="L10" s="5" t="n">
        <x:f>Receitas!Q10</x:f>
        <x:v>104726.91278500001</x:v>
      </x:c>
      <x:c r="M10" s="5" t="n">
        <x:f>L10</x:f>
        <x:v>104726.91278500001</x:v>
      </x:c>
    </x:row>
    <x:row r="11">
      <x:c r="A11" t="str">
        <x:f>"Receita"</x:f>
        <x:v>Receita</x:v>
      </x:c>
      <x:c r="B11" t="str">
        <x:f>Receitas!A11</x:f>
        <x:v>CMOC BRASIL MINERAÇAO INDUSTRIAL E PARTICIPAÇOES</x:v>
      </x:c>
      <x:c r="C11" t="str">
        <x:f>Receitas!B11</x:f>
        <x:v>.76</x:v>
      </x:c>
      <x:c r="D11" t="str">
        <x:f>Receitas!C11</x:f>
        <x:v>015327</x:v>
      </x:c>
      <x:c r="E11" t="n">
        <x:f>Receitas!D11</x:f>
        <x:v>0</x:v>
      </x:c>
      <x:c r="F11" t="str">
        <x:f>Receitas!E11</x:f>
        <x:v>BM 24</x:v>
      </x:c>
      <x:c r="G11" s="4" t="n">
        <x:f>Receitas!F11</x:f>
        <x:v>46037</x:v>
      </x:c>
      <x:c r="H11" t="str">
        <x:f>Receitas!G11</x:f>
        <x:v>FOSFATO CMOC CONTRAT</x:v>
      </x:c>
      <x:c r="I11" t="str">
        <x:f>Receitas!H11</x:f>
        <x:v>1.1.1 - Recebimento de Clientes - prestação de serviço</x:v>
      </x:c>
      <x:c r="J11" s="5" t="n">
        <x:f>Receitas!I11</x:f>
        <x:v>22133.97</x:v>
      </x:c>
      <x:c r="K11" s="5" t="n">
        <x:f>SUM(Receitas!J11:P11)</x:f>
        <x:v>4389.166251000001</x:v>
      </x:c>
      <x:c r="L11" s="5" t="n">
        <x:f>Receitas!Q11</x:f>
        <x:v>17744.803749</x:v>
      </x:c>
      <x:c r="M11" s="5" t="n">
        <x:f>L11</x:f>
        <x:v>17744.803749</x:v>
      </x:c>
    </x:row>
    <x:row r="12">
      <x:c r="A12" t="str">
        <x:f>"Receita"</x:f>
        <x:v>Receita</x:v>
      </x:c>
      <x:c r="B12" t="str">
        <x:f>Receitas!A12</x:f>
        <x:v>CMOC BRASIL MINERAÇAO INDUSTRIAL E PARTICIPAÇOES</x:v>
      </x:c>
      <x:c r="C12" t="str">
        <x:f>Receitas!B12</x:f>
        <x:v>.77</x:v>
      </x:c>
      <x:c r="D12" t="str">
        <x:f>Receitas!C12</x:f>
        <x:v>015356</x:v>
      </x:c>
      <x:c r="E12" t="n">
        <x:f>Receitas!D12</x:f>
        <x:v>0</x:v>
      </x:c>
      <x:c r="F12" t="str">
        <x:f>Receitas!E12</x:f>
        <x:v>r$ 6000,00 VALDMAR/ R$ 6000,00 RAPALLO</x:v>
      </x:c>
      <x:c r="G12" s="4" t="n">
        <x:f>Receitas!F12</x:f>
        <x:v>46037</x:v>
      </x:c>
      <x:c r="H12" t="str">
        <x:f>Receitas!G12</x:f>
        <x:v>NIOBIO CMOC CONTRATO</x:v>
      </x:c>
      <x:c r="I12" t="str">
        <x:f>Receitas!H12</x:f>
        <x:v>1.1.1 - Recebimento de Clientes - prestação de serviço</x:v>
      </x:c>
      <x:c r="J12" s="5" t="n">
        <x:f>Receitas!I12</x:f>
        <x:v>54325.32</x:v>
      </x:c>
      <x:c r="K12" s="5" t="n">
        <x:f>SUM(Receitas!J12:P12)</x:f>
        <x:v>10772.710956</x:v>
      </x:c>
      <x:c r="L12" s="5" t="n">
        <x:f>Receitas!Q12</x:f>
        <x:v>43552.609044</x:v>
      </x:c>
      <x:c r="M12" s="5" t="n">
        <x:f>L12</x:f>
        <x:v>43552.609044</x:v>
      </x:c>
    </x:row>
    <x:row r="13">
      <x:c r="A13" t="str">
        <x:f>"Receita"</x:f>
        <x:v>Receita</x:v>
      </x:c>
      <x:c r="B13" t="str">
        <x:f>Receitas!A13</x:f>
        <x:v>CMOC BRASIL MINERAÇAO INDUSTRIAL E PARTICIPAÇOES</x:v>
      </x:c>
      <x:c r="C13" t="str">
        <x:f>Receitas!B13</x:f>
        <x:v>.78</x:v>
      </x:c>
      <x:c r="D13" t="str">
        <x:f>Receitas!C13</x:f>
        <x:v>015357</x:v>
      </x:c>
      <x:c r="E13" t="n">
        <x:f>Receitas!D13</x:f>
        <x:v>0</x:v>
      </x:c>
      <x:c r="F13" t="str">
        <x:f>Receitas!E13</x:f>
        <x:v>R$ 1500,00 RAPALLO</x:v>
      </x:c>
      <x:c r="G13" s="4" t="n">
        <x:f>Receitas!F13</x:f>
        <x:v>46037</x:v>
      </x:c>
      <x:c r="H13" t="str">
        <x:f>Receitas!G13</x:f>
        <x:v>NIOBIO CMOC CONTRATO</x:v>
      </x:c>
      <x:c r="I13" t="str">
        <x:f>Receitas!H13</x:f>
        <x:v>1.1.1 - Recebimento de Clientes - prestação de serviço</x:v>
      </x:c>
      <x:c r="J13" s="5" t="n">
        <x:f>Receitas!I13</x:f>
        <x:v>30001.64</x:v>
      </x:c>
      <x:c r="K13" s="5" t="n">
        <x:f>SUM(Receitas!J13:P13)</x:f>
        <x:v>5949.325212000001</x:v>
      </x:c>
      <x:c r="L13" s="5" t="n">
        <x:f>Receitas!Q13</x:f>
        <x:v>24052.314788</x:v>
      </x:c>
      <x:c r="M13" s="5" t="n">
        <x:f>L13</x:f>
        <x:v>24052.314788</x:v>
      </x:c>
    </x:row>
    <x:row r="14">
      <x:c r="A14" t="str">
        <x:f>"Receita"</x:f>
        <x:v>Receita</x:v>
      </x:c>
      <x:c r="B14" t="str">
        <x:f>Receitas!A14</x:f>
        <x:v>Usina Hidrelétrica de Além Paraíba/MG</x:v>
      </x:c>
      <x:c r="C14" t="str">
        <x:f>Receitas!B14</x:f>
        <x:v>.79</x:v>
      </x:c>
      <x:c r="D14" t="str">
        <x:f>Receitas!C14</x:f>
        <x:v>015359</x:v>
      </x:c>
      <x:c r="E14" t="n">
        <x:f>Receitas!D14</x:f>
        <x:v>0</x:v>
      </x:c>
      <x:c r="F14" t="str">
        <x:f>Receitas!E14</x:f>
        <x:v>BELZONA/TAMPONAMENTOS</x:v>
      </x:c>
      <x:c r="G14" s="4" t="n">
        <x:f>Receitas!F14</x:f>
        <x:v>46038</x:v>
      </x:c>
      <x:c r="H14" t="str">
        <x:f>Receitas!G14</x:f>
        <x:v>CONDUTOS UG 1 - ELETROBRAS</x:v>
      </x:c>
      <x:c r="I14" t="str">
        <x:f>Receitas!H14</x:f>
        <x:v>1.1.1 - Recebimento de Clientes - prestação de serviço</x:v>
      </x:c>
      <x:c r="J14" s="5" t="n">
        <x:f>Receitas!I14</x:f>
        <x:v>470490</x:v>
      </x:c>
      <x:c r="K14" s="5" t="n">
        <x:f>SUM(Receitas!J14:P14)</x:f>
        <x:v>93298.167</x:v>
      </x:c>
      <x:c r="L14" s="5" t="n">
        <x:f>Receitas!Q14</x:f>
        <x:v>377191.833</x:v>
      </x:c>
      <x:c r="M14" s="5" t="n">
        <x:f>L14</x:f>
        <x:v>377191.833</x:v>
      </x:c>
    </x:row>
    <x:row r="15">
      <x:c r="A15" t="str">
        <x:f>"Receita"</x:f>
        <x:v>Receita</x:v>
      </x:c>
      <x:c r="B15" t="str">
        <x:f>Receitas!A15</x:f>
        <x:v>CMOC BRASIL MINERAÇAO INDUSTRIAL E PARTICIPAÇOES</x:v>
      </x:c>
      <x:c r="C15" t="str">
        <x:f>Receitas!B15</x:f>
        <x:v>.80</x:v>
      </x:c>
      <x:c r="D15" t="str">
        <x:f>Receitas!C15</x:f>
        <x:v>015431</x:v>
      </x:c>
      <x:c r="E15" t="n">
        <x:f>Receitas!D15</x:f>
        <x:v>0</x:v>
      </x:c>
      <x:c r="F15" t="str">
        <x:f>Receitas!E15</x:f>
        <x:v>BM 23</x:v>
      </x:c>
      <x:c r="G15" s="4" t="n">
        <x:f>Receitas!F15</x:f>
        <x:v>46041</x:v>
      </x:c>
      <x:c r="H15" t="str">
        <x:f>Receitas!G15</x:f>
        <x:v>FOSFATO CMOC CONTRAT</x:v>
      </x:c>
      <x:c r="I15" t="str">
        <x:f>Receitas!H15</x:f>
        <x:v>1.1.1 - Recebimento de Clientes - prestação de serviço</x:v>
      </x:c>
      <x:c r="J15" s="5" t="n">
        <x:f>Receitas!I15</x:f>
        <x:v>82261.13</x:v>
      </x:c>
      <x:c r="K15" s="5" t="n">
        <x:f>SUM(Receitas!J15:P15)</x:f>
        <x:v>16312.382079</x:v>
      </x:c>
      <x:c r="L15" s="5" t="n">
        <x:f>Receitas!Q15</x:f>
        <x:v>65948.747921</x:v>
      </x:c>
      <x:c r="M15" s="5" t="n">
        <x:f>L15</x:f>
        <x:v>65948.747921</x:v>
      </x:c>
    </x:row>
    <x:row r="16">
      <x:c r="A16" t="str">
        <x:f>"Receita"</x:f>
        <x:v>Receita</x:v>
      </x:c>
      <x:c r="B16" t="str">
        <x:f>Receitas!A16</x:f>
        <x:v>CMOC BRASIL MINERAÇAO INDUSTRIAL E PARTICIPAÇOES</x:v>
      </x:c>
      <x:c r="C16" t="str">
        <x:f>Receitas!B16</x:f>
        <x:v>.81</x:v>
      </x:c>
      <x:c r="D16" t="str">
        <x:f>Receitas!C16</x:f>
        <x:v>015432</x:v>
      </x:c>
      <x:c r="E16" t="n">
        <x:f>Receitas!D16</x:f>
        <x:v>0</x:v>
      </x:c>
      <x:c r="F16" t="str">
        <x:f>Receitas!E16</x:f>
        <x:v>BM 25</x:v>
      </x:c>
      <x:c r="G16" s="4" t="n">
        <x:f>Receitas!F16</x:f>
        <x:v>46041</x:v>
      </x:c>
      <x:c r="H16" t="str">
        <x:f>Receitas!G16</x:f>
        <x:v>FOSFATO CMOC CONTRAT</x:v>
      </x:c>
      <x:c r="I16" t="str">
        <x:f>Receitas!H16</x:f>
        <x:v>1.1.1 - Recebimento de Clientes - prestação de serviço</x:v>
      </x:c>
      <x:c r="J16" s="5" t="n">
        <x:f>Receitas!I16</x:f>
        <x:v>67125.2</x:v>
      </x:c>
      <x:c r="K16" s="5" t="n">
        <x:f>SUM(Receitas!J16:P16)</x:f>
        <x:v>13310.92716</x:v>
      </x:c>
      <x:c r="L16" s="5" t="n">
        <x:f>Receitas!Q16</x:f>
        <x:v>53814.27284</x:v>
      </x:c>
      <x:c r="M16" s="5" t="n">
        <x:f>L16</x:f>
        <x:v>53814.27284</x:v>
      </x:c>
    </x:row>
    <x:row r="17">
      <x:c r="A17" t="str">
        <x:f>"Receita"</x:f>
        <x:v>Receita</x:v>
      </x:c>
      <x:c r="B17" t="str">
        <x:f>Receitas!A17</x:f>
        <x:v>SERENA GERAÇAO SA</x:v>
      </x:c>
      <x:c r="C17" t="str">
        <x:f>Receitas!B17</x:f>
        <x:v>.82</x:v>
      </x:c>
      <x:c r="D17" t="str">
        <x:f>Receitas!C17</x:f>
        <x:v>015433</x:v>
      </x:c>
      <x:c r="E17" t="n">
        <x:f>Receitas!D17</x:f>
        <x:v>0</x:v>
      </x:c>
      <x:c r="F17" t="n">
        <x:f>Receitas!E17</x:f>
        <x:v>0</x:v>
      </x:c>
      <x:c r="G17" s="4" t="n">
        <x:f>Receitas!F17</x:f>
        <x:v>46041</x:v>
      </x:c>
      <x:c r="H17" t="str">
        <x:f>Receitas!G17</x:f>
        <x:v>SERENA 10 TORRES 2025</x:v>
      </x:c>
      <x:c r="I17" t="str">
        <x:f>Receitas!H17</x:f>
        <x:v>1.1.1 - Recebimento de Clientes - prestação de serviço</x:v>
      </x:c>
      <x:c r="J17" s="5" t="n">
        <x:f>Receitas!I17</x:f>
        <x:v>76865.7</x:v>
      </x:c>
      <x:c r="K17" s="5" t="n">
        <x:f>SUM(Receitas!J17:P17)</x:f>
        <x:v>15242.468309999998</x:v>
      </x:c>
      <x:c r="L17" s="5" t="n">
        <x:f>Receitas!Q17</x:f>
        <x:v>61623.23169</x:v>
      </x:c>
      <x:c r="M17" s="5" t="n">
        <x:f>L17</x:f>
        <x:v>61623.23169</x:v>
      </x:c>
    </x:row>
    <x:row r="18">
      <x:c r="A18" t="str">
        <x:f>"Receita"</x:f>
        <x:v>Receita</x:v>
      </x:c>
      <x:c r="B18" t="str">
        <x:f>Receitas!A18</x:f>
        <x:v>SERENA GERAÇAO SA</x:v>
      </x:c>
      <x:c r="C18" t="str">
        <x:f>Receitas!B18</x:f>
        <x:v>.83</x:v>
      </x:c>
      <x:c r="D18" t="str">
        <x:f>Receitas!C18</x:f>
        <x:v>015434</x:v>
      </x:c>
      <x:c r="E18" t="n">
        <x:f>Receitas!D18</x:f>
        <x:v>0</x:v>
      </x:c>
      <x:c r="F18" t="n">
        <x:f>Receitas!E18</x:f>
        <x:v>0</x:v>
      </x:c>
      <x:c r="G18" s="4" t="n">
        <x:f>Receitas!F18</x:f>
        <x:v>46041</x:v>
      </x:c>
      <x:c r="H18" t="str">
        <x:f>Receitas!G18</x:f>
        <x:v>SERENA 10 TORRES 2025</x:v>
      </x:c>
      <x:c r="I18" t="str">
        <x:f>Receitas!H18</x:f>
        <x:v>1.1.1 - Recebimento de Clientes - prestação de serviço</x:v>
      </x:c>
      <x:c r="J18" s="5" t="n">
        <x:f>Receitas!I18</x:f>
        <x:v>76865.7</x:v>
      </x:c>
      <x:c r="K18" s="5" t="n">
        <x:f>SUM(Receitas!J18:P18)</x:f>
        <x:v>15242.468309999998</x:v>
      </x:c>
      <x:c r="L18" s="5" t="n">
        <x:f>Receitas!Q18</x:f>
        <x:v>61623.23169</x:v>
      </x:c>
      <x:c r="M18" s="5" t="n">
        <x:f>L18</x:f>
        <x:v>61623.23169</x:v>
      </x:c>
    </x:row>
    <x:row r="19">
      <x:c r="A19" t="str">
        <x:f>"Receita"</x:f>
        <x:v>Receita</x:v>
      </x:c>
      <x:c r="B19" t="str">
        <x:f>Receitas!A19</x:f>
        <x:v>SERENA GERAÇAO SA</x:v>
      </x:c>
      <x:c r="C19" t="str">
        <x:f>Receitas!B19</x:f>
        <x:v>.84</x:v>
      </x:c>
      <x:c r="D19" t="str">
        <x:f>Receitas!C19</x:f>
        <x:v>015437</x:v>
      </x:c>
      <x:c r="E19" t="n">
        <x:f>Receitas!D19</x:f>
        <x:v>0</x:v>
      </x:c>
      <x:c r="F19" t="n">
        <x:f>Receitas!E19</x:f>
        <x:v>0</x:v>
      </x:c>
      <x:c r="G19" s="4" t="n">
        <x:f>Receitas!F19</x:f>
        <x:v>46041</x:v>
      </x:c>
      <x:c r="H19" t="str">
        <x:f>Receitas!G19</x:f>
        <x:v>SERENA 10 TORRES 2025</x:v>
      </x:c>
      <x:c r="I19" t="str">
        <x:f>Receitas!H19</x:f>
        <x:v>1.1.1 - Recebimento de Clientes - prestação de serviço</x:v>
      </x:c>
      <x:c r="J19" s="5" t="n">
        <x:f>Receitas!I19</x:f>
        <x:v>76865.7</x:v>
      </x:c>
      <x:c r="K19" s="5" t="n">
        <x:f>SUM(Receitas!J19:P19)</x:f>
        <x:v>15242.468309999998</x:v>
      </x:c>
      <x:c r="L19" s="5" t="n">
        <x:f>Receitas!Q19</x:f>
        <x:v>61623.23169</x:v>
      </x:c>
      <x:c r="M19" s="5" t="n">
        <x:f>L19</x:f>
        <x:v>61623.23169</x:v>
      </x:c>
    </x:row>
    <x:row r="20">
      <x:c r="A20" t="str">
        <x:f>"Receita"</x:f>
        <x:v>Receita</x:v>
      </x:c>
      <x:c r="B20" t="str">
        <x:f>Receitas!A20</x:f>
        <x:v>SERENA GERAÇAO SA</x:v>
      </x:c>
      <x:c r="C20" t="str">
        <x:f>Receitas!B20</x:f>
        <x:v>.85</x:v>
      </x:c>
      <x:c r="D20" t="str">
        <x:f>Receitas!C20</x:f>
        <x:v>015439</x:v>
      </x:c>
      <x:c r="E20" t="n">
        <x:f>Receitas!D20</x:f>
        <x:v>0</x:v>
      </x:c>
      <x:c r="F20" t="n">
        <x:f>Receitas!E20</x:f>
        <x:v>0</x:v>
      </x:c>
      <x:c r="G20" s="4" t="n">
        <x:f>Receitas!F20</x:f>
        <x:v>46041</x:v>
      </x:c>
      <x:c r="H20" t="str">
        <x:f>Receitas!G20</x:f>
        <x:v>SERENA 10 TORRES 2025</x:v>
      </x:c>
      <x:c r="I20" t="str">
        <x:f>Receitas!H20</x:f>
        <x:v>1.1.1 - Recebimento de Clientes - prestação de serviço</x:v>
      </x:c>
      <x:c r="J20" s="5" t="n">
        <x:f>Receitas!I20</x:f>
        <x:v>76865.7</x:v>
      </x:c>
      <x:c r="K20" s="5" t="n">
        <x:f>SUM(Receitas!J20:P20)</x:f>
        <x:v>15242.468309999998</x:v>
      </x:c>
      <x:c r="L20" s="5" t="n">
        <x:f>Receitas!Q20</x:f>
        <x:v>61623.23169</x:v>
      </x:c>
      <x:c r="M20" s="5" t="n">
        <x:f>L20</x:f>
        <x:v>61623.23169</x:v>
      </x:c>
    </x:row>
    <x:row r="21">
      <x:c r="A21" t="str">
        <x:f>"Receita"</x:f>
        <x:v>Receita</x:v>
      </x:c>
      <x:c r="B21" t="str">
        <x:f>Receitas!A21</x:f>
        <x:v>SERENA GERAÇAO SA</x:v>
      </x:c>
      <x:c r="C21" t="str">
        <x:f>Receitas!B21</x:f>
        <x:v>.86</x:v>
      </x:c>
      <x:c r="D21" t="str">
        <x:f>Receitas!C21</x:f>
        <x:v>015440</x:v>
      </x:c>
      <x:c r="E21" t="n">
        <x:f>Receitas!D21</x:f>
        <x:v>0</x:v>
      </x:c>
      <x:c r="F21" t="str">
        <x:f>Receitas!E21</x:f>
        <x:v>NF PENSACOLA - HH</x:v>
      </x:c>
      <x:c r="G21" s="4" t="n">
        <x:f>Receitas!F21</x:f>
        <x:v>46042</x:v>
      </x:c>
      <x:c r="H21" t="str">
        <x:f>Receitas!G21</x:f>
        <x:v>SERENA 10 TORRES 2025</x:v>
      </x:c>
      <x:c r="I21" t="str">
        <x:f>Receitas!H21</x:f>
        <x:v>1.1.1 - Recebimento de Clientes - prestação de serviço</x:v>
      </x:c>
      <x:c r="J21" s="5" t="n">
        <x:f>Receitas!I21</x:f>
        <x:v>27000</x:v>
      </x:c>
      <x:c r="K21" s="5" t="n">
        <x:f>SUM(Receitas!J21:P21)</x:f>
        <x:v>5354.1</x:v>
      </x:c>
      <x:c r="L21" s="5" t="n">
        <x:f>Receitas!Q21</x:f>
        <x:v>21645.9</x:v>
      </x:c>
      <x:c r="M21" s="5" t="n">
        <x:f>L21</x:f>
        <x:v>21645.9</x:v>
      </x:c>
    </x:row>
    <x:row r="22">
      <x:c r="A22" t="str">
        <x:f>"Receita"</x:f>
        <x:v>Receita</x:v>
      </x:c>
      <x:c r="B22" t="str">
        <x:f>Receitas!A22</x:f>
        <x:v>SALITRE FERTILIZANTES LTDA</x:v>
      </x:c>
      <x:c r="C22" t="str">
        <x:f>Receitas!B22</x:f>
        <x:v>36.1</x:v>
      </x:c>
      <x:c r="D22" t="str">
        <x:f>Receitas!C22</x:f>
        <x:v>015456</x:v>
      </x:c>
      <x:c r="E22" t="n">
        <x:f>Receitas!D22</x:f>
        <x:v>0</x:v>
      </x:c>
      <x:c r="F22" t="str">
        <x:f>Receitas!E22</x:f>
        <x:v>PLANTA ACIDO - LOCAÇÃO</x:v>
      </x:c>
      <x:c r="G22" s="4" t="n">
        <x:f>Receitas!F22</x:f>
        <x:v>46043</x:v>
      </x:c>
      <x:c r="H22" t="str">
        <x:f>Receitas!G22</x:f>
        <x:v>EUROCHEM SERRA DO SALITRE</x:v>
      </x:c>
      <x:c r="I22" t="str">
        <x:f>Receitas!H22</x:f>
        <x:v>1.1.3 - Locação de Equipamentos</x:v>
      </x:c>
      <x:c r="J22" s="5" t="n">
        <x:f>Receitas!I22</x:f>
        <x:v>32593.11</x:v>
      </x:c>
      <x:c r="K22" s="5" t="n">
        <x:f>SUM(Receitas!J22:P22)</x:f>
        <x:v>4833.558213</x:v>
      </x:c>
      <x:c r="L22" s="5" t="n">
        <x:f>Receitas!Q22</x:f>
        <x:v>27759.551787</x:v>
      </x:c>
      <x:c r="M22" s="5" t="n">
        <x:f>L22</x:f>
        <x:v>27759.551787</x:v>
      </x:c>
    </x:row>
    <x:row r="23">
      <x:c r="A23" t="str">
        <x:f>"Receita"</x:f>
        <x:v>Receita</x:v>
      </x:c>
      <x:c r="B23" t="str">
        <x:f>Receitas!A23</x:f>
        <x:v>SALITRE FERTILIZANTES LTDA</x:v>
      </x:c>
      <x:c r="C23" t="str">
        <x:f>Receitas!B23</x:f>
        <x:v>37.1</x:v>
      </x:c>
      <x:c r="D23" t="str">
        <x:f>Receitas!C23</x:f>
        <x:v>015457</x:v>
      </x:c>
      <x:c r="E23" t="n">
        <x:f>Receitas!D23</x:f>
        <x:v>0</x:v>
      </x:c>
      <x:c r="F23" t="str">
        <x:f>Receitas!E23</x:f>
        <x:v>PLANTA FERTILIZANTES - LOCAÇÃO</x:v>
      </x:c>
      <x:c r="G23" s="4" t="n">
        <x:f>Receitas!F23</x:f>
        <x:v>46043</x:v>
      </x:c>
      <x:c r="H23" t="str">
        <x:f>Receitas!G23</x:f>
        <x:v>EUROCHEM SERRA DO SALITRE</x:v>
      </x:c>
      <x:c r="I23" t="str">
        <x:f>Receitas!H23</x:f>
        <x:v>1.1.3 - Locação de Equipamentos</x:v>
      </x:c>
      <x:c r="J23" s="5" t="n">
        <x:f>Receitas!I23</x:f>
        <x:v>32593.11</x:v>
      </x:c>
      <x:c r="K23" s="5" t="n">
        <x:f>SUM(Receitas!J23:P23)</x:f>
        <x:v>4833.558213</x:v>
      </x:c>
      <x:c r="L23" s="5" t="n">
        <x:f>Receitas!Q23</x:f>
        <x:v>27759.551787</x:v>
      </x:c>
      <x:c r="M23" s="5" t="n">
        <x:f>L23</x:f>
        <x:v>27759.551787</x:v>
      </x:c>
    </x:row>
    <x:row r="24">
      <x:c r="A24" t="str">
        <x:f>"Receita"</x:f>
        <x:v>Receita</x:v>
      </x:c>
      <x:c r="B24" t="str">
        <x:f>Receitas!A24</x:f>
        <x:v>SALITRE FERTILIZANTES LTDA</x:v>
      </x:c>
      <x:c r="C24" t="str">
        <x:f>Receitas!B24</x:f>
        <x:v>38.1</x:v>
      </x:c>
      <x:c r="D24" t="str">
        <x:f>Receitas!C24</x:f>
        <x:v>015458</x:v>
      </x:c>
      <x:c r="E24" t="n">
        <x:f>Receitas!D24</x:f>
        <x:v>0</x:v>
      </x:c>
      <x:c r="F24" t="str">
        <x:f>Receitas!E24</x:f>
        <x:v>PLANTA MINERAL - LOCAÇÃO</x:v>
      </x:c>
      <x:c r="G24" s="4" t="n">
        <x:f>Receitas!F24</x:f>
        <x:v>46043</x:v>
      </x:c>
      <x:c r="H24" t="str">
        <x:f>Receitas!G24</x:f>
        <x:v>EUROCHEM SERRA DO SALITRE</x:v>
      </x:c>
      <x:c r="I24" t="str">
        <x:f>Receitas!H24</x:f>
        <x:v>1.1.3 - Locação de Equipamentos</x:v>
      </x:c>
      <x:c r="J24" s="5" t="n">
        <x:f>Receitas!I24</x:f>
        <x:v>32593.11</x:v>
      </x:c>
      <x:c r="K24" s="5" t="n">
        <x:f>SUM(Receitas!J24:P24)</x:f>
        <x:v>4833.558213</x:v>
      </x:c>
      <x:c r="L24" s="5" t="n">
        <x:f>Receitas!Q24</x:f>
        <x:v>27759.551787</x:v>
      </x:c>
      <x:c r="M24" s="5" t="n">
        <x:f>L24</x:f>
        <x:v>27759.551787</x:v>
      </x:c>
    </x:row>
    <x:row r="25">
      <x:c r="A25" t="str">
        <x:f>"Receita"</x:f>
        <x:v>Receita</x:v>
      </x:c>
      <x:c r="B25" t="str">
        <x:f>Receitas!A25</x:f>
        <x:v>SALITRE FERTILIZANTES LTDA</x:v>
      </x:c>
      <x:c r="C25" t="str">
        <x:f>Receitas!B25</x:f>
        <x:v>.87</x:v>
      </x:c>
      <x:c r="D25" t="str">
        <x:f>Receitas!C25</x:f>
        <x:v>015460</x:v>
      </x:c>
      <x:c r="E25" t="n">
        <x:f>Receitas!D25</x:f>
        <x:v>0</x:v>
      </x:c>
      <x:c r="F25" t="n">
        <x:f>Receitas!E25</x:f>
        <x:v>0</x:v>
      </x:c>
      <x:c r="G25" s="4" t="n">
        <x:f>Receitas!F25</x:f>
        <x:v>46043</x:v>
      </x:c>
      <x:c r="H25" t="str">
        <x:f>Receitas!G25</x:f>
        <x:v>EUROCHEM SERRA DO SALITRE</x:v>
      </x:c>
      <x:c r="I25" t="str">
        <x:f>Receitas!H25</x:f>
        <x:v>1.1.1 - Recebimento de Clientes - prestação de serviço</x:v>
      </x:c>
      <x:c r="J25" s="5" t="n">
        <x:f>Receitas!I25</x:f>
        <x:v>4761.7</x:v>
      </x:c>
      <x:c r="K25" s="5" t="n">
        <x:f>SUM(Receitas!J25:P25)</x:f>
        <x:v>944.2451100000001</x:v>
      </x:c>
      <x:c r="L25" s="5" t="n">
        <x:f>Receitas!Q25</x:f>
        <x:v>3817.45489</x:v>
      </x:c>
      <x:c r="M25" s="5" t="n">
        <x:f>L25</x:f>
        <x:v>3817.45489</x:v>
      </x:c>
    </x:row>
    <x:row r="26">
      <x:c r="A26" t="str">
        <x:f>"Receita"</x:f>
        <x:v>Receita</x:v>
      </x:c>
      <x:c r="B26" t="str">
        <x:f>Receitas!A26</x:f>
        <x:v>SALITRE FERTILIZANTES LTDA</x:v>
      </x:c>
      <x:c r="C26" t="str">
        <x:f>Receitas!B26</x:f>
        <x:v>.88</x:v>
      </x:c>
      <x:c r="D26" t="str">
        <x:f>Receitas!C26</x:f>
        <x:v>015462</x:v>
      </x:c>
      <x:c r="E26" t="n">
        <x:f>Receitas!D26</x:f>
        <x:v>0</x:v>
      </x:c>
      <x:c r="F26" t="n">
        <x:f>Receitas!E26</x:f>
        <x:v>0</x:v>
      </x:c>
      <x:c r="G26" s="4" t="n">
        <x:f>Receitas!F26</x:f>
        <x:v>46043</x:v>
      </x:c>
      <x:c r="H26" t="str">
        <x:f>Receitas!G26</x:f>
        <x:v>EUROCHEM SERRA DO SALITRE</x:v>
      </x:c>
      <x:c r="I26" t="str">
        <x:f>Receitas!H26</x:f>
        <x:v>1.1.1 - Recebimento de Clientes - prestação de serviço</x:v>
      </x:c>
      <x:c r="J26" s="5" t="n">
        <x:f>Receitas!I26</x:f>
        <x:v>10725.92</x:v>
      </x:c>
      <x:c r="K26" s="5" t="n">
        <x:f>SUM(Receitas!J26:P26)</x:f>
        <x:v>2126.949936</x:v>
      </x:c>
      <x:c r="L26" s="5" t="n">
        <x:f>Receitas!Q26</x:f>
        <x:v>8598.970064000001</x:v>
      </x:c>
      <x:c r="M26" s="5" t="n">
        <x:f>L26</x:f>
        <x:v>8598.970064000001</x:v>
      </x:c>
    </x:row>
    <x:row r="27">
      <x:c r="A27" t="str">
        <x:f>"Receita"</x:f>
        <x:v>Receita</x:v>
      </x:c>
      <x:c r="B27" t="str">
        <x:f>Receitas!A27</x:f>
        <x:v>SALITRE FERTILIZANTES LTDA</x:v>
      </x:c>
      <x:c r="C27" t="str">
        <x:f>Receitas!B27</x:f>
        <x:v>.89</x:v>
      </x:c>
      <x:c r="D27" t="str">
        <x:f>Receitas!C27</x:f>
        <x:v>015472</x:v>
      </x:c>
      <x:c r="E27" t="n">
        <x:f>Receitas!D27</x:f>
        <x:v>0</x:v>
      </x:c>
      <x:c r="F27" t="n">
        <x:f>Receitas!E27</x:f>
        <x:v>0</x:v>
      </x:c>
      <x:c r="G27" s="4" t="n">
        <x:f>Receitas!F27</x:f>
        <x:v>46043</x:v>
      </x:c>
      <x:c r="H27" t="str">
        <x:f>Receitas!G27</x:f>
        <x:v>EUROCHEM SERRA DO SALITRE</x:v>
      </x:c>
      <x:c r="I27" t="str">
        <x:f>Receitas!H27</x:f>
        <x:v>1.1.1 - Recebimento de Clientes - prestação de serviço</x:v>
      </x:c>
      <x:c r="J27" s="5" t="n">
        <x:f>Receitas!I27</x:f>
        <x:v>5516.16</x:v>
      </x:c>
      <x:c r="K27" s="5" t="n">
        <x:f>SUM(Receitas!J27:P27)</x:f>
        <x:v>1093.8545279999998</x:v>
      </x:c>
      <x:c r="L27" s="5" t="n">
        <x:f>Receitas!Q27</x:f>
        <x:v>4422.305472</x:v>
      </x:c>
      <x:c r="M27" s="5" t="n">
        <x:f>L27</x:f>
        <x:v>4422.305472</x:v>
      </x:c>
    </x:row>
    <x:row r="28">
      <x:c r="A28" t="str">
        <x:f>"Receita"</x:f>
        <x:v>Receita</x:v>
      </x:c>
      <x:c r="B28" t="str">
        <x:f>Receitas!A28</x:f>
        <x:v>SALITRE FERTILIZANTES LTDA</x:v>
      </x:c>
      <x:c r="C28" t="str">
        <x:f>Receitas!B28</x:f>
        <x:v>.90</x:v>
      </x:c>
      <x:c r="D28" t="str">
        <x:f>Receitas!C28</x:f>
        <x:v>015473</x:v>
      </x:c>
      <x:c r="E28" t="n">
        <x:f>Receitas!D28</x:f>
        <x:v>0</x:v>
      </x:c>
      <x:c r="F28" t="n">
        <x:f>Receitas!E28</x:f>
        <x:v>0</x:v>
      </x:c>
      <x:c r="G28" s="4" t="n">
        <x:f>Receitas!F28</x:f>
        <x:v>46043</x:v>
      </x:c>
      <x:c r="H28" t="str">
        <x:f>Receitas!G28</x:f>
        <x:v>EUROCHEM SERRA DO SALITRE</x:v>
      </x:c>
      <x:c r="I28" t="str">
        <x:f>Receitas!H28</x:f>
        <x:v>1.1.1 - Recebimento de Clientes - prestação de serviço</x:v>
      </x:c>
      <x:c r="J28" s="5" t="n">
        <x:f>Receitas!I28</x:f>
        <x:v>14528.97</x:v>
      </x:c>
      <x:c r="K28" s="5" t="n">
        <x:f>SUM(Receitas!J28:P28)</x:f>
        <x:v>2881.0947509999996</x:v>
      </x:c>
      <x:c r="L28" s="5" t="n">
        <x:f>Receitas!Q28</x:f>
        <x:v>11647.875249</x:v>
      </x:c>
      <x:c r="M28" s="5" t="n">
        <x:f>L28</x:f>
        <x:v>11647.875249</x:v>
      </x:c>
    </x:row>
    <x:row r="29">
      <x:c r="A29" t="str">
        <x:f>"Receita"</x:f>
        <x:v>Receita</x:v>
      </x:c>
      <x:c r="B29" t="str">
        <x:f>Receitas!A29</x:f>
        <x:v>SALITRE FERTILIZANTES LTDA</x:v>
      </x:c>
      <x:c r="C29" t="str">
        <x:f>Receitas!B29</x:f>
        <x:v>.91</x:v>
      </x:c>
      <x:c r="D29" t="str">
        <x:f>Receitas!C29</x:f>
        <x:v>015474</x:v>
      </x:c>
      <x:c r="E29" t="n">
        <x:f>Receitas!D29</x:f>
        <x:v>0</x:v>
      </x:c>
      <x:c r="F29" t="n">
        <x:f>Receitas!E29</x:f>
        <x:v>0</x:v>
      </x:c>
      <x:c r="G29" s="4" t="n">
        <x:f>Receitas!F29</x:f>
        <x:v>46043</x:v>
      </x:c>
      <x:c r="H29" t="str">
        <x:f>Receitas!G29</x:f>
        <x:v>EUROCHEM SERRA DO SALITRE</x:v>
      </x:c>
      <x:c r="I29" t="str">
        <x:f>Receitas!H29</x:f>
        <x:v>1.1.1 - Recebimento de Clientes - prestação de serviço</x:v>
      </x:c>
      <x:c r="J29" s="5" t="n">
        <x:f>Receitas!I29</x:f>
        <x:v>13677.4</x:v>
      </x:c>
      <x:c r="K29" s="5" t="n">
        <x:f>SUM(Receitas!J29:P29)</x:f>
        <x:v>2712.22842</x:v>
      </x:c>
      <x:c r="L29" s="5" t="n">
        <x:f>Receitas!Q29</x:f>
        <x:v>10965.17158</x:v>
      </x:c>
      <x:c r="M29" s="5" t="n">
        <x:f>L29</x:f>
        <x:v>10965.17158</x:v>
      </x:c>
    </x:row>
    <x:row r="30">
      <x:c r="A30" t="str">
        <x:f>"Receita"</x:f>
        <x:v>Receita</x:v>
      </x:c>
      <x:c r="B30" t="str">
        <x:f>Receitas!A30</x:f>
        <x:v>SALITRE FERTILIZANTES LTDA</x:v>
      </x:c>
      <x:c r="C30" t="str">
        <x:f>Receitas!B30</x:f>
        <x:v>.92</x:v>
      </x:c>
      <x:c r="D30" t="str">
        <x:f>Receitas!C30</x:f>
        <x:v>015475</x:v>
      </x:c>
      <x:c r="E30" t="n">
        <x:f>Receitas!D30</x:f>
        <x:v>0</x:v>
      </x:c>
      <x:c r="F30" t="n">
        <x:f>Receitas!E30</x:f>
        <x:v>0</x:v>
      </x:c>
      <x:c r="G30" s="4" t="n">
        <x:f>Receitas!F30</x:f>
        <x:v>46043</x:v>
      </x:c>
      <x:c r="H30" t="str">
        <x:f>Receitas!G30</x:f>
        <x:v>EUROCHEM SERRA DO SALITRE</x:v>
      </x:c>
      <x:c r="I30" t="str">
        <x:f>Receitas!H30</x:f>
        <x:v>1.1.1 - Recebimento de Clientes - prestação de serviço</x:v>
      </x:c>
      <x:c r="J30" s="5" t="n">
        <x:f>Receitas!I30</x:f>
        <x:v>28836.54</x:v>
      </x:c>
      <x:c r="K30" s="5" t="n">
        <x:f>SUM(Receitas!J30:P30)</x:f>
        <x:v>5718.285882000001</x:v>
      </x:c>
      <x:c r="L30" s="5" t="n">
        <x:f>Receitas!Q30</x:f>
        <x:v>23118.254118</x:v>
      </x:c>
      <x:c r="M30" s="5" t="n">
        <x:f>L30</x:f>
        <x:v>23118.254118</x:v>
      </x:c>
    </x:row>
    <x:row r="31">
      <x:c r="A31" t="str">
        <x:f>"Receita"</x:f>
        <x:v>Receita</x:v>
      </x:c>
      <x:c r="B31" t="str">
        <x:f>Receitas!A31</x:f>
        <x:v>SALITRE FERTILIZANTES LTDA</x:v>
      </x:c>
      <x:c r="C31" t="str">
        <x:f>Receitas!B31</x:f>
        <x:v>.93</x:v>
      </x:c>
      <x:c r="D31" t="str">
        <x:f>Receitas!C31</x:f>
        <x:v>015476</x:v>
      </x:c>
      <x:c r="E31" t="n">
        <x:f>Receitas!D31</x:f>
        <x:v>0</x:v>
      </x:c>
      <x:c r="F31" t="n">
        <x:f>Receitas!E31</x:f>
        <x:v>0</x:v>
      </x:c>
      <x:c r="G31" s="4" t="n">
        <x:f>Receitas!F31</x:f>
        <x:v>46043</x:v>
      </x:c>
      <x:c r="H31" t="str">
        <x:f>Receitas!G31</x:f>
        <x:v>EUROCHEM SERRA DO SALITRE</x:v>
      </x:c>
      <x:c r="I31" t="str">
        <x:f>Receitas!H31</x:f>
        <x:v>1.1.1 - Recebimento de Clientes - prestação de serviço</x:v>
      </x:c>
      <x:c r="J31" s="5" t="n">
        <x:f>Receitas!I31</x:f>
        <x:v>203016.89</x:v>
      </x:c>
      <x:c r="K31" s="5" t="n">
        <x:f>SUM(Receitas!J31:P31)</x:f>
        <x:v>40258.249287</x:v>
      </x:c>
      <x:c r="L31" s="5" t="n">
        <x:f>Receitas!Q31</x:f>
        <x:v>162758.64071300003</x:v>
      </x:c>
      <x:c r="M31" s="5" t="n">
        <x:f>L31</x:f>
        <x:v>162758.64071300003</x:v>
      </x:c>
    </x:row>
    <x:row r="32">
      <x:c r="A32" t="str">
        <x:f>"Receita"</x:f>
        <x:v>Receita</x:v>
      </x:c>
      <x:c r="B32" t="str">
        <x:f>Receitas!A32</x:f>
        <x:v>MOSAIC FERTILIZANTES DO BRASIL LTDA UBERABA ROTINA</x:v>
      </x:c>
      <x:c r="C32" t="str">
        <x:f>Receitas!B32</x:f>
        <x:v>.97</x:v>
      </x:c>
      <x:c r="D32" t="str">
        <x:f>Receitas!C32</x:f>
        <x:v>015813</x:v>
      </x:c>
      <x:c r="E32" t="n">
        <x:f>Receitas!D32</x:f>
        <x:v>0</x:v>
      </x:c>
      <x:c r="F32" t="n">
        <x:f>Receitas!E32</x:f>
        <x:v>0</x:v>
      </x:c>
      <x:c r="G32" s="4" t="n">
        <x:f>Receitas!F32</x:f>
        <x:v>46044</x:v>
      </x:c>
      <x:c r="H32" t="str">
        <x:f>Receitas!G32</x:f>
        <x:v>MOSAIC UBERABA CONTRAT0 3 ANOS</x:v>
      </x:c>
      <x:c r="I32" t="str">
        <x:f>Receitas!H32</x:f>
        <x:v>1.1.1 - Recebimento de Clientes - prestação de serviço</x:v>
      </x:c>
      <x:c r="J32" s="5" t="n">
        <x:f>Receitas!I32</x:f>
        <x:v>16372.78</x:v>
      </x:c>
      <x:c r="K32" s="5" t="n">
        <x:f>SUM(Receitas!J32:P32)</x:f>
        <x:v>3246.7222739999997</x:v>
      </x:c>
      <x:c r="L32" s="5" t="n">
        <x:f>Receitas!Q32</x:f>
        <x:v>13126.057726000001</x:v>
      </x:c>
      <x:c r="M32" s="5" t="n">
        <x:f>L32</x:f>
        <x:v>13126.057726000001</x:v>
      </x:c>
    </x:row>
    <x:row r="33">
      <x:c r="A33" t="str">
        <x:f>"Receita"</x:f>
        <x:v>Receita</x:v>
      </x:c>
      <x:c r="B33" t="str">
        <x:f>Receitas!A33</x:f>
        <x:v>SERRA VERDE PESQUISA E MINERAÇÃO LTDA</x:v>
      </x:c>
      <x:c r="C33" t="str">
        <x:f>Receitas!B33</x:f>
        <x:v>.94</x:v>
      </x:c>
      <x:c r="D33" t="str">
        <x:f>Receitas!C33</x:f>
        <x:v>015811</x:v>
      </x:c>
      <x:c r="E33" t="str">
        <x:f>Receitas!D33</x:f>
        <x:v>LOCAÇÃO - MAXIMA</x:v>
      </x:c>
      <x:c r="F33" t="str">
        <x:f>Receitas!E33</x:f>
        <x:v>ISS - 207,00</x:v>
      </x:c>
      <x:c r="G33" s="4" t="n">
        <x:f>Receitas!F33</x:f>
        <x:v>46045</x:v>
      </x:c>
      <x:c r="H33" t="str">
        <x:f>Receitas!G33</x:f>
        <x:v>CONTRATO 02 ANOS MINERAÇÃO SERRA VERDE</x:v>
      </x:c>
      <x:c r="I33" t="str">
        <x:f>Receitas!H33</x:f>
        <x:v>1.1.3 - Locação de Equipamentos</x:v>
      </x:c>
      <x:c r="J33" s="5" t="n">
        <x:f>Receitas!I33</x:f>
        <x:v>6900</x:v>
      </x:c>
      <x:c r="K33" s="5" t="n">
        <x:f>SUM(Receitas!J33:P33)</x:f>
        <x:v>1023.2700000000001</x:v>
      </x:c>
      <x:c r="L33" s="5" t="n">
        <x:f>Receitas!Q33</x:f>
        <x:v>5876.73</x:v>
      </x:c>
      <x:c r="M33" s="5" t="n">
        <x:f>L33</x:f>
        <x:v>5876.73</x:v>
      </x:c>
    </x:row>
    <x:row r="34">
      <x:c r="A34" t="str">
        <x:f>"Receita"</x:f>
        <x:v>Receita</x:v>
      </x:c>
      <x:c r="B34" t="str">
        <x:f>Receitas!A34</x:f>
        <x:v>MOSAIC FERTILIZANTES DO BRASIL LTDA UBERABA ROTINA</x:v>
      </x:c>
      <x:c r="C34" t="str">
        <x:f>Receitas!B34</x:f>
        <x:v>.95</x:v>
      </x:c>
      <x:c r="D34" t="str">
        <x:f>Receitas!C34</x:f>
        <x:v>015812</x:v>
      </x:c>
      <x:c r="E34" t="n">
        <x:f>Receitas!D34</x:f>
        <x:v>0</x:v>
      </x:c>
      <x:c r="F34" t="n">
        <x:f>Receitas!E34</x:f>
        <x:v>0</x:v>
      </x:c>
      <x:c r="G34" s="4" t="n">
        <x:f>Receitas!F34</x:f>
        <x:v>46045</x:v>
      </x:c>
      <x:c r="H34" t="str">
        <x:f>Receitas!G34</x:f>
        <x:v>MOSAIC UBERABA CONTRAT0 3 ANOS</x:v>
      </x:c>
      <x:c r="I34" t="str">
        <x:f>Receitas!H34</x:f>
        <x:v>1.1.1 - Recebimento de Clientes - prestação de serviço</x:v>
      </x:c>
      <x:c r="J34" s="5" t="n">
        <x:f>Receitas!I34</x:f>
        <x:v>184882.76</x:v>
      </x:c>
      <x:c r="K34" s="5" t="n">
        <x:f>SUM(Receitas!J34:P34)</x:f>
        <x:v>36662.251308</x:v>
      </x:c>
      <x:c r="L34" s="5" t="n">
        <x:f>Receitas!Q34</x:f>
        <x:v>148220.508692</x:v>
      </x:c>
      <x:c r="M34" s="5" t="n">
        <x:f>L34</x:f>
        <x:v>148220.508692</x:v>
      </x:c>
    </x:row>
    <x:row r="35">
      <x:c r="A35" t="str">
        <x:f>"Receita"</x:f>
        <x:v>Receita</x:v>
      </x:c>
      <x:c r="B35" t="str">
        <x:f>Receitas!A35</x:f>
        <x:v>MOSAIC FERTILIZANTES DO BRASIL LTDA UBERABA ROTINA</x:v>
      </x:c>
      <x:c r="C35" t="str">
        <x:f>Receitas!B35</x:f>
        <x:v>1359</x:v>
      </x:c>
      <x:c r="D35" t="str">
        <x:f>Receitas!C35</x:f>
        <x:v>015814</x:v>
      </x:c>
      <x:c r="E35" t="n">
        <x:f>Receitas!D35</x:f>
        <x:v>0</x:v>
      </x:c>
      <x:c r="F35" t="n">
        <x:f>Receitas!E35</x:f>
        <x:v>0</x:v>
      </x:c>
      <x:c r="G35" s="4" t="n">
        <x:f>Receitas!F35</x:f>
        <x:v>46049</x:v>
      </x:c>
      <x:c r="H35" t="str">
        <x:f>Receitas!G35</x:f>
        <x:v>MOSAIC UBERABA CONTRAT0 3 ANOS</x:v>
      </x:c>
      <x:c r="I35" t="str">
        <x:f>Receitas!H35</x:f>
        <x:v>1.1.2 - Venda Material</x:v>
      </x:c>
      <x:c r="J35" s="5" t="n">
        <x:f>Receitas!I35</x:f>
        <x:v>98934.87</x:v>
      </x:c>
      <x:c r="K35" s="5" t="n">
        <x:f>SUM(Receitas!J35:P35)</x:f>
        <x:v>25391.144721</x:v>
      </x:c>
      <x:c r="L35" s="5" t="n">
        <x:f>Receitas!Q35</x:f>
        <x:v>73543.72527899999</x:v>
      </x:c>
      <x:c r="M35" s="5" t="n">
        <x:f>L35</x:f>
        <x:v>73543.72527899999</x:v>
      </x:c>
    </x:row>
    <x:row r="36">
      <x:c r="A36" t="str">
        <x:f>"Receita"</x:f>
        <x:v>Receita</x:v>
      </x:c>
      <x:c r="B36" t="str">
        <x:f>Receitas!A36</x:f>
        <x:v>MOSAIC FERTILIZANTES DO BRASIL LTDA UBERABA ROTINA</x:v>
      </x:c>
      <x:c r="C36" t="str">
        <x:f>Receitas!B36</x:f>
        <x:v>1362</x:v>
      </x:c>
      <x:c r="D36" t="str">
        <x:f>Receitas!C36</x:f>
        <x:v>015920</x:v>
      </x:c>
      <x:c r="E36" t="n">
        <x:f>Receitas!D36</x:f>
        <x:v>0</x:v>
      </x:c>
      <x:c r="F36" t="str">
        <x:f>Receitas!E36</x:f>
        <x:v>PTC 0915-26</x:v>
      </x:c>
      <x:c r="G36" s="4" t="n">
        <x:f>Receitas!F36</x:f>
        <x:v>46052</x:v>
      </x:c>
      <x:c r="H36" t="str">
        <x:f>Receitas!G36</x:f>
        <x:v>MOSAIC UBERABA CONTRAT0 3 ANOS</x:v>
      </x:c>
      <x:c r="I36" t="str">
        <x:f>Receitas!H36</x:f>
        <x:v>1.1.2 - Venda Material</x:v>
      </x:c>
      <x:c r="J36" s="5" t="n">
        <x:f>Receitas!I36</x:f>
        <x:v>117090.43</x:v>
      </x:c>
      <x:c r="K36" s="5" t="n">
        <x:f>SUM(Receitas!J36:P36)</x:f>
        <x:v>30931.802269</x:v>
      </x:c>
      <x:c r="L36" s="5" t="n">
        <x:f>Receitas!Q36</x:f>
        <x:v>86158.62773099999</x:v>
      </x:c>
      <x:c r="M36" s="5" t="n">
        <x:f>L36</x:f>
        <x:v>86158.62773099999</x:v>
      </x:c>
    </x:row>
    <x:row r="37">
      <x:c r="A37" t="str">
        <x:f>"Receita"</x:f>
        <x:v>Receita</x:v>
      </x:c>
      <x:c r="B37" t="str">
        <x:f>Receitas!A37</x:f>
        <x:v>MOSAIC FERTILIZANTES DO BRASIL LTDA UBERABA ROTINA</x:v>
      </x:c>
      <x:c r="C37" t="str">
        <x:f>Receitas!B37</x:f>
        <x:v>1363</x:v>
      </x:c>
      <x:c r="D37" t="str">
        <x:f>Receitas!C37</x:f>
        <x:v>015921</x:v>
      </x:c>
      <x:c r="E37" t="n">
        <x:f>Receitas!D37</x:f>
        <x:v>0</x:v>
      </x:c>
      <x:c r="F37" t="str">
        <x:f>Receitas!E37</x:f>
        <x:v>PTC 0915-26</x:v>
      </x:c>
      <x:c r="G37" s="4" t="n">
        <x:f>Receitas!F37</x:f>
        <x:v>46052</x:v>
      </x:c>
      <x:c r="H37" t="str">
        <x:f>Receitas!G37</x:f>
        <x:v>MOSAIC UBERABA CONTRAT0 3 ANOS</x:v>
      </x:c>
      <x:c r="I37" t="str">
        <x:f>Receitas!H37</x:f>
        <x:v>1.1.2 - Venda Material</x:v>
      </x:c>
      <x:c r="J37" s="5" t="n">
        <x:f>Receitas!I37</x:f>
        <x:v>39909</x:v>
      </x:c>
      <x:c r="K37" s="5" t="n">
        <x:f>SUM(Receitas!J37:P37)</x:f>
        <x:v>10830.8847</x:v>
      </x:c>
      <x:c r="L37" s="5" t="n">
        <x:f>Receitas!Q37</x:f>
        <x:v>29078.115299999998</x:v>
      </x:c>
      <x:c r="M37" s="5" t="n">
        <x:f>L37</x:f>
        <x:v>29078.115299999998</x:v>
      </x:c>
    </x:row>
    <x:row r="38">
      <x:c r="A38" t="str">
        <x:f>"Despesa/Custo"</x:f>
        <x:v>Despesa/Custo</x:v>
      </x:c>
      <x:c r="B38" t="str">
        <x:f>Despesas!A2</x:f>
        <x:v>ALUGUEIS OBRAS</x:v>
      </x:c>
      <x:c r="C38" t="n">
        <x:f>Despesas!B2</x:f>
        <x:v>0</x:v>
      </x:c>
      <x:c r="D38" t="str">
        <x:f>Despesas!C2</x:f>
        <x:v>014345</x:v>
      </x:c>
      <x:c r="E38" t="str">
        <x:f>Despesas!D2</x:f>
        <x:v>R. 413 Nº 315 PORTAL NORTE  01-01 A 01-02-26</x:v>
      </x:c>
      <x:c r="F38" t="str">
        <x:f>Despesas!E2</x:f>
        <x:v>RAIMUNDA OLIVEIRA PIRES</x:v>
      </x:c>
      <x:c r="G38" s="4" t="n">
        <x:f>Despesas!F2</x:f>
        <x:v>46023</x:v>
      </x:c>
      <x:c r="H38" t="str">
        <x:f>Despesas!G2</x:f>
        <x:v>FOSFATO CMOC CONTRAT</x:v>
      </x:c>
      <x:c r="I38" t="str">
        <x:f>Despesas!H2</x:f>
        <x:v>5.3 - ALUGUEL ALOJAMENTO</x:v>
      </x:c>
      <x:c r="J38" s="5" t="n">
        <x:f>Despesas!I2</x:f>
        <x:v>850</x:v>
      </x:c>
      <x:c r="K38" s="5" t="n">
        <x:f>0</x:f>
        <x:v>0</x:v>
      </x:c>
      <x:c r="L38" s="5" t="n">
        <x:f>Despesas!I2</x:f>
        <x:v>850</x:v>
      </x:c>
      <x:c r="M38" s="5" t="n">
        <x:f>-J38</x:f>
        <x:v>-850</x:v>
      </x:c>
    </x:row>
    <x:row r="39">
      <x:c r="A39" t="str">
        <x:f>"Despesa/Custo"</x:f>
        <x:v>Despesa/Custo</x:v>
      </x:c>
      <x:c r="B39" t="str">
        <x:f>Despesas!A3</x:f>
        <x:v>ALUGUEIS OBRAS</x:v>
      </x:c>
      <x:c r="C39" t="n">
        <x:f>Despesas!B3</x:f>
        <x:v>0</x:v>
      </x:c>
      <x:c r="D39" t="str">
        <x:f>Despesas!C3</x:f>
        <x:v>014346</x:v>
      </x:c>
      <x:c r="E39" t="str">
        <x:f>Despesas!D3</x:f>
        <x:v>R. 402 Nº 916 BAIRRO PORTAL NORTE / 01-01 A 01-02</x:v>
      </x:c>
      <x:c r="F39" t="str">
        <x:f>Despesas!E3</x:f>
        <x:v>MARÇAL IMOVEIS - PIX  01.552.006/0001-34</x:v>
      </x:c>
      <x:c r="G39" s="4" t="n">
        <x:f>Despesas!F3</x:f>
        <x:v>46023</x:v>
      </x:c>
      <x:c r="H39" t="str">
        <x:f>Despesas!G3</x:f>
        <x:v>FOSFATO CMOC CONTRAT</x:v>
      </x:c>
      <x:c r="I39" t="str">
        <x:f>Despesas!H3</x:f>
        <x:v>5.3 - ALUGUEL ALOJAMENTO</x:v>
      </x:c>
      <x:c r="J39" s="5" t="n">
        <x:f>Despesas!I3</x:f>
        <x:v>1100</x:v>
      </x:c>
      <x:c r="K39" s="5" t="n">
        <x:f>0</x:f>
        <x:v>0</x:v>
      </x:c>
      <x:c r="L39" s="5" t="n">
        <x:f>Despesas!I3</x:f>
        <x:v>1100</x:v>
      </x:c>
      <x:c r="M39" s="5" t="n">
        <x:f>-J39</x:f>
        <x:v>-1100</x:v>
      </x:c>
    </x:row>
    <x:row r="40">
      <x:c r="A40" t="str">
        <x:f>"Despesa/Custo"</x:f>
        <x:v>Despesa/Custo</x:v>
      </x:c>
      <x:c r="B40" t="str">
        <x:f>Despesas!A4</x:f>
        <x:v>ALUGUEIS OBRAS</x:v>
      </x:c>
      <x:c r="C40" t="n">
        <x:f>Despesas!B4</x:f>
        <x:v>0</x:v>
      </x:c>
      <x:c r="D40" t="str">
        <x:f>Despesas!C4</x:f>
        <x:v>014347</x:v>
      </x:c>
      <x:c r="E40" t="str">
        <x:f>Despesas!D4</x:f>
        <x:v>RUA 02 Nº 44 / SOCIETY 01.01 A 01.02</x:v>
      </x:c>
      <x:c r="F40" t="str">
        <x:f>Despesas!E4</x:f>
        <x:v>MARLI XAVIER - PIX (64) 9 8110-5610</x:v>
      </x:c>
      <x:c r="G40" s="4" t="n">
        <x:f>Despesas!F4</x:f>
        <x:v>46023</x:v>
      </x:c>
      <x:c r="H40" t="str">
        <x:f>Despesas!G4</x:f>
        <x:v>NIOBIO CMOC CONTRATO</x:v>
      </x:c>
      <x:c r="I40" t="str">
        <x:f>Despesas!H4</x:f>
        <x:v>5.3 - ALUGUEL ALOJAMENTO</x:v>
      </x:c>
      <x:c r="J40" s="5" t="n">
        <x:f>Despesas!I4</x:f>
        <x:v>1200</x:v>
      </x:c>
      <x:c r="K40" s="5" t="n">
        <x:f>0</x:f>
        <x:v>0</x:v>
      </x:c>
      <x:c r="L40" s="5" t="n">
        <x:f>Despesas!I4</x:f>
        <x:v>1200</x:v>
      </x:c>
      <x:c r="M40" s="5" t="n">
        <x:f>-J40</x:f>
        <x:v>-1200</x:v>
      </x:c>
    </x:row>
    <x:row r="41">
      <x:c r="A41" t="str">
        <x:f>"Despesa/Custo"</x:f>
        <x:v>Despesa/Custo</x:v>
      </x:c>
      <x:c r="B41" t="str">
        <x:f>Despesas!A5</x:f>
        <x:v>ALUGUEIS OBRAS</x:v>
      </x:c>
      <x:c r="C41" t="n">
        <x:f>Despesas!B5</x:f>
        <x:v>0</x:v>
      </x:c>
      <x:c r="D41" t="str">
        <x:f>Despesas!C5</x:f>
        <x:v>014349</x:v>
      </x:c>
      <x:c r="E41" t="str">
        <x:f>Despesas!D5</x:f>
        <x:v>RUA 419 Nº 85 BAIRRO PORTAL NORTE REF. 01/01 A 01/02</x:v>
      </x:c>
      <x:c r="F41" t="str">
        <x:f>Despesas!E5</x:f>
        <x:v>MAGRET GEISE ALVES - PIX 903.633.298-20</x:v>
      </x:c>
      <x:c r="G41" s="4" t="n">
        <x:f>Despesas!F5</x:f>
        <x:v>46023</x:v>
      </x:c>
      <x:c r="H41" t="str">
        <x:f>Despesas!G5</x:f>
        <x:v>NIOBIO CMOC CONTRATO</x:v>
      </x:c>
      <x:c r="I41" t="str">
        <x:f>Despesas!H5</x:f>
        <x:v>5.3 - ALUGUEL ALOJAMENTO</x:v>
      </x:c>
      <x:c r="J41" s="5" t="n">
        <x:f>Despesas!I5</x:f>
        <x:v>1000</x:v>
      </x:c>
      <x:c r="K41" s="5" t="n">
        <x:f>0</x:f>
        <x:v>0</x:v>
      </x:c>
      <x:c r="L41" s="5" t="n">
        <x:f>Despesas!I5</x:f>
        <x:v>1000</x:v>
      </x:c>
      <x:c r="M41" s="5" t="n">
        <x:f>-J41</x:f>
        <x:v>-1000</x:v>
      </x:c>
    </x:row>
    <x:row r="42">
      <x:c r="A42" t="str">
        <x:f>"Despesa/Custo"</x:f>
        <x:v>Despesa/Custo</x:v>
      </x:c>
      <x:c r="B42" t="str">
        <x:f>Despesas!A6</x:f>
        <x:v>ALUGUEIS OBRAS</x:v>
      </x:c>
      <x:c r="C42" t="n">
        <x:f>Despesas!B6</x:f>
        <x:v>0</x:v>
      </x:c>
      <x:c r="D42" t="str">
        <x:f>Despesas!C6</x:f>
        <x:v>014350</x:v>
      </x:c>
      <x:c r="E42" t="str">
        <x:f>Despesas!D6</x:f>
        <x:v>AV. BRASIL, POVOADO SOUZALANDIA</x:v>
      </x:c>
      <x:c r="F42" t="str">
        <x:f>Despesas!E6</x:f>
        <x:v>AMAURI RODRIGUES DA COSTA - ITAÚ 4379/00365424</x:v>
      </x:c>
      <x:c r="G42" s="4" t="n">
        <x:f>Despesas!F6</x:f>
        <x:v>46023</x:v>
      </x:c>
      <x:c r="H42" t="str">
        <x:f>Despesas!G6</x:f>
        <x:v>CANTEIRO SOUZALANDIA</x:v>
      </x:c>
      <x:c r="I42" t="str">
        <x:f>Despesas!H6</x:f>
        <x:v>5.3 - ALUGUEL ALOJAMENTO</x:v>
      </x:c>
      <x:c r="J42" s="5" t="n">
        <x:f>Despesas!I6</x:f>
        <x:v>2000</x:v>
      </x:c>
      <x:c r="K42" s="5" t="n">
        <x:f>0</x:f>
        <x:v>0</x:v>
      </x:c>
      <x:c r="L42" s="5" t="n">
        <x:f>Despesas!I6</x:f>
        <x:v>2000</x:v>
      </x:c>
      <x:c r="M42" s="5" t="n">
        <x:f>-J42</x:f>
        <x:v>-2000</x:v>
      </x:c>
    </x:row>
    <x:row r="43">
      <x:c r="A43" t="str">
        <x:f>"Despesa/Custo"</x:f>
        <x:v>Despesa/Custo</x:v>
      </x:c>
      <x:c r="B43" t="str">
        <x:f>Despesas!A7</x:f>
        <x:v>ALUGUEIS OBRAS</x:v>
      </x:c>
      <x:c r="C43" t="n">
        <x:f>Despesas!B7</x:f>
        <x:v>0</x:v>
      </x:c>
      <x:c r="D43" t="str">
        <x:f>Despesas!C7</x:f>
        <x:v>014351</x:v>
      </x:c>
      <x:c r="E43" t="str">
        <x:f>Despesas!D7</x:f>
        <x:v>AV. BRASIL, POVOADO SOUZALANDIA</x:v>
      </x:c>
      <x:c r="F43" t="str">
        <x:f>Despesas!E7</x:f>
        <x:v>DELVONE RODRIGUES DA COSTA - CAIXA 2281/7817491</x:v>
      </x:c>
      <x:c r="G43" s="4" t="n">
        <x:f>Despesas!F7</x:f>
        <x:v>46023</x:v>
      </x:c>
      <x:c r="H43" t="str">
        <x:f>Despesas!G7</x:f>
        <x:v>CANTEIRO SOUZALANDIA</x:v>
      </x:c>
      <x:c r="I43" t="str">
        <x:f>Despesas!H7</x:f>
        <x:v>5.3 - ALUGUEL ALOJAMENTO</x:v>
      </x:c>
      <x:c r="J43" s="5" t="n">
        <x:f>Despesas!I7</x:f>
        <x:v>2000</x:v>
      </x:c>
      <x:c r="K43" s="5" t="n">
        <x:f>0</x:f>
        <x:v>0</x:v>
      </x:c>
      <x:c r="L43" s="5" t="n">
        <x:f>Despesas!I7</x:f>
        <x:v>2000</x:v>
      </x:c>
      <x:c r="M43" s="5" t="n">
        <x:f>-J43</x:f>
        <x:v>-2000</x:v>
      </x:c>
    </x:row>
    <x:row r="44">
      <x:c r="A44" t="str">
        <x:f>"Despesa/Custo"</x:f>
        <x:v>Despesa/Custo</x:v>
      </x:c>
      <x:c r="B44" t="str">
        <x:f>Despesas!A8</x:f>
        <x:v>HAPVIDA ASSISTENCIA MEDICA S.A.</x:v>
      </x:c>
      <x:c r="C44" t="str">
        <x:f>Despesas!B8</x:f>
        <x:v>81439854</x:v>
      </x:c>
      <x:c r="D44" t="str">
        <x:f>Despesas!C8</x:f>
        <x:v>015194</x:v>
      </x:c>
      <x:c r="E44" t="str">
        <x:f>Despesas!D8</x:f>
        <x:v>PLANO SAÚDE REF. MÊS 01/26</x:v>
      </x:c>
      <x:c r="F44" t="str">
        <x:f>Despesas!E8</x:f>
        <x:v>VENCIMENTO ORIGINAL DO BOLETO 25/01/26</x:v>
      </x:c>
      <x:c r="G44" s="4" t="n">
        <x:f>Despesas!F8</x:f>
        <x:v>46023</x:v>
      </x:c>
      <x:c r="H44" t="str">
        <x:f>Despesas!G8</x:f>
        <x:v>VLI PINTURA</x:v>
      </x:c>
      <x:c r="I44" t="str">
        <x:f>Despesas!H8</x:f>
        <x:v>12.10 - PLANO DE SAUDE</x:v>
      </x:c>
      <x:c r="J44" s="5" t="n">
        <x:f>Despesas!I8</x:f>
        <x:v>10410.12</x:v>
      </x:c>
      <x:c r="K44" s="5" t="n">
        <x:f>0</x:f>
        <x:v>0</x:v>
      </x:c>
      <x:c r="L44" s="5" t="n">
        <x:f>Despesas!I8</x:f>
        <x:v>10410.12</x:v>
      </x:c>
      <x:c r="M44" s="5" t="n">
        <x:f>-J44</x:f>
        <x:v>-10410.12</x:v>
      </x:c>
    </x:row>
    <x:row r="45">
      <x:c r="A45" t="str">
        <x:f>"Despesa/Custo"</x:f>
        <x:v>Despesa/Custo</x:v>
      </x:c>
      <x:c r="B45" t="str">
        <x:f>Despesas!A9</x:f>
        <x:v>V A PINT LOCAÇOES SERVIÇOS E PINTURA LTDA</x:v>
      </x:c>
      <x:c r="C45" t="str">
        <x:f>Despesas!B9</x:f>
        <x:v>2741</x:v>
      </x:c>
      <x:c r="D45" t="str">
        <x:f>Despesas!C9</x:f>
        <x:v>015247</x:v>
      </x:c>
      <x:c r="E45" t="str">
        <x:f>Despesas!D9</x:f>
        <x:v>LOCAÇÃO COMPRESSOR REF. 06-12 A 19-12</x:v>
      </x:c>
      <x:c r="F45" t="str">
        <x:f>Despesas!E9</x:f>
        <x:v>BOLETO</x:v>
      </x:c>
      <x:c r="G45" s="4" t="n">
        <x:f>Despesas!F9</x:f>
        <x:v>46023</x:v>
      </x:c>
      <x:c r="H45" t="str">
        <x:f>Despesas!G9</x:f>
        <x:v>VLI PINTURA</x:v>
      </x:c>
      <x:c r="I45" t="str">
        <x:f>Despesas!H9</x:f>
        <x:v>7.2 - LOCAÇÃO COMPRESSORES</x:v>
      </x:c>
      <x:c r="J45" s="5" t="n">
        <x:f>Despesas!I9</x:f>
        <x:v>7428.72</x:v>
      </x:c>
      <x:c r="K45" s="5" t="n">
        <x:f>0</x:f>
        <x:v>0</x:v>
      </x:c>
      <x:c r="L45" s="5" t="n">
        <x:f>Despesas!I9</x:f>
        <x:v>7428.72</x:v>
      </x:c>
      <x:c r="M45" s="5" t="n">
        <x:f>-J45</x:f>
        <x:v>-7428.72</x:v>
      </x:c>
    </x:row>
    <x:row r="46">
      <x:c r="A46" t="str">
        <x:f>"Despesa/Custo"</x:f>
        <x:v>Despesa/Custo</x:v>
      </x:c>
      <x:c r="B46" t="str">
        <x:f>Despesas!A10</x:f>
        <x:v>AMO ASSESSORIA MEDICA OCUPACIONAL LTDA</x:v>
      </x:c>
      <x:c r="C46" t="str">
        <x:f>Despesas!B10</x:f>
        <x:v>19298</x:v>
      </x:c>
      <x:c r="D46" t="str">
        <x:f>Despesas!C10</x:f>
        <x:v>015294</x:v>
      </x:c>
      <x:c r="E46" t="str">
        <x:f>Despesas!D10</x:f>
        <x:v>EXAMES LABORAES</x:v>
      </x:c>
      <x:c r="F46" t="n">
        <x:f>Despesas!E10</x:f>
        <x:v>0</x:v>
      </x:c>
      <x:c r="G46" s="4" t="n">
        <x:f>Despesas!F10</x:f>
        <x:v>46023</x:v>
      </x:c>
      <x:c r="H46" t="str">
        <x:f>Despesas!G10</x:f>
        <x:v>MOSAIC UBERABA CONTRAT0 3 ANOS</x:v>
      </x:c>
      <x:c r="I46" t="str">
        <x:f>Despesas!H10</x:f>
        <x:v>14.1 - EXAMES</x:v>
      </x:c>
      <x:c r="J46" s="5" t="n">
        <x:f>Despesas!I10</x:f>
        <x:v>2221.49</x:v>
      </x:c>
      <x:c r="K46" s="5" t="n">
        <x:f>0</x:f>
        <x:v>0</x:v>
      </x:c>
      <x:c r="L46" s="5" t="n">
        <x:f>Despesas!I10</x:f>
        <x:v>2221.49</x:v>
      </x:c>
      <x:c r="M46" s="5" t="n">
        <x:f>-J46</x:f>
        <x:v>-2221.49</x:v>
      </x:c>
    </x:row>
    <x:row r="47">
      <x:c r="A47" t="str">
        <x:f>"Despesa/Custo"</x:f>
        <x:v>Despesa/Custo</x:v>
      </x:c>
      <x:c r="B47" t="str">
        <x:f>Despesas!A11</x:f>
        <x:v>MATA FOME REFEICAO COLETIVA LTDA</x:v>
      </x:c>
      <x:c r="C47" t="str">
        <x:f>Despesas!B11</x:f>
        <x:v>205</x:v>
      </x:c>
      <x:c r="D47" t="str">
        <x:f>Despesas!C11</x:f>
        <x:v>015323</x:v>
      </x:c>
      <x:c r="E47" t="str">
        <x:f>Despesas!D11</x:f>
        <x:v>REFEIÇÃO QUINZENAL VLI</x:v>
      </x:c>
      <x:c r="F47" t="str">
        <x:f>Despesas!E11</x:f>
        <x:v>Chave PIX: 57730611000102</x:v>
      </x:c>
      <x:c r="G47" s="4" t="n">
        <x:f>Despesas!F11</x:f>
        <x:v>46023</x:v>
      </x:c>
      <x:c r="H47" t="str">
        <x:f>Despesas!G11</x:f>
        <x:v>VLI PINTURA</x:v>
      </x:c>
      <x:c r="I47" t="str">
        <x:f>Despesas!H11</x:f>
        <x:v>12.5 - REFEIÇÕES FUNCIONARIOS</x:v>
      </x:c>
      <x:c r="J47" s="5" t="n">
        <x:f>Despesas!I11</x:f>
        <x:v>1908</x:v>
      </x:c>
      <x:c r="K47" s="5" t="n">
        <x:f>0</x:f>
        <x:v>0</x:v>
      </x:c>
      <x:c r="L47" s="5" t="n">
        <x:f>Despesas!I11</x:f>
        <x:v>1908</x:v>
      </x:c>
      <x:c r="M47" s="5" t="n">
        <x:f>-J47</x:f>
        <x:v>-1908</x:v>
      </x:c>
    </x:row>
    <x:row r="48">
      <x:c r="A48" t="str">
        <x:f>"Despesa/Custo"</x:f>
        <x:v>Despesa/Custo</x:v>
      </x:c>
      <x:c r="B48" t="str">
        <x:f>Despesas!A12</x:f>
        <x:v>ZEQUINHA BORDADOS LTDA</x:v>
      </x:c>
      <x:c r="C48" t="str">
        <x:f>Despesas!B12</x:f>
        <x:v>28</x:v>
      </x:c>
      <x:c r="D48" t="str">
        <x:f>Despesas!C12</x:f>
        <x:v>015346</x:v>
      </x:c>
      <x:c r="E48" t="str">
        <x:f>Despesas!D12</x:f>
        <x:v>BORDADO ZEQUINHA UNIFOMES ADM</x:v>
      </x:c>
      <x:c r="F48" t="n">
        <x:f>Despesas!E12</x:f>
        <x:v>0</x:v>
      </x:c>
      <x:c r="G48" s="4" t="n">
        <x:f>Despesas!F12</x:f>
        <x:v>46023</x:v>
      </x:c>
      <x:c r="H48" t="str">
        <x:f>Despesas!G12</x:f>
        <x:v>ADMINISTRATIVO</x:v>
      </x:c>
      <x:c r="I48" t="str">
        <x:f>Despesas!H12</x:f>
        <x:v>13.2 - UNIFORMES</x:v>
      </x:c>
      <x:c r="J48" s="5" t="n">
        <x:f>Despesas!I12</x:f>
        <x:v>156.8</x:v>
      </x:c>
      <x:c r="K48" s="5" t="n">
        <x:f>0</x:f>
        <x:v>0</x:v>
      </x:c>
      <x:c r="L48" s="5" t="n">
        <x:f>Despesas!I12</x:f>
        <x:v>156.8</x:v>
      </x:c>
      <x:c r="M48" s="5" t="n">
        <x:f>-J48</x:f>
        <x:v>-156.8</x:v>
      </x:c>
    </x:row>
    <x:row r="49">
      <x:c r="A49" t="str">
        <x:f>"Despesa/Custo"</x:f>
        <x:v>Despesa/Custo</x:v>
      </x:c>
      <x:c r="B49" t="str">
        <x:f>Despesas!A13</x:f>
        <x:v>AQUARELA LANCHONETE E CONVENIENCIA LTDA</x:v>
      </x:c>
      <x:c r="C49" t="str">
        <x:f>Despesas!B13</x:f>
        <x:v>1167</x:v>
      </x:c>
      <x:c r="D49" t="str">
        <x:f>Despesas!C13</x:f>
        <x:v>015355</x:v>
      </x:c>
      <x:c r="E49" t="str">
        <x:f>Despesas!D13</x:f>
        <x:v>AQUARELA LANCHONETE - PIX 09.327.589/0001-01</x:v>
      </x:c>
      <x:c r="F49" t="str">
        <x:f>Despesas!E13</x:f>
        <x:v>REFEIÇÃO AABA REF. MES 12-2025</x:v>
      </x:c>
      <x:c r="G49" s="4" t="n">
        <x:f>Despesas!F13</x:f>
        <x:v>46023</x:v>
      </x:c>
      <x:c r="H49" t="str">
        <x:f>Despesas!G13</x:f>
        <x:v>ANGLO AMERICAN</x:v>
      </x:c>
      <x:c r="I49" t="str">
        <x:f>Despesas!H13</x:f>
        <x:v>12.5 - REFEIÇÕES FUNCIONARIOS</x:v>
      </x:c>
      <x:c r="J49" s="5" t="n">
        <x:f>Despesas!I13</x:f>
        <x:v>1200</x:v>
      </x:c>
      <x:c r="K49" s="5" t="n">
        <x:f>0</x:f>
        <x:v>0</x:v>
      </x:c>
      <x:c r="L49" s="5" t="n">
        <x:f>Despesas!I13</x:f>
        <x:v>1200</x:v>
      </x:c>
      <x:c r="M49" s="5" t="n">
        <x:f>-J49</x:f>
        <x:v>-1200</x:v>
      </x:c>
    </x:row>
    <x:row r="50">
      <x:c r="A50" t="str">
        <x:f>"Despesa/Custo"</x:f>
        <x:v>Despesa/Custo</x:v>
      </x:c>
      <x:c r="B50" t="str">
        <x:f>Despesas!A14</x:f>
        <x:v>THIAGO DE CASTRO VIEIRA</x:v>
      </x:c>
      <x:c r="C50" t="str">
        <x:f>Despesas!B14</x:f>
        <x:v>20997 / 01</x:v>
      </x:c>
      <x:c r="D50" t="str">
        <x:f>Despesas!C14</x:f>
        <x:v>014990</x:v>
      </x:c>
      <x:c r="E50" t="str">
        <x:f>Despesas!D14</x:f>
        <x:v>COMBUSTÍVEL VEÍCULOS</x:v>
      </x:c>
      <x:c r="F50" t="str">
        <x:f>Despesas!E14</x:f>
        <x:v>VENCIMENTO ORIGINAL DO BOLETO 10/01/26</x:v>
      </x:c>
      <x:c r="G50" s="4" t="n">
        <x:f>Despesas!F14</x:f>
        <x:v>46024</x:v>
      </x:c>
      <x:c r="H50" t="str">
        <x:f>Despesas!G14</x:f>
        <x:v>EUROCHEM SERRA DO SALITRE</x:v>
      </x:c>
      <x:c r="I50" t="str">
        <x:f>Despesas!H14</x:f>
        <x:v>6.4 - COMBUSTIVEL VEICULOS</x:v>
      </x:c>
      <x:c r="J50" s="5" t="n">
        <x:f>Despesas!I14</x:f>
        <x:v>1443.6</x:v>
      </x:c>
      <x:c r="K50" s="5" t="n">
        <x:f>0</x:f>
        <x:v>0</x:v>
      </x:c>
      <x:c r="L50" s="5" t="n">
        <x:f>Despesas!I14</x:f>
        <x:v>1443.6</x:v>
      </x:c>
      <x:c r="M50" s="5" t="n">
        <x:f>-J50</x:f>
        <x:v>-1443.6</x:v>
      </x:c>
    </x:row>
    <x:row r="51">
      <x:c r="A51" t="str">
        <x:f>"Despesa/Custo"</x:f>
        <x:v>Despesa/Custo</x:v>
      </x:c>
      <x:c r="B51" t="str">
        <x:f>Despesas!A15</x:f>
        <x:v>THIAGO DE CASTRO VIEIRA</x:v>
      </x:c>
      <x:c r="C51" t="str">
        <x:f>Despesas!B15</x:f>
        <x:v>20997 / 02</x:v>
      </x:c>
      <x:c r="D51" t="str">
        <x:f>Despesas!C15</x:f>
        <x:v>014991</x:v>
      </x:c>
      <x:c r="E51" t="str">
        <x:f>Despesas!D15</x:f>
        <x:v>COMBUSTÍVEL EQUIPAMENTOS</x:v>
      </x:c>
      <x:c r="F51" t="str">
        <x:f>Despesas!E15</x:f>
        <x:v>VENCIMENTO ORIGINAL DO BOLETO 10/01/26</x:v>
      </x:c>
      <x:c r="G51" s="4" t="n">
        <x:f>Despesas!F15</x:f>
        <x:v>46024</x:v>
      </x:c>
      <x:c r="H51" t="str">
        <x:f>Despesas!G15</x:f>
        <x:v>EUROCHEM SERRA DO SALITRE</x:v>
      </x:c>
      <x:c r="I51" t="str">
        <x:f>Despesas!H15</x:f>
        <x:v>8.13 - COMBUSTIVEL EQUIPAMENTOS</x:v>
      </x:c>
      <x:c r="J51" s="5" t="n">
        <x:f>Despesas!I15</x:f>
        <x:v>1039.19</x:v>
      </x:c>
      <x:c r="K51" s="5" t="n">
        <x:f>0</x:f>
        <x:v>0</x:v>
      </x:c>
      <x:c r="L51" s="5" t="n">
        <x:f>Despesas!I15</x:f>
        <x:v>1039.19</x:v>
      </x:c>
      <x:c r="M51" s="5" t="n">
        <x:f>-J51</x:f>
        <x:v>-1039.19</x:v>
      </x:c>
    </x:row>
    <x:row r="52">
      <x:c r="A52" t="str">
        <x:f>"Despesa/Custo"</x:f>
        <x:v>Despesa/Custo</x:v>
      </x:c>
      <x:c r="B52" t="str">
        <x:f>Despesas!A16</x:f>
        <x:v>RESCISOES / FGTS</x:v>
      </x:c>
      <x:c r="C52" t="n">
        <x:f>Despesas!B16</x:f>
        <x:v>0</x:v>
      </x:c>
      <x:c r="D52" t="str">
        <x:f>Despesas!C16</x:f>
        <x:v>015061</x:v>
      </x:c>
      <x:c r="E52" t="str">
        <x:f>Despesas!D16</x:f>
        <x:v>WICLIFF NOGUEIRA DO NASCIMENTO</x:v>
      </x:c>
      <x:c r="F52" t="str">
        <x:f>Despesas!E16</x:f>
        <x:v>MULTA RESCISÓRIA</x:v>
      </x:c>
      <x:c r="G52" s="4" t="n">
        <x:f>Despesas!F16</x:f>
        <x:v>46024</x:v>
      </x:c>
      <x:c r="H52" t="str">
        <x:f>Despesas!G16</x:f>
        <x:v>FOSFATO CMOC CONTRAT</x:v>
      </x:c>
      <x:c r="I52" t="str">
        <x:f>Despesas!H16</x:f>
        <x:v>12.4 - MULTA RESCISORIAS FGTS</x:v>
      </x:c>
      <x:c r="J52" s="5" t="n">
        <x:f>Despesas!I16</x:f>
        <x:v>2041.25</x:v>
      </x:c>
      <x:c r="K52" s="5" t="n">
        <x:f>0</x:f>
        <x:v>0</x:v>
      </x:c>
      <x:c r="L52" s="5" t="n">
        <x:f>Despesas!I16</x:f>
        <x:v>2041.25</x:v>
      </x:c>
      <x:c r="M52" s="5" t="n">
        <x:f>-J52</x:f>
        <x:v>-2041.25</x:v>
      </x:c>
    </x:row>
    <x:row r="53">
      <x:c r="A53" t="str">
        <x:f>"Despesa/Custo"</x:f>
        <x:v>Despesa/Custo</x:v>
      </x:c>
      <x:c r="B53" t="str">
        <x:f>Despesas!A17</x:f>
        <x:v>RESCISOES / FGTS</x:v>
      </x:c>
      <x:c r="C53" t="n">
        <x:f>Despesas!B17</x:f>
        <x:v>0</x:v>
      </x:c>
      <x:c r="D53" t="str">
        <x:f>Despesas!C17</x:f>
        <x:v>015065</x:v>
      </x:c>
      <x:c r="E53" t="str">
        <x:f>Despesas!D17</x:f>
        <x:v>JOSE MARCELO GOMES DE QUEIROZ</x:v>
      </x:c>
      <x:c r="F53" t="str">
        <x:f>Despesas!E17</x:f>
        <x:v>MULTA RESCISÓRIA</x:v>
      </x:c>
      <x:c r="G53" s="4" t="n">
        <x:f>Despesas!F17</x:f>
        <x:v>46024</x:v>
      </x:c>
      <x:c r="H53" t="str">
        <x:f>Despesas!G17</x:f>
        <x:v>MOSAIC UBERABA CONTRAT0 3 ANOS</x:v>
      </x:c>
      <x:c r="I53" t="str">
        <x:f>Despesas!H17</x:f>
        <x:v>12.4 - MULTA RESCISORIAS FGTS</x:v>
      </x:c>
      <x:c r="J53" s="5" t="n">
        <x:f>Despesas!I17</x:f>
        <x:v>1031.2</x:v>
      </x:c>
      <x:c r="K53" s="5" t="n">
        <x:f>0</x:f>
        <x:v>0</x:v>
      </x:c>
      <x:c r="L53" s="5" t="n">
        <x:f>Despesas!I17</x:f>
        <x:v>1031.2</x:v>
      </x:c>
      <x:c r="M53" s="5" t="n">
        <x:f>-J53</x:f>
        <x:v>-1031.2</x:v>
      </x:c>
    </x:row>
    <x:row r="54">
      <x:c r="A54" t="str">
        <x:f>"Despesa/Custo"</x:f>
        <x:v>Despesa/Custo</x:v>
      </x:c>
      <x:c r="B54" t="str">
        <x:f>Despesas!A18</x:f>
        <x:v>REDE MAQUINAS COMERCIO E SERVIÇOS DE MAQUINAS</x:v>
      </x:c>
      <x:c r="C54" t="str">
        <x:f>Despesas!B18</x:f>
        <x:v>33172</x:v>
      </x:c>
      <x:c r="D54" t="str">
        <x:f>Despesas!C18</x:f>
        <x:v>015105</x:v>
      </x:c>
      <x:c r="E54" t="str">
        <x:f>Despesas!D18</x:f>
        <x:v>LOCAÇÃO CONTAINER REF. 29/12 A 27/01</x:v>
      </x:c>
      <x:c r="F54" t="str">
        <x:f>Despesas!E18</x:f>
        <x:v>VENCIMENTO ORIGINAL DO BOLETO 01/02/26</x:v>
      </x:c>
      <x:c r="G54" s="4" t="n">
        <x:f>Despesas!F18</x:f>
        <x:v>46024</x:v>
      </x:c>
      <x:c r="H54" t="str">
        <x:f>Despesas!G18</x:f>
        <x:v>SERENA 10 TORRES 2025</x:v>
      </x:c>
      <x:c r="I54" t="str">
        <x:f>Despesas!H18</x:f>
        <x:v>7.6 - LOCAÇÃO CONTAINER</x:v>
      </x:c>
      <x:c r="J54" s="5" t="n">
        <x:f>Despesas!I18</x:f>
        <x:v>639.37</x:v>
      </x:c>
      <x:c r="K54" s="5" t="n">
        <x:f>0</x:f>
        <x:v>0</x:v>
      </x:c>
      <x:c r="L54" s="5" t="n">
        <x:f>Despesas!I18</x:f>
        <x:v>639.37</x:v>
      </x:c>
      <x:c r="M54" s="5" t="n">
        <x:f>-J54</x:f>
        <x:v>-639.37</x:v>
      </x:c>
    </x:row>
    <x:row r="55">
      <x:c r="A55" t="str">
        <x:f>"Despesa/Custo"</x:f>
        <x:v>Despesa/Custo</x:v>
      </x:c>
      <x:c r="B55" t="str">
        <x:f>Despesas!A19</x:f>
        <x:v>REDE DE POSTOS 2000 III DE COMBUSTIVEIS LTDA - UBERABA</x:v>
      </x:c>
      <x:c r="C55" t="str">
        <x:f>Despesas!B19</x:f>
        <x:v>6000</x:v>
      </x:c>
      <x:c r="D55" t="str">
        <x:f>Despesas!C19</x:f>
        <x:v>015106</x:v>
      </x:c>
      <x:c r="E55" t="str">
        <x:f>Despesas!D19</x:f>
        <x:v>COMBUSTÍVEL EQUIPAMENTOS</x:v>
      </x:c>
      <x:c r="F55" t="str">
        <x:f>Despesas!E19</x:f>
        <x:v>VENCIMENTO ORIGINAL DO BOLETO 15/01/26</x:v>
      </x:c>
      <x:c r="G55" s="4" t="n">
        <x:f>Despesas!F19</x:f>
        <x:v>46024</x:v>
      </x:c>
      <x:c r="H55" t="str">
        <x:f>Despesas!G19</x:f>
        <x:v>MOSAIC UBERABA CONTRAT0 3 ANOS</x:v>
      </x:c>
      <x:c r="I55" t="str">
        <x:f>Despesas!H19</x:f>
        <x:v>6.4 - COMBUSTIVEL VEICULOS</x:v>
      </x:c>
      <x:c r="J55" s="5" t="n">
        <x:f>Despesas!I19</x:f>
        <x:v>1302.94</x:v>
      </x:c>
      <x:c r="K55" s="5" t="n">
        <x:f>0</x:f>
        <x:v>0</x:v>
      </x:c>
      <x:c r="L55" s="5" t="n">
        <x:f>Despesas!I19</x:f>
        <x:v>1302.94</x:v>
      </x:c>
      <x:c r="M55" s="5" t="n">
        <x:f>-J55</x:f>
        <x:v>-1302.94</x:v>
      </x:c>
    </x:row>
    <x:row r="56">
      <x:c r="A56" t="str">
        <x:f>"Despesa/Custo"</x:f>
        <x:v>Despesa/Custo</x:v>
      </x:c>
      <x:c r="B56" t="str">
        <x:f>Despesas!A20</x:f>
        <x:v>CAIXA CARTÕES PRÉ-PAGOS S.A</x:v>
      </x:c>
      <x:c r="C56" t="n">
        <x:f>Despesas!B20</x:f>
        <x:v>0</x:v>
      </x:c>
      <x:c r="D56" t="str">
        <x:f>Despesas!C20</x:f>
        <x:v>015108</x:v>
      </x:c>
      <x:c r="E56" t="str">
        <x:f>Despesas!D20</x:f>
        <x:v>TAG CAIXA REF. MÊS 12/2025</x:v>
      </x:c>
      <x:c r="F56" t="n">
        <x:f>Despesas!E20</x:f>
        <x:v>0</x:v>
      </x:c>
      <x:c r="G56" s="4" t="n">
        <x:f>Despesas!F20</x:f>
        <x:v>46024</x:v>
      </x:c>
      <x:c r="H56" t="str">
        <x:f>Despesas!G20</x:f>
        <x:v>VEICULOS</x:v>
      </x:c>
      <x:c r="I56" t="str">
        <x:f>Despesas!H20</x:f>
        <x:v>6.6 - PEDAGIOS</x:v>
      </x:c>
      <x:c r="J56" s="5" t="n">
        <x:f>Despesas!I20</x:f>
        <x:v>282.34</x:v>
      </x:c>
      <x:c r="K56" s="5" t="n">
        <x:f>0</x:f>
        <x:v>0</x:v>
      </x:c>
      <x:c r="L56" s="5" t="n">
        <x:f>Despesas!I20</x:f>
        <x:v>282.34</x:v>
      </x:c>
      <x:c r="M56" s="5" t="n">
        <x:f>-J56</x:f>
        <x:v>-282.34</x:v>
      </x:c>
    </x:row>
    <x:row r="57">
      <x:c r="A57" t="str">
        <x:f>"Despesa/Custo"</x:f>
        <x:v>Despesa/Custo</x:v>
      </x:c>
      <x:c r="B57" t="str">
        <x:f>Despesas!A21</x:f>
        <x:v>TECSUPORT RADIOCOM E TELECOM LTDA</x:v>
      </x:c>
      <x:c r="C57" t="str">
        <x:f>Despesas!B21</x:f>
        <x:v>2975</x:v>
      </x:c>
      <x:c r="D57" t="str">
        <x:f>Despesas!C21</x:f>
        <x:v>015110</x:v>
      </x:c>
      <x:c r="E57" t="str">
        <x:f>Despesas!D21</x:f>
        <x:v>LOCAÇÃO DE RÁDIO PORTÁTIL</x:v>
      </x:c>
      <x:c r="F57" t="n">
        <x:f>Despesas!E21</x:f>
        <x:v>0</x:v>
      </x:c>
      <x:c r="G57" s="4" t="n">
        <x:f>Despesas!F21</x:f>
        <x:v>46024</x:v>
      </x:c>
      <x:c r="H57" t="str">
        <x:f>Despesas!G21</x:f>
        <x:v>MOSAIC UBERABA CONTRAT0 3 ANOS</x:v>
      </x:c>
      <x:c r="I57" t="str">
        <x:f>Despesas!H21</x:f>
        <x:v>7.10 - LOCAÇAO RADIOS DE COMUNICAÇÃO</x:v>
      </x:c>
      <x:c r="J57" s="5" t="n">
        <x:f>Despesas!I21</x:f>
        <x:v>1470</x:v>
      </x:c>
      <x:c r="K57" s="5" t="n">
        <x:f>0</x:f>
        <x:v>0</x:v>
      </x:c>
      <x:c r="L57" s="5" t="n">
        <x:f>Despesas!I21</x:f>
        <x:v>1470</x:v>
      </x:c>
      <x:c r="M57" s="5" t="n">
        <x:f>-J57</x:f>
        <x:v>-1470</x:v>
      </x:c>
    </x:row>
    <x:row r="58">
      <x:c r="A58" t="str">
        <x:f>"Despesa/Custo"</x:f>
        <x:v>Despesa/Custo</x:v>
      </x:c>
      <x:c r="B58" t="str">
        <x:f>Despesas!A22</x:f>
        <x:v>62.032.683 MAIARA DE ANDRADE SILVA</x:v>
      </x:c>
      <x:c r="C58" t="str">
        <x:f>Despesas!B22</x:f>
        <x:v>12</x:v>
      </x:c>
      <x:c r="D58" t="str">
        <x:f>Despesas!C22</x:f>
        <x:v>015158</x:v>
      </x:c>
      <x:c r="E58" t="str">
        <x:f>Despesas!D22</x:f>
        <x:v>MAIARA DE ANDRADE - PIX mayaraandradesilva41@gmail.com</x:v>
      </x:c>
      <x:c r="F58" t="str">
        <x:f>Despesas!E22</x:f>
        <x:v>REFEICAO FUNCIONARIOS 16/12 A 31/12</x:v>
      </x:c>
      <x:c r="G58" s="4" t="n">
        <x:f>Despesas!F22</x:f>
        <x:v>46024</x:v>
      </x:c>
      <x:c r="H58" t="str">
        <x:f>Despesas!G22</x:f>
        <x:v>EUROCHEM SERRA DO SALITRE</x:v>
      </x:c>
      <x:c r="I58" t="str">
        <x:f>Despesas!H22</x:f>
        <x:v>12.5 - REFEIÇÕES FUNCIONARIOS</x:v>
      </x:c>
      <x:c r="J58" s="5" t="n">
        <x:f>Despesas!I22</x:f>
        <x:v>3025</x:v>
      </x:c>
      <x:c r="K58" s="5" t="n">
        <x:f>0</x:f>
        <x:v>0</x:v>
      </x:c>
      <x:c r="L58" s="5" t="n">
        <x:f>Despesas!I22</x:f>
        <x:v>3025</x:v>
      </x:c>
      <x:c r="M58" s="5" t="n">
        <x:f>-J58</x:f>
        <x:v>-3025</x:v>
      </x:c>
    </x:row>
    <x:row r="59">
      <x:c r="A59" t="str">
        <x:f>"Despesa/Custo"</x:f>
        <x:v>Despesa/Custo</x:v>
      </x:c>
      <x:c r="B59" t="str">
        <x:f>Despesas!A23</x:f>
        <x:v>CASARAO MATERIAIS E CONSTRUCOES LTDA</x:v>
      </x:c>
      <x:c r="C59" t="str">
        <x:f>Despesas!B23</x:f>
        <x:v>1149</x:v>
      </x:c>
      <x:c r="D59" t="str">
        <x:f>Despesas!C23</x:f>
        <x:v>015164</x:v>
      </x:c>
      <x:c r="E59" t="str">
        <x:f>Despesas!D23</x:f>
        <x:v>TINTAS E SOLVENTES</x:v>
      </x:c>
      <x:c r="F59" t="str">
        <x:f>Despesas!E23</x:f>
        <x:v>VENCIMENTO ORIGINAL DO BOLETO 17/01/26</x:v>
      </x:c>
      <x:c r="G59" s="4" t="n">
        <x:f>Despesas!F23</x:f>
        <x:v>46024</x:v>
      </x:c>
      <x:c r="H59" t="str">
        <x:f>Despesas!G23</x:f>
        <x:v>ANGLO AMERICAN</x:v>
      </x:c>
      <x:c r="I59" t="str">
        <x:f>Despesas!H23</x:f>
        <x:v>4.1 - TINTAS E SOLVENTES</x:v>
      </x:c>
      <x:c r="J59" s="5" t="n">
        <x:f>Despesas!I23</x:f>
        <x:v>339.6</x:v>
      </x:c>
      <x:c r="K59" s="5" t="n">
        <x:f>0</x:f>
        <x:v>0</x:v>
      </x:c>
      <x:c r="L59" s="5" t="n">
        <x:f>Despesas!I23</x:f>
        <x:v>339.6</x:v>
      </x:c>
      <x:c r="M59" s="5" t="n">
        <x:f>-J59</x:f>
        <x:v>-339.6</x:v>
      </x:c>
    </x:row>
    <x:row r="60">
      <x:c r="A60" t="str">
        <x:f>"Despesa/Custo"</x:f>
        <x:v>Despesa/Custo</x:v>
      </x:c>
      <x:c r="B60" t="str">
        <x:f>Despesas!A24</x:f>
        <x:v>BANCO CAIXA</x:v>
      </x:c>
      <x:c r="C60" t="n">
        <x:f>Despesas!B24</x:f>
        <x:v>0</x:v>
      </x:c>
      <x:c r="D60" t="str">
        <x:f>Despesas!C24</x:f>
        <x:v>015984</x:v>
      </x:c>
      <x:c r="E60" t="str">
        <x:f>Despesas!D24</x:f>
        <x:v>DEB IOF / DEB JUROS</x:v>
      </x:c>
      <x:c r="F60" t="str">
        <x:f>Despesas!E24</x:f>
        <x:v>Documento gerado a partir do Mov. 017519</x:v>
      </x:c>
      <x:c r="G60" s="4" t="n">
        <x:f>Despesas!F24</x:f>
        <x:v>46024</x:v>
      </x:c>
      <x:c r="H60" t="str">
        <x:f>Despesas!G24</x:f>
        <x:v>ADMINISTRATIVO</x:v>
      </x:c>
      <x:c r="I60" t="str">
        <x:f>Despesas!H24</x:f>
        <x:v>18.1 - JUROS BANCARIOS</x:v>
      </x:c>
      <x:c r="J60" s="5" t="n">
        <x:f>Despesas!I24</x:f>
        <x:v>271.84</x:v>
      </x:c>
      <x:c r="K60" s="5" t="n">
        <x:f>0</x:f>
        <x:v>0</x:v>
      </x:c>
      <x:c r="L60" s="5" t="n">
        <x:f>Despesas!I24</x:f>
        <x:v>271.84</x:v>
      </x:c>
      <x:c r="M60" s="5" t="n">
        <x:f>-J60</x:f>
        <x:v>-271.84</x:v>
      </x:c>
    </x:row>
    <x:row r="61">
      <x:c r="A61" t="str">
        <x:f>"Despesa/Custo"</x:f>
        <x:v>Despesa/Custo</x:v>
      </x:c>
      <x:c r="B61" t="str">
        <x:f>Despesas!A25</x:f>
        <x:v>BANCO MERCANTIL</x:v>
      </x:c>
      <x:c r="C61" t="n">
        <x:f>Despesas!B25</x:f>
        <x:v>0</x:v>
      </x:c>
      <x:c r="D61" t="str">
        <x:f>Despesas!C25</x:f>
        <x:v>015985</x:v>
      </x:c>
      <x:c r="E61" t="str">
        <x:f>Despesas!D25</x:f>
        <x:v>TAR. PACOTE SERVICOS</x:v>
      </x:c>
      <x:c r="F61" t="str">
        <x:f>Despesas!E25</x:f>
        <x:v>Documento gerado a partir do Mov. 017520</x:v>
      </x:c>
      <x:c r="G61" s="4" t="n">
        <x:f>Despesas!F25</x:f>
        <x:v>46024</x:v>
      </x:c>
      <x:c r="H61" t="str">
        <x:f>Despesas!G25</x:f>
        <x:v>ADMINISTRATIVO</x:v>
      </x:c>
      <x:c r="I61" t="str">
        <x:f>Despesas!H25</x:f>
        <x:v>18.2 - TARIFAS BANCARIAS</x:v>
      </x:c>
      <x:c r="J61" s="5" t="n">
        <x:f>Despesas!I25</x:f>
        <x:v>190</x:v>
      </x:c>
      <x:c r="K61" s="5" t="n">
        <x:f>0</x:f>
        <x:v>0</x:v>
      </x:c>
      <x:c r="L61" s="5" t="n">
        <x:f>Despesas!I25</x:f>
        <x:v>190</x:v>
      </x:c>
      <x:c r="M61" s="5" t="n">
        <x:f>-J61</x:f>
        <x:v>-190</x:v>
      </x:c>
    </x:row>
    <x:row r="62">
      <x:c r="A62" t="str">
        <x:f>"Despesa/Custo"</x:f>
        <x:v>Despesa/Custo</x:v>
      </x:c>
      <x:c r="B62" t="str">
        <x:f>Despesas!A26</x:f>
        <x:v>BANCO MERCANTIL</x:v>
      </x:c>
      <x:c r="C62" t="n">
        <x:f>Despesas!B26</x:f>
        <x:v>0</x:v>
      </x:c>
      <x:c r="D62" t="str">
        <x:f>Despesas!C26</x:f>
        <x:v>015986</x:v>
      </x:c>
      <x:c r="E62" t="str">
        <x:f>Despesas!D26</x:f>
        <x:v>IOF-CHEQUE ESPECIAL</x:v>
      </x:c>
      <x:c r="F62" t="str">
        <x:f>Despesas!E26</x:f>
        <x:v>Documento gerado a partir do Mov. 017521</x:v>
      </x:c>
      <x:c r="G62" s="4" t="n">
        <x:f>Despesas!F26</x:f>
        <x:v>46024</x:v>
      </x:c>
      <x:c r="H62" t="str">
        <x:f>Despesas!G26</x:f>
        <x:v>ADMINISTRATIVO</x:v>
      </x:c>
      <x:c r="I62" t="str">
        <x:f>Despesas!H26</x:f>
        <x:v>18.1 - JUROS BANCARIOS</x:v>
      </x:c>
      <x:c r="J62" s="5" t="n">
        <x:f>Despesas!I26</x:f>
        <x:v>917.12</x:v>
      </x:c>
      <x:c r="K62" s="5" t="n">
        <x:f>0</x:f>
        <x:v>0</x:v>
      </x:c>
      <x:c r="L62" s="5" t="n">
        <x:f>Despesas!I26</x:f>
        <x:v>917.12</x:v>
      </x:c>
      <x:c r="M62" s="5" t="n">
        <x:f>-J62</x:f>
        <x:v>-917.12</x:v>
      </x:c>
    </x:row>
    <x:row r="63">
      <x:c r="A63" t="str">
        <x:f>"Despesa/Custo"</x:f>
        <x:v>Despesa/Custo</x:v>
      </x:c>
      <x:c r="B63" t="str">
        <x:f>Despesas!A27</x:f>
        <x:v>ALUGUEIS OBRAS</x:v>
      </x:c>
      <x:c r="C63" t="n">
        <x:f>Despesas!B27</x:f>
        <x:v>0</x:v>
      </x:c>
      <x:c r="D63" t="str">
        <x:f>Despesas!C27</x:f>
        <x:v>014544</x:v>
      </x:c>
      <x:c r="E63" t="str">
        <x:f>Despesas!D27</x:f>
        <x:v>R. JACY GUIMARAES 12 CS REF. 05.01 A 05.02.26</x:v>
      </x:c>
      <x:c r="F63" t="str">
        <x:f>Despesas!E27</x:f>
        <x:v>LIRIA SEBASTIANA COTES MELO ROCHA</x:v>
      </x:c>
      <x:c r="G63" s="4" t="n">
        <x:f>Despesas!F27</x:f>
        <x:v>46027</x:v>
      </x:c>
      <x:c r="H63" t="str">
        <x:f>Despesas!G27</x:f>
        <x:v>EUROCHEM SERRA DO SALITRE</x:v>
      </x:c>
      <x:c r="I63" t="str">
        <x:f>Despesas!H27</x:f>
        <x:v>5.3 - ALUGUEL ALOJAMENTO</x:v>
      </x:c>
      <x:c r="J63" s="5" t="n">
        <x:f>Despesas!I27</x:f>
        <x:v>1600</x:v>
      </x:c>
      <x:c r="K63" s="5" t="n">
        <x:f>0</x:f>
        <x:v>0</x:v>
      </x:c>
      <x:c r="L63" s="5" t="n">
        <x:f>Despesas!I27</x:f>
        <x:v>1600</x:v>
      </x:c>
      <x:c r="M63" s="5" t="n">
        <x:f>-J63</x:f>
        <x:v>-1600</x:v>
      </x:c>
    </x:row>
    <x:row r="64">
      <x:c r="A64" t="str">
        <x:f>"Despesa/Custo"</x:f>
        <x:v>Despesa/Custo</x:v>
      </x:c>
      <x:c r="B64" t="str">
        <x:f>Despesas!A28</x:f>
        <x:v>ALUGUEIS OBRAS</x:v>
      </x:c>
      <x:c r="C64" t="n">
        <x:f>Despesas!B28</x:f>
        <x:v>0</x:v>
      </x:c>
      <x:c r="D64" t="str">
        <x:f>Despesas!C28</x:f>
        <x:v>014545</x:v>
      </x:c>
      <x:c r="E64" t="str">
        <x:f>Despesas!D28</x:f>
        <x:v>R. ALFEU MARRA Nº 65 CASA 02</x:v>
      </x:c>
      <x:c r="F64" t="str">
        <x:f>Despesas!E28</x:f>
        <x:v>rodrigodominguessilva@yahoo.com.br</x:v>
      </x:c>
      <x:c r="G64" s="4" t="n">
        <x:f>Despesas!F28</x:f>
        <x:v>46027</x:v>
      </x:c>
      <x:c r="H64" t="str">
        <x:f>Despesas!G28</x:f>
        <x:v>EUROCHEM SERRA DO SALITRE</x:v>
      </x:c>
      <x:c r="I64" t="str">
        <x:f>Despesas!H28</x:f>
        <x:v>5.3 - ALUGUEL ALOJAMENTO</x:v>
      </x:c>
      <x:c r="J64" s="5" t="n">
        <x:f>Despesas!I28</x:f>
        <x:v>4000</x:v>
      </x:c>
      <x:c r="K64" s="5" t="n">
        <x:f>0</x:f>
        <x:v>0</x:v>
      </x:c>
      <x:c r="L64" s="5" t="n">
        <x:f>Despesas!I28</x:f>
        <x:v>4000</x:v>
      </x:c>
      <x:c r="M64" s="5" t="n">
        <x:f>-J64</x:f>
        <x:v>-4000</x:v>
      </x:c>
    </x:row>
    <x:row r="65">
      <x:c r="A65" t="str">
        <x:f>"Despesa/Custo"</x:f>
        <x:v>Despesa/Custo</x:v>
      </x:c>
      <x:c r="B65" t="str">
        <x:f>Despesas!A29</x:f>
        <x:v>CEMIG DISTRIBUIÇÃO S.A</x:v>
      </x:c>
      <x:c r="C65" t="n">
        <x:f>Despesas!B29</x:f>
        <x:v>0</x:v>
      </x:c>
      <x:c r="D65" t="str">
        <x:f>Despesas!C29</x:f>
        <x:v>014989</x:v>
      </x:c>
      <x:c r="E65" t="str">
        <x:f>Despesas!D29</x:f>
        <x:v>AV. CORONEL JOAQUIM DE OLIVEIRA PRATA, 516 REF. 12/25</x:v>
      </x:c>
      <x:c r="F65" t="str">
        <x:f>Despesas!E29</x:f>
        <x:v>Nº INSTALAÇÃO 3001730420</x:v>
      </x:c>
      <x:c r="G65" s="4" t="n">
        <x:f>Despesas!F29</x:f>
        <x:v>46027</x:v>
      </x:c>
      <x:c r="H65" t="str">
        <x:f>Despesas!G29</x:f>
        <x:v>MOSAIC UBERABA CONTRAT0 3 ANOS</x:v>
      </x:c>
      <x:c r="I65" t="str">
        <x:f>Despesas!H29</x:f>
        <x:v>5.5 - ENERGIA ALOJAMENTO</x:v>
      </x:c>
      <x:c r="J65" s="5" t="n">
        <x:f>Despesas!I29</x:f>
        <x:v>478.91</x:v>
      </x:c>
      <x:c r="K65" s="5" t="n">
        <x:f>0</x:f>
        <x:v>0</x:v>
      </x:c>
      <x:c r="L65" s="5" t="n">
        <x:f>Despesas!I29</x:f>
        <x:v>478.91</x:v>
      </x:c>
      <x:c r="M65" s="5" t="n">
        <x:f>-J65</x:f>
        <x:v>-478.91</x:v>
      </x:c>
    </x:row>
    <x:row r="66">
      <x:c r="A66" t="str">
        <x:f>"Despesa/Custo"</x:f>
        <x:v>Despesa/Custo</x:v>
      </x:c>
      <x:c r="B66" t="str">
        <x:f>Despesas!A30</x:f>
        <x:v>RADAR WISP LTDA</x:v>
      </x:c>
      <x:c r="C66" t="n">
        <x:f>Despesas!B30</x:f>
        <x:v>0</x:v>
      </x:c>
      <x:c r="D66" t="str">
        <x:f>Despesas!C30</x:f>
        <x:v>014992</x:v>
      </x:c>
      <x:c r="E66" t="str">
        <x:f>Despesas!D30</x:f>
        <x:v>INTERNET ADM</x:v>
      </x:c>
      <x:c r="F66" t="str">
        <x:f>Despesas!E30</x:f>
        <x:v>VENCIMENTO ORIGINAL DO BOLETO 10/01/26</x:v>
      </x:c>
      <x:c r="G66" s="4" t="n">
        <x:f>Despesas!F30</x:f>
        <x:v>46027</x:v>
      </x:c>
      <x:c r="H66" t="str">
        <x:f>Despesas!G30</x:f>
        <x:v>ADMINISTRATIVO</x:v>
      </x:c>
      <x:c r="I66" t="str">
        <x:f>Despesas!H30</x:f>
        <x:v>11.6 - INTERNET / TELEFONE ADM</x:v>
      </x:c>
      <x:c r="J66" s="5" t="n">
        <x:f>Despesas!I30</x:f>
        <x:v>139.9</x:v>
      </x:c>
      <x:c r="K66" s="5" t="n">
        <x:f>0</x:f>
        <x:v>0</x:v>
      </x:c>
      <x:c r="L66" s="5" t="n">
        <x:f>Despesas!I30</x:f>
        <x:v>139.9</x:v>
      </x:c>
      <x:c r="M66" s="5" t="n">
        <x:f>-J66</x:f>
        <x:v>-139.9</x:v>
      </x:c>
    </x:row>
    <x:row r="67">
      <x:c r="A67" t="str">
        <x:f>"Despesa/Custo"</x:f>
        <x:v>Despesa/Custo</x:v>
      </x:c>
      <x:c r="B67" t="str">
        <x:f>Despesas!A31</x:f>
        <x:v>PRUDENTIAL DO BRASIL SEGURO DE VIDAS</x:v>
      </x:c>
      <x:c r="C67" t="n">
        <x:f>Despesas!B31</x:f>
        <x:v>0</x:v>
      </x:c>
      <x:c r="D67" t="str">
        <x:f>Despesas!C31</x:f>
        <x:v>014993</x:v>
      </x:c>
      <x:c r="E67" t="str">
        <x:f>Despesas!D31</x:f>
        <x:v>SEGURO DE VIDA GENILDO</x:v>
      </x:c>
      <x:c r="F67" t="n">
        <x:f>Despesas!E31</x:f>
        <x:v>0</x:v>
      </x:c>
      <x:c r="G67" s="4" t="n">
        <x:f>Despesas!F31</x:f>
        <x:v>46027</x:v>
      </x:c>
      <x:c r="H67" t="str">
        <x:f>Despesas!G31</x:f>
        <x:v>ADMINISTRATIVO</x:v>
      </x:c>
      <x:c r="I67" t="str">
        <x:f>Despesas!H31</x:f>
        <x:v>12.12 - SEGUROS DE VIDA</x:v>
      </x:c>
      <x:c r="J67" s="5" t="n">
        <x:f>Despesas!I31</x:f>
        <x:v>3287.31</x:v>
      </x:c>
      <x:c r="K67" s="5" t="n">
        <x:f>0</x:f>
        <x:v>0</x:v>
      </x:c>
      <x:c r="L67" s="5" t="n">
        <x:f>Despesas!I31</x:f>
        <x:v>3287.31</x:v>
      </x:c>
      <x:c r="M67" s="5" t="n">
        <x:f>-J67</x:f>
        <x:v>-3287.31</x:v>
      </x:c>
    </x:row>
    <x:row r="68">
      <x:c r="A68" t="str">
        <x:f>"Despesa/Custo"</x:f>
        <x:v>Despesa/Custo</x:v>
      </x:c>
      <x:c r="B68" t="str">
        <x:f>Despesas!A32</x:f>
        <x:v>PRUDENTIAL DO BRASIL SEGURO DE VIDAS</x:v>
      </x:c>
      <x:c r="C68" t="n">
        <x:f>Despesas!B32</x:f>
        <x:v>0</x:v>
      </x:c>
      <x:c r="D68" t="str">
        <x:f>Despesas!C32</x:f>
        <x:v>014994</x:v>
      </x:c>
      <x:c r="E68" t="str">
        <x:f>Despesas!D32</x:f>
        <x:v>SEGURO DE VIDA GILVAN</x:v>
      </x:c>
      <x:c r="F68" t="n">
        <x:f>Despesas!E32</x:f>
        <x:v>0</x:v>
      </x:c>
      <x:c r="G68" s="4" t="n">
        <x:f>Despesas!F32</x:f>
        <x:v>46027</x:v>
      </x:c>
      <x:c r="H68" t="str">
        <x:f>Despesas!G32</x:f>
        <x:v>ADMINISTRATIVO</x:v>
      </x:c>
      <x:c r="I68" t="str">
        <x:f>Despesas!H32</x:f>
        <x:v>12.12 - SEGUROS DE VIDA</x:v>
      </x:c>
      <x:c r="J68" s="5" t="n">
        <x:f>Despesas!I32</x:f>
        <x:v>2819.22</x:v>
      </x:c>
      <x:c r="K68" s="5" t="n">
        <x:f>0</x:f>
        <x:v>0</x:v>
      </x:c>
      <x:c r="L68" s="5" t="n">
        <x:f>Despesas!I32</x:f>
        <x:v>2819.22</x:v>
      </x:c>
      <x:c r="M68" s="5" t="n">
        <x:f>-J68</x:f>
        <x:v>-2819.22</x:v>
      </x:c>
    </x:row>
    <x:row r="69">
      <x:c r="A69" t="str">
        <x:f>"Despesa/Custo"</x:f>
        <x:v>Despesa/Custo</x:v>
      </x:c>
      <x:c r="B69" t="str">
        <x:f>Despesas!A33</x:f>
        <x:v>START INSTITUTO DE DESENVOLVIMENTO HUMANO E PROFISSIONAL LTDA</x:v>
      </x:c>
      <x:c r="C69" t="n">
        <x:f>Despesas!B33</x:f>
        <x:v>0</x:v>
      </x:c>
      <x:c r="D69" t="str">
        <x:f>Despesas!C33</x:f>
        <x:v>014996</x:v>
      </x:c>
      <x:c r="E69" t="str">
        <x:f>Despesas!D33</x:f>
        <x:v>START INSTITUTO DE DESENVOLVIM - PIX 20.494.981/0001-88</x:v>
      </x:c>
      <x:c r="F69" t="str">
        <x:f>Despesas!E33</x:f>
        <x:v>ESTAGIO GABRIELLA MACHADO OLIVEIRA</x:v>
      </x:c>
      <x:c r="G69" s="4" t="n">
        <x:f>Despesas!F33</x:f>
        <x:v>46027</x:v>
      </x:c>
      <x:c r="H69" t="str">
        <x:f>Despesas!G33</x:f>
        <x:v>ADMINISTRATIVO</x:v>
      </x:c>
      <x:c r="I69" t="str">
        <x:f>Despesas!H33</x:f>
        <x:v>14.2 - CURSOS / TREINAMENTOS</x:v>
      </x:c>
      <x:c r="J69" s="5" t="n">
        <x:f>Despesas!I33</x:f>
        <x:v>62.07</x:v>
      </x:c>
      <x:c r="K69" s="5" t="n">
        <x:f>0</x:f>
        <x:v>0</x:v>
      </x:c>
      <x:c r="L69" s="5" t="n">
        <x:f>Despesas!I33</x:f>
        <x:v>62.07</x:v>
      </x:c>
      <x:c r="M69" s="5" t="n">
        <x:f>-J69</x:f>
        <x:v>-62.07</x:v>
      </x:c>
    </x:row>
    <x:row r="70">
      <x:c r="A70" t="str">
        <x:f>"Despesa/Custo"</x:f>
        <x:v>Despesa/Custo</x:v>
      </x:c>
      <x:c r="B70" t="str">
        <x:f>Despesas!A34</x:f>
        <x:v>LOCADORA LOCBEM MAQUINAS E EQUIPAMENTOS LTDA</x:v>
      </x:c>
      <x:c r="C70" t="n">
        <x:f>Despesas!B34</x:f>
        <x:v>0</x:v>
      </x:c>
      <x:c r="D70" t="str">
        <x:f>Despesas!C34</x:f>
        <x:v>015018</x:v>
      </x:c>
      <x:c r="E70" t="str">
        <x:f>Despesas!D34</x:f>
        <x:v>LOCAÇÃO COMPRESSOR 15/11 A 29/12/25</x:v>
      </x:c>
      <x:c r="F70" t="n">
        <x:f>Despesas!E34</x:f>
        <x:v>0</x:v>
      </x:c>
      <x:c r="G70" s="4" t="n">
        <x:f>Despesas!F34</x:f>
        <x:v>46027</x:v>
      </x:c>
      <x:c r="H70" t="str">
        <x:f>Despesas!G34</x:f>
        <x:v>MOSAIC UBERABA CONTRAT0 3 ANOS</x:v>
      </x:c>
      <x:c r="I70" t="str">
        <x:f>Despesas!H34</x:f>
        <x:v>7.2 - LOCAÇÃO COMPRESSORES</x:v>
      </x:c>
      <x:c r="J70" s="5" t="n">
        <x:f>Despesas!I34</x:f>
        <x:v>5313.281623</x:v>
      </x:c>
      <x:c r="K70" s="5" t="n">
        <x:f>0</x:f>
        <x:v>0</x:v>
      </x:c>
      <x:c r="L70" s="5" t="n">
        <x:f>Despesas!I34</x:f>
        <x:v>5313.281623</x:v>
      </x:c>
      <x:c r="M70" s="5" t="n">
        <x:f>-J70</x:f>
        <x:v>-5313.281623</x:v>
      </x:c>
    </x:row>
    <x:row r="71">
      <x:c r="A71" t="str">
        <x:f>"Despesa/Custo"</x:f>
        <x:v>Despesa/Custo</x:v>
      </x:c>
      <x:c r="B71" t="str">
        <x:f>Despesas!A35</x:f>
        <x:v>LOCADORA LOCBEM MAQUINAS E EQUIPAMENTOS LTDA</x:v>
      </x:c>
      <x:c r="C71" t="n">
        <x:f>Despesas!B35</x:f>
        <x:v>0</x:v>
      </x:c>
      <x:c r="D71" t="str">
        <x:f>Despesas!C35</x:f>
        <x:v>015018</x:v>
      </x:c>
      <x:c r="E71" t="str">
        <x:f>Despesas!D35</x:f>
        <x:v>LOCAÇÃO COMPRESSOR 15/11 A 29/12/25</x:v>
      </x:c>
      <x:c r="F71" t="n">
        <x:f>Despesas!E35</x:f>
        <x:v>0</x:v>
      </x:c>
      <x:c r="G71" s="4" t="n">
        <x:f>Despesas!F35</x:f>
        <x:v>46027</x:v>
      </x:c>
      <x:c r="H71" t="str">
        <x:f>Despesas!G35</x:f>
        <x:v>ANGLO AMERICAN</x:v>
      </x:c>
      <x:c r="I71" t="str">
        <x:f>Despesas!H35</x:f>
        <x:v>7.2 - LOCAÇÃO COMPRESSORES</x:v>
      </x:c>
      <x:c r="J71" s="5" t="n">
        <x:f>Despesas!I35</x:f>
        <x:v>2898.153613</x:v>
      </x:c>
      <x:c r="K71" s="5" t="n">
        <x:f>0</x:f>
        <x:v>0</x:v>
      </x:c>
      <x:c r="L71" s="5" t="n">
        <x:f>Despesas!I35</x:f>
        <x:v>2898.153613</x:v>
      </x:c>
      <x:c r="M71" s="5" t="n">
        <x:f>-J71</x:f>
        <x:v>-2898.153613</x:v>
      </x:c>
    </x:row>
    <x:row r="72">
      <x:c r="A72" t="str">
        <x:f>"Despesa/Custo"</x:f>
        <x:v>Despesa/Custo</x:v>
      </x:c>
      <x:c r="B72" t="str">
        <x:f>Despesas!A36</x:f>
        <x:v>LOCADORA LOCBEM MAQUINAS E EQUIPAMENTOS LTDA</x:v>
      </x:c>
      <x:c r="C72" t="n">
        <x:f>Despesas!B36</x:f>
        <x:v>0</x:v>
      </x:c>
      <x:c r="D72" t="str">
        <x:f>Despesas!C36</x:f>
        <x:v>015018</x:v>
      </x:c>
      <x:c r="E72" t="str">
        <x:f>Despesas!D36</x:f>
        <x:v>LOCAÇÃO COMPRESSOR 15/11 A 29/12/25</x:v>
      </x:c>
      <x:c r="F72" t="n">
        <x:f>Despesas!E36</x:f>
        <x:v>0</x:v>
      </x:c>
      <x:c r="G72" s="4" t="n">
        <x:f>Despesas!F36</x:f>
        <x:v>46027</x:v>
      </x:c>
      <x:c r="H72" t="str">
        <x:f>Despesas!G36</x:f>
        <x:v>EUROCHEM SERRA DO SALITRE</x:v>
      </x:c>
      <x:c r="I72" t="str">
        <x:f>Despesas!H36</x:f>
        <x:v>7.2 - LOCAÇÃO COMPRESSORES</x:v>
      </x:c>
      <x:c r="J72" s="5" t="n">
        <x:f>Despesas!I36</x:f>
        <x:v>2898.153613</x:v>
      </x:c>
      <x:c r="K72" s="5" t="n">
        <x:f>0</x:f>
        <x:v>0</x:v>
      </x:c>
      <x:c r="L72" s="5" t="n">
        <x:f>Despesas!I36</x:f>
        <x:v>2898.153613</x:v>
      </x:c>
      <x:c r="M72" s="5" t="n">
        <x:f>-J72</x:f>
        <x:v>-2898.153613</x:v>
      </x:c>
    </x:row>
    <x:row r="73">
      <x:c r="A73" t="str">
        <x:f>"Despesa/Custo"</x:f>
        <x:v>Despesa/Custo</x:v>
      </x:c>
      <x:c r="B73" t="str">
        <x:f>Despesas!A37</x:f>
        <x:v>LOCADORA LOCBEM MAQUINAS E EQUIPAMENTOS LTDA</x:v>
      </x:c>
      <x:c r="C73" t="n">
        <x:f>Despesas!B37</x:f>
        <x:v>0</x:v>
      </x:c>
      <x:c r="D73" t="str">
        <x:f>Despesas!C37</x:f>
        <x:v>015018</x:v>
      </x:c>
      <x:c r="E73" t="str">
        <x:f>Despesas!D37</x:f>
        <x:v>LOCAÇÃO COMPRESSOR 15/11 A 29/12/25</x:v>
      </x:c>
      <x:c r="F73" t="n">
        <x:f>Despesas!E37</x:f>
        <x:v>0</x:v>
      </x:c>
      <x:c r="G73" s="4" t="n">
        <x:f>Despesas!F37</x:f>
        <x:v>46027</x:v>
      </x:c>
      <x:c r="H73" t="str">
        <x:f>Despesas!G37</x:f>
        <x:v>CONDUTOS UG 1 - ELETROBRAS</x:v>
      </x:c>
      <x:c r="I73" t="str">
        <x:f>Despesas!H37</x:f>
        <x:v>7.2 - LOCAÇÃO COMPRESSORES</x:v>
      </x:c>
      <x:c r="J73" s="5" t="n">
        <x:f>Despesas!I37</x:f>
        <x:v>2640.411151</x:v>
      </x:c>
      <x:c r="K73" s="5" t="n">
        <x:f>0</x:f>
        <x:v>0</x:v>
      </x:c>
      <x:c r="L73" s="5" t="n">
        <x:f>Despesas!I37</x:f>
        <x:v>2640.411151</x:v>
      </x:c>
      <x:c r="M73" s="5" t="n">
        <x:f>-J73</x:f>
        <x:v>-2640.411151</x:v>
      </x:c>
    </x:row>
    <x:row r="74">
      <x:c r="A74" t="str">
        <x:f>"Despesa/Custo"</x:f>
        <x:v>Despesa/Custo</x:v>
      </x:c>
      <x:c r="B74" t="str">
        <x:f>Despesas!A38</x:f>
        <x:v>LOCADORA LOCBEM MAQUINAS E EQUIPAMENTOS LTDA</x:v>
      </x:c>
      <x:c r="C74" t="n">
        <x:f>Despesas!B38</x:f>
        <x:v>0</x:v>
      </x:c>
      <x:c r="D74" t="str">
        <x:f>Despesas!C38</x:f>
        <x:v>015018</x:v>
      </x:c>
      <x:c r="E74" t="str">
        <x:f>Despesas!D38</x:f>
        <x:v>LOCAÇÃO COMPRESSOR 15/11 A 29/12/25</x:v>
      </x:c>
      <x:c r="F74" t="n">
        <x:f>Despesas!E38</x:f>
        <x:v>0</x:v>
      </x:c>
      <x:c r="G74" s="4" t="n">
        <x:f>Despesas!F38</x:f>
        <x:v>46027</x:v>
      </x:c>
      <x:c r="H74" t="str">
        <x:f>Despesas!G38</x:f>
        <x:v>MOSAIC UBERABA CONTRAT0 3 ANOS</x:v>
      </x:c>
      <x:c r="I74" t="str">
        <x:f>Despesas!H38</x:f>
        <x:v>7.2 - LOCAÇÃO COMPRESSORES</x:v>
      </x:c>
      <x:c r="J74" s="5" t="n">
        <x:f>Despesas!I38</x:f>
        <x:v>8436.718377</x:v>
      </x:c>
      <x:c r="K74" s="5" t="n">
        <x:f>0</x:f>
        <x:v>0</x:v>
      </x:c>
      <x:c r="L74" s="5" t="n">
        <x:f>Despesas!I38</x:f>
        <x:v>8436.718377</x:v>
      </x:c>
      <x:c r="M74" s="5" t="n">
        <x:f>-J74</x:f>
        <x:v>-8436.718377</x:v>
      </x:c>
    </x:row>
    <x:row r="75">
      <x:c r="A75" t="str">
        <x:f>"Despesa/Custo"</x:f>
        <x:v>Despesa/Custo</x:v>
      </x:c>
      <x:c r="B75" t="str">
        <x:f>Despesas!A39</x:f>
        <x:v>LOCADORA LOCBEM MAQUINAS E EQUIPAMENTOS LTDA</x:v>
      </x:c>
      <x:c r="C75" t="n">
        <x:f>Despesas!B39</x:f>
        <x:v>0</x:v>
      </x:c>
      <x:c r="D75" t="str">
        <x:f>Despesas!C39</x:f>
        <x:v>015018</x:v>
      </x:c>
      <x:c r="E75" t="str">
        <x:f>Despesas!D39</x:f>
        <x:v>LOCAÇÃO COMPRESSOR 15/11 A 29/12/25</x:v>
      </x:c>
      <x:c r="F75" t="n">
        <x:f>Despesas!E39</x:f>
        <x:v>0</x:v>
      </x:c>
      <x:c r="G75" s="4" t="n">
        <x:f>Despesas!F39</x:f>
        <x:v>46027</x:v>
      </x:c>
      <x:c r="H75" t="str">
        <x:f>Despesas!G39</x:f>
        <x:v>ANGLO AMERICAN</x:v>
      </x:c>
      <x:c r="I75" t="str">
        <x:f>Despesas!H39</x:f>
        <x:v>7.2 - LOCAÇÃO COMPRESSORES</x:v>
      </x:c>
      <x:c r="J75" s="5" t="n">
        <x:f>Despesas!I39</x:f>
        <x:v>4601.846387</x:v>
      </x:c>
      <x:c r="K75" s="5" t="n">
        <x:f>0</x:f>
        <x:v>0</x:v>
      </x:c>
      <x:c r="L75" s="5" t="n">
        <x:f>Despesas!I39</x:f>
        <x:v>4601.846387</x:v>
      </x:c>
      <x:c r="M75" s="5" t="n">
        <x:f>-J75</x:f>
        <x:v>-4601.846387</x:v>
      </x:c>
    </x:row>
    <x:row r="76">
      <x:c r="A76" t="str">
        <x:f>"Despesa/Custo"</x:f>
        <x:v>Despesa/Custo</x:v>
      </x:c>
      <x:c r="B76" t="str">
        <x:f>Despesas!A40</x:f>
        <x:v>LOCADORA LOCBEM MAQUINAS E EQUIPAMENTOS LTDA</x:v>
      </x:c>
      <x:c r="C76" t="n">
        <x:f>Despesas!B40</x:f>
        <x:v>0</x:v>
      </x:c>
      <x:c r="D76" t="str">
        <x:f>Despesas!C40</x:f>
        <x:v>015018</x:v>
      </x:c>
      <x:c r="E76" t="str">
        <x:f>Despesas!D40</x:f>
        <x:v>LOCAÇÃO COMPRESSOR 15/11 A 29/12/25</x:v>
      </x:c>
      <x:c r="F76" t="n">
        <x:f>Despesas!E40</x:f>
        <x:v>0</x:v>
      </x:c>
      <x:c r="G76" s="4" t="n">
        <x:f>Despesas!F40</x:f>
        <x:v>46027</x:v>
      </x:c>
      <x:c r="H76" t="str">
        <x:f>Despesas!G40</x:f>
        <x:v>EUROCHEM SERRA DO SALITRE</x:v>
      </x:c>
      <x:c r="I76" t="str">
        <x:f>Despesas!H40</x:f>
        <x:v>7.2 - LOCAÇÃO COMPRESSORES</x:v>
      </x:c>
      <x:c r="J76" s="5" t="n">
        <x:f>Despesas!I40</x:f>
        <x:v>4601.846387</x:v>
      </x:c>
      <x:c r="K76" s="5" t="n">
        <x:f>0</x:f>
        <x:v>0</x:v>
      </x:c>
      <x:c r="L76" s="5" t="n">
        <x:f>Despesas!I40</x:f>
        <x:v>4601.846387</x:v>
      </x:c>
      <x:c r="M76" s="5" t="n">
        <x:f>-J76</x:f>
        <x:v>-4601.846387</x:v>
      </x:c>
    </x:row>
    <x:row r="77">
      <x:c r="A77" t="str">
        <x:f>"Despesa/Custo"</x:f>
        <x:v>Despesa/Custo</x:v>
      </x:c>
      <x:c r="B77" t="str">
        <x:f>Despesas!A41</x:f>
        <x:v>LOCADORA LOCBEM MAQUINAS E EQUIPAMENTOS LTDA</x:v>
      </x:c>
      <x:c r="C77" t="n">
        <x:f>Despesas!B41</x:f>
        <x:v>0</x:v>
      </x:c>
      <x:c r="D77" t="str">
        <x:f>Despesas!C41</x:f>
        <x:v>015018</x:v>
      </x:c>
      <x:c r="E77" t="str">
        <x:f>Despesas!D41</x:f>
        <x:v>LOCAÇÃO COMPRESSOR 15/11 A 29/12/25</x:v>
      </x:c>
      <x:c r="F77" t="n">
        <x:f>Despesas!E41</x:f>
        <x:v>0</x:v>
      </x:c>
      <x:c r="G77" s="4" t="n">
        <x:f>Despesas!F41</x:f>
        <x:v>46027</x:v>
      </x:c>
      <x:c r="H77" t="str">
        <x:f>Despesas!G41</x:f>
        <x:v>CONDUTOS UG 1 - ELETROBRAS</x:v>
      </x:c>
      <x:c r="I77" t="str">
        <x:f>Despesas!H41</x:f>
        <x:v>7.2 - LOCAÇÃO COMPRESSORES</x:v>
      </x:c>
      <x:c r="J77" s="5" t="n">
        <x:f>Despesas!I41</x:f>
        <x:v>4192.588849</x:v>
      </x:c>
      <x:c r="K77" s="5" t="n">
        <x:f>0</x:f>
        <x:v>0</x:v>
      </x:c>
      <x:c r="L77" s="5" t="n">
        <x:f>Despesas!I41</x:f>
        <x:v>4192.588849</x:v>
      </x:c>
      <x:c r="M77" s="5" t="n">
        <x:f>-J77</x:f>
        <x:v>-4192.588849</x:v>
      </x:c>
    </x:row>
    <x:row r="78">
      <x:c r="A78" t="str">
        <x:f>"Despesa/Custo"</x:f>
        <x:v>Despesa/Custo</x:v>
      </x:c>
      <x:c r="B78" t="str">
        <x:f>Despesas!A42</x:f>
        <x:v>AUTO POSTO SAO MARCOS LTDA</x:v>
      </x:c>
      <x:c r="C78" t="str">
        <x:f>Despesas!B42</x:f>
        <x:v>28846</x:v>
      </x:c>
      <x:c r="D78" t="str">
        <x:f>Despesas!C42</x:f>
        <x:v>015020</x:v>
      </x:c>
      <x:c r="E78" t="str">
        <x:f>Despesas!D42</x:f>
        <x:v>COMBUSTÍVEL VEÍCULOS</x:v>
      </x:c>
      <x:c r="F78" t="str">
        <x:f>Despesas!E42</x:f>
        <x:v>REEMBOLSO EDUARDO</x:v>
      </x:c>
      <x:c r="G78" s="4" t="n">
        <x:f>Despesas!F42</x:f>
        <x:v>46027</x:v>
      </x:c>
      <x:c r="H78" t="str">
        <x:f>Despesas!G42</x:f>
        <x:v>ADMINISTRATIVO</x:v>
      </x:c>
      <x:c r="I78" t="str">
        <x:f>Despesas!H42</x:f>
        <x:v>6.4 - COMBUSTIVEL VEICULOS</x:v>
      </x:c>
      <x:c r="J78" s="5" t="n">
        <x:f>Despesas!I42</x:f>
        <x:v>402.35</x:v>
      </x:c>
      <x:c r="K78" s="5" t="n">
        <x:f>0</x:f>
        <x:v>0</x:v>
      </x:c>
      <x:c r="L78" s="5" t="n">
        <x:f>Despesas!I42</x:f>
        <x:v>402.35</x:v>
      </x:c>
      <x:c r="M78" s="5" t="n">
        <x:f>-J78</x:f>
        <x:v>-402.35</x:v>
      </x:c>
    </x:row>
    <x:row r="79">
      <x:c r="A79" t="str">
        <x:f>"Despesa/Custo"</x:f>
        <x:v>Despesa/Custo</x:v>
      </x:c>
      <x:c r="B79" t="str">
        <x:f>Despesas!A43</x:f>
        <x:v>REFEIÇÃO OBRAS</x:v>
      </x:c>
      <x:c r="C79" t="n">
        <x:f>Despesas!B43</x:f>
        <x:v>0</x:v>
      </x:c>
      <x:c r="D79" t="str">
        <x:f>Despesas!C43</x:f>
        <x:v>015036</x:v>
      </x:c>
      <x:c r="E79" t="str">
        <x:f>Despesas!D43</x:f>
        <x:v>REFEIÇÕES COLABORADORES REF. 05/01 A 15/01</x:v>
      </x:c>
      <x:c r="F79" t="n">
        <x:f>Despesas!E43</x:f>
        <x:v>0</x:v>
      </x:c>
      <x:c r="G79" s="4" t="n">
        <x:f>Despesas!F43</x:f>
        <x:v>46027</x:v>
      </x:c>
      <x:c r="H79" t="str">
        <x:f>Despesas!G43</x:f>
        <x:v>ANGLO AMERICAN</x:v>
      </x:c>
      <x:c r="I79" t="str">
        <x:f>Despesas!H43</x:f>
        <x:v>12.5 - REFEIÇÕES FUNCIONARIOS</x:v>
      </x:c>
      <x:c r="J79" s="5" t="n">
        <x:f>Despesas!I43</x:f>
        <x:v>1040</x:v>
      </x:c>
      <x:c r="K79" s="5" t="n">
        <x:f>0</x:f>
        <x:v>0</x:v>
      </x:c>
      <x:c r="L79" s="5" t="n">
        <x:f>Despesas!I43</x:f>
        <x:v>1040</x:v>
      </x:c>
      <x:c r="M79" s="5" t="n">
        <x:f>-J79</x:f>
        <x:v>-1040</x:v>
      </x:c>
    </x:row>
    <x:row r="80">
      <x:c r="A80" t="str">
        <x:f>"Despesa/Custo"</x:f>
        <x:v>Despesa/Custo</x:v>
      </x:c>
      <x:c r="B80" t="str">
        <x:f>Despesas!A44</x:f>
        <x:v>REFEIÇÃO OBRAS</x:v>
      </x:c>
      <x:c r="C80" t="n">
        <x:f>Despesas!B44</x:f>
        <x:v>0</x:v>
      </x:c>
      <x:c r="D80" t="str">
        <x:f>Despesas!C44</x:f>
        <x:v>015037</x:v>
      </x:c>
      <x:c r="E80" t="str">
        <x:f>Despesas!D44</x:f>
        <x:v>REFEIÇÕES COLABORADORES REF. 05/01 A 15/01</x:v>
      </x:c>
      <x:c r="F80" t="n">
        <x:f>Despesas!E44</x:f>
        <x:v>0</x:v>
      </x:c>
      <x:c r="G80" s="4" t="n">
        <x:f>Despesas!F44</x:f>
        <x:v>46027</x:v>
      </x:c>
      <x:c r="H80" t="str">
        <x:f>Despesas!G44</x:f>
        <x:v>SERENA 10 TORRES 2025</x:v>
      </x:c>
      <x:c r="I80" t="str">
        <x:f>Despesas!H44</x:f>
        <x:v>12.5 - REFEIÇÕES FUNCIONARIOS</x:v>
      </x:c>
      <x:c r="J80" s="5" t="n">
        <x:f>Despesas!I44</x:f>
        <x:v>1790</x:v>
      </x:c>
      <x:c r="K80" s="5" t="n">
        <x:f>0</x:f>
        <x:v>0</x:v>
      </x:c>
      <x:c r="L80" s="5" t="n">
        <x:f>Despesas!I44</x:f>
        <x:v>1790</x:v>
      </x:c>
      <x:c r="M80" s="5" t="n">
        <x:f>-J80</x:f>
        <x:v>-1790</x:v>
      </x:c>
    </x:row>
    <x:row r="81">
      <x:c r="A81" t="str">
        <x:f>"Despesa/Custo"</x:f>
        <x:v>Despesa/Custo</x:v>
      </x:c>
      <x:c r="B81" t="str">
        <x:f>Despesas!A45</x:f>
        <x:v>REFEIÇÃO OBRAS</x:v>
      </x:c>
      <x:c r="C81" t="n">
        <x:f>Despesas!B45</x:f>
        <x:v>0</x:v>
      </x:c>
      <x:c r="D81" t="str">
        <x:f>Despesas!C45</x:f>
        <x:v>015038</x:v>
      </x:c>
      <x:c r="E81" t="str">
        <x:f>Despesas!D45</x:f>
        <x:v>REFEIÇÕES COLABORADORES REF. 05/01 A 15/01</x:v>
      </x:c>
      <x:c r="F81" t="n">
        <x:f>Despesas!E45</x:f>
        <x:v>0</x:v>
      </x:c>
      <x:c r="G81" s="4" t="n">
        <x:f>Despesas!F45</x:f>
        <x:v>46027</x:v>
      </x:c>
      <x:c r="H81" t="str">
        <x:f>Despesas!G45</x:f>
        <x:v>EUROCHEM SERRA DO SALITRE</x:v>
      </x:c>
      <x:c r="I81" t="str">
        <x:f>Despesas!H45</x:f>
        <x:v>12.5 - REFEIÇÕES FUNCIONARIOS</x:v>
      </x:c>
      <x:c r="J81" s="5" t="n">
        <x:f>Despesas!I45</x:f>
        <x:v>2275</x:v>
      </x:c>
      <x:c r="K81" s="5" t="n">
        <x:f>0</x:f>
        <x:v>0</x:v>
      </x:c>
      <x:c r="L81" s="5" t="n">
        <x:f>Despesas!I45</x:f>
        <x:v>2275</x:v>
      </x:c>
      <x:c r="M81" s="5" t="n">
        <x:f>-J81</x:f>
        <x:v>-2275</x:v>
      </x:c>
    </x:row>
    <x:row r="82">
      <x:c r="A82" t="str">
        <x:f>"Despesa/Custo"</x:f>
        <x:v>Despesa/Custo</x:v>
      </x:c>
      <x:c r="B82" t="str">
        <x:f>Despesas!A46</x:f>
        <x:v>REFEIÇÃO OBRAS</x:v>
      </x:c>
      <x:c r="C82" t="n">
        <x:f>Despesas!B46</x:f>
        <x:v>0</x:v>
      </x:c>
      <x:c r="D82" t="str">
        <x:f>Despesas!C46</x:f>
        <x:v>015039</x:v>
      </x:c>
      <x:c r="E82" t="str">
        <x:f>Despesas!D46</x:f>
        <x:v>REFEIÇÕES COLABORADORES REF. 05/01 A 15/01</x:v>
      </x:c>
      <x:c r="F82" t="n">
        <x:f>Despesas!E46</x:f>
        <x:v>0</x:v>
      </x:c>
      <x:c r="G82" s="4" t="n">
        <x:f>Despesas!F46</x:f>
        <x:v>46027</x:v>
      </x:c>
      <x:c r="H82" t="str">
        <x:f>Despesas!G46</x:f>
        <x:v>NIOBIO CMOC CONTRATO</x:v>
      </x:c>
      <x:c r="I82" t="str">
        <x:f>Despesas!H46</x:f>
        <x:v>12.5 - REFEIÇÕES FUNCIONARIOS</x:v>
      </x:c>
      <x:c r="J82" s="5" t="n">
        <x:f>Despesas!I46</x:f>
        <x:v>2657.5</x:v>
      </x:c>
      <x:c r="K82" s="5" t="n">
        <x:f>0</x:f>
        <x:v>0</x:v>
      </x:c>
      <x:c r="L82" s="5" t="n">
        <x:f>Despesas!I46</x:f>
        <x:v>2657.5</x:v>
      </x:c>
      <x:c r="M82" s="5" t="n">
        <x:f>-J82</x:f>
        <x:v>-2657.5</x:v>
      </x:c>
    </x:row>
    <x:row r="83">
      <x:c r="A83" t="str">
        <x:f>"Despesa/Custo"</x:f>
        <x:v>Despesa/Custo</x:v>
      </x:c>
      <x:c r="B83" t="str">
        <x:f>Despesas!A47</x:f>
        <x:v>REFEIÇÃO OBRAS</x:v>
      </x:c>
      <x:c r="C83" t="n">
        <x:f>Despesas!B47</x:f>
        <x:v>0</x:v>
      </x:c>
      <x:c r="D83" t="str">
        <x:f>Despesas!C47</x:f>
        <x:v>015040</x:v>
      </x:c>
      <x:c r="E83" t="str">
        <x:f>Despesas!D47</x:f>
        <x:v>REFEIÇÕES COLABORADORES REF. 05/01 A 15/01</x:v>
      </x:c>
      <x:c r="F83" t="n">
        <x:f>Despesas!E47</x:f>
        <x:v>0</x:v>
      </x:c>
      <x:c r="G83" s="4" t="n">
        <x:f>Despesas!F47</x:f>
        <x:v>46027</x:v>
      </x:c>
      <x:c r="H83" t="str">
        <x:f>Despesas!G47</x:f>
        <x:v>FOSFATO CMOC CONTRAT</x:v>
      </x:c>
      <x:c r="I83" t="str">
        <x:f>Despesas!H47</x:f>
        <x:v>12.5 - REFEIÇÕES FUNCIONARIOS</x:v>
      </x:c>
      <x:c r="J83" s="5" t="n">
        <x:f>Despesas!I47</x:f>
        <x:v>2540</x:v>
      </x:c>
      <x:c r="K83" s="5" t="n">
        <x:f>0</x:f>
        <x:v>0</x:v>
      </x:c>
      <x:c r="L83" s="5" t="n">
        <x:f>Despesas!I47</x:f>
        <x:v>2540</x:v>
      </x:c>
      <x:c r="M83" s="5" t="n">
        <x:f>-J83</x:f>
        <x:v>-2540</x:v>
      </x:c>
    </x:row>
    <x:row r="84">
      <x:c r="A84" t="str">
        <x:f>"Despesa/Custo"</x:f>
        <x:v>Despesa/Custo</x:v>
      </x:c>
      <x:c r="B84" t="str">
        <x:f>Despesas!A48</x:f>
        <x:v>ENCOMENDA DE CATALAO</x:v>
      </x:c>
      <x:c r="C84" t="n">
        <x:f>Despesas!B48</x:f>
        <x:v>0</x:v>
      </x:c>
      <x:c r="D84" t="str">
        <x:f>Despesas!C48</x:f>
        <x:v>015043</x:v>
      </x:c>
      <x:c r="E84" t="str">
        <x:f>Despesas!D48</x:f>
        <x:v>GABRIELLE ELIAS DE FREITAS - PIX (64) 9 9259-1215</x:v>
      </x:c>
      <x:c r="F84" t="n">
        <x:f>Despesas!E48</x:f>
        <x:v>0</x:v>
      </x:c>
      <x:c r="G84" s="4" t="n">
        <x:f>Despesas!F48</x:f>
        <x:v>46027</x:v>
      </x:c>
      <x:c r="H84" t="str">
        <x:f>Despesas!G48</x:f>
        <x:v>FOSFATO CMOC CONTRAT</x:v>
      </x:c>
      <x:c r="I84" t="str">
        <x:f>Despesas!H48</x:f>
        <x:v>10.1 - FRETE MATERIAIS E EQUIPAMENTOS</x:v>
      </x:c>
      <x:c r="J84" s="5" t="n">
        <x:f>Despesas!I48</x:f>
        <x:v>125</x:v>
      </x:c>
      <x:c r="K84" s="5" t="n">
        <x:f>0</x:f>
        <x:v>0</x:v>
      </x:c>
      <x:c r="L84" s="5" t="n">
        <x:f>Despesas!I48</x:f>
        <x:v>125</x:v>
      </x:c>
      <x:c r="M84" s="5" t="n">
        <x:f>-J84</x:f>
        <x:v>-125</x:v>
      </x:c>
    </x:row>
    <x:row r="85">
      <x:c r="A85" t="str">
        <x:f>"Despesa/Custo"</x:f>
        <x:v>Despesa/Custo</x:v>
      </x:c>
      <x:c r="B85" t="str">
        <x:f>Despesas!A49</x:f>
        <x:v>ENCOMENDA DE CATALAO</x:v>
      </x:c>
      <x:c r="C85" t="n">
        <x:f>Despesas!B49</x:f>
        <x:v>0</x:v>
      </x:c>
      <x:c r="D85" t="str">
        <x:f>Despesas!C49</x:f>
        <x:v>015043</x:v>
      </x:c>
      <x:c r="E85" t="str">
        <x:f>Despesas!D49</x:f>
        <x:v>GABRIELLE ELIAS DE FREITAS - PIX (64) 9 9259-1215</x:v>
      </x:c>
      <x:c r="F85" t="n">
        <x:f>Despesas!E49</x:f>
        <x:v>0</x:v>
      </x:c>
      <x:c r="G85" s="4" t="n">
        <x:f>Despesas!F49</x:f>
        <x:v>46027</x:v>
      </x:c>
      <x:c r="H85" t="str">
        <x:f>Despesas!G49</x:f>
        <x:v>NIOBIO CMOC CONTRATO</x:v>
      </x:c>
      <x:c r="I85" t="str">
        <x:f>Despesas!H49</x:f>
        <x:v>10.1 - FRETE MATERIAIS E EQUIPAMENTOS</x:v>
      </x:c>
      <x:c r="J85" s="5" t="n">
        <x:f>Despesas!I49</x:f>
        <x:v>125</x:v>
      </x:c>
      <x:c r="K85" s="5" t="n">
        <x:f>0</x:f>
        <x:v>0</x:v>
      </x:c>
      <x:c r="L85" s="5" t="n">
        <x:f>Despesas!I49</x:f>
        <x:v>125</x:v>
      </x:c>
      <x:c r="M85" s="5" t="n">
        <x:f>-J85</x:f>
        <x:v>-125</x:v>
      </x:c>
    </x:row>
    <x:row r="86">
      <x:c r="A86" t="str">
        <x:f>"Despesa/Custo"</x:f>
        <x:v>Despesa/Custo</x:v>
      </x:c>
      <x:c r="B86" t="str">
        <x:f>Despesas!A50</x:f>
        <x:v>RESTAURANTE IMPERIO DO ESPETO LTDA</x:v>
      </x:c>
      <x:c r="C86" t="n">
        <x:f>Despesas!B50</x:f>
        <x:v>0</x:v>
      </x:c>
      <x:c r="D86" t="str">
        <x:f>Despesas!C50</x:f>
        <x:v>015044</x:v>
      </x:c>
      <x:c r="E86" t="str">
        <x:f>Despesas!D50</x:f>
        <x:v>ALIMENTAÇÃO ADM</x:v>
      </x:c>
      <x:c r="F86" t="str">
        <x:f>Despesas!E50</x:f>
        <x:v>PAGAMENTO FEITO EM DÉBITO</x:v>
      </x:c>
      <x:c r="G86" s="4" t="n">
        <x:f>Despesas!F50</x:f>
        <x:v>46027</x:v>
      </x:c>
      <x:c r="H86" t="str">
        <x:f>Despesas!G50</x:f>
        <x:v>ADMINISTRATIVO</x:v>
      </x:c>
      <x:c r="I86" t="str">
        <x:f>Despesas!H50</x:f>
        <x:v>11.5 - ALIMENTAÇÃO ADM</x:v>
      </x:c>
      <x:c r="J86" s="5" t="n">
        <x:f>Despesas!I50</x:f>
        <x:v>76</x:v>
      </x:c>
      <x:c r="K86" s="5" t="n">
        <x:f>0</x:f>
        <x:v>0</x:v>
      </x:c>
      <x:c r="L86" s="5" t="n">
        <x:f>Despesas!I50</x:f>
        <x:v>76</x:v>
      </x:c>
      <x:c r="M86" s="5" t="n">
        <x:f>-J86</x:f>
        <x:v>-76</x:v>
      </x:c>
    </x:row>
    <x:row r="87">
      <x:c r="A87" t="str">
        <x:f>"Despesa/Custo"</x:f>
        <x:v>Despesa/Custo</x:v>
      </x:c>
      <x:c r="B87" t="str">
        <x:f>Despesas!A51</x:f>
        <x:v>RESTAURANTE IMPERIO DO ESPETO LTDA</x:v>
      </x:c>
      <x:c r="C87" t="n">
        <x:f>Despesas!B51</x:f>
        <x:v>0</x:v>
      </x:c>
      <x:c r="D87" t="str">
        <x:f>Despesas!C51</x:f>
        <x:v>015045</x:v>
      </x:c>
      <x:c r="E87" t="str">
        <x:f>Despesas!D51</x:f>
        <x:v>ALIMENTAÇÃO ADM</x:v>
      </x:c>
      <x:c r="F87" t="str">
        <x:f>Despesas!E51</x:f>
        <x:v>PAGAMENTO FEITO EM DÉBITO</x:v>
      </x:c>
      <x:c r="G87" s="4" t="n">
        <x:f>Despesas!F51</x:f>
        <x:v>46027</x:v>
      </x:c>
      <x:c r="H87" t="str">
        <x:f>Despesas!G51</x:f>
        <x:v>ADMINISTRATIVO</x:v>
      </x:c>
      <x:c r="I87" t="str">
        <x:f>Despesas!H51</x:f>
        <x:v>11.5 - ALIMENTAÇÃO ADM</x:v>
      </x:c>
      <x:c r="J87" s="5" t="n">
        <x:f>Despesas!I51</x:f>
        <x:v>19</x:v>
      </x:c>
      <x:c r="K87" s="5" t="n">
        <x:f>0</x:f>
        <x:v>0</x:v>
      </x:c>
      <x:c r="L87" s="5" t="n">
        <x:f>Despesas!I51</x:f>
        <x:v>19</x:v>
      </x:c>
      <x:c r="M87" s="5" t="n">
        <x:f>-J87</x:f>
        <x:v>-19</x:v>
      </x:c>
    </x:row>
    <x:row r="88">
      <x:c r="A88" t="str">
        <x:f>"Despesa/Custo"</x:f>
        <x:v>Despesa/Custo</x:v>
      </x:c>
      <x:c r="B88" t="str">
        <x:f>Despesas!A52</x:f>
        <x:v>BANCO ITAU</x:v>
      </x:c>
      <x:c r="C88" t="n">
        <x:f>Despesas!B52</x:f>
        <x:v>0</x:v>
      </x:c>
      <x:c r="D88" t="str">
        <x:f>Despesas!C52</x:f>
        <x:v>015046</x:v>
      </x:c>
      <x:c r="E88" t="str">
        <x:f>Despesas!D52</x:f>
        <x:v>TAR CONTR/ RENOV CTA GAR / TAR CONTA CERTA 12/25 / TAR PIX PGTO TRANSF</x:v>
      </x:c>
      <x:c r="F88" t="str">
        <x:f>Despesas!E52</x:f>
        <x:v>Documento gerado a partir do Mov. 016749</x:v>
      </x:c>
      <x:c r="G88" s="4" t="n">
        <x:f>Despesas!F52</x:f>
        <x:v>46027</x:v>
      </x:c>
      <x:c r="H88" t="str">
        <x:f>Despesas!G52</x:f>
        <x:v>ADMINISTRATIVO</x:v>
      </x:c>
      <x:c r="I88" t="str">
        <x:f>Despesas!H52</x:f>
        <x:v>18.2 - TARIFAS BANCARIAS</x:v>
      </x:c>
      <x:c r="J88" s="5" t="n">
        <x:f>Despesas!I52</x:f>
        <x:v>656.8</x:v>
      </x:c>
      <x:c r="K88" s="5" t="n">
        <x:f>0</x:f>
        <x:v>0</x:v>
      </x:c>
      <x:c r="L88" s="5" t="n">
        <x:f>Despesas!I52</x:f>
        <x:v>656.8</x:v>
      </x:c>
      <x:c r="M88" s="5" t="n">
        <x:f>-J88</x:f>
        <x:v>-656.8</x:v>
      </x:c>
    </x:row>
    <x:row r="89">
      <x:c r="A89" t="str">
        <x:f>"Despesa/Custo"</x:f>
        <x:v>Despesa/Custo</x:v>
      </x:c>
      <x:c r="B89" t="str">
        <x:f>Despesas!A53</x:f>
        <x:v>BANCO ITAU</x:v>
      </x:c>
      <x:c r="C89" t="n">
        <x:f>Despesas!B53</x:f>
        <x:v>0</x:v>
      </x:c>
      <x:c r="D89" t="str">
        <x:f>Despesas!C53</x:f>
        <x:v>015047</x:v>
      </x:c>
      <x:c r="E89" t="str">
        <x:f>Despesas!D53</x:f>
        <x:v>IOF</x:v>
      </x:c>
      <x:c r="F89" t="str">
        <x:f>Despesas!E53</x:f>
        <x:v>Documento gerado a partir do Mov. 016750</x:v>
      </x:c>
      <x:c r="G89" s="4" t="n">
        <x:f>Despesas!F53</x:f>
        <x:v>46027</x:v>
      </x:c>
      <x:c r="H89" t="str">
        <x:f>Despesas!G53</x:f>
        <x:v>ADMINISTRATIVO</x:v>
      </x:c>
      <x:c r="I89" t="str">
        <x:f>Despesas!H53</x:f>
        <x:v>18.1 - JUROS BANCARIOS</x:v>
      </x:c>
      <x:c r="J89" s="5" t="n">
        <x:f>Despesas!I53</x:f>
        <x:v>43.36</x:v>
      </x:c>
      <x:c r="K89" s="5" t="n">
        <x:f>0</x:f>
        <x:v>0</x:v>
      </x:c>
      <x:c r="L89" s="5" t="n">
        <x:f>Despesas!I53</x:f>
        <x:v>43.36</x:v>
      </x:c>
      <x:c r="M89" s="5" t="n">
        <x:f>-J89</x:f>
        <x:v>-43.36</x:v>
      </x:c>
    </x:row>
    <x:row r="90">
      <x:c r="A90" t="str">
        <x:f>"Despesa/Custo"</x:f>
        <x:v>Despesa/Custo</x:v>
      </x:c>
      <x:c r="B90" t="str">
        <x:f>Despesas!A54</x:f>
        <x:v>BONIFICAÇOES</x:v>
      </x:c>
      <x:c r="C90" t="n">
        <x:f>Despesas!B54</x:f>
        <x:v>0</x:v>
      </x:c>
      <x:c r="D90" t="str">
        <x:f>Despesas!C54</x:f>
        <x:v>015053</x:v>
      </x:c>
      <x:c r="E90" t="str">
        <x:f>Despesas!D54</x:f>
        <x:v>BONIFICAÇÃO NIOBIO - NF 29 V</x:v>
      </x:c>
      <x:c r="F90" t="n">
        <x:f>Despesas!E54</x:f>
        <x:v>0</x:v>
      </x:c>
      <x:c r="G90" s="4" t="n">
        <x:f>Despesas!F54</x:f>
        <x:v>46027</x:v>
      </x:c>
      <x:c r="H90" t="str">
        <x:f>Despesas!G54</x:f>
        <x:v>NIOBIO CMOC CONTRATO</x:v>
      </x:c>
      <x:c r="I90" t="str">
        <x:f>Despesas!H54</x:f>
        <x:v>12.17 - BONIFICAÇOES</x:v>
      </x:c>
      <x:c r="J90" s="5" t="n">
        <x:f>Despesas!I54</x:f>
        <x:v>6000</x:v>
      </x:c>
      <x:c r="K90" s="5" t="n">
        <x:f>0</x:f>
        <x:v>0</x:v>
      </x:c>
      <x:c r="L90" s="5" t="n">
        <x:f>Despesas!I54</x:f>
        <x:v>6000</x:v>
      </x:c>
      <x:c r="M90" s="5" t="n">
        <x:f>-J90</x:f>
        <x:v>-6000</x:v>
      </x:c>
    </x:row>
    <x:row r="91">
      <x:c r="A91" t="str">
        <x:f>"Despesa/Custo"</x:f>
        <x:v>Despesa/Custo</x:v>
      </x:c>
      <x:c r="B91" t="str">
        <x:f>Despesas!A55</x:f>
        <x:v>BONIFICAÇOES</x:v>
      </x:c>
      <x:c r="C91" t="n">
        <x:f>Despesas!B55</x:f>
        <x:v>0</x:v>
      </x:c>
      <x:c r="D91" t="str">
        <x:f>Despesas!C55</x:f>
        <x:v>015054</x:v>
      </x:c>
      <x:c r="E91" t="str">
        <x:f>Despesas!D55</x:f>
        <x:v>BONIFICAÇÃO NIOBIO - NF 29 R</x:v>
      </x:c>
      <x:c r="F91" t="n">
        <x:f>Despesas!E55</x:f>
        <x:v>0</x:v>
      </x:c>
      <x:c r="G91" s="4" t="n">
        <x:f>Despesas!F55</x:f>
        <x:v>46027</x:v>
      </x:c>
      <x:c r="H91" t="str">
        <x:f>Despesas!G55</x:f>
        <x:v>NIOBIO CMOC CONTRATO</x:v>
      </x:c>
      <x:c r="I91" t="str">
        <x:f>Despesas!H55</x:f>
        <x:v>12.17 - BONIFICAÇOES</x:v>
      </x:c>
      <x:c r="J91" s="5" t="n">
        <x:f>Despesas!I55</x:f>
        <x:v>6000</x:v>
      </x:c>
      <x:c r="K91" s="5" t="n">
        <x:f>0</x:f>
        <x:v>0</x:v>
      </x:c>
      <x:c r="L91" s="5" t="n">
        <x:f>Despesas!I55</x:f>
        <x:v>6000</x:v>
      </x:c>
      <x:c r="M91" s="5" t="n">
        <x:f>-J91</x:f>
        <x:v>-6000</x:v>
      </x:c>
    </x:row>
    <x:row r="92">
      <x:c r="A92" t="str">
        <x:f>"Despesa/Custo"</x:f>
        <x:v>Despesa/Custo</x:v>
      </x:c>
      <x:c r="B92" t="str">
        <x:f>Despesas!A56</x:f>
        <x:v>BONIFICAÇOES</x:v>
      </x:c>
      <x:c r="C92" t="n">
        <x:f>Despesas!B56</x:f>
        <x:v>0</x:v>
      </x:c>
      <x:c r="D92" t="str">
        <x:f>Despesas!C56</x:f>
        <x:v>015055</x:v>
      </x:c>
      <x:c r="E92" t="str">
        <x:f>Despesas!D56</x:f>
        <x:v>BONIFICAÇÃO NIOBIO - NF 30 R</x:v>
      </x:c>
      <x:c r="F92" t="n">
        <x:f>Despesas!E56</x:f>
        <x:v>0</x:v>
      </x:c>
      <x:c r="G92" s="4" t="n">
        <x:f>Despesas!F56</x:f>
        <x:v>46027</x:v>
      </x:c>
      <x:c r="H92" t="str">
        <x:f>Despesas!G56</x:f>
        <x:v>NIOBIO CMOC CONTRATO</x:v>
      </x:c>
      <x:c r="I92" t="str">
        <x:f>Despesas!H56</x:f>
        <x:v>12.17 - BONIFICAÇOES</x:v>
      </x:c>
      <x:c r="J92" s="5" t="n">
        <x:f>Despesas!I56</x:f>
        <x:v>20000</x:v>
      </x:c>
      <x:c r="K92" s="5" t="n">
        <x:f>0</x:f>
        <x:v>0</x:v>
      </x:c>
      <x:c r="L92" s="5" t="n">
        <x:f>Despesas!I56</x:f>
        <x:v>20000</x:v>
      </x:c>
      <x:c r="M92" s="5" t="n">
        <x:f>-J92</x:f>
        <x:v>-20000</x:v>
      </x:c>
    </x:row>
    <x:row r="93">
      <x:c r="A93" t="str">
        <x:f>"Despesa/Custo"</x:f>
        <x:v>Despesa/Custo</x:v>
      </x:c>
      <x:c r="B93" t="str">
        <x:f>Despesas!A57</x:f>
        <x:v>RICARDO RODRIGUES - COMERCIAL</x:v>
      </x:c>
      <x:c r="C93" t="n">
        <x:f>Despesas!B57</x:f>
        <x:v>0</x:v>
      </x:c>
      <x:c r="D93" t="str">
        <x:f>Despesas!C57</x:f>
        <x:v>015056</x:v>
      </x:c>
      <x:c r="E93" t="str">
        <x:f>Despesas!D57</x:f>
        <x:v>VISITA TECNICA RICARDO OBRA AGREX</x:v>
      </x:c>
      <x:c r="F93" t="n">
        <x:f>Despesas!E57</x:f>
        <x:v>0</x:v>
      </x:c>
      <x:c r="G93" s="4" t="n">
        <x:f>Despesas!F57</x:f>
        <x:v>46027</x:v>
      </x:c>
      <x:c r="H93" t="str">
        <x:f>Despesas!G57</x:f>
        <x:v>AGREX IMPERMEALIZAÇAO DE TELHADO</x:v>
      </x:c>
      <x:c r="I93" t="str">
        <x:f>Despesas!H57</x:f>
        <x:v>6.4 - COMBUSTIVEL VEICULOS</x:v>
      </x:c>
      <x:c r="J93" s="5" t="n">
        <x:f>Despesas!I57</x:f>
        <x:v>300</x:v>
      </x:c>
      <x:c r="K93" s="5" t="n">
        <x:f>0</x:f>
        <x:v>0</x:v>
      </x:c>
      <x:c r="L93" s="5" t="n">
        <x:f>Despesas!I57</x:f>
        <x:v>300</x:v>
      </x:c>
      <x:c r="M93" s="5" t="n">
        <x:f>-J93</x:f>
        <x:v>-300</x:v>
      </x:c>
    </x:row>
    <x:row r="94">
      <x:c r="A94" t="str">
        <x:f>"Despesa/Custo"</x:f>
        <x:v>Despesa/Custo</x:v>
      </x:c>
      <x:c r="B94" t="str">
        <x:f>Despesas!A58</x:f>
        <x:v>DESPESAS DE VIAGEM</x:v>
      </x:c>
      <x:c r="C94" t="n">
        <x:f>Despesas!B58</x:f>
        <x:v>0</x:v>
      </x:c>
      <x:c r="D94" t="str">
        <x:f>Despesas!C58</x:f>
        <x:v>015057</x:v>
      </x:c>
      <x:c r="E94" t="str">
        <x:f>Despesas!D58</x:f>
        <x:v>REFEIÇÃO FUNCIONÁRIOS EVERTOM E RENAN</x:v>
      </x:c>
      <x:c r="F94" t="n">
        <x:f>Despesas!E58</x:f>
        <x:v>0</x:v>
      </x:c>
      <x:c r="G94" s="4" t="n">
        <x:f>Despesas!F58</x:f>
        <x:v>46027</x:v>
      </x:c>
      <x:c r="H94" t="str">
        <x:f>Despesas!G58</x:f>
        <x:v>ANGLO AMERICAN</x:v>
      </x:c>
      <x:c r="I94" t="str">
        <x:f>Despesas!H58</x:f>
        <x:v>12.5 - REFEIÇÕES FUNCIONARIOS</x:v>
      </x:c>
      <x:c r="J94" s="5" t="n">
        <x:f>Despesas!I58</x:f>
        <x:v>320</x:v>
      </x:c>
      <x:c r="K94" s="5" t="n">
        <x:f>0</x:f>
        <x:v>0</x:v>
      </x:c>
      <x:c r="L94" s="5" t="n">
        <x:f>Despesas!I58</x:f>
        <x:v>320</x:v>
      </x:c>
      <x:c r="M94" s="5" t="n">
        <x:f>-J94</x:f>
        <x:v>-320</x:v>
      </x:c>
    </x:row>
    <x:row r="95">
      <x:c r="A95" t="str">
        <x:f>"Despesa/Custo"</x:f>
        <x:v>Despesa/Custo</x:v>
      </x:c>
      <x:c r="B95" t="str">
        <x:f>Despesas!A59</x:f>
        <x:v>DESPESAS DE VIAGEM</x:v>
      </x:c>
      <x:c r="C95" t="n">
        <x:f>Despesas!B59</x:f>
        <x:v>0</x:v>
      </x:c>
      <x:c r="D95" t="str">
        <x:f>Despesas!C59</x:f>
        <x:v>015058</x:v>
      </x:c>
      <x:c r="E95" t="str">
        <x:f>Despesas!D59</x:f>
        <x:v>PASSAGEM FUNCIONÁRIOS CLEBER / JOSE NILTON E JOSE ROBERTO</x:v>
      </x:c>
      <x:c r="F95" t="n">
        <x:f>Despesas!E59</x:f>
        <x:v>0</x:v>
      </x:c>
      <x:c r="G95" s="4" t="n">
        <x:f>Despesas!F59</x:f>
        <x:v>46027</x:v>
      </x:c>
      <x:c r="H95" t="str">
        <x:f>Despesas!G59</x:f>
        <x:v>SERENA 10 TORRES 2025</x:v>
      </x:c>
      <x:c r="I95" t="str">
        <x:f>Despesas!H59</x:f>
        <x:v>12.9 - PASSAGENS FUNCIONARIOS</x:v>
      </x:c>
      <x:c r="J95" s="5" t="n">
        <x:f>Despesas!I59</x:f>
        <x:v>240</x:v>
      </x:c>
      <x:c r="K95" s="5" t="n">
        <x:f>0</x:f>
        <x:v>0</x:v>
      </x:c>
      <x:c r="L95" s="5" t="n">
        <x:f>Despesas!I59</x:f>
        <x:v>240</x:v>
      </x:c>
      <x:c r="M95" s="5" t="n">
        <x:f>-J95</x:f>
        <x:v>-240</x:v>
      </x:c>
    </x:row>
    <x:row r="96">
      <x:c r="A96" t="str">
        <x:f>"Despesa/Custo"</x:f>
        <x:v>Despesa/Custo</x:v>
      </x:c>
      <x:c r="B96" t="str">
        <x:f>Despesas!A60</x:f>
        <x:v>FERRAGISTA OBRAS</x:v>
      </x:c>
      <x:c r="C96" t="n">
        <x:f>Despesas!B60</x:f>
        <x:v>0</x:v>
      </x:c>
      <x:c r="D96" t="str">
        <x:f>Despesas!C60</x:f>
        <x:v>015059</x:v>
      </x:c>
      <x:c r="E96" t="str">
        <x:f>Despesas!D60</x:f>
        <x:v>MATERIAIS DE CONSUMO</x:v>
      </x:c>
      <x:c r="F96" t="str">
        <x:f>Despesas!E60</x:f>
        <x:v>PAGAMENTO FEITO EM DÉBITO</x:v>
      </x:c>
      <x:c r="G96" s="4" t="n">
        <x:f>Despesas!F60</x:f>
        <x:v>46027</x:v>
      </x:c>
      <x:c r="H96" t="str">
        <x:f>Despesas!G60</x:f>
        <x:v>ADMINISTRATIVO</x:v>
      </x:c>
      <x:c r="I96" t="str">
        <x:f>Despesas!H60</x:f>
        <x:v>8.9 - MATERIAIS DE CONSUMO EM OBRAS</x:v>
      </x:c>
      <x:c r="J96" s="5" t="n">
        <x:f>Despesas!I60</x:f>
        <x:v>93.53</x:v>
      </x:c>
      <x:c r="K96" s="5" t="n">
        <x:f>0</x:f>
        <x:v>0</x:v>
      </x:c>
      <x:c r="L96" s="5" t="n">
        <x:f>Despesas!I60</x:f>
        <x:v>93.53</x:v>
      </x:c>
      <x:c r="M96" s="5" t="n">
        <x:f>-J96</x:f>
        <x:v>-93.53</x:v>
      </x:c>
    </x:row>
    <x:row r="97">
      <x:c r="A97" t="str">
        <x:f>"Despesa/Custo"</x:f>
        <x:v>Despesa/Custo</x:v>
      </x:c>
      <x:c r="B97" t="str">
        <x:f>Despesas!A61</x:f>
        <x:v>DESPESAS DE VIAGEM</x:v>
      </x:c>
      <x:c r="C97" t="n">
        <x:f>Despesas!B61</x:f>
        <x:v>0</x:v>
      </x:c>
      <x:c r="D97" t="str">
        <x:f>Despesas!C61</x:f>
        <x:v>015069</x:v>
      </x:c>
      <x:c r="E97" t="str">
        <x:f>Despesas!D61</x:f>
        <x:v>DESPESA REF. 05/01 A 09/01</x:v>
      </x:c>
      <x:c r="F97" t="n">
        <x:f>Despesas!E61</x:f>
        <x:v>0</x:v>
      </x:c>
      <x:c r="G97" s="4" t="n">
        <x:f>Despesas!F61</x:f>
        <x:v>46027</x:v>
      </x:c>
      <x:c r="H97" t="str">
        <x:f>Despesas!G61</x:f>
        <x:v>SERENA 10 TORRES 2025</x:v>
      </x:c>
      <x:c r="I97" t="str">
        <x:f>Despesas!H61</x:f>
        <x:v>12.5 - REFEIÇÕES FUNCIONARIOS</x:v>
      </x:c>
      <x:c r="J97" s="5" t="n">
        <x:f>Despesas!I61</x:f>
        <x:v>800</x:v>
      </x:c>
      <x:c r="K97" s="5" t="n">
        <x:f>0</x:f>
        <x:v>0</x:v>
      </x:c>
      <x:c r="L97" s="5" t="n">
        <x:f>Despesas!I61</x:f>
        <x:v>800</x:v>
      </x:c>
      <x:c r="M97" s="5" t="n">
        <x:f>-J97</x:f>
        <x:v>-800</x:v>
      </x:c>
    </x:row>
    <x:row r="98">
      <x:c r="A98" t="str">
        <x:f>"Despesa/Custo"</x:f>
        <x:v>Despesa/Custo</x:v>
      </x:c>
      <x:c r="B98" t="str">
        <x:f>Despesas!A62</x:f>
        <x:v>DESPESAS DE VIAGEM</x:v>
      </x:c>
      <x:c r="C98" t="n">
        <x:f>Despesas!B62</x:f>
        <x:v>0</x:v>
      </x:c>
      <x:c r="D98" t="str">
        <x:f>Despesas!C62</x:f>
        <x:v>015069</x:v>
      </x:c>
      <x:c r="E98" t="str">
        <x:f>Despesas!D62</x:f>
        <x:v>DESPESA REF. 05/01 A 09/01</x:v>
      </x:c>
      <x:c r="F98" t="n">
        <x:f>Despesas!E62</x:f>
        <x:v>0</x:v>
      </x:c>
      <x:c r="G98" s="4" t="n">
        <x:f>Despesas!F62</x:f>
        <x:v>46027</x:v>
      </x:c>
      <x:c r="H98" t="str">
        <x:f>Despesas!G62</x:f>
        <x:v>SERENA 10 TORRES 2025</x:v>
      </x:c>
      <x:c r="I98" t="str">
        <x:f>Despesas!H62</x:f>
        <x:v>12.9 - PASSAGENS FUNCIONARIOS</x:v>
      </x:c>
      <x:c r="J98" s="5" t="n">
        <x:f>Despesas!I62</x:f>
        <x:v>1232</x:v>
      </x:c>
      <x:c r="K98" s="5" t="n">
        <x:f>0</x:f>
        <x:v>0</x:v>
      </x:c>
      <x:c r="L98" s="5" t="n">
        <x:f>Despesas!I62</x:f>
        <x:v>1232</x:v>
      </x:c>
      <x:c r="M98" s="5" t="n">
        <x:f>-J98</x:f>
        <x:v>-1232</x:v>
      </x:c>
    </x:row>
    <x:row r="99">
      <x:c r="A99" t="str">
        <x:f>"Despesa/Custo"</x:f>
        <x:v>Despesa/Custo</x:v>
      </x:c>
      <x:c r="B99" t="str">
        <x:f>Despesas!A63</x:f>
        <x:v>POSTO A+ COMERCIO DE COMBUSTIVEL LTDA</x:v>
      </x:c>
      <x:c r="C99" t="str">
        <x:f>Despesas!B63</x:f>
        <x:v>20278</x:v>
      </x:c>
      <x:c r="D99" t="str">
        <x:f>Despesas!C63</x:f>
        <x:v>015093</x:v>
      </x:c>
      <x:c r="E99" t="str">
        <x:f>Despesas!D63</x:f>
        <x:v>COMBUSTÍVEL VEÍCULOS</x:v>
      </x:c>
      <x:c r="F99" t="n">
        <x:f>Despesas!E63</x:f>
        <x:v>0</x:v>
      </x:c>
      <x:c r="G99" s="4" t="n">
        <x:f>Despesas!F63</x:f>
        <x:v>46027</x:v>
      </x:c>
      <x:c r="H99" t="str">
        <x:f>Despesas!G63</x:f>
        <x:v>VLI PINTURA</x:v>
      </x:c>
      <x:c r="I99" t="str">
        <x:f>Despesas!H63</x:f>
        <x:v>6.4 - COMBUSTIVEL VEICULOS</x:v>
      </x:c>
      <x:c r="J99" s="5" t="n">
        <x:f>Despesas!I63</x:f>
        <x:v>865.29</x:v>
      </x:c>
      <x:c r="K99" s="5" t="n">
        <x:f>0</x:f>
        <x:v>0</x:v>
      </x:c>
      <x:c r="L99" s="5" t="n">
        <x:f>Despesas!I63</x:f>
        <x:v>865.29</x:v>
      </x:c>
      <x:c r="M99" s="5" t="n">
        <x:f>-J99</x:f>
        <x:v>-865.29</x:v>
      </x:c>
    </x:row>
    <x:row r="100">
      <x:c r="A100" t="str">
        <x:f>"Despesa/Custo"</x:f>
        <x:v>Despesa/Custo</x:v>
      </x:c>
      <x:c r="B100" t="str">
        <x:f>Despesas!A64</x:f>
        <x:v>EXPLORERNET TECNOLOGIA E COMUNICACAO LTDA</x:v>
      </x:c>
      <x:c r="C100" t="str">
        <x:f>Despesas!B64</x:f>
        <x:v>302</x:v>
      </x:c>
      <x:c r="D100" t="str">
        <x:f>Despesas!C64</x:f>
        <x:v>015109</x:v>
      </x:c>
      <x:c r="E100" t="str">
        <x:f>Despesas!D64</x:f>
        <x:v>INTERNET ADM</x:v>
      </x:c>
      <x:c r="F100" t="str">
        <x:f>Despesas!E64</x:f>
        <x:v>VENCIMENTO ORIGINAL DO BOLETO 20/01/26</x:v>
      </x:c>
      <x:c r="G100" s="4" t="n">
        <x:f>Despesas!F64</x:f>
        <x:v>46027</x:v>
      </x:c>
      <x:c r="H100" t="str">
        <x:f>Despesas!G64</x:f>
        <x:v>ADMINISTRATIVO</x:v>
      </x:c>
      <x:c r="I100" t="str">
        <x:f>Despesas!H64</x:f>
        <x:v>11.6 - INTERNET / TELEFONE ADM</x:v>
      </x:c>
      <x:c r="J100" s="5" t="n">
        <x:f>Despesas!I64</x:f>
        <x:v>909.63</x:v>
      </x:c>
      <x:c r="K100" s="5" t="n">
        <x:f>0</x:f>
        <x:v>0</x:v>
      </x:c>
      <x:c r="L100" s="5" t="n">
        <x:f>Despesas!I64</x:f>
        <x:v>909.63</x:v>
      </x:c>
      <x:c r="M100" s="5" t="n">
        <x:f>-J100</x:f>
        <x:v>-909.63</x:v>
      </x:c>
    </x:row>
    <x:row r="101">
      <x:c r="A101" t="str">
        <x:f>"Despesa/Custo"</x:f>
        <x:v>Despesa/Custo</x:v>
      </x:c>
      <x:c r="B101" t="str">
        <x:f>Despesas!A65</x:f>
        <x:v>A &amp; F CONSULTORIA EMPRESARIAL LTDA</x:v>
      </x:c>
      <x:c r="C101" t="str">
        <x:f>Despesas!B65</x:f>
        <x:v>11</x:v>
      </x:c>
      <x:c r="D101" t="str">
        <x:f>Despesas!C65</x:f>
        <x:v>015122</x:v>
      </x:c>
      <x:c r="E101" t="str">
        <x:f>Despesas!D65</x:f>
        <x:v>A F CONSULTORIA EMPRESARIAL LTDA - PIX 31.340.669/0001-56</x:v>
      </x:c>
      <x:c r="F101" t="str">
        <x:f>Despesas!E65</x:f>
        <x:v>HONORÁRIO DE CONSTITUIÇÃO - HOLDINGS</x:v>
      </x:c>
      <x:c r="G101" s="4" t="n">
        <x:f>Despesas!F65</x:f>
        <x:v>46027</x:v>
      </x:c>
      <x:c r="H101" t="str">
        <x:f>Despesas!G65</x:f>
        <x:v>ADMINISTRATIVO</x:v>
      </x:c>
      <x:c r="I101" t="str">
        <x:f>Despesas!H65</x:f>
        <x:v>11.10 - CONTABILIDADE</x:v>
      </x:c>
      <x:c r="J101" s="5" t="n">
        <x:f>Despesas!I65</x:f>
        <x:v>2155.78</x:v>
      </x:c>
      <x:c r="K101" s="5" t="n">
        <x:f>0</x:f>
        <x:v>0</x:v>
      </x:c>
      <x:c r="L101" s="5" t="n">
        <x:f>Despesas!I65</x:f>
        <x:v>2155.78</x:v>
      </x:c>
      <x:c r="M101" s="5" t="n">
        <x:f>-J101</x:f>
        <x:v>-2155.78</x:v>
      </x:c>
    </x:row>
    <x:row r="102">
      <x:c r="A102" t="str">
        <x:f>"Despesa/Custo"</x:f>
        <x:v>Despesa/Custo</x:v>
      </x:c>
      <x:c r="B102" t="str">
        <x:f>Despesas!A66</x:f>
        <x:v>QUALI TINTAS</x:v>
      </x:c>
      <x:c r="C102" t="str">
        <x:f>Despesas!B66</x:f>
        <x:v>19100</x:v>
      </x:c>
      <x:c r="D102" t="str">
        <x:f>Despesas!C66</x:f>
        <x:v>015123</x:v>
      </x:c>
      <x:c r="E102" t="str">
        <x:f>Despesas!D66</x:f>
        <x:v>MATERIAIS DE CONSUMO</x:v>
      </x:c>
      <x:c r="F102" t="n">
        <x:f>Despesas!E66</x:f>
        <x:v>0</x:v>
      </x:c>
      <x:c r="G102" s="4" t="n">
        <x:f>Despesas!F66</x:f>
        <x:v>46027</x:v>
      </x:c>
      <x:c r="H102" t="str">
        <x:f>Despesas!G66</x:f>
        <x:v>EUROCHEM SERRA DO SALITRE</x:v>
      </x:c>
      <x:c r="I102" t="str">
        <x:f>Despesas!H66</x:f>
        <x:v>8.9 - MATERIAIS DE CONSUMO EM OBRAS</x:v>
      </x:c>
      <x:c r="J102" s="5" t="n">
        <x:f>Despesas!I66</x:f>
        <x:v>2703.33</x:v>
      </x:c>
      <x:c r="K102" s="5" t="n">
        <x:f>0</x:f>
        <x:v>0</x:v>
      </x:c>
      <x:c r="L102" s="5" t="n">
        <x:f>Despesas!I66</x:f>
        <x:v>2703.33</x:v>
      </x:c>
      <x:c r="M102" s="5" t="n">
        <x:f>-J102</x:f>
        <x:v>-2703.33</x:v>
      </x:c>
    </x:row>
    <x:row r="103">
      <x:c r="A103" t="str">
        <x:f>"Despesa/Custo"</x:f>
        <x:v>Despesa/Custo</x:v>
      </x:c>
      <x:c r="B103" t="str">
        <x:f>Despesas!A67</x:f>
        <x:v>QUALI TINTAS</x:v>
      </x:c>
      <x:c r="C103" t="str">
        <x:f>Despesas!B67</x:f>
        <x:v>19100</x:v>
      </x:c>
      <x:c r="D103" t="str">
        <x:f>Despesas!C67</x:f>
        <x:v>015123</x:v>
      </x:c>
      <x:c r="E103" t="str">
        <x:f>Despesas!D67</x:f>
        <x:v>MATERIAIS DE CONSUMO</x:v>
      </x:c>
      <x:c r="F103" t="n">
        <x:f>Despesas!E67</x:f>
        <x:v>0</x:v>
      </x:c>
      <x:c r="G103" s="4" t="n">
        <x:f>Despesas!F67</x:f>
        <x:v>46027</x:v>
      </x:c>
      <x:c r="H103" t="str">
        <x:f>Despesas!G67</x:f>
        <x:v>EUROCHEM SERRA DO SALITRE</x:v>
      </x:c>
      <x:c r="I103" t="str">
        <x:f>Despesas!H67</x:f>
        <x:v>8.9 - MATERIAIS DE CONSUMO EM OBRAS</x:v>
      </x:c>
      <x:c r="J103" s="5" t="n">
        <x:f>Despesas!I67</x:f>
        <x:v>2703.33</x:v>
      </x:c>
      <x:c r="K103" s="5" t="n">
        <x:f>0</x:f>
        <x:v>0</x:v>
      </x:c>
      <x:c r="L103" s="5" t="n">
        <x:f>Despesas!I67</x:f>
        <x:v>2703.33</x:v>
      </x:c>
      <x:c r="M103" s="5" t="n">
        <x:f>-J103</x:f>
        <x:v>-2703.33</x:v>
      </x:c>
    </x:row>
    <x:row r="104">
      <x:c r="A104" t="str">
        <x:f>"Despesa/Custo"</x:f>
        <x:v>Despesa/Custo</x:v>
      </x:c>
      <x:c r="B104" t="str">
        <x:f>Despesas!A68</x:f>
        <x:v>QUALI TINTAS</x:v>
      </x:c>
      <x:c r="C104" t="str">
        <x:f>Despesas!B68</x:f>
        <x:v>19100</x:v>
      </x:c>
      <x:c r="D104" t="str">
        <x:f>Despesas!C68</x:f>
        <x:v>015123</x:v>
      </x:c>
      <x:c r="E104" t="str">
        <x:f>Despesas!D68</x:f>
        <x:v>MATERIAIS DE CONSUMO</x:v>
      </x:c>
      <x:c r="F104" t="n">
        <x:f>Despesas!E68</x:f>
        <x:v>0</x:v>
      </x:c>
      <x:c r="G104" s="4" t="n">
        <x:f>Despesas!F68</x:f>
        <x:v>46027</x:v>
      </x:c>
      <x:c r="H104" t="str">
        <x:f>Despesas!G68</x:f>
        <x:v>EUROCHEM SERRA DO SALITRE</x:v>
      </x:c>
      <x:c r="I104" t="str">
        <x:f>Despesas!H68</x:f>
        <x:v>8.9 - MATERIAIS DE CONSUMO EM OBRAS</x:v>
      </x:c>
      <x:c r="J104" s="5" t="n">
        <x:f>Despesas!I68</x:f>
        <x:v>2703.34</x:v>
      </x:c>
      <x:c r="K104" s="5" t="n">
        <x:f>0</x:f>
        <x:v>0</x:v>
      </x:c>
      <x:c r="L104" s="5" t="n">
        <x:f>Despesas!I68</x:f>
        <x:v>2703.34</x:v>
      </x:c>
      <x:c r="M104" s="5" t="n">
        <x:f>-J104</x:f>
        <x:v>-2703.34</x:v>
      </x:c>
    </x:row>
    <x:row r="105">
      <x:c r="A105" t="str">
        <x:f>"Despesa/Custo"</x:f>
        <x:v>Despesa/Custo</x:v>
      </x:c>
      <x:c r="B105" t="str">
        <x:f>Despesas!A69</x:f>
        <x:v>CAB INDUSTRIAL LTDA</x:v>
      </x:c>
      <x:c r="C105" t="str">
        <x:f>Despesas!B69</x:f>
        <x:v>79162</x:v>
      </x:c>
      <x:c r="D105" t="str">
        <x:f>Despesas!C69</x:f>
        <x:v>015157</x:v>
      </x:c>
      <x:c r="E105" t="str">
        <x:f>Despesas!D69</x:f>
        <x:v>EPIS</x:v>
      </x:c>
      <x:c r="F105" t="n">
        <x:f>Despesas!E69</x:f>
        <x:v>0</x:v>
      </x:c>
      <x:c r="G105" s="4" t="n">
        <x:f>Despesas!F69</x:f>
        <x:v>46027</x:v>
      </x:c>
      <x:c r="H105" t="str">
        <x:f>Despesas!G69</x:f>
        <x:v>MOSAIC UBERABA CONTRAT0 3 ANOS</x:v>
      </x:c>
      <x:c r="I105" t="str">
        <x:f>Despesas!H69</x:f>
        <x:v>13.1 - EPIS</x:v>
      </x:c>
      <x:c r="J105" s="5" t="n">
        <x:f>Despesas!I69</x:f>
        <x:v>274.57</x:v>
      </x:c>
      <x:c r="K105" s="5" t="n">
        <x:f>0</x:f>
        <x:v>0</x:v>
      </x:c>
      <x:c r="L105" s="5" t="n">
        <x:f>Despesas!I69</x:f>
        <x:v>274.57</x:v>
      </x:c>
      <x:c r="M105" s="5" t="n">
        <x:f>-J105</x:f>
        <x:v>-274.57</x:v>
      </x:c>
    </x:row>
    <x:row r="106">
      <x:c r="A106" t="str">
        <x:f>"Despesa/Custo"</x:f>
        <x:v>Despesa/Custo</x:v>
      </x:c>
      <x:c r="B106" t="str">
        <x:f>Despesas!A70</x:f>
        <x:v>JC RESTAURANTE INDUSTRIAL NIQUELANDIA LTDA</x:v>
      </x:c>
      <x:c r="C106" t="str">
        <x:f>Despesas!B70</x:f>
        <x:v>1810</x:v>
      </x:c>
      <x:c r="D106" t="str">
        <x:f>Despesas!C70</x:f>
        <x:v>015869</x:v>
      </x:c>
      <x:c r="E106" t="str">
        <x:f>Despesas!D70</x:f>
        <x:v>REFEIÇÕES FUNCIONÁRIOS</x:v>
      </x:c>
      <x:c r="F106" t="n">
        <x:f>Despesas!E70</x:f>
        <x:v>0</x:v>
      </x:c>
      <x:c r="G106" s="4" t="n">
        <x:f>Despesas!F70</x:f>
        <x:v>46027</x:v>
      </x:c>
      <x:c r="H106" t="str">
        <x:f>Despesas!G70</x:f>
        <x:v>FOSFATO CMOC CONTRAT</x:v>
      </x:c>
      <x:c r="I106" t="str">
        <x:f>Despesas!H70</x:f>
        <x:v>12.5 - REFEIÇÕES FUNCIONARIOS</x:v>
      </x:c>
      <x:c r="J106" s="5" t="n">
        <x:f>Despesas!I70</x:f>
        <x:v>1722.3</x:v>
      </x:c>
      <x:c r="K106" s="5" t="n">
        <x:f>0</x:f>
        <x:v>0</x:v>
      </x:c>
      <x:c r="L106" s="5" t="n">
        <x:f>Despesas!I70</x:f>
        <x:v>1722.3</x:v>
      </x:c>
      <x:c r="M106" s="5" t="n">
        <x:f>-J106</x:f>
        <x:v>-1722.3</x:v>
      </x:c>
    </x:row>
    <x:row r="107">
      <x:c r="A107" t="str">
        <x:f>"Despesa/Custo"</x:f>
        <x:v>Despesa/Custo</x:v>
      </x:c>
      <x:c r="B107" t="str">
        <x:f>Despesas!A71</x:f>
        <x:v>BANCO MERCANTIL</x:v>
      </x:c>
      <x:c r="C107" t="n">
        <x:f>Despesas!B71</x:f>
        <x:v>0</x:v>
      </x:c>
      <x:c r="D107" t="str">
        <x:f>Despesas!C71</x:f>
        <x:v>015987</x:v>
      </x:c>
      <x:c r="E107" t="str">
        <x:f>Despesas!D71</x:f>
        <x:v>TARIFA ABERT.CREDITO</x:v>
      </x:c>
      <x:c r="F107" t="str">
        <x:f>Despesas!E71</x:f>
        <x:v>Documento gerado a partir do Mov. 017522</x:v>
      </x:c>
      <x:c r="G107" s="4" t="n">
        <x:f>Despesas!F71</x:f>
        <x:v>46027</x:v>
      </x:c>
      <x:c r="H107" t="str">
        <x:f>Despesas!G71</x:f>
        <x:v>ADMINISTRATIVO</x:v>
      </x:c>
      <x:c r="I107" t="str">
        <x:f>Despesas!H71</x:f>
        <x:v>18.2 - TARIFAS BANCARIAS</x:v>
      </x:c>
      <x:c r="J107" s="5" t="n">
        <x:f>Despesas!I71</x:f>
        <x:v>600</x:v>
      </x:c>
      <x:c r="K107" s="5" t="n">
        <x:f>0</x:f>
        <x:v>0</x:v>
      </x:c>
      <x:c r="L107" s="5" t="n">
        <x:f>Despesas!I71</x:f>
        <x:v>600</x:v>
      </x:c>
      <x:c r="M107" s="5" t="n">
        <x:f>-J107</x:f>
        <x:v>-600</x:v>
      </x:c>
    </x:row>
    <x:row r="108">
      <x:c r="A108" t="str">
        <x:f>"Despesa/Custo"</x:f>
        <x:v>Despesa/Custo</x:v>
      </x:c>
      <x:c r="B108" t="str">
        <x:f>Despesas!A72</x:f>
        <x:v>BANCO SAFRA</x:v>
      </x:c>
      <x:c r="C108" t="n">
        <x:f>Despesas!B72</x:f>
        <x:v>0</x:v>
      </x:c>
      <x:c r="D108" t="str">
        <x:f>Despesas!C72</x:f>
        <x:v>016001</x:v>
      </x:c>
      <x:c r="E108" t="str">
        <x:f>Despesas!D72</x:f>
        <x:v>PACOTE PJ EMPRESA 3</x:v>
      </x:c>
      <x:c r="F108" t="str">
        <x:f>Despesas!E72</x:f>
        <x:v>Documento gerado a partir do Mov. 017548</x:v>
      </x:c>
      <x:c r="G108" s="4" t="n">
        <x:f>Despesas!F72</x:f>
        <x:v>46027</x:v>
      </x:c>
      <x:c r="H108" t="str">
        <x:f>Despesas!G72</x:f>
        <x:v>ADMINISTRATIVO</x:v>
      </x:c>
      <x:c r="I108" t="str">
        <x:f>Despesas!H72</x:f>
        <x:v>18.2 - TARIFAS BANCARIAS</x:v>
      </x:c>
      <x:c r="J108" s="5" t="n">
        <x:f>Despesas!I72</x:f>
        <x:v>420</x:v>
      </x:c>
      <x:c r="K108" s="5" t="n">
        <x:f>0</x:f>
        <x:v>0</x:v>
      </x:c>
      <x:c r="L108" s="5" t="n">
        <x:f>Despesas!I72</x:f>
        <x:v>420</x:v>
      </x:c>
      <x:c r="M108" s="5" t="n">
        <x:f>-J108</x:f>
        <x:v>-420</x:v>
      </x:c>
    </x:row>
    <x:row r="109">
      <x:c r="A109" t="str">
        <x:f>"Despesa/Custo"</x:f>
        <x:v>Despesa/Custo</x:v>
      </x:c>
      <x:c r="B109" t="str">
        <x:f>Despesas!A73</x:f>
        <x:v>BANCO CAIXA</x:v>
      </x:c>
      <x:c r="C109" t="n">
        <x:f>Despesas!B73</x:f>
        <x:v>0</x:v>
      </x:c>
      <x:c r="D109" t="str">
        <x:f>Despesas!C73</x:f>
        <x:v>004304</x:v>
      </x:c>
      <x:c r="E109" t="str">
        <x:f>Despesas!D73</x:f>
        <x:v>EMPRESTIMO BANCO CAIXA / PEGO PARA PAGAR MERCANTIL</x:v>
      </x:c>
      <x:c r="F109" t="str">
        <x:f>Despesas!E73</x:f>
        <x:v>TAXA DE JUROS 1,8% A.M</x:v>
      </x:c>
      <x:c r="G109" s="4" t="n">
        <x:f>Despesas!F73</x:f>
        <x:v>46028</x:v>
      </x:c>
      <x:c r="H109" t="str">
        <x:f>Despesas!G73</x:f>
        <x:v>EMPRESTIMOS</x:v>
      </x:c>
      <x:c r="I109" t="str">
        <x:f>Despesas!H73</x:f>
        <x:v>11.9 - PAGAMENTOS EMPRESTIMOS</x:v>
      </x:c>
      <x:c r="J109" s="5" t="n">
        <x:f>Despesas!I73</x:f>
        <x:v>20274.2</x:v>
      </x:c>
      <x:c r="K109" s="5" t="n">
        <x:f>0</x:f>
        <x:v>0</x:v>
      </x:c>
      <x:c r="L109" s="5" t="n">
        <x:f>Despesas!I73</x:f>
        <x:v>20274.2</x:v>
      </x:c>
      <x:c r="M109" s="5" t="n">
        <x:f>-J109</x:f>
        <x:v>-20274.2</x:v>
      </x:c>
    </x:row>
    <x:row r="110">
      <x:c r="A110" t="str">
        <x:f>"Despesa/Custo"</x:f>
        <x:v>Despesa/Custo</x:v>
      </x:c>
      <x:c r="B110" t="str">
        <x:f>Despesas!A74</x:f>
        <x:v>FOLHA DE PAGAMENTO</x:v>
      </x:c>
      <x:c r="C110" t="n">
        <x:f>Despesas!B74</x:f>
        <x:v>0</x:v>
      </x:c>
      <x:c r="D110" t="str">
        <x:f>Despesas!C74</x:f>
        <x:v>015021</x:v>
      </x:c>
      <x:c r="E110" t="str">
        <x:f>Despesas!D74</x:f>
        <x:v>MAURO ALFREDO DE FREITAS</x:v>
      </x:c>
      <x:c r="F110" t="str">
        <x:f>Despesas!E74</x:f>
        <x:v>VALOR COMPLEMENTAR DO SALÁRIO</x:v>
      </x:c>
      <x:c r="G110" s="4" t="n">
        <x:f>Despesas!F74</x:f>
        <x:v>46028</x:v>
      </x:c>
      <x:c r="H110" t="str">
        <x:f>Despesas!G74</x:f>
        <x:v>FOSFATO CMOC CONTRAT</x:v>
      </x:c>
      <x:c r="I110" t="str">
        <x:f>Despesas!H74</x:f>
        <x:v>12.1 - SALARIO</x:v>
      </x:c>
      <x:c r="J110" s="5" t="n">
        <x:f>Despesas!I74</x:f>
        <x:v>214.12</x:v>
      </x:c>
      <x:c r="K110" s="5" t="n">
        <x:f>0</x:f>
        <x:v>0</x:v>
      </x:c>
      <x:c r="L110" s="5" t="n">
        <x:f>Despesas!I74</x:f>
        <x:v>214.12</x:v>
      </x:c>
      <x:c r="M110" s="5" t="n">
        <x:f>-J110</x:f>
        <x:v>-214.12</x:v>
      </x:c>
    </x:row>
    <x:row r="111">
      <x:c r="A111" t="str">
        <x:f>"Despesa/Custo"</x:f>
        <x:v>Despesa/Custo</x:v>
      </x:c>
      <x:c r="B111" t="str">
        <x:f>Despesas!A75</x:f>
        <x:v>WILLIAM ADM</x:v>
      </x:c>
      <x:c r="C111" t="n">
        <x:f>Despesas!B75</x:f>
        <x:v>0</x:v>
      </x:c>
      <x:c r="D111" t="str">
        <x:f>Despesas!C75</x:f>
        <x:v>015041</x:v>
      </x:c>
      <x:c r="E111" t="str">
        <x:f>Despesas!D75</x:f>
        <x:v>PASSAGENS FUNCIONÁRIO WILLIAN</x:v>
      </x:c>
      <x:c r="F111" t="str">
        <x:f>Despesas!E75</x:f>
        <x:v>REEMBOLSO WILLIAN</x:v>
      </x:c>
      <x:c r="G111" s="4" t="n">
        <x:f>Despesas!F75</x:f>
        <x:v>46028</x:v>
      </x:c>
      <x:c r="H111" t="str">
        <x:f>Despesas!G75</x:f>
        <x:v>ADMINISTRATIVO</x:v>
      </x:c>
      <x:c r="I111" t="str">
        <x:f>Despesas!H75</x:f>
        <x:v>12.9 - PASSAGENS FUNCIONARIOS</x:v>
      </x:c>
      <x:c r="J111" s="5" t="n">
        <x:f>Despesas!I75</x:f>
        <x:v>897.74</x:v>
      </x:c>
      <x:c r="K111" s="5" t="n">
        <x:f>0</x:f>
        <x:v>0</x:v>
      </x:c>
      <x:c r="L111" s="5" t="n">
        <x:f>Despesas!I75</x:f>
        <x:v>897.74</x:v>
      </x:c>
      <x:c r="M111" s="5" t="n">
        <x:f>-J111</x:f>
        <x:v>-897.74</x:v>
      </x:c>
    </x:row>
    <x:row r="112">
      <x:c r="A112" t="str">
        <x:f>"Despesa/Custo"</x:f>
        <x:v>Despesa/Custo</x:v>
      </x:c>
      <x:c r="B112" t="str">
        <x:f>Despesas!A76</x:f>
        <x:v>CONTEINERES BARRO ALTO LTDA</x:v>
      </x:c>
      <x:c r="C112" t="str">
        <x:f>Despesas!B76</x:f>
        <x:v>921</x:v>
      </x:c>
      <x:c r="D112" t="str">
        <x:f>Despesas!C76</x:f>
        <x:v>015042</x:v>
      </x:c>
      <x:c r="E112" t="str">
        <x:f>Despesas!D76</x:f>
        <x:v>LOCAÇÃO CONTAINER REF. PERÍODO DE 23/11 A 23/12</x:v>
      </x:c>
      <x:c r="F112" t="str">
        <x:f>Despesas!E76</x:f>
        <x:v>VENCIMENTO ORIGINAL DO BOLETO 19/01/26</x:v>
      </x:c>
      <x:c r="G112" s="4" t="n">
        <x:f>Despesas!F76</x:f>
        <x:v>46028</x:v>
      </x:c>
      <x:c r="H112" t="str">
        <x:f>Despesas!G76</x:f>
        <x:v>ANGLO AMERICAN</x:v>
      </x:c>
      <x:c r="I112" t="str">
        <x:f>Despesas!H76</x:f>
        <x:v>7.6 - LOCAÇÃO CONTAINER</x:v>
      </x:c>
      <x:c r="J112" s="5" t="n">
        <x:f>Despesas!I76</x:f>
        <x:v>1535</x:v>
      </x:c>
      <x:c r="K112" s="5" t="n">
        <x:f>0</x:f>
        <x:v>0</x:v>
      </x:c>
      <x:c r="L112" s="5" t="n">
        <x:f>Despesas!I76</x:f>
        <x:v>1535</x:v>
      </x:c>
      <x:c r="M112" s="5" t="n">
        <x:f>-J112</x:f>
        <x:v>-1535</x:v>
      </x:c>
    </x:row>
    <x:row r="113">
      <x:c r="A113" t="str">
        <x:f>"Despesa/Custo"</x:f>
        <x:v>Despesa/Custo</x:v>
      </x:c>
      <x:c r="B113" t="str">
        <x:f>Despesas!A77</x:f>
        <x:v>SINDICATO EM MONTAGENS INDUSTRIAIS CEARA</x:v>
      </x:c>
      <x:c r="C113" t="n">
        <x:f>Despesas!B77</x:f>
        <x:v>0</x:v>
      </x:c>
      <x:c r="D113" t="str">
        <x:f>Despesas!C77</x:f>
        <x:v>015051</x:v>
      </x:c>
      <x:c r="E113" t="str">
        <x:f>Despesas!D77</x:f>
        <x:v>SINDICATO</x:v>
      </x:c>
      <x:c r="F113" t="n">
        <x:f>Despesas!E77</x:f>
        <x:v>0</x:v>
      </x:c>
      <x:c r="G113" s="4" t="n">
        <x:f>Despesas!F77</x:f>
        <x:v>46028</x:v>
      </x:c>
      <x:c r="H113" t="str">
        <x:f>Despesas!G77</x:f>
        <x:v>VLI PINTURA</x:v>
      </x:c>
      <x:c r="I113" t="str">
        <x:f>Despesas!H77</x:f>
        <x:v>12.8 - SINDICATO</x:v>
      </x:c>
      <x:c r="J113" s="5" t="n">
        <x:f>Despesas!I77</x:f>
        <x:v>1235.42</x:v>
      </x:c>
      <x:c r="K113" s="5" t="n">
        <x:f>0</x:f>
        <x:v>0</x:v>
      </x:c>
      <x:c r="L113" s="5" t="n">
        <x:f>Despesas!I77</x:f>
        <x:v>1235.42</x:v>
      </x:c>
      <x:c r="M113" s="5" t="n">
        <x:f>-J113</x:f>
        <x:v>-1235.42</x:v>
      </x:c>
    </x:row>
    <x:row r="114">
      <x:c r="A114" t="str">
        <x:f>"Despesa/Custo"</x:f>
        <x:v>Despesa/Custo</x:v>
      </x:c>
      <x:c r="B114" t="str">
        <x:f>Despesas!A78</x:f>
        <x:v>UBER MOACIR</x:v>
      </x:c>
      <x:c r="C114" t="n">
        <x:f>Despesas!B78</x:f>
        <x:v>0</x:v>
      </x:c>
      <x:c r="D114" t="str">
        <x:f>Despesas!C78</x:f>
        <x:v>015062</x:v>
      </x:c>
      <x:c r="E114" t="str">
        <x:f>Despesas!D78</x:f>
        <x:v>MOACIR BERNARDO DE BRITO SANTO - PIX (62) 9 8247-7682</x:v>
      </x:c>
      <x:c r="F114" t="str">
        <x:f>Despesas!E78</x:f>
        <x:v>LEVAR MATERIAL NA TRANSPORTADORA</x:v>
      </x:c>
      <x:c r="G114" s="4" t="n">
        <x:f>Despesas!F78</x:f>
        <x:v>46028</x:v>
      </x:c>
      <x:c r="H114" t="str">
        <x:f>Despesas!G78</x:f>
        <x:v>ADMINISTRATIVO</x:v>
      </x:c>
      <x:c r="I114" t="str">
        <x:f>Despesas!H78</x:f>
        <x:v>3.8 - SERVIÇO MOTOBOY / UBER</x:v>
      </x:c>
      <x:c r="J114" s="5" t="n">
        <x:f>Despesas!I78</x:f>
        <x:v>70</x:v>
      </x:c>
      <x:c r="K114" s="5" t="n">
        <x:f>0</x:f>
        <x:v>0</x:v>
      </x:c>
      <x:c r="L114" s="5" t="n">
        <x:f>Despesas!I78</x:f>
        <x:v>70</x:v>
      </x:c>
      <x:c r="M114" s="5" t="n">
        <x:f>-J114</x:f>
        <x:v>-70</x:v>
      </x:c>
    </x:row>
    <x:row r="115">
      <x:c r="A115" t="str">
        <x:f>"Despesa/Custo"</x:f>
        <x:v>Despesa/Custo</x:v>
      </x:c>
      <x:c r="B115" t="str">
        <x:f>Despesas!A79</x:f>
        <x:v>S O S BORRACHAS</x:v>
      </x:c>
      <x:c r="C115" t="str">
        <x:f>Despesas!B79</x:f>
        <x:v>43482</x:v>
      </x:c>
      <x:c r="D115" t="str">
        <x:f>Despesas!C79</x:f>
        <x:v>015072</x:v>
      </x:c>
      <x:c r="E115" t="str">
        <x:f>Despesas!D79</x:f>
        <x:v>MANUTENÇÃO EQUIPAMENTOS</x:v>
      </x:c>
      <x:c r="F115" t="str">
        <x:f>Despesas!E79</x:f>
        <x:v>PAGAMENTO FEITO EM DÉBITO</x:v>
      </x:c>
      <x:c r="G115" s="4" t="n">
        <x:f>Despesas!F79</x:f>
        <x:v>46028</x:v>
      </x:c>
      <x:c r="H115" t="str">
        <x:f>Despesas!G79</x:f>
        <x:v>CONDUTOS UG 1 - ELETROBRAS</x:v>
      </x:c>
      <x:c r="I115" t="str">
        <x:f>Despesas!H79</x:f>
        <x:v>8.14 - MANUTENÇÃO/PEÇAS MAQUINAS E EQUIPAMENTOS</x:v>
      </x:c>
      <x:c r="J115" s="5" t="n">
        <x:f>Despesas!I79</x:f>
        <x:v>370</x:v>
      </x:c>
      <x:c r="K115" s="5" t="n">
        <x:f>0</x:f>
        <x:v>0</x:v>
      </x:c>
      <x:c r="L115" s="5" t="n">
        <x:f>Despesas!I79</x:f>
        <x:v>370</x:v>
      </x:c>
      <x:c r="M115" s="5" t="n">
        <x:f>-J115</x:f>
        <x:v>-370</x:v>
      </x:c>
    </x:row>
    <x:row r="116">
      <x:c r="A116" t="str">
        <x:f>"Despesa/Custo"</x:f>
        <x:v>Despesa/Custo</x:v>
      </x:c>
      <x:c r="B116" t="str">
        <x:f>Despesas!A80</x:f>
        <x:v>DESPESAS DE VIAGEM</x:v>
      </x:c>
      <x:c r="C116" t="n">
        <x:f>Despesas!B80</x:f>
        <x:v>0</x:v>
      </x:c>
      <x:c r="D116" t="str">
        <x:f>Despesas!C80</x:f>
        <x:v>015079</x:v>
      </x:c>
      <x:c r="E116" t="str">
        <x:f>Despesas!D80</x:f>
        <x:v>PASSAGEM FUNCIONÁRIO TARCISIO</x:v>
      </x:c>
      <x:c r="F116" t="n">
        <x:f>Despesas!E80</x:f>
        <x:v>0</x:v>
      </x:c>
      <x:c r="G116" s="4" t="n">
        <x:f>Despesas!F80</x:f>
        <x:v>46028</x:v>
      </x:c>
      <x:c r="H116" t="str">
        <x:f>Despesas!G80</x:f>
        <x:v>FOSFATO CMOC CONTRAT</x:v>
      </x:c>
      <x:c r="I116" t="str">
        <x:f>Despesas!H80</x:f>
        <x:v>12.9 - PASSAGENS FUNCIONARIOS</x:v>
      </x:c>
      <x:c r="J116" s="5" t="n">
        <x:f>Despesas!I80</x:f>
        <x:v>194</x:v>
      </x:c>
      <x:c r="K116" s="5" t="n">
        <x:f>0</x:f>
        <x:v>0</x:v>
      </x:c>
      <x:c r="L116" s="5" t="n">
        <x:f>Despesas!I80</x:f>
        <x:v>194</x:v>
      </x:c>
      <x:c r="M116" s="5" t="n">
        <x:f>-J116</x:f>
        <x:v>-194</x:v>
      </x:c>
    </x:row>
    <x:row r="117">
      <x:c r="A117" t="str">
        <x:f>"Despesa/Custo"</x:f>
        <x:v>Despesa/Custo</x:v>
      </x:c>
      <x:c r="B117" t="str">
        <x:f>Despesas!A81</x:f>
        <x:v>DESPESAS DE VIAGEM</x:v>
      </x:c>
      <x:c r="C117" t="n">
        <x:f>Despesas!B81</x:f>
        <x:v>0</x:v>
      </x:c>
      <x:c r="D117" t="str">
        <x:f>Despesas!C81</x:f>
        <x:v>015080</x:v>
      </x:c>
      <x:c r="E117" t="str">
        <x:f>Despesas!D81</x:f>
        <x:v>PASSAGEM FUNCIONÁRIO EZEQUIEL</x:v>
      </x:c>
      <x:c r="F117" t="n">
        <x:f>Despesas!E81</x:f>
        <x:v>0</x:v>
      </x:c>
      <x:c r="G117" s="4" t="n">
        <x:f>Despesas!F81</x:f>
        <x:v>46028</x:v>
      </x:c>
      <x:c r="H117" t="str">
        <x:f>Despesas!G81</x:f>
        <x:v>MOSAIC UBERABA CONTRAT0 3 ANOS</x:v>
      </x:c>
      <x:c r="I117" t="str">
        <x:f>Despesas!H81</x:f>
        <x:v>12.9 - PASSAGENS FUNCIONARIOS</x:v>
      </x:c>
      <x:c r="J117" s="5" t="n">
        <x:f>Despesas!I81</x:f>
        <x:v>200</x:v>
      </x:c>
      <x:c r="K117" s="5" t="n">
        <x:f>0</x:f>
        <x:v>0</x:v>
      </x:c>
      <x:c r="L117" s="5" t="n">
        <x:f>Despesas!I81</x:f>
        <x:v>200</x:v>
      </x:c>
      <x:c r="M117" s="5" t="n">
        <x:f>-J117</x:f>
        <x:v>-200</x:v>
      </x:c>
    </x:row>
    <x:row r="118">
      <x:c r="A118" t="str">
        <x:f>"Despesa/Custo"</x:f>
        <x:v>Despesa/Custo</x:v>
      </x:c>
      <x:c r="B118" t="str">
        <x:f>Despesas!A82</x:f>
        <x:v>DESPESAS DE VIAGEM</x:v>
      </x:c>
      <x:c r="C118" t="n">
        <x:f>Despesas!B82</x:f>
        <x:v>0</x:v>
      </x:c>
      <x:c r="D118" t="str">
        <x:f>Despesas!C82</x:f>
        <x:v>015081</x:v>
      </x:c>
      <x:c r="E118" t="str">
        <x:f>Despesas!D82</x:f>
        <x:v>PASSAGEM FUNCIONÁRIO FRANCISCO MACEDO</x:v>
      </x:c>
      <x:c r="F118" t="n">
        <x:f>Despesas!E82</x:f>
        <x:v>0</x:v>
      </x:c>
      <x:c r="G118" s="4" t="n">
        <x:f>Despesas!F82</x:f>
        <x:v>46028</x:v>
      </x:c>
      <x:c r="H118" t="str">
        <x:f>Despesas!G82</x:f>
        <x:v>FOSFATO CMOC CONTRAT</x:v>
      </x:c>
      <x:c r="I118" t="str">
        <x:f>Despesas!H82</x:f>
        <x:v>12.9 - PASSAGENS FUNCIONARIOS</x:v>
      </x:c>
      <x:c r="J118" s="5" t="n">
        <x:f>Despesas!I82</x:f>
        <x:v>210</x:v>
      </x:c>
      <x:c r="K118" s="5" t="n">
        <x:f>0</x:f>
        <x:v>0</x:v>
      </x:c>
      <x:c r="L118" s="5" t="n">
        <x:f>Despesas!I82</x:f>
        <x:v>210</x:v>
      </x:c>
      <x:c r="M118" s="5" t="n">
        <x:f>-J118</x:f>
        <x:v>-210</x:v>
      </x:c>
    </x:row>
    <x:row r="119">
      <x:c r="A119" t="str">
        <x:f>"Despesa/Custo"</x:f>
        <x:v>Despesa/Custo</x:v>
      </x:c>
      <x:c r="B119" t="str">
        <x:f>Despesas!A83</x:f>
        <x:v>SALIM ENGENHARIA E REFORMAS LTDA</x:v>
      </x:c>
      <x:c r="C119" t="str">
        <x:f>Despesas!B83</x:f>
        <x:v>13</x:v>
      </x:c>
      <x:c r="D119" t="str">
        <x:f>Despesas!C83</x:f>
        <x:v>015082</x:v>
      </x:c>
      <x:c r="E119" t="str">
        <x:f>Despesas!D83</x:f>
        <x:v>SALIM PROJETOS E CONSTRUCOES L - PIX 51.654.504/0001-66</x:v>
      </x:c>
      <x:c r="F119" t="str">
        <x:f>Despesas!E83</x:f>
        <x:v>SERVIÇO DE REVISÃO DE TELHADO METÁLICO</x:v>
      </x:c>
      <x:c r="G119" s="4" t="n">
        <x:f>Despesas!F83</x:f>
        <x:v>46028</x:v>
      </x:c>
      <x:c r="H119" t="str">
        <x:f>Despesas!G83</x:f>
        <x:v>AGREX IMPERMEALIZAÇAO DE TELHADO</x:v>
      </x:c>
      <x:c r="I119" t="str">
        <x:f>Despesas!H83</x:f>
        <x:v>3.20 - SERVIÇO MÃO DE OBRA TERCERIZADA</x:v>
      </x:c>
      <x:c r="J119" s="5" t="n">
        <x:f>Despesas!I83</x:f>
        <x:v>29262</x:v>
      </x:c>
      <x:c r="K119" s="5" t="n">
        <x:f>0</x:f>
        <x:v>0</x:v>
      </x:c>
      <x:c r="L119" s="5" t="n">
        <x:f>Despesas!I83</x:f>
        <x:v>29262</x:v>
      </x:c>
      <x:c r="M119" s="5" t="n">
        <x:f>-J119</x:f>
        <x:v>-29262</x:v>
      </x:c>
    </x:row>
    <x:row r="120">
      <x:c r="A120" t="str">
        <x:f>"Despesa/Custo"</x:f>
        <x:v>Despesa/Custo</x:v>
      </x:c>
      <x:c r="B120" t="str">
        <x:f>Despesas!A84</x:f>
        <x:v>GRAFIMIDIAS COMERCIO DE INFORMATICA LTDA</x:v>
      </x:c>
      <x:c r="C120" t="str">
        <x:f>Despesas!B84</x:f>
        <x:v>22014</x:v>
      </x:c>
      <x:c r="D120" t="str">
        <x:f>Despesas!C84</x:f>
        <x:v>015148</x:v>
      </x:c>
      <x:c r="E120" t="str">
        <x:f>Despesas!D84</x:f>
        <x:v>GRAFIMIDIA COM. DE INFORMATICA LTDA - PIX 13.822.617/0001-34</x:v>
      </x:c>
      <x:c r="F120" t="str">
        <x:f>Despesas!E84</x:f>
        <x:v>ADESIVOS LEITOSO</x:v>
      </x:c>
      <x:c r="G120" s="4" t="n">
        <x:f>Despesas!F84</x:f>
        <x:v>46028</x:v>
      </x:c>
      <x:c r="H120" t="str">
        <x:f>Despesas!G84</x:f>
        <x:v>VLI PINTURA</x:v>
      </x:c>
      <x:c r="I120" t="str">
        <x:f>Despesas!H84</x:f>
        <x:v>3.16 - SERVIÇO PLOTAGEM / ADESIVO / PLACAS / CRACHAS</x:v>
      </x:c>
      <x:c r="J120" s="5" t="n">
        <x:f>Despesas!I84</x:f>
        <x:v>47.58</x:v>
      </x:c>
      <x:c r="K120" s="5" t="n">
        <x:f>0</x:f>
        <x:v>0</x:v>
      </x:c>
      <x:c r="L120" s="5" t="n">
        <x:f>Despesas!I84</x:f>
        <x:v>47.58</x:v>
      </x:c>
      <x:c r="M120" s="5" t="n">
        <x:f>-J120</x:f>
        <x:v>-47.58</x:v>
      </x:c>
    </x:row>
    <x:row r="121">
      <x:c r="A121" t="str">
        <x:f>"Despesa/Custo"</x:f>
        <x:v>Despesa/Custo</x:v>
      </x:c>
      <x:c r="B121" t="str">
        <x:f>Despesas!A85</x:f>
        <x:v>ABC INCOMPANY MATERIAIS, REPOSICAO E OPERACOES LTDA</x:v>
      </x:c>
      <x:c r="C121" t="str">
        <x:f>Despesas!B85</x:f>
        <x:v>44665</x:v>
      </x:c>
      <x:c r="D121" t="str">
        <x:f>Despesas!C85</x:f>
        <x:v>015156</x:v>
      </x:c>
      <x:c r="E121" t="str">
        <x:f>Despesas!D85</x:f>
        <x:v>ABC INCOMPANY - PIX 09.461.101/0003-04</x:v>
      </x:c>
      <x:c r="F121" t="str">
        <x:f>Despesas!E85</x:f>
        <x:v>EPIS</x:v>
      </x:c>
      <x:c r="G121" s="4" t="n">
        <x:f>Despesas!F85</x:f>
        <x:v>46028</x:v>
      </x:c>
      <x:c r="H121" t="str">
        <x:f>Despesas!G85</x:f>
        <x:v>CONTRATO 02 ANOS MINERAÇÃO SERRA VERDE</x:v>
      </x:c>
      <x:c r="I121" t="str">
        <x:f>Despesas!H85</x:f>
        <x:v>13.1 - EPIS</x:v>
      </x:c>
      <x:c r="J121" s="5" t="n">
        <x:f>Despesas!I85</x:f>
        <x:v>1938.82</x:v>
      </x:c>
      <x:c r="K121" s="5" t="n">
        <x:f>0</x:f>
        <x:v>0</x:v>
      </x:c>
      <x:c r="L121" s="5" t="n">
        <x:f>Despesas!I85</x:f>
        <x:v>1938.82</x:v>
      </x:c>
      <x:c r="M121" s="5" t="n">
        <x:f>-J121</x:f>
        <x:v>-1938.82</x:v>
      </x:c>
    </x:row>
    <x:row r="122">
      <x:c r="A122" t="str">
        <x:f>"Despesa/Custo"</x:f>
        <x:v>Despesa/Custo</x:v>
      </x:c>
      <x:c r="B122" t="str">
        <x:f>Despesas!A86</x:f>
        <x:v>REAL BORRACHA EIRELI</x:v>
      </x:c>
      <x:c r="C122" t="str">
        <x:f>Despesas!B86</x:f>
        <x:v>96481</x:v>
      </x:c>
      <x:c r="D122" t="str">
        <x:f>Despesas!C86</x:f>
        <x:v>015162</x:v>
      </x:c>
      <x:c r="E122" t="str">
        <x:f>Despesas!D86</x:f>
        <x:v>EPIS</x:v>
      </x:c>
      <x:c r="F122" t="n">
        <x:f>Despesas!E86</x:f>
        <x:v>0</x:v>
      </x:c>
      <x:c r="G122" s="4" t="n">
        <x:f>Despesas!F86</x:f>
        <x:v>46028</x:v>
      </x:c>
      <x:c r="H122" t="str">
        <x:f>Despesas!G86</x:f>
        <x:v>NIOBIO CMOC CONTRATO</x:v>
      </x:c>
      <x:c r="I122" t="str">
        <x:f>Despesas!H86</x:f>
        <x:v>13.1 - EPIS</x:v>
      </x:c>
      <x:c r="J122" s="5" t="n">
        <x:f>Despesas!I86</x:f>
        <x:v>112.4</x:v>
      </x:c>
      <x:c r="K122" s="5" t="n">
        <x:f>0</x:f>
        <x:v>0</x:v>
      </x:c>
      <x:c r="L122" s="5" t="n">
        <x:f>Despesas!I86</x:f>
        <x:v>112.4</x:v>
      </x:c>
      <x:c r="M122" s="5" t="n">
        <x:f>-J122</x:f>
        <x:v>-112.4</x:v>
      </x:c>
    </x:row>
    <x:row r="123">
      <x:c r="A123" t="str">
        <x:f>"Despesa/Custo"</x:f>
        <x:v>Despesa/Custo</x:v>
      </x:c>
      <x:c r="B123" t="str">
        <x:f>Despesas!A87</x:f>
        <x:v>REAL BORRACHA EIRELI</x:v>
      </x:c>
      <x:c r="C123" t="str">
        <x:f>Despesas!B87</x:f>
        <x:v>96482</x:v>
      </x:c>
      <x:c r="D123" t="str">
        <x:f>Despesas!C87</x:f>
        <x:v>015163</x:v>
      </x:c>
      <x:c r="E123" t="str">
        <x:f>Despesas!D87</x:f>
        <x:v>MATERIAIS DE CONSUMO</x:v>
      </x:c>
      <x:c r="F123" t="n">
        <x:f>Despesas!E87</x:f>
        <x:v>0</x:v>
      </x:c>
      <x:c r="G123" s="4" t="n">
        <x:f>Despesas!F87</x:f>
        <x:v>46028</x:v>
      </x:c>
      <x:c r="H123" t="str">
        <x:f>Despesas!G87</x:f>
        <x:v>FOSFATO CMOC CONTRAT</x:v>
      </x:c>
      <x:c r="I123" t="str">
        <x:f>Despesas!H87</x:f>
        <x:v>8.9 - MATERIAIS DE CONSUMO EM OBRAS</x:v>
      </x:c>
      <x:c r="J123" s="5" t="n">
        <x:f>Despesas!I87</x:f>
        <x:v>64</x:v>
      </x:c>
      <x:c r="K123" s="5" t="n">
        <x:f>0</x:f>
        <x:v>0</x:v>
      </x:c>
      <x:c r="L123" s="5" t="n">
        <x:f>Despesas!I87</x:f>
        <x:v>64</x:v>
      </x:c>
      <x:c r="M123" s="5" t="n">
        <x:f>-J123</x:f>
        <x:v>-64</x:v>
      </x:c>
    </x:row>
    <x:row r="124">
      <x:c r="A124" t="str">
        <x:f>"Despesa/Custo"</x:f>
        <x:v>Despesa/Custo</x:v>
      </x:c>
      <x:c r="B124" t="str">
        <x:f>Despesas!A88</x:f>
        <x:v>ESTRELA ENCOMENDAS LTDA</x:v>
      </x:c>
      <x:c r="C124" t="str">
        <x:f>Despesas!B88</x:f>
        <x:v>138880</x:v>
      </x:c>
      <x:c r="D124" t="str">
        <x:f>Despesas!C88</x:f>
        <x:v>015190</x:v>
      </x:c>
      <x:c r="E124" t="str">
        <x:f>Despesas!D88</x:f>
        <x:v>ESTRELA ENCOMENDAS - PIX 43.905.695/0001-63</x:v>
      </x:c>
      <x:c r="F124" t="str">
        <x:f>Despesas!E88</x:f>
        <x:v>FRETE GOIANIA X UBERABA MG - VENCIMENTO ORIGINAL DO BOLETO 15/01/26</x:v>
      </x:c>
      <x:c r="G124" s="4" t="n">
        <x:f>Despesas!F88</x:f>
        <x:v>46028</x:v>
      </x:c>
      <x:c r="H124" t="str">
        <x:f>Despesas!G88</x:f>
        <x:v>MOSAIC UBERABA CONTRAT0 3 ANOS</x:v>
      </x:c>
      <x:c r="I124" t="str">
        <x:f>Despesas!H88</x:f>
        <x:v>10.1 - FRETE MATERIAIS E EQUIPAMENTOS</x:v>
      </x:c>
      <x:c r="J124" s="5" t="n">
        <x:f>Despesas!I88</x:f>
        <x:v>232.87</x:v>
      </x:c>
      <x:c r="K124" s="5" t="n">
        <x:f>0</x:f>
        <x:v>0</x:v>
      </x:c>
      <x:c r="L124" s="5" t="n">
        <x:f>Despesas!I88</x:f>
        <x:v>232.87</x:v>
      </x:c>
      <x:c r="M124" s="5" t="n">
        <x:f>-J124</x:f>
        <x:v>-232.87</x:v>
      </x:c>
    </x:row>
    <x:row r="125">
      <x:c r="A125" t="str">
        <x:f>"Despesa/Custo"</x:f>
        <x:v>Despesa/Custo</x:v>
      </x:c>
      <x:c r="B125" t="str">
        <x:f>Despesas!A89</x:f>
        <x:v>EQUALIS SAUDE LTDA</x:v>
      </x:c>
      <x:c r="C125" t="str">
        <x:f>Despesas!B89</x:f>
        <x:v>4203</x:v>
      </x:c>
      <x:c r="D125" t="str">
        <x:f>Despesas!C89</x:f>
        <x:v>015843</x:v>
      </x:c>
      <x:c r="E125" t="str">
        <x:f>Despesas!D89</x:f>
        <x:v>ASO - EXAMES</x:v>
      </x:c>
      <x:c r="F125" t="str">
        <x:f>Despesas!E89</x:f>
        <x:v>VENCIMENTO ORIGINAL DO BOLETO 20/01/26</x:v>
      </x:c>
      <x:c r="G125" s="4" t="n">
        <x:f>Despesas!F89</x:f>
        <x:v>46028</x:v>
      </x:c>
      <x:c r="H125" t="str">
        <x:f>Despesas!G89</x:f>
        <x:v>FOSFATO CMOC CONTRAT</x:v>
      </x:c>
      <x:c r="I125" t="str">
        <x:f>Despesas!H89</x:f>
        <x:v>14.1 - EXAMES</x:v>
      </x:c>
      <x:c r="J125" s="5" t="n">
        <x:f>Despesas!I89</x:f>
        <x:v>847.32</x:v>
      </x:c>
      <x:c r="K125" s="5" t="n">
        <x:f>0</x:f>
        <x:v>0</x:v>
      </x:c>
      <x:c r="L125" s="5" t="n">
        <x:f>Despesas!I89</x:f>
        <x:v>847.32</x:v>
      </x:c>
      <x:c r="M125" s="5" t="n">
        <x:f>-J125</x:f>
        <x:v>-847.32</x:v>
      </x:c>
    </x:row>
    <x:row r="126">
      <x:c r="A126" t="str">
        <x:f>"Despesa/Custo"</x:f>
        <x:v>Despesa/Custo</x:v>
      </x:c>
      <x:c r="B126" t="str">
        <x:f>Despesas!A90</x:f>
        <x:v>NEOBETEL EPI, EQUIPAMENTOS DE PROTECAO INDIVIDUAL LTDA</x:v>
      </x:c>
      <x:c r="C126" t="str">
        <x:f>Despesas!B90</x:f>
        <x:v>59657</x:v>
      </x:c>
      <x:c r="D126" t="str">
        <x:f>Despesas!C90</x:f>
        <x:v>015083</x:v>
      </x:c>
      <x:c r="E126" t="str">
        <x:f>Despesas!D90</x:f>
        <x:v>EPIS</x:v>
      </x:c>
      <x:c r="F126" t="n">
        <x:f>Despesas!E90</x:f>
        <x:v>0</x:v>
      </x:c>
      <x:c r="G126" s="4" t="n">
        <x:f>Despesas!F90</x:f>
        <x:v>46029</x:v>
      </x:c>
      <x:c r="H126" t="str">
        <x:f>Despesas!G90</x:f>
        <x:v>ANGLO AMERICAN</x:v>
      </x:c>
      <x:c r="I126" t="str">
        <x:f>Despesas!H90</x:f>
        <x:v>13.1 - EPIS</x:v>
      </x:c>
      <x:c r="J126" s="5" t="n">
        <x:f>Despesas!I90</x:f>
        <x:v>850.42</x:v>
      </x:c>
      <x:c r="K126" s="5" t="n">
        <x:f>0</x:f>
        <x:v>0</x:v>
      </x:c>
      <x:c r="L126" s="5" t="n">
        <x:f>Despesas!I90</x:f>
        <x:v>850.42</x:v>
      </x:c>
      <x:c r="M126" s="5" t="n">
        <x:f>-J126</x:f>
        <x:v>-850.42</x:v>
      </x:c>
    </x:row>
    <x:row r="127">
      <x:c r="A127" t="str">
        <x:f>"Despesa/Custo"</x:f>
        <x:v>Despesa/Custo</x:v>
      </x:c>
      <x:c r="B127" t="str">
        <x:f>Despesas!A91</x:f>
        <x:v>VAI LOCAR EQUIPAMENTOS LTDA</x:v>
      </x:c>
      <x:c r="C127" t="str">
        <x:f>Despesas!B91</x:f>
        <x:v>14793</x:v>
      </x:c>
      <x:c r="D127" t="str">
        <x:f>Despesas!C91</x:f>
        <x:v>015084</x:v>
      </x:c>
      <x:c r="E127" t="str">
        <x:f>Despesas!D91</x:f>
        <x:v>MANUTENÇÃO ASPIRADOR DE PO E LIQUIDO ELETRICO</x:v>
      </x:c>
      <x:c r="F127" t="str">
        <x:f>Despesas!E91</x:f>
        <x:v>VENCIMENTO ORIGINAL DO BOLETO 25/12/25</x:v>
      </x:c>
      <x:c r="G127" s="4" t="n">
        <x:f>Despesas!F91</x:f>
        <x:v>46029</x:v>
      </x:c>
      <x:c r="H127" t="str">
        <x:f>Despesas!G91</x:f>
        <x:v>CONDUTOS UG 1 - ELETROBRAS</x:v>
      </x:c>
      <x:c r="I127" t="str">
        <x:f>Despesas!H91</x:f>
        <x:v>7.4 - LOCAÇÃO EQUIPAMENTOS</x:v>
      </x:c>
      <x:c r="J127" s="5" t="n">
        <x:f>Despesas!I91</x:f>
        <x:v>1477.58</x:v>
      </x:c>
      <x:c r="K127" s="5" t="n">
        <x:f>0</x:f>
        <x:v>0</x:v>
      </x:c>
      <x:c r="L127" s="5" t="n">
        <x:f>Despesas!I91</x:f>
        <x:v>1477.58</x:v>
      </x:c>
      <x:c r="M127" s="5" t="n">
        <x:f>-J127</x:f>
        <x:v>-1477.58</x:v>
      </x:c>
    </x:row>
    <x:row r="128">
      <x:c r="A128" t="str">
        <x:f>"Despesa/Custo"</x:f>
        <x:v>Despesa/Custo</x:v>
      </x:c>
      <x:c r="B128" t="str">
        <x:f>Despesas!A92</x:f>
        <x:v>VALDMAR AUGUSTO</x:v>
      </x:c>
      <x:c r="C128" t="n">
        <x:f>Despesas!B92</x:f>
        <x:v>0</x:v>
      </x:c>
      <x:c r="D128" t="str">
        <x:f>Despesas!C92</x:f>
        <x:v>015085</x:v>
      </x:c>
      <x:c r="E128" t="str">
        <x:f>Despesas!D92</x:f>
        <x:v>PAGAMENTO DO SEM PARAR</x:v>
      </x:c>
      <x:c r="F128" t="str">
        <x:f>Despesas!E92</x:f>
        <x:v>REEMBOLSO VALDMAR</x:v>
      </x:c>
      <x:c r="G128" s="4" t="n">
        <x:f>Despesas!F92</x:f>
        <x:v>46029</x:v>
      </x:c>
      <x:c r="H128" t="str">
        <x:f>Despesas!G92</x:f>
        <x:v>FOSFATO CMOC CONTRAT</x:v>
      </x:c>
      <x:c r="I128" t="str">
        <x:f>Despesas!H92</x:f>
        <x:v>6.6 - PEDAGIOS</x:v>
      </x:c>
      <x:c r="J128" s="5" t="n">
        <x:f>Despesas!I92</x:f>
        <x:v>263.21</x:v>
      </x:c>
      <x:c r="K128" s="5" t="n">
        <x:f>0</x:f>
        <x:v>0</x:v>
      </x:c>
      <x:c r="L128" s="5" t="n">
        <x:f>Despesas!I92</x:f>
        <x:v>263.21</x:v>
      </x:c>
      <x:c r="M128" s="5" t="n">
        <x:f>-J128</x:f>
        <x:v>-263.21</x:v>
      </x:c>
    </x:row>
    <x:row r="129">
      <x:c r="A129" t="str">
        <x:f>"Despesa/Custo"</x:f>
        <x:v>Despesa/Custo</x:v>
      </x:c>
      <x:c r="B129" t="str">
        <x:f>Despesas!A93</x:f>
        <x:v>MAXIMA CONSERVACAO E LIMPEZA LTDA</x:v>
      </x:c>
      <x:c r="C129" t="str">
        <x:f>Despesas!B93</x:f>
        <x:v>3</x:v>
      </x:c>
      <x:c r="D129" t="str">
        <x:f>Despesas!C93</x:f>
        <x:v>015087</x:v>
      </x:c>
      <x:c r="E129" t="str">
        <x:f>Despesas!D93</x:f>
        <x:v>LOCAÇÃO DE CONTAINER 20/09 A 19/10/25</x:v>
      </x:c>
      <x:c r="F129" t="n">
        <x:f>Despesas!E93</x:f>
        <x:v>0</x:v>
      </x:c>
      <x:c r="G129" s="4" t="n">
        <x:f>Despesas!F93</x:f>
        <x:v>46029</x:v>
      </x:c>
      <x:c r="H129" t="str">
        <x:f>Despesas!G93</x:f>
        <x:v>CONTRATO 02 ANOS MINERAÇÃO SERRA VERDE</x:v>
      </x:c>
      <x:c r="I129" t="str">
        <x:f>Despesas!H93</x:f>
        <x:v>7.6 - LOCAÇÃO CONTAINER</x:v>
      </x:c>
      <x:c r="J129" s="5" t="n">
        <x:f>Despesas!I93</x:f>
        <x:v>1700</x:v>
      </x:c>
      <x:c r="K129" s="5" t="n">
        <x:f>0</x:f>
        <x:v>0</x:v>
      </x:c>
      <x:c r="L129" s="5" t="n">
        <x:f>Despesas!I93</x:f>
        <x:v>1700</x:v>
      </x:c>
      <x:c r="M129" s="5" t="n">
        <x:f>-J129</x:f>
        <x:v>-1700</x:v>
      </x:c>
    </x:row>
    <x:row r="130">
      <x:c r="A130" t="str">
        <x:f>"Despesa/Custo"</x:f>
        <x:v>Despesa/Custo</x:v>
      </x:c>
      <x:c r="B130" t="str">
        <x:f>Despesas!A94</x:f>
        <x:v>BEM MKT SERVICOS ADMINISTRATIVO LTDA</x:v>
      </x:c>
      <x:c r="C130" t="str">
        <x:f>Despesas!B94</x:f>
        <x:v>51</x:v>
      </x:c>
      <x:c r="D130" t="str">
        <x:f>Despesas!C94</x:f>
        <x:v>015088</x:v>
      </x:c>
      <x:c r="E130" t="str">
        <x:f>Despesas!D94</x:f>
        <x:v>BEM MKT SERVICOS ADMINISTRA... - PIX eder@bemnavenda.com.br</x:v>
      </x:c>
      <x:c r="F130" t="str">
        <x:f>Despesas!E94</x:f>
        <x:v>GASTOS GOM PROPAGANDA/COMERCIAL</x:v>
      </x:c>
      <x:c r="G130" s="4" t="n">
        <x:f>Despesas!F94</x:f>
        <x:v>46029</x:v>
      </x:c>
      <x:c r="H130" t="str">
        <x:f>Despesas!G94</x:f>
        <x:v>ADMINISTRATIVO</x:v>
      </x:c>
      <x:c r="I130" t="str">
        <x:f>Despesas!H94</x:f>
        <x:v>3.5 - SERVIÇO GOOGLE ADS</x:v>
      </x:c>
      <x:c r="J130" s="5" t="n">
        <x:f>Despesas!I94</x:f>
        <x:v>590</x:v>
      </x:c>
      <x:c r="K130" s="5" t="n">
        <x:f>0</x:f>
        <x:v>0</x:v>
      </x:c>
      <x:c r="L130" s="5" t="n">
        <x:f>Despesas!I94</x:f>
        <x:v>590</x:v>
      </x:c>
      <x:c r="M130" s="5" t="n">
        <x:f>-J130</x:f>
        <x:v>-590</x:v>
      </x:c>
    </x:row>
    <x:row r="131">
      <x:c r="A131" t="str">
        <x:f>"Despesa/Custo"</x:f>
        <x:v>Despesa/Custo</x:v>
      </x:c>
      <x:c r="B131" t="str">
        <x:f>Despesas!A95</x:f>
        <x:v>CEMIG DISTRIBUIÇÃO S.A</x:v>
      </x:c>
      <x:c r="C131" t="n">
        <x:f>Despesas!B95</x:f>
        <x:v>0</x:v>
      </x:c>
      <x:c r="D131" t="str">
        <x:f>Despesas!C95</x:f>
        <x:v>015091</x:v>
      </x:c>
      <x:c r="E131" t="str">
        <x:f>Despesas!D95</x:f>
        <x:v>R. JACY GUIMARAES 12 CS REF. 12/2025</x:v>
      </x:c>
      <x:c r="F131" t="str">
        <x:f>Despesas!E95</x:f>
        <x:v>Nº CLIENTE 7201478974 / Nº INSTALAÇÃO 3012084336</x:v>
      </x:c>
      <x:c r="G131" s="4" t="n">
        <x:f>Despesas!F95</x:f>
        <x:v>46029</x:v>
      </x:c>
      <x:c r="H131" t="str">
        <x:f>Despesas!G95</x:f>
        <x:v>EUROCHEM SERRA DO SALITRE</x:v>
      </x:c>
      <x:c r="I131" t="str">
        <x:f>Despesas!H95</x:f>
        <x:v>5.5 - ENERGIA ALOJAMENTO</x:v>
      </x:c>
      <x:c r="J131" s="5" t="n">
        <x:f>Despesas!I95</x:f>
        <x:v>118.21</x:v>
      </x:c>
      <x:c r="K131" s="5" t="n">
        <x:f>0</x:f>
        <x:v>0</x:v>
      </x:c>
      <x:c r="L131" s="5" t="n">
        <x:f>Despesas!I95</x:f>
        <x:v>118.21</x:v>
      </x:c>
      <x:c r="M131" s="5" t="n">
        <x:f>-J131</x:f>
        <x:v>-118.21</x:v>
      </x:c>
    </x:row>
    <x:row r="132">
      <x:c r="A132" t="str">
        <x:f>"Despesa/Custo"</x:f>
        <x:v>Despesa/Custo</x:v>
      </x:c>
      <x:c r="B132" t="str">
        <x:f>Despesas!A96</x:f>
        <x:v>COPASA SANEAMENTO</x:v>
      </x:c>
      <x:c r="C132" t="n">
        <x:f>Despesas!B96</x:f>
        <x:v>0</x:v>
      </x:c>
      <x:c r="D132" t="str">
        <x:f>Despesas!C96</x:f>
        <x:v>015092</x:v>
      </x:c>
      <x:c r="E132" t="str">
        <x:f>Despesas!D96</x:f>
        <x:v>R. JACY GUIMARÃES, 12 REF. 12/2025</x:v>
      </x:c>
      <x:c r="F132" t="str">
        <x:f>Despesas!E96</x:f>
        <x:v>MATRICULA 0 013 063 237 6 / IDENTIFICADOR  0 014 324 897 9</x:v>
      </x:c>
      <x:c r="G132" s="4" t="n">
        <x:f>Despesas!F96</x:f>
        <x:v>46029</x:v>
      </x:c>
      <x:c r="H132" t="str">
        <x:f>Despesas!G96</x:f>
        <x:v>EUROCHEM SERRA DO SALITRE</x:v>
      </x:c>
      <x:c r="I132" t="str">
        <x:f>Despesas!H96</x:f>
        <x:v>5.4 - AGUA ALOJAMENTO</x:v>
      </x:c>
      <x:c r="J132" s="5" t="n">
        <x:f>Despesas!I96</x:f>
        <x:v>29.62</x:v>
      </x:c>
      <x:c r="K132" s="5" t="n">
        <x:f>0</x:f>
        <x:v>0</x:v>
      </x:c>
      <x:c r="L132" s="5" t="n">
        <x:f>Despesas!I96</x:f>
        <x:v>29.62</x:v>
      </x:c>
      <x:c r="M132" s="5" t="n">
        <x:f>-J132</x:f>
        <x:v>-29.62</x:v>
      </x:c>
    </x:row>
    <x:row r="133">
      <x:c r="A133" t="str">
        <x:f>"Despesa/Custo"</x:f>
        <x:v>Despesa/Custo</x:v>
      </x:c>
      <x:c r="B133" t="str">
        <x:f>Despesas!A97</x:f>
        <x:v>HELIO APARECIDO BIAQUINI</x:v>
      </x:c>
      <x:c r="C133" t="n">
        <x:f>Despesas!B97</x:f>
        <x:v>0</x:v>
      </x:c>
      <x:c r="D133" t="str">
        <x:f>Despesas!C97</x:f>
        <x:v>015095</x:v>
      </x:c>
      <x:c r="E133" t="str">
        <x:f>Despesas!D97</x:f>
        <x:v>INTERNET OBRA</x:v>
      </x:c>
      <x:c r="F133" t="n">
        <x:f>Despesas!E97</x:f>
        <x:v>0</x:v>
      </x:c>
      <x:c r="G133" s="4" t="n">
        <x:f>Despesas!F97</x:f>
        <x:v>46029</x:v>
      </x:c>
      <x:c r="H133" t="str">
        <x:f>Despesas!G97</x:f>
        <x:v>MOSAIC UBERABA CONTRAT0 3 ANOS</x:v>
      </x:c>
      <x:c r="I133" t="str">
        <x:f>Despesas!H97</x:f>
        <x:v>11.14 - INTERNET OBRAS</x:v>
      </x:c>
      <x:c r="J133" s="5" t="n">
        <x:f>Despesas!I97</x:f>
        <x:v>380</x:v>
      </x:c>
      <x:c r="K133" s="5" t="n">
        <x:f>0</x:f>
        <x:v>0</x:v>
      </x:c>
      <x:c r="L133" s="5" t="n">
        <x:f>Despesas!I97</x:f>
        <x:v>380</x:v>
      </x:c>
      <x:c r="M133" s="5" t="n">
        <x:f>-J133</x:f>
        <x:v>-380</x:v>
      </x:c>
    </x:row>
    <x:row r="134">
      <x:c r="A134" t="str">
        <x:f>"Despesa/Custo"</x:f>
        <x:v>Despesa/Custo</x:v>
      </x:c>
      <x:c r="B134" t="str">
        <x:f>Despesas!A98</x:f>
        <x:v>UNIODONTO UBERABA - COOP. DE ASSISTENCIA A SAUDE ODONTOLOGICA LTDA</x:v>
      </x:c>
      <x:c r="C134" t="str">
        <x:f>Despesas!B98</x:f>
        <x:v>41883</x:v>
      </x:c>
      <x:c r="D134" t="str">
        <x:f>Despesas!C98</x:f>
        <x:v>015096</x:v>
      </x:c>
      <x:c r="E134" t="str">
        <x:f>Despesas!D98</x:f>
        <x:v>PLANO ODONTOLÓGICO REF. 12/2024</x:v>
      </x:c>
      <x:c r="F134" t="n">
        <x:f>Despesas!E98</x:f>
        <x:v>0</x:v>
      </x:c>
      <x:c r="G134" s="4" t="n">
        <x:f>Despesas!F98</x:f>
        <x:v>46029</x:v>
      </x:c>
      <x:c r="H134" t="str">
        <x:f>Despesas!G98</x:f>
        <x:v>MOSAIC UBERABA CONTRAT0 3 ANOS</x:v>
      </x:c>
      <x:c r="I134" t="str">
        <x:f>Despesas!H98</x:f>
        <x:v>12.10 - PLANO DE SAUDE</x:v>
      </x:c>
      <x:c r="J134" s="5" t="n">
        <x:f>Despesas!I98</x:f>
        <x:v>311</x:v>
      </x:c>
      <x:c r="K134" s="5" t="n">
        <x:f>0</x:f>
        <x:v>0</x:v>
      </x:c>
      <x:c r="L134" s="5" t="n">
        <x:f>Despesas!I98</x:f>
        <x:v>311</x:v>
      </x:c>
      <x:c r="M134" s="5" t="n">
        <x:f>-J134</x:f>
        <x:v>-311</x:v>
      </x:c>
    </x:row>
    <x:row r="135">
      <x:c r="A135" t="str">
        <x:f>"Despesa/Custo"</x:f>
        <x:v>Despesa/Custo</x:v>
      </x:c>
      <x:c r="B135" t="str">
        <x:f>Despesas!A99</x:f>
        <x:v>POSTO FERREIRA MATIAS COMBUSTIVEL LTDA</x:v>
      </x:c>
      <x:c r="C135" t="str">
        <x:f>Despesas!B99</x:f>
        <x:v>18506</x:v>
      </x:c>
      <x:c r="D135" t="str">
        <x:f>Despesas!C99</x:f>
        <x:v>015098</x:v>
      </x:c>
      <x:c r="E135" t="str">
        <x:f>Despesas!D99</x:f>
        <x:v>COMBUSTÍVEL VEÍCULOS</x:v>
      </x:c>
      <x:c r="F135" t="str">
        <x:f>Despesas!E99</x:f>
        <x:v>VENCIMENTO ORIGINAL DO BOLETO 05/01/26</x:v>
      </x:c>
      <x:c r="G135" s="4" t="n">
        <x:f>Despesas!F99</x:f>
        <x:v>46029</x:v>
      </x:c>
      <x:c r="H135" t="str">
        <x:f>Despesas!G99</x:f>
        <x:v>ANGLO AMERICAN</x:v>
      </x:c>
      <x:c r="I135" t="str">
        <x:f>Despesas!H99</x:f>
        <x:v>6.4 - COMBUSTIVEL VEICULOS</x:v>
      </x:c>
      <x:c r="J135" s="5" t="n">
        <x:f>Despesas!I99</x:f>
        <x:v>561.66</x:v>
      </x:c>
      <x:c r="K135" s="5" t="n">
        <x:f>0</x:f>
        <x:v>0</x:v>
      </x:c>
      <x:c r="L135" s="5" t="n">
        <x:f>Despesas!I99</x:f>
        <x:v>561.66</x:v>
      </x:c>
      <x:c r="M135" s="5" t="n">
        <x:f>-J135</x:f>
        <x:v>-561.66</x:v>
      </x:c>
    </x:row>
    <x:row r="136">
      <x:c r="A136" t="str">
        <x:f>"Despesa/Custo"</x:f>
        <x:v>Despesa/Custo</x:v>
      </x:c>
      <x:c r="B136" t="str">
        <x:f>Despesas!A100</x:f>
        <x:v>POSTO MAIS LTDA</x:v>
      </x:c>
      <x:c r="C136" t="str">
        <x:f>Despesas!B100</x:f>
        <x:v>626 / 01</x:v>
      </x:c>
      <x:c r="D136" t="str">
        <x:f>Despesas!C100</x:f>
        <x:v>015101</x:v>
      </x:c>
      <x:c r="E136" t="str">
        <x:f>Despesas!D100</x:f>
        <x:v>COMBUSTÍVEL VEÍCULOS</x:v>
      </x:c>
      <x:c r="F136" t="str">
        <x:f>Despesas!E100</x:f>
        <x:v>VENCIMENTO ORIGINAL DO BOLETO 20/01/26</x:v>
      </x:c>
      <x:c r="G136" s="4" t="n">
        <x:f>Despesas!F100</x:f>
        <x:v>46029</x:v>
      </x:c>
      <x:c r="H136" t="str">
        <x:f>Despesas!G100</x:f>
        <x:v>NIOBIO CMOC CONTRATO</x:v>
      </x:c>
      <x:c r="I136" t="str">
        <x:f>Despesas!H100</x:f>
        <x:v>6.4 - COMBUSTIVEL VEICULOS</x:v>
      </x:c>
      <x:c r="J136" s="5" t="n">
        <x:f>Despesas!I100</x:f>
        <x:v>1225.46</x:v>
      </x:c>
      <x:c r="K136" s="5" t="n">
        <x:f>0</x:f>
        <x:v>0</x:v>
      </x:c>
      <x:c r="L136" s="5" t="n">
        <x:f>Despesas!I100</x:f>
        <x:v>1225.46</x:v>
      </x:c>
      <x:c r="M136" s="5" t="n">
        <x:f>-J136</x:f>
        <x:v>-1225.46</x:v>
      </x:c>
    </x:row>
    <x:row r="137">
      <x:c r="A137" t="str">
        <x:f>"Despesa/Custo"</x:f>
        <x:v>Despesa/Custo</x:v>
      </x:c>
      <x:c r="B137" t="str">
        <x:f>Despesas!A101</x:f>
        <x:v>POSTO MAIS LTDA</x:v>
      </x:c>
      <x:c r="C137" t="str">
        <x:f>Despesas!B101</x:f>
        <x:v>626 / 02</x:v>
      </x:c>
      <x:c r="D137" t="str">
        <x:f>Despesas!C101</x:f>
        <x:v>015102</x:v>
      </x:c>
      <x:c r="E137" t="str">
        <x:f>Despesas!D101</x:f>
        <x:v>COMBUSTÍVEL EQUIPAMENTOS</x:v>
      </x:c>
      <x:c r="F137" t="str">
        <x:f>Despesas!E101</x:f>
        <x:v>VENCIMENTO ORIGINAL DO BOLETO 20/01/26</x:v>
      </x:c>
      <x:c r="G137" s="4" t="n">
        <x:f>Despesas!F101</x:f>
        <x:v>46029</x:v>
      </x:c>
      <x:c r="H137" t="str">
        <x:f>Despesas!G101</x:f>
        <x:v>NIOBIO CMOC CONTRATO</x:v>
      </x:c>
      <x:c r="I137" t="str">
        <x:f>Despesas!H101</x:f>
        <x:v>8.13 - COMBUSTIVEL EQUIPAMENTOS</x:v>
      </x:c>
      <x:c r="J137" s="5" t="n">
        <x:f>Despesas!I101</x:f>
        <x:v>35.29</x:v>
      </x:c>
      <x:c r="K137" s="5" t="n">
        <x:f>0</x:f>
        <x:v>0</x:v>
      </x:c>
      <x:c r="L137" s="5" t="n">
        <x:f>Despesas!I101</x:f>
        <x:v>35.29</x:v>
      </x:c>
      <x:c r="M137" s="5" t="n">
        <x:f>-J137</x:f>
        <x:v>-35.29</x:v>
      </x:c>
    </x:row>
    <x:row r="138">
      <x:c r="A138" t="str">
        <x:f>"Despesa/Custo"</x:f>
        <x:v>Despesa/Custo</x:v>
      </x:c>
      <x:c r="B138" t="str">
        <x:f>Despesas!A102</x:f>
        <x:v>POSTO MAIS LTDA</x:v>
      </x:c>
      <x:c r="C138" t="str">
        <x:f>Despesas!B102</x:f>
        <x:v>626 / 03</x:v>
      </x:c>
      <x:c r="D138" t="str">
        <x:f>Despesas!C102</x:f>
        <x:v>015103</x:v>
      </x:c>
      <x:c r="E138" t="str">
        <x:f>Despesas!D102</x:f>
        <x:v>COMBUSTÍVEL VEÍCULOS</x:v>
      </x:c>
      <x:c r="F138" t="str">
        <x:f>Despesas!E102</x:f>
        <x:v>VENCIMENTO ORIGINAL DO BOLETO 20/01/26</x:v>
      </x:c>
      <x:c r="G138" s="4" t="n">
        <x:f>Despesas!F102</x:f>
        <x:v>46029</x:v>
      </x:c>
      <x:c r="H138" t="str">
        <x:f>Despesas!G102</x:f>
        <x:v>FOSFATO CMOC CONTRAT</x:v>
      </x:c>
      <x:c r="I138" t="str">
        <x:f>Despesas!H102</x:f>
        <x:v>6.4 - COMBUSTIVEL VEICULOS</x:v>
      </x:c>
      <x:c r="J138" s="5" t="n">
        <x:f>Despesas!I102</x:f>
        <x:v>5479.84</x:v>
      </x:c>
      <x:c r="K138" s="5" t="n">
        <x:f>0</x:f>
        <x:v>0</x:v>
      </x:c>
      <x:c r="L138" s="5" t="n">
        <x:f>Despesas!I102</x:f>
        <x:v>5479.84</x:v>
      </x:c>
      <x:c r="M138" s="5" t="n">
        <x:f>-J138</x:f>
        <x:v>-5479.84</x:v>
      </x:c>
    </x:row>
    <x:row r="139">
      <x:c r="A139" t="str">
        <x:f>"Despesa/Custo"</x:f>
        <x:v>Despesa/Custo</x:v>
      </x:c>
      <x:c r="B139" t="str">
        <x:f>Despesas!A103</x:f>
        <x:v>POSTO MAIS LTDA</x:v>
      </x:c>
      <x:c r="C139" t="str">
        <x:f>Despesas!B103</x:f>
        <x:v>626 / 04</x:v>
      </x:c>
      <x:c r="D139" t="str">
        <x:f>Despesas!C103</x:f>
        <x:v>015104</x:v>
      </x:c>
      <x:c r="E139" t="str">
        <x:f>Despesas!D103</x:f>
        <x:v>COMBUSTÍVEL EQUIPAMENTOS</x:v>
      </x:c>
      <x:c r="F139" t="str">
        <x:f>Despesas!E103</x:f>
        <x:v>VENCIMENTO ORIGINAL DO BOLETO 20/01/26</x:v>
      </x:c>
      <x:c r="G139" s="4" t="n">
        <x:f>Despesas!F103</x:f>
        <x:v>46029</x:v>
      </x:c>
      <x:c r="H139" t="str">
        <x:f>Despesas!G103</x:f>
        <x:v>FOSFATO CMOC CONTRAT</x:v>
      </x:c>
      <x:c r="I139" t="str">
        <x:f>Despesas!H103</x:f>
        <x:v>8.13 - COMBUSTIVEL EQUIPAMENTOS</x:v>
      </x:c>
      <x:c r="J139" s="5" t="n">
        <x:f>Despesas!I103</x:f>
        <x:v>35.29</x:v>
      </x:c>
      <x:c r="K139" s="5" t="n">
        <x:f>0</x:f>
        <x:v>0</x:v>
      </x:c>
      <x:c r="L139" s="5" t="n">
        <x:f>Despesas!I103</x:f>
        <x:v>35.29</x:v>
      </x:c>
      <x:c r="M139" s="5" t="n">
        <x:f>-J139</x:f>
        <x:v>-35.29</x:v>
      </x:c>
    </x:row>
    <x:row r="140">
      <x:c r="A140" t="str">
        <x:f>"Despesa/Custo"</x:f>
        <x:v>Despesa/Custo</x:v>
      </x:c>
      <x:c r="B140" t="str">
        <x:f>Despesas!A104</x:f>
        <x:v>IDELFONSO SOARES DOS REIS - ME</x:v>
      </x:c>
      <x:c r="C140" t="str">
        <x:f>Despesas!B104</x:f>
        <x:v>4636</x:v>
      </x:c>
      <x:c r="D140" t="str">
        <x:f>Despesas!C104</x:f>
        <x:v>015111</x:v>
      </x:c>
      <x:c r="E140" t="str">
        <x:f>Despesas!D104</x:f>
        <x:v>MATERIAIS DE CONSUMO</x:v>
      </x:c>
      <x:c r="F140" t="n">
        <x:f>Despesas!E104</x:f>
        <x:v>0</x:v>
      </x:c>
      <x:c r="G140" s="4" t="n">
        <x:f>Despesas!F104</x:f>
        <x:v>46029</x:v>
      </x:c>
      <x:c r="H140" t="str">
        <x:f>Despesas!G104</x:f>
        <x:v>EUROCHEM SERRA DO SALITRE</x:v>
      </x:c>
      <x:c r="I140" t="str">
        <x:f>Despesas!H104</x:f>
        <x:v>8.9 - MATERIAIS DE CONSUMO EM OBRAS</x:v>
      </x:c>
      <x:c r="J140" s="5" t="n">
        <x:f>Despesas!I104</x:f>
        <x:v>730</x:v>
      </x:c>
      <x:c r="K140" s="5" t="n">
        <x:f>0</x:f>
        <x:v>0</x:v>
      </x:c>
      <x:c r="L140" s="5" t="n">
        <x:f>Despesas!I104</x:f>
        <x:v>730</x:v>
      </x:c>
      <x:c r="M140" s="5" t="n">
        <x:f>-J140</x:f>
        <x:v>-730</x:v>
      </x:c>
    </x:row>
    <x:row r="141">
      <x:c r="A141" t="str">
        <x:f>"Despesa/Custo"</x:f>
        <x:v>Despesa/Custo</x:v>
      </x:c>
      <x:c r="B141" t="str">
        <x:f>Despesas!A105</x:f>
        <x:v>DESPESAS VEICULOS</x:v>
      </x:c>
      <x:c r="C141" t="n">
        <x:f>Despesas!B105</x:f>
        <x:v>0</x:v>
      </x:c>
      <x:c r="D141" t="str">
        <x:f>Despesas!C105</x:f>
        <x:v>015112</x:v>
      </x:c>
      <x:c r="E141" t="str">
        <x:f>Despesas!D105</x:f>
        <x:v>JOSIMARA DA SILVA SANTOS - PIX (62) 9 9274-5847</x:v>
      </x:c>
      <x:c r="F141" t="str">
        <x:f>Despesas!E105</x:f>
        <x:v>50% PLOTAGEM RANGER</x:v>
      </x:c>
      <x:c r="G141" s="4" t="n">
        <x:f>Despesas!F105</x:f>
        <x:v>46029</x:v>
      </x:c>
      <x:c r="H141" t="str">
        <x:f>Despesas!G105</x:f>
        <x:v>SERENA 10 TORRES 2025</x:v>
      </x:c>
      <x:c r="I141" t="str">
        <x:f>Despesas!H105</x:f>
        <x:v>3.16 - SERVIÇO PLOTAGEM / ADESIVO / PLACAS / CRACHAS</x:v>
      </x:c>
      <x:c r="J141" s="5" t="n">
        <x:f>Despesas!I105</x:f>
        <x:v>575</x:v>
      </x:c>
      <x:c r="K141" s="5" t="n">
        <x:f>0</x:f>
        <x:v>0</x:v>
      </x:c>
      <x:c r="L141" s="5" t="n">
        <x:f>Despesas!I105</x:f>
        <x:v>575</x:v>
      </x:c>
      <x:c r="M141" s="5" t="n">
        <x:f>-J141</x:f>
        <x:v>-575</x:v>
      </x:c>
    </x:row>
    <x:row r="142">
      <x:c r="A142" t="str">
        <x:f>"Despesa/Custo"</x:f>
        <x:v>Despesa/Custo</x:v>
      </x:c>
      <x:c r="B142" t="str">
        <x:f>Despesas!A106</x:f>
        <x:v>DESPESAS DE VIAGEM</x:v>
      </x:c>
      <x:c r="C142" t="n">
        <x:f>Despesas!B106</x:f>
        <x:v>0</x:v>
      </x:c>
      <x:c r="D142" t="str">
        <x:f>Despesas!C106</x:f>
        <x:v>015113</x:v>
      </x:c>
      <x:c r="E142" t="str">
        <x:f>Despesas!D106</x:f>
        <x:v>DESPESAS REF. 05/01 A 09/0126</x:v>
      </x:c>
      <x:c r="F142" t="n">
        <x:f>Despesas!E106</x:f>
        <x:v>0</x:v>
      </x:c>
      <x:c r="G142" s="4" t="n">
        <x:f>Despesas!F106</x:f>
        <x:v>46029</x:v>
      </x:c>
      <x:c r="H142" t="str">
        <x:f>Despesas!G106</x:f>
        <x:v>MOSAIC UBERABA CONTRAT0 3 ANOS</x:v>
      </x:c>
      <x:c r="I142" t="str">
        <x:f>Despesas!H106</x:f>
        <x:v>12.5 - REFEIÇÕES FUNCIONARIOS</x:v>
      </x:c>
      <x:c r="J142" s="5" t="n">
        <x:f>Despesas!I106</x:f>
        <x:v>440.51948</x:v>
      </x:c>
      <x:c r="K142" s="5" t="n">
        <x:f>0</x:f>
        <x:v>0</x:v>
      </x:c>
      <x:c r="L142" s="5" t="n">
        <x:f>Despesas!I106</x:f>
        <x:v>440.51948</x:v>
      </x:c>
      <x:c r="M142" s="5" t="n">
        <x:f>-J142</x:f>
        <x:v>-440.51948</x:v>
      </x:c>
    </x:row>
    <x:row r="143">
      <x:c r="A143" t="str">
        <x:f>"Despesa/Custo"</x:f>
        <x:v>Despesa/Custo</x:v>
      </x:c>
      <x:c r="B143" t="str">
        <x:f>Despesas!A107</x:f>
        <x:v>DESPESAS DE VIAGEM</x:v>
      </x:c>
      <x:c r="C143" t="n">
        <x:f>Despesas!B107</x:f>
        <x:v>0</x:v>
      </x:c>
      <x:c r="D143" t="str">
        <x:f>Despesas!C107</x:f>
        <x:v>015113</x:v>
      </x:c>
      <x:c r="E143" t="str">
        <x:f>Despesas!D107</x:f>
        <x:v>DESPESAS REF. 05/01 A 09/0126</x:v>
      </x:c>
      <x:c r="F143" t="n">
        <x:f>Despesas!E107</x:f>
        <x:v>0</x:v>
      </x:c>
      <x:c r="G143" s="4" t="n">
        <x:f>Despesas!F107</x:f>
        <x:v>46029</x:v>
      </x:c>
      <x:c r="H143" t="str">
        <x:f>Despesas!G107</x:f>
        <x:v>MOSAIC UBERABA CONTRAT0 3 ANOS</x:v>
      </x:c>
      <x:c r="I143" t="str">
        <x:f>Despesas!H107</x:f>
        <x:v>12.9 - PASSAGENS FUNCIONARIOS</x:v>
      </x:c>
      <x:c r="J143" s="5" t="n">
        <x:f>Despesas!I107</x:f>
        <x:v>619.480519</x:v>
      </x:c>
      <x:c r="K143" s="5" t="n">
        <x:f>0</x:f>
        <x:v>0</x:v>
      </x:c>
      <x:c r="L143" s="5" t="n">
        <x:f>Despesas!I107</x:f>
        <x:v>619.480519</x:v>
      </x:c>
      <x:c r="M143" s="5" t="n">
        <x:f>-J143</x:f>
        <x:v>-619.480519</x:v>
      </x:c>
    </x:row>
    <x:row r="144">
      <x:c r="A144" t="str">
        <x:f>"Despesa/Custo"</x:f>
        <x:v>Despesa/Custo</x:v>
      </x:c>
      <x:c r="B144" t="str">
        <x:f>Despesas!A108</x:f>
        <x:v>DESPESAS DE VIAGEM</x:v>
      </x:c>
      <x:c r="C144" t="n">
        <x:f>Despesas!B108</x:f>
        <x:v>0</x:v>
      </x:c>
      <x:c r="D144" t="str">
        <x:f>Despesas!C108</x:f>
        <x:v>015113</x:v>
      </x:c>
      <x:c r="E144" t="str">
        <x:f>Despesas!D108</x:f>
        <x:v>DESPESAS REF. 05/01 A 09/0126</x:v>
      </x:c>
      <x:c r="F144" t="n">
        <x:f>Despesas!E108</x:f>
        <x:v>0</x:v>
      </x:c>
      <x:c r="G144" s="4" t="n">
        <x:f>Despesas!F108</x:f>
        <x:v>46029</x:v>
      </x:c>
      <x:c r="H144" t="str">
        <x:f>Despesas!G108</x:f>
        <x:v>ANGLO AMERICAN</x:v>
      </x:c>
      <x:c r="I144" t="str">
        <x:f>Despesas!H108</x:f>
        <x:v>12.5 - REFEIÇÕES FUNCIONARIOS</x:v>
      </x:c>
      <x:c r="J144" s="5" t="n">
        <x:f>Despesas!I108</x:f>
        <x:v>66.493506</x:v>
      </x:c>
      <x:c r="K144" s="5" t="n">
        <x:f>0</x:f>
        <x:v>0</x:v>
      </x:c>
      <x:c r="L144" s="5" t="n">
        <x:f>Despesas!I108</x:f>
        <x:v>66.493506</x:v>
      </x:c>
      <x:c r="M144" s="5" t="n">
        <x:f>-J144</x:f>
        <x:v>-66.493506</x:v>
      </x:c>
    </x:row>
    <x:row r="145">
      <x:c r="A145" t="str">
        <x:f>"Despesa/Custo"</x:f>
        <x:v>Despesa/Custo</x:v>
      </x:c>
      <x:c r="B145" t="str">
        <x:f>Despesas!A109</x:f>
        <x:v>DESPESAS DE VIAGEM</x:v>
      </x:c>
      <x:c r="C145" t="n">
        <x:f>Despesas!B109</x:f>
        <x:v>0</x:v>
      </x:c>
      <x:c r="D145" t="str">
        <x:f>Despesas!C109</x:f>
        <x:v>015113</x:v>
      </x:c>
      <x:c r="E145" t="str">
        <x:f>Despesas!D109</x:f>
        <x:v>DESPESAS REF. 05/01 A 09/0126</x:v>
      </x:c>
      <x:c r="F145" t="n">
        <x:f>Despesas!E109</x:f>
        <x:v>0</x:v>
      </x:c>
      <x:c r="G145" s="4" t="n">
        <x:f>Despesas!F109</x:f>
        <x:v>46029</x:v>
      </x:c>
      <x:c r="H145" t="str">
        <x:f>Despesas!G109</x:f>
        <x:v>ANGLO AMERICAN</x:v>
      </x:c>
      <x:c r="I145" t="str">
        <x:f>Despesas!H109</x:f>
        <x:v>12.9 - PASSAGENS FUNCIONARIOS</x:v>
      </x:c>
      <x:c r="J145" s="5" t="n">
        <x:f>Despesas!I109</x:f>
        <x:v>93.506494</x:v>
      </x:c>
      <x:c r="K145" s="5" t="n">
        <x:f>0</x:f>
        <x:v>0</x:v>
      </x:c>
      <x:c r="L145" s="5" t="n">
        <x:f>Despesas!I109</x:f>
        <x:v>93.506494</x:v>
      </x:c>
      <x:c r="M145" s="5" t="n">
        <x:f>-J145</x:f>
        <x:v>-93.506494</x:v>
      </x:c>
    </x:row>
    <x:row r="146">
      <x:c r="A146" t="str">
        <x:f>"Despesa/Custo"</x:f>
        <x:v>Despesa/Custo</x:v>
      </x:c>
      <x:c r="B146" t="str">
        <x:f>Despesas!A110</x:f>
        <x:v>DESPESAS DE VIAGEM</x:v>
      </x:c>
      <x:c r="C146" t="n">
        <x:f>Despesas!B110</x:f>
        <x:v>0</x:v>
      </x:c>
      <x:c r="D146" t="str">
        <x:f>Despesas!C110</x:f>
        <x:v>015113</x:v>
      </x:c>
      <x:c r="E146" t="str">
        <x:f>Despesas!D110</x:f>
        <x:v>DESPESAS REF. 05/01 A 09/0126</x:v>
      </x:c>
      <x:c r="F146" t="n">
        <x:f>Despesas!E110</x:f>
        <x:v>0</x:v>
      </x:c>
      <x:c r="G146" s="4" t="n">
        <x:f>Despesas!F110</x:f>
        <x:v>46029</x:v>
      </x:c>
      <x:c r="H146" t="str">
        <x:f>Despesas!G110</x:f>
        <x:v>EUROCHEM SERRA DO SALITRE</x:v>
      </x:c>
      <x:c r="I146" t="str">
        <x:f>Despesas!H110</x:f>
        <x:v>12.5 - REFEIÇÕES FUNCIONARIOS</x:v>
      </x:c>
      <x:c r="J146" s="5" t="n">
        <x:f>Despesas!I110</x:f>
        <x:v>66.493506</x:v>
      </x:c>
      <x:c r="K146" s="5" t="n">
        <x:f>0</x:f>
        <x:v>0</x:v>
      </x:c>
      <x:c r="L146" s="5" t="n">
        <x:f>Despesas!I110</x:f>
        <x:v>66.493506</x:v>
      </x:c>
      <x:c r="M146" s="5" t="n">
        <x:f>-J146</x:f>
        <x:v>-66.493506</x:v>
      </x:c>
    </x:row>
    <x:row r="147">
      <x:c r="A147" t="str">
        <x:f>"Despesa/Custo"</x:f>
        <x:v>Despesa/Custo</x:v>
      </x:c>
      <x:c r="B147" t="str">
        <x:f>Despesas!A111</x:f>
        <x:v>DESPESAS DE VIAGEM</x:v>
      </x:c>
      <x:c r="C147" t="n">
        <x:f>Despesas!B111</x:f>
        <x:v>0</x:v>
      </x:c>
      <x:c r="D147" t="str">
        <x:f>Despesas!C111</x:f>
        <x:v>015113</x:v>
      </x:c>
      <x:c r="E147" t="str">
        <x:f>Despesas!D111</x:f>
        <x:v>DESPESAS REF. 05/01 A 09/0126</x:v>
      </x:c>
      <x:c r="F147" t="n">
        <x:f>Despesas!E111</x:f>
        <x:v>0</x:v>
      </x:c>
      <x:c r="G147" s="4" t="n">
        <x:f>Despesas!F111</x:f>
        <x:v>46029</x:v>
      </x:c>
      <x:c r="H147" t="str">
        <x:f>Despesas!G111</x:f>
        <x:v>EUROCHEM SERRA DO SALITRE</x:v>
      </x:c>
      <x:c r="I147" t="str">
        <x:f>Despesas!H111</x:f>
        <x:v>12.9 - PASSAGENS FUNCIONARIOS</x:v>
      </x:c>
      <x:c r="J147" s="5" t="n">
        <x:f>Despesas!I111</x:f>
        <x:v>93.506494</x:v>
      </x:c>
      <x:c r="K147" s="5" t="n">
        <x:f>0</x:f>
        <x:v>0</x:v>
      </x:c>
      <x:c r="L147" s="5" t="n">
        <x:f>Despesas!I111</x:f>
        <x:v>93.506494</x:v>
      </x:c>
      <x:c r="M147" s="5" t="n">
        <x:f>-J147</x:f>
        <x:v>-93.506494</x:v>
      </x:c>
    </x:row>
    <x:row r="148">
      <x:c r="A148" t="str">
        <x:f>"Despesa/Custo"</x:f>
        <x:v>Despesa/Custo</x:v>
      </x:c>
      <x:c r="B148" t="str">
        <x:f>Despesas!A112</x:f>
        <x:v>DESPESAS DE VIAGEM</x:v>
      </x:c>
      <x:c r="C148" t="n">
        <x:f>Despesas!B112</x:f>
        <x:v>0</x:v>
      </x:c>
      <x:c r="D148" t="str">
        <x:f>Despesas!C112</x:f>
        <x:v>015113</x:v>
      </x:c>
      <x:c r="E148" t="str">
        <x:f>Despesas!D112</x:f>
        <x:v>DESPESAS REF. 05/01 A 09/0126</x:v>
      </x:c>
      <x:c r="F148" t="n">
        <x:f>Despesas!E112</x:f>
        <x:v>0</x:v>
      </x:c>
      <x:c r="G148" s="4" t="n">
        <x:f>Despesas!F112</x:f>
        <x:v>46029</x:v>
      </x:c>
      <x:c r="H148" t="str">
        <x:f>Despesas!G112</x:f>
        <x:v>NIOBIO CMOC CONTRATO</x:v>
      </x:c>
      <x:c r="I148" t="str">
        <x:f>Despesas!H112</x:f>
        <x:v>12.5 - REFEIÇÕES FUNCIONARIOS</x:v>
      </x:c>
      <x:c r="J148" s="5" t="n">
        <x:f>Despesas!I112</x:f>
        <x:v>66.493506</x:v>
      </x:c>
      <x:c r="K148" s="5" t="n">
        <x:f>0</x:f>
        <x:v>0</x:v>
      </x:c>
      <x:c r="L148" s="5" t="n">
        <x:f>Despesas!I112</x:f>
        <x:v>66.493506</x:v>
      </x:c>
      <x:c r="M148" s="5" t="n">
        <x:f>-J148</x:f>
        <x:v>-66.493506</x:v>
      </x:c>
    </x:row>
    <x:row r="149">
      <x:c r="A149" t="str">
        <x:f>"Despesa/Custo"</x:f>
        <x:v>Despesa/Custo</x:v>
      </x:c>
      <x:c r="B149" t="str">
        <x:f>Despesas!A113</x:f>
        <x:v>DESPESAS DE VIAGEM</x:v>
      </x:c>
      <x:c r="C149" t="n">
        <x:f>Despesas!B113</x:f>
        <x:v>0</x:v>
      </x:c>
      <x:c r="D149" t="str">
        <x:f>Despesas!C113</x:f>
        <x:v>015113</x:v>
      </x:c>
      <x:c r="E149" t="str">
        <x:f>Despesas!D113</x:f>
        <x:v>DESPESAS REF. 05/01 A 09/0126</x:v>
      </x:c>
      <x:c r="F149" t="n">
        <x:f>Despesas!E113</x:f>
        <x:v>0</x:v>
      </x:c>
      <x:c r="G149" s="4" t="n">
        <x:f>Despesas!F113</x:f>
        <x:v>46029</x:v>
      </x:c>
      <x:c r="H149" t="str">
        <x:f>Despesas!G113</x:f>
        <x:v>NIOBIO CMOC CONTRATO</x:v>
      </x:c>
      <x:c r="I149" t="str">
        <x:f>Despesas!H113</x:f>
        <x:v>12.9 - PASSAGENS FUNCIONARIOS</x:v>
      </x:c>
      <x:c r="J149" s="5" t="n">
        <x:f>Despesas!I113</x:f>
        <x:v>93.506494</x:v>
      </x:c>
      <x:c r="K149" s="5" t="n">
        <x:f>0</x:f>
        <x:v>0</x:v>
      </x:c>
      <x:c r="L149" s="5" t="n">
        <x:f>Despesas!I113</x:f>
        <x:v>93.506494</x:v>
      </x:c>
      <x:c r="M149" s="5" t="n">
        <x:f>-J149</x:f>
        <x:v>-93.506494</x:v>
      </x:c>
    </x:row>
    <x:row r="150">
      <x:c r="A150" t="str">
        <x:f>"Despesa/Custo"</x:f>
        <x:v>Despesa/Custo</x:v>
      </x:c>
      <x:c r="B150" t="str">
        <x:f>Despesas!A114</x:f>
        <x:v>VS JARDINAGEM E PAISAGISMO LTDA</x:v>
      </x:c>
      <x:c r="C150" t="str">
        <x:f>Despesas!B114</x:f>
        <x:v>2</x:v>
      </x:c>
      <x:c r="D150" t="str">
        <x:f>Despesas!C114</x:f>
        <x:v>015129</x:v>
      </x:c>
      <x:c r="E150" t="str">
        <x:f>Despesas!D114</x:f>
        <x:v>VITOR FERREIRA DOS - PIX 55.391.069/0001-85</x:v>
      </x:c>
      <x:c r="F150" t="str">
        <x:f>Despesas!E114</x:f>
        <x:v>MANUTENÇÃO DO JARDIM</x:v>
      </x:c>
      <x:c r="G150" s="4" t="n">
        <x:f>Despesas!F114</x:f>
        <x:v>46029</x:v>
      </x:c>
      <x:c r="H150" t="str">
        <x:f>Despesas!G114</x:f>
        <x:v>ADMINISTRATIVO</x:v>
      </x:c>
      <x:c r="I150" t="str">
        <x:f>Despesas!H114</x:f>
        <x:v>15.8 - GASTOS COM INFRAESTRUTURA SEDE</x:v>
      </x:c>
      <x:c r="J150" s="5" t="n">
        <x:f>Despesas!I114</x:f>
        <x:v>1300</x:v>
      </x:c>
      <x:c r="K150" s="5" t="n">
        <x:f>0</x:f>
        <x:v>0</x:v>
      </x:c>
      <x:c r="L150" s="5" t="n">
        <x:f>Despesas!I114</x:f>
        <x:v>1300</x:v>
      </x:c>
      <x:c r="M150" s="5" t="n">
        <x:f>-J150</x:f>
        <x:v>-1300</x:v>
      </x:c>
    </x:row>
    <x:row r="151">
      <x:c r="A151" t="str">
        <x:f>"Despesa/Custo"</x:f>
        <x:v>Despesa/Custo</x:v>
      </x:c>
      <x:c r="B151" t="str">
        <x:f>Despesas!A115</x:f>
        <x:v>RHTRON INFORMATICA LTDA</x:v>
      </x:c>
      <x:c r="C151" t="str">
        <x:f>Despesas!B115</x:f>
        <x:v>2574</x:v>
      </x:c>
      <x:c r="D151" t="str">
        <x:f>Despesas!C115</x:f>
        <x:v>015130</x:v>
      </x:c>
      <x:c r="E151" t="str">
        <x:f>Despesas!D115</x:f>
        <x:v>RESCISÃO DO CONTRATO</x:v>
      </x:c>
      <x:c r="F151" t="str">
        <x:f>Despesas!E115</x:f>
        <x:v>VENCIMENTO ORIGINAL DO BOLETO 18/02/25</x:v>
      </x:c>
      <x:c r="G151" s="4" t="n">
        <x:f>Despesas!F115</x:f>
        <x:v>46029</x:v>
      </x:c>
      <x:c r="H151" t="str">
        <x:f>Despesas!G115</x:f>
        <x:v>ADMINISTRATIVO</x:v>
      </x:c>
      <x:c r="I151" t="str">
        <x:f>Despesas!H115</x:f>
        <x:v>11.8 - SISTEMA / SERVIDOR</x:v>
      </x:c>
      <x:c r="J151" s="5" t="n">
        <x:f>Despesas!I115</x:f>
        <x:v>911.4</x:v>
      </x:c>
      <x:c r="K151" s="5" t="n">
        <x:f>0</x:f>
        <x:v>0</x:v>
      </x:c>
      <x:c r="L151" s="5" t="n">
        <x:f>Despesas!I115</x:f>
        <x:v>911.4</x:v>
      </x:c>
      <x:c r="M151" s="5" t="n">
        <x:f>-J151</x:f>
        <x:v>-911.4</x:v>
      </x:c>
    </x:row>
    <x:row r="152">
      <x:c r="A152" t="str">
        <x:f>"Despesa/Custo"</x:f>
        <x:v>Despesa/Custo</x:v>
      </x:c>
      <x:c r="B152" t="str">
        <x:f>Despesas!A116</x:f>
        <x:v>MARCOS CONTAINER LTDA M.E</x:v>
      </x:c>
      <x:c r="C152" t="str">
        <x:f>Despesas!B116</x:f>
        <x:v>18119</x:v>
      </x:c>
      <x:c r="D152" t="str">
        <x:f>Despesas!C116</x:f>
        <x:v>015167</x:v>
      </x:c>
      <x:c r="E152" t="str">
        <x:f>Despesas!D116</x:f>
        <x:v>LOCAÇÃO DE CONTAINER REF. PERÍODO 02/01 A 02/02</x:v>
      </x:c>
      <x:c r="F152" t="str">
        <x:f>Despesas!E116</x:f>
        <x:v>VENCIMENTO ORIGINAL DO BOLETO 02/02/26</x:v>
      </x:c>
      <x:c r="G152" s="4" t="n">
        <x:f>Despesas!F116</x:f>
        <x:v>46029</x:v>
      </x:c>
      <x:c r="H152" t="str">
        <x:f>Despesas!G116</x:f>
        <x:v>NIOBIO CMOC CONTRATO</x:v>
      </x:c>
      <x:c r="I152" t="str">
        <x:f>Despesas!H116</x:f>
        <x:v>7.6 - LOCAÇÃO CONTAINER</x:v>
      </x:c>
      <x:c r="J152" s="5" t="n">
        <x:f>Despesas!I116</x:f>
        <x:v>503.3</x:v>
      </x:c>
      <x:c r="K152" s="5" t="n">
        <x:f>0</x:f>
        <x:v>0</x:v>
      </x:c>
      <x:c r="L152" s="5" t="n">
        <x:f>Despesas!I116</x:f>
        <x:v>503.3</x:v>
      </x:c>
      <x:c r="M152" s="5" t="n">
        <x:f>-J152</x:f>
        <x:v>-503.3</x:v>
      </x:c>
    </x:row>
    <x:row r="153">
      <x:c r="A153" t="str">
        <x:f>"Despesa/Custo"</x:f>
        <x:v>Despesa/Custo</x:v>
      </x:c>
      <x:c r="B153" t="str">
        <x:f>Despesas!A117</x:f>
        <x:v>FOLHA DE PAGAMENTO</x:v>
      </x:c>
      <x:c r="C153" t="n">
        <x:f>Despesas!B117</x:f>
        <x:v>0</x:v>
      </x:c>
      <x:c r="D153" t="str">
        <x:f>Despesas!C117</x:f>
        <x:v>015185</x:v>
      </x:c>
      <x:c r="E153" t="str">
        <x:f>Despesas!D117</x:f>
        <x:v>FOLHA PGTO REF. MÊS 12/2025</x:v>
      </x:c>
      <x:c r="F153" t="n">
        <x:f>Despesas!E117</x:f>
        <x:v>0</x:v>
      </x:c>
      <x:c r="G153" s="4" t="n">
        <x:f>Despesas!F117</x:f>
        <x:v>46029</x:v>
      </x:c>
      <x:c r="H153" t="str">
        <x:f>Despesas!G117</x:f>
        <x:v>ADMINISTRATIVO</x:v>
      </x:c>
      <x:c r="I153" t="str">
        <x:f>Despesas!H117</x:f>
        <x:v>12.1 - SALARIO</x:v>
      </x:c>
      <x:c r="J153" s="5" t="n">
        <x:f>Despesas!I117</x:f>
        <x:v>81223.11</x:v>
      </x:c>
      <x:c r="K153" s="5" t="n">
        <x:f>0</x:f>
        <x:v>0</x:v>
      </x:c>
      <x:c r="L153" s="5" t="n">
        <x:f>Despesas!I117</x:f>
        <x:v>81223.11</x:v>
      </x:c>
      <x:c r="M153" s="5" t="n">
        <x:f>-J153</x:f>
        <x:v>-81223.11</x:v>
      </x:c>
    </x:row>
    <x:row r="154">
      <x:c r="A154" t="str">
        <x:f>"Despesa/Custo"</x:f>
        <x:v>Despesa/Custo</x:v>
      </x:c>
      <x:c r="B154" t="str">
        <x:f>Despesas!A118</x:f>
        <x:v>FOLHA DE PAGAMENTO</x:v>
      </x:c>
      <x:c r="C154" t="n">
        <x:f>Despesas!B118</x:f>
        <x:v>0</x:v>
      </x:c>
      <x:c r="D154" t="str">
        <x:f>Despesas!C118</x:f>
        <x:v>015185</x:v>
      </x:c>
      <x:c r="E154" t="str">
        <x:f>Despesas!D118</x:f>
        <x:v>FOLHA PGTO REF. MÊS 12/2025</x:v>
      </x:c>
      <x:c r="F154" t="n">
        <x:f>Despesas!E118</x:f>
        <x:v>0</x:v>
      </x:c>
      <x:c r="G154" s="4" t="n">
        <x:f>Despesas!F118</x:f>
        <x:v>46029</x:v>
      </x:c>
      <x:c r="H154" t="str">
        <x:f>Despesas!G118</x:f>
        <x:v>SERENA 10 TORRES 2025</x:v>
      </x:c>
      <x:c r="I154" t="str">
        <x:f>Despesas!H118</x:f>
        <x:v>12.1 - SALARIO</x:v>
      </x:c>
      <x:c r="J154" s="5" t="n">
        <x:f>Despesas!I118</x:f>
        <x:v>52143.02</x:v>
      </x:c>
      <x:c r="K154" s="5" t="n">
        <x:f>0</x:f>
        <x:v>0</x:v>
      </x:c>
      <x:c r="L154" s="5" t="n">
        <x:f>Despesas!I118</x:f>
        <x:v>52143.02</x:v>
      </x:c>
      <x:c r="M154" s="5" t="n">
        <x:f>-J154</x:f>
        <x:v>-52143.02</x:v>
      </x:c>
    </x:row>
    <x:row r="155">
      <x:c r="A155" t="str">
        <x:f>"Despesa/Custo"</x:f>
        <x:v>Despesa/Custo</x:v>
      </x:c>
      <x:c r="B155" t="str">
        <x:f>Despesas!A119</x:f>
        <x:v>FOLHA DE PAGAMENTO</x:v>
      </x:c>
      <x:c r="C155" t="n">
        <x:f>Despesas!B119</x:f>
        <x:v>0</x:v>
      </x:c>
      <x:c r="D155" t="str">
        <x:f>Despesas!C119</x:f>
        <x:v>015186</x:v>
      </x:c>
      <x:c r="E155" t="str">
        <x:f>Despesas!D119</x:f>
        <x:v>FOLHA PGTO REF. MÊS 12/2025</x:v>
      </x:c>
      <x:c r="F155" t="n">
        <x:f>Despesas!E119</x:f>
        <x:v>0</x:v>
      </x:c>
      <x:c r="G155" s="4" t="n">
        <x:f>Despesas!F119</x:f>
        <x:v>46029</x:v>
      </x:c>
      <x:c r="H155" t="str">
        <x:f>Despesas!G119</x:f>
        <x:v>VLI PINTURA</x:v>
      </x:c>
      <x:c r="I155" t="str">
        <x:f>Despesas!H119</x:f>
        <x:v>12.1 - SALARIO</x:v>
      </x:c>
      <x:c r="J155" s="5" t="n">
        <x:f>Despesas!I119</x:f>
        <x:v>83701.4</x:v>
      </x:c>
      <x:c r="K155" s="5" t="n">
        <x:f>0</x:f>
        <x:v>0</x:v>
      </x:c>
      <x:c r="L155" s="5" t="n">
        <x:f>Despesas!I119</x:f>
        <x:v>83701.4</x:v>
      </x:c>
      <x:c r="M155" s="5" t="n">
        <x:f>-J155</x:f>
        <x:v>-83701.4</x:v>
      </x:c>
    </x:row>
    <x:row r="156">
      <x:c r="A156" t="str">
        <x:f>"Despesa/Custo"</x:f>
        <x:v>Despesa/Custo</x:v>
      </x:c>
      <x:c r="B156" t="str">
        <x:f>Despesas!A120</x:f>
        <x:v>FOLHA DE PAGAMENTO</x:v>
      </x:c>
      <x:c r="C156" t="n">
        <x:f>Despesas!B120</x:f>
        <x:v>0</x:v>
      </x:c>
      <x:c r="D156" t="str">
        <x:f>Despesas!C120</x:f>
        <x:v>015186</x:v>
      </x:c>
      <x:c r="E156" t="str">
        <x:f>Despesas!D120</x:f>
        <x:v>FOLHA PGTO REF. MÊS 12/2025</x:v>
      </x:c>
      <x:c r="F156" t="n">
        <x:f>Despesas!E120</x:f>
        <x:v>0</x:v>
      </x:c>
      <x:c r="G156" s="4" t="n">
        <x:f>Despesas!F120</x:f>
        <x:v>46029</x:v>
      </x:c>
      <x:c r="H156" t="str">
        <x:f>Despesas!G120</x:f>
        <x:v>MOSAIC UBERABA CONTRAT0 3 ANOS</x:v>
      </x:c>
      <x:c r="I156" t="str">
        <x:f>Despesas!H120</x:f>
        <x:v>12.1 - SALARIO</x:v>
      </x:c>
      <x:c r="J156" s="5" t="n">
        <x:f>Despesas!I120</x:f>
        <x:v>37549.32</x:v>
      </x:c>
      <x:c r="K156" s="5" t="n">
        <x:f>0</x:f>
        <x:v>0</x:v>
      </x:c>
      <x:c r="L156" s="5" t="n">
        <x:f>Despesas!I120</x:f>
        <x:v>37549.32</x:v>
      </x:c>
      <x:c r="M156" s="5" t="n">
        <x:f>-J156</x:f>
        <x:v>-37549.32</x:v>
      </x:c>
    </x:row>
    <x:row r="157">
      <x:c r="A157" t="str">
        <x:f>"Despesa/Custo"</x:f>
        <x:v>Despesa/Custo</x:v>
      </x:c>
      <x:c r="B157" t="str">
        <x:f>Despesas!A121</x:f>
        <x:v>FOLHA DE PAGAMENTO</x:v>
      </x:c>
      <x:c r="C157" t="n">
        <x:f>Despesas!B121</x:f>
        <x:v>0</x:v>
      </x:c>
      <x:c r="D157" t="str">
        <x:f>Despesas!C121</x:f>
        <x:v>015186</x:v>
      </x:c>
      <x:c r="E157" t="str">
        <x:f>Despesas!D121</x:f>
        <x:v>FOLHA PGTO REF. MÊS 12/2025</x:v>
      </x:c>
      <x:c r="F157" t="n">
        <x:f>Despesas!E121</x:f>
        <x:v>0</x:v>
      </x:c>
      <x:c r="G157" s="4" t="n">
        <x:f>Despesas!F121</x:f>
        <x:v>46029</x:v>
      </x:c>
      <x:c r="H157" t="str">
        <x:f>Despesas!G121</x:f>
        <x:v>ANGLO AMERICAN</x:v>
      </x:c>
      <x:c r="I157" t="str">
        <x:f>Despesas!H121</x:f>
        <x:v>12.1 - SALARIO</x:v>
      </x:c>
      <x:c r="J157" s="5" t="n">
        <x:f>Despesas!I121</x:f>
        <x:v>34783.5</x:v>
      </x:c>
      <x:c r="K157" s="5" t="n">
        <x:f>0</x:f>
        <x:v>0</x:v>
      </x:c>
      <x:c r="L157" s="5" t="n">
        <x:f>Despesas!I121</x:f>
        <x:v>34783.5</x:v>
      </x:c>
      <x:c r="M157" s="5" t="n">
        <x:f>-J157</x:f>
        <x:v>-34783.5</x:v>
      </x:c>
    </x:row>
    <x:row r="158">
      <x:c r="A158" t="str">
        <x:f>"Despesa/Custo"</x:f>
        <x:v>Despesa/Custo</x:v>
      </x:c>
      <x:c r="B158" t="str">
        <x:f>Despesas!A122</x:f>
        <x:v>FOLHA DE PAGAMENTO</x:v>
      </x:c>
      <x:c r="C158" t="n">
        <x:f>Despesas!B122</x:f>
        <x:v>0</x:v>
      </x:c>
      <x:c r="D158" t="str">
        <x:f>Despesas!C122</x:f>
        <x:v>015186</x:v>
      </x:c>
      <x:c r="E158" t="str">
        <x:f>Despesas!D122</x:f>
        <x:v>FOLHA PGTO REF. MÊS 12/2025</x:v>
      </x:c>
      <x:c r="F158" t="n">
        <x:f>Despesas!E122</x:f>
        <x:v>0</x:v>
      </x:c>
      <x:c r="G158" s="4" t="n">
        <x:f>Despesas!F122</x:f>
        <x:v>46029</x:v>
      </x:c>
      <x:c r="H158" t="str">
        <x:f>Despesas!G122</x:f>
        <x:v>EUROCHEM SERRA DO SALITRE</x:v>
      </x:c>
      <x:c r="I158" t="str">
        <x:f>Despesas!H122</x:f>
        <x:v>12.1 - SALARIO</x:v>
      </x:c>
      <x:c r="J158" s="5" t="n">
        <x:f>Despesas!I122</x:f>
        <x:v>29901.31</x:v>
      </x:c>
      <x:c r="K158" s="5" t="n">
        <x:f>0</x:f>
        <x:v>0</x:v>
      </x:c>
      <x:c r="L158" s="5" t="n">
        <x:f>Despesas!I122</x:f>
        <x:v>29901.31</x:v>
      </x:c>
      <x:c r="M158" s="5" t="n">
        <x:f>-J158</x:f>
        <x:v>-29901.31</x:v>
      </x:c>
    </x:row>
    <x:row r="159">
      <x:c r="A159" t="str">
        <x:f>"Despesa/Custo"</x:f>
        <x:v>Despesa/Custo</x:v>
      </x:c>
      <x:c r="B159" t="str">
        <x:f>Despesas!A123</x:f>
        <x:v>FOLHA DE PAGAMENTO</x:v>
      </x:c>
      <x:c r="C159" t="n">
        <x:f>Despesas!B123</x:f>
        <x:v>0</x:v>
      </x:c>
      <x:c r="D159" t="str">
        <x:f>Despesas!C123</x:f>
        <x:v>015186</x:v>
      </x:c>
      <x:c r="E159" t="str">
        <x:f>Despesas!D123</x:f>
        <x:v>FOLHA PGTO REF. MÊS 12/2025</x:v>
      </x:c>
      <x:c r="F159" t="n">
        <x:f>Despesas!E123</x:f>
        <x:v>0</x:v>
      </x:c>
      <x:c r="G159" s="4" t="n">
        <x:f>Despesas!F123</x:f>
        <x:v>46029</x:v>
      </x:c>
      <x:c r="H159" t="str">
        <x:f>Despesas!G123</x:f>
        <x:v>FOSFATO CMOC CONTRAT</x:v>
      </x:c>
      <x:c r="I159" t="str">
        <x:f>Despesas!H123</x:f>
        <x:v>12.1 - SALARIO</x:v>
      </x:c>
      <x:c r="J159" s="5" t="n">
        <x:f>Despesas!I123</x:f>
        <x:v>72577.77</x:v>
      </x:c>
      <x:c r="K159" s="5" t="n">
        <x:f>0</x:f>
        <x:v>0</x:v>
      </x:c>
      <x:c r="L159" s="5" t="n">
        <x:f>Despesas!I123</x:f>
        <x:v>72577.77</x:v>
      </x:c>
      <x:c r="M159" s="5" t="n">
        <x:f>-J159</x:f>
        <x:v>-72577.77</x:v>
      </x:c>
    </x:row>
    <x:row r="160">
      <x:c r="A160" t="str">
        <x:f>"Despesa/Custo"</x:f>
        <x:v>Despesa/Custo</x:v>
      </x:c>
      <x:c r="B160" t="str">
        <x:f>Despesas!A124</x:f>
        <x:v>FOLHA DE PAGAMENTO</x:v>
      </x:c>
      <x:c r="C160" t="n">
        <x:f>Despesas!B124</x:f>
        <x:v>0</x:v>
      </x:c>
      <x:c r="D160" t="str">
        <x:f>Despesas!C124</x:f>
        <x:v>015186</x:v>
      </x:c>
      <x:c r="E160" t="str">
        <x:f>Despesas!D124</x:f>
        <x:v>FOLHA PGTO REF. MÊS 12/2025</x:v>
      </x:c>
      <x:c r="F160" t="n">
        <x:f>Despesas!E124</x:f>
        <x:v>0</x:v>
      </x:c>
      <x:c r="G160" s="4" t="n">
        <x:f>Despesas!F124</x:f>
        <x:v>46029</x:v>
      </x:c>
      <x:c r="H160" t="str">
        <x:f>Despesas!G124</x:f>
        <x:v>NIOBIO CMOC CONTRATO</x:v>
      </x:c>
      <x:c r="I160" t="str">
        <x:f>Despesas!H124</x:f>
        <x:v>12.1 - SALARIO</x:v>
      </x:c>
      <x:c r="J160" s="5" t="n">
        <x:f>Despesas!I124</x:f>
        <x:v>43146.39</x:v>
      </x:c>
      <x:c r="K160" s="5" t="n">
        <x:f>0</x:f>
        <x:v>0</x:v>
      </x:c>
      <x:c r="L160" s="5" t="n">
        <x:f>Despesas!I124</x:f>
        <x:v>43146.39</x:v>
      </x:c>
      <x:c r="M160" s="5" t="n">
        <x:f>-J160</x:f>
        <x:v>-43146.39</x:v>
      </x:c>
    </x:row>
    <x:row r="161">
      <x:c r="A161" t="str">
        <x:f>"Despesa/Custo"</x:f>
        <x:v>Despesa/Custo</x:v>
      </x:c>
      <x:c r="B161" t="str">
        <x:f>Despesas!A125</x:f>
        <x:v>FOLHA DE PAGAMENTO</x:v>
      </x:c>
      <x:c r="C161" t="n">
        <x:f>Despesas!B125</x:f>
        <x:v>0</x:v>
      </x:c>
      <x:c r="D161" t="str">
        <x:f>Despesas!C125</x:f>
        <x:v>015186</x:v>
      </x:c>
      <x:c r="E161" t="str">
        <x:f>Despesas!D125</x:f>
        <x:v>FOLHA PGTO REF. MÊS 12/2025</x:v>
      </x:c>
      <x:c r="F161" t="n">
        <x:f>Despesas!E125</x:f>
        <x:v>0</x:v>
      </x:c>
      <x:c r="G161" s="4" t="n">
        <x:f>Despesas!F125</x:f>
        <x:v>46029</x:v>
      </x:c>
      <x:c r="H161" t="str">
        <x:f>Despesas!G125</x:f>
        <x:v>CONDUTOS UG 1 - ELETROBRAS</x:v>
      </x:c>
      <x:c r="I161" t="str">
        <x:f>Despesas!H125</x:f>
        <x:v>12.1 - SALARIO</x:v>
      </x:c>
      <x:c r="J161" s="5" t="n">
        <x:f>Despesas!I125</x:f>
        <x:v>9150.66</x:v>
      </x:c>
      <x:c r="K161" s="5" t="n">
        <x:f>0</x:f>
        <x:v>0</x:v>
      </x:c>
      <x:c r="L161" s="5" t="n">
        <x:f>Despesas!I125</x:f>
        <x:v>9150.66</x:v>
      </x:c>
      <x:c r="M161" s="5" t="n">
        <x:f>-J161</x:f>
        <x:v>-9150.66</x:v>
      </x:c>
    </x:row>
    <x:row r="162">
      <x:c r="A162" t="str">
        <x:f>"Despesa/Custo"</x:f>
        <x:v>Despesa/Custo</x:v>
      </x:c>
      <x:c r="B162" t="str">
        <x:f>Despesas!A126</x:f>
        <x:v>FOLHA DE PAGAMENTO</x:v>
      </x:c>
      <x:c r="C162" t="n">
        <x:f>Despesas!B126</x:f>
        <x:v>0</x:v>
      </x:c>
      <x:c r="D162" t="str">
        <x:f>Despesas!C126</x:f>
        <x:v>015186</x:v>
      </x:c>
      <x:c r="E162" t="str">
        <x:f>Despesas!D126</x:f>
        <x:v>FOLHA PGTO REF. MÊS 12/2025</x:v>
      </x:c>
      <x:c r="F162" t="n">
        <x:f>Despesas!E126</x:f>
        <x:v>0</x:v>
      </x:c>
      <x:c r="G162" s="4" t="n">
        <x:f>Despesas!F126</x:f>
        <x:v>46029</x:v>
      </x:c>
      <x:c r="H162" t="str">
        <x:f>Despesas!G126</x:f>
        <x:v>SERENA 10 TORRES 2025</x:v>
      </x:c>
      <x:c r="I162" t="str">
        <x:f>Despesas!H126</x:f>
        <x:v>12.1 - SALARIO</x:v>
      </x:c>
      <x:c r="J162" s="5" t="n">
        <x:f>Despesas!I126</x:f>
        <x:v>8788.51</x:v>
      </x:c>
      <x:c r="K162" s="5" t="n">
        <x:f>0</x:f>
        <x:v>0</x:v>
      </x:c>
      <x:c r="L162" s="5" t="n">
        <x:f>Despesas!I126</x:f>
        <x:v>8788.51</x:v>
      </x:c>
      <x:c r="M162" s="5" t="n">
        <x:f>-J162</x:f>
        <x:v>-8788.51</x:v>
      </x:c>
    </x:row>
    <x:row r="163">
      <x:c r="A163" t="str">
        <x:f>"Despesa/Custo"</x:f>
        <x:v>Despesa/Custo</x:v>
      </x:c>
      <x:c r="B163" t="str">
        <x:f>Despesas!A127</x:f>
        <x:v>FOLHA DE PAGAMENTO</x:v>
      </x:c>
      <x:c r="C163" t="n">
        <x:f>Despesas!B127</x:f>
        <x:v>0</x:v>
      </x:c>
      <x:c r="D163" t="str">
        <x:f>Despesas!C127</x:f>
        <x:v>015186</x:v>
      </x:c>
      <x:c r="E163" t="str">
        <x:f>Despesas!D127</x:f>
        <x:v>FOLHA PGTO REF. MÊS 12/2025</x:v>
      </x:c>
      <x:c r="F163" t="n">
        <x:f>Despesas!E127</x:f>
        <x:v>0</x:v>
      </x:c>
      <x:c r="G163" s="4" t="n">
        <x:f>Despesas!F127</x:f>
        <x:v>46029</x:v>
      </x:c>
      <x:c r="H163" t="str">
        <x:f>Despesas!G127</x:f>
        <x:v>CMOC CUBATÃO</x:v>
      </x:c>
      <x:c r="I163" t="str">
        <x:f>Despesas!H127</x:f>
        <x:v>12.1 - SALARIO</x:v>
      </x:c>
      <x:c r="J163" s="5" t="n">
        <x:f>Despesas!I127</x:f>
        <x:v>27825.05</x:v>
      </x:c>
      <x:c r="K163" s="5" t="n">
        <x:f>0</x:f>
        <x:v>0</x:v>
      </x:c>
      <x:c r="L163" s="5" t="n">
        <x:f>Despesas!I127</x:f>
        <x:v>27825.05</x:v>
      </x:c>
      <x:c r="M163" s="5" t="n">
        <x:f>-J163</x:f>
        <x:v>-27825.05</x:v>
      </x:c>
    </x:row>
    <x:row r="164">
      <x:c r="A164" t="str">
        <x:f>"Despesa/Custo"</x:f>
        <x:v>Despesa/Custo</x:v>
      </x:c>
      <x:c r="B164" t="str">
        <x:f>Despesas!A128</x:f>
        <x:v>FOLHA DE PAGAMENTO</x:v>
      </x:c>
      <x:c r="C164" t="n">
        <x:f>Despesas!B128</x:f>
        <x:v>0</x:v>
      </x:c>
      <x:c r="D164" t="str">
        <x:f>Despesas!C128</x:f>
        <x:v>015186</x:v>
      </x:c>
      <x:c r="E164" t="str">
        <x:f>Despesas!D128</x:f>
        <x:v>FOLHA PGTO REF. MÊS 12/2025</x:v>
      </x:c>
      <x:c r="F164" t="n">
        <x:f>Despesas!E128</x:f>
        <x:v>0</x:v>
      </x:c>
      <x:c r="G164" s="4" t="n">
        <x:f>Despesas!F128</x:f>
        <x:v>46029</x:v>
      </x:c>
      <x:c r="H164" t="str">
        <x:f>Despesas!G128</x:f>
        <x:v>CONTRATO 02 ANOS MINERAÇÃO SERRA VERDE</x:v>
      </x:c>
      <x:c r="I164" t="str">
        <x:f>Despesas!H128</x:f>
        <x:v>12.1 - SALARIO</x:v>
      </x:c>
      <x:c r="J164" s="5" t="n">
        <x:f>Despesas!I128</x:f>
        <x:v>27033.85</x:v>
      </x:c>
      <x:c r="K164" s="5" t="n">
        <x:f>0</x:f>
        <x:v>0</x:v>
      </x:c>
      <x:c r="L164" s="5" t="n">
        <x:f>Despesas!I128</x:f>
        <x:v>27033.85</x:v>
      </x:c>
      <x:c r="M164" s="5" t="n">
        <x:f>-J164</x:f>
        <x:v>-27033.85</x:v>
      </x:c>
    </x:row>
    <x:row r="165">
      <x:c r="A165" t="str">
        <x:f>"Despesa/Custo"</x:f>
        <x:v>Despesa/Custo</x:v>
      </x:c>
      <x:c r="B165" t="str">
        <x:f>Despesas!A129</x:f>
        <x:v>SH LOCACAO DE ANDAIMES</x:v>
      </x:c>
      <x:c r="C165" t="str">
        <x:f>Despesas!B129</x:f>
        <x:v>68099</x:v>
      </x:c>
      <x:c r="D165" t="str">
        <x:f>Despesas!C129</x:f>
        <x:v>015195</x:v>
      </x:c>
      <x:c r="E165" t="str">
        <x:f>Despesas!D129</x:f>
        <x:v>LOCAÇÃO DE ANDAIMES</x:v>
      </x:c>
      <x:c r="F165" t="n">
        <x:f>Despesas!E129</x:f>
        <x:v>0</x:v>
      </x:c>
      <x:c r="G165" s="4" t="n">
        <x:f>Despesas!F129</x:f>
        <x:v>46029</x:v>
      </x:c>
      <x:c r="H165" t="str">
        <x:f>Despesas!G129</x:f>
        <x:v>CONDUTOS UG 1 - ELETROBRAS</x:v>
      </x:c>
      <x:c r="I165" t="str">
        <x:f>Despesas!H129</x:f>
        <x:v>7.7 - LOCAÇÃO ANDAIMES</x:v>
      </x:c>
      <x:c r="J165" s="5" t="n">
        <x:f>Despesas!I129</x:f>
        <x:v>2397.58</x:v>
      </x:c>
      <x:c r="K165" s="5" t="n">
        <x:f>0</x:f>
        <x:v>0</x:v>
      </x:c>
      <x:c r="L165" s="5" t="n">
        <x:f>Despesas!I129</x:f>
        <x:v>2397.58</x:v>
      </x:c>
      <x:c r="M165" s="5" t="n">
        <x:f>-J165</x:f>
        <x:v>-2397.58</x:v>
      </x:c>
    </x:row>
    <x:row r="166">
      <x:c r="A166" t="str">
        <x:f>"Despesa/Custo"</x:f>
        <x:v>Despesa/Custo</x:v>
      </x:c>
      <x:c r="B166" t="str">
        <x:f>Despesas!A130</x:f>
        <x:v>SH LOCACAO DE ANDAIMES</x:v>
      </x:c>
      <x:c r="C166" t="str">
        <x:f>Despesas!B130</x:f>
        <x:v>13/01</x:v>
      </x:c>
      <x:c r="D166" t="str">
        <x:f>Despesas!C130</x:f>
        <x:v>015196</x:v>
      </x:c>
      <x:c r="E166" t="str">
        <x:f>Despesas!D130</x:f>
        <x:v>INDENIZAÇÃO</x:v>
      </x:c>
      <x:c r="F166" t="n">
        <x:f>Despesas!E130</x:f>
        <x:v>0</x:v>
      </x:c>
      <x:c r="G166" s="4" t="n">
        <x:f>Despesas!F130</x:f>
        <x:v>46029</x:v>
      </x:c>
      <x:c r="H166" t="str">
        <x:f>Despesas!G130</x:f>
        <x:v>CONDUTOS UG 1 - ELETROBRAS</x:v>
      </x:c>
      <x:c r="I166" t="str">
        <x:f>Despesas!H130</x:f>
        <x:v>7.7 - LOCAÇÃO ANDAIMES</x:v>
      </x:c>
      <x:c r="J166" s="5" t="n">
        <x:f>Despesas!I130</x:f>
        <x:v>1931.32</x:v>
      </x:c>
      <x:c r="K166" s="5" t="n">
        <x:f>0</x:f>
        <x:v>0</x:v>
      </x:c>
      <x:c r="L166" s="5" t="n">
        <x:f>Despesas!I130</x:f>
        <x:v>1931.32</x:v>
      </x:c>
      <x:c r="M166" s="5" t="n">
        <x:f>-J166</x:f>
        <x:v>-1931.32</x:v>
      </x:c>
    </x:row>
    <x:row r="167">
      <x:c r="A167" t="str">
        <x:f>"Despesa/Custo"</x:f>
        <x:v>Despesa/Custo</x:v>
      </x:c>
      <x:c r="B167" t="str">
        <x:f>Despesas!A131</x:f>
        <x:v>BANCO MERCANTIL</x:v>
      </x:c>
      <x:c r="C167" t="n">
        <x:f>Despesas!B131</x:f>
        <x:v>0</x:v>
      </x:c>
      <x:c r="D167" t="str">
        <x:f>Despesas!C131</x:f>
        <x:v>015988</x:v>
      </x:c>
      <x:c r="E167" t="str">
        <x:f>Despesas!D131</x:f>
        <x:v>TAR.TEDINTERNET</x:v>
      </x:c>
      <x:c r="F167" t="str">
        <x:f>Despesas!E131</x:f>
        <x:v>Documento gerado a partir do Mov. 017523</x:v>
      </x:c>
      <x:c r="G167" s="4" t="n">
        <x:f>Despesas!F131</x:f>
        <x:v>46029</x:v>
      </x:c>
      <x:c r="H167" t="str">
        <x:f>Despesas!G131</x:f>
        <x:v>ADMINISTRATIVO</x:v>
      </x:c>
      <x:c r="I167" t="str">
        <x:f>Despesas!H131</x:f>
        <x:v>18.2 - TARIFAS BANCARIAS</x:v>
      </x:c>
      <x:c r="J167" s="5" t="n">
        <x:f>Despesas!I131</x:f>
        <x:v>20</x:v>
      </x:c>
      <x:c r="K167" s="5" t="n">
        <x:f>0</x:f>
        <x:v>0</x:v>
      </x:c>
      <x:c r="L167" s="5" t="n">
        <x:f>Despesas!I131</x:f>
        <x:v>20</x:v>
      </x:c>
      <x:c r="M167" s="5" t="n">
        <x:f>-J167</x:f>
        <x:v>-20</x:v>
      </x:c>
    </x:row>
    <x:row r="168">
      <x:c r="A168" t="str">
        <x:f>"Despesa/Custo"</x:f>
        <x:v>Despesa/Custo</x:v>
      </x:c>
      <x:c r="B168" t="str">
        <x:f>Despesas!A132</x:f>
        <x:v>RICARDO RODRIGUES - COMERCIAL</x:v>
      </x:c>
      <x:c r="C168" t="n">
        <x:f>Despesas!B132</x:f>
        <x:v>0</x:v>
      </x:c>
      <x:c r="D168" t="str">
        <x:f>Despesas!C132</x:f>
        <x:v>014597</x:v>
      </x:c>
      <x:c r="E168" t="str">
        <x:f>Despesas!D132</x:f>
        <x:v>CONTRATO PRESTAÇÃO DE SERVIÇO RICARDO MES 12-2025</x:v>
      </x:c>
      <x:c r="F168" t="str">
        <x:f>Despesas!E132</x:f>
        <x:v>RICARDO RODRIGUES RIBEIRO</x:v>
      </x:c>
      <x:c r="G168" s="4" t="n">
        <x:f>Despesas!F132</x:f>
        <x:v>46030</x:v>
      </x:c>
      <x:c r="H168" t="str">
        <x:f>Despesas!G132</x:f>
        <x:v>ADMINISTRATIVO</x:v>
      </x:c>
      <x:c r="I168" t="str">
        <x:f>Despesas!H132</x:f>
        <x:v>12.1 - SALARIO</x:v>
      </x:c>
      <x:c r="J168" s="5" t="n">
        <x:f>Despesas!I132</x:f>
        <x:v>9000</x:v>
      </x:c>
      <x:c r="K168" s="5" t="n">
        <x:f>0</x:f>
        <x:v>0</x:v>
      </x:c>
      <x:c r="L168" s="5" t="n">
        <x:f>Despesas!I132</x:f>
        <x:v>9000</x:v>
      </x:c>
      <x:c r="M168" s="5" t="n">
        <x:f>-J168</x:f>
        <x:v>-9000</x:v>
      </x:c>
    </x:row>
    <x:row r="169">
      <x:c r="A169" t="str">
        <x:f>"Despesa/Custo"</x:f>
        <x:v>Despesa/Custo</x:v>
      </x:c>
      <x:c r="B169" t="str">
        <x:f>Despesas!A133</x:f>
        <x:v>WILLIAM ADM</x:v>
      </x:c>
      <x:c r="C169" t="n">
        <x:f>Despesas!B133</x:f>
        <x:v>0</x:v>
      </x:c>
      <x:c r="D169" t="str">
        <x:f>Despesas!C133</x:f>
        <x:v>014598</x:v>
      </x:c>
      <x:c r="E169" t="str">
        <x:f>Despesas!D133</x:f>
        <x:v>AJUDA DE CUSTO MES 12-2025</x:v>
      </x:c>
      <x:c r="F169" t="str">
        <x:f>Despesas!E133</x:f>
        <x:v>WILLIAM MONTEIRO BEZERRA</x:v>
      </x:c>
      <x:c r="G169" s="4" t="n">
        <x:f>Despesas!F133</x:f>
        <x:v>46030</x:v>
      </x:c>
      <x:c r="H169" t="str">
        <x:f>Despesas!G133</x:f>
        <x:v>ADMINISTRATIVO</x:v>
      </x:c>
      <x:c r="I169" t="str">
        <x:f>Despesas!H133</x:f>
        <x:v>12.1 - SALARIO</x:v>
      </x:c>
      <x:c r="J169" s="5" t="n">
        <x:f>Despesas!I133</x:f>
        <x:v>3000</x:v>
      </x:c>
      <x:c r="K169" s="5" t="n">
        <x:f>0</x:f>
        <x:v>0</x:v>
      </x:c>
      <x:c r="L169" s="5" t="n">
        <x:f>Despesas!I133</x:f>
        <x:v>3000</x:v>
      </x:c>
      <x:c r="M169" s="5" t="n">
        <x:f>-J169</x:f>
        <x:v>-3000</x:v>
      </x:c>
    </x:row>
    <x:row r="170">
      <x:c r="A170" t="str">
        <x:f>"Despesa/Custo"</x:f>
        <x:v>Despesa/Custo</x:v>
      </x:c>
      <x:c r="B170" t="str">
        <x:f>Despesas!A134</x:f>
        <x:v>TRANSPORTADORA AQUINO E DINIZ LTDA</x:v>
      </x:c>
      <x:c r="C170" t="str">
        <x:f>Despesas!B134</x:f>
        <x:v>2012</x:v>
      </x:c>
      <x:c r="D170" t="str">
        <x:f>Despesas!C134</x:f>
        <x:v>015117</x:v>
      </x:c>
      <x:c r="E170" t="str">
        <x:f>Despesas!D134</x:f>
        <x:v>TRANSP. FUNCIONÁRIOS 11/25</x:v>
      </x:c>
      <x:c r="F170" t="n">
        <x:f>Despesas!E134</x:f>
        <x:v>0</x:v>
      </x:c>
      <x:c r="G170" s="4" t="n">
        <x:f>Despesas!F134</x:f>
        <x:v>46030</x:v>
      </x:c>
      <x:c r="H170" t="str">
        <x:f>Despesas!G134</x:f>
        <x:v>ANGLO AMERICAN</x:v>
      </x:c>
      <x:c r="I170" t="str">
        <x:f>Despesas!H134</x:f>
        <x:v>12.7 - TRANSPORTE FUNCIONARIOS</x:v>
      </x:c>
      <x:c r="J170" s="5" t="n">
        <x:f>Despesas!I134</x:f>
        <x:v>1149</x:v>
      </x:c>
      <x:c r="K170" s="5" t="n">
        <x:f>0</x:f>
        <x:v>0</x:v>
      </x:c>
      <x:c r="L170" s="5" t="n">
        <x:f>Despesas!I134</x:f>
        <x:v>1149</x:v>
      </x:c>
      <x:c r="M170" s="5" t="n">
        <x:f>-J170</x:f>
        <x:v>-1149</x:v>
      </x:c>
    </x:row>
    <x:row r="171">
      <x:c r="A171" t="str">
        <x:f>"Despesa/Custo"</x:f>
        <x:v>Despesa/Custo</x:v>
      </x:c>
      <x:c r="B171" t="str">
        <x:f>Despesas!A135</x:f>
        <x:v>A S TURISMO</x:v>
      </x:c>
      <x:c r="C171" t="n">
        <x:f>Despesas!B135</x:f>
        <x:v>0</x:v>
      </x:c>
      <x:c r="D171" t="str">
        <x:f>Despesas!C135</x:f>
        <x:v>015118</x:v>
      </x:c>
      <x:c r="E171" t="str">
        <x:f>Despesas!D135</x:f>
        <x:v>TRANSPORTE FUNCIONÁRIOS 12/2025</x:v>
      </x:c>
      <x:c r="F171" t="n">
        <x:f>Despesas!E135</x:f>
        <x:v>0</x:v>
      </x:c>
      <x:c r="G171" s="4" t="n">
        <x:f>Despesas!F135</x:f>
        <x:v>46030</x:v>
      </x:c>
      <x:c r="H171" t="str">
        <x:f>Despesas!G135</x:f>
        <x:v>NIOBIO CMOC CONTRATO</x:v>
      </x:c>
      <x:c r="I171" t="str">
        <x:f>Despesas!H135</x:f>
        <x:v>12.7 - TRANSPORTE FUNCIONARIOS</x:v>
      </x:c>
      <x:c r="J171" s="5" t="n">
        <x:f>Despesas!I135</x:f>
        <x:v>10000</x:v>
      </x:c>
      <x:c r="K171" s="5" t="n">
        <x:f>0</x:f>
        <x:v>0</x:v>
      </x:c>
      <x:c r="L171" s="5" t="n">
        <x:f>Despesas!I135</x:f>
        <x:v>10000</x:v>
      </x:c>
      <x:c r="M171" s="5" t="n">
        <x:f>-J171</x:f>
        <x:v>-10000</x:v>
      </x:c>
    </x:row>
    <x:row r="172">
      <x:c r="A172" t="str">
        <x:f>"Despesa/Custo"</x:f>
        <x:v>Despesa/Custo</x:v>
      </x:c>
      <x:c r="B172" t="str">
        <x:f>Despesas!A136</x:f>
        <x:v>A S TURISMO</x:v>
      </x:c>
      <x:c r="C172" t="n">
        <x:f>Despesas!B136</x:f>
        <x:v>0</x:v>
      </x:c>
      <x:c r="D172" t="str">
        <x:f>Despesas!C136</x:f>
        <x:v>015119</x:v>
      </x:c>
      <x:c r="E172" t="str">
        <x:f>Despesas!D136</x:f>
        <x:v>TRANSPORTE FUNCIONÁRIOS REF. 12/2025</x:v>
      </x:c>
      <x:c r="F172" t="n">
        <x:f>Despesas!E136</x:f>
        <x:v>0</x:v>
      </x:c>
      <x:c r="G172" s="4" t="n">
        <x:f>Despesas!F136</x:f>
        <x:v>46030</x:v>
      </x:c>
      <x:c r="H172" t="str">
        <x:f>Despesas!G136</x:f>
        <x:v>FOSFATO CMOC CONTRAT</x:v>
      </x:c>
      <x:c r="I172" t="str">
        <x:f>Despesas!H136</x:f>
        <x:v>12.7 - TRANSPORTE FUNCIONARIOS</x:v>
      </x:c>
      <x:c r="J172" s="5" t="n">
        <x:f>Despesas!I136</x:f>
        <x:v>6700</x:v>
      </x:c>
      <x:c r="K172" s="5" t="n">
        <x:f>0</x:f>
        <x:v>0</x:v>
      </x:c>
      <x:c r="L172" s="5" t="n">
        <x:f>Despesas!I136</x:f>
        <x:v>6700</x:v>
      </x:c>
      <x:c r="M172" s="5" t="n">
        <x:f>-J172</x:f>
        <x:v>-6700</x:v>
      </x:c>
    </x:row>
    <x:row r="173">
      <x:c r="A173" t="str">
        <x:f>"Despesa/Custo"</x:f>
        <x:v>Despesa/Custo</x:v>
      </x:c>
      <x:c r="B173" t="str">
        <x:f>Despesas!A137</x:f>
        <x:v>EQUATORIAL DISTRIBUIDORA DE ENERGIA S.A.</x:v>
      </x:c>
      <x:c r="C173" t="n">
        <x:f>Despesas!B137</x:f>
        <x:v>0</x:v>
      </x:c>
      <x:c r="D173" t="str">
        <x:f>Despesas!C137</x:f>
        <x:v>015120</x:v>
      </x:c>
      <x:c r="E173" t="str">
        <x:f>Despesas!D137</x:f>
        <x:v>R. OLIMPIA QD. 66A LT. AERA S/N REF. 12/2025</x:v>
      </x:c>
      <x:c r="F173" t="str">
        <x:f>Despesas!E137</x:f>
        <x:v>UC 10039234680</x:v>
      </x:c>
      <x:c r="G173" s="4" t="n">
        <x:f>Despesas!F137</x:f>
        <x:v>46030</x:v>
      </x:c>
      <x:c r="H173" t="str">
        <x:f>Despesas!G137</x:f>
        <x:v>ADMINISTRATIVO</x:v>
      </x:c>
      <x:c r="I173" t="str">
        <x:f>Despesas!H137</x:f>
        <x:v>11.3 - ENERGIA ADM</x:v>
      </x:c>
      <x:c r="J173" s="5" t="n">
        <x:f>Despesas!I137</x:f>
        <x:v>1400.8</x:v>
      </x:c>
      <x:c r="K173" s="5" t="n">
        <x:f>0</x:f>
        <x:v>0</x:v>
      </x:c>
      <x:c r="L173" s="5" t="n">
        <x:f>Despesas!I137</x:f>
        <x:v>1400.8</x:v>
      </x:c>
      <x:c r="M173" s="5" t="n">
        <x:f>-J173</x:f>
        <x:v>-1400.8</x:v>
      </x:c>
    </x:row>
    <x:row r="174">
      <x:c r="A174" t="str">
        <x:f>"Despesa/Custo"</x:f>
        <x:v>Despesa/Custo</x:v>
      </x:c>
      <x:c r="B174" t="str">
        <x:f>Despesas!A138</x:f>
        <x:v>VAN OBRAS</x:v>
      </x:c>
      <x:c r="C174" t="n">
        <x:f>Despesas!B138</x:f>
        <x:v>0</x:v>
      </x:c>
      <x:c r="D174" t="str">
        <x:f>Despesas!C138</x:f>
        <x:v>015121</x:v>
      </x:c>
      <x:c r="E174" t="str">
        <x:f>Despesas!D138</x:f>
        <x:v>JOAO PAULO DE MATOS - PIX (13) 97412-4988</x:v>
      </x:c>
      <x:c r="F174" t="str">
        <x:f>Despesas!E138</x:f>
        <x:v>TRANSPORTE FUNCIONARIOS 01/12 A 31/12</x:v>
      </x:c>
      <x:c r="G174" s="4" t="n">
        <x:f>Despesas!F138</x:f>
        <x:v>46030</x:v>
      </x:c>
      <x:c r="H174" t="str">
        <x:f>Despesas!G138</x:f>
        <x:v>CMOC CUBATÃO</x:v>
      </x:c>
      <x:c r="I174" t="str">
        <x:f>Despesas!H138</x:f>
        <x:v>12.7 - TRANSPORTE FUNCIONARIOS</x:v>
      </x:c>
      <x:c r="J174" s="5" t="n">
        <x:f>Despesas!I138</x:f>
        <x:v>8159.08</x:v>
      </x:c>
      <x:c r="K174" s="5" t="n">
        <x:f>0</x:f>
        <x:v>0</x:v>
      </x:c>
      <x:c r="L174" s="5" t="n">
        <x:f>Despesas!I138</x:f>
        <x:v>8159.08</x:v>
      </x:c>
      <x:c r="M174" s="5" t="n">
        <x:f>-J174</x:f>
        <x:v>-8159.08</x:v>
      </x:c>
    </x:row>
    <x:row r="175">
      <x:c r="A175" t="str">
        <x:f>"Despesa/Custo"</x:f>
        <x:v>Despesa/Custo</x:v>
      </x:c>
      <x:c r="B175" t="str">
        <x:f>Despesas!A139</x:f>
        <x:v>MAXIMA CONSERVACAO E LIMPEZA LTDA</x:v>
      </x:c>
      <x:c r="C175" t="str">
        <x:f>Despesas!B139</x:f>
        <x:v>4</x:v>
      </x:c>
      <x:c r="D175" t="str">
        <x:f>Despesas!C139</x:f>
        <x:v>015124</x:v>
      </x:c>
      <x:c r="E175" t="str">
        <x:f>Despesas!D139</x:f>
        <x:v>LOCAÇÃO DE CONTAINER 20/10 A 19/11/25</x:v>
      </x:c>
      <x:c r="F175" t="n">
        <x:f>Despesas!E139</x:f>
        <x:v>0</x:v>
      </x:c>
      <x:c r="G175" s="4" t="n">
        <x:f>Despesas!F139</x:f>
        <x:v>46030</x:v>
      </x:c>
      <x:c r="H175" t="str">
        <x:f>Despesas!G139</x:f>
        <x:v>CONTRATO 02 ANOS MINERAÇÃO SERRA VERDE</x:v>
      </x:c>
      <x:c r="I175" t="str">
        <x:f>Despesas!H139</x:f>
        <x:v>7.6 - LOCAÇÃO CONTAINER</x:v>
      </x:c>
      <x:c r="J175" s="5" t="n">
        <x:f>Despesas!I139</x:f>
        <x:v>1700</x:v>
      </x:c>
      <x:c r="K175" s="5" t="n">
        <x:f>0</x:f>
        <x:v>0</x:v>
      </x:c>
      <x:c r="L175" s="5" t="n">
        <x:f>Despesas!I139</x:f>
        <x:v>1700</x:v>
      </x:c>
      <x:c r="M175" s="5" t="n">
        <x:f>-J175</x:f>
        <x:v>-1700</x:v>
      </x:c>
    </x:row>
    <x:row r="176">
      <x:c r="A176" t="str">
        <x:f>"Despesa/Custo"</x:f>
        <x:v>Despesa/Custo</x:v>
      </x:c>
      <x:c r="B176" t="str">
        <x:f>Despesas!A140</x:f>
        <x:v>MAXIMA CONSERVACAO E LIMPEZA LTDA</x:v>
      </x:c>
      <x:c r="C176" t="str">
        <x:f>Despesas!B140</x:f>
        <x:v>5</x:v>
      </x:c>
      <x:c r="D176" t="str">
        <x:f>Despesas!C140</x:f>
        <x:v>015125</x:v>
      </x:c>
      <x:c r="E176" t="str">
        <x:f>Despesas!D140</x:f>
        <x:v>LOCAÇÃO DE CONTAINER 20/11 A 19/12/25</x:v>
      </x:c>
      <x:c r="F176" t="n">
        <x:f>Despesas!E140</x:f>
        <x:v>0</x:v>
      </x:c>
      <x:c r="G176" s="4" t="n">
        <x:f>Despesas!F140</x:f>
        <x:v>46030</x:v>
      </x:c>
      <x:c r="H176" t="str">
        <x:f>Despesas!G140</x:f>
        <x:v>CONTRATO 02 ANOS MINERAÇÃO SERRA VERDE</x:v>
      </x:c>
      <x:c r="I176" t="str">
        <x:f>Despesas!H140</x:f>
        <x:v>7.6 - LOCAÇÃO CONTAINER</x:v>
      </x:c>
      <x:c r="J176" s="5" t="n">
        <x:f>Despesas!I140</x:f>
        <x:v>1700</x:v>
      </x:c>
      <x:c r="K176" s="5" t="n">
        <x:f>0</x:f>
        <x:v>0</x:v>
      </x:c>
      <x:c r="L176" s="5" t="n">
        <x:f>Despesas!I140</x:f>
        <x:v>1700</x:v>
      </x:c>
      <x:c r="M176" s="5" t="n">
        <x:f>-J176</x:f>
        <x:v>-1700</x:v>
      </x:c>
    </x:row>
    <x:row r="177">
      <x:c r="A177" t="str">
        <x:f>"Despesa/Custo"</x:f>
        <x:v>Despesa/Custo</x:v>
      </x:c>
      <x:c r="B177" t="str">
        <x:f>Despesas!A141</x:f>
        <x:v>SINDICATO DO TRABALHADORES NAS INDUSTRIAIS DA CONSTRUÇAO EDO MOBILIARIA DE UBERABA</x:v>
      </x:c>
      <x:c r="C177" t="n">
        <x:f>Despesas!B141</x:f>
        <x:v>0</x:v>
      </x:c>
      <x:c r="D177" t="str">
        <x:f>Despesas!C141</x:f>
        <x:v>015126</x:v>
      </x:c>
      <x:c r="E177" t="str">
        <x:f>Despesas!D141</x:f>
        <x:v>SINDICATO</x:v>
      </x:c>
      <x:c r="F177" t="n">
        <x:f>Despesas!E141</x:f>
        <x:v>0</x:v>
      </x:c>
      <x:c r="G177" s="4" t="n">
        <x:f>Despesas!F141</x:f>
        <x:v>46030</x:v>
      </x:c>
      <x:c r="H177" t="str">
        <x:f>Despesas!G141</x:f>
        <x:v>MOSAIC UBERABA CONTRAT0 3 ANOS</x:v>
      </x:c>
      <x:c r="I177" t="str">
        <x:f>Despesas!H141</x:f>
        <x:v>12.8 - SINDICATO</x:v>
      </x:c>
      <x:c r="J177" s="5" t="n">
        <x:f>Despesas!I141</x:f>
        <x:v>455.22</x:v>
      </x:c>
      <x:c r="K177" s="5" t="n">
        <x:f>0</x:f>
        <x:v>0</x:v>
      </x:c>
      <x:c r="L177" s="5" t="n">
        <x:f>Despesas!I141</x:f>
        <x:v>455.22</x:v>
      </x:c>
      <x:c r="M177" s="5" t="n">
        <x:f>-J177</x:f>
        <x:v>-455.22</x:v>
      </x:c>
    </x:row>
    <x:row r="178">
      <x:c r="A178" t="str">
        <x:f>"Despesa/Custo"</x:f>
        <x:v>Despesa/Custo</x:v>
      </x:c>
      <x:c r="B178" t="str">
        <x:f>Despesas!A142</x:f>
        <x:v>VATIC TECNOLOGIA VILMAR</x:v>
      </x:c>
      <x:c r="C178" t="n">
        <x:f>Despesas!B142</x:f>
        <x:v>0</x:v>
      </x:c>
      <x:c r="D178" t="str">
        <x:f>Despesas!C142</x:f>
        <x:v>015127</x:v>
      </x:c>
      <x:c r="E178" t="str">
        <x:f>Despesas!D142</x:f>
        <x:v>SISTEMA / SERVIDOR</x:v>
      </x:c>
      <x:c r="F178" t="str">
        <x:f>Despesas!E142</x:f>
        <x:v>VENCIMENTO ORIGINAL DO BOLETO 15/01/26</x:v>
      </x:c>
      <x:c r="G178" s="4" t="n">
        <x:f>Despesas!F142</x:f>
        <x:v>46030</x:v>
      </x:c>
      <x:c r="H178" t="str">
        <x:f>Despesas!G142</x:f>
        <x:v>ADMINISTRATIVO</x:v>
      </x:c>
      <x:c r="I178" t="str">
        <x:f>Despesas!H142</x:f>
        <x:v>11.8 - SISTEMA / SERVIDOR</x:v>
      </x:c>
      <x:c r="J178" s="5" t="n">
        <x:f>Despesas!I142</x:f>
        <x:v>778.74</x:v>
      </x:c>
      <x:c r="K178" s="5" t="n">
        <x:f>0</x:f>
        <x:v>0</x:v>
      </x:c>
      <x:c r="L178" s="5" t="n">
        <x:f>Despesas!I142</x:f>
        <x:v>778.74</x:v>
      </x:c>
      <x:c r="M178" s="5" t="n">
        <x:f>-J178</x:f>
        <x:v>-778.74</x:v>
      </x:c>
    </x:row>
    <x:row r="179">
      <x:c r="A179" t="str">
        <x:f>"Despesa/Custo"</x:f>
        <x:v>Despesa/Custo</x:v>
      </x:c>
      <x:c r="B179" t="str">
        <x:f>Despesas!A143</x:f>
        <x:v>SOFTEN SISTEMAS DE INFORMATICA LTDA</x:v>
      </x:c>
      <x:c r="C179" t="str">
        <x:f>Despesas!B143</x:f>
        <x:v>530066</x:v>
      </x:c>
      <x:c r="D179" t="str">
        <x:f>Despesas!C143</x:f>
        <x:v>015128</x:v>
      </x:c>
      <x:c r="E179" t="str">
        <x:f>Despesas!D143</x:f>
        <x:v>LICENCA DE USO MENSAL DO SOFTWARE E SUPORTE TECNICO REF. 12/2025</x:v>
      </x:c>
      <x:c r="F179" t="str">
        <x:f>Despesas!E143</x:f>
        <x:v>VENCIMENTO ORIGINAL DO BOLETO 20/01/26</x:v>
      </x:c>
      <x:c r="G179" s="4" t="n">
        <x:f>Despesas!F143</x:f>
        <x:v>46030</x:v>
      </x:c>
      <x:c r="H179" t="str">
        <x:f>Despesas!G143</x:f>
        <x:v>ADMINISTRATIVO</x:v>
      </x:c>
      <x:c r="I179" t="str">
        <x:f>Despesas!H143</x:f>
        <x:v>11.8 - SISTEMA / SERVIDOR</x:v>
      </x:c>
      <x:c r="J179" s="5" t="n">
        <x:f>Despesas!I143</x:f>
        <x:v>199.82</x:v>
      </x:c>
      <x:c r="K179" s="5" t="n">
        <x:f>0</x:f>
        <x:v>0</x:v>
      </x:c>
      <x:c r="L179" s="5" t="n">
        <x:f>Despesas!I143</x:f>
        <x:v>199.82</x:v>
      </x:c>
      <x:c r="M179" s="5" t="n">
        <x:f>-J179</x:f>
        <x:v>-199.82</x:v>
      </x:c>
    </x:row>
    <x:row r="180">
      <x:c r="A180" t="str">
        <x:f>"Despesa/Custo"</x:f>
        <x:v>Despesa/Custo</x:v>
      </x:c>
      <x:c r="B180" t="str">
        <x:f>Despesas!A144</x:f>
        <x:v>BIRCK &amp; AMP ROCHA LTDA</x:v>
      </x:c>
      <x:c r="C180" t="str">
        <x:f>Despesas!B144</x:f>
        <x:v>20576</x:v>
      </x:c>
      <x:c r="D180" t="str">
        <x:f>Despesas!C144</x:f>
        <x:v>015132</x:v>
      </x:c>
      <x:c r="E180" t="str">
        <x:f>Despesas!D144</x:f>
        <x:v>MATERIAIS DE CONSUMO</x:v>
      </x:c>
      <x:c r="F180" t="str">
        <x:f>Despesas!E144</x:f>
        <x:v>VENCIMENTO ORIGINAL DO BOLETO 16/01/26</x:v>
      </x:c>
      <x:c r="G180" s="4" t="n">
        <x:f>Despesas!F144</x:f>
        <x:v>46030</x:v>
      </x:c>
      <x:c r="H180" t="str">
        <x:f>Despesas!G144</x:f>
        <x:v>FOSFATO CMOC CONTRAT</x:v>
      </x:c>
      <x:c r="I180" t="str">
        <x:f>Despesas!H144</x:f>
        <x:v>8.9 - MATERIAIS DE CONSUMO EM OBRAS</x:v>
      </x:c>
      <x:c r="J180" s="5" t="n">
        <x:f>Despesas!I144</x:f>
        <x:v>310</x:v>
      </x:c>
      <x:c r="K180" s="5" t="n">
        <x:f>0</x:f>
        <x:v>0</x:v>
      </x:c>
      <x:c r="L180" s="5" t="n">
        <x:f>Despesas!I144</x:f>
        <x:v>310</x:v>
      </x:c>
      <x:c r="M180" s="5" t="n">
        <x:f>-J180</x:f>
        <x:v>-310</x:v>
      </x:c>
    </x:row>
    <x:row r="181">
      <x:c r="A181" t="str">
        <x:f>"Despesa/Custo"</x:f>
        <x:v>Despesa/Custo</x:v>
      </x:c>
      <x:c r="B181" t="str">
        <x:f>Despesas!A145</x:f>
        <x:v>BIRCK &amp; AMP ROCHA LTDA</x:v>
      </x:c>
      <x:c r="C181" t="str">
        <x:f>Despesas!B145</x:f>
        <x:v>20587</x:v>
      </x:c>
      <x:c r="D181" t="str">
        <x:f>Despesas!C145</x:f>
        <x:v>015133</x:v>
      </x:c>
      <x:c r="E181" t="str">
        <x:f>Despesas!D145</x:f>
        <x:v>MATERIAIS DE CONSUMO</x:v>
      </x:c>
      <x:c r="F181" t="str">
        <x:f>Despesas!E145</x:f>
        <x:v>VENCIMENTO ORIGINAL DO BOLETO 18/01/26</x:v>
      </x:c>
      <x:c r="G181" s="4" t="n">
        <x:f>Despesas!F145</x:f>
        <x:v>46030</x:v>
      </x:c>
      <x:c r="H181" t="str">
        <x:f>Despesas!G145</x:f>
        <x:v>FOSFATO CMOC CONTRAT</x:v>
      </x:c>
      <x:c r="I181" t="str">
        <x:f>Despesas!H145</x:f>
        <x:v>8.9 - MATERIAIS DE CONSUMO EM OBRAS</x:v>
      </x:c>
      <x:c r="J181" s="5" t="n">
        <x:f>Despesas!I145</x:f>
        <x:v>175</x:v>
      </x:c>
      <x:c r="K181" s="5" t="n">
        <x:f>0</x:f>
        <x:v>0</x:v>
      </x:c>
      <x:c r="L181" s="5" t="n">
        <x:f>Despesas!I145</x:f>
        <x:v>175</x:v>
      </x:c>
      <x:c r="M181" s="5" t="n">
        <x:f>-J181</x:f>
        <x:v>-175</x:v>
      </x:c>
    </x:row>
    <x:row r="182">
      <x:c r="A182" t="str">
        <x:f>"Despesa/Custo"</x:f>
        <x:v>Despesa/Custo</x:v>
      </x:c>
      <x:c r="B182" t="str">
        <x:f>Despesas!A146</x:f>
        <x:v>BIRCK &amp; AMP ROCHA LTDA</x:v>
      </x:c>
      <x:c r="C182" t="str">
        <x:f>Despesas!B146</x:f>
        <x:v>20246</x:v>
      </x:c>
      <x:c r="D182" t="str">
        <x:f>Despesas!C146</x:f>
        <x:v>015134</x:v>
      </x:c>
      <x:c r="E182" t="str">
        <x:f>Despesas!D146</x:f>
        <x:v>TINTAS E SOLVENTES</x:v>
      </x:c>
      <x:c r="F182" t="str">
        <x:f>Despesas!E146</x:f>
        <x:v>VENCIMENTO ORIGINAL DOS BOLETOS 05/12 E 04/01/26</x:v>
      </x:c>
      <x:c r="G182" s="4" t="n">
        <x:f>Despesas!F146</x:f>
        <x:v>46030</x:v>
      </x:c>
      <x:c r="H182" t="str">
        <x:f>Despesas!G146</x:f>
        <x:v>FOSFATO CMOC CONTRAT</x:v>
      </x:c>
      <x:c r="I182" t="str">
        <x:f>Despesas!H146</x:f>
        <x:v>4.1 - TINTAS E SOLVENTES</x:v>
      </x:c>
      <x:c r="J182" s="5" t="n">
        <x:f>Despesas!I146</x:f>
        <x:v>1017.1</x:v>
      </x:c>
      <x:c r="K182" s="5" t="n">
        <x:f>0</x:f>
        <x:v>0</x:v>
      </x:c>
      <x:c r="L182" s="5" t="n">
        <x:f>Despesas!I146</x:f>
        <x:v>1017.1</x:v>
      </x:c>
      <x:c r="M182" s="5" t="n">
        <x:f>-J182</x:f>
        <x:v>-1017.1</x:v>
      </x:c>
    </x:row>
    <x:row r="183">
      <x:c r="A183" t="str">
        <x:f>"Despesa/Custo"</x:f>
        <x:v>Despesa/Custo</x:v>
      </x:c>
      <x:c r="B183" t="str">
        <x:f>Despesas!A147</x:f>
        <x:v>BIRCK &amp; AMP ROCHA LTDA</x:v>
      </x:c>
      <x:c r="C183" t="str">
        <x:f>Despesas!B147</x:f>
        <x:v>20246</x:v>
      </x:c>
      <x:c r="D183" t="str">
        <x:f>Despesas!C147</x:f>
        <x:v>015134</x:v>
      </x:c>
      <x:c r="E183" t="str">
        <x:f>Despesas!D147</x:f>
        <x:v>TINTAS E SOLVENTES</x:v>
      </x:c>
      <x:c r="F183" t="str">
        <x:f>Despesas!E147</x:f>
        <x:v>VENCIMENTO ORIGINAL DOS BOLETOS 05/12 E 04/01/26</x:v>
      </x:c>
      <x:c r="G183" s="4" t="n">
        <x:f>Despesas!F147</x:f>
        <x:v>46030</x:v>
      </x:c>
      <x:c r="H183" t="str">
        <x:f>Despesas!G147</x:f>
        <x:v>FOSFATO CMOC CONTRAT</x:v>
      </x:c>
      <x:c r="I183" t="str">
        <x:f>Despesas!H147</x:f>
        <x:v>4.1 - TINTAS E SOLVENTES</x:v>
      </x:c>
      <x:c r="J183" s="5" t="n">
        <x:f>Despesas!I147</x:f>
        <x:v>1114.47</x:v>
      </x:c>
      <x:c r="K183" s="5" t="n">
        <x:f>0</x:f>
        <x:v>0</x:v>
      </x:c>
      <x:c r="L183" s="5" t="n">
        <x:f>Despesas!I147</x:f>
        <x:v>1114.47</x:v>
      </x:c>
      <x:c r="M183" s="5" t="n">
        <x:f>-J183</x:f>
        <x:v>-1114.47</x:v>
      </x:c>
    </x:row>
    <x:row r="184">
      <x:c r="A184" t="str">
        <x:f>"Despesa/Custo"</x:f>
        <x:v>Despesa/Custo</x:v>
      </x:c>
      <x:c r="B184" t="str">
        <x:f>Despesas!A148</x:f>
        <x:v>DETRAN - GO</x:v>
      </x:c>
      <x:c r="C184" t="n">
        <x:f>Despesas!B148</x:f>
        <x:v>0</x:v>
      </x:c>
      <x:c r="D184" t="str">
        <x:f>Despesas!C148</x:f>
        <x:v>015135</x:v>
      </x:c>
      <x:c r="E184" t="str">
        <x:f>Despesas!D148</x:f>
        <x:v>IPVA EFFA/21 - PLACA SDJ9E34 1º PARCELA</x:v>
      </x:c>
      <x:c r="F184" t="n">
        <x:f>Despesas!E148</x:f>
        <x:v>0</x:v>
      </x:c>
      <x:c r="G184" s="4" t="n">
        <x:f>Despesas!F148</x:f>
        <x:v>46030</x:v>
      </x:c>
      <x:c r="H184" t="str">
        <x:f>Despesas!G148</x:f>
        <x:v>VEICULOS</x:v>
      </x:c>
      <x:c r="I184" t="str">
        <x:f>Despesas!H148</x:f>
        <x:v>6.1 - IPVA</x:v>
      </x:c>
      <x:c r="J184" s="5" t="n">
        <x:f>Despesas!I148</x:f>
        <x:v>333.43</x:v>
      </x:c>
      <x:c r="K184" s="5" t="n">
        <x:f>0</x:f>
        <x:v>0</x:v>
      </x:c>
      <x:c r="L184" s="5" t="n">
        <x:f>Despesas!I148</x:f>
        <x:v>333.43</x:v>
      </x:c>
      <x:c r="M184" s="5" t="n">
        <x:f>-J184</x:f>
        <x:v>-333.43</x:v>
      </x:c>
    </x:row>
    <x:row r="185">
      <x:c r="A185" t="str">
        <x:f>"Despesa/Custo"</x:f>
        <x:v>Despesa/Custo</x:v>
      </x:c>
      <x:c r="B185" t="str">
        <x:f>Despesas!A149</x:f>
        <x:v>DETRAN - GO</x:v>
      </x:c>
      <x:c r="C185" t="n">
        <x:f>Despesas!B149</x:f>
        <x:v>0</x:v>
      </x:c>
      <x:c r="D185" t="str">
        <x:f>Despesas!C149</x:f>
        <x:v>015136</x:v>
      </x:c>
      <x:c r="E185" t="str">
        <x:f>Despesas!D149</x:f>
        <x:v>IPVA FIAT/ARGO DRIVE 1.0 - PLACA PBE2E75 1º PARCELA</x:v>
      </x:c>
      <x:c r="F185" t="n">
        <x:f>Despesas!E149</x:f>
        <x:v>0</x:v>
      </x:c>
      <x:c r="G185" s="4" t="n">
        <x:f>Despesas!F149</x:f>
        <x:v>46030</x:v>
      </x:c>
      <x:c r="H185" t="str">
        <x:f>Despesas!G149</x:f>
        <x:v>VEICULOS</x:v>
      </x:c>
      <x:c r="I185" t="str">
        <x:f>Despesas!H149</x:f>
        <x:v>6.1 - IPVA</x:v>
      </x:c>
      <x:c r="J185" s="5" t="n">
        <x:f>Despesas!I149</x:f>
        <x:v>157.64</x:v>
      </x:c>
      <x:c r="K185" s="5" t="n">
        <x:f>0</x:f>
        <x:v>0</x:v>
      </x:c>
      <x:c r="L185" s="5" t="n">
        <x:f>Despesas!I149</x:f>
        <x:v>157.64</x:v>
      </x:c>
      <x:c r="M185" s="5" t="n">
        <x:f>-J185</x:f>
        <x:v>-157.64</x:v>
      </x:c>
    </x:row>
    <x:row r="186">
      <x:c r="A186" t="str">
        <x:f>"Despesa/Custo"</x:f>
        <x:v>Despesa/Custo</x:v>
      </x:c>
      <x:c r="B186" t="str">
        <x:f>Despesas!A150</x:f>
        <x:v>DETRAN - GO</x:v>
      </x:c>
      <x:c r="C186" t="n">
        <x:f>Despesas!B150</x:f>
        <x:v>0</x:v>
      </x:c>
      <x:c r="D186" t="str">
        <x:f>Despesas!C150</x:f>
        <x:v>015137</x:v>
      </x:c>
      <x:c r="E186" t="str">
        <x:f>Despesas!D150</x:f>
        <x:v>IPVA HYUNDAI/HB20S 1.6A PREM - PLACA QTS7F16 1º PARCELA</x:v>
      </x:c>
      <x:c r="F186" t="n">
        <x:f>Despesas!E150</x:f>
        <x:v>0</x:v>
      </x:c>
      <x:c r="G186" s="4" t="n">
        <x:f>Despesas!F150</x:f>
        <x:v>46030</x:v>
      </x:c>
      <x:c r="H186" t="str">
        <x:f>Despesas!G150</x:f>
        <x:v>VEICULOS</x:v>
      </x:c>
      <x:c r="I186" t="str">
        <x:f>Despesas!H150</x:f>
        <x:v>6.1 - IPVA</x:v>
      </x:c>
      <x:c r="J186" s="5" t="n">
        <x:f>Despesas!I150</x:f>
        <x:v>284.24</x:v>
      </x:c>
      <x:c r="K186" s="5" t="n">
        <x:f>0</x:f>
        <x:v>0</x:v>
      </x:c>
      <x:c r="L186" s="5" t="n">
        <x:f>Despesas!I150</x:f>
        <x:v>284.24</x:v>
      </x:c>
      <x:c r="M186" s="5" t="n">
        <x:f>-J186</x:f>
        <x:v>-284.24</x:v>
      </x:c>
    </x:row>
    <x:row r="187">
      <x:c r="A187" t="str">
        <x:f>"Despesa/Custo"</x:f>
        <x:v>Despesa/Custo</x:v>
      </x:c>
      <x:c r="B187" t="str">
        <x:f>Despesas!A151</x:f>
        <x:v>DETRAN - GO</x:v>
      </x:c>
      <x:c r="C187" t="n">
        <x:f>Despesas!B151</x:f>
        <x:v>0</x:v>
      </x:c>
      <x:c r="D187" t="str">
        <x:f>Despesas!C151</x:f>
        <x:v>015138</x:v>
      </x:c>
      <x:c r="E187" t="str">
        <x:f>Despesas!D151</x:f>
        <x:v>IPVA RENAULT/OROCH EXP 16 SCE - PLACA RTP7H45 1º PARCELA</x:v>
      </x:c>
      <x:c r="F187" t="n">
        <x:f>Despesas!E151</x:f>
        <x:v>0</x:v>
      </x:c>
      <x:c r="G187" s="4" t="n">
        <x:f>Despesas!F151</x:f>
        <x:v>46030</x:v>
      </x:c>
      <x:c r="H187" t="str">
        <x:f>Despesas!G151</x:f>
        <x:v>VEICULOS</x:v>
      </x:c>
      <x:c r="I187" t="str">
        <x:f>Despesas!H151</x:f>
        <x:v>6.1 - IPVA</x:v>
      </x:c>
      <x:c r="J187" s="5" t="n">
        <x:f>Despesas!I151</x:f>
        <x:v>312.29</x:v>
      </x:c>
      <x:c r="K187" s="5" t="n">
        <x:f>0</x:f>
        <x:v>0</x:v>
      </x:c>
      <x:c r="L187" s="5" t="n">
        <x:f>Despesas!I151</x:f>
        <x:v>312.29</x:v>
      </x:c>
      <x:c r="M187" s="5" t="n">
        <x:f>-J187</x:f>
        <x:v>-312.29</x:v>
      </x:c>
    </x:row>
    <x:row r="188">
      <x:c r="A188" t="str">
        <x:f>"Despesa/Custo"</x:f>
        <x:v>Despesa/Custo</x:v>
      </x:c>
      <x:c r="B188" t="str">
        <x:f>Despesas!A152</x:f>
        <x:v>DETRAN - GO</x:v>
      </x:c>
      <x:c r="C188" t="n">
        <x:f>Despesas!B152</x:f>
        <x:v>0</x:v>
      </x:c>
      <x:c r="D188" t="str">
        <x:f>Despesas!C152</x:f>
        <x:v>015139</x:v>
      </x:c>
      <x:c r="E188" t="str">
        <x:f>Despesas!D152</x:f>
        <x:v>IPVA RENAULT/OROCH PRO 16 - PLACA TGI6D98 1º PARCELA</x:v>
      </x:c>
      <x:c r="F188" t="n">
        <x:f>Despesas!E152</x:f>
        <x:v>0</x:v>
      </x:c>
      <x:c r="G188" s="4" t="n">
        <x:f>Despesas!F152</x:f>
        <x:v>46030</x:v>
      </x:c>
      <x:c r="H188" t="str">
        <x:f>Despesas!G152</x:f>
        <x:v>VEICULOS</x:v>
      </x:c>
      <x:c r="I188" t="str">
        <x:f>Despesas!H152</x:f>
        <x:v>6.1 - IPVA</x:v>
      </x:c>
      <x:c r="J188" s="5" t="n">
        <x:f>Despesas!I152</x:f>
        <x:v>408.74</x:v>
      </x:c>
      <x:c r="K188" s="5" t="n">
        <x:f>0</x:f>
        <x:v>0</x:v>
      </x:c>
      <x:c r="L188" s="5" t="n">
        <x:f>Despesas!I152</x:f>
        <x:v>408.74</x:v>
      </x:c>
      <x:c r="M188" s="5" t="n">
        <x:f>-J188</x:f>
        <x:v>-408.74</x:v>
      </x:c>
    </x:row>
    <x:row r="189">
      <x:c r="A189" t="str">
        <x:f>"Despesa/Custo"</x:f>
        <x:v>Despesa/Custo</x:v>
      </x:c>
      <x:c r="B189" t="str">
        <x:f>Despesas!A153</x:f>
        <x:v>DETRAN - GO</x:v>
      </x:c>
      <x:c r="C189" t="n">
        <x:f>Despesas!B153</x:f>
        <x:v>0</x:v>
      </x:c>
      <x:c r="D189" t="str">
        <x:f>Despesas!C153</x:f>
        <x:v>015140</x:v>
      </x:c>
      <x:c r="E189" t="str">
        <x:f>Despesas!D153</x:f>
        <x:v>IPVA RENAULT/OROCH PRO 16 - PLACA SDK1B29 1º PARCELA</x:v>
      </x:c>
      <x:c r="F189" t="n">
        <x:f>Despesas!E153</x:f>
        <x:v>0</x:v>
      </x:c>
      <x:c r="G189" s="4" t="n">
        <x:f>Despesas!F153</x:f>
        <x:v>46030</x:v>
      </x:c>
      <x:c r="H189" t="str">
        <x:f>Despesas!G153</x:f>
        <x:v>VEICULOS</x:v>
      </x:c>
      <x:c r="I189" t="str">
        <x:f>Despesas!H153</x:f>
        <x:v>6.1 - IPVA</x:v>
      </x:c>
      <x:c r="J189" s="5" t="n">
        <x:f>Despesas!I153</x:f>
        <x:v>367.7</x:v>
      </x:c>
      <x:c r="K189" s="5" t="n">
        <x:f>0</x:f>
        <x:v>0</x:v>
      </x:c>
      <x:c r="L189" s="5" t="n">
        <x:f>Despesas!I153</x:f>
        <x:v>367.7</x:v>
      </x:c>
      <x:c r="M189" s="5" t="n">
        <x:f>-J189</x:f>
        <x:v>-367.7</x:v>
      </x:c>
    </x:row>
    <x:row r="190">
      <x:c r="A190" t="str">
        <x:f>"Despesa/Custo"</x:f>
        <x:v>Despesa/Custo</x:v>
      </x:c>
      <x:c r="B190" t="str">
        <x:f>Despesas!A154</x:f>
        <x:v>DETRAN - GO</x:v>
      </x:c>
      <x:c r="C190" t="n">
        <x:f>Despesas!B154</x:f>
        <x:v>0</x:v>
      </x:c>
      <x:c r="D190" t="str">
        <x:f>Despesas!C154</x:f>
        <x:v>015141</x:v>
      </x:c>
      <x:c r="E190" t="str">
        <x:f>Despesas!D154</x:f>
        <x:v>IPVA I/FORD RANGER XLTCD4A32C - PLACA PRW6F12 1º PARCELA</x:v>
      </x:c>
      <x:c r="F190" t="n">
        <x:f>Despesas!E154</x:f>
        <x:v>0</x:v>
      </x:c>
      <x:c r="G190" s="4" t="n">
        <x:f>Despesas!F154</x:f>
        <x:v>46030</x:v>
      </x:c>
      <x:c r="H190" t="str">
        <x:f>Despesas!G154</x:f>
        <x:v>VEICULOS</x:v>
      </x:c>
      <x:c r="I190" t="str">
        <x:f>Despesas!H154</x:f>
        <x:v>6.1 - IPVA</x:v>
      </x:c>
      <x:c r="J190" s="5" t="n">
        <x:f>Despesas!I154</x:f>
        <x:v>572.34</x:v>
      </x:c>
      <x:c r="K190" s="5" t="n">
        <x:f>0</x:f>
        <x:v>0</x:v>
      </x:c>
      <x:c r="L190" s="5" t="n">
        <x:f>Despesas!I154</x:f>
        <x:v>572.34</x:v>
      </x:c>
      <x:c r="M190" s="5" t="n">
        <x:f>-J190</x:f>
        <x:v>-572.34</x:v>
      </x:c>
    </x:row>
    <x:row r="191">
      <x:c r="A191" t="str">
        <x:f>"Despesa/Custo"</x:f>
        <x:v>Despesa/Custo</x:v>
      </x:c>
      <x:c r="B191" t="str">
        <x:f>Despesas!A155</x:f>
        <x:v>DETRAN - GO</x:v>
      </x:c>
      <x:c r="C191" t="n">
        <x:f>Despesas!B155</x:f>
        <x:v>0</x:v>
      </x:c>
      <x:c r="D191" t="str">
        <x:f>Despesas!C155</x:f>
        <x:v>015142</x:v>
      </x:c>
      <x:c r="E191" t="str">
        <x:f>Despesas!D155</x:f>
        <x:v>IPVA I/FORD RANGER XLTCD4A32C - PLACA RCF2A85 1º PARCELA</x:v>
      </x:c>
      <x:c r="F191" t="n">
        <x:f>Despesas!E155</x:f>
        <x:v>0</x:v>
      </x:c>
      <x:c r="G191" s="4" t="n">
        <x:f>Despesas!F155</x:f>
        <x:v>46030</x:v>
      </x:c>
      <x:c r="H191" t="str">
        <x:f>Despesas!G155</x:f>
        <x:v>VEICULOS</x:v>
      </x:c>
      <x:c r="I191" t="str">
        <x:f>Despesas!H155</x:f>
        <x:v>6.1 - IPVA</x:v>
      </x:c>
      <x:c r="J191" s="5" t="n">
        <x:f>Despesas!I155</x:f>
        <x:v>610.18</x:v>
      </x:c>
      <x:c r="K191" s="5" t="n">
        <x:f>0</x:f>
        <x:v>0</x:v>
      </x:c>
      <x:c r="L191" s="5" t="n">
        <x:f>Despesas!I155</x:f>
        <x:v>610.18</x:v>
      </x:c>
      <x:c r="M191" s="5" t="n">
        <x:f>-J191</x:f>
        <x:v>-610.18</x:v>
      </x:c>
    </x:row>
    <x:row r="192">
      <x:c r="A192" t="str">
        <x:f>"Despesa/Custo"</x:f>
        <x:v>Despesa/Custo</x:v>
      </x:c>
      <x:c r="B192" t="str">
        <x:f>Despesas!A156</x:f>
        <x:v>DETRAN - GO</x:v>
      </x:c>
      <x:c r="C192" t="n">
        <x:f>Despesas!B156</x:f>
        <x:v>0</x:v>
      </x:c>
      <x:c r="D192" t="str">
        <x:f>Despesas!C156</x:f>
        <x:v>015143</x:v>
      </x:c>
      <x:c r="E192" t="str">
        <x:f>Despesas!D156</x:f>
        <x:v>IPVA I/FORD RANGER XLTCD3D4A - PLACA SDN9A29 1º PARCELA</x:v>
      </x:c>
      <x:c r="F192" t="n">
        <x:f>Despesas!E156</x:f>
        <x:v>0</x:v>
      </x:c>
      <x:c r="G192" s="4" t="n">
        <x:f>Despesas!F156</x:f>
        <x:v>46030</x:v>
      </x:c>
      <x:c r="H192" t="str">
        <x:f>Despesas!G156</x:f>
        <x:v>VEICULOS</x:v>
      </x:c>
      <x:c r="I192" t="str">
        <x:f>Despesas!H156</x:f>
        <x:v>6.1 - IPVA</x:v>
      </x:c>
      <x:c r="J192" s="5" t="n">
        <x:f>Despesas!I156</x:f>
        <x:v>972.85</x:v>
      </x:c>
      <x:c r="K192" s="5" t="n">
        <x:f>0</x:f>
        <x:v>0</x:v>
      </x:c>
      <x:c r="L192" s="5" t="n">
        <x:f>Despesas!I156</x:f>
        <x:v>972.85</x:v>
      </x:c>
      <x:c r="M192" s="5" t="n">
        <x:f>-J192</x:f>
        <x:v>-972.85</x:v>
      </x:c>
    </x:row>
    <x:row r="193">
      <x:c r="A193" t="str">
        <x:f>"Despesa/Custo"</x:f>
        <x:v>Despesa/Custo</x:v>
      </x:c>
      <x:c r="B193" t="str">
        <x:f>Despesas!A157</x:f>
        <x:v>DETRAN - GO</x:v>
      </x:c>
      <x:c r="C193" t="n">
        <x:f>Despesas!B157</x:f>
        <x:v>0</x:v>
      </x:c>
      <x:c r="D193" t="str">
        <x:f>Despesas!C157</x:f>
        <x:v>015144</x:v>
      </x:c>
      <x:c r="E193" t="str">
        <x:f>Despesas!D157</x:f>
        <x:v>IPVA I/FORD RANGER XLTCD3D4A - PLACA TFI0J58 1º PARCELA</x:v>
      </x:c>
      <x:c r="F193" t="n">
        <x:f>Despesas!E157</x:f>
        <x:v>0</x:v>
      </x:c>
      <x:c r="G193" s="4" t="n">
        <x:f>Despesas!F157</x:f>
        <x:v>46030</x:v>
      </x:c>
      <x:c r="H193" t="str">
        <x:f>Despesas!G157</x:f>
        <x:v>VEICULOS</x:v>
      </x:c>
      <x:c r="I193" t="str">
        <x:f>Despesas!H157</x:f>
        <x:v>6.1 - IPVA</x:v>
      </x:c>
      <x:c r="J193" s="5" t="n">
        <x:f>Despesas!I157</x:f>
        <x:v>1043.03</x:v>
      </x:c>
      <x:c r="K193" s="5" t="n">
        <x:f>0</x:f>
        <x:v>0</x:v>
      </x:c>
      <x:c r="L193" s="5" t="n">
        <x:f>Despesas!I157</x:f>
        <x:v>1043.03</x:v>
      </x:c>
      <x:c r="M193" s="5" t="n">
        <x:f>-J193</x:f>
        <x:v>-1043.03</x:v>
      </x:c>
    </x:row>
    <x:row r="194">
      <x:c r="A194" t="str">
        <x:f>"Despesa/Custo"</x:f>
        <x:v>Despesa/Custo</x:v>
      </x:c>
      <x:c r="B194" t="str">
        <x:f>Despesas!A158</x:f>
        <x:v>DETRAN - GO</x:v>
      </x:c>
      <x:c r="C194" t="n">
        <x:f>Despesas!B158</x:f>
        <x:v>0</x:v>
      </x:c>
      <x:c r="D194" t="str">
        <x:f>Despesas!C158</x:f>
        <x:v>015145</x:v>
      </x:c>
      <x:c r="E194" t="str">
        <x:f>Despesas!D158</x:f>
        <x:v>IPVA CHEVROLET/S10 LT DD4 - PLACA OBA1J57 1º PARCELA</x:v>
      </x:c>
      <x:c r="F194" t="n">
        <x:f>Despesas!E158</x:f>
        <x:v>0</x:v>
      </x:c>
      <x:c r="G194" s="4" t="n">
        <x:f>Despesas!F158</x:f>
        <x:v>46030</x:v>
      </x:c>
      <x:c r="H194" t="str">
        <x:f>Despesas!G158</x:f>
        <x:v>VEICULOS</x:v>
      </x:c>
      <x:c r="I194" t="str">
        <x:f>Despesas!H158</x:f>
        <x:v>6.1 - IPVA</x:v>
      </x:c>
      <x:c r="J194" s="5" t="n">
        <x:f>Despesas!I158</x:f>
        <x:v>368.5</x:v>
      </x:c>
      <x:c r="K194" s="5" t="n">
        <x:f>0</x:f>
        <x:v>0</x:v>
      </x:c>
      <x:c r="L194" s="5" t="n">
        <x:f>Despesas!I158</x:f>
        <x:v>368.5</x:v>
      </x:c>
      <x:c r="M194" s="5" t="n">
        <x:f>-J194</x:f>
        <x:v>-368.5</x:v>
      </x:c>
    </x:row>
    <x:row r="195">
      <x:c r="A195" t="str">
        <x:f>"Despesa/Custo"</x:f>
        <x:v>Despesa/Custo</x:v>
      </x:c>
      <x:c r="B195" t="str">
        <x:f>Despesas!A159</x:f>
        <x:v>DETRAN - GO</x:v>
      </x:c>
      <x:c r="C195" t="n">
        <x:f>Despesas!B159</x:f>
        <x:v>0</x:v>
      </x:c>
      <x:c r="D195" t="str">
        <x:f>Despesas!C159</x:f>
        <x:v>015146</x:v>
      </x:c>
      <x:c r="E195" t="str">
        <x:f>Despesas!D159</x:f>
        <x:v>IPVA SAVEIRO RB MBVS - PLACA QTN3I85 1º PARCELA</x:v>
      </x:c>
      <x:c r="F195" t="n">
        <x:f>Despesas!E159</x:f>
        <x:v>0</x:v>
      </x:c>
      <x:c r="G195" s="4" t="n">
        <x:f>Despesas!F159</x:f>
        <x:v>46030</x:v>
      </x:c>
      <x:c r="H195" t="str">
        <x:f>Despesas!G159</x:f>
        <x:v>VEICULOS</x:v>
      </x:c>
      <x:c r="I195" t="str">
        <x:f>Despesas!H159</x:f>
        <x:v>6.1 - IPVA</x:v>
      </x:c>
      <x:c r="J195" s="5" t="n">
        <x:f>Despesas!I159</x:f>
        <x:v>226.76</x:v>
      </x:c>
      <x:c r="K195" s="5" t="n">
        <x:f>0</x:f>
        <x:v>0</x:v>
      </x:c>
      <x:c r="L195" s="5" t="n">
        <x:f>Despesas!I159</x:f>
        <x:v>226.76</x:v>
      </x:c>
      <x:c r="M195" s="5" t="n">
        <x:f>-J195</x:f>
        <x:v>-226.76</x:v>
      </x:c>
    </x:row>
    <x:row r="196">
      <x:c r="A196" t="str">
        <x:f>"Despesa/Custo"</x:f>
        <x:v>Despesa/Custo</x:v>
      </x:c>
      <x:c r="B196" t="str">
        <x:f>Despesas!A160</x:f>
        <x:v>DETRAN - GO</x:v>
      </x:c>
      <x:c r="C196" t="n">
        <x:f>Despesas!B160</x:f>
        <x:v>0</x:v>
      </x:c>
      <x:c r="D196" t="str">
        <x:f>Despesas!C160</x:f>
        <x:v>015147</x:v>
      </x:c>
      <x:c r="E196" t="str">
        <x:f>Despesas!D160</x:f>
        <x:v>IPVA FIAT/TORO FREEDOM AT9 D - PLACA PLQ2I02 1º PARCELA</x:v>
      </x:c>
      <x:c r="F196" t="n">
        <x:f>Despesas!E160</x:f>
        <x:v>0</x:v>
      </x:c>
      <x:c r="G196" s="4" t="n">
        <x:f>Despesas!F160</x:f>
        <x:v>46030</x:v>
      </x:c>
      <x:c r="H196" t="str">
        <x:f>Despesas!G160</x:f>
        <x:v>VEICULOS</x:v>
      </x:c>
      <x:c r="I196" t="str">
        <x:f>Despesas!H160</x:f>
        <x:v>6.1 - IPVA</x:v>
      </x:c>
      <x:c r="J196" s="5" t="n">
        <x:f>Despesas!I160</x:f>
        <x:v>440.97</x:v>
      </x:c>
      <x:c r="K196" s="5" t="n">
        <x:f>0</x:f>
        <x:v>0</x:v>
      </x:c>
      <x:c r="L196" s="5" t="n">
        <x:f>Despesas!I160</x:f>
        <x:v>440.97</x:v>
      </x:c>
      <x:c r="M196" s="5" t="n">
        <x:f>-J196</x:f>
        <x:v>-440.97</x:v>
      </x:c>
    </x:row>
    <x:row r="197">
      <x:c r="A197" t="str">
        <x:f>"Despesa/Custo"</x:f>
        <x:v>Despesa/Custo</x:v>
      </x:c>
      <x:c r="B197" t="str">
        <x:f>Despesas!A161</x:f>
        <x:v>REFEIÇÃO OBRAS</x:v>
      </x:c>
      <x:c r="C197" t="n">
        <x:f>Despesas!B161</x:f>
        <x:v>0</x:v>
      </x:c>
      <x:c r="D197" t="str">
        <x:f>Despesas!C161</x:f>
        <x:v>015149</x:v>
      </x:c>
      <x:c r="E197" t="str">
        <x:f>Despesas!D161</x:f>
        <x:v>DEIVIDIANE KEMERY SANTANA DA SILVA - PIX (98) 9 8443-1787</x:v>
      </x:c>
      <x:c r="F197" t="str">
        <x:f>Despesas!E161</x:f>
        <x:v>REFEIÇÕES REF. 01/12 A 18/12/25</x:v>
      </x:c>
      <x:c r="G197" s="4" t="n">
        <x:f>Despesas!F161</x:f>
        <x:v>46030</x:v>
      </x:c>
      <x:c r="H197" t="str">
        <x:f>Despesas!G161</x:f>
        <x:v>SERENA 10 TORRES 2025</x:v>
      </x:c>
      <x:c r="I197" t="str">
        <x:f>Despesas!H161</x:f>
        <x:v>12.5 - REFEIÇÕES FUNCIONARIOS</x:v>
      </x:c>
      <x:c r="J197" s="5" t="n">
        <x:f>Despesas!I161</x:f>
        <x:v>5589</x:v>
      </x:c>
      <x:c r="K197" s="5" t="n">
        <x:f>0</x:f>
        <x:v>0</x:v>
      </x:c>
      <x:c r="L197" s="5" t="n">
        <x:f>Despesas!I161</x:f>
        <x:v>5589</x:v>
      </x:c>
      <x:c r="M197" s="5" t="n">
        <x:f>-J197</x:f>
        <x:v>-5589</x:v>
      </x:c>
    </x:row>
    <x:row r="198">
      <x:c r="A198" t="str">
        <x:f>"Despesa/Custo"</x:f>
        <x:v>Despesa/Custo</x:v>
      </x:c>
      <x:c r="B198" t="str">
        <x:f>Despesas!A162</x:f>
        <x:v>KLEBER AUGUSTO L. C. DE BERNARDO</x:v>
      </x:c>
      <x:c r="C198" t="str">
        <x:f>Despesas!B162</x:f>
        <x:v>136042</x:v>
      </x:c>
      <x:c r="D198" t="str">
        <x:f>Despesas!C162</x:f>
        <x:v>015150</x:v>
      </x:c>
      <x:c r="E198" t="str">
        <x:f>Despesas!D162</x:f>
        <x:v>MAQUINAS E EQUIPAMENTOS</x:v>
      </x:c>
      <x:c r="F198" t="str">
        <x:f>Despesas!E162</x:f>
        <x:v>VENCIMENTO ORIGINAL DOS BOLETOS 19/12 18/01/26 E 17/02/26</x:v>
      </x:c>
      <x:c r="G198" s="4" t="n">
        <x:f>Despesas!F162</x:f>
        <x:v>46030</x:v>
      </x:c>
      <x:c r="H198" t="str">
        <x:f>Despesas!G162</x:f>
        <x:v>VLI PINTURA</x:v>
      </x:c>
      <x:c r="I198" t="str">
        <x:f>Despesas!H162</x:f>
        <x:v>8.5 - MAQUINAS / EQUIPAMENTOS</x:v>
      </x:c>
      <x:c r="J198" s="5" t="n">
        <x:f>Despesas!I162</x:f>
        <x:v>3733.82</x:v>
      </x:c>
      <x:c r="K198" s="5" t="n">
        <x:f>0</x:f>
        <x:v>0</x:v>
      </x:c>
      <x:c r="L198" s="5" t="n">
        <x:f>Despesas!I162</x:f>
        <x:v>3733.82</x:v>
      </x:c>
      <x:c r="M198" s="5" t="n">
        <x:f>-J198</x:f>
        <x:v>-3733.82</x:v>
      </x:c>
    </x:row>
    <x:row r="199">
      <x:c r="A199" t="str">
        <x:f>"Despesa/Custo"</x:f>
        <x:v>Despesa/Custo</x:v>
      </x:c>
      <x:c r="B199" t="str">
        <x:f>Despesas!A163</x:f>
        <x:v>KLEBER AUGUSTO L. C. DE BERNARDO</x:v>
      </x:c>
      <x:c r="C199" t="str">
        <x:f>Despesas!B163</x:f>
        <x:v>136042</x:v>
      </x:c>
      <x:c r="D199" t="str">
        <x:f>Despesas!C163</x:f>
        <x:v>015150</x:v>
      </x:c>
      <x:c r="E199" t="str">
        <x:f>Despesas!D163</x:f>
        <x:v>MAQUINAS E EQUIPAMENTOS</x:v>
      </x:c>
      <x:c r="F199" t="str">
        <x:f>Despesas!E163</x:f>
        <x:v>VENCIMENTO ORIGINAL DOS BOLETOS 19/12 18/01/26 E 17/02/26</x:v>
      </x:c>
      <x:c r="G199" s="4" t="n">
        <x:f>Despesas!F163</x:f>
        <x:v>46030</x:v>
      </x:c>
      <x:c r="H199" t="str">
        <x:f>Despesas!G163</x:f>
        <x:v>VLI PINTURA</x:v>
      </x:c>
      <x:c r="I199" t="str">
        <x:f>Despesas!H163</x:f>
        <x:v>8.5 - MAQUINAS / EQUIPAMENTOS</x:v>
      </x:c>
      <x:c r="J199" s="5" t="n">
        <x:f>Despesas!I163</x:f>
        <x:v>3511.88</x:v>
      </x:c>
      <x:c r="K199" s="5" t="n">
        <x:f>0</x:f>
        <x:v>0</x:v>
      </x:c>
      <x:c r="L199" s="5" t="n">
        <x:f>Despesas!I163</x:f>
        <x:v>3511.88</x:v>
      </x:c>
      <x:c r="M199" s="5" t="n">
        <x:f>-J199</x:f>
        <x:v>-3511.88</x:v>
      </x:c>
    </x:row>
    <x:row r="200">
      <x:c r="A200" t="str">
        <x:f>"Despesa/Custo"</x:f>
        <x:v>Despesa/Custo</x:v>
      </x:c>
      <x:c r="B200" t="str">
        <x:f>Despesas!A164</x:f>
        <x:v>KLEBER AUGUSTO L. C. DE BERNARDO</x:v>
      </x:c>
      <x:c r="C200" t="str">
        <x:f>Despesas!B164</x:f>
        <x:v>136042</x:v>
      </x:c>
      <x:c r="D200" t="str">
        <x:f>Despesas!C164</x:f>
        <x:v>015150</x:v>
      </x:c>
      <x:c r="E200" t="str">
        <x:f>Despesas!D164</x:f>
        <x:v>MAQUINAS E EQUIPAMENTOS</x:v>
      </x:c>
      <x:c r="F200" t="str">
        <x:f>Despesas!E164</x:f>
        <x:v>VENCIMENTO ORIGINAL DOS BOLETOS 19/12 18/01/26 E 17/02/26</x:v>
      </x:c>
      <x:c r="G200" s="4" t="n">
        <x:f>Despesas!F164</x:f>
        <x:v>46030</x:v>
      </x:c>
      <x:c r="H200" t="str">
        <x:f>Despesas!G164</x:f>
        <x:v>VLI PINTURA</x:v>
      </x:c>
      <x:c r="I200" t="str">
        <x:f>Despesas!H164</x:f>
        <x:v>8.5 - MAQUINAS / EQUIPAMENTOS</x:v>
      </x:c>
      <x:c r="J200" s="5" t="n">
        <x:f>Despesas!I164</x:f>
        <x:v>3511.87</x:v>
      </x:c>
      <x:c r="K200" s="5" t="n">
        <x:f>0</x:f>
        <x:v>0</x:v>
      </x:c>
      <x:c r="L200" s="5" t="n">
        <x:f>Despesas!I164</x:f>
        <x:v>3511.87</x:v>
      </x:c>
      <x:c r="M200" s="5" t="n">
        <x:f>-J200</x:f>
        <x:v>-3511.87</x:v>
      </x:c>
    </x:row>
    <x:row r="201">
      <x:c r="A201" t="str">
        <x:f>"Despesa/Custo"</x:f>
        <x:v>Despesa/Custo</x:v>
      </x:c>
      <x:c r="B201" t="str">
        <x:f>Despesas!A165</x:f>
        <x:v>BIRCK &amp; AMP ROCHA LTDA</x:v>
      </x:c>
      <x:c r="C201" t="str">
        <x:f>Despesas!B165</x:f>
        <x:v>20615</x:v>
      </x:c>
      <x:c r="D201" t="str">
        <x:f>Despesas!C165</x:f>
        <x:v>015151</x:v>
      </x:c>
      <x:c r="E201" t="str">
        <x:f>Despesas!D165</x:f>
        <x:v>TINTAS E SOLVENTES</x:v>
      </x:c>
      <x:c r="F201" t="str">
        <x:f>Despesas!E165</x:f>
        <x:v>VENCIMENTO ORIGINAL DO BOLETO 22/01/25</x:v>
      </x:c>
      <x:c r="G201" s="4" t="n">
        <x:f>Despesas!F165</x:f>
        <x:v>46030</x:v>
      </x:c>
      <x:c r="H201" t="str">
        <x:f>Despesas!G165</x:f>
        <x:v>NIOBIO CMOC CONTRATO</x:v>
      </x:c>
      <x:c r="I201" t="str">
        <x:f>Despesas!H165</x:f>
        <x:v>4.1 - TINTAS E SOLVENTES</x:v>
      </x:c>
      <x:c r="J201" s="5" t="n">
        <x:f>Despesas!I165</x:f>
        <x:v>1170</x:v>
      </x:c>
      <x:c r="K201" s="5" t="n">
        <x:f>0</x:f>
        <x:v>0</x:v>
      </x:c>
      <x:c r="L201" s="5" t="n">
        <x:f>Despesas!I165</x:f>
        <x:v>1170</x:v>
      </x:c>
      <x:c r="M201" s="5" t="n">
        <x:f>-J201</x:f>
        <x:v>-1170</x:v>
      </x:c>
    </x:row>
    <x:row r="202">
      <x:c r="A202" t="str">
        <x:f>"Despesa/Custo"</x:f>
        <x:v>Despesa/Custo</x:v>
      </x:c>
      <x:c r="B202" t="str">
        <x:f>Despesas!A166</x:f>
        <x:v>AGSMB ASSOSIAÇAO GOIANIA DE SOCORRO</x:v>
      </x:c>
      <x:c r="C202" t="n">
        <x:f>Despesas!B166</x:f>
        <x:v>0</x:v>
      </x:c>
      <x:c r="D202" t="str">
        <x:f>Despesas!C166</x:f>
        <x:v>015152</x:v>
      </x:c>
      <x:c r="E202" t="str">
        <x:f>Despesas!D166</x:f>
        <x:v>SEGUROS VEÍCULOS</x:v>
      </x:c>
      <x:c r="F202" t="str">
        <x:f>Despesas!E166</x:f>
        <x:v>RANGER/ARGO/PICK-UP/OROCH/HB20S/COURIER/SAVEIRO/TORO/DUSTER OROCH E OROCH</x:v>
      </x:c>
      <x:c r="G202" s="4" t="n">
        <x:f>Despesas!F166</x:f>
        <x:v>46030</x:v>
      </x:c>
      <x:c r="H202" t="str">
        <x:f>Despesas!G166</x:f>
        <x:v>VEICULOS</x:v>
      </x:c>
      <x:c r="I202" t="str">
        <x:f>Despesas!H166</x:f>
        <x:v>6.5 - SEGUROS DE VEICULOS</x:v>
      </x:c>
      <x:c r="J202" s="5" t="n">
        <x:f>Despesas!I166</x:f>
        <x:v>2711.5</x:v>
      </x:c>
      <x:c r="K202" s="5" t="n">
        <x:f>0</x:f>
        <x:v>0</x:v>
      </x:c>
      <x:c r="L202" s="5" t="n">
        <x:f>Despesas!I166</x:f>
        <x:v>2711.5</x:v>
      </x:c>
      <x:c r="M202" s="5" t="n">
        <x:f>-J202</x:f>
        <x:v>-2711.5</x:v>
      </x:c>
    </x:row>
    <x:row r="203">
      <x:c r="A203" t="str">
        <x:f>"Despesa/Custo"</x:f>
        <x:v>Despesa/Custo</x:v>
      </x:c>
      <x:c r="B203" t="str">
        <x:f>Despesas!A167</x:f>
        <x:v>FONTEBRAS HOME CENTER COM. DE MAT. PARA CONST. LTDA - EPP</x:v>
      </x:c>
      <x:c r="C203" t="str">
        <x:f>Despesas!B167</x:f>
        <x:v>19295</x:v>
      </x:c>
      <x:c r="D203" t="str">
        <x:f>Despesas!C167</x:f>
        <x:v>015153</x:v>
      </x:c>
      <x:c r="E203" t="str">
        <x:f>Despesas!D167</x:f>
        <x:v>MATERIAIS DE CONSUMO</x:v>
      </x:c>
      <x:c r="F203" t="n">
        <x:f>Despesas!E167</x:f>
        <x:v>0</x:v>
      </x:c>
      <x:c r="G203" s="4" t="n">
        <x:f>Despesas!F167</x:f>
        <x:v>46030</x:v>
      </x:c>
      <x:c r="H203" t="str">
        <x:f>Despesas!G167</x:f>
        <x:v>VLI PINTURA</x:v>
      </x:c>
      <x:c r="I203" t="str">
        <x:f>Despesas!H167</x:f>
        <x:v>8.9 - MATERIAIS DE CONSUMO EM OBRAS</x:v>
      </x:c>
      <x:c r="J203" s="5" t="n">
        <x:f>Despesas!I167</x:f>
        <x:v>345.45</x:v>
      </x:c>
      <x:c r="K203" s="5" t="n">
        <x:f>0</x:f>
        <x:v>0</x:v>
      </x:c>
      <x:c r="L203" s="5" t="n">
        <x:f>Despesas!I167</x:f>
        <x:v>345.45</x:v>
      </x:c>
      <x:c r="M203" s="5" t="n">
        <x:f>-J203</x:f>
        <x:v>-345.45</x:v>
      </x:c>
    </x:row>
    <x:row r="204">
      <x:c r="A204" t="str">
        <x:f>"Despesa/Custo"</x:f>
        <x:v>Despesa/Custo</x:v>
      </x:c>
      <x:c r="B204" t="str">
        <x:f>Despesas!A168</x:f>
        <x:v>FONTEBRAS HOME CENTER COM. DE MAT. PARA CONST. LTDA - EPP</x:v>
      </x:c>
      <x:c r="C204" t="str">
        <x:f>Despesas!B168</x:f>
        <x:v>19277</x:v>
      </x:c>
      <x:c r="D204" t="str">
        <x:f>Despesas!C168</x:f>
        <x:v>015154</x:v>
      </x:c>
      <x:c r="E204" t="str">
        <x:f>Despesas!D168</x:f>
        <x:v>MATERIAIS DE ESCRITORIO</x:v>
      </x:c>
      <x:c r="F204" t="n">
        <x:f>Despesas!E168</x:f>
        <x:v>0</x:v>
      </x:c>
      <x:c r="G204" s="4" t="n">
        <x:f>Despesas!F168</x:f>
        <x:v>46030</x:v>
      </x:c>
      <x:c r="H204" t="str">
        <x:f>Despesas!G168</x:f>
        <x:v>VLI PINTURA</x:v>
      </x:c>
      <x:c r="I204" t="str">
        <x:f>Despesas!H168</x:f>
        <x:v>8.10 - MATERIAS DE ESCRITORIO</x:v>
      </x:c>
      <x:c r="J204" s="5" t="n">
        <x:f>Despesas!I168</x:f>
        <x:v>113.57</x:v>
      </x:c>
      <x:c r="K204" s="5" t="n">
        <x:f>0</x:f>
        <x:v>0</x:v>
      </x:c>
      <x:c r="L204" s="5" t="n">
        <x:f>Despesas!I168</x:f>
        <x:v>113.57</x:v>
      </x:c>
      <x:c r="M204" s="5" t="n">
        <x:f>-J204</x:f>
        <x:v>-113.57</x:v>
      </x:c>
    </x:row>
    <x:row r="205">
      <x:c r="A205" t="str">
        <x:f>"Despesa/Custo"</x:f>
        <x:v>Despesa/Custo</x:v>
      </x:c>
      <x:c r="B205" t="str">
        <x:f>Despesas!A169</x:f>
        <x:v>DISTRIBUIDORA DE AGUA MINERAL SAPUCAIA LTDA</x:v>
      </x:c>
      <x:c r="C205" t="str">
        <x:f>Despesas!B169</x:f>
        <x:v>2538</x:v>
      </x:c>
      <x:c r="D205" t="str">
        <x:f>Despesas!C169</x:f>
        <x:v>015155</x:v>
      </x:c>
      <x:c r="E205" t="str">
        <x:f>Despesas!D169</x:f>
        <x:v>DISTRIB. DE AGUA - PIX diskaguairmaowermelinger@gmail.com</x:v>
      </x:c>
      <x:c r="F205" t="str">
        <x:f>Despesas!E169</x:f>
        <x:v>REFEIÇÕES FUNCIONÁRIOS</x:v>
      </x:c>
      <x:c r="G205" s="4" t="n">
        <x:f>Despesas!F169</x:f>
        <x:v>46030</x:v>
      </x:c>
      <x:c r="H205" t="str">
        <x:f>Despesas!G169</x:f>
        <x:v>CONDUTOS UG 1 - ELETROBRAS</x:v>
      </x:c>
      <x:c r="I205" t="str">
        <x:f>Despesas!H169</x:f>
        <x:v>12.5 - REFEIÇÕES FUNCIONARIOS</x:v>
      </x:c>
      <x:c r="J205" s="5" t="n">
        <x:f>Despesas!I169</x:f>
        <x:v>62.75</x:v>
      </x:c>
      <x:c r="K205" s="5" t="n">
        <x:f>0</x:f>
        <x:v>0</x:v>
      </x:c>
      <x:c r="L205" s="5" t="n">
        <x:f>Despesas!I169</x:f>
        <x:v>62.75</x:v>
      </x:c>
      <x:c r="M205" s="5" t="n">
        <x:f>-J205</x:f>
        <x:v>-62.75</x:v>
      </x:c>
    </x:row>
    <x:row r="206">
      <x:c r="A206" t="str">
        <x:f>"Despesa/Custo"</x:f>
        <x:v>Despesa/Custo</x:v>
      </x:c>
      <x:c r="B206" t="str">
        <x:f>Despesas!A170</x:f>
        <x:v>BIRCK &amp; AMP ROCHA LTDA</x:v>
      </x:c>
      <x:c r="C206" t="str">
        <x:f>Despesas!B170</x:f>
        <x:v>20680</x:v>
      </x:c>
      <x:c r="D206" t="str">
        <x:f>Despesas!C170</x:f>
        <x:v>015159</x:v>
      </x:c>
      <x:c r="E206" t="str">
        <x:f>Despesas!D170</x:f>
        <x:v>TINTAS E SOLVENTES</x:v>
      </x:c>
      <x:c r="F206" t="n">
        <x:f>Despesas!E170</x:f>
        <x:v>0</x:v>
      </x:c>
      <x:c r="G206" s="4" t="n">
        <x:f>Despesas!F170</x:f>
        <x:v>46030</x:v>
      </x:c>
      <x:c r="H206" t="str">
        <x:f>Despesas!G170</x:f>
        <x:v>FOSFATO CMOC CONTRAT</x:v>
      </x:c>
      <x:c r="I206" t="str">
        <x:f>Despesas!H170</x:f>
        <x:v>4.1 - TINTAS E SOLVENTES</x:v>
      </x:c>
      <x:c r="J206" s="5" t="n">
        <x:f>Despesas!I170</x:f>
        <x:v>1317</x:v>
      </x:c>
      <x:c r="K206" s="5" t="n">
        <x:f>0</x:f>
        <x:v>0</x:v>
      </x:c>
      <x:c r="L206" s="5" t="n">
        <x:f>Despesas!I170</x:f>
        <x:v>1317</x:v>
      </x:c>
      <x:c r="M206" s="5" t="n">
        <x:f>-J206</x:f>
        <x:v>-1317</x:v>
      </x:c>
    </x:row>
    <x:row r="207">
      <x:c r="A207" t="str">
        <x:f>"Despesa/Custo"</x:f>
        <x:v>Despesa/Custo</x:v>
      </x:c>
      <x:c r="B207" t="str">
        <x:f>Despesas!A171</x:f>
        <x:v>DETRAN - GO</x:v>
      </x:c>
      <x:c r="C207" t="n">
        <x:f>Despesas!B171</x:f>
        <x:v>0</x:v>
      </x:c>
      <x:c r="D207" t="str">
        <x:f>Despesas!C171</x:f>
        <x:v>015160</x:v>
      </x:c>
      <x:c r="E207" t="str">
        <x:f>Despesas!D171</x:f>
        <x:v>LICENCIAMENTO M.BENZ/0 400 RSD PL - PLACA HWL2C60</x:v>
      </x:c>
      <x:c r="F207" t="n">
        <x:f>Despesas!E171</x:f>
        <x:v>0</x:v>
      </x:c>
      <x:c r="G207" s="4" t="n">
        <x:f>Despesas!F171</x:f>
        <x:v>46030</x:v>
      </x:c>
      <x:c r="H207" t="str">
        <x:f>Despesas!G171</x:f>
        <x:v>VEICULOS</x:v>
      </x:c>
      <x:c r="I207" t="str">
        <x:f>Despesas!H171</x:f>
        <x:v>6.1 - IPVA</x:v>
      </x:c>
      <x:c r="J207" s="5" t="n">
        <x:f>Despesas!I171</x:f>
        <x:v>263.39</x:v>
      </x:c>
      <x:c r="K207" s="5" t="n">
        <x:f>0</x:f>
        <x:v>0</x:v>
      </x:c>
      <x:c r="L207" s="5" t="n">
        <x:f>Despesas!I171</x:f>
        <x:v>263.39</x:v>
      </x:c>
      <x:c r="M207" s="5" t="n">
        <x:f>-J207</x:f>
        <x:v>-263.39</x:v>
      </x:c>
    </x:row>
    <x:row r="208">
      <x:c r="A208" t="str">
        <x:f>"Despesa/Custo"</x:f>
        <x:v>Despesa/Custo</x:v>
      </x:c>
      <x:c r="B208" t="str">
        <x:f>Despesas!A172</x:f>
        <x:v>49.814.051 MAXSANDER MENEZES DE OLIVEIRA</x:v>
      </x:c>
      <x:c r="C208" t="str">
        <x:f>Despesas!B172</x:f>
        <x:v>30</x:v>
      </x:c>
      <x:c r="D208" t="str">
        <x:f>Despesas!C172</x:f>
        <x:v>015161</x:v>
      </x:c>
      <x:c r="E208" t="str">
        <x:f>Despesas!D172</x:f>
        <x:v>MAXSANDER MENEZES - PIX 49.814.051/0001-46</x:v>
      </x:c>
      <x:c r="F208" t="str">
        <x:f>Despesas!E172</x:f>
        <x:v>LAVAGEM SPIN</x:v>
      </x:c>
      <x:c r="G208" s="4" t="n">
        <x:f>Despesas!F172</x:f>
        <x:v>46030</x:v>
      </x:c>
      <x:c r="H208" t="str">
        <x:f>Despesas!G172</x:f>
        <x:v>SERENA 10 TORRES 2025</x:v>
      </x:c>
      <x:c r="I208" t="str">
        <x:f>Despesas!H172</x:f>
        <x:v>6.10 - SERVIÇO LAVA JATO</x:v>
      </x:c>
      <x:c r="J208" s="5" t="n">
        <x:f>Despesas!I172</x:f>
        <x:v>650</x:v>
      </x:c>
      <x:c r="K208" s="5" t="n">
        <x:f>0</x:f>
        <x:v>0</x:v>
      </x:c>
      <x:c r="L208" s="5" t="n">
        <x:f>Despesas!I172</x:f>
        <x:v>650</x:v>
      </x:c>
      <x:c r="M208" s="5" t="n">
        <x:f>-J208</x:f>
        <x:v>-650</x:v>
      </x:c>
    </x:row>
    <x:row r="209">
      <x:c r="A209" t="str">
        <x:f>"Despesa/Custo"</x:f>
        <x:v>Despesa/Custo</x:v>
      </x:c>
      <x:c r="B209" t="str">
        <x:f>Despesas!A173</x:f>
        <x:v>CVAL ALUGUEL DE VEÍCULOS LTDA</x:v>
      </x:c>
      <x:c r="C209" t="str">
        <x:f>Despesas!B173</x:f>
        <x:v>25021</x:v>
      </x:c>
      <x:c r="D209" t="str">
        <x:f>Despesas!C173</x:f>
        <x:v>015165</x:v>
      </x:c>
      <x:c r="E209" t="str">
        <x:f>Despesas!D173</x:f>
        <x:v>LOCAÇÃO VEÍCULO HB20 REF. 14/12 A 05/01/26</x:v>
      </x:c>
      <x:c r="F209" t="str">
        <x:f>Despesas!E173</x:f>
        <x:v>VENCIMENTO ORIGINAL DO BOLETO 23/01/26</x:v>
      </x:c>
      <x:c r="G209" s="4" t="n">
        <x:f>Despesas!F173</x:f>
        <x:v>46030</x:v>
      </x:c>
      <x:c r="H209" t="str">
        <x:f>Despesas!G173</x:f>
        <x:v>MOSAIC UBERABA CONTRAT0 3 ANOS</x:v>
      </x:c>
      <x:c r="I209" t="str">
        <x:f>Despesas!H173</x:f>
        <x:v>7.8 - LOCAÇAO VEICULOS</x:v>
      </x:c>
      <x:c r="J209" s="5" t="n">
        <x:f>Despesas!I173</x:f>
        <x:v>11858.65</x:v>
      </x:c>
      <x:c r="K209" s="5" t="n">
        <x:f>0</x:f>
        <x:v>0</x:v>
      </x:c>
      <x:c r="L209" s="5" t="n">
        <x:f>Despesas!I173</x:f>
        <x:v>11858.65</x:v>
      </x:c>
      <x:c r="M209" s="5" t="n">
        <x:f>-J209</x:f>
        <x:v>-11858.65</x:v>
      </x:c>
    </x:row>
    <x:row r="210">
      <x:c r="A210" t="str">
        <x:f>"Despesa/Custo"</x:f>
        <x:v>Despesa/Custo</x:v>
      </x:c>
      <x:c r="B210" t="str">
        <x:f>Despesas!A174</x:f>
        <x:v>SANEAMENTO DE GOIA S.A</x:v>
      </x:c>
      <x:c r="C210" t="n">
        <x:f>Despesas!B174</x:f>
        <x:v>0</x:v>
      </x:c>
      <x:c r="D210" t="str">
        <x:f>Despesas!C174</x:f>
        <x:v>015166</x:v>
      </x:c>
      <x:c r="E210" t="str">
        <x:f>Despesas!D174</x:f>
        <x:v>R. SANTO ANTÔNIO QD 04 LT 07 REF. 12/2025</x:v>
      </x:c>
      <x:c r="F210" t="str">
        <x:f>Despesas!E174</x:f>
        <x:v>CONTA Nº 0521587-0</x:v>
      </x:c>
      <x:c r="G210" s="4" t="n">
        <x:f>Despesas!F174</x:f>
        <x:v>46030</x:v>
      </x:c>
      <x:c r="H210" t="str">
        <x:f>Despesas!G174</x:f>
        <x:v>ANGLO AMERICAN</x:v>
      </x:c>
      <x:c r="I210" t="str">
        <x:f>Despesas!H174</x:f>
        <x:v>5.4 - AGUA ALOJAMENTO</x:v>
      </x:c>
      <x:c r="J210" s="5" t="n">
        <x:f>Despesas!I174</x:f>
        <x:v>234.55</x:v>
      </x:c>
      <x:c r="K210" s="5" t="n">
        <x:f>0</x:f>
        <x:v>0</x:v>
      </x:c>
      <x:c r="L210" s="5" t="n">
        <x:f>Despesas!I174</x:f>
        <x:v>234.55</x:v>
      </x:c>
      <x:c r="M210" s="5" t="n">
        <x:f>-J210</x:f>
        <x:v>-234.55</x:v>
      </x:c>
    </x:row>
    <x:row r="211">
      <x:c r="A211" t="str">
        <x:f>"Despesa/Custo"</x:f>
        <x:v>Despesa/Custo</x:v>
      </x:c>
      <x:c r="B211" t="str">
        <x:f>Despesas!A175</x:f>
        <x:v>DESPESAS DE OBRAS</x:v>
      </x:c>
      <x:c r="C211" t="n">
        <x:f>Despesas!B175</x:f>
        <x:v>0</x:v>
      </x:c>
      <x:c r="D211" t="str">
        <x:f>Despesas!C175</x:f>
        <x:v>015168</x:v>
      </x:c>
      <x:c r="E211" t="str">
        <x:f>Despesas!D175</x:f>
        <x:v>MANGUEIRAS E CONEXÕES</x:v>
      </x:c>
      <x:c r="F211" t="str">
        <x:f>Despesas!E175</x:f>
        <x:v>REEMBOLSO JOSE SIMÕES</x:v>
      </x:c>
      <x:c r="G211" s="4" t="n">
        <x:f>Despesas!F175</x:f>
        <x:v>46030</x:v>
      </x:c>
      <x:c r="H211" t="str">
        <x:f>Despesas!G175</x:f>
        <x:v>EUROCHEM SERRA DO SALITRE</x:v>
      </x:c>
      <x:c r="I211" t="str">
        <x:f>Despesas!H175</x:f>
        <x:v>8.7 - MANGUEIRAS / CONEXÕES</x:v>
      </x:c>
      <x:c r="J211" s="5" t="n">
        <x:f>Despesas!I175</x:f>
        <x:v>290</x:v>
      </x:c>
      <x:c r="K211" s="5" t="n">
        <x:f>0</x:f>
        <x:v>0</x:v>
      </x:c>
      <x:c r="L211" s="5" t="n">
        <x:f>Despesas!I175</x:f>
        <x:v>290</x:v>
      </x:c>
      <x:c r="M211" s="5" t="n">
        <x:f>-J211</x:f>
        <x:v>-290</x:v>
      </x:c>
    </x:row>
    <x:row r="212">
      <x:c r="A212" t="str">
        <x:f>"Despesa/Custo"</x:f>
        <x:v>Despesa/Custo</x:v>
      </x:c>
      <x:c r="B212" t="str">
        <x:f>Despesas!A176</x:f>
        <x:v>DESPESAS DE OBRAS</x:v>
      </x:c>
      <x:c r="C212" t="n">
        <x:f>Despesas!B176</x:f>
        <x:v>0</x:v>
      </x:c>
      <x:c r="D212" t="str">
        <x:f>Despesas!C176</x:f>
        <x:v>015169</x:v>
      </x:c>
      <x:c r="E212" t="str">
        <x:f>Despesas!D176</x:f>
        <x:v>CESTAS NATALINAS P/ FUNCIONÁRIOS</x:v>
      </x:c>
      <x:c r="F212" t="str">
        <x:f>Despesas!E176</x:f>
        <x:v>P/ VALDMAR</x:v>
      </x:c>
      <x:c r="G212" s="4" t="n">
        <x:f>Despesas!F176</x:f>
        <x:v>46030</x:v>
      </x:c>
      <x:c r="H212" t="str">
        <x:f>Despesas!G176</x:f>
        <x:v>EUROCHEM SERRA DO SALITRE</x:v>
      </x:c>
      <x:c r="I212" t="str">
        <x:f>Despesas!H176</x:f>
        <x:v>3.19 - SERVIÇO BRINDES E ACESSORIOS E EVENTOS</x:v>
      </x:c>
      <x:c r="J212" s="5" t="n">
        <x:f>Despesas!I176</x:f>
        <x:v>450</x:v>
      </x:c>
      <x:c r="K212" s="5" t="n">
        <x:f>0</x:f>
        <x:v>0</x:v>
      </x:c>
      <x:c r="L212" s="5" t="n">
        <x:f>Despesas!I176</x:f>
        <x:v>450</x:v>
      </x:c>
      <x:c r="M212" s="5" t="n">
        <x:f>-J212</x:f>
        <x:v>-450</x:v>
      </x:c>
    </x:row>
    <x:row r="213">
      <x:c r="A213" t="str">
        <x:f>"Despesa/Custo"</x:f>
        <x:v>Despesa/Custo</x:v>
      </x:c>
      <x:c r="B213" t="str">
        <x:f>Despesas!A177</x:f>
        <x:v>PATRÍCIA CARVALHO</x:v>
      </x:c>
      <x:c r="C213" t="n">
        <x:f>Despesas!B177</x:f>
        <x:v>0</x:v>
      </x:c>
      <x:c r="D213" t="str">
        <x:f>Despesas!C177</x:f>
        <x:v>015170</x:v>
      </x:c>
      <x:c r="E213" t="str">
        <x:f>Despesas!D177</x:f>
        <x:v>CONFECÇÃO CRACHÁS P/ HERIVELTON E FRANCISCO JOSE</x:v>
      </x:c>
      <x:c r="F213" t="str">
        <x:f>Despesas!E177</x:f>
        <x:v>REEMBOLSO PATRICIA</x:v>
      </x:c>
      <x:c r="G213" s="4" t="n">
        <x:f>Despesas!F177</x:f>
        <x:v>46030</x:v>
      </x:c>
      <x:c r="H213" t="str">
        <x:f>Despesas!G177</x:f>
        <x:v>FOSFATO CMOC CONTRAT</x:v>
      </x:c>
      <x:c r="I213" t="str">
        <x:f>Despesas!H177</x:f>
        <x:v>3.16 - SERVIÇO PLOTAGEM / ADESIVO / PLACAS / CRACHAS</x:v>
      </x:c>
      <x:c r="J213" s="5" t="n">
        <x:f>Despesas!I177</x:f>
        <x:v>20</x:v>
      </x:c>
      <x:c r="K213" s="5" t="n">
        <x:f>0</x:f>
        <x:v>0</x:v>
      </x:c>
      <x:c r="L213" s="5" t="n">
        <x:f>Despesas!I177</x:f>
        <x:v>20</x:v>
      </x:c>
      <x:c r="M213" s="5" t="n">
        <x:f>-J213</x:f>
        <x:v>-20</x:v>
      </x:c>
    </x:row>
    <x:row r="214">
      <x:c r="A214" t="str">
        <x:f>"Despesa/Custo"</x:f>
        <x:v>Despesa/Custo</x:v>
      </x:c>
      <x:c r="B214" t="str">
        <x:f>Despesas!A178</x:f>
        <x:v>PATRÍCIA CARVALHO</x:v>
      </x:c>
      <x:c r="C214" t="n">
        <x:f>Despesas!B178</x:f>
        <x:v>0</x:v>
      </x:c>
      <x:c r="D214" t="str">
        <x:f>Despesas!C178</x:f>
        <x:v>015170</x:v>
      </x:c>
      <x:c r="E214" t="str">
        <x:f>Despesas!D178</x:f>
        <x:v>CONFECÇÃO CRACHÁS P/ HERIVELTON E FRANCISCO JOSE</x:v>
      </x:c>
      <x:c r="F214" t="str">
        <x:f>Despesas!E178</x:f>
        <x:v>REEMBOLSO PATRICIA</x:v>
      </x:c>
      <x:c r="G214" s="4" t="n">
        <x:f>Despesas!F178</x:f>
        <x:v>46030</x:v>
      </x:c>
      <x:c r="H214" t="str">
        <x:f>Despesas!G178</x:f>
        <x:v>NIOBIO CMOC CONTRATO</x:v>
      </x:c>
      <x:c r="I214" t="str">
        <x:f>Despesas!H178</x:f>
        <x:v>3.16 - SERVIÇO PLOTAGEM / ADESIVO / PLACAS / CRACHAS</x:v>
      </x:c>
      <x:c r="J214" s="5" t="n">
        <x:f>Despesas!I178</x:f>
        <x:v>20</x:v>
      </x:c>
      <x:c r="K214" s="5" t="n">
        <x:f>0</x:f>
        <x:v>0</x:v>
      </x:c>
      <x:c r="L214" s="5" t="n">
        <x:f>Despesas!I178</x:f>
        <x:v>20</x:v>
      </x:c>
      <x:c r="M214" s="5" t="n">
        <x:f>-J214</x:f>
        <x:v>-20</x:v>
      </x:c>
    </x:row>
    <x:row r="215">
      <x:c r="A215" t="str">
        <x:f>"Despesa/Custo"</x:f>
        <x:v>Despesa/Custo</x:v>
      </x:c>
      <x:c r="B215" t="str">
        <x:f>Despesas!A179</x:f>
        <x:v>CG ENGENHARIA E CONSULTORIA LTDA</x:v>
      </x:c>
      <x:c r="C215" t="str">
        <x:f>Despesas!B179</x:f>
        <x:v>367</x:v>
      </x:c>
      <x:c r="D215" t="str">
        <x:f>Despesas!C179</x:f>
        <x:v>015171</x:v>
      </x:c>
      <x:c r="E215" t="str">
        <x:f>Despesas!D179</x:f>
        <x:v>EXAMES - ASO</x:v>
      </x:c>
      <x:c r="F215" t="str">
        <x:f>Despesas!E179</x:f>
        <x:v>VENCIMENTO ORIGINAL DO BOLETO 09/02/25</x:v>
      </x:c>
      <x:c r="G215" s="4" t="n">
        <x:f>Despesas!F179</x:f>
        <x:v>46030</x:v>
      </x:c>
      <x:c r="H215" t="str">
        <x:f>Despesas!G179</x:f>
        <x:v>MOSAIC UBERABA CONTRAT0 3 ANOS</x:v>
      </x:c>
      <x:c r="I215" t="str">
        <x:f>Despesas!H179</x:f>
        <x:v>14.1 - EXAMES</x:v>
      </x:c>
      <x:c r="J215" s="5" t="n">
        <x:f>Despesas!I179</x:f>
        <x:v>255.163333</x:v>
      </x:c>
      <x:c r="K215" s="5" t="n">
        <x:f>0</x:f>
        <x:v>0</x:v>
      </x:c>
      <x:c r="L215" s="5" t="n">
        <x:f>Despesas!I179</x:f>
        <x:v>255.163333</x:v>
      </x:c>
      <x:c r="M215" s="5" t="n">
        <x:f>-J215</x:f>
        <x:v>-255.163333</x:v>
      </x:c>
    </x:row>
    <x:row r="216">
      <x:c r="A216" t="str">
        <x:f>"Despesa/Custo"</x:f>
        <x:v>Despesa/Custo</x:v>
      </x:c>
      <x:c r="B216" t="str">
        <x:f>Despesas!A180</x:f>
        <x:v>CG ENGENHARIA E CONSULTORIA LTDA</x:v>
      </x:c>
      <x:c r="C216" t="str">
        <x:f>Despesas!B180</x:f>
        <x:v>367</x:v>
      </x:c>
      <x:c r="D216" t="str">
        <x:f>Despesas!C180</x:f>
        <x:v>015171</x:v>
      </x:c>
      <x:c r="E216" t="str">
        <x:f>Despesas!D180</x:f>
        <x:v>EXAMES - ASO</x:v>
      </x:c>
      <x:c r="F216" t="str">
        <x:f>Despesas!E180</x:f>
        <x:v>VENCIMENTO ORIGINAL DO BOLETO 09/02/25</x:v>
      </x:c>
      <x:c r="G216" s="4" t="n">
        <x:f>Despesas!F180</x:f>
        <x:v>46030</x:v>
      </x:c>
      <x:c r="H216" t="str">
        <x:f>Despesas!G180</x:f>
        <x:v>EUROCHEM SERRA DO SALITRE</x:v>
      </x:c>
      <x:c r="I216" t="str">
        <x:f>Despesas!H180</x:f>
        <x:v>14.1 - EXAMES</x:v>
      </x:c>
      <x:c r="J216" s="5" t="n">
        <x:f>Despesas!I180</x:f>
        <x:v>255.163333</x:v>
      </x:c>
      <x:c r="K216" s="5" t="n">
        <x:f>0</x:f>
        <x:v>0</x:v>
      </x:c>
      <x:c r="L216" s="5" t="n">
        <x:f>Despesas!I180</x:f>
        <x:v>255.163333</x:v>
      </x:c>
      <x:c r="M216" s="5" t="n">
        <x:f>-J216</x:f>
        <x:v>-255.163333</x:v>
      </x:c>
    </x:row>
    <x:row r="217">
      <x:c r="A217" t="str">
        <x:f>"Despesa/Custo"</x:f>
        <x:v>Despesa/Custo</x:v>
      </x:c>
      <x:c r="B217" t="str">
        <x:f>Despesas!A181</x:f>
        <x:v>CG ENGENHARIA E CONSULTORIA LTDA</x:v>
      </x:c>
      <x:c r="C217" t="str">
        <x:f>Despesas!B181</x:f>
        <x:v>367</x:v>
      </x:c>
      <x:c r="D217" t="str">
        <x:f>Despesas!C181</x:f>
        <x:v>015171</x:v>
      </x:c>
      <x:c r="E217" t="str">
        <x:f>Despesas!D181</x:f>
        <x:v>EXAMES - ASO</x:v>
      </x:c>
      <x:c r="F217" t="str">
        <x:f>Despesas!E181</x:f>
        <x:v>VENCIMENTO ORIGINAL DO BOLETO 09/02/25</x:v>
      </x:c>
      <x:c r="G217" s="4" t="n">
        <x:f>Despesas!F181</x:f>
        <x:v>46030</x:v>
      </x:c>
      <x:c r="H217" t="str">
        <x:f>Despesas!G181</x:f>
        <x:v>CMOC CUBATÃO</x:v>
      </x:c>
      <x:c r="I217" t="str">
        <x:f>Despesas!H181</x:f>
        <x:v>14.1 - EXAMES</x:v>
      </x:c>
      <x:c r="J217" s="5" t="n">
        <x:f>Despesas!I181</x:f>
        <x:v>255.163333</x:v>
      </x:c>
      <x:c r="K217" s="5" t="n">
        <x:f>0</x:f>
        <x:v>0</x:v>
      </x:c>
      <x:c r="L217" s="5" t="n">
        <x:f>Despesas!I181</x:f>
        <x:v>255.163333</x:v>
      </x:c>
      <x:c r="M217" s="5" t="n">
        <x:f>-J217</x:f>
        <x:v>-255.163333</x:v>
      </x:c>
    </x:row>
    <x:row r="218">
      <x:c r="A218" t="str">
        <x:f>"Despesa/Custo"</x:f>
        <x:v>Despesa/Custo</x:v>
      </x:c>
      <x:c r="B218" t="str">
        <x:f>Despesas!A182</x:f>
        <x:v>VALDMAR AUGUSTO</x:v>
      </x:c>
      <x:c r="C218" t="n">
        <x:f>Despesas!B182</x:f>
        <x:v>0</x:v>
      </x:c>
      <x:c r="D218" t="str">
        <x:f>Despesas!C182</x:f>
        <x:v>015172</x:v>
      </x:c>
      <x:c r="E218" t="str">
        <x:f>Despesas!D182</x:f>
        <x:v>DESPESAS COM A OBRA</x:v>
      </x:c>
      <x:c r="F218" t="str">
        <x:f>Despesas!E182</x:f>
        <x:v>REEMBOLSO VALDMAR</x:v>
      </x:c>
      <x:c r="G218" s="4" t="n">
        <x:f>Despesas!F182</x:f>
        <x:v>46030</x:v>
      </x:c>
      <x:c r="H218" t="str">
        <x:f>Despesas!G182</x:f>
        <x:v>NIOBIO CMOC CONTRATO</x:v>
      </x:c>
      <x:c r="I218" t="str">
        <x:f>Despesas!H182</x:f>
        <x:v>8.9 - MATERIAIS DE CONSUMO EM OBRAS</x:v>
      </x:c>
      <x:c r="J218" s="5" t="n">
        <x:f>Despesas!I182</x:f>
        <x:v>120</x:v>
      </x:c>
      <x:c r="K218" s="5" t="n">
        <x:f>0</x:f>
        <x:v>0</x:v>
      </x:c>
      <x:c r="L218" s="5" t="n">
        <x:f>Despesas!I182</x:f>
        <x:v>120</x:v>
      </x:c>
      <x:c r="M218" s="5" t="n">
        <x:f>-J218</x:f>
        <x:v>-120</x:v>
      </x:c>
    </x:row>
    <x:row r="219">
      <x:c r="A219" t="str">
        <x:f>"Despesa/Custo"</x:f>
        <x:v>Despesa/Custo</x:v>
      </x:c>
      <x:c r="B219" t="str">
        <x:f>Despesas!A183</x:f>
        <x:v>VALDMAR AUGUSTO</x:v>
      </x:c>
      <x:c r="C219" t="n">
        <x:f>Despesas!B183</x:f>
        <x:v>0</x:v>
      </x:c>
      <x:c r="D219" t="str">
        <x:f>Despesas!C183</x:f>
        <x:v>015172</x:v>
      </x:c>
      <x:c r="E219" t="str">
        <x:f>Despesas!D183</x:f>
        <x:v>DESPESAS COM A OBRA</x:v>
      </x:c>
      <x:c r="F219" t="str">
        <x:f>Despesas!E183</x:f>
        <x:v>REEMBOLSO VALDMAR</x:v>
      </x:c>
      <x:c r="G219" s="4" t="n">
        <x:f>Despesas!F183</x:f>
        <x:v>46030</x:v>
      </x:c>
      <x:c r="H219" t="str">
        <x:f>Despesas!G183</x:f>
        <x:v>NIOBIO CMOC CONTRATO</x:v>
      </x:c>
      <x:c r="I219" t="str">
        <x:f>Despesas!H183</x:f>
        <x:v>4.1 - TINTAS E SOLVENTES</x:v>
      </x:c>
      <x:c r="J219" s="5" t="n">
        <x:f>Despesas!I183</x:f>
        <x:v>265</x:v>
      </x:c>
      <x:c r="K219" s="5" t="n">
        <x:f>0</x:f>
        <x:v>0</x:v>
      </x:c>
      <x:c r="L219" s="5" t="n">
        <x:f>Despesas!I183</x:f>
        <x:v>265</x:v>
      </x:c>
      <x:c r="M219" s="5" t="n">
        <x:f>-J219</x:f>
        <x:v>-265</x:v>
      </x:c>
    </x:row>
    <x:row r="220">
      <x:c r="A220" t="str">
        <x:f>"Despesa/Custo"</x:f>
        <x:v>Despesa/Custo</x:v>
      </x:c>
      <x:c r="B220" t="str">
        <x:f>Despesas!A184</x:f>
        <x:v>VALDMAR AUGUSTO</x:v>
      </x:c>
      <x:c r="C220" t="n">
        <x:f>Despesas!B184</x:f>
        <x:v>0</x:v>
      </x:c>
      <x:c r="D220" t="str">
        <x:f>Despesas!C184</x:f>
        <x:v>015172</x:v>
      </x:c>
      <x:c r="E220" t="str">
        <x:f>Despesas!D184</x:f>
        <x:v>DESPESAS COM A OBRA</x:v>
      </x:c>
      <x:c r="F220" t="str">
        <x:f>Despesas!E184</x:f>
        <x:v>REEMBOLSO VALDMAR</x:v>
      </x:c>
      <x:c r="G220" s="4" t="n">
        <x:f>Despesas!F184</x:f>
        <x:v>46030</x:v>
      </x:c>
      <x:c r="H220" t="str">
        <x:f>Despesas!G184</x:f>
        <x:v>NIOBIO CMOC CONTRATO</x:v>
      </x:c>
      <x:c r="I220" t="str">
        <x:f>Despesas!H184</x:f>
        <x:v>12.5 - REFEIÇÕES FUNCIONARIOS</x:v>
      </x:c>
      <x:c r="J220" s="5" t="n">
        <x:f>Despesas!I184</x:f>
        <x:v>322.23</x:v>
      </x:c>
      <x:c r="K220" s="5" t="n">
        <x:f>0</x:f>
        <x:v>0</x:v>
      </x:c>
      <x:c r="L220" s="5" t="n">
        <x:f>Despesas!I184</x:f>
        <x:v>322.23</x:v>
      </x:c>
      <x:c r="M220" s="5" t="n">
        <x:f>-J220</x:f>
        <x:v>-322.23</x:v>
      </x:c>
    </x:row>
    <x:row r="221">
      <x:c r="A221" t="str">
        <x:f>"Despesa/Custo"</x:f>
        <x:v>Despesa/Custo</x:v>
      </x:c>
      <x:c r="B221" t="str">
        <x:f>Despesas!A185</x:f>
        <x:v>VALDMAR AUGUSTO</x:v>
      </x:c>
      <x:c r="C221" t="n">
        <x:f>Despesas!B185</x:f>
        <x:v>0</x:v>
      </x:c>
      <x:c r="D221" t="str">
        <x:f>Despesas!C185</x:f>
        <x:v>015173</x:v>
      </x:c>
      <x:c r="E221" t="str">
        <x:f>Despesas!D185</x:f>
        <x:v>COMBUSTÍVEL VEÍCULOS</x:v>
      </x:c>
      <x:c r="F221" t="str">
        <x:f>Despesas!E185</x:f>
        <x:v>REEMBOLSO VALDMAR</x:v>
      </x:c>
      <x:c r="G221" s="4" t="n">
        <x:f>Despesas!F185</x:f>
        <x:v>46030</x:v>
      </x:c>
      <x:c r="H221" t="str">
        <x:f>Despesas!G185</x:f>
        <x:v>NIOBIO CMOC CONTRATO</x:v>
      </x:c>
      <x:c r="I221" t="str">
        <x:f>Despesas!H185</x:f>
        <x:v>6.4 - COMBUSTIVEL VEICULOS</x:v>
      </x:c>
      <x:c r="J221" s="5" t="n">
        <x:f>Despesas!I185</x:f>
        <x:v>120</x:v>
      </x:c>
      <x:c r="K221" s="5" t="n">
        <x:f>0</x:f>
        <x:v>0</x:v>
      </x:c>
      <x:c r="L221" s="5" t="n">
        <x:f>Despesas!I185</x:f>
        <x:v>120</x:v>
      </x:c>
      <x:c r="M221" s="5" t="n">
        <x:f>-J221</x:f>
        <x:v>-120</x:v>
      </x:c>
    </x:row>
    <x:row r="222">
      <x:c r="A222" t="str">
        <x:f>"Despesa/Custo"</x:f>
        <x:v>Despesa/Custo</x:v>
      </x:c>
      <x:c r="B222" t="str">
        <x:f>Despesas!A186</x:f>
        <x:v>PATRÍCIA CARVALHO</x:v>
      </x:c>
      <x:c r="C222" t="n">
        <x:f>Despesas!B186</x:f>
        <x:v>0</x:v>
      </x:c>
      <x:c r="D222" t="str">
        <x:f>Despesas!C186</x:f>
        <x:v>015174</x:v>
      </x:c>
      <x:c r="E222" t="str">
        <x:f>Despesas!D186</x:f>
        <x:v>MATERIAL DE LIMPEZA</x:v>
      </x:c>
      <x:c r="F222" t="n">
        <x:f>Despesas!E186</x:f>
        <x:v>0</x:v>
      </x:c>
      <x:c r="G222" s="4" t="n">
        <x:f>Despesas!F186</x:f>
        <x:v>46030</x:v>
      </x:c>
      <x:c r="H222" t="str">
        <x:f>Despesas!G186</x:f>
        <x:v>NIOBIO CMOC CONTRATO</x:v>
      </x:c>
      <x:c r="I222" t="str">
        <x:f>Despesas!H186</x:f>
        <x:v>8.11 - MATERIAIS DE LIMPEZA / HIGIENE</x:v>
      </x:c>
      <x:c r="J222" s="5" t="n">
        <x:f>Despesas!I186</x:f>
        <x:v>0</x:v>
      </x:c>
      <x:c r="K222" s="5" t="n">
        <x:f>0</x:f>
        <x:v>0</x:v>
      </x:c>
      <x:c r="L222" s="5" t="n">
        <x:f>Despesas!I186</x:f>
        <x:v>0</x:v>
      </x:c>
      <x:c r="M222" s="5" t="n">
        <x:f>-J222</x:f>
        <x:v>0</x:v>
      </x:c>
    </x:row>
    <x:row r="223">
      <x:c r="A223" t="str">
        <x:f>"Despesa/Custo"</x:f>
        <x:v>Despesa/Custo</x:v>
      </x:c>
      <x:c r="B223" t="str">
        <x:f>Despesas!A187</x:f>
        <x:v>CINQUENTAO COMERCIO DE COMBUSTIVEIS LTDA</x:v>
      </x:c>
      <x:c r="C223" t="str">
        <x:f>Despesas!B187</x:f>
        <x:v>35286</x:v>
      </x:c>
      <x:c r="D223" t="str">
        <x:f>Despesas!C187</x:f>
        <x:v>015175</x:v>
      </x:c>
      <x:c r="E223" t="str">
        <x:f>Despesas!D187</x:f>
        <x:v>CINQUENTAO COMERCIO DE COMBUST - PIX 04.224.679/0003-15</x:v>
      </x:c>
      <x:c r="F223" t="str">
        <x:f>Despesas!E187</x:f>
        <x:v>COMBUSTIVEL EQUIPAMENTOS</x:v>
      </x:c>
      <x:c r="G223" s="4" t="n">
        <x:f>Despesas!F187</x:f>
        <x:v>46030</x:v>
      </x:c>
      <x:c r="H223" t="str">
        <x:f>Despesas!G187</x:f>
        <x:v>MOSAIC UBERABA CONTRAT0 3 ANOS</x:v>
      </x:c>
      <x:c r="I223" t="str">
        <x:f>Despesas!H187</x:f>
        <x:v>8.13 - COMBUSTIVEL EQUIPAMENTOS</x:v>
      </x:c>
      <x:c r="J223" s="5" t="n">
        <x:f>Despesas!I187</x:f>
        <x:v>558.5</x:v>
      </x:c>
      <x:c r="K223" s="5" t="n">
        <x:f>0</x:f>
        <x:v>0</x:v>
      </x:c>
      <x:c r="L223" s="5" t="n">
        <x:f>Despesas!I187</x:f>
        <x:v>558.5</x:v>
      </x:c>
      <x:c r="M223" s="5" t="n">
        <x:f>-J223</x:f>
        <x:v>-558.5</x:v>
      </x:c>
    </x:row>
    <x:row r="224">
      <x:c r="A224" t="str">
        <x:f>"Despesa/Custo"</x:f>
        <x:v>Despesa/Custo</x:v>
      </x:c>
      <x:c r="B224" t="str">
        <x:f>Despesas!A188</x:f>
        <x:v>REFEIÇÃO OBRAS</x:v>
      </x:c>
      <x:c r="C224" t="n">
        <x:f>Despesas!B188</x:f>
        <x:v>0</x:v>
      </x:c>
      <x:c r="D224" t="str">
        <x:f>Despesas!C188</x:f>
        <x:v>015177</x:v>
      </x:c>
      <x:c r="E224" t="str">
        <x:f>Despesas!D188</x:f>
        <x:v>REFEIÇÕES COLABORADORES REF. 06/01 A 15/01</x:v>
      </x:c>
      <x:c r="F224" t="n">
        <x:f>Despesas!E188</x:f>
        <x:v>0</x:v>
      </x:c>
      <x:c r="G224" s="4" t="n">
        <x:f>Despesas!F188</x:f>
        <x:v>46030</x:v>
      </x:c>
      <x:c r="H224" t="str">
        <x:f>Despesas!G188</x:f>
        <x:v>MOSAIC UBERABA CONTRAT0 3 ANOS</x:v>
      </x:c>
      <x:c r="I224" t="str">
        <x:f>Despesas!H188</x:f>
        <x:v>12.5 - REFEIÇÕES FUNCIONARIOS</x:v>
      </x:c>
      <x:c r="J224" s="5" t="n">
        <x:f>Despesas!I188</x:f>
        <x:v>960</x:v>
      </x:c>
      <x:c r="K224" s="5" t="n">
        <x:f>0</x:f>
        <x:v>0</x:v>
      </x:c>
      <x:c r="L224" s="5" t="n">
        <x:f>Despesas!I188</x:f>
        <x:v>960</x:v>
      </x:c>
      <x:c r="M224" s="5" t="n">
        <x:f>-J224</x:f>
        <x:v>-960</x:v>
      </x:c>
    </x:row>
    <x:row r="225">
      <x:c r="A225" t="str">
        <x:f>"Despesa/Custo"</x:f>
        <x:v>Despesa/Custo</x:v>
      </x:c>
      <x:c r="B225" t="str">
        <x:f>Despesas!A189</x:f>
        <x:v>DESPESAS VEICULOS</x:v>
      </x:c>
      <x:c r="C225" t="n">
        <x:f>Despesas!B189</x:f>
        <x:v>0</x:v>
      </x:c>
      <x:c r="D225" t="str">
        <x:f>Despesas!C189</x:f>
        <x:v>015178</x:v>
      </x:c>
      <x:c r="E225" t="str">
        <x:f>Despesas!D189</x:f>
        <x:v>JOSIMARA DA SILVA SANTOS - PIX (62) 9 9274-5847</x:v>
      </x:c>
      <x:c r="F225" t="str">
        <x:f>Despesas!E189</x:f>
        <x:v>RESTANTE PLOTAGEM RANGER</x:v>
      </x:c>
      <x:c r="G225" s="4" t="n">
        <x:f>Despesas!F189</x:f>
        <x:v>46030</x:v>
      </x:c>
      <x:c r="H225" t="str">
        <x:f>Despesas!G189</x:f>
        <x:v>SERENA 10 TORRES 2025</x:v>
      </x:c>
      <x:c r="I225" t="str">
        <x:f>Despesas!H189</x:f>
        <x:v>3.16 - SERVIÇO PLOTAGEM / ADESIVO / PLACAS / CRACHAS</x:v>
      </x:c>
      <x:c r="J225" s="5" t="n">
        <x:f>Despesas!I189</x:f>
        <x:v>575</x:v>
      </x:c>
      <x:c r="K225" s="5" t="n">
        <x:f>0</x:f>
        <x:v>0</x:v>
      </x:c>
      <x:c r="L225" s="5" t="n">
        <x:f>Despesas!I189</x:f>
        <x:v>575</x:v>
      </x:c>
      <x:c r="M225" s="5" t="n">
        <x:f>-J225</x:f>
        <x:v>-575</x:v>
      </x:c>
    </x:row>
    <x:row r="226">
      <x:c r="A226" t="str">
        <x:f>"Despesa/Custo"</x:f>
        <x:v>Despesa/Custo</x:v>
      </x:c>
      <x:c r="B226" t="str">
        <x:f>Despesas!A190</x:f>
        <x:v>DESPESAS DE VIAGEM</x:v>
      </x:c>
      <x:c r="C226" t="n">
        <x:f>Despesas!B190</x:f>
        <x:v>0</x:v>
      </x:c>
      <x:c r="D226" t="str">
        <x:f>Despesas!C190</x:f>
        <x:v>015179</x:v>
      </x:c>
      <x:c r="E226" t="str">
        <x:f>Despesas!D190</x:f>
        <x:v>QUERO PASSAGEM VIAGENS E TU... - PIX 6ac14f92-ee34-4340-9b7c-02890d25a9b2</x:v>
      </x:c>
      <x:c r="F226" t="str">
        <x:f>Despesas!E190</x:f>
        <x:v>PASSAGEM ROBERTO GOIANESIA X GOIANIA</x:v>
      </x:c>
      <x:c r="G226" s="4" t="n">
        <x:f>Despesas!F190</x:f>
        <x:v>46030</x:v>
      </x:c>
      <x:c r="H226" t="str">
        <x:f>Despesas!G190</x:f>
        <x:v>SERENA 10 TORRES 2025</x:v>
      </x:c>
      <x:c r="I226" t="str">
        <x:f>Despesas!H190</x:f>
        <x:v>12.9 - PASSAGENS FUNCIONARIOS</x:v>
      </x:c>
      <x:c r="J226" s="5" t="n">
        <x:f>Despesas!I190</x:f>
        <x:v>109.97</x:v>
      </x:c>
      <x:c r="K226" s="5" t="n">
        <x:f>0</x:f>
        <x:v>0</x:v>
      </x:c>
      <x:c r="L226" s="5" t="n">
        <x:f>Despesas!I190</x:f>
        <x:v>109.97</x:v>
      </x:c>
      <x:c r="M226" s="5" t="n">
        <x:f>-J226</x:f>
        <x:v>-109.97</x:v>
      </x:c>
    </x:row>
    <x:row r="227">
      <x:c r="A227" t="str">
        <x:f>"Despesa/Custo"</x:f>
        <x:v>Despesa/Custo</x:v>
      </x:c>
      <x:c r="B227" t="str">
        <x:f>Despesas!A191</x:f>
        <x:v>RICARDO RODRIGUES - COMERCIAL</x:v>
      </x:c>
      <x:c r="C227" t="n">
        <x:f>Despesas!B191</x:f>
        <x:v>0</x:v>
      </x:c>
      <x:c r="D227" t="str">
        <x:f>Despesas!C191</x:f>
        <x:v>015180</x:v>
      </x:c>
      <x:c r="E227" t="str">
        <x:f>Despesas!D191</x:f>
        <x:v>COMBUSTIVEL VEICULOS</x:v>
      </x:c>
      <x:c r="F227" t="n">
        <x:f>Despesas!E191</x:f>
        <x:v>0</x:v>
      </x:c>
      <x:c r="G227" s="4" t="n">
        <x:f>Despesas!F191</x:f>
        <x:v>46030</x:v>
      </x:c>
      <x:c r="H227" t="str">
        <x:f>Despesas!G191</x:f>
        <x:v>AGREX IMPERMEALIZAÇAO DE TELHADO</x:v>
      </x:c>
      <x:c r="I227" t="str">
        <x:f>Despesas!H191</x:f>
        <x:v>6.4 - COMBUSTIVEL VEICULOS</x:v>
      </x:c>
      <x:c r="J227" s="5" t="n">
        <x:f>Despesas!I191</x:f>
        <x:v>428</x:v>
      </x:c>
      <x:c r="K227" s="5" t="n">
        <x:f>0</x:f>
        <x:v>0</x:v>
      </x:c>
      <x:c r="L227" s="5" t="n">
        <x:f>Despesas!I191</x:f>
        <x:v>428</x:v>
      </x:c>
      <x:c r="M227" s="5" t="n">
        <x:f>-J227</x:f>
        <x:v>-428</x:v>
      </x:c>
    </x:row>
    <x:row r="228">
      <x:c r="A228" t="str">
        <x:f>"Despesa/Custo"</x:f>
        <x:v>Despesa/Custo</x:v>
      </x:c>
      <x:c r="B228" t="str">
        <x:f>Despesas!A192</x:f>
        <x:v>TRANSPORTADORA AQUINO E DINIZ LTDA</x:v>
      </x:c>
      <x:c r="C228" t="str">
        <x:f>Despesas!B192</x:f>
        <x:v>3855</x:v>
      </x:c>
      <x:c r="D228" t="str">
        <x:f>Despesas!C192</x:f>
        <x:v>015187</x:v>
      </x:c>
      <x:c r="E228" t="str">
        <x:f>Despesas!D192</x:f>
        <x:v>TRANSP. FUNCIONÁRIOS 100 VALES 12/25 E 50 VALES 01/2026</x:v>
      </x:c>
      <x:c r="F228" t="str">
        <x:f>Despesas!E192</x:f>
        <x:v>VENCIMENTO ORIGINAL DO BOLETO 20/01/26</x:v>
      </x:c>
      <x:c r="G228" s="4" t="n">
        <x:f>Despesas!F192</x:f>
        <x:v>46030</x:v>
      </x:c>
      <x:c r="H228" t="str">
        <x:f>Despesas!G192</x:f>
        <x:v>ANGLO AMERICAN</x:v>
      </x:c>
      <x:c r="I228" t="str">
        <x:f>Despesas!H192</x:f>
        <x:v>12.7 - TRANSPORTE FUNCIONARIOS</x:v>
      </x:c>
      <x:c r="J228" s="5" t="n">
        <x:f>Despesas!I192</x:f>
        <x:v>1511.91</x:v>
      </x:c>
      <x:c r="K228" s="5" t="n">
        <x:f>0</x:f>
        <x:v>0</x:v>
      </x:c>
      <x:c r="L228" s="5" t="n">
        <x:f>Despesas!I192</x:f>
        <x:v>1511.91</x:v>
      </x:c>
      <x:c r="M228" s="5" t="n">
        <x:f>-J228</x:f>
        <x:v>-1511.91</x:v>
      </x:c>
    </x:row>
    <x:row r="229">
      <x:c r="A229" t="str">
        <x:f>"Despesa/Custo"</x:f>
        <x:v>Despesa/Custo</x:v>
      </x:c>
      <x:c r="B229" t="str">
        <x:f>Despesas!A193</x:f>
        <x:v>PRO MINAS MATERIAIS DE SEGURANÇA LTDA</x:v>
      </x:c>
      <x:c r="C229" t="str">
        <x:f>Despesas!B193</x:f>
        <x:v>87420</x:v>
      </x:c>
      <x:c r="D229" t="str">
        <x:f>Despesas!C193</x:f>
        <x:v>015189</x:v>
      </x:c>
      <x:c r="E229" t="str">
        <x:f>Despesas!D193</x:f>
        <x:v>MATERIAIS DE CONSUMO</x:v>
      </x:c>
      <x:c r="F229" t="n">
        <x:f>Despesas!E193</x:f>
        <x:v>0</x:v>
      </x:c>
      <x:c r="G229" s="4" t="n">
        <x:f>Despesas!F193</x:f>
        <x:v>46030</x:v>
      </x:c>
      <x:c r="H229" t="str">
        <x:f>Despesas!G193</x:f>
        <x:v>MOSAIC UBERABA CONTRAT0 3 ANOS</x:v>
      </x:c>
      <x:c r="I229" t="str">
        <x:f>Despesas!H193</x:f>
        <x:v>8.9 - MATERIAIS DE CONSUMO EM OBRAS</x:v>
      </x:c>
      <x:c r="J229" s="5" t="n">
        <x:f>Despesas!I193</x:f>
        <x:v>1273</x:v>
      </x:c>
      <x:c r="K229" s="5" t="n">
        <x:f>0</x:f>
        <x:v>0</x:v>
      </x:c>
      <x:c r="L229" s="5" t="n">
        <x:f>Despesas!I193</x:f>
        <x:v>1273</x:v>
      </x:c>
      <x:c r="M229" s="5" t="n">
        <x:f>-J229</x:f>
        <x:v>-1273</x:v>
      </x:c>
    </x:row>
    <x:row r="230">
      <x:c r="A230" t="str">
        <x:f>"Despesa/Custo"</x:f>
        <x:v>Despesa/Custo</x:v>
      </x:c>
      <x:c r="B230" t="str">
        <x:f>Despesas!A194</x:f>
        <x:v>G17 AUTO POSTO LTDA</x:v>
      </x:c>
      <x:c r="C230" t="str">
        <x:f>Despesas!B194</x:f>
        <x:v>34</x:v>
      </x:c>
      <x:c r="D230" t="str">
        <x:f>Despesas!C194</x:f>
        <x:v>015223</x:v>
      </x:c>
      <x:c r="E230" t="str">
        <x:f>Despesas!D194</x:f>
        <x:v>COMBUSTIVEL VEÍCULOS</x:v>
      </x:c>
      <x:c r="F230" t="n">
        <x:f>Despesas!E194</x:f>
        <x:v>0</x:v>
      </x:c>
      <x:c r="G230" s="4" t="n">
        <x:f>Despesas!F194</x:f>
        <x:v>46030</x:v>
      </x:c>
      <x:c r="H230" t="str">
        <x:f>Despesas!G194</x:f>
        <x:v>SERENA 10 TORRES 2025</x:v>
      </x:c>
      <x:c r="I230" t="str">
        <x:f>Despesas!H194</x:f>
        <x:v>6.4 - COMBUSTIVEL VEICULOS</x:v>
      </x:c>
      <x:c r="J230" s="5" t="n">
        <x:f>Despesas!I194</x:f>
        <x:v>272.3</x:v>
      </x:c>
      <x:c r="K230" s="5" t="n">
        <x:f>0</x:f>
        <x:v>0</x:v>
      </x:c>
      <x:c r="L230" s="5" t="n">
        <x:f>Despesas!I194</x:f>
        <x:v>272.3</x:v>
      </x:c>
      <x:c r="M230" s="5" t="n">
        <x:f>-J230</x:f>
        <x:v>-272.3</x:v>
      </x:c>
    </x:row>
    <x:row r="231">
      <x:c r="A231" t="str">
        <x:f>"Despesa/Custo"</x:f>
        <x:v>Despesa/Custo</x:v>
      </x:c>
      <x:c r="B231" t="str">
        <x:f>Despesas!A195</x:f>
        <x:v>JC RESTAURANTE INDUSTRIAL NIQUELANDIA LTDA</x:v>
      </x:c>
      <x:c r="C231" t="str">
        <x:f>Despesas!B195</x:f>
        <x:v>3950</x:v>
      </x:c>
      <x:c r="D231" t="str">
        <x:f>Despesas!C195</x:f>
        <x:v>015868</x:v>
      </x:c>
      <x:c r="E231" t="str">
        <x:f>Despesas!D195</x:f>
        <x:v>REFEIÇÕES FUNCIONÁRIOS</x:v>
      </x:c>
      <x:c r="F231" t="str">
        <x:f>Despesas!E195</x:f>
        <x:v>VENCIMENTO ORIGINAL DO BOLETO 23/01/26</x:v>
      </x:c>
      <x:c r="G231" s="4" t="n">
        <x:f>Despesas!F195</x:f>
        <x:v>46030</x:v>
      </x:c>
      <x:c r="H231" t="str">
        <x:f>Despesas!G195</x:f>
        <x:v>FOSFATO CMOC CONTRAT</x:v>
      </x:c>
      <x:c r="I231" t="str">
        <x:f>Despesas!H195</x:f>
        <x:v>12.5 - REFEIÇÕES FUNCIONARIOS</x:v>
      </x:c>
      <x:c r="J231" s="5" t="n">
        <x:f>Despesas!I195</x:f>
        <x:v>4500.65</x:v>
      </x:c>
      <x:c r="K231" s="5" t="n">
        <x:f>0</x:f>
        <x:v>0</x:v>
      </x:c>
      <x:c r="L231" s="5" t="n">
        <x:f>Despesas!I195</x:f>
        <x:v>4500.65</x:v>
      </x:c>
      <x:c r="M231" s="5" t="n">
        <x:f>-J231</x:f>
        <x:v>-4500.65</x:v>
      </x:c>
    </x:row>
    <x:row r="232">
      <x:c r="A232" t="str">
        <x:f>"Despesa/Custo"</x:f>
        <x:v>Despesa/Custo</x:v>
      </x:c>
      <x:c r="B232" t="str">
        <x:f>Despesas!A196</x:f>
        <x:v>JC RESTAURANTE INDUSTRIAL NIQUELANDIA LTDA</x:v>
      </x:c>
      <x:c r="C232" t="str">
        <x:f>Despesas!B196</x:f>
        <x:v>3953</x:v>
      </x:c>
      <x:c r="D232" t="str">
        <x:f>Despesas!C196</x:f>
        <x:v>015963</x:v>
      </x:c>
      <x:c r="E232" t="str">
        <x:f>Despesas!D196</x:f>
        <x:v>REFEIÇÕES FUNCIONÁRIOS</x:v>
      </x:c>
      <x:c r="F232" t="str">
        <x:f>Despesas!E196</x:f>
        <x:v>VENCIMENTO ORIGINAL DO BOLETO 10/02/26</x:v>
      </x:c>
      <x:c r="G232" s="4" t="n">
        <x:f>Despesas!F196</x:f>
        <x:v>46030</x:v>
      </x:c>
      <x:c r="H232" t="str">
        <x:f>Despesas!G196</x:f>
        <x:v>NIOBIO CMOC CONTRATO</x:v>
      </x:c>
      <x:c r="I232" t="str">
        <x:f>Despesas!H196</x:f>
        <x:v>12.5 - REFEIÇÕES FUNCIONARIOS</x:v>
      </x:c>
      <x:c r="J232" s="5" t="n">
        <x:f>Despesas!I196</x:f>
        <x:v>4438.8</x:v>
      </x:c>
      <x:c r="K232" s="5" t="n">
        <x:f>0</x:f>
        <x:v>0</x:v>
      </x:c>
      <x:c r="L232" s="5" t="n">
        <x:f>Despesas!I196</x:f>
        <x:v>4438.8</x:v>
      </x:c>
      <x:c r="M232" s="5" t="n">
        <x:f>-J232</x:f>
        <x:v>-4438.8</x:v>
      </x:c>
    </x:row>
    <x:row r="233">
      <x:c r="A233" t="str">
        <x:f>"Despesa/Custo"</x:f>
        <x:v>Despesa/Custo</x:v>
      </x:c>
      <x:c r="B233" t="str">
        <x:f>Despesas!A197</x:f>
        <x:v>REFEIÇÃO OBRAS</x:v>
      </x:c>
      <x:c r="C233" t="n">
        <x:f>Despesas!B197</x:f>
        <x:v>0</x:v>
      </x:c>
      <x:c r="D233" t="str">
        <x:f>Despesas!C197</x:f>
        <x:v>015183</x:v>
      </x:c>
      <x:c r="E233" t="str">
        <x:f>Despesas!D197</x:f>
        <x:v>REFEIÇÕES COLABORADORES REF. 08/01 A 15/01</x:v>
      </x:c>
      <x:c r="F233" t="str">
        <x:f>Despesas!E197</x:f>
        <x:v>FUNCIONARIO SEVERINO CAMARA</x:v>
      </x:c>
      <x:c r="G233" s="4" t="n">
        <x:f>Despesas!F197</x:f>
        <x:v>46031</x:v>
      </x:c>
      <x:c r="H233" t="str">
        <x:f>Despesas!G197</x:f>
        <x:v>EUROCHEM SERRA DO SALITRE</x:v>
      </x:c>
      <x:c r="I233" t="str">
        <x:f>Despesas!H197</x:f>
        <x:v>12.5 - REFEIÇÕES FUNCIONARIOS</x:v>
      </x:c>
      <x:c r="J233" s="5" t="n">
        <x:f>Despesas!I197</x:f>
        <x:v>420</x:v>
      </x:c>
      <x:c r="K233" s="5" t="n">
        <x:f>0</x:f>
        <x:v>0</x:v>
      </x:c>
      <x:c r="L233" s="5" t="n">
        <x:f>Despesas!I197</x:f>
        <x:v>420</x:v>
      </x:c>
      <x:c r="M233" s="5" t="n">
        <x:f>-J233</x:f>
        <x:v>-420</x:v>
      </x:c>
    </x:row>
    <x:row r="234">
      <x:c r="A234" t="str">
        <x:f>"Despesa/Custo"</x:f>
        <x:v>Despesa/Custo</x:v>
      </x:c>
      <x:c r="B234" t="str">
        <x:f>Despesas!A198</x:f>
        <x:v>MERCADO</x:v>
      </x:c>
      <x:c r="C234" t="n">
        <x:f>Despesas!B198</x:f>
        <x:v>0</x:v>
      </x:c>
      <x:c r="D234" t="str">
        <x:f>Despesas!C198</x:f>
        <x:v>015184</x:v>
      </x:c>
      <x:c r="E234" t="str">
        <x:f>Despesas!D198</x:f>
        <x:v>ALIMENTAÇÃO ADM</x:v>
      </x:c>
      <x:c r="F234" t="str">
        <x:f>Despesas!E198</x:f>
        <x:v>PAGAMENTO FEITO EM DÉBITO</x:v>
      </x:c>
      <x:c r="G234" s="4" t="n">
        <x:f>Despesas!F198</x:f>
        <x:v>46031</x:v>
      </x:c>
      <x:c r="H234" t="str">
        <x:f>Despesas!G198</x:f>
        <x:v>ADMINISTRATIVO</x:v>
      </x:c>
      <x:c r="I234" t="str">
        <x:f>Despesas!H198</x:f>
        <x:v>11.5 - ALIMENTAÇÃO ADM</x:v>
      </x:c>
      <x:c r="J234" s="5" t="n">
        <x:f>Despesas!I198</x:f>
        <x:v>259.14</x:v>
      </x:c>
      <x:c r="K234" s="5" t="n">
        <x:f>0</x:f>
        <x:v>0</x:v>
      </x:c>
      <x:c r="L234" s="5" t="n">
        <x:f>Despesas!I198</x:f>
        <x:v>259.14</x:v>
      </x:c>
      <x:c r="M234" s="5" t="n">
        <x:f>-J234</x:f>
        <x:v>-259.14</x:v>
      </x:c>
    </x:row>
    <x:row r="235">
      <x:c r="A235" t="str">
        <x:f>"Despesa/Custo"</x:f>
        <x:v>Despesa/Custo</x:v>
      </x:c>
      <x:c r="B235" t="str">
        <x:f>Despesas!A199</x:f>
        <x:v>ALCON ENGENHARIA DE SISTEMA LTDA</x:v>
      </x:c>
      <x:c r="C235" t="str">
        <x:f>Despesas!B199</x:f>
        <x:v>15149</x:v>
      </x:c>
      <x:c r="D235" t="str">
        <x:f>Despesas!C199</x:f>
        <x:v>015188</x:v>
      </x:c>
      <x:c r="E235" t="str">
        <x:f>Despesas!D199</x:f>
        <x:v>LOCAÇÃO RÁDIO PERÍODO 15/12 A 14/01</x:v>
      </x:c>
      <x:c r="F235" t="str">
        <x:f>Despesas!E199</x:f>
        <x:v>VENCIMENTO ORIGINAL DO BOLETO 23/02/26</x:v>
      </x:c>
      <x:c r="G235" s="4" t="n">
        <x:f>Despesas!F199</x:f>
        <x:v>46031</x:v>
      </x:c>
      <x:c r="H235" t="str">
        <x:f>Despesas!G199</x:f>
        <x:v>VLI PINTURA</x:v>
      </x:c>
      <x:c r="I235" t="str">
        <x:f>Despesas!H199</x:f>
        <x:v>7.10 - LOCAÇAO RADIOS DE COMUNICAÇÃO</x:v>
      </x:c>
      <x:c r="J235" s="5" t="n">
        <x:f>Despesas!I199</x:f>
        <x:v>903.54</x:v>
      </x:c>
      <x:c r="K235" s="5" t="n">
        <x:f>0</x:f>
        <x:v>0</x:v>
      </x:c>
      <x:c r="L235" s="5" t="n">
        <x:f>Despesas!I199</x:f>
        <x:v>903.54</x:v>
      </x:c>
      <x:c r="M235" s="5" t="n">
        <x:f>-J235</x:f>
        <x:v>-903.54</x:v>
      </x:c>
    </x:row>
    <x:row r="236">
      <x:c r="A236" t="str">
        <x:f>"Despesa/Custo"</x:f>
        <x:v>Despesa/Custo</x:v>
      </x:c>
      <x:c r="B236" t="str">
        <x:f>Despesas!A200</x:f>
        <x:v>RESCISOES / FGTS</x:v>
      </x:c>
      <x:c r="C236" t="n">
        <x:f>Despesas!B200</x:f>
        <x:v>0</x:v>
      </x:c>
      <x:c r="D236" t="str">
        <x:f>Despesas!C200</x:f>
        <x:v>015192</x:v>
      </x:c>
      <x:c r="E236" t="str">
        <x:f>Despesas!D200</x:f>
        <x:v>DARCI GRAÇA FILHO</x:v>
      </x:c>
      <x:c r="F236" t="str">
        <x:f>Despesas!E200</x:f>
        <x:v>MULTA RESCISÓRIA</x:v>
      </x:c>
      <x:c r="G236" s="4" t="n">
        <x:f>Despesas!F200</x:f>
        <x:v>46031</x:v>
      </x:c>
      <x:c r="H236" t="str">
        <x:f>Despesas!G200</x:f>
        <x:v>EUROCHEM SERRA DO SALITRE</x:v>
      </x:c>
      <x:c r="I236" t="str">
        <x:f>Despesas!H200</x:f>
        <x:v>12.4 - MULTA RESCISORIAS FGTS</x:v>
      </x:c>
      <x:c r="J236" s="5" t="n">
        <x:f>Despesas!I200</x:f>
        <x:v>1142.96</x:v>
      </x:c>
      <x:c r="K236" s="5" t="n">
        <x:f>0</x:f>
        <x:v>0</x:v>
      </x:c>
      <x:c r="L236" s="5" t="n">
        <x:f>Despesas!I200</x:f>
        <x:v>1142.96</x:v>
      </x:c>
      <x:c r="M236" s="5" t="n">
        <x:f>-J236</x:f>
        <x:v>-1142.96</x:v>
      </x:c>
    </x:row>
    <x:row r="237">
      <x:c r="A237" t="str">
        <x:f>"Despesa/Custo"</x:f>
        <x:v>Despesa/Custo</x:v>
      </x:c>
      <x:c r="B237" t="str">
        <x:f>Despesas!A201</x:f>
        <x:v>UBER JULIANO</x:v>
      </x:c>
      <x:c r="C237" t="n">
        <x:f>Despesas!B201</x:f>
        <x:v>0</x:v>
      </x:c>
      <x:c r="D237" t="str">
        <x:f>Despesas!C201</x:f>
        <x:v>015193</x:v>
      </x:c>
      <x:c r="E237" t="str">
        <x:f>Despesas!D201</x:f>
        <x:v>NUBYA REGINA RODRIGUES - PIX (64) 9 8134-4382</x:v>
      </x:c>
      <x:c r="F237" t="str">
        <x:f>Despesas!E201</x:f>
        <x:v>TRANSPORTE COLABORADORES REF. 15/12 A 19/12</x:v>
      </x:c>
      <x:c r="G237" s="4" t="n">
        <x:f>Despesas!F201</x:f>
        <x:v>46031</x:v>
      </x:c>
      <x:c r="H237" t="str">
        <x:f>Despesas!G201</x:f>
        <x:v>NIOBIO CMOC CONTRATO</x:v>
      </x:c>
      <x:c r="I237" t="str">
        <x:f>Despesas!H201</x:f>
        <x:v>12.7 - TRANSPORTE FUNCIONARIOS</x:v>
      </x:c>
      <x:c r="J237" s="5" t="n">
        <x:f>Despesas!I201</x:f>
        <x:v>395</x:v>
      </x:c>
      <x:c r="K237" s="5" t="n">
        <x:f>0</x:f>
        <x:v>0</x:v>
      </x:c>
      <x:c r="L237" s="5" t="n">
        <x:f>Despesas!I201</x:f>
        <x:v>395</x:v>
      </x:c>
      <x:c r="M237" s="5" t="n">
        <x:f>-J237</x:f>
        <x:v>-395</x:v>
      </x:c>
    </x:row>
    <x:row r="238">
      <x:c r="A238" t="str">
        <x:f>"Despesa/Custo"</x:f>
        <x:v>Despesa/Custo</x:v>
      </x:c>
      <x:c r="B238" t="str">
        <x:f>Despesas!A202</x:f>
        <x:v>LAVA JATO OBRAS</x:v>
      </x:c>
      <x:c r="C238" t="n">
        <x:f>Despesas!B202</x:f>
        <x:v>0</x:v>
      </x:c>
      <x:c r="D238" t="str">
        <x:f>Despesas!C202</x:f>
        <x:v>015197</x:v>
      </x:c>
      <x:c r="E238" t="str">
        <x:f>Despesas!D202</x:f>
        <x:v>ENILSON MARTINS ALCIDES - PIX 62.841.673/0001-21</x:v>
      </x:c>
      <x:c r="F238" t="str">
        <x:f>Despesas!E202</x:f>
        <x:v>LAVAGEM OROCH E MICROONIBUS</x:v>
      </x:c>
      <x:c r="G238" s="4" t="n">
        <x:f>Despesas!F202</x:f>
        <x:v>46031</x:v>
      </x:c>
      <x:c r="H238" t="str">
        <x:f>Despesas!G202</x:f>
        <x:v>FOSFATO CMOC CONTRAT</x:v>
      </x:c>
      <x:c r="I238" t="str">
        <x:f>Despesas!H202</x:f>
        <x:v>6.10 - SERVIÇO LAVA JATO</x:v>
      </x:c>
      <x:c r="J238" s="5" t="n">
        <x:f>Despesas!I202</x:f>
        <x:v>235</x:v>
      </x:c>
      <x:c r="K238" s="5" t="n">
        <x:f>0</x:f>
        <x:v>0</x:v>
      </x:c>
      <x:c r="L238" s="5" t="n">
        <x:f>Despesas!I202</x:f>
        <x:v>235</x:v>
      </x:c>
      <x:c r="M238" s="5" t="n">
        <x:f>-J238</x:f>
        <x:v>-235</x:v>
      </x:c>
    </x:row>
    <x:row r="239">
      <x:c r="A239" t="str">
        <x:f>"Despesa/Custo"</x:f>
        <x:v>Despesa/Custo</x:v>
      </x:c>
      <x:c r="B239" t="str">
        <x:f>Despesas!A203</x:f>
        <x:v>LAVA JATO OBRAS</x:v>
      </x:c>
      <x:c r="C239" t="n">
        <x:f>Despesas!B203</x:f>
        <x:v>0</x:v>
      </x:c>
      <x:c r="D239" t="str">
        <x:f>Despesas!C203</x:f>
        <x:v>015197</x:v>
      </x:c>
      <x:c r="E239" t="str">
        <x:f>Despesas!D203</x:f>
        <x:v>ENILSON MARTINS ALCIDES - PIX 62.841.673/0001-21</x:v>
      </x:c>
      <x:c r="F239" t="str">
        <x:f>Despesas!E203</x:f>
        <x:v>LAVAGEM OROCH E MICROONIBUS</x:v>
      </x:c>
      <x:c r="G239" s="4" t="n">
        <x:f>Despesas!F203</x:f>
        <x:v>46031</x:v>
      </x:c>
      <x:c r="H239" t="str">
        <x:f>Despesas!G203</x:f>
        <x:v>NIOBIO CMOC CONTRATO</x:v>
      </x:c>
      <x:c r="I239" t="str">
        <x:f>Despesas!H203</x:f>
        <x:v>6.10 - SERVIÇO LAVA JATO</x:v>
      </x:c>
      <x:c r="J239" s="5" t="n">
        <x:f>Despesas!I203</x:f>
        <x:v>235</x:v>
      </x:c>
      <x:c r="K239" s="5" t="n">
        <x:f>0</x:f>
        <x:v>0</x:v>
      </x:c>
      <x:c r="L239" s="5" t="n">
        <x:f>Despesas!I203</x:f>
        <x:v>235</x:v>
      </x:c>
      <x:c r="M239" s="5" t="n">
        <x:f>-J239</x:f>
        <x:v>-235</x:v>
      </x:c>
    </x:row>
    <x:row r="240">
      <x:c r="A240" t="str">
        <x:f>"Despesa/Custo"</x:f>
        <x:v>Despesa/Custo</x:v>
      </x:c>
      <x:c r="B240" t="str">
        <x:f>Despesas!A204</x:f>
        <x:v>DESPESAS VEICULOS</x:v>
      </x:c>
      <x:c r="C240" t="n">
        <x:f>Despesas!B204</x:f>
        <x:v>0</x:v>
      </x:c>
      <x:c r="D240" t="str">
        <x:f>Despesas!C204</x:f>
        <x:v>015198</x:v>
      </x:c>
      <x:c r="E240" t="str">
        <x:f>Despesas!D204</x:f>
        <x:v>ALINHAMENTO E BALANCEAMENTO OROCH</x:v>
      </x:c>
      <x:c r="F240" t="str">
        <x:f>Despesas!E204</x:f>
        <x:v>REEMBOLSO VALDMAR</x:v>
      </x:c>
      <x:c r="G240" s="4" t="n">
        <x:f>Despesas!F204</x:f>
        <x:v>46031</x:v>
      </x:c>
      <x:c r="H240" t="str">
        <x:f>Despesas!G204</x:f>
        <x:v>FOSFATO CMOC CONTRAT</x:v>
      </x:c>
      <x:c r="I240" t="str">
        <x:f>Despesas!H204</x:f>
        <x:v>6.3 - MANUTENÇÃO/PEÇAS  VEICULOS</x:v>
      </x:c>
      <x:c r="J240" s="5" t="n">
        <x:f>Despesas!I204</x:f>
        <x:v>170</x:v>
      </x:c>
      <x:c r="K240" s="5" t="n">
        <x:f>0</x:f>
        <x:v>0</x:v>
      </x:c>
      <x:c r="L240" s="5" t="n">
        <x:f>Despesas!I204</x:f>
        <x:v>170</x:v>
      </x:c>
      <x:c r="M240" s="5" t="n">
        <x:f>-J240</x:f>
        <x:v>-170</x:v>
      </x:c>
    </x:row>
    <x:row r="241">
      <x:c r="A241" t="str">
        <x:f>"Despesa/Custo"</x:f>
        <x:v>Despesa/Custo</x:v>
      </x:c>
      <x:c r="B241" t="str">
        <x:f>Despesas!A205</x:f>
        <x:v>VALDMAR AUGUSTO</x:v>
      </x:c>
      <x:c r="C241" t="n">
        <x:f>Despesas!B205</x:f>
        <x:v>0</x:v>
      </x:c>
      <x:c r="D241" t="str">
        <x:f>Despesas!C205</x:f>
        <x:v>015199</x:v>
      </x:c>
      <x:c r="E241" t="str">
        <x:f>Despesas!D205</x:f>
        <x:v>VIAGEM VALDMAR FAZER VISITA NA OBRA EUROCHEM</x:v>
      </x:c>
      <x:c r="F241" t="n">
        <x:f>Despesas!E205</x:f>
        <x:v>0</x:v>
      </x:c>
      <x:c r="G241" s="4" t="n">
        <x:f>Despesas!F205</x:f>
        <x:v>46031</x:v>
      </x:c>
      <x:c r="H241" t="str">
        <x:f>Despesas!G205</x:f>
        <x:v>EUROCHEM SERRA DO SALITRE</x:v>
      </x:c>
      <x:c r="I241" t="str">
        <x:f>Despesas!H205</x:f>
        <x:v>6.4 - COMBUSTIVEL VEICULOS</x:v>
      </x:c>
      <x:c r="J241" s="5" t="n">
        <x:f>Despesas!I205</x:f>
        <x:v>200</x:v>
      </x:c>
      <x:c r="K241" s="5" t="n">
        <x:f>0</x:f>
        <x:v>0</x:v>
      </x:c>
      <x:c r="L241" s="5" t="n">
        <x:f>Despesas!I205</x:f>
        <x:v>200</x:v>
      </x:c>
      <x:c r="M241" s="5" t="n">
        <x:f>-J241</x:f>
        <x:v>-200</x:v>
      </x:c>
    </x:row>
    <x:row r="242">
      <x:c r="A242" t="str">
        <x:f>"Despesa/Custo"</x:f>
        <x:v>Despesa/Custo</x:v>
      </x:c>
      <x:c r="B242" t="str">
        <x:f>Despesas!A206</x:f>
        <x:v>DESPESAS DE OBRAS</x:v>
      </x:c>
      <x:c r="C242" t="n">
        <x:f>Despesas!B206</x:f>
        <x:v>0</x:v>
      </x:c>
      <x:c r="D242" t="str">
        <x:f>Despesas!C206</x:f>
        <x:v>015200</x:v>
      </x:c>
      <x:c r="E242" t="str">
        <x:f>Despesas!D206</x:f>
        <x:v>MAIARA DE ANDRADE SILVA - PIX 349.982.742-93</x:v>
      </x:c>
      <x:c r="F242" t="str">
        <x:f>Despesas!E206</x:f>
        <x:v>REF. MANUTENÇÃO PIA DA COZINHA DO ALOJAMENTO</x:v>
      </x:c>
      <x:c r="G242" s="4" t="n">
        <x:f>Despesas!F206</x:f>
        <x:v>46031</x:v>
      </x:c>
      <x:c r="H242" t="str">
        <x:f>Despesas!G206</x:f>
        <x:v>EUROCHEM SERRA DO SALITRE</x:v>
      </x:c>
      <x:c r="I242" t="str">
        <x:f>Despesas!H206</x:f>
        <x:v>8.14 - MANUTENÇÃO/PEÇAS MAQUINAS E EQUIPAMENTOS</x:v>
      </x:c>
      <x:c r="J242" s="5" t="n">
        <x:f>Despesas!I206</x:f>
        <x:v>250</x:v>
      </x:c>
      <x:c r="K242" s="5" t="n">
        <x:f>0</x:f>
        <x:v>0</x:v>
      </x:c>
      <x:c r="L242" s="5" t="n">
        <x:f>Despesas!I206</x:f>
        <x:v>250</x:v>
      </x:c>
      <x:c r="M242" s="5" t="n">
        <x:f>-J242</x:f>
        <x:v>-250</x:v>
      </x:c>
    </x:row>
    <x:row r="243">
      <x:c r="A243" t="str">
        <x:f>"Despesa/Custo"</x:f>
        <x:v>Despesa/Custo</x:v>
      </x:c>
      <x:c r="B243" t="str">
        <x:f>Despesas!A207</x:f>
        <x:v>RESCISOES / FGTS</x:v>
      </x:c>
      <x:c r="C243" t="n">
        <x:f>Despesas!B207</x:f>
        <x:v>0</x:v>
      </x:c>
      <x:c r="D243" t="str">
        <x:f>Despesas!C207</x:f>
        <x:v>015202</x:v>
      </x:c>
      <x:c r="E243" t="str">
        <x:f>Despesas!D207</x:f>
        <x:v>GUILHERME CABRAL SILVA</x:v>
      </x:c>
      <x:c r="F243" t="str">
        <x:f>Despesas!E207</x:f>
        <x:v>MULTA RESCISÓRIA</x:v>
      </x:c>
      <x:c r="G243" s="4" t="n">
        <x:f>Despesas!F207</x:f>
        <x:v>46031</x:v>
      </x:c>
      <x:c r="H243" t="str">
        <x:f>Despesas!G207</x:f>
        <x:v>SERENA 10 TORRES 2025</x:v>
      </x:c>
      <x:c r="I243" t="str">
        <x:f>Despesas!H207</x:f>
        <x:v>12.4 - MULTA RESCISORIAS FGTS</x:v>
      </x:c>
      <x:c r="J243" s="5" t="n">
        <x:f>Despesas!I207</x:f>
        <x:v>621.41</x:v>
      </x:c>
      <x:c r="K243" s="5" t="n">
        <x:f>0</x:f>
        <x:v>0</x:v>
      </x:c>
      <x:c r="L243" s="5" t="n">
        <x:f>Despesas!I207</x:f>
        <x:v>621.41</x:v>
      </x:c>
      <x:c r="M243" s="5" t="n">
        <x:f>-J243</x:f>
        <x:v>-621.41</x:v>
      </x:c>
    </x:row>
    <x:row r="244">
      <x:c r="A244" t="str">
        <x:f>"Despesa/Custo"</x:f>
        <x:v>Despesa/Custo</x:v>
      </x:c>
      <x:c r="B244" t="str">
        <x:f>Despesas!A208</x:f>
        <x:v>CLARUS COM DE EPI'S E FERRAMENTAS LTDA</x:v>
      </x:c>
      <x:c r="C244" t="str">
        <x:f>Despesas!B208</x:f>
        <x:v>258305</x:v>
      </x:c>
      <x:c r="D244" t="str">
        <x:f>Despesas!C208</x:f>
        <x:v>015203</x:v>
      </x:c>
      <x:c r="E244" t="str">
        <x:f>Despesas!D208</x:f>
        <x:v>EPIS</x:v>
      </x:c>
      <x:c r="F244" t="n">
        <x:f>Despesas!E208</x:f>
        <x:v>0</x:v>
      </x:c>
      <x:c r="G244" s="4" t="n">
        <x:f>Despesas!F208</x:f>
        <x:v>46031</x:v>
      </x:c>
      <x:c r="H244" t="str">
        <x:f>Despesas!G208</x:f>
        <x:v>VLI PINTURA</x:v>
      </x:c>
      <x:c r="I244" t="str">
        <x:f>Despesas!H208</x:f>
        <x:v>13.1 - EPIS</x:v>
      </x:c>
      <x:c r="J244" s="5" t="n">
        <x:f>Despesas!I208</x:f>
        <x:v>406</x:v>
      </x:c>
      <x:c r="K244" s="5" t="n">
        <x:f>0</x:f>
        <x:v>0</x:v>
      </x:c>
      <x:c r="L244" s="5" t="n">
        <x:f>Despesas!I208</x:f>
        <x:v>406</x:v>
      </x:c>
      <x:c r="M244" s="5" t="n">
        <x:f>-J244</x:f>
        <x:v>-406</x:v>
      </x:c>
    </x:row>
    <x:row r="245">
      <x:c r="A245" t="str">
        <x:f>"Despesa/Custo"</x:f>
        <x:v>Despesa/Custo</x:v>
      </x:c>
      <x:c r="B245" t="str">
        <x:f>Despesas!A209</x:f>
        <x:v>FOLHA DE PAGAMENTO</x:v>
      </x:c>
      <x:c r="C245" t="n">
        <x:f>Despesas!B209</x:f>
        <x:v>0</x:v>
      </x:c>
      <x:c r="D245" t="str">
        <x:f>Despesas!C209</x:f>
        <x:v>015204</x:v>
      </x:c>
      <x:c r="E245" t="str">
        <x:f>Despesas!D209</x:f>
        <x:v>NATALIA GRASIELY OLIVEIRA DOS SANTOS - PIX 046.431.875-05</x:v>
      </x:c>
      <x:c r="F245" t="str">
        <x:f>Despesas!E209</x:f>
        <x:v>REF. PENSÃO ALIMENTÍCIA FILHO DO EVERTON</x:v>
      </x:c>
      <x:c r="G245" s="4" t="n">
        <x:f>Despesas!F209</x:f>
        <x:v>46031</x:v>
      </x:c>
      <x:c r="H245" t="str">
        <x:f>Despesas!G209</x:f>
        <x:v>CONDUTOS UG 1 - ELETROBRAS</x:v>
      </x:c>
      <x:c r="I245" t="str">
        <x:f>Despesas!H209</x:f>
        <x:v>12.1 - SALARIO</x:v>
      </x:c>
      <x:c r="J245" s="5" t="n">
        <x:f>Despesas!I209</x:f>
        <x:v>34.2</x:v>
      </x:c>
      <x:c r="K245" s="5" t="n">
        <x:f>0</x:f>
        <x:v>0</x:v>
      </x:c>
      <x:c r="L245" s="5" t="n">
        <x:f>Despesas!I209</x:f>
        <x:v>34.2</x:v>
      </x:c>
      <x:c r="M245" s="5" t="n">
        <x:f>-J245</x:f>
        <x:v>-34.2</x:v>
      </x:c>
    </x:row>
    <x:row r="246">
      <x:c r="A246" t="str">
        <x:f>"Despesa/Custo"</x:f>
        <x:v>Despesa/Custo</x:v>
      </x:c>
      <x:c r="B246" t="str">
        <x:f>Despesas!A210</x:f>
        <x:v>MAGNO</x:v>
      </x:c>
      <x:c r="C246" t="n">
        <x:f>Despesas!B210</x:f>
        <x:v>0</x:v>
      </x:c>
      <x:c r="D246" t="str">
        <x:f>Despesas!C210</x:f>
        <x:v>015205</x:v>
      </x:c>
      <x:c r="E246" t="str">
        <x:f>Despesas!D210</x:f>
        <x:v>DESPESAS REF. 09/12 A 27/12</x:v>
      </x:c>
      <x:c r="F246" t="str">
        <x:f>Despesas!E210</x:f>
        <x:v>REEMBOLSO MAGNO</x:v>
      </x:c>
      <x:c r="G246" s="4" t="n">
        <x:f>Despesas!F210</x:f>
        <x:v>46031</x:v>
      </x:c>
      <x:c r="H246" t="str">
        <x:f>Despesas!G210</x:f>
        <x:v>CMOC CUBATÃO</x:v>
      </x:c>
      <x:c r="I246" t="str">
        <x:f>Despesas!H210</x:f>
        <x:v>3.8 - SERVIÇO MOTOBOY / UBER</x:v>
      </x:c>
      <x:c r="J246" s="5" t="n">
        <x:f>Despesas!I210</x:f>
        <x:v>465.73</x:v>
      </x:c>
      <x:c r="K246" s="5" t="n">
        <x:f>0</x:f>
        <x:v>0</x:v>
      </x:c>
      <x:c r="L246" s="5" t="n">
        <x:f>Despesas!I210</x:f>
        <x:v>465.73</x:v>
      </x:c>
      <x:c r="M246" s="5" t="n">
        <x:f>-J246</x:f>
        <x:v>-465.73</x:v>
      </x:c>
    </x:row>
    <x:row r="247">
      <x:c r="A247" t="str">
        <x:f>"Despesa/Custo"</x:f>
        <x:v>Despesa/Custo</x:v>
      </x:c>
      <x:c r="B247" t="str">
        <x:f>Despesas!A211</x:f>
        <x:v>VAN OBRAS</x:v>
      </x:c>
      <x:c r="C247" t="n">
        <x:f>Despesas!B211</x:f>
        <x:v>0</x:v>
      </x:c>
      <x:c r="D247" t="str">
        <x:f>Despesas!C211</x:f>
        <x:v>015213</x:v>
      </x:c>
      <x:c r="E247" t="str">
        <x:f>Despesas!D211</x:f>
        <x:v>EDIVALDO PEREIRA DE ARAUJO - PIX (34) 9 9907-1602</x:v>
      </x:c>
      <x:c r="F247" t="str">
        <x:f>Despesas!E211</x:f>
        <x:v>TRANSPORTE COLABORADORES 22/12 A 04/01/26</x:v>
      </x:c>
      <x:c r="G247" s="4" t="n">
        <x:f>Despesas!F211</x:f>
        <x:v>46031</x:v>
      </x:c>
      <x:c r="H247" t="str">
        <x:f>Despesas!G211</x:f>
        <x:v>EUROCHEM SERRA DO SALITRE</x:v>
      </x:c>
      <x:c r="I247" t="str">
        <x:f>Despesas!H211</x:f>
        <x:v>12.7 - TRANSPORTE FUNCIONARIOS</x:v>
      </x:c>
      <x:c r="J247" s="5" t="n">
        <x:f>Despesas!I211</x:f>
        <x:v>1425</x:v>
      </x:c>
      <x:c r="K247" s="5" t="n">
        <x:f>0</x:f>
        <x:v>0</x:v>
      </x:c>
      <x:c r="L247" s="5" t="n">
        <x:f>Despesas!I211</x:f>
        <x:v>1425</x:v>
      </x:c>
      <x:c r="M247" s="5" t="n">
        <x:f>-J247</x:f>
        <x:v>-1425</x:v>
      </x:c>
    </x:row>
    <x:row r="248">
      <x:c r="A248" t="str">
        <x:f>"Despesa/Custo"</x:f>
        <x:v>Despesa/Custo</x:v>
      </x:c>
      <x:c r="B248" t="str">
        <x:f>Despesas!A212</x:f>
        <x:v>CLINICA OBRAS</x:v>
      </x:c>
      <x:c r="C248" t="str">
        <x:f>Despesas!B212</x:f>
        <x:v>4575</x:v>
      </x:c>
      <x:c r="D248" t="str">
        <x:f>Despesas!C212</x:f>
        <x:v>015214</x:v>
      </x:c>
      <x:c r="E248" t="str">
        <x:f>Despesas!D212</x:f>
        <x:v>GOMES E FERREIRA E RODRIGUES OLIVEIRA LTDA - PIX 21.092.348/0001-26</x:v>
      </x:c>
      <x:c r="F248" t="str">
        <x:f>Despesas!E212</x:f>
        <x:v>EXAMES</x:v>
      </x:c>
      <x:c r="G248" s="4" t="n">
        <x:f>Despesas!F212</x:f>
        <x:v>46031</x:v>
      </x:c>
      <x:c r="H248" t="str">
        <x:f>Despesas!G212</x:f>
        <x:v>ANGLO AMERICAN</x:v>
      </x:c>
      <x:c r="I248" t="str">
        <x:f>Despesas!H212</x:f>
        <x:v>14.1 - EXAMES</x:v>
      </x:c>
      <x:c r="J248" s="5" t="n">
        <x:f>Despesas!I212</x:f>
        <x:v>387</x:v>
      </x:c>
      <x:c r="K248" s="5" t="n">
        <x:f>0</x:f>
        <x:v>0</x:v>
      </x:c>
      <x:c r="L248" s="5" t="n">
        <x:f>Despesas!I212</x:f>
        <x:v>387</x:v>
      </x:c>
      <x:c r="M248" s="5" t="n">
        <x:f>-J248</x:f>
        <x:v>-387</x:v>
      </x:c>
    </x:row>
    <x:row r="249">
      <x:c r="A249" t="str">
        <x:f>"Despesa/Custo"</x:f>
        <x:v>Despesa/Custo</x:v>
      </x:c>
      <x:c r="B249" t="str">
        <x:f>Despesas!A213</x:f>
        <x:v>SAO JOSE COMERCIO DE EMBALAGENS LTDA</x:v>
      </x:c>
      <x:c r="C249" t="str">
        <x:f>Despesas!B213</x:f>
        <x:v>40590</x:v>
      </x:c>
      <x:c r="D249" t="str">
        <x:f>Despesas!C213</x:f>
        <x:v>015215</x:v>
      </x:c>
      <x:c r="E249" t="str">
        <x:f>Despesas!D213</x:f>
        <x:v>MATERIAIS DE CONSUMO</x:v>
      </x:c>
      <x:c r="F249" t="str">
        <x:f>Despesas!E213</x:f>
        <x:v>REEMBOLSO REINALDO DIAS</x:v>
      </x:c>
      <x:c r="G249" s="4" t="n">
        <x:f>Despesas!F213</x:f>
        <x:v>46031</x:v>
      </x:c>
      <x:c r="H249" t="str">
        <x:f>Despesas!G213</x:f>
        <x:v>ADMINISTRATIVO</x:v>
      </x:c>
      <x:c r="I249" t="str">
        <x:f>Despesas!H213</x:f>
        <x:v>8.9 - MATERIAIS DE CONSUMO EM OBRAS</x:v>
      </x:c>
      <x:c r="J249" s="5" t="n">
        <x:f>Despesas!I213</x:f>
        <x:v>49.8</x:v>
      </x:c>
      <x:c r="K249" s="5" t="n">
        <x:f>0</x:f>
        <x:v>0</x:v>
      </x:c>
      <x:c r="L249" s="5" t="n">
        <x:f>Despesas!I213</x:f>
        <x:v>49.8</x:v>
      </x:c>
      <x:c r="M249" s="5" t="n">
        <x:f>-J249</x:f>
        <x:v>-49.8</x:v>
      </x:c>
    </x:row>
    <x:row r="250">
      <x:c r="A250" t="str">
        <x:f>"Despesa/Custo"</x:f>
        <x:v>Despesa/Custo</x:v>
      </x:c>
      <x:c r="B250" t="str">
        <x:f>Despesas!A214</x:f>
        <x:v>MAGNO</x:v>
      </x:c>
      <x:c r="C250" t="n">
        <x:f>Despesas!B214</x:f>
        <x:v>0</x:v>
      </x:c>
      <x:c r="D250" t="str">
        <x:f>Despesas!C214</x:f>
        <x:v>015219</x:v>
      </x:c>
      <x:c r="E250" t="str">
        <x:f>Despesas!D214</x:f>
        <x:v>DESPESAS REF. 09/12 A 27/12</x:v>
      </x:c>
      <x:c r="F250" t="str">
        <x:f>Despesas!E214</x:f>
        <x:v>REEMBOLSO MAGNO</x:v>
      </x:c>
      <x:c r="G250" s="4" t="n">
        <x:f>Despesas!F214</x:f>
        <x:v>46031</x:v>
      </x:c>
      <x:c r="H250" t="str">
        <x:f>Despesas!G214</x:f>
        <x:v>MOSAIC UBERABA CONTRAT0 3 ANOS</x:v>
      </x:c>
      <x:c r="I250" t="str">
        <x:f>Despesas!H214</x:f>
        <x:v>6.4 - COMBUSTIVEL VEICULOS</x:v>
      </x:c>
      <x:c r="J250" s="5" t="n">
        <x:f>Despesas!I214</x:f>
        <x:v>160.61</x:v>
      </x:c>
      <x:c r="K250" s="5" t="n">
        <x:f>0</x:f>
        <x:v>0</x:v>
      </x:c>
      <x:c r="L250" s="5" t="n">
        <x:f>Despesas!I214</x:f>
        <x:v>160.61</x:v>
      </x:c>
      <x:c r="M250" s="5" t="n">
        <x:f>-J250</x:f>
        <x:v>-160.61</x:v>
      </x:c>
    </x:row>
    <x:row r="251">
      <x:c r="A251" t="str">
        <x:f>"Despesa/Custo"</x:f>
        <x:v>Despesa/Custo</x:v>
      </x:c>
      <x:c r="B251" t="str">
        <x:f>Despesas!A215</x:f>
        <x:v>MAGNO</x:v>
      </x:c>
      <x:c r="C251" t="n">
        <x:f>Despesas!B215</x:f>
        <x:v>0</x:v>
      </x:c>
      <x:c r="D251" t="str">
        <x:f>Despesas!C215</x:f>
        <x:v>015220</x:v>
      </x:c>
      <x:c r="E251" t="str">
        <x:f>Despesas!D215</x:f>
        <x:v>DESPESAS REF. 09/12 A 27/12</x:v>
      </x:c>
      <x:c r="F251" t="str">
        <x:f>Despesas!E215</x:f>
        <x:v>REEMBOLSO MAGNO</x:v>
      </x:c>
      <x:c r="G251" s="4" t="n">
        <x:f>Despesas!F215</x:f>
        <x:v>46031</x:v>
      </x:c>
      <x:c r="H251" t="str">
        <x:f>Despesas!G215</x:f>
        <x:v>MOSAIC UBERABA CONTRAT0 3 ANOS</x:v>
      </x:c>
      <x:c r="I251" t="str">
        <x:f>Despesas!H215</x:f>
        <x:v>11.14 - INTERNET OBRAS</x:v>
      </x:c>
      <x:c r="J251" s="5" t="n">
        <x:f>Despesas!I215</x:f>
        <x:v>94.89</x:v>
      </x:c>
      <x:c r="K251" s="5" t="n">
        <x:f>0</x:f>
        <x:v>0</x:v>
      </x:c>
      <x:c r="L251" s="5" t="n">
        <x:f>Despesas!I215</x:f>
        <x:v>94.89</x:v>
      </x:c>
      <x:c r="M251" s="5" t="n">
        <x:f>-J251</x:f>
        <x:v>-94.89</x:v>
      </x:c>
    </x:row>
    <x:row r="252">
      <x:c r="A252" t="str">
        <x:f>"Despesa/Custo"</x:f>
        <x:v>Despesa/Custo</x:v>
      </x:c>
      <x:c r="B252" t="str">
        <x:f>Despesas!A216</x:f>
        <x:v>MAGNO</x:v>
      </x:c>
      <x:c r="C252" t="n">
        <x:f>Despesas!B216</x:f>
        <x:v>0</x:v>
      </x:c>
      <x:c r="D252" t="str">
        <x:f>Despesas!C216</x:f>
        <x:v>015220</x:v>
      </x:c>
      <x:c r="E252" t="str">
        <x:f>Despesas!D216</x:f>
        <x:v>DESPESAS REF. 09/12 A 27/12</x:v>
      </x:c>
      <x:c r="F252" t="str">
        <x:f>Despesas!E216</x:f>
        <x:v>REEMBOLSO MAGNO</x:v>
      </x:c>
      <x:c r="G252" s="4" t="n">
        <x:f>Despesas!F216</x:f>
        <x:v>46031</x:v>
      </x:c>
      <x:c r="H252" t="str">
        <x:f>Despesas!G216</x:f>
        <x:v>MOSAIC UBERABA CONTRAT0 3 ANOS</x:v>
      </x:c>
      <x:c r="I252" t="str">
        <x:f>Despesas!H216</x:f>
        <x:v>12.5 - REFEIÇÕES FUNCIONARIOS</x:v>
      </x:c>
      <x:c r="J252" s="5" t="n">
        <x:f>Despesas!I216</x:f>
        <x:v>122</x:v>
      </x:c>
      <x:c r="K252" s="5" t="n">
        <x:f>0</x:f>
        <x:v>0</x:v>
      </x:c>
      <x:c r="L252" s="5" t="n">
        <x:f>Despesas!I216</x:f>
        <x:v>122</x:v>
      </x:c>
      <x:c r="M252" s="5" t="n">
        <x:f>-J252</x:f>
        <x:v>-122</x:v>
      </x:c>
    </x:row>
    <x:row r="253">
      <x:c r="A253" t="str">
        <x:f>"Despesa/Custo"</x:f>
        <x:v>Despesa/Custo</x:v>
      </x:c>
      <x:c r="B253" t="str">
        <x:f>Despesas!A217</x:f>
        <x:v>MAGNO</x:v>
      </x:c>
      <x:c r="C253" t="n">
        <x:f>Despesas!B217</x:f>
        <x:v>0</x:v>
      </x:c>
      <x:c r="D253" t="str">
        <x:f>Despesas!C217</x:f>
        <x:v>015220</x:v>
      </x:c>
      <x:c r="E253" t="str">
        <x:f>Despesas!D217</x:f>
        <x:v>DESPESAS REF. 09/12 A 27/12</x:v>
      </x:c>
      <x:c r="F253" t="str">
        <x:f>Despesas!E217</x:f>
        <x:v>REEMBOLSO MAGNO</x:v>
      </x:c>
      <x:c r="G253" s="4" t="n">
        <x:f>Despesas!F217</x:f>
        <x:v>46031</x:v>
      </x:c>
      <x:c r="H253" t="str">
        <x:f>Despesas!G217</x:f>
        <x:v>MOSAIC UBERABA CONTRAT0 3 ANOS</x:v>
      </x:c>
      <x:c r="I253" t="str">
        <x:f>Despesas!H217</x:f>
        <x:v>6.10 - SERVIÇO LAVA JATO</x:v>
      </x:c>
      <x:c r="J253" s="5" t="n">
        <x:f>Despesas!I217</x:f>
        <x:v>130</x:v>
      </x:c>
      <x:c r="K253" s="5" t="n">
        <x:f>0</x:f>
        <x:v>0</x:v>
      </x:c>
      <x:c r="L253" s="5" t="n">
        <x:f>Despesas!I217</x:f>
        <x:v>130</x:v>
      </x:c>
      <x:c r="M253" s="5" t="n">
        <x:f>-J253</x:f>
        <x:v>-130</x:v>
      </x:c>
    </x:row>
    <x:row r="254">
      <x:c r="A254" t="str">
        <x:f>"Despesa/Custo"</x:f>
        <x:v>Despesa/Custo</x:v>
      </x:c>
      <x:c r="B254" t="str">
        <x:f>Despesas!A218</x:f>
        <x:v>MAGNO</x:v>
      </x:c>
      <x:c r="C254" t="n">
        <x:f>Despesas!B218</x:f>
        <x:v>0</x:v>
      </x:c>
      <x:c r="D254" t="str">
        <x:f>Despesas!C218</x:f>
        <x:v>015220</x:v>
      </x:c>
      <x:c r="E254" t="str">
        <x:f>Despesas!D218</x:f>
        <x:v>DESPESAS REF. 09/12 A 27/12</x:v>
      </x:c>
      <x:c r="F254" t="str">
        <x:f>Despesas!E218</x:f>
        <x:v>REEMBOLSO MAGNO</x:v>
      </x:c>
      <x:c r="G254" s="4" t="n">
        <x:f>Despesas!F218</x:f>
        <x:v>46031</x:v>
      </x:c>
      <x:c r="H254" t="str">
        <x:f>Despesas!G218</x:f>
        <x:v>MOSAIC UBERABA CONTRAT0 3 ANOS</x:v>
      </x:c>
      <x:c r="I254" t="str">
        <x:f>Despesas!H218</x:f>
        <x:v>6.6 - PEDAGIOS</x:v>
      </x:c>
      <x:c r="J254" s="5" t="n">
        <x:f>Despesas!I218</x:f>
        <x:v>193.9</x:v>
      </x:c>
      <x:c r="K254" s="5" t="n">
        <x:f>0</x:f>
        <x:v>0</x:v>
      </x:c>
      <x:c r="L254" s="5" t="n">
        <x:f>Despesas!I218</x:f>
        <x:v>193.9</x:v>
      </x:c>
      <x:c r="M254" s="5" t="n">
        <x:f>-J254</x:f>
        <x:v>-193.9</x:v>
      </x:c>
    </x:row>
    <x:row r="255">
      <x:c r="A255" t="str">
        <x:f>"Despesa/Custo"</x:f>
        <x:v>Despesa/Custo</x:v>
      </x:c>
      <x:c r="B255" t="str">
        <x:f>Despesas!A219</x:f>
        <x:v>MAGNO</x:v>
      </x:c>
      <x:c r="C255" t="n">
        <x:f>Despesas!B219</x:f>
        <x:v>0</x:v>
      </x:c>
      <x:c r="D255" t="str">
        <x:f>Despesas!C219</x:f>
        <x:v>015220</x:v>
      </x:c>
      <x:c r="E255" t="str">
        <x:f>Despesas!D219</x:f>
        <x:v>DESPESAS REF. 09/12 A 27/12</x:v>
      </x:c>
      <x:c r="F255" t="str">
        <x:f>Despesas!E219</x:f>
        <x:v>REEMBOLSO MAGNO</x:v>
      </x:c>
      <x:c r="G255" s="4" t="n">
        <x:f>Despesas!F219</x:f>
        <x:v>46031</x:v>
      </x:c>
      <x:c r="H255" t="str">
        <x:f>Despesas!G219</x:f>
        <x:v>MOSAIC UBERABA CONTRAT0 3 ANOS</x:v>
      </x:c>
      <x:c r="I255" t="str">
        <x:f>Despesas!H219</x:f>
        <x:v>3.8 - SERVIÇO MOTOBOY / UBER</x:v>
      </x:c>
      <x:c r="J255" s="5" t="n">
        <x:f>Despesas!I219</x:f>
        <x:v>542.02</x:v>
      </x:c>
      <x:c r="K255" s="5" t="n">
        <x:f>0</x:f>
        <x:v>0</x:v>
      </x:c>
      <x:c r="L255" s="5" t="n">
        <x:f>Despesas!I219</x:f>
        <x:v>542.02</x:v>
      </x:c>
      <x:c r="M255" s="5" t="n">
        <x:f>-J255</x:f>
        <x:v>-542.02</x:v>
      </x:c>
    </x:row>
    <x:row r="256">
      <x:c r="A256" t="str">
        <x:f>"Despesa/Custo"</x:f>
        <x:v>Despesa/Custo</x:v>
      </x:c>
      <x:c r="B256" t="str">
        <x:f>Despesas!A220</x:f>
        <x:v>YCARO GOMES</x:v>
      </x:c>
      <x:c r="C256" t="n">
        <x:f>Despesas!B220</x:f>
        <x:v>0</x:v>
      </x:c>
      <x:c r="D256" t="str">
        <x:f>Despesas!C220</x:f>
        <x:v>015221</x:v>
      </x:c>
      <x:c r="E256" t="str">
        <x:f>Despesas!D220</x:f>
        <x:v>DESPESAS REF. 26/12 A 29/12/25</x:v>
      </x:c>
      <x:c r="F256" t="str">
        <x:f>Despesas!E220</x:f>
        <x:v>REEMBOLSO YCARO</x:v>
      </x:c>
      <x:c r="G256" s="4" t="n">
        <x:f>Despesas!F220</x:f>
        <x:v>46031</x:v>
      </x:c>
      <x:c r="H256" t="str">
        <x:f>Despesas!G220</x:f>
        <x:v>VLI PINTURA</x:v>
      </x:c>
      <x:c r="I256" t="str">
        <x:f>Despesas!H220</x:f>
        <x:v>6.4 - COMBUSTIVEL VEICULOS</x:v>
      </x:c>
      <x:c r="J256" s="5" t="n">
        <x:f>Despesas!I220</x:f>
        <x:v>1931.08</x:v>
      </x:c>
      <x:c r="K256" s="5" t="n">
        <x:f>0</x:f>
        <x:v>0</x:v>
      </x:c>
      <x:c r="L256" s="5" t="n">
        <x:f>Despesas!I220</x:f>
        <x:v>1931.08</x:v>
      </x:c>
      <x:c r="M256" s="5" t="n">
        <x:f>-J256</x:f>
        <x:v>-1931.08</x:v>
      </x:c>
    </x:row>
    <x:row r="257">
      <x:c r="A257" t="str">
        <x:f>"Despesa/Custo"</x:f>
        <x:v>Despesa/Custo</x:v>
      </x:c>
      <x:c r="B257" t="str">
        <x:f>Despesas!A221</x:f>
        <x:v>YCARO GOMES</x:v>
      </x:c>
      <x:c r="C257" t="n">
        <x:f>Despesas!B221</x:f>
        <x:v>0</x:v>
      </x:c>
      <x:c r="D257" t="str">
        <x:f>Despesas!C221</x:f>
        <x:v>015222</x:v>
      </x:c>
      <x:c r="E257" t="str">
        <x:f>Despesas!D221</x:f>
        <x:v>DESPESAS REF. 26/12 A 29/12/25</x:v>
      </x:c>
      <x:c r="F257" t="str">
        <x:f>Despesas!E221</x:f>
        <x:v>REEMBOLSO YCARO</x:v>
      </x:c>
      <x:c r="G257" s="4" t="n">
        <x:f>Despesas!F221</x:f>
        <x:v>46031</x:v>
      </x:c>
      <x:c r="H257" t="str">
        <x:f>Despesas!G221</x:f>
        <x:v>VLI PINTURA</x:v>
      </x:c>
      <x:c r="I257" t="str">
        <x:f>Despesas!H221</x:f>
        <x:v>5.2 - LAVANDERIA</x:v>
      </x:c>
      <x:c r="J257" s="5" t="n">
        <x:f>Despesas!I221</x:f>
        <x:v>40</x:v>
      </x:c>
      <x:c r="K257" s="5" t="n">
        <x:f>0</x:f>
        <x:v>0</x:v>
      </x:c>
      <x:c r="L257" s="5" t="n">
        <x:f>Despesas!I221</x:f>
        <x:v>40</x:v>
      </x:c>
      <x:c r="M257" s="5" t="n">
        <x:f>-J257</x:f>
        <x:v>-40</x:v>
      </x:c>
    </x:row>
    <x:row r="258">
      <x:c r="A258" t="str">
        <x:f>"Despesa/Custo"</x:f>
        <x:v>Despesa/Custo</x:v>
      </x:c>
      <x:c r="B258" t="str">
        <x:f>Despesas!A222</x:f>
        <x:v>YCARO GOMES</x:v>
      </x:c>
      <x:c r="C258" t="n">
        <x:f>Despesas!B222</x:f>
        <x:v>0</x:v>
      </x:c>
      <x:c r="D258" t="str">
        <x:f>Despesas!C222</x:f>
        <x:v>015222</x:v>
      </x:c>
      <x:c r="E258" t="str">
        <x:f>Despesas!D222</x:f>
        <x:v>DESPESAS REF. 26/12 A 29/12/25</x:v>
      </x:c>
      <x:c r="F258" t="str">
        <x:f>Despesas!E222</x:f>
        <x:v>REEMBOLSO YCARO</x:v>
      </x:c>
      <x:c r="G258" s="4" t="n">
        <x:f>Despesas!F222</x:f>
        <x:v>46031</x:v>
      </x:c>
      <x:c r="H258" t="str">
        <x:f>Despesas!G222</x:f>
        <x:v>VLI PINTURA</x:v>
      </x:c>
      <x:c r="I258" t="str">
        <x:f>Despesas!H222</x:f>
        <x:v>8.10 - MATERIAS DE ESCRITORIO</x:v>
      </x:c>
      <x:c r="J258" s="5" t="n">
        <x:f>Despesas!I222</x:f>
        <x:v>60</x:v>
      </x:c>
      <x:c r="K258" s="5" t="n">
        <x:f>0</x:f>
        <x:v>0</x:v>
      </x:c>
      <x:c r="L258" s="5" t="n">
        <x:f>Despesas!I222</x:f>
        <x:v>60</x:v>
      </x:c>
      <x:c r="M258" s="5" t="n">
        <x:f>-J258</x:f>
        <x:v>-60</x:v>
      </x:c>
    </x:row>
    <x:row r="259">
      <x:c r="A259" t="str">
        <x:f>"Despesa/Custo"</x:f>
        <x:v>Despesa/Custo</x:v>
      </x:c>
      <x:c r="B259" t="str">
        <x:f>Despesas!A223</x:f>
        <x:v>YCARO GOMES</x:v>
      </x:c>
      <x:c r="C259" t="n">
        <x:f>Despesas!B223</x:f>
        <x:v>0</x:v>
      </x:c>
      <x:c r="D259" t="str">
        <x:f>Despesas!C223</x:f>
        <x:v>015222</x:v>
      </x:c>
      <x:c r="E259" t="str">
        <x:f>Despesas!D223</x:f>
        <x:v>DESPESAS REF. 26/12 A 29/12/25</x:v>
      </x:c>
      <x:c r="F259" t="str">
        <x:f>Despesas!E223</x:f>
        <x:v>REEMBOLSO YCARO</x:v>
      </x:c>
      <x:c r="G259" s="4" t="n">
        <x:f>Despesas!F223</x:f>
        <x:v>46031</x:v>
      </x:c>
      <x:c r="H259" t="str">
        <x:f>Despesas!G223</x:f>
        <x:v>VLI PINTURA</x:v>
      </x:c>
      <x:c r="I259" t="str">
        <x:f>Despesas!H223</x:f>
        <x:v>3.7 - SERVIÇO LIMPEZA ALOJAMENTO/ESCRITORIO</x:v>
      </x:c>
      <x:c r="J259" s="5" t="n">
        <x:f>Despesas!I223</x:f>
        <x:v>117</x:v>
      </x:c>
      <x:c r="K259" s="5" t="n">
        <x:f>0</x:f>
        <x:v>0</x:v>
      </x:c>
      <x:c r="L259" s="5" t="n">
        <x:f>Despesas!I223</x:f>
        <x:v>117</x:v>
      </x:c>
      <x:c r="M259" s="5" t="n">
        <x:f>-J259</x:f>
        <x:v>-117</x:v>
      </x:c>
    </x:row>
    <x:row r="260">
      <x:c r="A260" t="str">
        <x:f>"Despesa/Custo"</x:f>
        <x:v>Despesa/Custo</x:v>
      </x:c>
      <x:c r="B260" t="str">
        <x:f>Despesas!A224</x:f>
        <x:v>YCARO GOMES</x:v>
      </x:c>
      <x:c r="C260" t="n">
        <x:f>Despesas!B224</x:f>
        <x:v>0</x:v>
      </x:c>
      <x:c r="D260" t="str">
        <x:f>Despesas!C224</x:f>
        <x:v>015222</x:v>
      </x:c>
      <x:c r="E260" t="str">
        <x:f>Despesas!D224</x:f>
        <x:v>DESPESAS REF. 26/12 A 29/12/25</x:v>
      </x:c>
      <x:c r="F260" t="str">
        <x:f>Despesas!E224</x:f>
        <x:v>REEMBOLSO YCARO</x:v>
      </x:c>
      <x:c r="G260" s="4" t="n">
        <x:f>Despesas!F224</x:f>
        <x:v>46031</x:v>
      </x:c>
      <x:c r="H260" t="str">
        <x:f>Despesas!G224</x:f>
        <x:v>VLI PINTURA</x:v>
      </x:c>
      <x:c r="I260" t="str">
        <x:f>Despesas!H224</x:f>
        <x:v>12.5 - REFEIÇÕES FUNCIONARIOS</x:v>
      </x:c>
      <x:c r="J260" s="5" t="n">
        <x:f>Despesas!I224</x:f>
        <x:v>163.79</x:v>
      </x:c>
      <x:c r="K260" s="5" t="n">
        <x:f>0</x:f>
        <x:v>0</x:v>
      </x:c>
      <x:c r="L260" s="5" t="n">
        <x:f>Despesas!I224</x:f>
        <x:v>163.79</x:v>
      </x:c>
      <x:c r="M260" s="5" t="n">
        <x:f>-J260</x:f>
        <x:v>-163.79</x:v>
      </x:c>
    </x:row>
    <x:row r="261">
      <x:c r="A261" t="str">
        <x:f>"Despesa/Custo"</x:f>
        <x:v>Despesa/Custo</x:v>
      </x:c>
      <x:c r="B261" t="str">
        <x:f>Despesas!A225</x:f>
        <x:v>YCARO GOMES</x:v>
      </x:c>
      <x:c r="C261" t="n">
        <x:f>Despesas!B225</x:f>
        <x:v>0</x:v>
      </x:c>
      <x:c r="D261" t="str">
        <x:f>Despesas!C225</x:f>
        <x:v>015222</x:v>
      </x:c>
      <x:c r="E261" t="str">
        <x:f>Despesas!D225</x:f>
        <x:v>DESPESAS REF. 26/12 A 29/12/25</x:v>
      </x:c>
      <x:c r="F261" t="str">
        <x:f>Despesas!E225</x:f>
        <x:v>REEMBOLSO YCARO</x:v>
      </x:c>
      <x:c r="G261" s="4" t="n">
        <x:f>Despesas!F225</x:f>
        <x:v>46031</x:v>
      </x:c>
      <x:c r="H261" t="str">
        <x:f>Despesas!G225</x:f>
        <x:v>VLI PINTURA</x:v>
      </x:c>
      <x:c r="I261" t="str">
        <x:f>Despesas!H225</x:f>
        <x:v>5.1 - HOTEL FUNCIONARIOS</x:v>
      </x:c>
      <x:c r="J261" s="5" t="n">
        <x:f>Despesas!I225</x:f>
        <x:v>170</x:v>
      </x:c>
      <x:c r="K261" s="5" t="n">
        <x:f>0</x:f>
        <x:v>0</x:v>
      </x:c>
      <x:c r="L261" s="5" t="n">
        <x:f>Despesas!I225</x:f>
        <x:v>170</x:v>
      </x:c>
      <x:c r="M261" s="5" t="n">
        <x:f>-J261</x:f>
        <x:v>-170</x:v>
      </x:c>
    </x:row>
    <x:row r="262">
      <x:c r="A262" t="str">
        <x:f>"Despesa/Custo"</x:f>
        <x:v>Despesa/Custo</x:v>
      </x:c>
      <x:c r="B262" t="str">
        <x:f>Despesas!A226</x:f>
        <x:v>SINDICATO DOS TRABALHADORES METABASE</x:v>
      </x:c>
      <x:c r="C262" t="n">
        <x:f>Despesas!B226</x:f>
        <x:v>0</x:v>
      </x:c>
      <x:c r="D262" t="str">
        <x:f>Despesas!C226</x:f>
        <x:v>015226</x:v>
      </x:c>
      <x:c r="E262" t="str">
        <x:f>Despesas!D226</x:f>
        <x:v>CONTRIBUIÇÃO ASSOCIATIVA - ACT 2025-2026</x:v>
      </x:c>
      <x:c r="F262" t="n">
        <x:f>Despesas!E226</x:f>
        <x:v>0</x:v>
      </x:c>
      <x:c r="G262" s="4" t="n">
        <x:f>Despesas!F226</x:f>
        <x:v>46031</x:v>
      </x:c>
      <x:c r="H262" t="str">
        <x:f>Despesas!G226</x:f>
        <x:v>EUROCHEM SERRA DO SALITRE</x:v>
      </x:c>
      <x:c r="I262" t="str">
        <x:f>Despesas!H226</x:f>
        <x:v>12.8 - SINDICATO</x:v>
      </x:c>
      <x:c r="J262" s="5" t="n">
        <x:f>Despesas!I226</x:f>
        <x:v>3600</x:v>
      </x:c>
      <x:c r="K262" s="5" t="n">
        <x:f>0</x:f>
        <x:v>0</x:v>
      </x:c>
      <x:c r="L262" s="5" t="n">
        <x:f>Despesas!I226</x:f>
        <x:v>3600</x:v>
      </x:c>
      <x:c r="M262" s="5" t="n">
        <x:f>-J262</x:f>
        <x:v>-3600</x:v>
      </x:c>
    </x:row>
    <x:row r="263">
      <x:c r="A263" t="str">
        <x:f>"Despesa/Custo"</x:f>
        <x:v>Despesa/Custo</x:v>
      </x:c>
      <x:c r="B263" t="str">
        <x:f>Despesas!A227</x:f>
        <x:v>RODOVIARIA MATEUS CABEÇA BRANCA</x:v>
      </x:c>
      <x:c r="C263" t="n">
        <x:f>Despesas!B227</x:f>
        <x:v>0</x:v>
      </x:c>
      <x:c r="D263" t="str">
        <x:f>Despesas!C227</x:f>
        <x:v>015227</x:v>
      </x:c>
      <x:c r="E263" t="str">
        <x:f>Despesas!D227</x:f>
        <x:v>PASSAGENS DA SEMANA 29-12 A 02-01</x:v>
      </x:c>
      <x:c r="F263" t="n">
        <x:f>Despesas!E227</x:f>
        <x:v>0</x:v>
      </x:c>
      <x:c r="G263" s="4" t="n">
        <x:f>Despesas!F227</x:f>
        <x:v>46031</x:v>
      </x:c>
      <x:c r="H263" t="str">
        <x:f>Despesas!G227</x:f>
        <x:v>ANGLO AMERICAN</x:v>
      </x:c>
      <x:c r="I263" t="str">
        <x:f>Despesas!H227</x:f>
        <x:v>12.9 - PASSAGENS FUNCIONARIOS</x:v>
      </x:c>
      <x:c r="J263" s="5" t="n">
        <x:f>Despesas!I227</x:f>
        <x:v>1654.99</x:v>
      </x:c>
      <x:c r="K263" s="5" t="n">
        <x:f>0</x:f>
        <x:v>0</x:v>
      </x:c>
      <x:c r="L263" s="5" t="n">
        <x:f>Despesas!I227</x:f>
        <x:v>1654.99</x:v>
      </x:c>
      <x:c r="M263" s="5" t="n">
        <x:f>-J263</x:f>
        <x:v>-1654.99</x:v>
      </x:c>
    </x:row>
    <x:row r="264">
      <x:c r="A264" t="str">
        <x:f>"Despesa/Custo"</x:f>
        <x:v>Despesa/Custo</x:v>
      </x:c>
      <x:c r="B264" t="str">
        <x:f>Despesas!A228</x:f>
        <x:v>RODOVIARIA MATEUS CABEÇA BRANCA</x:v>
      </x:c>
      <x:c r="C264" t="n">
        <x:f>Despesas!B228</x:f>
        <x:v>0</x:v>
      </x:c>
      <x:c r="D264" t="str">
        <x:f>Despesas!C228</x:f>
        <x:v>015227</x:v>
      </x:c>
      <x:c r="E264" t="str">
        <x:f>Despesas!D228</x:f>
        <x:v>PASSAGENS DA SEMANA 29-12 A 02-01</x:v>
      </x:c>
      <x:c r="F264" t="n">
        <x:f>Despesas!E228</x:f>
        <x:v>0</x:v>
      </x:c>
      <x:c r="G264" s="4" t="n">
        <x:f>Despesas!F228</x:f>
        <x:v>46031</x:v>
      </x:c>
      <x:c r="H264" t="str">
        <x:f>Despesas!G228</x:f>
        <x:v>SERENA 10 TORRES 2025</x:v>
      </x:c>
      <x:c r="I264" t="str">
        <x:f>Despesas!H228</x:f>
        <x:v>12.9 - PASSAGENS FUNCIONARIOS</x:v>
      </x:c>
      <x:c r="J264" s="5" t="n">
        <x:f>Despesas!I228</x:f>
        <x:v>3257.51</x:v>
      </x:c>
      <x:c r="K264" s="5" t="n">
        <x:f>0</x:f>
        <x:v>0</x:v>
      </x:c>
      <x:c r="L264" s="5" t="n">
        <x:f>Despesas!I228</x:f>
        <x:v>3257.51</x:v>
      </x:c>
      <x:c r="M264" s="5" t="n">
        <x:f>-J264</x:f>
        <x:v>-3257.51</x:v>
      </x:c>
    </x:row>
    <x:row r="265">
      <x:c r="A265" t="str">
        <x:f>"Despesa/Custo"</x:f>
        <x:v>Despesa/Custo</x:v>
      </x:c>
      <x:c r="B265" t="str">
        <x:f>Despesas!A229</x:f>
        <x:v>DESPESAS DE VIAGEM</x:v>
      </x:c>
      <x:c r="C265" t="n">
        <x:f>Despesas!B229</x:f>
        <x:v>0</x:v>
      </x:c>
      <x:c r="D265" t="str">
        <x:f>Despesas!C229</x:f>
        <x:v>015228</x:v>
      </x:c>
      <x:c r="E265" t="str">
        <x:f>Despesas!D229</x:f>
        <x:v>CARLOS ANTONIO - EDIVALDO RIBEIRO</x:v>
      </x:c>
      <x:c r="F265" t="str">
        <x:f>Despesas!E229</x:f>
        <x:v>PASSAGEM DE RETORNO REEM - VLI</x:v>
      </x:c>
      <x:c r="G265" s="4" t="n">
        <x:f>Despesas!F229</x:f>
        <x:v>46031</x:v>
      </x:c>
      <x:c r="H265" t="str">
        <x:f>Despesas!G229</x:f>
        <x:v>VLI PINTURA</x:v>
      </x:c>
      <x:c r="I265" t="str">
        <x:f>Despesas!H229</x:f>
        <x:v>12.5 - REFEIÇÕES FUNCIONARIOS</x:v>
      </x:c>
      <x:c r="J265" s="5" t="n">
        <x:f>Despesas!I229</x:f>
        <x:v>320</x:v>
      </x:c>
      <x:c r="K265" s="5" t="n">
        <x:f>0</x:f>
        <x:v>0</x:v>
      </x:c>
      <x:c r="L265" s="5" t="n">
        <x:f>Despesas!I229</x:f>
        <x:v>320</x:v>
      </x:c>
      <x:c r="M265" s="5" t="n">
        <x:f>-J265</x:f>
        <x:v>-320</x:v>
      </x:c>
    </x:row>
    <x:row r="266">
      <x:c r="A266" t="str">
        <x:f>"Despesa/Custo"</x:f>
        <x:v>Despesa/Custo</x:v>
      </x:c>
      <x:c r="B266" t="str">
        <x:f>Despesas!A230</x:f>
        <x:v>DESPESAS DE VIAGEM</x:v>
      </x:c>
      <x:c r="C266" t="n">
        <x:f>Despesas!B230</x:f>
        <x:v>0</x:v>
      </x:c>
      <x:c r="D266" t="str">
        <x:f>Despesas!C230</x:f>
        <x:v>015228</x:v>
      </x:c>
      <x:c r="E266" t="str">
        <x:f>Despesas!D230</x:f>
        <x:v>CARLOS ANTONIO - EDIVALDO RIBEIRO</x:v>
      </x:c>
      <x:c r="F266" t="str">
        <x:f>Despesas!E230</x:f>
        <x:v>PASSAGEM DE RETORNO REEM - VLI</x:v>
      </x:c>
      <x:c r="G266" s="4" t="n">
        <x:f>Despesas!F230</x:f>
        <x:v>46031</x:v>
      </x:c>
      <x:c r="H266" t="str">
        <x:f>Despesas!G230</x:f>
        <x:v>VLI PINTURA</x:v>
      </x:c>
      <x:c r="I266" t="str">
        <x:f>Despesas!H230</x:f>
        <x:v>12.9 - PASSAGENS FUNCIONARIOS</x:v>
      </x:c>
      <x:c r="J266" s="5" t="n">
        <x:f>Despesas!I230</x:f>
        <x:v>660</x:v>
      </x:c>
      <x:c r="K266" s="5" t="n">
        <x:f>0</x:f>
        <x:v>0</x:v>
      </x:c>
      <x:c r="L266" s="5" t="n">
        <x:f>Despesas!I230</x:f>
        <x:v>660</x:v>
      </x:c>
      <x:c r="M266" s="5" t="n">
        <x:f>-J266</x:f>
        <x:v>-660</x:v>
      </x:c>
    </x:row>
    <x:row r="267">
      <x:c r="A267" t="str">
        <x:f>"Despesa/Custo"</x:f>
        <x:v>Despesa/Custo</x:v>
      </x:c>
      <x:c r="B267" t="str">
        <x:f>Despesas!A231</x:f>
        <x:v>UBER OBRAS</x:v>
      </x:c>
      <x:c r="C267" t="n">
        <x:f>Despesas!B231</x:f>
        <x:v>0</x:v>
      </x:c>
      <x:c r="D267" t="str">
        <x:f>Despesas!C231</x:f>
        <x:v>015229</x:v>
      </x:c>
      <x:c r="E267" t="str">
        <x:f>Despesas!D231</x:f>
        <x:v>UBER MAXSSANDER MENEZES DE OLIVIERA</x:v>
      </x:c>
      <x:c r="F267" t="str">
        <x:f>Despesas!E231</x:f>
        <x:v>LAVA JATO X AIDEAL</x:v>
      </x:c>
      <x:c r="G267" s="4" t="n">
        <x:f>Despesas!F231</x:f>
        <x:v>46031</x:v>
      </x:c>
      <x:c r="H267" t="str">
        <x:f>Despesas!G231</x:f>
        <x:v>ADMINISTRATIVO</x:v>
      </x:c>
      <x:c r="I267" t="str">
        <x:f>Despesas!H231</x:f>
        <x:v>3.8 - SERVIÇO MOTOBOY / UBER</x:v>
      </x:c>
      <x:c r="J267" s="5" t="n">
        <x:f>Despesas!I231</x:f>
        <x:v>36.8</x:v>
      </x:c>
      <x:c r="K267" s="5" t="n">
        <x:f>0</x:f>
        <x:v>0</x:v>
      </x:c>
      <x:c r="L267" s="5" t="n">
        <x:f>Despesas!I231</x:f>
        <x:v>36.8</x:v>
      </x:c>
      <x:c r="M267" s="5" t="n">
        <x:f>-J267</x:f>
        <x:v>-36.8</x:v>
      </x:c>
    </x:row>
    <x:row r="268">
      <x:c r="A268" t="str">
        <x:f>"Despesa/Custo"</x:f>
        <x:v>Despesa/Custo</x:v>
      </x:c>
      <x:c r="B268" t="str">
        <x:f>Despesas!A232</x:f>
        <x:v>POUPAY</x:v>
      </x:c>
      <x:c r="C268" t="n">
        <x:f>Despesas!B232</x:f>
        <x:v>0</x:v>
      </x:c>
      <x:c r="D268" t="str">
        <x:f>Despesas!C232</x:f>
        <x:v>015230</x:v>
      </x:c>
      <x:c r="E268" t="str">
        <x:f>Despesas!D232</x:f>
        <x:v>CERTIFICADO DIGITAL - AIDEAL SOLUCOES</x:v>
      </x:c>
      <x:c r="F268" t="n">
        <x:f>Despesas!E232</x:f>
        <x:v>0</x:v>
      </x:c>
      <x:c r="G268" s="4" t="n">
        <x:f>Despesas!F232</x:f>
        <x:v>46031</x:v>
      </x:c>
      <x:c r="H268" t="str">
        <x:f>Despesas!G232</x:f>
        <x:v>ADMINISTRATIVO</x:v>
      </x:c>
      <x:c r="I268" t="str">
        <x:f>Despesas!H232</x:f>
        <x:v>3.13 - SERVIÇO CARTORIO</x:v>
      </x:c>
      <x:c r="J268" s="5" t="n">
        <x:f>Despesas!I232</x:f>
        <x:v>139</x:v>
      </x:c>
      <x:c r="K268" s="5" t="n">
        <x:f>0</x:f>
        <x:v>0</x:v>
      </x:c>
      <x:c r="L268" s="5" t="n">
        <x:f>Despesas!I232</x:f>
        <x:v>139</x:v>
      </x:c>
      <x:c r="M268" s="5" t="n">
        <x:f>-J268</x:f>
        <x:v>-139</x:v>
      </x:c>
    </x:row>
    <x:row r="269">
      <x:c r="A269" t="str">
        <x:f>"Despesa/Custo"</x:f>
        <x:v>Despesa/Custo</x:v>
      </x:c>
      <x:c r="B269" t="str">
        <x:f>Despesas!A233</x:f>
        <x:v>POUPAY</x:v>
      </x:c>
      <x:c r="C269" t="n">
        <x:f>Despesas!B233</x:f>
        <x:v>0</x:v>
      </x:c>
      <x:c r="D269" t="str">
        <x:f>Despesas!C233</x:f>
        <x:v>015231</x:v>
      </x:c>
      <x:c r="E269" t="str">
        <x:f>Despesas!D233</x:f>
        <x:v>CERTIFICADO DIGITAL - AIDEAL ISOLAMENTO</x:v>
      </x:c>
      <x:c r="F269" t="n">
        <x:f>Despesas!E233</x:f>
        <x:v>0</x:v>
      </x:c>
      <x:c r="G269" s="4" t="n">
        <x:f>Despesas!F233</x:f>
        <x:v>46031</x:v>
      </x:c>
      <x:c r="H269" t="str">
        <x:f>Despesas!G233</x:f>
        <x:v>ADMINISTRATIVO</x:v>
      </x:c>
      <x:c r="I269" t="str">
        <x:f>Despesas!H233</x:f>
        <x:v>3.13 - SERVIÇO CARTORIO</x:v>
      </x:c>
      <x:c r="J269" s="5" t="n">
        <x:f>Despesas!I233</x:f>
        <x:v>139</x:v>
      </x:c>
      <x:c r="K269" s="5" t="n">
        <x:f>0</x:f>
        <x:v>0</x:v>
      </x:c>
      <x:c r="L269" s="5" t="n">
        <x:f>Despesas!I233</x:f>
        <x:v>139</x:v>
      </x:c>
      <x:c r="M269" s="5" t="n">
        <x:f>-J269</x:f>
        <x:v>-139</x:v>
      </x:c>
    </x:row>
    <x:row r="270">
      <x:c r="A270" t="str">
        <x:f>"Despesa/Custo"</x:f>
        <x:v>Despesa/Custo</x:v>
      </x:c>
      <x:c r="B270" t="str">
        <x:f>Despesas!A234</x:f>
        <x:v>FOLHA DE PAGAMENTO</x:v>
      </x:c>
      <x:c r="C270" t="n">
        <x:f>Despesas!B234</x:f>
        <x:v>0</x:v>
      </x:c>
      <x:c r="D270" t="str">
        <x:f>Despesas!C234</x:f>
        <x:v>015232</x:v>
      </x:c>
      <x:c r="E270" t="str">
        <x:f>Despesas!D234</x:f>
        <x:v>PERICULOSIDADE EXTRAORDIANRIA - REINALDO RIBEIRO - EVERTON</x:v>
      </x:c>
      <x:c r="F270" t="n">
        <x:f>Despesas!E234</x:f>
        <x:v>0</x:v>
      </x:c>
      <x:c r="G270" s="4" t="n">
        <x:f>Despesas!F234</x:f>
        <x:v>46031</x:v>
      </x:c>
      <x:c r="H270" t="str">
        <x:f>Despesas!G234</x:f>
        <x:v>COMPORTAS - PORTO FERREIRA</x:v>
      </x:c>
      <x:c r="I270" t="str">
        <x:f>Despesas!H234</x:f>
        <x:v>12.1 - SALARIO</x:v>
      </x:c>
      <x:c r="J270" s="5" t="n">
        <x:f>Despesas!I234</x:f>
        <x:v>808.2</x:v>
      </x:c>
      <x:c r="K270" s="5" t="n">
        <x:f>0</x:f>
        <x:v>0</x:v>
      </x:c>
      <x:c r="L270" s="5" t="n">
        <x:f>Despesas!I234</x:f>
        <x:v>808.2</x:v>
      </x:c>
      <x:c r="M270" s="5" t="n">
        <x:f>-J270</x:f>
        <x:v>-808.2</x:v>
      </x:c>
    </x:row>
    <x:row r="271">
      <x:c r="A271" t="str">
        <x:f>"Despesa/Custo"</x:f>
        <x:v>Despesa/Custo</x:v>
      </x:c>
      <x:c r="B271" t="str">
        <x:f>Despesas!A235</x:f>
        <x:v>EMPRESA BRASILEIRA DE BENEFICIOS E PAGAMENTOS INSTITUICAO DE PAGAMENTO LTDA</x:v>
      </x:c>
      <x:c r="C271" t="n">
        <x:f>Despesas!B235</x:f>
        <x:v>0</x:v>
      </x:c>
      <x:c r="D271" t="str">
        <x:f>Despesas!C235</x:f>
        <x:v>015233</x:v>
      </x:c>
      <x:c r="E271" t="str">
        <x:f>Despesas!D235</x:f>
        <x:v>VALE ALIMENTAÇÃO REF. MES 12</x:v>
      </x:c>
      <x:c r="F271" t="n">
        <x:f>Despesas!E235</x:f>
        <x:v>0</x:v>
      </x:c>
      <x:c r="G271" s="4" t="n">
        <x:f>Despesas!F235</x:f>
        <x:v>46031</x:v>
      </x:c>
      <x:c r="H271" t="str">
        <x:f>Despesas!G235</x:f>
        <x:v>MOSAIC UBERABA CONTRAT0 3 ANOS</x:v>
      </x:c>
      <x:c r="I271" t="str">
        <x:f>Despesas!H235</x:f>
        <x:v>12.13 - VALE ALIMENTAÇÃO</x:v>
      </x:c>
      <x:c r="J271" s="5" t="n">
        <x:f>Despesas!I235</x:f>
        <x:v>23040</x:v>
      </x:c>
      <x:c r="K271" s="5" t="n">
        <x:f>0</x:f>
        <x:v>0</x:v>
      </x:c>
      <x:c r="L271" s="5" t="n">
        <x:f>Despesas!I235</x:f>
        <x:v>23040</x:v>
      </x:c>
      <x:c r="M271" s="5" t="n">
        <x:f>-J271</x:f>
        <x:v>-23040</x:v>
      </x:c>
    </x:row>
    <x:row r="272">
      <x:c r="A272" t="str">
        <x:f>"Despesa/Custo"</x:f>
        <x:v>Despesa/Custo</x:v>
      </x:c>
      <x:c r="B272" t="str">
        <x:f>Despesas!A236</x:f>
        <x:v>EMPRESA BRASILEIRA DE BENEFICIOS E PAGAMENTOS INSTITUICAO DE PAGAMENTO LTDA</x:v>
      </x:c>
      <x:c r="C272" t="n">
        <x:f>Despesas!B236</x:f>
        <x:v>0</x:v>
      </x:c>
      <x:c r="D272" t="str">
        <x:f>Despesas!C236</x:f>
        <x:v>015234</x:v>
      </x:c>
      <x:c r="E272" t="str">
        <x:f>Despesas!D236</x:f>
        <x:v>VALE ALIMENTAÇÃO REF. 12</x:v>
      </x:c>
      <x:c r="F272" t="n">
        <x:f>Despesas!E236</x:f>
        <x:v>0</x:v>
      </x:c>
      <x:c r="G272" s="4" t="n">
        <x:f>Despesas!F236</x:f>
        <x:v>46031</x:v>
      </x:c>
      <x:c r="H272" t="str">
        <x:f>Despesas!G236</x:f>
        <x:v>ANGLO AMERICAN</x:v>
      </x:c>
      <x:c r="I272" t="str">
        <x:f>Despesas!H236</x:f>
        <x:v>12.13 - VALE ALIMENTAÇÃO</x:v>
      </x:c>
      <x:c r="J272" s="5" t="n">
        <x:f>Despesas!I236</x:f>
        <x:v>5130</x:v>
      </x:c>
      <x:c r="K272" s="5" t="n">
        <x:f>0</x:f>
        <x:v>0</x:v>
      </x:c>
      <x:c r="L272" s="5" t="n">
        <x:f>Despesas!I236</x:f>
        <x:v>5130</x:v>
      </x:c>
      <x:c r="M272" s="5" t="n">
        <x:f>-J272</x:f>
        <x:v>-5130</x:v>
      </x:c>
    </x:row>
    <x:row r="273">
      <x:c r="A273" t="str">
        <x:f>"Despesa/Custo"</x:f>
        <x:v>Despesa/Custo</x:v>
      </x:c>
      <x:c r="B273" t="str">
        <x:f>Despesas!A237</x:f>
        <x:v>EMPRESA BRASILEIRA DE BENEFICIOS E PAGAMENTOS INSTITUICAO DE PAGAMENTO LTDA</x:v>
      </x:c>
      <x:c r="C273" t="n">
        <x:f>Despesas!B237</x:f>
        <x:v>0</x:v>
      </x:c>
      <x:c r="D273" t="str">
        <x:f>Despesas!C237</x:f>
        <x:v>015235</x:v>
      </x:c>
      <x:c r="E273" t="str">
        <x:f>Despesas!D237</x:f>
        <x:v>VALE ALIMENTAÇÃO REF. 12</x:v>
      </x:c>
      <x:c r="F273" t="str">
        <x:f>Despesas!E237</x:f>
        <x:v>flexivel</x:v>
      </x:c>
      <x:c r="G273" s="4" t="n">
        <x:f>Despesas!F237</x:f>
        <x:v>46031</x:v>
      </x:c>
      <x:c r="H273" t="str">
        <x:f>Despesas!G237</x:f>
        <x:v>ADMINISTRATIVO</x:v>
      </x:c>
      <x:c r="I273" t="str">
        <x:f>Despesas!H237</x:f>
        <x:v>12.13 - VALE ALIMENTAÇÃO</x:v>
      </x:c>
      <x:c r="J273" s="5" t="n">
        <x:f>Despesas!I237</x:f>
        <x:v>2800</x:v>
      </x:c>
      <x:c r="K273" s="5" t="n">
        <x:f>0</x:f>
        <x:v>0</x:v>
      </x:c>
      <x:c r="L273" s="5" t="n">
        <x:f>Despesas!I237</x:f>
        <x:v>2800</x:v>
      </x:c>
      <x:c r="M273" s="5" t="n">
        <x:f>-J273</x:f>
        <x:v>-2800</x:v>
      </x:c>
    </x:row>
    <x:row r="274">
      <x:c r="A274" t="str">
        <x:f>"Despesa/Custo"</x:f>
        <x:v>Despesa/Custo</x:v>
      </x:c>
      <x:c r="B274" t="str">
        <x:f>Despesas!A238</x:f>
        <x:v>EMPRESA BRASILEIRA DE BENEFICIOS E PAGAMENTOS INSTITUICAO DE PAGAMENTO LTDA</x:v>
      </x:c>
      <x:c r="C274" t="n">
        <x:f>Despesas!B238</x:f>
        <x:v>0</x:v>
      </x:c>
      <x:c r="D274" t="str">
        <x:f>Despesas!C238</x:f>
        <x:v>015235</x:v>
      </x:c>
      <x:c r="E274" t="str">
        <x:f>Despesas!D238</x:f>
        <x:v>VALE ALIMENTAÇÃO REF. 12</x:v>
      </x:c>
      <x:c r="F274" t="str">
        <x:f>Despesas!E238</x:f>
        <x:v>flexivel</x:v>
      </x:c>
      <x:c r="G274" s="4" t="n">
        <x:f>Despesas!F238</x:f>
        <x:v>46031</x:v>
      </x:c>
      <x:c r="H274" t="str">
        <x:f>Despesas!G238</x:f>
        <x:v>ANGLO AMERICAN</x:v>
      </x:c>
      <x:c r="I274" t="str">
        <x:f>Despesas!H238</x:f>
        <x:v>12.13 - VALE ALIMENTAÇÃO</x:v>
      </x:c>
      <x:c r="J274" s="5" t="n">
        <x:f>Despesas!I238</x:f>
        <x:v>1000</x:v>
      </x:c>
      <x:c r="K274" s="5" t="n">
        <x:f>0</x:f>
        <x:v>0</x:v>
      </x:c>
      <x:c r="L274" s="5" t="n">
        <x:f>Despesas!I238</x:f>
        <x:v>1000</x:v>
      </x:c>
      <x:c r="M274" s="5" t="n">
        <x:f>-J274</x:f>
        <x:v>-1000</x:v>
      </x:c>
    </x:row>
    <x:row r="275">
      <x:c r="A275" t="str">
        <x:f>"Despesa/Custo"</x:f>
        <x:v>Despesa/Custo</x:v>
      </x:c>
      <x:c r="B275" t="str">
        <x:f>Despesas!A239</x:f>
        <x:v>EMPRESA BRASILEIRA DE BENEFICIOS E PAGAMENTOS INSTITUICAO DE PAGAMENTO LTDA</x:v>
      </x:c>
      <x:c r="C275" t="n">
        <x:f>Despesas!B239</x:f>
        <x:v>0</x:v>
      </x:c>
      <x:c r="D275" t="str">
        <x:f>Despesas!C239</x:f>
        <x:v>015235</x:v>
      </x:c>
      <x:c r="E275" t="str">
        <x:f>Despesas!D239</x:f>
        <x:v>VALE ALIMENTAÇÃO REF. 12</x:v>
      </x:c>
      <x:c r="F275" t="str">
        <x:f>Despesas!E239</x:f>
        <x:v>flexivel</x:v>
      </x:c>
      <x:c r="G275" s="4" t="n">
        <x:f>Despesas!F239</x:f>
        <x:v>46031</x:v>
      </x:c>
      <x:c r="H275" t="str">
        <x:f>Despesas!G239</x:f>
        <x:v>FOSFATO CMOC CONTRAT</x:v>
      </x:c>
      <x:c r="I275" t="str">
        <x:f>Despesas!H239</x:f>
        <x:v>12.13 - VALE ALIMENTAÇÃO</x:v>
      </x:c>
      <x:c r="J275" s="5" t="n">
        <x:f>Despesas!I239</x:f>
        <x:v>2950</x:v>
      </x:c>
      <x:c r="K275" s="5" t="n">
        <x:f>0</x:f>
        <x:v>0</x:v>
      </x:c>
      <x:c r="L275" s="5" t="n">
        <x:f>Despesas!I239</x:f>
        <x:v>2950</x:v>
      </x:c>
      <x:c r="M275" s="5" t="n">
        <x:f>-J275</x:f>
        <x:v>-2950</x:v>
      </x:c>
    </x:row>
    <x:row r="276">
      <x:c r="A276" t="str">
        <x:f>"Despesa/Custo"</x:f>
        <x:v>Despesa/Custo</x:v>
      </x:c>
      <x:c r="B276" t="str">
        <x:f>Despesas!A240</x:f>
        <x:v>EMPRESA BRASILEIRA DE BENEFICIOS E PAGAMENTOS INSTITUICAO DE PAGAMENTO LTDA</x:v>
      </x:c>
      <x:c r="C276" t="n">
        <x:f>Despesas!B240</x:f>
        <x:v>0</x:v>
      </x:c>
      <x:c r="D276" t="str">
        <x:f>Despesas!C240</x:f>
        <x:v>015235</x:v>
      </x:c>
      <x:c r="E276" t="str">
        <x:f>Despesas!D240</x:f>
        <x:v>VALE ALIMENTAÇÃO REF. 12</x:v>
      </x:c>
      <x:c r="F276" t="str">
        <x:f>Despesas!E240</x:f>
        <x:v>flexivel</x:v>
      </x:c>
      <x:c r="G276" s="4" t="n">
        <x:f>Despesas!F240</x:f>
        <x:v>46031</x:v>
      </x:c>
      <x:c r="H276" t="str">
        <x:f>Despesas!G240</x:f>
        <x:v>NIOBIO CMOC CONTRATO</x:v>
      </x:c>
      <x:c r="I276" t="str">
        <x:f>Despesas!H240</x:f>
        <x:v>12.13 - VALE ALIMENTAÇÃO</x:v>
      </x:c>
      <x:c r="J276" s="5" t="n">
        <x:f>Despesas!I240</x:f>
        <x:v>300</x:v>
      </x:c>
      <x:c r="K276" s="5" t="n">
        <x:f>0</x:f>
        <x:v>0</x:v>
      </x:c>
      <x:c r="L276" s="5" t="n">
        <x:f>Despesas!I240</x:f>
        <x:v>300</x:v>
      </x:c>
      <x:c r="M276" s="5" t="n">
        <x:f>-J276</x:f>
        <x:v>-300</x:v>
      </x:c>
    </x:row>
    <x:row r="277">
      <x:c r="A277" t="str">
        <x:f>"Despesa/Custo"</x:f>
        <x:v>Despesa/Custo</x:v>
      </x:c>
      <x:c r="B277" t="str">
        <x:f>Despesas!A241</x:f>
        <x:v>EMPRESA BRASILEIRA DE BENEFICIOS E PAGAMENTOS INSTITUICAO DE PAGAMENTO LTDA</x:v>
      </x:c>
      <x:c r="C277" t="n">
        <x:f>Despesas!B241</x:f>
        <x:v>0</x:v>
      </x:c>
      <x:c r="D277" t="str">
        <x:f>Despesas!C241</x:f>
        <x:v>015236</x:v>
      </x:c>
      <x:c r="E277" t="str">
        <x:f>Despesas!D241</x:f>
        <x:v>VALE ALIMENTAÇÃO REF. 12</x:v>
      </x:c>
      <x:c r="F277" t="n">
        <x:f>Despesas!E241</x:f>
        <x:v>0</x:v>
      </x:c>
      <x:c r="G277" s="4" t="n">
        <x:f>Despesas!F241</x:f>
        <x:v>46031</x:v>
      </x:c>
      <x:c r="H277" t="str">
        <x:f>Despesas!G241</x:f>
        <x:v>NIOBIO CMOC CONTRATO</x:v>
      </x:c>
      <x:c r="I277" t="str">
        <x:f>Despesas!H241</x:f>
        <x:v>12.13 - VALE ALIMENTAÇÃO</x:v>
      </x:c>
      <x:c r="J277" s="5" t="n">
        <x:f>Despesas!I241</x:f>
        <x:v>570</x:v>
      </x:c>
      <x:c r="K277" s="5" t="n">
        <x:f>0</x:f>
        <x:v>0</x:v>
      </x:c>
      <x:c r="L277" s="5" t="n">
        <x:f>Despesas!I241</x:f>
        <x:v>570</x:v>
      </x:c>
      <x:c r="M277" s="5" t="n">
        <x:f>-J277</x:f>
        <x:v>-570</x:v>
      </x:c>
    </x:row>
    <x:row r="278">
      <x:c r="A278" t="str">
        <x:f>"Despesa/Custo"</x:f>
        <x:v>Despesa/Custo</x:v>
      </x:c>
      <x:c r="B278" t="str">
        <x:f>Despesas!A242</x:f>
        <x:v>EMPRESA BRASILEIRA DE BENEFICIOS E PAGAMENTOS INSTITUICAO DE PAGAMENTO LTDA</x:v>
      </x:c>
      <x:c r="C278" t="n">
        <x:f>Despesas!B242</x:f>
        <x:v>0</x:v>
      </x:c>
      <x:c r="D278" t="str">
        <x:f>Despesas!C242</x:f>
        <x:v>015237</x:v>
      </x:c>
      <x:c r="E278" t="str">
        <x:f>Despesas!D242</x:f>
        <x:v>VALE ALIMENTAÇÃO REF. 12</x:v>
      </x:c>
      <x:c r="F278" t="n">
        <x:f>Despesas!E242</x:f>
        <x:v>0</x:v>
      </x:c>
      <x:c r="G278" s="4" t="n">
        <x:f>Despesas!F242</x:f>
        <x:v>46031</x:v>
      </x:c>
      <x:c r="H278" t="str">
        <x:f>Despesas!G242</x:f>
        <x:v>EUROCHEM SERRA DO SALITRE</x:v>
      </x:c>
      <x:c r="I278" t="str">
        <x:f>Despesas!H242</x:f>
        <x:v>12.13 - VALE ALIMENTAÇÃO</x:v>
      </x:c>
      <x:c r="J278" s="5" t="n">
        <x:f>Despesas!I242</x:f>
        <x:v>1070</x:v>
      </x:c>
      <x:c r="K278" s="5" t="n">
        <x:f>0</x:f>
        <x:v>0</x:v>
      </x:c>
      <x:c r="L278" s="5" t="n">
        <x:f>Despesas!I242</x:f>
        <x:v>1070</x:v>
      </x:c>
      <x:c r="M278" s="5" t="n">
        <x:f>-J278</x:f>
        <x:v>-1070</x:v>
      </x:c>
    </x:row>
    <x:row r="279">
      <x:c r="A279" t="str">
        <x:f>"Despesa/Custo"</x:f>
        <x:v>Despesa/Custo</x:v>
      </x:c>
      <x:c r="B279" t="str">
        <x:f>Despesas!A243</x:f>
        <x:v>EMPRESA BRASILEIRA DE BENEFICIOS E PAGAMENTOS INSTITUICAO DE PAGAMENTO LTDA</x:v>
      </x:c>
      <x:c r="C279" t="n">
        <x:f>Despesas!B243</x:f>
        <x:v>0</x:v>
      </x:c>
      <x:c r="D279" t="str">
        <x:f>Despesas!C243</x:f>
        <x:v>015238</x:v>
      </x:c>
      <x:c r="E279" t="str">
        <x:f>Despesas!D243</x:f>
        <x:v>VALE ALIMENTAÇÃO REF. 12</x:v>
      </x:c>
      <x:c r="F279" t="n">
        <x:f>Despesas!E243</x:f>
        <x:v>0</x:v>
      </x:c>
      <x:c r="G279" s="4" t="n">
        <x:f>Despesas!F243</x:f>
        <x:v>46031</x:v>
      </x:c>
      <x:c r="H279" t="str">
        <x:f>Despesas!G243</x:f>
        <x:v>SERENA 10 TORRES 2025</x:v>
      </x:c>
      <x:c r="I279" t="str">
        <x:f>Despesas!H243</x:f>
        <x:v>12.13 - VALE ALIMENTAÇÃO</x:v>
      </x:c>
      <x:c r="J279" s="5" t="n">
        <x:f>Despesas!I243</x:f>
        <x:v>1240</x:v>
      </x:c>
      <x:c r="K279" s="5" t="n">
        <x:f>0</x:f>
        <x:v>0</x:v>
      </x:c>
      <x:c r="L279" s="5" t="n">
        <x:f>Despesas!I243</x:f>
        <x:v>1240</x:v>
      </x:c>
      <x:c r="M279" s="5" t="n">
        <x:f>-J279</x:f>
        <x:v>-1240</x:v>
      </x:c>
    </x:row>
    <x:row r="280">
      <x:c r="A280" t="str">
        <x:f>"Despesa/Custo"</x:f>
        <x:v>Despesa/Custo</x:v>
      </x:c>
      <x:c r="B280" t="str">
        <x:f>Despesas!A244</x:f>
        <x:v>EMPRESA BRASILEIRA DE BENEFICIOS E PAGAMENTOS INSTITUICAO DE PAGAMENTO LTDA</x:v>
      </x:c>
      <x:c r="C280" t="n">
        <x:f>Despesas!B244</x:f>
        <x:v>0</x:v>
      </x:c>
      <x:c r="D280" t="str">
        <x:f>Despesas!C244</x:f>
        <x:v>015239</x:v>
      </x:c>
      <x:c r="E280" t="str">
        <x:f>Despesas!D244</x:f>
        <x:v>VALE ALIMENTAÇÃO REF. 12</x:v>
      </x:c>
      <x:c r="F280" t="n">
        <x:f>Despesas!E244</x:f>
        <x:v>0</x:v>
      </x:c>
      <x:c r="G280" s="4" t="n">
        <x:f>Despesas!F244</x:f>
        <x:v>46031</x:v>
      </x:c>
      <x:c r="H280" t="str">
        <x:f>Despesas!G244</x:f>
        <x:v>ADMINISTRATIVO</x:v>
      </x:c>
      <x:c r="I280" t="str">
        <x:f>Despesas!H244</x:f>
        <x:v>12.13 - VALE ALIMENTAÇÃO</x:v>
      </x:c>
      <x:c r="J280" s="5" t="n">
        <x:f>Despesas!I244</x:f>
        <x:v>1610</x:v>
      </x:c>
      <x:c r="K280" s="5" t="n">
        <x:f>0</x:f>
        <x:v>0</x:v>
      </x:c>
      <x:c r="L280" s="5" t="n">
        <x:f>Despesas!I244</x:f>
        <x:v>1610</x:v>
      </x:c>
      <x:c r="M280" s="5" t="n">
        <x:f>-J280</x:f>
        <x:v>-1610</x:v>
      </x:c>
    </x:row>
    <x:row r="281">
      <x:c r="A281" t="str">
        <x:f>"Despesa/Custo"</x:f>
        <x:v>Despesa/Custo</x:v>
      </x:c>
      <x:c r="B281" t="str">
        <x:f>Despesas!A245</x:f>
        <x:v>EMPRESA BRASILEIRA DE BENEFICIOS E PAGAMENTOS INSTITUICAO DE PAGAMENTO LTDA</x:v>
      </x:c>
      <x:c r="C281" t="n">
        <x:f>Despesas!B245</x:f>
        <x:v>0</x:v>
      </x:c>
      <x:c r="D281" t="str">
        <x:f>Despesas!C245</x:f>
        <x:v>015240</x:v>
      </x:c>
      <x:c r="E281" t="str">
        <x:f>Despesas!D245</x:f>
        <x:v>VALE ALIMENTAÇÃO REF. 12</x:v>
      </x:c>
      <x:c r="F281" t="n">
        <x:f>Despesas!E245</x:f>
        <x:v>0</x:v>
      </x:c>
      <x:c r="G281" s="4" t="n">
        <x:f>Despesas!F245</x:f>
        <x:v>46031</x:v>
      </x:c>
      <x:c r="H281" t="str">
        <x:f>Despesas!G245</x:f>
        <x:v>CONDUTOS UG 1 - ELETROBRAS</x:v>
      </x:c>
      <x:c r="I281" t="str">
        <x:f>Despesas!H245</x:f>
        <x:v>12.13 - VALE ALIMENTAÇÃO</x:v>
      </x:c>
      <x:c r="J281" s="5" t="n">
        <x:f>Despesas!I245</x:f>
        <x:v>1173.33</x:v>
      </x:c>
      <x:c r="K281" s="5" t="n">
        <x:f>0</x:f>
        <x:v>0</x:v>
      </x:c>
      <x:c r="L281" s="5" t="n">
        <x:f>Despesas!I245</x:f>
        <x:v>1173.33</x:v>
      </x:c>
      <x:c r="M281" s="5" t="n">
        <x:f>-J281</x:f>
        <x:v>-1173.33</x:v>
      </x:c>
    </x:row>
    <x:row r="282">
      <x:c r="A282" t="str">
        <x:f>"Despesa/Custo"</x:f>
        <x:v>Despesa/Custo</x:v>
      </x:c>
      <x:c r="B282" t="str">
        <x:f>Despesas!A246</x:f>
        <x:v>EMPRESA BRASILEIRA DE BENEFICIOS E PAGAMENTOS INSTITUICAO DE PAGAMENTO LTDA</x:v>
      </x:c>
      <x:c r="C282" t="n">
        <x:f>Despesas!B246</x:f>
        <x:v>0</x:v>
      </x:c>
      <x:c r="D282" t="str">
        <x:f>Despesas!C246</x:f>
        <x:v>015241</x:v>
      </x:c>
      <x:c r="E282" t="str">
        <x:f>Despesas!D246</x:f>
        <x:v>VALE ALIMENTAÇÃO REF. 12</x:v>
      </x:c>
      <x:c r="F282" t="n">
        <x:f>Despesas!E246</x:f>
        <x:v>0</x:v>
      </x:c>
      <x:c r="G282" s="4" t="n">
        <x:f>Despesas!F246</x:f>
        <x:v>46031</x:v>
      </x:c>
      <x:c r="H282" t="str">
        <x:f>Despesas!G246</x:f>
        <x:v>CMOC CUBATÃO</x:v>
      </x:c>
      <x:c r="I282" t="str">
        <x:f>Despesas!H246</x:f>
        <x:v>12.13 - VALE ALIMENTAÇÃO</x:v>
      </x:c>
      <x:c r="J282" s="5" t="n">
        <x:f>Despesas!I246</x:f>
        <x:v>12819.33</x:v>
      </x:c>
      <x:c r="K282" s="5" t="n">
        <x:f>0</x:f>
        <x:v>0</x:v>
      </x:c>
      <x:c r="L282" s="5" t="n">
        <x:f>Despesas!I246</x:f>
        <x:v>12819.33</x:v>
      </x:c>
      <x:c r="M282" s="5" t="n">
        <x:f>-J282</x:f>
        <x:v>-12819.33</x:v>
      </x:c>
    </x:row>
    <x:row r="283">
      <x:c r="A283" t="str">
        <x:f>"Despesa/Custo"</x:f>
        <x:v>Despesa/Custo</x:v>
      </x:c>
      <x:c r="B283" t="str">
        <x:f>Despesas!A247</x:f>
        <x:v>EMPRESA BRASILEIRA DE BENEFICIOS E PAGAMENTOS INSTITUICAO DE PAGAMENTO LTDA</x:v>
      </x:c>
      <x:c r="C283" t="n">
        <x:f>Despesas!B247</x:f>
        <x:v>0</x:v>
      </x:c>
      <x:c r="D283" t="str">
        <x:f>Despesas!C247</x:f>
        <x:v>015242</x:v>
      </x:c>
      <x:c r="E283" t="str">
        <x:f>Despesas!D247</x:f>
        <x:v>VALE ALIMENTAÇÃO REF. 12</x:v>
      </x:c>
      <x:c r="F283" t="n">
        <x:f>Despesas!E247</x:f>
        <x:v>0</x:v>
      </x:c>
      <x:c r="G283" s="4" t="n">
        <x:f>Despesas!F247</x:f>
        <x:v>46031</x:v>
      </x:c>
      <x:c r="H283" t="str">
        <x:f>Despesas!G247</x:f>
        <x:v>CONTRATO 02 ANOS MINERAÇÃO SERRA VERDE</x:v>
      </x:c>
      <x:c r="I283" t="str">
        <x:f>Despesas!H247</x:f>
        <x:v>12.13 - VALE ALIMENTAÇÃO</x:v>
      </x:c>
      <x:c r="J283" s="5" t="n">
        <x:f>Despesas!I247</x:f>
        <x:v>3500</x:v>
      </x:c>
      <x:c r="K283" s="5" t="n">
        <x:f>0</x:f>
        <x:v>0</x:v>
      </x:c>
      <x:c r="L283" s="5" t="n">
        <x:f>Despesas!I247</x:f>
        <x:v>3500</x:v>
      </x:c>
      <x:c r="M283" s="5" t="n">
        <x:f>-J283</x:f>
        <x:v>-3500</x:v>
      </x:c>
    </x:row>
    <x:row r="284">
      <x:c r="A284" t="str">
        <x:f>"Despesa/Custo"</x:f>
        <x:v>Despesa/Custo</x:v>
      </x:c>
      <x:c r="B284" t="str">
        <x:f>Despesas!A248</x:f>
        <x:v>VALE ALIMENTAÇÃO OBRAS</x:v>
      </x:c>
      <x:c r="C284" t="n">
        <x:f>Despesas!B248</x:f>
        <x:v>0</x:v>
      </x:c>
      <x:c r="D284" t="str">
        <x:f>Despesas!C248</x:f>
        <x:v>015243</x:v>
      </x:c>
      <x:c r="E284" t="str">
        <x:f>Despesas!D248</x:f>
        <x:v>VALE ALIMENTAÇÃO REF. 12 - LARISSE PEREIRA</x:v>
      </x:c>
      <x:c r="F284" t="n">
        <x:f>Despesas!E248</x:f>
        <x:v>0</x:v>
      </x:c>
      <x:c r="G284" s="4" t="n">
        <x:f>Despesas!F248</x:f>
        <x:v>46031</x:v>
      </x:c>
      <x:c r="H284" t="str">
        <x:f>Despesas!G248</x:f>
        <x:v>NIOBIO CMOC CONTRATO</x:v>
      </x:c>
      <x:c r="I284" t="str">
        <x:f>Despesas!H248</x:f>
        <x:v>12.13 - VALE ALIMENTAÇÃO</x:v>
      </x:c>
      <x:c r="J284" s="5" t="n">
        <x:f>Despesas!I248</x:f>
        <x:v>1157.22</x:v>
      </x:c>
      <x:c r="K284" s="5" t="n">
        <x:f>0</x:f>
        <x:v>0</x:v>
      </x:c>
      <x:c r="L284" s="5" t="n">
        <x:f>Despesas!I248</x:f>
        <x:v>1157.22</x:v>
      </x:c>
      <x:c r="M284" s="5" t="n">
        <x:f>-J284</x:f>
        <x:v>-1157.22</x:v>
      </x:c>
    </x:row>
    <x:row r="285">
      <x:c r="A285" t="str">
        <x:f>"Despesa/Custo"</x:f>
        <x:v>Despesa/Custo</x:v>
      </x:c>
      <x:c r="B285" t="str">
        <x:f>Despesas!A249</x:f>
        <x:v>EMPRESA BRASILEIRA DE BENEFICIOS E PAGAMENTOS INSTITUICAO DE PAGAMENTO LTDA</x:v>
      </x:c>
      <x:c r="C285" t="n">
        <x:f>Despesas!B249</x:f>
        <x:v>0</x:v>
      </x:c>
      <x:c r="D285" t="str">
        <x:f>Despesas!C249</x:f>
        <x:v>015244</x:v>
      </x:c>
      <x:c r="E285" t="str">
        <x:f>Despesas!D249</x:f>
        <x:v>VALE ALIMENTAÇÃO REF. 12</x:v>
      </x:c>
      <x:c r="F285" t="str">
        <x:f>Despesas!E249</x:f>
        <x:v>PIX</x:v>
      </x:c>
      <x:c r="G285" s="4" t="n">
        <x:f>Despesas!F249</x:f>
        <x:v>46031</x:v>
      </x:c>
      <x:c r="H285" t="str">
        <x:f>Despesas!G249</x:f>
        <x:v>VLI PINTURA</x:v>
      </x:c>
      <x:c r="I285" t="str">
        <x:f>Despesas!H249</x:f>
        <x:v>12.13 - VALE ALIMENTAÇÃO</x:v>
      </x:c>
      <x:c r="J285" s="5" t="n">
        <x:f>Despesas!I249</x:f>
        <x:v>21199</x:v>
      </x:c>
      <x:c r="K285" s="5" t="n">
        <x:f>0</x:f>
        <x:v>0</x:v>
      </x:c>
      <x:c r="L285" s="5" t="n">
        <x:f>Despesas!I249</x:f>
        <x:v>21199</x:v>
      </x:c>
      <x:c r="M285" s="5" t="n">
        <x:f>-J285</x:f>
        <x:v>-21199</x:v>
      </x:c>
    </x:row>
    <x:row r="286">
      <x:c r="A286" t="str">
        <x:f>"Despesa/Custo"</x:f>
        <x:v>Despesa/Custo</x:v>
      </x:c>
      <x:c r="B286" t="str">
        <x:f>Despesas!A250</x:f>
        <x:v>EMPRESA BRASILEIRA DE BENEFICIOS E PAGAMENTOS INSTITUICAO DE PAGAMENTO LTDA</x:v>
      </x:c>
      <x:c r="C286" t="n">
        <x:f>Despesas!B250</x:f>
        <x:v>0</x:v>
      </x:c>
      <x:c r="D286" t="str">
        <x:f>Despesas!C250</x:f>
        <x:v>015245</x:v>
      </x:c>
      <x:c r="E286" t="str">
        <x:f>Despesas!D250</x:f>
        <x:v>VALE ALIMENTAÇÃO REF. 12</x:v>
      </x:c>
      <x:c r="F286" t="str">
        <x:f>Despesas!E250</x:f>
        <x:v>FLEXIVEL</x:v>
      </x:c>
      <x:c r="G286" s="4" t="n">
        <x:f>Despesas!F250</x:f>
        <x:v>46031</x:v>
      </x:c>
      <x:c r="H286" t="str">
        <x:f>Despesas!G250</x:f>
        <x:v>VLI PINTURA</x:v>
      </x:c>
      <x:c r="I286" t="str">
        <x:f>Despesas!H250</x:f>
        <x:v>12.13 - VALE ALIMENTAÇÃO</x:v>
      </x:c>
      <x:c r="J286" s="5" t="n">
        <x:f>Despesas!I250</x:f>
        <x:v>1000</x:v>
      </x:c>
      <x:c r="K286" s="5" t="n">
        <x:f>0</x:f>
        <x:v>0</x:v>
      </x:c>
      <x:c r="L286" s="5" t="n">
        <x:f>Despesas!I250</x:f>
        <x:v>1000</x:v>
      </x:c>
      <x:c r="M286" s="5" t="n">
        <x:f>-J286</x:f>
        <x:v>-1000</x:v>
      </x:c>
    </x:row>
    <x:row r="287">
      <x:c r="A287" t="str">
        <x:f>"Despesa/Custo"</x:f>
        <x:v>Despesa/Custo</x:v>
      </x:c>
      <x:c r="B287" t="str">
        <x:f>Despesas!A251</x:f>
        <x:v>DESPESAS DE OBRAS</x:v>
      </x:c>
      <x:c r="C287" t="n">
        <x:f>Despesas!B251</x:f>
        <x:v>0</x:v>
      </x:c>
      <x:c r="D287" t="str">
        <x:f>Despesas!C251</x:f>
        <x:v>015246</x:v>
      </x:c>
      <x:c r="E287" t="str">
        <x:f>Despesas!D251</x:f>
        <x:v>WISLEY NAZARE NUNES</x:v>
      </x:c>
      <x:c r="F287" t="str">
        <x:f>Despesas!E251</x:f>
        <x:v>SER. ELETRICO LIXADEIRAS</x:v>
      </x:c>
      <x:c r="G287" s="4" t="n">
        <x:f>Despesas!F251</x:f>
        <x:v>46031</x:v>
      </x:c>
      <x:c r="H287" t="str">
        <x:f>Despesas!G251</x:f>
        <x:v>CONTRATO 02 ANOS MINERAÇÃO SERRA VERDE</x:v>
      </x:c>
      <x:c r="I287" t="str">
        <x:f>Despesas!H251</x:f>
        <x:v>3.2 - SERVIÇO ELETRICO</x:v>
      </x:c>
      <x:c r="J287" s="5" t="n">
        <x:f>Despesas!I251</x:f>
        <x:v>50</x:v>
      </x:c>
      <x:c r="K287" s="5" t="n">
        <x:f>0</x:f>
        <x:v>0</x:v>
      </x:c>
      <x:c r="L287" s="5" t="n">
        <x:f>Despesas!I251</x:f>
        <x:v>50</x:v>
      </x:c>
      <x:c r="M287" s="5" t="n">
        <x:f>-J287</x:f>
        <x:v>-50</x:v>
      </x:c>
    </x:row>
    <x:row r="288">
      <x:c r="A288" t="str">
        <x:f>"Despesa/Custo"</x:f>
        <x:v>Despesa/Custo</x:v>
      </x:c>
      <x:c r="B288" t="str">
        <x:f>Despesas!A252</x:f>
        <x:v>FOLHA DE PAGAMENTO</x:v>
      </x:c>
      <x:c r="C288" t="n">
        <x:f>Despesas!B252</x:f>
        <x:v>0</x:v>
      </x:c>
      <x:c r="D288" t="str">
        <x:f>Despesas!C252</x:f>
        <x:v>015248</x:v>
      </x:c>
      <x:c r="E288" t="str">
        <x:f>Despesas!D252</x:f>
        <x:v>PAG POR FORA - TST - PEDRO HENRIQUE</x:v>
      </x:c>
      <x:c r="F288" t="n">
        <x:f>Despesas!E252</x:f>
        <x:v>0</x:v>
      </x:c>
      <x:c r="G288" s="4" t="n">
        <x:f>Despesas!F252</x:f>
        <x:v>46031</x:v>
      </x:c>
      <x:c r="H288" t="str">
        <x:f>Despesas!G252</x:f>
        <x:v>ANGLO AMERICAN</x:v>
      </x:c>
      <x:c r="I288" t="str">
        <x:f>Despesas!H252</x:f>
        <x:v>12.1 - SALARIO</x:v>
      </x:c>
      <x:c r="J288" s="5" t="n">
        <x:f>Despesas!I252</x:f>
        <x:v>500</x:v>
      </x:c>
      <x:c r="K288" s="5" t="n">
        <x:f>0</x:f>
        <x:v>0</x:v>
      </x:c>
      <x:c r="L288" s="5" t="n">
        <x:f>Despesas!I252</x:f>
        <x:v>500</x:v>
      </x:c>
      <x:c r="M288" s="5" t="n">
        <x:f>-J288</x:f>
        <x:v>-500</x:v>
      </x:c>
    </x:row>
    <x:row r="289">
      <x:c r="A289" t="str">
        <x:f>"Despesa/Custo"</x:f>
        <x:v>Despesa/Custo</x:v>
      </x:c>
      <x:c r="B289" t="str">
        <x:f>Despesas!A253</x:f>
        <x:v>REINALDO DIAS</x:v>
      </x:c>
      <x:c r="C289" t="n">
        <x:f>Despesas!B253</x:f>
        <x:v>0</x:v>
      </x:c>
      <x:c r="D289" t="str">
        <x:f>Despesas!C253</x:f>
        <x:v>015249</x:v>
      </x:c>
      <x:c r="E289" t="str">
        <x:f>Despesas!D253</x:f>
        <x:v>REEM REINALDO DIAS. FERRAGISTA</x:v>
      </x:c>
      <x:c r="F289" t="n">
        <x:f>Despesas!E253</x:f>
        <x:v>0</x:v>
      </x:c>
      <x:c r="G289" s="4" t="n">
        <x:f>Despesas!F253</x:f>
        <x:v>46031</x:v>
      </x:c>
      <x:c r="H289" t="str">
        <x:f>Despesas!G253</x:f>
        <x:v>ADMINISTRATIVO</x:v>
      </x:c>
      <x:c r="I289" t="str">
        <x:f>Despesas!H253</x:f>
        <x:v>8.9 - MATERIAIS DE CONSUMO EM OBRAS</x:v>
      </x:c>
      <x:c r="J289" s="5" t="n">
        <x:f>Despesas!I253</x:f>
        <x:v>503.19</x:v>
      </x:c>
      <x:c r="K289" s="5" t="n">
        <x:f>0</x:f>
        <x:v>0</x:v>
      </x:c>
      <x:c r="L289" s="5" t="n">
        <x:f>Despesas!I253</x:f>
        <x:v>503.19</x:v>
      </x:c>
      <x:c r="M289" s="5" t="n">
        <x:f>-J289</x:f>
        <x:v>-503.19</x:v>
      </x:c>
    </x:row>
    <x:row r="290">
      <x:c r="A290" t="str">
        <x:f>"Despesa/Custo"</x:f>
        <x:v>Despesa/Custo</x:v>
      </x:c>
      <x:c r="B290" t="str">
        <x:f>Despesas!A254</x:f>
        <x:v>ROBERTO SERVIÇOS</x:v>
      </x:c>
      <x:c r="C290" t="n">
        <x:f>Despesas!B254</x:f>
        <x:v>0</x:v>
      </x:c>
      <x:c r="D290" t="str">
        <x:f>Despesas!C254</x:f>
        <x:v>015250</x:v>
      </x:c>
      <x:c r="E290" t="str">
        <x:f>Despesas!D254</x:f>
        <x:v>DIARIA ROBERTO - GOIANIA X GOIANESIA</x:v>
      </x:c>
      <x:c r="F290" t="str">
        <x:f>Despesas!E254</x:f>
        <x:v>VIAGEM LEVAR A RANGER</x:v>
      </x:c>
      <x:c r="G290" s="4" t="n">
        <x:f>Despesas!F254</x:f>
        <x:v>46031</x:v>
      </x:c>
      <x:c r="H290" t="str">
        <x:f>Despesas!G254</x:f>
        <x:v>SERENA 10 TORRES 2025</x:v>
      </x:c>
      <x:c r="I290" t="str">
        <x:f>Despesas!H254</x:f>
        <x:v>10.1 - FRETE MATERIAIS E EQUIPAMENTOS</x:v>
      </x:c>
      <x:c r="J290" s="5" t="n">
        <x:f>Despesas!I254</x:f>
        <x:v>500</x:v>
      </x:c>
      <x:c r="K290" s="5" t="n">
        <x:f>0</x:f>
        <x:v>0</x:v>
      </x:c>
      <x:c r="L290" s="5" t="n">
        <x:f>Despesas!I254</x:f>
        <x:v>500</x:v>
      </x:c>
      <x:c r="M290" s="5" t="n">
        <x:f>-J290</x:f>
        <x:v>-500</x:v>
      </x:c>
    </x:row>
    <x:row r="291">
      <x:c r="A291" t="str">
        <x:f>"Despesa/Custo"</x:f>
        <x:v>Despesa/Custo</x:v>
      </x:c>
      <x:c r="B291" t="str">
        <x:f>Despesas!A255</x:f>
        <x:v>BRASLIMP TRANSPORTES ESPECIALIZADOS LTDA</x:v>
      </x:c>
      <x:c r="C291" t="str">
        <x:f>Despesas!B255</x:f>
        <x:v>260939</x:v>
      </x:c>
      <x:c r="D291" t="str">
        <x:f>Despesas!C255</x:f>
        <x:v>015333</x:v>
      </x:c>
      <x:c r="E291" t="str">
        <x:f>Despesas!D255</x:f>
        <x:v>LOCAÇÃO CAÇAMBA</x:v>
      </x:c>
      <x:c r="F291" t="str">
        <x:f>Despesas!E255</x:f>
        <x:v>VENCIMENTO ORIGINAL DO BOLETO 19/01/26</x:v>
      </x:c>
      <x:c r="G291" s="4" t="n">
        <x:f>Despesas!F255</x:f>
        <x:v>46031</x:v>
      </x:c>
      <x:c r="H291" t="str">
        <x:f>Despesas!G255</x:f>
        <x:v>VLI PINTURA</x:v>
      </x:c>
      <x:c r="I291" t="str">
        <x:f>Despesas!H255</x:f>
        <x:v>7.9 - LOCAÇAO CAÇAMBA P/ RESIDUOS</x:v>
      </x:c>
      <x:c r="J291" s="5" t="n">
        <x:f>Despesas!I255</x:f>
        <x:v>3984.97</x:v>
      </x:c>
      <x:c r="K291" s="5" t="n">
        <x:f>0</x:f>
        <x:v>0</x:v>
      </x:c>
      <x:c r="L291" s="5" t="n">
        <x:f>Despesas!I255</x:f>
        <x:v>3984.97</x:v>
      </x:c>
      <x:c r="M291" s="5" t="n">
        <x:f>-J291</x:f>
        <x:v>-3984.97</x:v>
      </x:c>
    </x:row>
    <x:row r="292">
      <x:c r="A292" t="str">
        <x:f>"Despesa/Custo"</x:f>
        <x:v>Despesa/Custo</x:v>
      </x:c>
      <x:c r="B292" t="str">
        <x:f>Despesas!A256</x:f>
        <x:v>MASTER TUR TRANSPORTE DE PASSAGEIROS LTDA</x:v>
      </x:c>
      <x:c r="C292" t="n">
        <x:f>Despesas!B256</x:f>
        <x:v>0</x:v>
      </x:c>
      <x:c r="D292" t="str">
        <x:f>Despesas!C256</x:f>
        <x:v>015409</x:v>
      </x:c>
      <x:c r="E292" t="str">
        <x:f>Despesas!D256</x:f>
        <x:v>FATURA MEDIÇÃO MES 12</x:v>
      </x:c>
      <x:c r="F292" t="n">
        <x:f>Despesas!E256</x:f>
        <x:v>0</x:v>
      </x:c>
      <x:c r="G292" s="4" t="n">
        <x:f>Despesas!F256</x:f>
        <x:v>46031</x:v>
      </x:c>
      <x:c r="H292" t="str">
        <x:f>Despesas!G256</x:f>
        <x:v>MOSAIC UBERABA CONTRAT0 3 ANOS</x:v>
      </x:c>
      <x:c r="I292" t="str">
        <x:f>Despesas!H256</x:f>
        <x:v>12.7 - TRANSPORTE FUNCIONARIOS</x:v>
      </x:c>
      <x:c r="J292" s="5" t="n">
        <x:f>Despesas!I256</x:f>
        <x:v>36000</x:v>
      </x:c>
      <x:c r="K292" s="5" t="n">
        <x:f>0</x:f>
        <x:v>0</x:v>
      </x:c>
      <x:c r="L292" s="5" t="n">
        <x:f>Despesas!I256</x:f>
        <x:v>36000</x:v>
      </x:c>
      <x:c r="M292" s="5" t="n">
        <x:f>-J292</x:f>
        <x:v>-36000</x:v>
      </x:c>
    </x:row>
    <x:row r="293">
      <x:c r="A293" t="str">
        <x:f>"Despesa/Custo"</x:f>
        <x:v>Despesa/Custo</x:v>
      </x:c>
      <x:c r="B293" t="str">
        <x:f>Despesas!A257</x:f>
        <x:v>BR HIDRAULICA EIRELI</x:v>
      </x:c>
      <x:c r="C293" t="str">
        <x:f>Despesas!B257</x:f>
        <x:v>32970</x:v>
      </x:c>
      <x:c r="D293" t="str">
        <x:f>Despesas!C257</x:f>
        <x:v>015852</x:v>
      </x:c>
      <x:c r="E293" t="str">
        <x:f>Despesas!D257</x:f>
        <x:v>MANGUEIRAS E CONEXÕES</x:v>
      </x:c>
      <x:c r="F293" t="n">
        <x:f>Despesas!E257</x:f>
        <x:v>0</x:v>
      </x:c>
      <x:c r="G293" s="4" t="n">
        <x:f>Despesas!F257</x:f>
        <x:v>46031</x:v>
      </x:c>
      <x:c r="H293" t="str">
        <x:f>Despesas!G257</x:f>
        <x:v>VLI PINTURA</x:v>
      </x:c>
      <x:c r="I293" t="str">
        <x:f>Despesas!H257</x:f>
        <x:v>8.7 - MANGUEIRAS / CONEXÕES</x:v>
      </x:c>
      <x:c r="J293" s="5" t="n">
        <x:f>Despesas!I257</x:f>
        <x:v>42.64</x:v>
      </x:c>
      <x:c r="K293" s="5" t="n">
        <x:f>0</x:f>
        <x:v>0</x:v>
      </x:c>
      <x:c r="L293" s="5" t="n">
        <x:f>Despesas!I257</x:f>
        <x:v>42.64</x:v>
      </x:c>
      <x:c r="M293" s="5" t="n">
        <x:f>-J293</x:f>
        <x:v>-42.64</x:v>
      </x:c>
    </x:row>
    <x:row r="294">
      <x:c r="A294" t="str">
        <x:f>"Despesa/Custo"</x:f>
        <x:v>Despesa/Custo</x:v>
      </x:c>
      <x:c r="B294" t="str">
        <x:f>Despesas!A258</x:f>
        <x:v>BANCO CAIXA</x:v>
      </x:c>
      <x:c r="C294" t="n">
        <x:f>Despesas!B258</x:f>
        <x:v>0</x:v>
      </x:c>
      <x:c r="D294" t="str">
        <x:f>Despesas!C258</x:f>
        <x:v>016005</x:v>
      </x:c>
      <x:c r="E294" t="str">
        <x:f>Despesas!D258</x:f>
        <x:v>DEB TARIFA</x:v>
      </x:c>
      <x:c r="F294" t="str">
        <x:f>Despesas!E258</x:f>
        <x:v>Documento gerado a partir do Mov. 017555</x:v>
      </x:c>
      <x:c r="G294" s="4" t="n">
        <x:f>Despesas!F258</x:f>
        <x:v>46031</x:v>
      </x:c>
      <x:c r="H294" t="str">
        <x:f>Despesas!G258</x:f>
        <x:v>ADMINISTRATIVO</x:v>
      </x:c>
      <x:c r="I294" t="str">
        <x:f>Despesas!H258</x:f>
        <x:v>18.2 - TARIFAS BANCARIAS</x:v>
      </x:c>
      <x:c r="J294" s="5" t="n">
        <x:f>Despesas!I258</x:f>
        <x:v>207.2</x:v>
      </x:c>
      <x:c r="K294" s="5" t="n">
        <x:f>0</x:f>
        <x:v>0</x:v>
      </x:c>
      <x:c r="L294" s="5" t="n">
        <x:f>Despesas!I258</x:f>
        <x:v>207.2</x:v>
      </x:c>
      <x:c r="M294" s="5" t="n">
        <x:f>-J294</x:f>
        <x:v>-207.2</x:v>
      </x:c>
    </x:row>
    <x:row r="295">
      <x:c r="A295" t="str">
        <x:f>"Despesa/Custo"</x:f>
        <x:v>Despesa/Custo</x:v>
      </x:c>
      <x:c r="B295" t="str">
        <x:f>Despesas!A259</x:f>
        <x:v>FINANCIAMENTO</x:v>
      </x:c>
      <x:c r="C295" t="n">
        <x:f>Despesas!B259</x:f>
        <x:v>0</x:v>
      </x:c>
      <x:c r="D295" t="str">
        <x:f>Despesas!C259</x:f>
        <x:v>013885</x:v>
      </x:c>
      <x:c r="E295" t="str">
        <x:f>Despesas!D259</x:f>
        <x:v>CASA DE CALDAS GILVAN GENILDO REF. MÊS 12/25</x:v>
      </x:c>
      <x:c r="F295" t="n">
        <x:f>Despesas!E259</x:f>
        <x:v>0</x:v>
      </x:c>
      <x:c r="G295" s="4" t="n">
        <x:f>Despesas!F259</x:f>
        <x:v>46032</x:v>
      </x:c>
      <x:c r="H295" t="str">
        <x:f>Despesas!G259</x:f>
        <x:v>RETIRADA</x:v>
      </x:c>
      <x:c r="I295" t="str">
        <x:f>Despesas!H259</x:f>
        <x:v>16.2 - RETIRADAS</x:v>
      </x:c>
      <x:c r="J295" s="5" t="n">
        <x:f>Despesas!I259</x:f>
        <x:v>2613.7</x:v>
      </x:c>
      <x:c r="K295" s="5" t="n">
        <x:f>0</x:f>
        <x:v>0</x:v>
      </x:c>
      <x:c r="L295" s="5" t="n">
        <x:f>Despesas!I259</x:f>
        <x:v>2613.7</x:v>
      </x:c>
      <x:c r="M295" s="5" t="n">
        <x:f>-J295</x:f>
        <x:v>-2613.7</x:v>
      </x:c>
    </x:row>
    <x:row r="296">
      <x:c r="A296" t="str">
        <x:f>"Despesa/Custo"</x:f>
        <x:v>Despesa/Custo</x:v>
      </x:c>
      <x:c r="B296" t="str">
        <x:f>Despesas!A260</x:f>
        <x:v>ALUGUEIS OBRAS</x:v>
      </x:c>
      <x:c r="C296" t="n">
        <x:f>Despesas!B260</x:f>
        <x:v>0</x:v>
      </x:c>
      <x:c r="D296" t="str">
        <x:f>Despesas!C260</x:f>
        <x:v>014648</x:v>
      </x:c>
      <x:c r="E296" t="str">
        <x:f>Despesas!D260</x:f>
        <x:v>MARIA ÂNGELA - R. SANTO ANTONIO S/N</x:v>
      </x:c>
      <x:c r="F296" t="str">
        <x:f>Despesas!E260</x:f>
        <x:v>PERÍODO 10/12 A 10/01</x:v>
      </x:c>
      <x:c r="G296" s="4" t="n">
        <x:f>Despesas!F260</x:f>
        <x:v>46032</x:v>
      </x:c>
      <x:c r="H296" t="str">
        <x:f>Despesas!G260</x:f>
        <x:v>ANGLO AMERICAN</x:v>
      </x:c>
      <x:c r="I296" t="str">
        <x:f>Despesas!H260</x:f>
        <x:v>5.3 - ALUGUEL ALOJAMENTO</x:v>
      </x:c>
      <x:c r="J296" s="5" t="n">
        <x:f>Despesas!I260</x:f>
        <x:v>1482.6</x:v>
      </x:c>
      <x:c r="K296" s="5" t="n">
        <x:f>0</x:f>
        <x:v>0</x:v>
      </x:c>
      <x:c r="L296" s="5" t="n">
        <x:f>Despesas!I260</x:f>
        <x:v>1482.6</x:v>
      </x:c>
      <x:c r="M296" s="5" t="n">
        <x:f>-J296</x:f>
        <x:v>-1482.6</x:v>
      </x:c>
    </x:row>
    <x:row r="297">
      <x:c r="A297" t="str">
        <x:f>"Despesa/Custo"</x:f>
        <x:v>Despesa/Custo</x:v>
      </x:c>
      <x:c r="B297" t="str">
        <x:f>Despesas!A261</x:f>
        <x:v>ALUGUEIS OBRAS</x:v>
      </x:c>
      <x:c r="C297" t="n">
        <x:f>Despesas!B261</x:f>
        <x:v>0</x:v>
      </x:c>
      <x:c r="D297" t="str">
        <x:f>Despesas!C261</x:f>
        <x:v>014649</x:v>
      </x:c>
      <x:c r="E297" t="str">
        <x:f>Despesas!D261</x:f>
        <x:v>RUA DOS ANDRADES N 211 PERIODO 10-01 A 10-02</x:v>
      </x:c>
      <x:c r="F297" t="str">
        <x:f>Despesas!E261</x:f>
        <x:v>FERNANDO CESAR DISCACCIATI SAD - PIX 424.326.696-49</x:v>
      </x:c>
      <x:c r="G297" s="4" t="n">
        <x:f>Despesas!F261</x:f>
        <x:v>46032</x:v>
      </x:c>
      <x:c r="H297" t="str">
        <x:f>Despesas!G261</x:f>
        <x:v>MOSAIC UBERABA CONTRAT0 3 ANOS</x:v>
      </x:c>
      <x:c r="I297" t="str">
        <x:f>Despesas!H261</x:f>
        <x:v>5.3 - ALUGUEL ALOJAMENTO</x:v>
      </x:c>
      <x:c r="J297" s="5" t="n">
        <x:f>Despesas!I261</x:f>
        <x:v>4800</x:v>
      </x:c>
      <x:c r="K297" s="5" t="n">
        <x:f>0</x:f>
        <x:v>0</x:v>
      </x:c>
      <x:c r="L297" s="5" t="n">
        <x:f>Despesas!I261</x:f>
        <x:v>4800</x:v>
      </x:c>
      <x:c r="M297" s="5" t="n">
        <x:f>-J297</x:f>
        <x:v>-4800</x:v>
      </x:c>
    </x:row>
    <x:row r="298">
      <x:c r="A298" t="str">
        <x:f>"Despesa/Custo"</x:f>
        <x:v>Despesa/Custo</x:v>
      </x:c>
      <x:c r="B298" t="str">
        <x:f>Despesas!A262</x:f>
        <x:v>ALUGUEIS OBRAS</x:v>
      </x:c>
      <x:c r="C298" t="n">
        <x:f>Despesas!B262</x:f>
        <x:v>0</x:v>
      </x:c>
      <x:c r="D298" t="str">
        <x:f>Despesas!C262</x:f>
        <x:v>014650</x:v>
      </x:c>
      <x:c r="E298" t="str">
        <x:f>Despesas!D262</x:f>
        <x:v>MARIA ÂNGELA - R. SANTO ANTÔNIO QD 04 LT 07 Nº 207  BAIRRO CENTRO</x:v>
      </x:c>
      <x:c r="F298" t="str">
        <x:f>Despesas!E262</x:f>
        <x:v>PERÍODO 10/12 A 10/01</x:v>
      </x:c>
      <x:c r="G298" s="4" t="n">
        <x:f>Despesas!F262</x:f>
        <x:v>46032</x:v>
      </x:c>
      <x:c r="H298" t="str">
        <x:f>Despesas!G262</x:f>
        <x:v>ANGLO AMERICAN</x:v>
      </x:c>
      <x:c r="I298" t="str">
        <x:f>Despesas!H262</x:f>
        <x:v>5.3 - ALUGUEL ALOJAMENTO</x:v>
      </x:c>
      <x:c r="J298" s="5" t="n">
        <x:f>Despesas!I262</x:f>
        <x:v>2223.4</x:v>
      </x:c>
      <x:c r="K298" s="5" t="n">
        <x:f>0</x:f>
        <x:v>0</x:v>
      </x:c>
      <x:c r="L298" s="5" t="n">
        <x:f>Despesas!I262</x:f>
        <x:v>2223.4</x:v>
      </x:c>
      <x:c r="M298" s="5" t="n">
        <x:f>-J298</x:f>
        <x:v>-2223.4</x:v>
      </x:c>
    </x:row>
    <x:row r="299">
      <x:c r="A299" t="str">
        <x:f>"Despesa/Custo"</x:f>
        <x:v>Despesa/Custo</x:v>
      </x:c>
      <x:c r="B299" t="str">
        <x:f>Despesas!A263</x:f>
        <x:v>ALUGUEIS OBRAS</x:v>
      </x:c>
      <x:c r="C299" t="n">
        <x:f>Despesas!B263</x:f>
        <x:v>0</x:v>
      </x:c>
      <x:c r="D299" t="str">
        <x:f>Despesas!C263</x:f>
        <x:v>014651</x:v>
      </x:c>
      <x:c r="E299" t="str">
        <x:f>Despesas!D263</x:f>
        <x:v>ALUGUEL MAGNO 10/01 A 10/02/26</x:v>
      </x:c>
      <x:c r="F299" t="n">
        <x:f>Despesas!E263</x:f>
        <x:v>0</x:v>
      </x:c>
      <x:c r="G299" s="4" t="n">
        <x:f>Despesas!F263</x:f>
        <x:v>46032</x:v>
      </x:c>
      <x:c r="H299" t="str">
        <x:f>Despesas!G263</x:f>
        <x:v>MOSAIC UBERABA CONTRAT0 3 ANOS</x:v>
      </x:c>
      <x:c r="I299" t="str">
        <x:f>Despesas!H263</x:f>
        <x:v>5.3 - ALUGUEL ALOJAMENTO</x:v>
      </x:c>
      <x:c r="J299" s="5" t="n">
        <x:f>Despesas!I263</x:f>
        <x:v>1000</x:v>
      </x:c>
      <x:c r="K299" s="5" t="n">
        <x:f>0</x:f>
        <x:v>0</x:v>
      </x:c>
      <x:c r="L299" s="5" t="n">
        <x:f>Despesas!I263</x:f>
        <x:v>1000</x:v>
      </x:c>
      <x:c r="M299" s="5" t="n">
        <x:f>-J299</x:f>
        <x:v>-1000</x:v>
      </x:c>
    </x:row>
    <x:row r="300">
      <x:c r="A300" t="str">
        <x:f>"Despesa/Custo"</x:f>
        <x:v>Despesa/Custo</x:v>
      </x:c>
      <x:c r="B300" t="str">
        <x:f>Despesas!A264</x:f>
        <x:v>UNIMED COOPERATIVA DE TRABALHO MEDICO</x:v>
      </x:c>
      <x:c r="C300" t="n">
        <x:f>Despesas!B264</x:f>
        <x:v>0</x:v>
      </x:c>
      <x:c r="D300" t="str">
        <x:f>Despesas!C264</x:f>
        <x:v>014652</x:v>
      </x:c>
      <x:c r="E300" t="str">
        <x:f>Despesas!D264</x:f>
        <x:v>PLANO DE SAÚDE REF. MÊS 01/2026</x:v>
      </x:c>
      <x:c r="F300" t="n">
        <x:f>Despesas!E264</x:f>
        <x:v>0</x:v>
      </x:c>
      <x:c r="G300" s="4" t="n">
        <x:f>Despesas!F264</x:f>
        <x:v>46032</x:v>
      </x:c>
      <x:c r="H300" t="str">
        <x:f>Despesas!G264</x:f>
        <x:v>NIOBIO CMOC CONTRATO</x:v>
      </x:c>
      <x:c r="I300" t="str">
        <x:f>Despesas!H264</x:f>
        <x:v>12.10 - PLANO DE SAUDE</x:v>
      </x:c>
      <x:c r="J300" s="5" t="n">
        <x:f>Despesas!I264</x:f>
        <x:v>2345.29</x:v>
      </x:c>
      <x:c r="K300" s="5" t="n">
        <x:f>0</x:f>
        <x:v>0</x:v>
      </x:c>
      <x:c r="L300" s="5" t="n">
        <x:f>Despesas!I264</x:f>
        <x:v>2345.29</x:v>
      </x:c>
      <x:c r="M300" s="5" t="n">
        <x:f>-J300</x:f>
        <x:v>-2345.29</x:v>
      </x:c>
    </x:row>
    <x:row r="301">
      <x:c r="A301" t="str">
        <x:f>"Despesa/Custo"</x:f>
        <x:v>Despesa/Custo</x:v>
      </x:c>
      <x:c r="B301" t="str">
        <x:f>Despesas!A265</x:f>
        <x:v>UNIMED COOPERATIVA DE TRABALHO MEDICO</x:v>
      </x:c>
      <x:c r="C301" t="n">
        <x:f>Despesas!B265</x:f>
        <x:v>0</x:v>
      </x:c>
      <x:c r="D301" t="str">
        <x:f>Despesas!C265</x:f>
        <x:v>014653</x:v>
      </x:c>
      <x:c r="E301" t="str">
        <x:f>Despesas!D265</x:f>
        <x:v>UNIMED GILVAN MÊS 01/2026</x:v>
      </x:c>
      <x:c r="F301" t="n">
        <x:f>Despesas!E265</x:f>
        <x:v>0</x:v>
      </x:c>
      <x:c r="G301" s="4" t="n">
        <x:f>Despesas!F265</x:f>
        <x:v>46032</x:v>
      </x:c>
      <x:c r="H301" t="str">
        <x:f>Despesas!G265</x:f>
        <x:v>ADMINISTRATIVO</x:v>
      </x:c>
      <x:c r="I301" t="str">
        <x:f>Despesas!H265</x:f>
        <x:v>12.10 - PLANO DE SAUDE</x:v>
      </x:c>
      <x:c r="J301" s="5" t="n">
        <x:f>Despesas!I265</x:f>
        <x:v>2916.75</x:v>
      </x:c>
      <x:c r="K301" s="5" t="n">
        <x:f>0</x:f>
        <x:v>0</x:v>
      </x:c>
      <x:c r="L301" s="5" t="n">
        <x:f>Despesas!I265</x:f>
        <x:v>2916.75</x:v>
      </x:c>
      <x:c r="M301" s="5" t="n">
        <x:f>-J301</x:f>
        <x:v>-2916.75</x:v>
      </x:c>
    </x:row>
    <x:row r="302">
      <x:c r="A302" t="str">
        <x:f>"Despesa/Custo"</x:f>
        <x:v>Despesa/Custo</x:v>
      </x:c>
      <x:c r="B302" t="str">
        <x:f>Despesas!A266</x:f>
        <x:v>UNIMED COOPERATIVA DE TRABALHO MEDICO</x:v>
      </x:c>
      <x:c r="C302" t="n">
        <x:f>Despesas!B266</x:f>
        <x:v>0</x:v>
      </x:c>
      <x:c r="D302" t="str">
        <x:f>Despesas!C266</x:f>
        <x:v>014654</x:v>
      </x:c>
      <x:c r="E302" t="str">
        <x:f>Despesas!D266</x:f>
        <x:v>UNIMED GENILDO MÊS 01/2026</x:v>
      </x:c>
      <x:c r="F302" t="n">
        <x:f>Despesas!E266</x:f>
        <x:v>0</x:v>
      </x:c>
      <x:c r="G302" s="4" t="n">
        <x:f>Despesas!F266</x:f>
        <x:v>46032</x:v>
      </x:c>
      <x:c r="H302" t="str">
        <x:f>Despesas!G266</x:f>
        <x:v>ADMINISTRATIVO</x:v>
      </x:c>
      <x:c r="I302" t="str">
        <x:f>Despesas!H266</x:f>
        <x:v>12.10 - PLANO DE SAUDE</x:v>
      </x:c>
      <x:c r="J302" s="5" t="n">
        <x:f>Despesas!I266</x:f>
        <x:v>3350.85</x:v>
      </x:c>
      <x:c r="K302" s="5" t="n">
        <x:f>0</x:f>
        <x:v>0</x:v>
      </x:c>
      <x:c r="L302" s="5" t="n">
        <x:f>Despesas!I266</x:f>
        <x:v>3350.85</x:v>
      </x:c>
      <x:c r="M302" s="5" t="n">
        <x:f>-J302</x:f>
        <x:v>-3350.85</x:v>
      </x:c>
    </x:row>
    <x:row r="303">
      <x:c r="A303" t="str">
        <x:f>"Despesa/Custo"</x:f>
        <x:v>Despesa/Custo</x:v>
      </x:c>
      <x:c r="B303" t="str">
        <x:f>Despesas!A267</x:f>
        <x:v>FINANCIAMENTO</x:v>
      </x:c>
      <x:c r="C303" t="n">
        <x:f>Despesas!B267</x:f>
        <x:v>0</x:v>
      </x:c>
      <x:c r="D303" t="str">
        <x:f>Despesas!C267</x:f>
        <x:v>014656</x:v>
      </x:c>
      <x:c r="E303" t="str">
        <x:f>Despesas!D267</x:f>
        <x:v>CASA DE CALDAS GILVAN GENILDO REF. MÊS 01/26</x:v>
      </x:c>
      <x:c r="F303" t="n">
        <x:f>Despesas!E267</x:f>
        <x:v>0</x:v>
      </x:c>
      <x:c r="G303" s="4" t="n">
        <x:f>Despesas!F267</x:f>
        <x:v>46032</x:v>
      </x:c>
      <x:c r="H303" t="str">
        <x:f>Despesas!G267</x:f>
        <x:v>RETIRADA</x:v>
      </x:c>
      <x:c r="I303" t="str">
        <x:f>Despesas!H267</x:f>
        <x:v>16.2 - RETIRADAS</x:v>
      </x:c>
      <x:c r="J303" s="5" t="n">
        <x:f>Despesas!I267</x:f>
        <x:v>2610.38</x:v>
      </x:c>
      <x:c r="K303" s="5" t="n">
        <x:f>0</x:f>
        <x:v>0</x:v>
      </x:c>
      <x:c r="L303" s="5" t="n">
        <x:f>Despesas!I267</x:f>
        <x:v>2610.38</x:v>
      </x:c>
      <x:c r="M303" s="5" t="n">
        <x:f>-J303</x:f>
        <x:v>-2610.38</x:v>
      </x:c>
    </x:row>
    <x:row r="304">
      <x:c r="A304" t="str">
        <x:f>"Despesa/Custo"</x:f>
        <x:v>Despesa/Custo</x:v>
      </x:c>
      <x:c r="B304" t="str">
        <x:f>Despesas!A268</x:f>
        <x:v>ALUGUEIS OBRAS</x:v>
      </x:c>
      <x:c r="C304" t="n">
        <x:f>Despesas!B268</x:f>
        <x:v>0</x:v>
      </x:c>
      <x:c r="D304" t="str">
        <x:f>Despesas!C268</x:f>
        <x:v>015089</x:v>
      </x:c>
      <x:c r="E304" t="str">
        <x:f>Despesas!D268</x:f>
        <x:v>R. CONCEIÇÃO DAS ALAGOAS Nº 596 REF.10/01 A 10/02</x:v>
      </x:c>
      <x:c r="F304" t="str">
        <x:f>Despesas!E268</x:f>
        <x:v>RUI ALBERTO DA SILVA - BOLETO</x:v>
      </x:c>
      <x:c r="G304" s="4" t="n">
        <x:f>Despesas!F268</x:f>
        <x:v>46032</x:v>
      </x:c>
      <x:c r="H304" t="str">
        <x:f>Despesas!G268</x:f>
        <x:v>MOSAIC UBERABA CONTRAT0 3 ANOS</x:v>
      </x:c>
      <x:c r="I304" t="str">
        <x:f>Despesas!H268</x:f>
        <x:v>5.3 - ALUGUEL ALOJAMENTO</x:v>
      </x:c>
      <x:c r="J304" s="5" t="n">
        <x:f>Despesas!I268</x:f>
        <x:v>2018.38</x:v>
      </x:c>
      <x:c r="K304" s="5" t="n">
        <x:f>0</x:f>
        <x:v>0</x:v>
      </x:c>
      <x:c r="L304" s="5" t="n">
        <x:f>Despesas!I268</x:f>
        <x:v>2018.38</x:v>
      </x:c>
      <x:c r="M304" s="5" t="n">
        <x:f>-J304</x:f>
        <x:v>-2018.38</x:v>
      </x:c>
    </x:row>
    <x:row r="305">
      <x:c r="A305" t="str">
        <x:f>"Despesa/Custo"</x:f>
        <x:v>Despesa/Custo</x:v>
      </x:c>
      <x:c r="B305" t="str">
        <x:f>Despesas!A269</x:f>
        <x:v>AYMORE CREDITO FINANCIAMENTO DE INV S.A</x:v>
      </x:c>
      <x:c r="C305" t="n">
        <x:f>Despesas!B269</x:f>
        <x:v>0</x:v>
      </x:c>
      <x:c r="D305" t="str">
        <x:f>Despesas!C269</x:f>
        <x:v>015341</x:v>
      </x:c>
      <x:c r="E305" t="str">
        <x:f>Despesas!D269</x:f>
        <x:v>CAMINHAO ELFA</x:v>
      </x:c>
      <x:c r="F305" t="n">
        <x:f>Despesas!E269</x:f>
        <x:v>0</x:v>
      </x:c>
      <x:c r="G305" s="4" t="n">
        <x:f>Despesas!F269</x:f>
        <x:v>46032</x:v>
      </x:c>
      <x:c r="H305" t="str">
        <x:f>Despesas!G269</x:f>
        <x:v>IMOBILIZADO / INVESTIMENTO</x:v>
      </x:c>
      <x:c r="I305" t="str">
        <x:f>Despesas!H269</x:f>
        <x:v>11.7 - FINANCIAMENTO</x:v>
      </x:c>
      <x:c r="J305" s="5" t="n">
        <x:f>Despesas!I269</x:f>
        <x:v>4372.84</x:v>
      </x:c>
      <x:c r="K305" s="5" t="n">
        <x:f>0</x:f>
        <x:v>0</x:v>
      </x:c>
      <x:c r="L305" s="5" t="n">
        <x:f>Despesas!I269</x:f>
        <x:v>4372.84</x:v>
      </x:c>
      <x:c r="M305" s="5" t="n">
        <x:f>-J305</x:f>
        <x:v>-4372.84</x:v>
      </x:c>
    </x:row>
    <x:row r="306">
      <x:c r="A306" t="str">
        <x:f>"Despesa/Custo"</x:f>
        <x:v>Despesa/Custo</x:v>
      </x:c>
      <x:c r="B306" t="str">
        <x:f>Despesas!A270</x:f>
        <x:v>EDUARDO RODRIGUES</x:v>
      </x:c>
      <x:c r="C306" t="n">
        <x:f>Despesas!B270</x:f>
        <x:v>0</x:v>
      </x:c>
      <x:c r="D306" t="str">
        <x:f>Despesas!C270</x:f>
        <x:v>015342</x:v>
      </x:c>
      <x:c r="E306" t="str">
        <x:f>Despesas!D270</x:f>
        <x:v>COMBUSTIVEL ARLA</x:v>
      </x:c>
      <x:c r="F306" t="n">
        <x:f>Despesas!E270</x:f>
        <x:v>0</x:v>
      </x:c>
      <x:c r="G306" s="4" t="n">
        <x:f>Despesas!F270</x:f>
        <x:v>46032</x:v>
      </x:c>
      <x:c r="H306" t="str">
        <x:f>Despesas!G270</x:f>
        <x:v>ADMINISTRATIVO</x:v>
      </x:c>
      <x:c r="I306" t="str">
        <x:f>Despesas!H270</x:f>
        <x:v>6.4 - COMBUSTIVEL VEICULOS</x:v>
      </x:c>
      <x:c r="J306" s="5" t="n">
        <x:f>Despesas!I270</x:f>
        <x:v>49.25</x:v>
      </x:c>
      <x:c r="K306" s="5" t="n">
        <x:f>0</x:f>
        <x:v>0</x:v>
      </x:c>
      <x:c r="L306" s="5" t="n">
        <x:f>Despesas!I270</x:f>
        <x:v>49.25</x:v>
      </x:c>
      <x:c r="M306" s="5" t="n">
        <x:f>-J306</x:f>
        <x:v>-49.25</x:v>
      </x:c>
    </x:row>
    <x:row r="307">
      <x:c r="A307" t="str">
        <x:f>"Despesa/Custo"</x:f>
        <x:v>Despesa/Custo</x:v>
      </x:c>
      <x:c r="B307" t="str">
        <x:f>Despesas!A271</x:f>
        <x:v>PROMA PROMOCOES LTDA</x:v>
      </x:c>
      <x:c r="C307" t="n">
        <x:f>Despesas!B271</x:f>
        <x:v>0</x:v>
      </x:c>
      <x:c r="D307" t="str">
        <x:f>Despesas!C271</x:f>
        <x:v>011664</x:v>
      </x:c>
      <x:c r="E307" t="str">
        <x:f>Despesas!D271</x:f>
        <x:v>FEIRA DE EVENTO BRASMIN - 2027</x:v>
      </x:c>
      <x:c r="F307" t="str">
        <x:f>Despesas!E271</x:f>
        <x:v>PARCELADO EM 12 X PIX 34.452.893/0001-28</x:v>
      </x:c>
      <x:c r="G307" s="4" t="n">
        <x:f>Despesas!F271</x:f>
        <x:v>46034</x:v>
      </x:c>
      <x:c r="H307" t="str">
        <x:f>Despesas!G271</x:f>
        <x:v>GASTOS COMERCIAIS</x:v>
      </x:c>
      <x:c r="I307" t="str">
        <x:f>Despesas!H271</x:f>
        <x:v>3.19 - SERVIÇO BRINDES E ACESSORIOS E EVENTOS</x:v>
      </x:c>
      <x:c r="J307" s="5" t="n">
        <x:f>Despesas!I271</x:f>
        <x:v>1510</x:v>
      </x:c>
      <x:c r="K307" s="5" t="n">
        <x:f>0</x:f>
        <x:v>0</x:v>
      </x:c>
      <x:c r="L307" s="5" t="n">
        <x:f>Despesas!I271</x:f>
        <x:v>1510</x:v>
      </x:c>
      <x:c r="M307" s="5" t="n">
        <x:f>-J307</x:f>
        <x:v>-1510</x:v>
      </x:c>
    </x:row>
    <x:row r="308">
      <x:c r="A308" t="str">
        <x:f>"Despesa/Custo"</x:f>
        <x:v>Despesa/Custo</x:v>
      </x:c>
      <x:c r="B308" t="str">
        <x:f>Despesas!A272</x:f>
        <x:v>CAGECE</x:v>
      </x:c>
      <x:c r="C308" t="n">
        <x:f>Despesas!B272</x:f>
        <x:v>0</x:v>
      </x:c>
      <x:c r="D308" t="str">
        <x:f>Despesas!C272</x:f>
        <x:v>015254</x:v>
      </x:c>
      <x:c r="E308" t="str">
        <x:f>Despesas!D272</x:f>
        <x:v>R. NIQUEL Q. LOTE 8/9 APT 102 REF. 12/2025</x:v>
      </x:c>
      <x:c r="F308" t="str">
        <x:f>Despesas!E272</x:f>
        <x:v>Nº DA INSCRIÇÃO 060731923</x:v>
      </x:c>
      <x:c r="G308" s="4" t="n">
        <x:f>Despesas!F272</x:f>
        <x:v>46034</x:v>
      </x:c>
      <x:c r="H308" t="str">
        <x:f>Despesas!G272</x:f>
        <x:v>VLI PINTURA</x:v>
      </x:c>
      <x:c r="I308" t="str">
        <x:f>Despesas!H272</x:f>
        <x:v>5.4 - AGUA ALOJAMENTO</x:v>
      </x:c>
      <x:c r="J308" s="5" t="n">
        <x:f>Despesas!I272</x:f>
        <x:v>140.98</x:v>
      </x:c>
      <x:c r="K308" s="5" t="n">
        <x:f>0</x:f>
        <x:v>0</x:v>
      </x:c>
      <x:c r="L308" s="5" t="n">
        <x:f>Despesas!I272</x:f>
        <x:v>140.98</x:v>
      </x:c>
      <x:c r="M308" s="5" t="n">
        <x:f>-J308</x:f>
        <x:v>-140.98</x:v>
      </x:c>
    </x:row>
    <x:row r="309">
      <x:c r="A309" t="str">
        <x:f>"Despesa/Custo"</x:f>
        <x:v>Despesa/Custo</x:v>
      </x:c>
      <x:c r="B309" t="str">
        <x:f>Despesas!A273</x:f>
        <x:v>EQUATORIAL DISTRIBUIDORA DE ENERGIA S.A.</x:v>
      </x:c>
      <x:c r="C309" t="n">
        <x:f>Despesas!B273</x:f>
        <x:v>0</x:v>
      </x:c>
      <x:c r="D309" t="str">
        <x:f>Despesas!C273</x:f>
        <x:v>015255</x:v>
      </x:c>
      <x:c r="E309" t="str">
        <x:f>Despesas!D273</x:f>
        <x:v>RUA DO CAJUEIRO REF. 12/2025</x:v>
      </x:c>
      <x:c r="F309" t="str">
        <x:f>Despesas!E273</x:f>
        <x:v>UC 8584230 / Nº DO CLIENTE 56620700</x:v>
      </x:c>
      <x:c r="G309" s="4" t="n">
        <x:f>Despesas!F273</x:f>
        <x:v>46034</x:v>
      </x:c>
      <x:c r="H309" t="str">
        <x:f>Despesas!G273</x:f>
        <x:v>VLI PINTURA</x:v>
      </x:c>
      <x:c r="I309" t="str">
        <x:f>Despesas!H273</x:f>
        <x:v>5.5 - ENERGIA ALOJAMENTO</x:v>
      </x:c>
      <x:c r="J309" s="5" t="n">
        <x:f>Despesas!I273</x:f>
        <x:v>163.26</x:v>
      </x:c>
      <x:c r="K309" s="5" t="n">
        <x:f>0</x:f>
        <x:v>0</x:v>
      </x:c>
      <x:c r="L309" s="5" t="n">
        <x:f>Despesas!I273</x:f>
        <x:v>163.26</x:v>
      </x:c>
      <x:c r="M309" s="5" t="n">
        <x:f>-J309</x:f>
        <x:v>-163.26</x:v>
      </x:c>
    </x:row>
    <x:row r="310">
      <x:c r="A310" t="str">
        <x:f>"Despesa/Custo"</x:f>
        <x:v>Despesa/Custo</x:v>
      </x:c>
      <x:c r="B310" t="str">
        <x:f>Despesas!A274</x:f>
        <x:v>EQUATORIAL DISTRIBUIDORA DE ENERGIA S.A.</x:v>
      </x:c>
      <x:c r="C310" t="n">
        <x:f>Despesas!B274</x:f>
        <x:v>0</x:v>
      </x:c>
      <x:c r="D310" t="str">
        <x:f>Despesas!C274</x:f>
        <x:v>015257</x:v>
      </x:c>
      <x:c r="E310" t="str">
        <x:f>Despesas!D274</x:f>
        <x:v>R. TANCREDO NEVES, SN REF. 01/2026</x:v>
      </x:c>
      <x:c r="F310" t="str">
        <x:f>Despesas!E274</x:f>
        <x:v>UNIDADE CONSUMIDORA: 3014994660</x:v>
      </x:c>
      <x:c r="G310" s="4" t="n">
        <x:f>Despesas!F274</x:f>
        <x:v>46034</x:v>
      </x:c>
      <x:c r="H310" t="str">
        <x:f>Despesas!G274</x:f>
        <x:v>SERENA 10 TORRES 2025</x:v>
      </x:c>
      <x:c r="I310" t="str">
        <x:f>Despesas!H274</x:f>
        <x:v>5.5 - ENERGIA ALOJAMENTO</x:v>
      </x:c>
      <x:c r="J310" s="5" t="n">
        <x:f>Despesas!I274</x:f>
        <x:v>147.76</x:v>
      </x:c>
      <x:c r="K310" s="5" t="n">
        <x:f>0</x:f>
        <x:v>0</x:v>
      </x:c>
      <x:c r="L310" s="5" t="n">
        <x:f>Despesas!I274</x:f>
        <x:v>147.76</x:v>
      </x:c>
      <x:c r="M310" s="5" t="n">
        <x:f>-J310</x:f>
        <x:v>-147.76</x:v>
      </x:c>
    </x:row>
    <x:row r="311">
      <x:c r="A311" t="str">
        <x:f>"Despesa/Custo"</x:f>
        <x:v>Despesa/Custo</x:v>
      </x:c>
      <x:c r="B311" t="str">
        <x:f>Despesas!A275</x:f>
        <x:v>REFEIÇÃO OBRAS</x:v>
      </x:c>
      <x:c r="C311" t="n">
        <x:f>Despesas!B275</x:f>
        <x:v>0</x:v>
      </x:c>
      <x:c r="D311" t="str">
        <x:f>Despesas!C275</x:f>
        <x:v>015259</x:v>
      </x:c>
      <x:c r="E311" t="str">
        <x:f>Despesas!D275</x:f>
        <x:v>REEMBOLSO ALIMENTAÇÃO LARISSA ALVES RIBEIRO</x:v>
      </x:c>
      <x:c r="F311" t="str">
        <x:f>Despesas!E275</x:f>
        <x:v>LARISSA ALVES RIBEIRO</x:v>
      </x:c>
      <x:c r="G311" s="4" t="n">
        <x:f>Despesas!F275</x:f>
        <x:v>46034</x:v>
      </x:c>
      <x:c r="H311" t="str">
        <x:f>Despesas!G275</x:f>
        <x:v>ANGLO AMERICAN</x:v>
      </x:c>
      <x:c r="I311" t="str">
        <x:f>Despesas!H275</x:f>
        <x:v>12.5 - REFEIÇÕES FUNCIONARIOS</x:v>
      </x:c>
      <x:c r="J311" s="5" t="n">
        <x:f>Despesas!I275</x:f>
        <x:v>109</x:v>
      </x:c>
      <x:c r="K311" s="5" t="n">
        <x:f>0</x:f>
        <x:v>0</x:v>
      </x:c>
      <x:c r="L311" s="5" t="n">
        <x:f>Despesas!I275</x:f>
        <x:v>109</x:v>
      </x:c>
      <x:c r="M311" s="5" t="n">
        <x:f>-J311</x:f>
        <x:v>-109</x:v>
      </x:c>
    </x:row>
    <x:row r="312">
      <x:c r="A312" t="str">
        <x:f>"Despesa/Custo"</x:f>
        <x:v>Despesa/Custo</x:v>
      </x:c>
      <x:c r="B312" t="str">
        <x:f>Despesas!A276</x:f>
        <x:v>EQUATORIAL DISTRIBUIDORA DE ENERGIA S.A.</x:v>
      </x:c>
      <x:c r="C312" t="n">
        <x:f>Despesas!B276</x:f>
        <x:v>0</x:v>
      </x:c>
      <x:c r="D312" t="str">
        <x:f>Despesas!C276</x:f>
        <x:v>015260</x:v>
      </x:c>
      <x:c r="E312" t="str">
        <x:f>Despesas!D276</x:f>
        <x:v>AV. LENCOIS, 5 REF. 01/2026</x:v>
      </x:c>
      <x:c r="F312" t="str">
        <x:f>Despesas!E276</x:f>
        <x:v>UC 33107480</x:v>
      </x:c>
      <x:c r="G312" s="4" t="n">
        <x:f>Despesas!F276</x:f>
        <x:v>46034</x:v>
      </x:c>
      <x:c r="H312" t="str">
        <x:f>Despesas!G276</x:f>
        <x:v>SERENA 10 TORRES 2025</x:v>
      </x:c>
      <x:c r="I312" t="str">
        <x:f>Despesas!H276</x:f>
        <x:v>5.5 - ENERGIA ALOJAMENTO</x:v>
      </x:c>
      <x:c r="J312" s="5" t="n">
        <x:f>Despesas!I276</x:f>
        <x:v>143.14</x:v>
      </x:c>
      <x:c r="K312" s="5" t="n">
        <x:f>0</x:f>
        <x:v>0</x:v>
      </x:c>
      <x:c r="L312" s="5" t="n">
        <x:f>Despesas!I276</x:f>
        <x:v>143.14</x:v>
      </x:c>
      <x:c r="M312" s="5" t="n">
        <x:f>-J312</x:f>
        <x:v>-143.14</x:v>
      </x:c>
    </x:row>
    <x:row r="313">
      <x:c r="A313" t="str">
        <x:f>"Despesa/Custo"</x:f>
        <x:v>Despesa/Custo</x:v>
      </x:c>
      <x:c r="B313" t="str">
        <x:f>Despesas!A277</x:f>
        <x:v>MARIA DA CONCEICAO</x:v>
      </x:c>
      <x:c r="C313" t="str">
        <x:f>Despesas!B277</x:f>
        <x:v>213</x:v>
      </x:c>
      <x:c r="D313" t="str">
        <x:f>Despesas!C277</x:f>
        <x:v>015261</x:v>
      </x:c>
      <x:c r="E313" t="str">
        <x:f>Despesas!D277</x:f>
        <x:v>ALIMENTAÇÃO RESTAURANTE</x:v>
      </x:c>
      <x:c r="F313" t="str">
        <x:f>Despesas!E277</x:f>
        <x:v>MARIA DA CONCEICAO: PIX 40.673.913/0001-93</x:v>
      </x:c>
      <x:c r="G313" s="4" t="n">
        <x:f>Despesas!F277</x:f>
        <x:v>46034</x:v>
      </x:c>
      <x:c r="H313" t="str">
        <x:f>Despesas!G277</x:f>
        <x:v>CMOC CUBATÃO</x:v>
      </x:c>
      <x:c r="I313" t="str">
        <x:f>Despesas!H277</x:f>
        <x:v>12.5 - REFEIÇÕES FUNCIONARIOS</x:v>
      </x:c>
      <x:c r="J313" s="5" t="n">
        <x:f>Despesas!I277</x:f>
        <x:v>4474.4</x:v>
      </x:c>
      <x:c r="K313" s="5" t="n">
        <x:f>0</x:f>
        <x:v>0</x:v>
      </x:c>
      <x:c r="L313" s="5" t="n">
        <x:f>Despesas!I277</x:f>
        <x:v>4474.4</x:v>
      </x:c>
      <x:c r="M313" s="5" t="n">
        <x:f>-J313</x:f>
        <x:v>-4474.4</x:v>
      </x:c>
    </x:row>
    <x:row r="314">
      <x:c r="A314" t="str">
        <x:f>"Despesa/Custo"</x:f>
        <x:v>Despesa/Custo</x:v>
      </x:c>
      <x:c r="B314" t="str">
        <x:f>Despesas!A278</x:f>
        <x:v>FUNDAÇAO SAO FRANCISCO XAVIER</x:v>
      </x:c>
      <x:c r="C314" t="n">
        <x:f>Despesas!B278</x:f>
        <x:v>0</x:v>
      </x:c>
      <x:c r="D314" t="str">
        <x:f>Despesas!C278</x:f>
        <x:v>015262</x:v>
      </x:c>
      <x:c r="E314" t="str">
        <x:f>Despesas!D278</x:f>
        <x:v>PLANO DE SAUDE FUNDAÇÃO FRANCISCO XAVIER</x:v>
      </x:c>
      <x:c r="F314" t="n">
        <x:f>Despesas!E278</x:f>
        <x:v>0</x:v>
      </x:c>
      <x:c r="G314" s="4" t="n">
        <x:f>Despesas!F278</x:f>
        <x:v>46034</x:v>
      </x:c>
      <x:c r="H314" t="str">
        <x:f>Despesas!G278</x:f>
        <x:v>MOSAIC UBERABA CONTRAT0 3 ANOS</x:v>
      </x:c>
      <x:c r="I314" t="str">
        <x:f>Despesas!H278</x:f>
        <x:v>12.10 - PLANO DE SAUDE</x:v>
      </x:c>
      <x:c r="J314" s="5" t="n">
        <x:f>Despesas!I278</x:f>
        <x:v>936.92</x:v>
      </x:c>
      <x:c r="K314" s="5" t="n">
        <x:f>0</x:f>
        <x:v>0</x:v>
      </x:c>
      <x:c r="L314" s="5" t="n">
        <x:f>Despesas!I278</x:f>
        <x:v>936.92</x:v>
      </x:c>
      <x:c r="M314" s="5" t="n">
        <x:f>-J314</x:f>
        <x:v>-936.92</x:v>
      </x:c>
    </x:row>
    <x:row r="315">
      <x:c r="A315" t="str">
        <x:f>"Despesa/Custo"</x:f>
        <x:v>Despesa/Custo</x:v>
      </x:c>
      <x:c r="B315" t="str">
        <x:f>Despesas!A279</x:f>
        <x:v>JC RESTAURANTE INDUSTRIAL NIQUELANDIA LTDA</x:v>
      </x:c>
      <x:c r="C315" t="str">
        <x:f>Despesas!B279</x:f>
        <x:v>3949</x:v>
      </x:c>
      <x:c r="D315" t="str">
        <x:f>Despesas!C279</x:f>
        <x:v>015263</x:v>
      </x:c>
      <x:c r="E315" t="str">
        <x:f>Despesas!D279</x:f>
        <x:v>JC RESTAURANTE INDUSTRIAL NIQUELANDIA LTDA</x:v>
      </x:c>
      <x:c r="F315" t="n">
        <x:f>Despesas!E279</x:f>
        <x:v>0</x:v>
      </x:c>
      <x:c r="G315" s="4" t="n">
        <x:f>Despesas!F279</x:f>
        <x:v>46034</x:v>
      </x:c>
      <x:c r="H315" t="str">
        <x:f>Despesas!G279</x:f>
        <x:v>NIOBIO CMOC CONTRATO</x:v>
      </x:c>
      <x:c r="I315" t="str">
        <x:f>Despesas!H279</x:f>
        <x:v>12.5 - REFEIÇÕES FUNCIONARIOS</x:v>
      </x:c>
      <x:c r="J315" s="5" t="n">
        <x:f>Despesas!I279</x:f>
        <x:v>3068.8</x:v>
      </x:c>
      <x:c r="K315" s="5" t="n">
        <x:f>0</x:f>
        <x:v>0</x:v>
      </x:c>
      <x:c r="L315" s="5" t="n">
        <x:f>Despesas!I279</x:f>
        <x:v>3068.8</x:v>
      </x:c>
      <x:c r="M315" s="5" t="n">
        <x:f>-J315</x:f>
        <x:v>-3068.8</x:v>
      </x:c>
    </x:row>
    <x:row r="316">
      <x:c r="A316" t="str">
        <x:f>"Despesa/Custo"</x:f>
        <x:v>Despesa/Custo</x:v>
      </x:c>
      <x:c r="B316" t="str">
        <x:f>Despesas!A280</x:f>
        <x:v>CREA</x:v>
      </x:c>
      <x:c r="C316" t="n">
        <x:f>Despesas!B280</x:f>
        <x:v>0</x:v>
      </x:c>
      <x:c r="D316" t="str">
        <x:f>Despesas!C280</x:f>
        <x:v>015267</x:v>
      </x:c>
      <x:c r="E316" t="str">
        <x:f>Despesas!D280</x:f>
        <x:v>CREA - DF</x:v>
      </x:c>
      <x:c r="F316" t="n">
        <x:f>Despesas!E280</x:f>
        <x:v>0</x:v>
      </x:c>
      <x:c r="G316" s="4" t="n">
        <x:f>Despesas!F280</x:f>
        <x:v>46034</x:v>
      </x:c>
      <x:c r="H316" t="str">
        <x:f>Despesas!G280</x:f>
        <x:v>ADMINISTRATIVO</x:v>
      </x:c>
      <x:c r="I316" t="str">
        <x:f>Despesas!H280</x:f>
        <x:v>3.10 - SERVIÇO ART</x:v>
      </x:c>
      <x:c r="J316" s="5" t="n">
        <x:f>Despesas!I280</x:f>
        <x:v>598.83</x:v>
      </x:c>
      <x:c r="K316" s="5" t="n">
        <x:f>0</x:f>
        <x:v>0</x:v>
      </x:c>
      <x:c r="L316" s="5" t="n">
        <x:f>Despesas!I280</x:f>
        <x:v>598.83</x:v>
      </x:c>
      <x:c r="M316" s="5" t="n">
        <x:f>-J316</x:f>
        <x:v>-598.83</x:v>
      </x:c>
    </x:row>
    <x:row r="317">
      <x:c r="A317" t="str">
        <x:f>"Despesa/Custo"</x:f>
        <x:v>Despesa/Custo</x:v>
      </x:c>
      <x:c r="B317" t="str">
        <x:f>Despesas!A281</x:f>
        <x:v>CREA</x:v>
      </x:c>
      <x:c r="C317" t="n">
        <x:f>Despesas!B281</x:f>
        <x:v>0</x:v>
      </x:c>
      <x:c r="D317" t="str">
        <x:f>Despesas!C281</x:f>
        <x:v>015268</x:v>
      </x:c>
      <x:c r="E317" t="str">
        <x:f>Despesas!D281</x:f>
        <x:v>CREA - MA</x:v>
      </x:c>
      <x:c r="F317" t="n">
        <x:f>Despesas!E281</x:f>
        <x:v>0</x:v>
      </x:c>
      <x:c r="G317" s="4" t="n">
        <x:f>Despesas!F281</x:f>
        <x:v>46034</x:v>
      </x:c>
      <x:c r="H317" t="str">
        <x:f>Despesas!G281</x:f>
        <x:v>SERENA 10 TORRES 2025</x:v>
      </x:c>
      <x:c r="I317" t="str">
        <x:f>Despesas!H281</x:f>
        <x:v>3.10 - SERVIÇO ART</x:v>
      </x:c>
      <x:c r="J317" s="5" t="n">
        <x:f>Despesas!I281</x:f>
        <x:v>1415.99</x:v>
      </x:c>
      <x:c r="K317" s="5" t="n">
        <x:f>0</x:f>
        <x:v>0</x:v>
      </x:c>
      <x:c r="L317" s="5" t="n">
        <x:f>Despesas!I281</x:f>
        <x:v>1415.99</x:v>
      </x:c>
      <x:c r="M317" s="5" t="n">
        <x:f>-J317</x:f>
        <x:v>-1415.99</x:v>
      </x:c>
    </x:row>
    <x:row r="318">
      <x:c r="A318" t="str">
        <x:f>"Despesa/Custo"</x:f>
        <x:v>Despesa/Custo</x:v>
      </x:c>
      <x:c r="B318" t="str">
        <x:f>Despesas!A282</x:f>
        <x:v>CREA</x:v>
      </x:c>
      <x:c r="C318" t="n">
        <x:f>Despesas!B282</x:f>
        <x:v>0</x:v>
      </x:c>
      <x:c r="D318" t="str">
        <x:f>Despesas!C282</x:f>
        <x:v>015269</x:v>
      </x:c>
      <x:c r="E318" t="str">
        <x:f>Despesas!D282</x:f>
        <x:v>CREA - MG</x:v>
      </x:c>
      <x:c r="F318" t="n">
        <x:f>Despesas!E282</x:f>
        <x:v>0</x:v>
      </x:c>
      <x:c r="G318" s="4" t="n">
        <x:f>Despesas!F282</x:f>
        <x:v>46034</x:v>
      </x:c>
      <x:c r="H318" t="str">
        <x:f>Despesas!G282</x:f>
        <x:v>MOSAIC UBERABA CONTRAT0 3 ANOS</x:v>
      </x:c>
      <x:c r="I318" t="str">
        <x:f>Despesas!H282</x:f>
        <x:v>3.10 - SERVIÇO ART</x:v>
      </x:c>
      <x:c r="J318" s="5" t="n">
        <x:f>Despesas!I282</x:f>
        <x:v>1415.99</x:v>
      </x:c>
      <x:c r="K318" s="5" t="n">
        <x:f>0</x:f>
        <x:v>0</x:v>
      </x:c>
      <x:c r="L318" s="5" t="n">
        <x:f>Despesas!I282</x:f>
        <x:v>1415.99</x:v>
      </x:c>
      <x:c r="M318" s="5" t="n">
        <x:f>-J318</x:f>
        <x:v>-1415.99</x:v>
      </x:c>
    </x:row>
    <x:row r="319">
      <x:c r="A319" t="str">
        <x:f>"Despesa/Custo"</x:f>
        <x:v>Despesa/Custo</x:v>
      </x:c>
      <x:c r="B319" t="str">
        <x:f>Despesas!A283</x:f>
        <x:v>CREA</x:v>
      </x:c>
      <x:c r="C319" t="n">
        <x:f>Despesas!B283</x:f>
        <x:v>0</x:v>
      </x:c>
      <x:c r="D319" t="str">
        <x:f>Despesas!C283</x:f>
        <x:v>015270</x:v>
      </x:c>
      <x:c r="E319" t="str">
        <x:f>Despesas!D283</x:f>
        <x:v>CREA - GO</x:v>
      </x:c>
      <x:c r="F319" t="n">
        <x:f>Despesas!E283</x:f>
        <x:v>0</x:v>
      </x:c>
      <x:c r="G319" s="4" t="n">
        <x:f>Despesas!F283</x:f>
        <x:v>46034</x:v>
      </x:c>
      <x:c r="H319" t="str">
        <x:f>Despesas!G283</x:f>
        <x:v>FOSFATO CMOC CONTRAT</x:v>
      </x:c>
      <x:c r="I319" t="str">
        <x:f>Despesas!H283</x:f>
        <x:v>3.10 - SERVIÇO ART</x:v>
      </x:c>
      <x:c r="J319" s="5" t="n">
        <x:f>Despesas!I283</x:f>
        <x:v>1415.99</x:v>
      </x:c>
      <x:c r="K319" s="5" t="n">
        <x:f>0</x:f>
        <x:v>0</x:v>
      </x:c>
      <x:c r="L319" s="5" t="n">
        <x:f>Despesas!I283</x:f>
        <x:v>1415.99</x:v>
      </x:c>
      <x:c r="M319" s="5" t="n">
        <x:f>-J319</x:f>
        <x:v>-1415.99</x:v>
      </x:c>
    </x:row>
    <x:row r="320">
      <x:c r="A320" t="str">
        <x:f>"Despesa/Custo"</x:f>
        <x:v>Despesa/Custo</x:v>
      </x:c>
      <x:c r="B320" t="str">
        <x:f>Despesas!A284</x:f>
        <x:v>CREA</x:v>
      </x:c>
      <x:c r="C320" t="n">
        <x:f>Despesas!B284</x:f>
        <x:v>0</x:v>
      </x:c>
      <x:c r="D320" t="str">
        <x:f>Despesas!C284</x:f>
        <x:v>015270</x:v>
      </x:c>
      <x:c r="E320" t="str">
        <x:f>Despesas!D284</x:f>
        <x:v>CREA - GO</x:v>
      </x:c>
      <x:c r="F320" t="n">
        <x:f>Despesas!E284</x:f>
        <x:v>0</x:v>
      </x:c>
      <x:c r="G320" s="4" t="n">
        <x:f>Despesas!F284</x:f>
        <x:v>46034</x:v>
      </x:c>
      <x:c r="H320" t="str">
        <x:f>Despesas!G284</x:f>
        <x:v>NIOBIO CMOC CONTRATO</x:v>
      </x:c>
      <x:c r="I320" t="str">
        <x:f>Despesas!H284</x:f>
        <x:v>3.10 - SERVIÇO ART</x:v>
      </x:c>
      <x:c r="J320" s="5" t="n">
        <x:f>Despesas!I284</x:f>
        <x:v>1415.99</x:v>
      </x:c>
      <x:c r="K320" s="5" t="n">
        <x:f>0</x:f>
        <x:v>0</x:v>
      </x:c>
      <x:c r="L320" s="5" t="n">
        <x:f>Despesas!I284</x:f>
        <x:v>1415.99</x:v>
      </x:c>
      <x:c r="M320" s="5" t="n">
        <x:f>-J320</x:f>
        <x:v>-1415.99</x:v>
      </x:c>
    </x:row>
    <x:row r="321">
      <x:c r="A321" t="str">
        <x:f>"Despesa/Custo"</x:f>
        <x:v>Despesa/Custo</x:v>
      </x:c>
      <x:c r="B321" t="str">
        <x:f>Despesas!A285</x:f>
        <x:v>LOC RADIO - LOCAÇAO E SERVIÇOS</x:v>
      </x:c>
      <x:c r="C321" t="str">
        <x:f>Despesas!B285</x:f>
        <x:v>1</x:v>
      </x:c>
      <x:c r="D321" t="str">
        <x:f>Despesas!C285</x:f>
        <x:v>015271</x:v>
      </x:c>
      <x:c r="E321" t="str">
        <x:f>Despesas!D285</x:f>
        <x:v>LOCAÇÃO RADIO REF. MÊS 12/2025</x:v>
      </x:c>
      <x:c r="F321" t="n">
        <x:f>Despesas!E285</x:f>
        <x:v>0</x:v>
      </x:c>
      <x:c r="G321" s="4" t="n">
        <x:f>Despesas!F285</x:f>
        <x:v>46034</x:v>
      </x:c>
      <x:c r="H321" t="str">
        <x:f>Despesas!G285</x:f>
        <x:v>FOSFATO CMOC CONTRAT</x:v>
      </x:c>
      <x:c r="I321" t="str">
        <x:f>Despesas!H285</x:f>
        <x:v>7.10 - LOCAÇAO RADIOS DE COMUNICAÇÃO</x:v>
      </x:c>
      <x:c r="J321" s="5" t="n">
        <x:f>Despesas!I285</x:f>
        <x:v>780</x:v>
      </x:c>
      <x:c r="K321" s="5" t="n">
        <x:f>0</x:f>
        <x:v>0</x:v>
      </x:c>
      <x:c r="L321" s="5" t="n">
        <x:f>Despesas!I285</x:f>
        <x:v>780</x:v>
      </x:c>
      <x:c r="M321" s="5" t="n">
        <x:f>-J321</x:f>
        <x:v>-780</x:v>
      </x:c>
    </x:row>
    <x:row r="322">
      <x:c r="A322" t="str">
        <x:f>"Despesa/Custo"</x:f>
        <x:v>Despesa/Custo</x:v>
      </x:c>
      <x:c r="B322" t="str">
        <x:f>Despesas!A286</x:f>
        <x:v>CONCIERGE BLINDADO SERVICOS AUTOMOTIVOS LTDA</x:v>
      </x:c>
      <x:c r="C322" t="str">
        <x:f>Despesas!B286</x:f>
        <x:v>280921</x:v>
      </x:c>
      <x:c r="D322" t="str">
        <x:f>Despesas!C286</x:f>
        <x:v>015272</x:v>
      </x:c>
      <x:c r="E322" t="str">
        <x:f>Despesas!D286</x:f>
        <x:v>COBLI</x:v>
      </x:c>
      <x:c r="F322" t="n">
        <x:f>Despesas!E286</x:f>
        <x:v>0</x:v>
      </x:c>
      <x:c r="G322" s="4" t="n">
        <x:f>Despesas!F286</x:f>
        <x:v>46034</x:v>
      </x:c>
      <x:c r="H322" t="str">
        <x:f>Despesas!G286</x:f>
        <x:v>VEICULOS</x:v>
      </x:c>
      <x:c r="I322" t="str">
        <x:f>Despesas!H286</x:f>
        <x:v>3.14 - SERVIÇO TELEMETRIA / FADIGA</x:v>
      </x:c>
      <x:c r="J322" s="5" t="n">
        <x:f>Despesas!I286</x:f>
        <x:v>2092.43</x:v>
      </x:c>
      <x:c r="K322" s="5" t="n">
        <x:f>0</x:f>
        <x:v>0</x:v>
      </x:c>
      <x:c r="L322" s="5" t="n">
        <x:f>Despesas!I286</x:f>
        <x:v>2092.43</x:v>
      </x:c>
      <x:c r="M322" s="5" t="n">
        <x:f>-J322</x:f>
        <x:v>-2092.43</x:v>
      </x:c>
    </x:row>
    <x:row r="323">
      <x:c r="A323" t="str">
        <x:f>"Despesa/Custo"</x:f>
        <x:v>Despesa/Custo</x:v>
      </x:c>
      <x:c r="B323" t="str">
        <x:f>Despesas!A287</x:f>
        <x:v>MOVIDA PARTICIPACOES S.A.</x:v>
      </x:c>
      <x:c r="C323" t="n">
        <x:f>Despesas!B287</x:f>
        <x:v>0</x:v>
      </x:c>
      <x:c r="D323" t="str">
        <x:f>Despesas!C287</x:f>
        <x:v>015273</x:v>
      </x:c>
      <x:c r="E323" t="str">
        <x:f>Despesas!D287</x:f>
        <x:v>MOVIDA ALUGUEL DE VEICULOS</x:v>
      </x:c>
      <x:c r="F323" t="n">
        <x:f>Despesas!E287</x:f>
        <x:v>0</x:v>
      </x:c>
      <x:c r="G323" s="4" t="n">
        <x:f>Despesas!F287</x:f>
        <x:v>46034</x:v>
      </x:c>
      <x:c r="H323" t="str">
        <x:f>Despesas!G287</x:f>
        <x:v>SERENA 10 TORRES 2025</x:v>
      </x:c>
      <x:c r="I323" t="str">
        <x:f>Despesas!H287</x:f>
        <x:v>7.8 - LOCAÇAO VEICULOS</x:v>
      </x:c>
      <x:c r="J323" s="5" t="n">
        <x:f>Despesas!I287</x:f>
        <x:v>5491.9</x:v>
      </x:c>
      <x:c r="K323" s="5" t="n">
        <x:f>0</x:f>
        <x:v>0</x:v>
      </x:c>
      <x:c r="L323" s="5" t="n">
        <x:f>Despesas!I287</x:f>
        <x:v>5491.9</x:v>
      </x:c>
      <x:c r="M323" s="5" t="n">
        <x:f>-J323</x:f>
        <x:v>-5491.9</x:v>
      </x:c>
    </x:row>
    <x:row r="324">
      <x:c r="A324" t="str">
        <x:f>"Despesa/Custo"</x:f>
        <x:v>Despesa/Custo</x:v>
      </x:c>
      <x:c r="B324" t="str">
        <x:f>Despesas!A288</x:f>
        <x:v>AUTO SOCORRO EZEQUIEL HIDRAULICA</x:v>
      </x:c>
      <x:c r="C324" t="n">
        <x:f>Despesas!B288</x:f>
        <x:v>0</x:v>
      </x:c>
      <x:c r="D324" t="str">
        <x:f>Despesas!C288</x:f>
        <x:v>015274</x:v>
      </x:c>
      <x:c r="E324" t="str">
        <x:f>Despesas!D288</x:f>
        <x:v>AUTO SOCORRO EZEQUIEL HIDRAULICA</x:v>
      </x:c>
      <x:c r="F324" t="str">
        <x:f>Despesas!E288</x:f>
        <x:v>FOSFATO OUVIDOR</x:v>
      </x:c>
      <x:c r="G324" s="4" t="n">
        <x:f>Despesas!F288</x:f>
        <x:v>46034</x:v>
      </x:c>
      <x:c r="H324" t="str">
        <x:f>Despesas!G288</x:f>
        <x:v>FOSFATO CMOC CONTRAT</x:v>
      </x:c>
      <x:c r="I324" t="str">
        <x:f>Despesas!H288</x:f>
        <x:v>8.14 - MANUTENÇÃO/PEÇAS MAQUINAS E EQUIPAMENTOS</x:v>
      </x:c>
      <x:c r="J324" s="5" t="n">
        <x:f>Despesas!I288</x:f>
        <x:v>300</x:v>
      </x:c>
      <x:c r="K324" s="5" t="n">
        <x:f>0</x:f>
        <x:v>0</x:v>
      </x:c>
      <x:c r="L324" s="5" t="n">
        <x:f>Despesas!I288</x:f>
        <x:v>300</x:v>
      </x:c>
      <x:c r="M324" s="5" t="n">
        <x:f>-J324</x:f>
        <x:v>-300</x:v>
      </x:c>
    </x:row>
    <x:row r="325">
      <x:c r="A325" t="str">
        <x:f>"Despesa/Custo"</x:f>
        <x:v>Despesa/Custo</x:v>
      </x:c>
      <x:c r="B325" t="str">
        <x:f>Despesas!A289</x:f>
        <x:v>PROTEGE DISTRIBUIDORA DE EPI EPC E SINALIZACAO LTDA</x:v>
      </x:c>
      <x:c r="C325" t="str">
        <x:f>Despesas!B289</x:f>
        <x:v>1147</x:v>
      </x:c>
      <x:c r="D325" t="str">
        <x:f>Despesas!C289</x:f>
        <x:v>015275</x:v>
      </x:c>
      <x:c r="E325" t="str">
        <x:f>Despesas!D289</x:f>
        <x:v>PROTEGE DISTRIBUIDORA DE EPIS</x:v>
      </x:c>
      <x:c r="F325" t="n">
        <x:f>Despesas!E289</x:f>
        <x:v>0</x:v>
      </x:c>
      <x:c r="G325" s="4" t="n">
        <x:f>Despesas!F289</x:f>
        <x:v>46034</x:v>
      </x:c>
      <x:c r="H325" t="str">
        <x:f>Despesas!G289</x:f>
        <x:v>ANGLO AMERICAN</x:v>
      </x:c>
      <x:c r="I325" t="str">
        <x:f>Despesas!H289</x:f>
        <x:v>13.1 - EPIS</x:v>
      </x:c>
      <x:c r="J325" s="5" t="n">
        <x:f>Despesas!I289</x:f>
        <x:v>358</x:v>
      </x:c>
      <x:c r="K325" s="5" t="n">
        <x:f>0</x:f>
        <x:v>0</x:v>
      </x:c>
      <x:c r="L325" s="5" t="n">
        <x:f>Despesas!I289</x:f>
        <x:v>358</x:v>
      </x:c>
      <x:c r="M325" s="5" t="n">
        <x:f>-J325</x:f>
        <x:v>-358</x:v>
      </x:c>
    </x:row>
    <x:row r="326">
      <x:c r="A326" t="str">
        <x:f>"Despesa/Custo"</x:f>
        <x:v>Despesa/Custo</x:v>
      </x:c>
      <x:c r="B326" t="str">
        <x:f>Despesas!A290</x:f>
        <x:v>FOLHA DE PAGAMENTO</x:v>
      </x:c>
      <x:c r="C326" t="n">
        <x:f>Despesas!B290</x:f>
        <x:v>0</x:v>
      </x:c>
      <x:c r="D326" t="str">
        <x:f>Despesas!C290</x:f>
        <x:v>015276</x:v>
      </x:c>
      <x:c r="E326" t="str">
        <x:f>Despesas!D290</x:f>
        <x:v>FOLHA DE PAGAMENTO DIA 15</x:v>
      </x:c>
      <x:c r="F326" t="n">
        <x:f>Despesas!E290</x:f>
        <x:v>0</x:v>
      </x:c>
      <x:c r="G326" s="4" t="n">
        <x:f>Despesas!F290</x:f>
        <x:v>46034</x:v>
      </x:c>
      <x:c r="H326" t="str">
        <x:f>Despesas!G290</x:f>
        <x:v>VLI PINTURA</x:v>
      </x:c>
      <x:c r="I326" t="str">
        <x:f>Despesas!H290</x:f>
        <x:v>12.1 - SALARIO</x:v>
      </x:c>
      <x:c r="J326" s="5" t="n">
        <x:f>Despesas!I290</x:f>
        <x:v>3338.71</x:v>
      </x:c>
      <x:c r="K326" s="5" t="n">
        <x:f>0</x:f>
        <x:v>0</x:v>
      </x:c>
      <x:c r="L326" s="5" t="n">
        <x:f>Despesas!I290</x:f>
        <x:v>3338.71</x:v>
      </x:c>
      <x:c r="M326" s="5" t="n">
        <x:f>-J326</x:f>
        <x:v>-3338.71</x:v>
      </x:c>
    </x:row>
    <x:row r="327">
      <x:c r="A327" t="str">
        <x:f>"Despesa/Custo"</x:f>
        <x:v>Despesa/Custo</x:v>
      </x:c>
      <x:c r="B327" t="str">
        <x:f>Despesas!A291</x:f>
        <x:v>FOLHA DE PAGAMENTO</x:v>
      </x:c>
      <x:c r="C327" t="n">
        <x:f>Despesas!B291</x:f>
        <x:v>0</x:v>
      </x:c>
      <x:c r="D327" t="str">
        <x:f>Despesas!C291</x:f>
        <x:v>015276</x:v>
      </x:c>
      <x:c r="E327" t="str">
        <x:f>Despesas!D291</x:f>
        <x:v>FOLHA DE PAGAMENTO DIA 15</x:v>
      </x:c>
      <x:c r="F327" t="n">
        <x:f>Despesas!E291</x:f>
        <x:v>0</x:v>
      </x:c>
      <x:c r="G327" s="4" t="n">
        <x:f>Despesas!F291</x:f>
        <x:v>46034</x:v>
      </x:c>
      <x:c r="H327" t="str">
        <x:f>Despesas!G291</x:f>
        <x:v>ADMINISTRATIVO</x:v>
      </x:c>
      <x:c r="I327" t="str">
        <x:f>Despesas!H291</x:f>
        <x:v>12.1 - SALARIO</x:v>
      </x:c>
      <x:c r="J327" s="5" t="n">
        <x:f>Despesas!I291</x:f>
        <x:v>2000</x:v>
      </x:c>
      <x:c r="K327" s="5" t="n">
        <x:f>0</x:f>
        <x:v>0</x:v>
      </x:c>
      <x:c r="L327" s="5" t="n">
        <x:f>Despesas!I291</x:f>
        <x:v>2000</x:v>
      </x:c>
      <x:c r="M327" s="5" t="n">
        <x:f>-J327</x:f>
        <x:v>-2000</x:v>
      </x:c>
    </x:row>
    <x:row r="328">
      <x:c r="A328" t="str">
        <x:f>"Despesa/Custo"</x:f>
        <x:v>Despesa/Custo</x:v>
      </x:c>
      <x:c r="B328" t="str">
        <x:f>Despesas!A292</x:f>
        <x:v>FOLHA DE PAGAMENTO</x:v>
      </x:c>
      <x:c r="C328" t="n">
        <x:f>Despesas!B292</x:f>
        <x:v>0</x:v>
      </x:c>
      <x:c r="D328" t="str">
        <x:f>Despesas!C292</x:f>
        <x:v>015276</x:v>
      </x:c>
      <x:c r="E328" t="str">
        <x:f>Despesas!D292</x:f>
        <x:v>FOLHA DE PAGAMENTO DIA 15</x:v>
      </x:c>
      <x:c r="F328" t="n">
        <x:f>Despesas!E292</x:f>
        <x:v>0</x:v>
      </x:c>
      <x:c r="G328" s="4" t="n">
        <x:f>Despesas!F292</x:f>
        <x:v>46034</x:v>
      </x:c>
      <x:c r="H328" t="str">
        <x:f>Despesas!G292</x:f>
        <x:v>MOSAIC UBERABA CONTRAT0 3 ANOS</x:v>
      </x:c>
      <x:c r="I328" t="str">
        <x:f>Despesas!H292</x:f>
        <x:v>12.1 - SALARIO</x:v>
      </x:c>
      <x:c r="J328" s="5" t="n">
        <x:f>Despesas!I292</x:f>
        <x:v>3860</x:v>
      </x:c>
      <x:c r="K328" s="5" t="n">
        <x:f>0</x:f>
        <x:v>0</x:v>
      </x:c>
      <x:c r="L328" s="5" t="n">
        <x:f>Despesas!I292</x:f>
        <x:v>3860</x:v>
      </x:c>
      <x:c r="M328" s="5" t="n">
        <x:f>-J328</x:f>
        <x:v>-3860</x:v>
      </x:c>
    </x:row>
    <x:row r="329">
      <x:c r="A329" t="str">
        <x:f>"Despesa/Custo"</x:f>
        <x:v>Despesa/Custo</x:v>
      </x:c>
      <x:c r="B329" t="str">
        <x:f>Despesas!A293</x:f>
        <x:v>FOLHA DE PAGAMENTO</x:v>
      </x:c>
      <x:c r="C329" t="n">
        <x:f>Despesas!B293</x:f>
        <x:v>0</x:v>
      </x:c>
      <x:c r="D329" t="str">
        <x:f>Despesas!C293</x:f>
        <x:v>015276</x:v>
      </x:c>
      <x:c r="E329" t="str">
        <x:f>Despesas!D293</x:f>
        <x:v>FOLHA DE PAGAMENTO DIA 15</x:v>
      </x:c>
      <x:c r="F329" t="n">
        <x:f>Despesas!E293</x:f>
        <x:v>0</x:v>
      </x:c>
      <x:c r="G329" s="4" t="n">
        <x:f>Despesas!F293</x:f>
        <x:v>46034</x:v>
      </x:c>
      <x:c r="H329" t="str">
        <x:f>Despesas!G293</x:f>
        <x:v>FOSFATO CMOC CONTRAT</x:v>
      </x:c>
      <x:c r="I329" t="str">
        <x:f>Despesas!H293</x:f>
        <x:v>12.1 - SALARIO</x:v>
      </x:c>
      <x:c r="J329" s="5" t="n">
        <x:f>Despesas!I293</x:f>
        <x:v>3860</x:v>
      </x:c>
      <x:c r="K329" s="5" t="n">
        <x:f>0</x:f>
        <x:v>0</x:v>
      </x:c>
      <x:c r="L329" s="5" t="n">
        <x:f>Despesas!I293</x:f>
        <x:v>3860</x:v>
      </x:c>
      <x:c r="M329" s="5" t="n">
        <x:f>-J329</x:f>
        <x:v>-3860</x:v>
      </x:c>
    </x:row>
    <x:row r="330">
      <x:c r="A330" t="str">
        <x:f>"Despesa/Custo"</x:f>
        <x:v>Despesa/Custo</x:v>
      </x:c>
      <x:c r="B330" t="str">
        <x:f>Despesas!A294</x:f>
        <x:v>MATRIX CONSULTORIA E GESTAO DE TREINAMENTO EIRELI</x:v>
      </x:c>
      <x:c r="C330" t="str">
        <x:f>Despesas!B294</x:f>
        <x:v>1615</x:v>
      </x:c>
      <x:c r="D330" t="str">
        <x:f>Despesas!C294</x:f>
        <x:v>015277</x:v>
      </x:c>
      <x:c r="E330" t="str">
        <x:f>Despesas!D294</x:f>
        <x:v>MATRIX CONSULTORIA E GESTÃO</x:v>
      </x:c>
      <x:c r="F330" t="n">
        <x:f>Despesas!E294</x:f>
        <x:v>0</x:v>
      </x:c>
      <x:c r="G330" s="4" t="n">
        <x:f>Despesas!F294</x:f>
        <x:v>46034</x:v>
      </x:c>
      <x:c r="H330" t="str">
        <x:f>Despesas!G294</x:f>
        <x:v>ANGLO AMERICAN</x:v>
      </x:c>
      <x:c r="I330" t="str">
        <x:f>Despesas!H294</x:f>
        <x:v>14.2 - CURSOS / TREINAMENTOS</x:v>
      </x:c>
      <x:c r="J330" s="5" t="n">
        <x:f>Despesas!I294</x:f>
        <x:v>239.8</x:v>
      </x:c>
      <x:c r="K330" s="5" t="n">
        <x:f>0</x:f>
        <x:v>0</x:v>
      </x:c>
      <x:c r="L330" s="5" t="n">
        <x:f>Despesas!I294</x:f>
        <x:v>239.8</x:v>
      </x:c>
      <x:c r="M330" s="5" t="n">
        <x:f>-J330</x:f>
        <x:v>-239.8</x:v>
      </x:c>
    </x:row>
    <x:row r="331">
      <x:c r="A331" t="str">
        <x:f>"Despesa/Custo"</x:f>
        <x:v>Despesa/Custo</x:v>
      </x:c>
      <x:c r="B331" t="str">
        <x:f>Despesas!A295</x:f>
        <x:v>MATRIX CONSULTORIA E GESTAO DE TREINAMENTO EIRELI</x:v>
      </x:c>
      <x:c r="C331" t="str">
        <x:f>Despesas!B295</x:f>
        <x:v>1615</x:v>
      </x:c>
      <x:c r="D331" t="str">
        <x:f>Despesas!C295</x:f>
        <x:v>015277</x:v>
      </x:c>
      <x:c r="E331" t="str">
        <x:f>Despesas!D295</x:f>
        <x:v>MATRIX CONSULTORIA E GESTÃO</x:v>
      </x:c>
      <x:c r="F331" t="n">
        <x:f>Despesas!E295</x:f>
        <x:v>0</x:v>
      </x:c>
      <x:c r="G331" s="4" t="n">
        <x:f>Despesas!F295</x:f>
        <x:v>46034</x:v>
      </x:c>
      <x:c r="H331" t="str">
        <x:f>Despesas!G295</x:f>
        <x:v>EUROCHEM SERRA DO SALITRE</x:v>
      </x:c>
      <x:c r="I331" t="str">
        <x:f>Despesas!H295</x:f>
        <x:v>14.2 - CURSOS / TREINAMENTOS</x:v>
      </x:c>
      <x:c r="J331" s="5" t="n">
        <x:f>Despesas!I295</x:f>
        <x:v>119.9</x:v>
      </x:c>
      <x:c r="K331" s="5" t="n">
        <x:f>0</x:f>
        <x:v>0</x:v>
      </x:c>
      <x:c r="L331" s="5" t="n">
        <x:f>Despesas!I295</x:f>
        <x:v>119.9</x:v>
      </x:c>
      <x:c r="M331" s="5" t="n">
        <x:f>-J331</x:f>
        <x:v>-119.9</x:v>
      </x:c>
    </x:row>
    <x:row r="332">
      <x:c r="A332" t="str">
        <x:f>"Despesa/Custo"</x:f>
        <x:v>Despesa/Custo</x:v>
      </x:c>
      <x:c r="B332" t="str">
        <x:f>Despesas!A296</x:f>
        <x:v>MATRIX CONSULTORIA E GESTAO DE TREINAMENTO EIRELI</x:v>
      </x:c>
      <x:c r="C332" t="str">
        <x:f>Despesas!B296</x:f>
        <x:v>1615</x:v>
      </x:c>
      <x:c r="D332" t="str">
        <x:f>Despesas!C296</x:f>
        <x:v>015277</x:v>
      </x:c>
      <x:c r="E332" t="str">
        <x:f>Despesas!D296</x:f>
        <x:v>MATRIX CONSULTORIA E GESTÃO</x:v>
      </x:c>
      <x:c r="F332" t="n">
        <x:f>Despesas!E296</x:f>
        <x:v>0</x:v>
      </x:c>
      <x:c r="G332" s="4" t="n">
        <x:f>Despesas!F296</x:f>
        <x:v>46034</x:v>
      </x:c>
      <x:c r="H332" t="str">
        <x:f>Despesas!G296</x:f>
        <x:v>SERENA 10 TORRES 2025</x:v>
      </x:c>
      <x:c r="I332" t="str">
        <x:f>Despesas!H296</x:f>
        <x:v>14.2 - CURSOS / TREINAMENTOS</x:v>
      </x:c>
      <x:c r="J332" s="5" t="n">
        <x:f>Despesas!I296</x:f>
        <x:v>769.5</x:v>
      </x:c>
      <x:c r="K332" s="5" t="n">
        <x:f>0</x:f>
        <x:v>0</x:v>
      </x:c>
      <x:c r="L332" s="5" t="n">
        <x:f>Despesas!I296</x:f>
        <x:v>769.5</x:v>
      </x:c>
      <x:c r="M332" s="5" t="n">
        <x:f>-J332</x:f>
        <x:v>-769.5</x:v>
      </x:c>
    </x:row>
    <x:row r="333">
      <x:c r="A333" t="str">
        <x:f>"Despesa/Custo"</x:f>
        <x:v>Despesa/Custo</x:v>
      </x:c>
      <x:c r="B333" t="str">
        <x:f>Despesas!A297</x:f>
        <x:v>STILO WEB</x:v>
      </x:c>
      <x:c r="C333" t="n">
        <x:f>Despesas!B297</x:f>
        <x:v>0</x:v>
      </x:c>
      <x:c r="D333" t="str">
        <x:f>Despesas!C297</x:f>
        <x:v>015321</x:v>
      </x:c>
      <x:c r="E333" t="str">
        <x:f>Despesas!D297</x:f>
        <x:v>HOSPEDAGEM DE SITE / E-MAIL</x:v>
      </x:c>
      <x:c r="F333" t="str">
        <x:f>Despesas!E297</x:f>
        <x:v>VENCIMENTO ORIGINAL DO BOLETO 10/11/25</x:v>
      </x:c>
      <x:c r="G333" s="4" t="n">
        <x:f>Despesas!F297</x:f>
        <x:v>46034</x:v>
      </x:c>
      <x:c r="H333" t="str">
        <x:f>Despesas!G297</x:f>
        <x:v>ADMINISTRATIVO</x:v>
      </x:c>
      <x:c r="I333" t="str">
        <x:f>Despesas!H297</x:f>
        <x:v>11.8 - SISTEMA / SERVIDOR</x:v>
      </x:c>
      <x:c r="J333" s="5" t="n">
        <x:f>Despesas!I297</x:f>
        <x:v>683.1</x:v>
      </x:c>
      <x:c r="K333" s="5" t="n">
        <x:f>0</x:f>
        <x:v>0</x:v>
      </x:c>
      <x:c r="L333" s="5" t="n">
        <x:f>Despesas!I297</x:f>
        <x:v>683.1</x:v>
      </x:c>
      <x:c r="M333" s="5" t="n">
        <x:f>-J333</x:f>
        <x:v>-683.1</x:v>
      </x:c>
    </x:row>
    <x:row r="334">
      <x:c r="A334" t="str">
        <x:f>"Despesa/Custo"</x:f>
        <x:v>Despesa/Custo</x:v>
      </x:c>
      <x:c r="B334" t="str">
        <x:f>Despesas!A298</x:f>
        <x:v>SANDRE - COMERCIO E INDUSTRIA DE EMBALAGENS LTDA</x:v>
      </x:c>
      <x:c r="C334" t="str">
        <x:f>Despesas!B298</x:f>
        <x:v>119.512</x:v>
      </x:c>
      <x:c r="D334" t="str">
        <x:f>Despesas!C298</x:f>
        <x:v>015343</x:v>
      </x:c>
      <x:c r="E334" t="str">
        <x:f>Despesas!D298</x:f>
        <x:v>FITA DUPLA FACE</x:v>
      </x:c>
      <x:c r="F334" t="n">
        <x:f>Despesas!E298</x:f>
        <x:v>0</x:v>
      </x:c>
      <x:c r="G334" s="4" t="n">
        <x:f>Despesas!F298</x:f>
        <x:v>46034</x:v>
      </x:c>
      <x:c r="H334" t="str">
        <x:f>Despesas!G298</x:f>
        <x:v>ADMINISTRATIVO</x:v>
      </x:c>
      <x:c r="I334" t="str">
        <x:f>Despesas!H298</x:f>
        <x:v>8.9 - MATERIAIS DE CONSUMO EM OBRAS</x:v>
      </x:c>
      <x:c r="J334" s="5" t="n">
        <x:f>Despesas!I298</x:f>
        <x:v>550.5</x:v>
      </x:c>
      <x:c r="K334" s="5" t="n">
        <x:f>0</x:f>
        <x:v>0</x:v>
      </x:c>
      <x:c r="L334" s="5" t="n">
        <x:f>Despesas!I298</x:f>
        <x:v>550.5</x:v>
      </x:c>
      <x:c r="M334" s="5" t="n">
        <x:f>-J334</x:f>
        <x:v>-550.5</x:v>
      </x:c>
    </x:row>
    <x:row r="335">
      <x:c r="A335" t="str">
        <x:f>"Despesa/Custo"</x:f>
        <x:v>Despesa/Custo</x:v>
      </x:c>
      <x:c r="B335" t="str">
        <x:f>Despesas!A299</x:f>
        <x:v>EDUARDO RODRIGUES</x:v>
      </x:c>
      <x:c r="C335" t="n">
        <x:f>Despesas!B299</x:f>
        <x:v>0</x:v>
      </x:c>
      <x:c r="D335" t="str">
        <x:f>Despesas!C299</x:f>
        <x:v>015344</x:v>
      </x:c>
      <x:c r="E335" t="str">
        <x:f>Despesas!D299</x:f>
        <x:v>JUROS CONTA EDUARDO ITAU</x:v>
      </x:c>
      <x:c r="F335" t="n">
        <x:f>Despesas!E299</x:f>
        <x:v>0</x:v>
      </x:c>
      <x:c r="G335" s="4" t="n">
        <x:f>Despesas!F299</x:f>
        <x:v>46034</x:v>
      </x:c>
      <x:c r="H335" t="str">
        <x:f>Despesas!G299</x:f>
        <x:v>ADMINISTRATIVO</x:v>
      </x:c>
      <x:c r="I335" t="str">
        <x:f>Despesas!H299</x:f>
        <x:v>18.1 - JUROS BANCARIOS</x:v>
      </x:c>
      <x:c r="J335" s="5" t="n">
        <x:f>Despesas!I299</x:f>
        <x:v>64.24</x:v>
      </x:c>
      <x:c r="K335" s="5" t="n">
        <x:f>0</x:f>
        <x:v>0</x:v>
      </x:c>
      <x:c r="L335" s="5" t="n">
        <x:f>Despesas!I299</x:f>
        <x:v>64.24</x:v>
      </x:c>
      <x:c r="M335" s="5" t="n">
        <x:f>-J335</x:f>
        <x:v>-64.24</x:v>
      </x:c>
    </x:row>
    <x:row r="336">
      <x:c r="A336" t="str">
        <x:f>"Despesa/Custo"</x:f>
        <x:v>Despesa/Custo</x:v>
      </x:c>
      <x:c r="B336" t="str">
        <x:f>Despesas!A300</x:f>
        <x:v>MERCADO LIVRE</x:v>
      </x:c>
      <x:c r="C336" t="str">
        <x:f>Despesas!B300</x:f>
        <x:v>94299</x:v>
      </x:c>
      <x:c r="D336" t="str">
        <x:f>Despesas!C300</x:f>
        <x:v>015345</x:v>
      </x:c>
      <x:c r="E336" t="str">
        <x:f>Despesas!D300</x:f>
        <x:v>FERRAMENTAS MANUAIS</x:v>
      </x:c>
      <x:c r="F336" t="n">
        <x:f>Despesas!E300</x:f>
        <x:v>0</x:v>
      </x:c>
      <x:c r="G336" s="4" t="n">
        <x:f>Despesas!F300</x:f>
        <x:v>46034</x:v>
      </x:c>
      <x:c r="H336" t="str">
        <x:f>Despesas!G300</x:f>
        <x:v>FOSFATO CMOC CONTRAT</x:v>
      </x:c>
      <x:c r="I336" t="str">
        <x:f>Despesas!H300</x:f>
        <x:v>8.6 - MATERIAIS / FERRAMENTAS  MANUAIS</x:v>
      </x:c>
      <x:c r="J336" s="5" t="n">
        <x:f>Despesas!I300</x:f>
        <x:v>635.2</x:v>
      </x:c>
      <x:c r="K336" s="5" t="n">
        <x:f>0</x:f>
        <x:v>0</x:v>
      </x:c>
      <x:c r="L336" s="5" t="n">
        <x:f>Despesas!I300</x:f>
        <x:v>635.2</x:v>
      </x:c>
      <x:c r="M336" s="5" t="n">
        <x:f>-J336</x:f>
        <x:v>-635.2</x:v>
      </x:c>
    </x:row>
    <x:row r="337">
      <x:c r="A337" t="str">
        <x:f>"Despesa/Custo"</x:f>
        <x:v>Despesa/Custo</x:v>
      </x:c>
      <x:c r="B337" t="str">
        <x:f>Despesas!A301</x:f>
        <x:v>DESPESAS DE VIAGEM</x:v>
      </x:c>
      <x:c r="C337" t="n">
        <x:f>Despesas!B301</x:f>
        <x:v>0</x:v>
      </x:c>
      <x:c r="D337" t="str">
        <x:f>Despesas!C301</x:f>
        <x:v>015347</x:v>
      </x:c>
      <x:c r="E337" t="str">
        <x:f>Despesas!D301</x:f>
        <x:v>REEM PASSAGENS OBRAS</x:v>
      </x:c>
      <x:c r="F337" t="n">
        <x:f>Despesas!E301</x:f>
        <x:v>0</x:v>
      </x:c>
      <x:c r="G337" s="4" t="n">
        <x:f>Despesas!F301</x:f>
        <x:v>46034</x:v>
      </x:c>
      <x:c r="H337" t="str">
        <x:f>Despesas!G301</x:f>
        <x:v>FOSFATO CMOC CONTRAT</x:v>
      </x:c>
      <x:c r="I337" t="str">
        <x:f>Despesas!H301</x:f>
        <x:v>12.9 - PASSAGENS FUNCIONARIOS</x:v>
      </x:c>
      <x:c r="J337" s="5" t="n">
        <x:f>Despesas!I301</x:f>
        <x:v>110</x:v>
      </x:c>
      <x:c r="K337" s="5" t="n">
        <x:f>0</x:f>
        <x:v>0</x:v>
      </x:c>
      <x:c r="L337" s="5" t="n">
        <x:f>Despesas!I301</x:f>
        <x:v>110</x:v>
      </x:c>
      <x:c r="M337" s="5" t="n">
        <x:f>-J337</x:f>
        <x:v>-110</x:v>
      </x:c>
    </x:row>
    <x:row r="338">
      <x:c r="A338" t="str">
        <x:f>"Despesa/Custo"</x:f>
        <x:v>Despesa/Custo</x:v>
      </x:c>
      <x:c r="B338" t="str">
        <x:f>Despesas!A302</x:f>
        <x:v>DESPESAS DE VIAGEM</x:v>
      </x:c>
      <x:c r="C338" t="n">
        <x:f>Despesas!B302</x:f>
        <x:v>0</x:v>
      </x:c>
      <x:c r="D338" t="str">
        <x:f>Despesas!C302</x:f>
        <x:v>015347</x:v>
      </x:c>
      <x:c r="E338" t="str">
        <x:f>Despesas!D302</x:f>
        <x:v>REEM PASSAGENS OBRAS</x:v>
      </x:c>
      <x:c r="F338" t="n">
        <x:f>Despesas!E302</x:f>
        <x:v>0</x:v>
      </x:c>
      <x:c r="G338" s="4" t="n">
        <x:f>Despesas!F302</x:f>
        <x:v>46034</x:v>
      </x:c>
      <x:c r="H338" t="str">
        <x:f>Despesas!G302</x:f>
        <x:v>NIOBIO CMOC CONTRATO</x:v>
      </x:c>
      <x:c r="I338" t="str">
        <x:f>Despesas!H302</x:f>
        <x:v>12.9 - PASSAGENS FUNCIONARIOS</x:v>
      </x:c>
      <x:c r="J338" s="5" t="n">
        <x:f>Despesas!I302</x:f>
        <x:v>205</x:v>
      </x:c>
      <x:c r="K338" s="5" t="n">
        <x:f>0</x:f>
        <x:v>0</x:v>
      </x:c>
      <x:c r="L338" s="5" t="n">
        <x:f>Despesas!I302</x:f>
        <x:v>205</x:v>
      </x:c>
      <x:c r="M338" s="5" t="n">
        <x:f>-J338</x:f>
        <x:v>-205</x:v>
      </x:c>
    </x:row>
    <x:row r="339">
      <x:c r="A339" t="str">
        <x:f>"Despesa/Custo"</x:f>
        <x:v>Despesa/Custo</x:v>
      </x:c>
      <x:c r="B339" t="str">
        <x:f>Despesas!A303</x:f>
        <x:v>OPÇÃO UNIFORMES LTDA</x:v>
      </x:c>
      <x:c r="C339" t="str">
        <x:f>Despesas!B303</x:f>
        <x:v>11833</x:v>
      </x:c>
      <x:c r="D339" t="str">
        <x:f>Despesas!C303</x:f>
        <x:v>015348</x:v>
      </x:c>
      <x:c r="E339" t="str">
        <x:f>Despesas!D303</x:f>
        <x:v>UNIFORMES SAIVE</x:v>
      </x:c>
      <x:c r="F339" t="n">
        <x:f>Despesas!E303</x:f>
        <x:v>0</x:v>
      </x:c>
      <x:c r="G339" s="4" t="n">
        <x:f>Despesas!F303</x:f>
        <x:v>46034</x:v>
      </x:c>
      <x:c r="H339" t="str">
        <x:f>Despesas!G303</x:f>
        <x:v>ADMINISTRATIVO</x:v>
      </x:c>
      <x:c r="I339" t="str">
        <x:f>Despesas!H303</x:f>
        <x:v>13.2 - UNIFORMES</x:v>
      </x:c>
      <x:c r="J339" s="5" t="n">
        <x:f>Despesas!I303</x:f>
        <x:v>313.6</x:v>
      </x:c>
      <x:c r="K339" s="5" t="n">
        <x:f>0</x:f>
        <x:v>0</x:v>
      </x:c>
      <x:c r="L339" s="5" t="n">
        <x:f>Despesas!I303</x:f>
        <x:v>313.6</x:v>
      </x:c>
      <x:c r="M339" s="5" t="n">
        <x:f>-J339</x:f>
        <x:v>-313.6</x:v>
      </x:c>
    </x:row>
    <x:row r="340">
      <x:c r="A340" t="str">
        <x:f>"Despesa/Custo"</x:f>
        <x:v>Despesa/Custo</x:v>
      </x:c>
      <x:c r="B340" t="str">
        <x:f>Despesas!A304</x:f>
        <x:v>MOTO BOY CLAUDEMIR</x:v>
      </x:c>
      <x:c r="C340" t="n">
        <x:f>Despesas!B304</x:f>
        <x:v>0</x:v>
      </x:c>
      <x:c r="D340" t="str">
        <x:f>Despesas!C304</x:f>
        <x:v>015349</x:v>
      </x:c>
      <x:c r="E340" t="str">
        <x:f>Despesas!D304</x:f>
        <x:v>UBER MOTOBOY</x:v>
      </x:c>
      <x:c r="F340" t="n">
        <x:f>Despesas!E304</x:f>
        <x:v>0</x:v>
      </x:c>
      <x:c r="G340" s="4" t="n">
        <x:f>Despesas!F304</x:f>
        <x:v>46034</x:v>
      </x:c>
      <x:c r="H340" t="str">
        <x:f>Despesas!G304</x:f>
        <x:v>ADMINISTRATIVO</x:v>
      </x:c>
      <x:c r="I340" t="str">
        <x:f>Despesas!H304</x:f>
        <x:v>3.8 - SERVIÇO MOTOBOY / UBER</x:v>
      </x:c>
      <x:c r="J340" s="5" t="n">
        <x:f>Despesas!I304</x:f>
        <x:v>30</x:v>
      </x:c>
      <x:c r="K340" s="5" t="n">
        <x:f>0</x:f>
        <x:v>0</x:v>
      </x:c>
      <x:c r="L340" s="5" t="n">
        <x:f>Despesas!I304</x:f>
        <x:v>30</x:v>
      </x:c>
      <x:c r="M340" s="5" t="n">
        <x:f>-J340</x:f>
        <x:v>-30</x:v>
      </x:c>
    </x:row>
    <x:row r="341">
      <x:c r="A341" t="str">
        <x:f>"Despesa/Custo"</x:f>
        <x:v>Despesa/Custo</x:v>
      </x:c>
      <x:c r="B341" t="str">
        <x:f>Despesas!A305</x:f>
        <x:v>PATRÍCIA CARVALHO</x:v>
      </x:c>
      <x:c r="C341" t="n">
        <x:f>Despesas!B305</x:f>
        <x:v>0</x:v>
      </x:c>
      <x:c r="D341" t="str">
        <x:f>Despesas!C305</x:f>
        <x:v>015350</x:v>
      </x:c>
      <x:c r="E341" t="str">
        <x:f>Despesas!D305</x:f>
        <x:v>MATERIAL DE LIMPEZA ALOJAMENTOS</x:v>
      </x:c>
      <x:c r="F341" t="n">
        <x:f>Despesas!E305</x:f>
        <x:v>0</x:v>
      </x:c>
      <x:c r="G341" s="4" t="n">
        <x:f>Despesas!F305</x:f>
        <x:v>46034</x:v>
      </x:c>
      <x:c r="H341" t="str">
        <x:f>Despesas!G305</x:f>
        <x:v>FOSFATO CMOC CONTRAT</x:v>
      </x:c>
      <x:c r="I341" t="str">
        <x:f>Despesas!H305</x:f>
        <x:v>8.11 - MATERIAIS DE LIMPEZA / HIGIENE</x:v>
      </x:c>
      <x:c r="J341" s="5" t="n">
        <x:f>Despesas!I305</x:f>
        <x:v>500</x:v>
      </x:c>
      <x:c r="K341" s="5" t="n">
        <x:f>0</x:f>
        <x:v>0</x:v>
      </x:c>
      <x:c r="L341" s="5" t="n">
        <x:f>Despesas!I305</x:f>
        <x:v>500</x:v>
      </x:c>
      <x:c r="M341" s="5" t="n">
        <x:f>-J341</x:f>
        <x:v>-500</x:v>
      </x:c>
    </x:row>
    <x:row r="342">
      <x:c r="A342" t="str">
        <x:f>"Despesa/Custo"</x:f>
        <x:v>Despesa/Custo</x:v>
      </x:c>
      <x:c r="B342" t="str">
        <x:f>Despesas!A306</x:f>
        <x:v>PATRÍCIA CARVALHO</x:v>
      </x:c>
      <x:c r="C342" t="n">
        <x:f>Despesas!B306</x:f>
        <x:v>0</x:v>
      </x:c>
      <x:c r="D342" t="str">
        <x:f>Despesas!C306</x:f>
        <x:v>015350</x:v>
      </x:c>
      <x:c r="E342" t="str">
        <x:f>Despesas!D306</x:f>
        <x:v>MATERIAL DE LIMPEZA ALOJAMENTOS</x:v>
      </x:c>
      <x:c r="F342" t="n">
        <x:f>Despesas!E306</x:f>
        <x:v>0</x:v>
      </x:c>
      <x:c r="G342" s="4" t="n">
        <x:f>Despesas!F306</x:f>
        <x:v>46034</x:v>
      </x:c>
      <x:c r="H342" t="str">
        <x:f>Despesas!G306</x:f>
        <x:v>NIOBIO CMOC CONTRATO</x:v>
      </x:c>
      <x:c r="I342" t="str">
        <x:f>Despesas!H306</x:f>
        <x:v>8.11 - MATERIAIS DE LIMPEZA / HIGIENE</x:v>
      </x:c>
      <x:c r="J342" s="5" t="n">
        <x:f>Despesas!I306</x:f>
        <x:v>500</x:v>
      </x:c>
      <x:c r="K342" s="5" t="n">
        <x:f>0</x:f>
        <x:v>0</x:v>
      </x:c>
      <x:c r="L342" s="5" t="n">
        <x:f>Despesas!I306</x:f>
        <x:v>500</x:v>
      </x:c>
      <x:c r="M342" s="5" t="n">
        <x:f>-J342</x:f>
        <x:v>-500</x:v>
      </x:c>
    </x:row>
    <x:row r="343">
      <x:c r="A343" t="str">
        <x:f>"Despesa/Custo"</x:f>
        <x:v>Despesa/Custo</x:v>
      </x:c>
      <x:c r="B343" t="str">
        <x:f>Despesas!A307</x:f>
        <x:v>DESPESAS VEICULOS</x:v>
      </x:c>
      <x:c r="C343" t="n">
        <x:f>Despesas!B307</x:f>
        <x:v>0</x:v>
      </x:c>
      <x:c r="D343" t="str">
        <x:f>Despesas!C307</x:f>
        <x:v>015351</x:v>
      </x:c>
      <x:c r="E343" t="str">
        <x:f>Despesas!D307</x:f>
        <x:v>ENTRADA CAPA DOS BANCOS SPIN</x:v>
      </x:c>
      <x:c r="F343" t="n">
        <x:f>Despesas!E307</x:f>
        <x:v>0</x:v>
      </x:c>
      <x:c r="G343" s="4" t="n">
        <x:f>Despesas!F307</x:f>
        <x:v>46034</x:v>
      </x:c>
      <x:c r="H343" t="str">
        <x:f>Despesas!G307</x:f>
        <x:v>VLI PINTURA</x:v>
      </x:c>
      <x:c r="I343" t="str">
        <x:f>Despesas!H307</x:f>
        <x:v>6.3 - MANUTENÇÃO/PEÇAS  VEICULOS</x:v>
      </x:c>
      <x:c r="J343" s="5" t="n">
        <x:f>Despesas!I307</x:f>
        <x:v>300</x:v>
      </x:c>
      <x:c r="K343" s="5" t="n">
        <x:f>0</x:f>
        <x:v>0</x:v>
      </x:c>
      <x:c r="L343" s="5" t="n">
        <x:f>Despesas!I307</x:f>
        <x:v>300</x:v>
      </x:c>
      <x:c r="M343" s="5" t="n">
        <x:f>-J343</x:f>
        <x:v>-300</x:v>
      </x:c>
    </x:row>
    <x:row r="344">
      <x:c r="A344" t="str">
        <x:f>"Despesa/Custo"</x:f>
        <x:v>Despesa/Custo</x:v>
      </x:c>
      <x:c r="B344" t="str">
        <x:f>Despesas!A308</x:f>
        <x:v>FERRAGISTA OBRAS</x:v>
      </x:c>
      <x:c r="C344" t="n">
        <x:f>Despesas!B308</x:f>
        <x:v>0</x:v>
      </x:c>
      <x:c r="D344" t="str">
        <x:f>Despesas!C308</x:f>
        <x:v>015352</x:v>
      </x:c>
      <x:c r="E344" t="str">
        <x:f>Despesas!D308</x:f>
        <x:v>PEÇAS DE MANUTENÇAO MAQUINA DE JATO</x:v>
      </x:c>
      <x:c r="F344" t="n">
        <x:f>Despesas!E308</x:f>
        <x:v>0</x:v>
      </x:c>
      <x:c r="G344" s="4" t="n">
        <x:f>Despesas!F308</x:f>
        <x:v>46034</x:v>
      </x:c>
      <x:c r="H344" t="str">
        <x:f>Despesas!G308</x:f>
        <x:v>CONDUTOS UG 1 - ELETROBRAS</x:v>
      </x:c>
      <x:c r="I344" t="str">
        <x:f>Despesas!H308</x:f>
        <x:v>8.14 - MANUTENÇÃO/PEÇAS MAQUINAS E EQUIPAMENTOS</x:v>
      </x:c>
      <x:c r="J344" s="5" t="n">
        <x:f>Despesas!I308</x:f>
        <x:v>605</x:v>
      </x:c>
      <x:c r="K344" s="5" t="n">
        <x:f>0</x:f>
        <x:v>0</x:v>
      </x:c>
      <x:c r="L344" s="5" t="n">
        <x:f>Despesas!I308</x:f>
        <x:v>605</x:v>
      </x:c>
      <x:c r="M344" s="5" t="n">
        <x:f>-J344</x:f>
        <x:v>-605</x:v>
      </x:c>
    </x:row>
    <x:row r="345">
      <x:c r="A345" t="str">
        <x:f>"Despesa/Custo"</x:f>
        <x:v>Despesa/Custo</x:v>
      </x:c>
      <x:c r="B345" t="str">
        <x:f>Despesas!A309</x:f>
        <x:v>CARTAO CREDITO EDUARDO</x:v>
      </x:c>
      <x:c r="C345" t="str">
        <x:f>Despesas!B309</x:f>
        <x:v>239</x:v>
      </x:c>
      <x:c r="D345" t="str">
        <x:f>Despesas!C309</x:f>
        <x:v>015529</x:v>
      </x:c>
      <x:c r="E345" t="str">
        <x:f>Despesas!D309</x:f>
        <x:v>MANUTENÇÃO RANGER SERENA PRW</x:v>
      </x:c>
      <x:c r="F345" t="str">
        <x:f>Despesas!E309</x:f>
        <x:v>ITAÚ</x:v>
      </x:c>
      <x:c r="G345" s="4" t="n">
        <x:f>Despesas!F309</x:f>
        <x:v>46034</x:v>
      </x:c>
      <x:c r="H345" t="str">
        <x:f>Despesas!G309</x:f>
        <x:v>SERENA 10 TORRES 2025</x:v>
      </x:c>
      <x:c r="I345" t="str">
        <x:f>Despesas!H309</x:f>
        <x:v>6.3 - MANUTENÇÃO/PEÇAS  VEICULOS</x:v>
      </x:c>
      <x:c r="J345" s="5" t="n">
        <x:f>Despesas!I309</x:f>
        <x:v>932.08</x:v>
      </x:c>
      <x:c r="K345" s="5" t="n">
        <x:f>0</x:f>
        <x:v>0</x:v>
      </x:c>
      <x:c r="L345" s="5" t="n">
        <x:f>Despesas!I309</x:f>
        <x:v>932.08</x:v>
      </x:c>
      <x:c r="M345" s="5" t="n">
        <x:f>-J345</x:f>
        <x:v>-932.08</x:v>
      </x:c>
    </x:row>
    <x:row r="346">
      <x:c r="A346" t="str">
        <x:f>"Despesa/Custo"</x:f>
        <x:v>Despesa/Custo</x:v>
      </x:c>
      <x:c r="B346" t="str">
        <x:f>Despesas!A310</x:f>
        <x:v>CARTAO CREDITO EDUARDO</x:v>
      </x:c>
      <x:c r="C346" t="str">
        <x:f>Despesas!B310</x:f>
        <x:v>239</x:v>
      </x:c>
      <x:c r="D346" t="str">
        <x:f>Despesas!C310</x:f>
        <x:v>015529</x:v>
      </x:c>
      <x:c r="E346" t="str">
        <x:f>Despesas!D310</x:f>
        <x:v>MANUTENÇÃO RANGER SERENA PRW</x:v>
      </x:c>
      <x:c r="F346" t="str">
        <x:f>Despesas!E310</x:f>
        <x:v>ITAÚ</x:v>
      </x:c>
      <x:c r="G346" s="4" t="n">
        <x:f>Despesas!F310</x:f>
        <x:v>46034</x:v>
      </x:c>
      <x:c r="H346" t="str">
        <x:f>Despesas!G310</x:f>
        <x:v>SERENA 10 TORRES 2025</x:v>
      </x:c>
      <x:c r="I346" t="str">
        <x:f>Despesas!H310</x:f>
        <x:v>6.3 - MANUTENÇÃO/PEÇAS  VEICULOS</x:v>
      </x:c>
      <x:c r="J346" s="5" t="n">
        <x:f>Despesas!I310</x:f>
        <x:v>932.08</x:v>
      </x:c>
      <x:c r="K346" s="5" t="n">
        <x:f>0</x:f>
        <x:v>0</x:v>
      </x:c>
      <x:c r="L346" s="5" t="n">
        <x:f>Despesas!I310</x:f>
        <x:v>932.08</x:v>
      </x:c>
      <x:c r="M346" s="5" t="n">
        <x:f>-J346</x:f>
        <x:v>-932.08</x:v>
      </x:c>
    </x:row>
    <x:row r="347">
      <x:c r="A347" t="str">
        <x:f>"Despesa/Custo"</x:f>
        <x:v>Despesa/Custo</x:v>
      </x:c>
      <x:c r="B347" t="str">
        <x:f>Despesas!A311</x:f>
        <x:v>CARTAO CREDITO EDUARDO</x:v>
      </x:c>
      <x:c r="C347" t="str">
        <x:f>Despesas!B311</x:f>
        <x:v>239</x:v>
      </x:c>
      <x:c r="D347" t="str">
        <x:f>Despesas!C311</x:f>
        <x:v>015529</x:v>
      </x:c>
      <x:c r="E347" t="str">
        <x:f>Despesas!D311</x:f>
        <x:v>MANUTENÇÃO RANGER SERENA PRW</x:v>
      </x:c>
      <x:c r="F347" t="str">
        <x:f>Despesas!E311</x:f>
        <x:v>ITAÚ</x:v>
      </x:c>
      <x:c r="G347" s="4" t="n">
        <x:f>Despesas!F311</x:f>
        <x:v>46034</x:v>
      </x:c>
      <x:c r="H347" t="str">
        <x:f>Despesas!G311</x:f>
        <x:v>SERENA 10 TORRES 2025</x:v>
      </x:c>
      <x:c r="I347" t="str">
        <x:f>Despesas!H311</x:f>
        <x:v>6.3 - MANUTENÇÃO/PEÇAS  VEICULOS</x:v>
      </x:c>
      <x:c r="J347" s="5" t="n">
        <x:f>Despesas!I311</x:f>
        <x:v>932.08</x:v>
      </x:c>
      <x:c r="K347" s="5" t="n">
        <x:f>0</x:f>
        <x:v>0</x:v>
      </x:c>
      <x:c r="L347" s="5" t="n">
        <x:f>Despesas!I311</x:f>
        <x:v>932.08</x:v>
      </x:c>
      <x:c r="M347" s="5" t="n">
        <x:f>-J347</x:f>
        <x:v>-932.08</x:v>
      </x:c>
    </x:row>
    <x:row r="348">
      <x:c r="A348" t="str">
        <x:f>"Despesa/Custo"</x:f>
        <x:v>Despesa/Custo</x:v>
      </x:c>
      <x:c r="B348" t="str">
        <x:f>Despesas!A312</x:f>
        <x:v>CARTAO CREDITO EDUARDO</x:v>
      </x:c>
      <x:c r="C348" t="str">
        <x:f>Despesas!B312</x:f>
        <x:v>239</x:v>
      </x:c>
      <x:c r="D348" t="str">
        <x:f>Despesas!C312</x:f>
        <x:v>015529</x:v>
      </x:c>
      <x:c r="E348" t="str">
        <x:f>Despesas!D312</x:f>
        <x:v>MANUTENÇÃO RANGER SERENA PRW</x:v>
      </x:c>
      <x:c r="F348" t="str">
        <x:f>Despesas!E312</x:f>
        <x:v>ITAÚ</x:v>
      </x:c>
      <x:c r="G348" s="4" t="n">
        <x:f>Despesas!F312</x:f>
        <x:v>46034</x:v>
      </x:c>
      <x:c r="H348" t="str">
        <x:f>Despesas!G312</x:f>
        <x:v>SERENA 10 TORRES 2025</x:v>
      </x:c>
      <x:c r="I348" t="str">
        <x:f>Despesas!H312</x:f>
        <x:v>6.3 - MANUTENÇÃO/PEÇAS  VEICULOS</x:v>
      </x:c>
      <x:c r="J348" s="5" t="n">
        <x:f>Despesas!I312</x:f>
        <x:v>932.08</x:v>
      </x:c>
      <x:c r="K348" s="5" t="n">
        <x:f>0</x:f>
        <x:v>0</x:v>
      </x:c>
      <x:c r="L348" s="5" t="n">
        <x:f>Despesas!I312</x:f>
        <x:v>932.08</x:v>
      </x:c>
      <x:c r="M348" s="5" t="n">
        <x:f>-J348</x:f>
        <x:v>-932.08</x:v>
      </x:c>
    </x:row>
    <x:row r="349">
      <x:c r="A349" t="str">
        <x:f>"Despesa/Custo"</x:f>
        <x:v>Despesa/Custo</x:v>
      </x:c>
      <x:c r="B349" t="str">
        <x:f>Despesas!A313</x:f>
        <x:v>CARTAO CREDITO EDUARDO</x:v>
      </x:c>
      <x:c r="C349" t="str">
        <x:f>Despesas!B313</x:f>
        <x:v>239</x:v>
      </x:c>
      <x:c r="D349" t="str">
        <x:f>Despesas!C313</x:f>
        <x:v>015529</x:v>
      </x:c>
      <x:c r="E349" t="str">
        <x:f>Despesas!D313</x:f>
        <x:v>MANUTENÇÃO RANGER SERENA PRW</x:v>
      </x:c>
      <x:c r="F349" t="str">
        <x:f>Despesas!E313</x:f>
        <x:v>ITAÚ</x:v>
      </x:c>
      <x:c r="G349" s="4" t="n">
        <x:f>Despesas!F313</x:f>
        <x:v>46034</x:v>
      </x:c>
      <x:c r="H349" t="str">
        <x:f>Despesas!G313</x:f>
        <x:v>SERENA 10 TORRES 2025</x:v>
      </x:c>
      <x:c r="I349" t="str">
        <x:f>Despesas!H313</x:f>
        <x:v>6.3 - MANUTENÇÃO/PEÇAS  VEICULOS</x:v>
      </x:c>
      <x:c r="J349" s="5" t="n">
        <x:f>Despesas!I313</x:f>
        <x:v>932.08</x:v>
      </x:c>
      <x:c r="K349" s="5" t="n">
        <x:f>0</x:f>
        <x:v>0</x:v>
      </x:c>
      <x:c r="L349" s="5" t="n">
        <x:f>Despesas!I313</x:f>
        <x:v>932.08</x:v>
      </x:c>
      <x:c r="M349" s="5" t="n">
        <x:f>-J349</x:f>
        <x:v>-932.08</x:v>
      </x:c>
    </x:row>
    <x:row r="350">
      <x:c r="A350" t="str">
        <x:f>"Despesa/Custo"</x:f>
        <x:v>Despesa/Custo</x:v>
      </x:c>
      <x:c r="B350" t="str">
        <x:f>Despesas!A314</x:f>
        <x:v>CARTAO CREDITO EDUARDO</x:v>
      </x:c>
      <x:c r="C350" t="str">
        <x:f>Despesas!B314</x:f>
        <x:v>239</x:v>
      </x:c>
      <x:c r="D350" t="str">
        <x:f>Despesas!C314</x:f>
        <x:v>015529</x:v>
      </x:c>
      <x:c r="E350" t="str">
        <x:f>Despesas!D314</x:f>
        <x:v>MANUTENÇÃO RANGER SERENA PRW</x:v>
      </x:c>
      <x:c r="F350" t="str">
        <x:f>Despesas!E314</x:f>
        <x:v>ITAÚ</x:v>
      </x:c>
      <x:c r="G350" s="4" t="n">
        <x:f>Despesas!F314</x:f>
        <x:v>46034</x:v>
      </x:c>
      <x:c r="H350" t="str">
        <x:f>Despesas!G314</x:f>
        <x:v>SERENA 10 TORRES 2025</x:v>
      </x:c>
      <x:c r="I350" t="str">
        <x:f>Despesas!H314</x:f>
        <x:v>6.3 - MANUTENÇÃO/PEÇAS  VEICULOS</x:v>
      </x:c>
      <x:c r="J350" s="5" t="n">
        <x:f>Despesas!I314</x:f>
        <x:v>932.08</x:v>
      </x:c>
      <x:c r="K350" s="5" t="n">
        <x:f>0</x:f>
        <x:v>0</x:v>
      </x:c>
      <x:c r="L350" s="5" t="n">
        <x:f>Despesas!I314</x:f>
        <x:v>932.08</x:v>
      </x:c>
      <x:c r="M350" s="5" t="n">
        <x:f>-J350</x:f>
        <x:v>-932.08</x:v>
      </x:c>
    </x:row>
    <x:row r="351">
      <x:c r="A351" t="str">
        <x:f>"Despesa/Custo"</x:f>
        <x:v>Despesa/Custo</x:v>
      </x:c>
      <x:c r="B351" t="str">
        <x:f>Despesas!A315</x:f>
        <x:v>BANCO CAIXA</x:v>
      </x:c>
      <x:c r="C351" t="n">
        <x:f>Despesas!B315</x:f>
        <x:v>0</x:v>
      </x:c>
      <x:c r="D351" t="str">
        <x:f>Despesas!C315</x:f>
        <x:v>016006</x:v>
      </x:c>
      <x:c r="E351" t="str">
        <x:f>Despesas!D315</x:f>
        <x:v>IMOBILIARIO LOTE PARQUE OESTE</x:v>
      </x:c>
      <x:c r="F351" t="n">
        <x:f>Despesas!E315</x:f>
        <x:v>0</x:v>
      </x:c>
      <x:c r="G351" s="4" t="n">
        <x:f>Despesas!F315</x:f>
        <x:v>46034</x:v>
      </x:c>
      <x:c r="H351" t="str">
        <x:f>Despesas!G315</x:f>
        <x:v>IMOBILIZADO / INVESTIMENTO</x:v>
      </x:c>
      <x:c r="I351" t="str">
        <x:f>Despesas!H315</x:f>
        <x:v>11.7 - FINANCIAMENTO</x:v>
      </x:c>
      <x:c r="J351" s="5" t="n">
        <x:f>Despesas!I315</x:f>
        <x:v>4531.17</x:v>
      </x:c>
      <x:c r="K351" s="5" t="n">
        <x:f>0</x:f>
        <x:v>0</x:v>
      </x:c>
      <x:c r="L351" s="5" t="n">
        <x:f>Despesas!I315</x:f>
        <x:v>4531.17</x:v>
      </x:c>
      <x:c r="M351" s="5" t="n">
        <x:f>-J351</x:f>
        <x:v>-4531.17</x:v>
      </x:c>
    </x:row>
    <x:row r="352">
      <x:c r="A352" t="str">
        <x:f>"Despesa/Custo"</x:f>
        <x:v>Despesa/Custo</x:v>
      </x:c>
      <x:c r="B352" t="str">
        <x:f>Despesas!A316</x:f>
        <x:v>BANCO CAIXA</x:v>
      </x:c>
      <x:c r="C352" t="n">
        <x:f>Despesas!B316</x:f>
        <x:v>0</x:v>
      </x:c>
      <x:c r="D352" t="str">
        <x:f>Despesas!C316</x:f>
        <x:v>016007</x:v>
      </x:c>
      <x:c r="E352" t="str">
        <x:f>Despesas!D316</x:f>
        <x:v>DEB AUT / DB T CESTA</x:v>
      </x:c>
      <x:c r="F352" t="str">
        <x:f>Despesas!E316</x:f>
        <x:v>Documento gerado a partir do Mov. 017557</x:v>
      </x:c>
      <x:c r="G352" s="4" t="n">
        <x:f>Despesas!F316</x:f>
        <x:v>46034</x:v>
      </x:c>
      <x:c r="H352" t="str">
        <x:f>Despesas!G316</x:f>
        <x:v>ADMINISTRATIVO</x:v>
      </x:c>
      <x:c r="I352" t="str">
        <x:f>Despesas!H316</x:f>
        <x:v>18.2 - TARIFAS BANCARIAS</x:v>
      </x:c>
      <x:c r="J352" s="5" t="n">
        <x:f>Despesas!I316</x:f>
        <x:v>471.34</x:v>
      </x:c>
      <x:c r="K352" s="5" t="n">
        <x:f>0</x:f>
        <x:v>0</x:v>
      </x:c>
      <x:c r="L352" s="5" t="n">
        <x:f>Despesas!I316</x:f>
        <x:v>471.34</x:v>
      </x:c>
      <x:c r="M352" s="5" t="n">
        <x:f>-J352</x:f>
        <x:v>-471.34</x:v>
      </x:c>
    </x:row>
    <x:row r="353">
      <x:c r="A353" t="str">
        <x:f>"Despesa/Custo"</x:f>
        <x:v>Despesa/Custo</x:v>
      </x:c>
      <x:c r="B353" t="str">
        <x:f>Despesas!A317</x:f>
        <x:v>CARTAO CREDITO EDUARDO</x:v>
      </x:c>
      <x:c r="C353" t="str">
        <x:f>Despesas!B317</x:f>
        <x:v>225</x:v>
      </x:c>
      <x:c r="D353" t="str">
        <x:f>Despesas!C317</x:f>
        <x:v>016270</x:v>
      </x:c>
      <x:c r="E353" t="str">
        <x:f>Despesas!D317</x:f>
        <x:v>MANUTENCAO RANGER</x:v>
      </x:c>
      <x:c r="F353" t="str">
        <x:f>Despesas!E317</x:f>
        <x:v>C6 BANK</x:v>
      </x:c>
      <x:c r="G353" s="4" t="n">
        <x:f>Despesas!F317</x:f>
        <x:v>46034</x:v>
      </x:c>
      <x:c r="H353" t="str">
        <x:f>Despesas!G317</x:f>
        <x:v>SERENA 10 TORRES 2025</x:v>
      </x:c>
      <x:c r="I353" t="str">
        <x:f>Despesas!H317</x:f>
        <x:v>6.3 - MANUTENÇÃO/PEÇAS  VEICULOS</x:v>
      </x:c>
      <x:c r="J353" s="5" t="n">
        <x:f>Despesas!I317</x:f>
        <x:v>4.72</x:v>
      </x:c>
      <x:c r="K353" s="5" t="n">
        <x:f>0</x:f>
        <x:v>0</x:v>
      </x:c>
      <x:c r="L353" s="5" t="n">
        <x:f>Despesas!I317</x:f>
        <x:v>4.72</x:v>
      </x:c>
      <x:c r="M353" s="5" t="n">
        <x:f>-J353</x:f>
        <x:v>-4.72</x:v>
      </x:c>
    </x:row>
    <x:row r="354">
      <x:c r="A354" t="str">
        <x:f>"Despesa/Custo"</x:f>
        <x:v>Despesa/Custo</x:v>
      </x:c>
      <x:c r="B354" t="str">
        <x:f>Despesas!A318</x:f>
        <x:v>CARTAO CREDITO EDUARDO</x:v>
      </x:c>
      <x:c r="C354" t="str">
        <x:f>Despesas!B318</x:f>
        <x:v>240</x:v>
      </x:c>
      <x:c r="D354" t="str">
        <x:f>Despesas!C318</x:f>
        <x:v>016271</x:v>
      </x:c>
      <x:c r="E354" t="str">
        <x:f>Despesas!D318</x:f>
        <x:v>MANUTENCAO RANGER</x:v>
      </x:c>
      <x:c r="F354" t="str">
        <x:f>Despesas!E318</x:f>
        <x:v>C6 BANK</x:v>
      </x:c>
      <x:c r="G354" s="4" t="n">
        <x:f>Despesas!F318</x:f>
        <x:v>46034</x:v>
      </x:c>
      <x:c r="H354" t="str">
        <x:f>Despesas!G318</x:f>
        <x:v>SERENA 10 TORRES 2025</x:v>
      </x:c>
      <x:c r="I354" t="str">
        <x:f>Despesas!H318</x:f>
        <x:v>6.3 - MANUTENÇÃO/PEÇAS  VEICULOS</x:v>
      </x:c>
      <x:c r="J354" s="5" t="n">
        <x:f>Despesas!I318</x:f>
        <x:v>1730</x:v>
      </x:c>
      <x:c r="K354" s="5" t="n">
        <x:f>0</x:f>
        <x:v>0</x:v>
      </x:c>
      <x:c r="L354" s="5" t="n">
        <x:f>Despesas!I318</x:f>
        <x:v>1730</x:v>
      </x:c>
      <x:c r="M354" s="5" t="n">
        <x:f>-J354</x:f>
        <x:v>-1730</x:v>
      </x:c>
    </x:row>
    <x:row r="355">
      <x:c r="A355" t="str">
        <x:f>"Despesa/Custo"</x:f>
        <x:v>Despesa/Custo</x:v>
      </x:c>
      <x:c r="B355" t="str">
        <x:f>Despesas!A319</x:f>
        <x:v>MAGNO</x:v>
      </x:c>
      <x:c r="C355" t="n">
        <x:f>Despesas!B319</x:f>
        <x:v>0</x:v>
      </x:c>
      <x:c r="D355" t="str">
        <x:f>Despesas!C319</x:f>
        <x:v>015278</x:v>
      </x:c>
      <x:c r="E355" t="str">
        <x:f>Despesas!D319</x:f>
        <x:v>PRESTAÇÃO DE CONTA MAGNO</x:v>
      </x:c>
      <x:c r="F355" t="str">
        <x:f>Despesas!E319</x:f>
        <x:v>UBER</x:v>
      </x:c>
      <x:c r="G355" s="4" t="n">
        <x:f>Despesas!F319</x:f>
        <x:v>46035</x:v>
      </x:c>
      <x:c r="H355" t="str">
        <x:f>Despesas!G319</x:f>
        <x:v>MOSAIC UBERABA CONTRAT0 3 ANOS</x:v>
      </x:c>
      <x:c r="I355" t="str">
        <x:f>Despesas!H319</x:f>
        <x:v>12.7 - TRANSPORTE FUNCIONARIOS</x:v>
      </x:c>
      <x:c r="J355" s="5" t="n">
        <x:f>Despesas!I319</x:f>
        <x:v>200</x:v>
      </x:c>
      <x:c r="K355" s="5" t="n">
        <x:f>0</x:f>
        <x:v>0</x:v>
      </x:c>
      <x:c r="L355" s="5" t="n">
        <x:f>Despesas!I319</x:f>
        <x:v>200</x:v>
      </x:c>
      <x:c r="M355" s="5" t="n">
        <x:f>-J355</x:f>
        <x:v>-200</x:v>
      </x:c>
    </x:row>
    <x:row r="356">
      <x:c r="A356" t="str">
        <x:f>"Despesa/Custo"</x:f>
        <x:v>Despesa/Custo</x:v>
      </x:c>
      <x:c r="B356" t="str">
        <x:f>Despesas!A320</x:f>
        <x:v>MAGNO</x:v>
      </x:c>
      <x:c r="C356" t="n">
        <x:f>Despesas!B320</x:f>
        <x:v>0</x:v>
      </x:c>
      <x:c r="D356" t="str">
        <x:f>Despesas!C320</x:f>
        <x:v>015279</x:v>
      </x:c>
      <x:c r="E356" t="str">
        <x:f>Despesas!D320</x:f>
        <x:v>PRESTAÇÃO DE CONTA MAGNO</x:v>
      </x:c>
      <x:c r="F356" t="str">
        <x:f>Despesas!E320</x:f>
        <x:v>UBER FUNCIONARIO EDMILSON</x:v>
      </x:c>
      <x:c r="G356" s="4" t="n">
        <x:f>Despesas!F320</x:f>
        <x:v>46035</x:v>
      </x:c>
      <x:c r="H356" t="str">
        <x:f>Despesas!G320</x:f>
        <x:v>MOSAIC UBERABA CONTRAT0 3 ANOS</x:v>
      </x:c>
      <x:c r="I356" t="str">
        <x:f>Despesas!H320</x:f>
        <x:v>12.7 - TRANSPORTE FUNCIONARIOS</x:v>
      </x:c>
      <x:c r="J356" s="5" t="n">
        <x:f>Despesas!I320</x:f>
        <x:v>200</x:v>
      </x:c>
      <x:c r="K356" s="5" t="n">
        <x:f>0</x:f>
        <x:v>0</x:v>
      </x:c>
      <x:c r="L356" s="5" t="n">
        <x:f>Despesas!I320</x:f>
        <x:v>200</x:v>
      </x:c>
      <x:c r="M356" s="5" t="n">
        <x:f>-J356</x:f>
        <x:v>-200</x:v>
      </x:c>
    </x:row>
    <x:row r="357">
      <x:c r="A357" t="str">
        <x:f>"Despesa/Custo"</x:f>
        <x:v>Despesa/Custo</x:v>
      </x:c>
      <x:c r="B357" t="str">
        <x:f>Despesas!A321</x:f>
        <x:v>MAGNO</x:v>
      </x:c>
      <x:c r="C357" t="str">
        <x:f>Despesas!B321</x:f>
        <x:v>1814</x:v>
      </x:c>
      <x:c r="D357" t="str">
        <x:f>Despesas!C321</x:f>
        <x:v>015280</x:v>
      </x:c>
      <x:c r="E357" t="str">
        <x:f>Despesas!D321</x:f>
        <x:v>PRESTAÇÃO DE CONTA MAGNO</x:v>
      </x:c>
      <x:c r="F357" t="str">
        <x:f>Despesas!E321</x:f>
        <x:v>RAFA RESTAURANTE</x:v>
      </x:c>
      <x:c r="G357" s="4" t="n">
        <x:f>Despesas!F321</x:f>
        <x:v>46035</x:v>
      </x:c>
      <x:c r="H357" t="str">
        <x:f>Despesas!G321</x:f>
        <x:v>MOSAIC UBERABA CONTRAT0 3 ANOS</x:v>
      </x:c>
      <x:c r="I357" t="str">
        <x:f>Despesas!H321</x:f>
        <x:v>12.5 - REFEIÇÕES FUNCIONARIOS</x:v>
      </x:c>
      <x:c r="J357" s="5" t="n">
        <x:f>Despesas!I321</x:f>
        <x:v>63.76</x:v>
      </x:c>
      <x:c r="K357" s="5" t="n">
        <x:f>0</x:f>
        <x:v>0</x:v>
      </x:c>
      <x:c r="L357" s="5" t="n">
        <x:f>Despesas!I321</x:f>
        <x:v>63.76</x:v>
      </x:c>
      <x:c r="M357" s="5" t="n">
        <x:f>-J357</x:f>
        <x:v>-63.76</x:v>
      </x:c>
    </x:row>
    <x:row r="358">
      <x:c r="A358" t="str">
        <x:f>"Despesa/Custo"</x:f>
        <x:v>Despesa/Custo</x:v>
      </x:c>
      <x:c r="B358" t="str">
        <x:f>Despesas!A322</x:f>
        <x:v>MAGNO</x:v>
      </x:c>
      <x:c r="C358" t="str">
        <x:f>Despesas!B322</x:f>
        <x:v>1810</x:v>
      </x:c>
      <x:c r="D358" t="str">
        <x:f>Despesas!C322</x:f>
        <x:v>015281</x:v>
      </x:c>
      <x:c r="E358" t="str">
        <x:f>Despesas!D322</x:f>
        <x:v>PRESTAÇÃO DE CONTAS MAGNO</x:v>
      </x:c>
      <x:c r="F358" t="str">
        <x:f>Despesas!E322</x:f>
        <x:v>RAFA RESTAURANTE 06/01/2026</x:v>
      </x:c>
      <x:c r="G358" s="4" t="n">
        <x:f>Despesas!F322</x:f>
        <x:v>46035</x:v>
      </x:c>
      <x:c r="H358" t="str">
        <x:f>Despesas!G322</x:f>
        <x:v>MOSAIC UBERABA CONTRAT0 3 ANOS</x:v>
      </x:c>
      <x:c r="I358" t="str">
        <x:f>Despesas!H322</x:f>
        <x:v>12.5 - REFEIÇÕES FUNCIONARIOS</x:v>
      </x:c>
      <x:c r="J358" s="5" t="n">
        <x:f>Despesas!I322</x:f>
        <x:v>46</x:v>
      </x:c>
      <x:c r="K358" s="5" t="n">
        <x:f>0</x:f>
        <x:v>0</x:v>
      </x:c>
      <x:c r="L358" s="5" t="n">
        <x:f>Despesas!I322</x:f>
        <x:v>46</x:v>
      </x:c>
      <x:c r="M358" s="5" t="n">
        <x:f>-J358</x:f>
        <x:v>-46</x:v>
      </x:c>
    </x:row>
    <x:row r="359">
      <x:c r="A359" t="str">
        <x:f>"Despesa/Custo"</x:f>
        <x:v>Despesa/Custo</x:v>
      </x:c>
      <x:c r="B359" t="str">
        <x:f>Despesas!A323</x:f>
        <x:v>MAGNO</x:v>
      </x:c>
      <x:c r="C359" t="n">
        <x:f>Despesas!B323</x:f>
        <x:v>0</x:v>
      </x:c>
      <x:c r="D359" t="str">
        <x:f>Despesas!C323</x:f>
        <x:v>015282</x:v>
      </x:c>
      <x:c r="E359" t="str">
        <x:f>Despesas!D323</x:f>
        <x:v>PRESTAÇÃO DE CONTAS MAGNO</x:v>
      </x:c>
      <x:c r="F359" t="str">
        <x:f>Despesas!E323</x:f>
        <x:v>FAXINA ANDRADAS 07/01/2026</x:v>
      </x:c>
      <x:c r="G359" s="4" t="n">
        <x:f>Despesas!F323</x:f>
        <x:v>46035</x:v>
      </x:c>
      <x:c r="H359" t="str">
        <x:f>Despesas!G323</x:f>
        <x:v>MOSAIC UBERABA CONTRAT0 3 ANOS</x:v>
      </x:c>
      <x:c r="I359" t="str">
        <x:f>Despesas!H323</x:f>
        <x:v>12.7 - TRANSPORTE FUNCIONARIOS</x:v>
      </x:c>
      <x:c r="J359" s="5" t="n">
        <x:f>Despesas!I323</x:f>
        <x:v>200</x:v>
      </x:c>
      <x:c r="K359" s="5" t="n">
        <x:f>0</x:f>
        <x:v>0</x:v>
      </x:c>
      <x:c r="L359" s="5" t="n">
        <x:f>Despesas!I323</x:f>
        <x:v>200</x:v>
      </x:c>
      <x:c r="M359" s="5" t="n">
        <x:f>-J359</x:f>
        <x:v>-200</x:v>
      </x:c>
    </x:row>
    <x:row r="360">
      <x:c r="A360" t="str">
        <x:f>"Despesa/Custo"</x:f>
        <x:v>Despesa/Custo</x:v>
      </x:c>
      <x:c r="B360" t="str">
        <x:f>Despesas!A324</x:f>
        <x:v>MAGNO</x:v>
      </x:c>
      <x:c r="C360" t="str">
        <x:f>Despesas!B324</x:f>
        <x:v>1890</x:v>
      </x:c>
      <x:c r="D360" t="str">
        <x:f>Despesas!C324</x:f>
        <x:v>015283</x:v>
      </x:c>
      <x:c r="E360" t="str">
        <x:f>Despesas!D324</x:f>
        <x:v>PRESTAÇAÕ DE CONTAS MAGNO</x:v>
      </x:c>
      <x:c r="F360" t="str">
        <x:f>Despesas!E324</x:f>
        <x:v>RAFA RESTAURANTE  07/01/2026</x:v>
      </x:c>
      <x:c r="G360" s="4" t="n">
        <x:f>Despesas!F324</x:f>
        <x:v>46035</x:v>
      </x:c>
      <x:c r="H360" t="str">
        <x:f>Despesas!G324</x:f>
        <x:v>MOSAIC UBERABA CONTRAT0 3 ANOS</x:v>
      </x:c>
      <x:c r="I360" t="str">
        <x:f>Despesas!H324</x:f>
        <x:v>12.5 - REFEIÇÕES FUNCIONARIOS</x:v>
      </x:c>
      <x:c r="J360" s="5" t="n">
        <x:f>Despesas!I324</x:f>
        <x:v>46</x:v>
      </x:c>
      <x:c r="K360" s="5" t="n">
        <x:f>0</x:f>
        <x:v>0</x:v>
      </x:c>
      <x:c r="L360" s="5" t="n">
        <x:f>Despesas!I324</x:f>
        <x:v>46</x:v>
      </x:c>
      <x:c r="M360" s="5" t="n">
        <x:f>-J360</x:f>
        <x:v>-46</x:v>
      </x:c>
    </x:row>
    <x:row r="361">
      <x:c r="A361" t="str">
        <x:f>"Despesa/Custo"</x:f>
        <x:v>Despesa/Custo</x:v>
      </x:c>
      <x:c r="B361" t="str">
        <x:f>Despesas!A325</x:f>
        <x:v>MAGNO</x:v>
      </x:c>
      <x:c r="C361" t="n">
        <x:f>Despesas!B325</x:f>
        <x:v>0</x:v>
      </x:c>
      <x:c r="D361" t="str">
        <x:f>Despesas!C325</x:f>
        <x:v>015284</x:v>
      </x:c>
      <x:c r="E361" t="str">
        <x:f>Despesas!D325</x:f>
        <x:v>PRESTAÇÃO DE CONTA MAGNO</x:v>
      </x:c>
      <x:c r="F361" t="str">
        <x:f>Despesas!E325</x:f>
        <x:v>CANTINA BARCELOS</x:v>
      </x:c>
      <x:c r="G361" s="4" t="n">
        <x:f>Despesas!F325</x:f>
        <x:v>46035</x:v>
      </x:c>
      <x:c r="H361" t="str">
        <x:f>Despesas!G325</x:f>
        <x:v>MOSAIC UBERABA CONTRAT0 3 ANOS</x:v>
      </x:c>
      <x:c r="I361" t="str">
        <x:f>Despesas!H325</x:f>
        <x:v>12.5 - REFEIÇÕES FUNCIONARIOS</x:v>
      </x:c>
      <x:c r="J361" s="5" t="n">
        <x:f>Despesas!I325</x:f>
        <x:v>46.55</x:v>
      </x:c>
      <x:c r="K361" s="5" t="n">
        <x:f>0</x:f>
        <x:v>0</x:v>
      </x:c>
      <x:c r="L361" s="5" t="n">
        <x:f>Despesas!I325</x:f>
        <x:v>46.55</x:v>
      </x:c>
      <x:c r="M361" s="5" t="n">
        <x:f>-J361</x:f>
        <x:v>-46.55</x:v>
      </x:c>
    </x:row>
    <x:row r="362">
      <x:c r="A362" t="str">
        <x:f>"Despesa/Custo"</x:f>
        <x:v>Despesa/Custo</x:v>
      </x:c>
      <x:c r="B362" t="str">
        <x:f>Despesas!A326</x:f>
        <x:v>MAGNO</x:v>
      </x:c>
      <x:c r="C362" t="n">
        <x:f>Despesas!B326</x:f>
        <x:v>0</x:v>
      </x:c>
      <x:c r="D362" t="str">
        <x:f>Despesas!C326</x:f>
        <x:v>015285</x:v>
      </x:c>
      <x:c r="E362" t="str">
        <x:f>Despesas!D326</x:f>
        <x:v>PRESTAÇÃO DE CONTAS MAGNO</x:v>
      </x:c>
      <x:c r="F362" t="str">
        <x:f>Despesas!E326</x:f>
        <x:v>SUPERMERCADO BH 11/01/2026</x:v>
      </x:c>
      <x:c r="G362" s="4" t="n">
        <x:f>Despesas!F326</x:f>
        <x:v>46035</x:v>
      </x:c>
      <x:c r="H362" t="str">
        <x:f>Despesas!G326</x:f>
        <x:v>MOSAIC UBERABA CONTRAT0 3 ANOS</x:v>
      </x:c>
      <x:c r="I362" t="str">
        <x:f>Despesas!H326</x:f>
        <x:v>8.9 - MATERIAIS DE CONSUMO EM OBRAS</x:v>
      </x:c>
      <x:c r="J362" s="5" t="n">
        <x:f>Despesas!I326</x:f>
        <x:v>55.15</x:v>
      </x:c>
      <x:c r="K362" s="5" t="n">
        <x:f>0</x:f>
        <x:v>0</x:v>
      </x:c>
      <x:c r="L362" s="5" t="n">
        <x:f>Despesas!I326</x:f>
        <x:v>55.15</x:v>
      </x:c>
      <x:c r="M362" s="5" t="n">
        <x:f>-J362</x:f>
        <x:v>-55.15</x:v>
      </x:c>
    </x:row>
    <x:row r="363">
      <x:c r="A363" t="str">
        <x:f>"Despesa/Custo"</x:f>
        <x:v>Despesa/Custo</x:v>
      </x:c>
      <x:c r="B363" t="str">
        <x:f>Despesas!A327</x:f>
        <x:v>MAGNO</x:v>
      </x:c>
      <x:c r="C363" t="n">
        <x:f>Despesas!B327</x:f>
        <x:v>0</x:v>
      </x:c>
      <x:c r="D363" t="str">
        <x:f>Despesas!C327</x:f>
        <x:v>015286</x:v>
      </x:c>
      <x:c r="E363" t="str">
        <x:f>Despesas!D327</x:f>
        <x:v>PRESTAÇÃO DE CONTAS MAGNO</x:v>
      </x:c>
      <x:c r="F363" t="str">
        <x:f>Despesas!E327</x:f>
        <x:v>SAPORE S.A</x:v>
      </x:c>
      <x:c r="G363" s="4" t="n">
        <x:f>Despesas!F327</x:f>
        <x:v>46035</x:v>
      </x:c>
      <x:c r="H363" t="str">
        <x:f>Despesas!G327</x:f>
        <x:v>CMOC CUBATÃO</x:v>
      </x:c>
      <x:c r="I363" t="str">
        <x:f>Despesas!H327</x:f>
        <x:v>12.5 - REFEIÇÕES FUNCIONARIOS</x:v>
      </x:c>
      <x:c r="J363" s="5" t="n">
        <x:f>Despesas!I327</x:f>
        <x:v>155.85</x:v>
      </x:c>
      <x:c r="K363" s="5" t="n">
        <x:f>0</x:f>
        <x:v>0</x:v>
      </x:c>
      <x:c r="L363" s="5" t="n">
        <x:f>Despesas!I327</x:f>
        <x:v>155.85</x:v>
      </x:c>
      <x:c r="M363" s="5" t="n">
        <x:f>-J363</x:f>
        <x:v>-155.85</x:v>
      </x:c>
    </x:row>
    <x:row r="364">
      <x:c r="A364" t="str">
        <x:f>"Despesa/Custo"</x:f>
        <x:v>Despesa/Custo</x:v>
      </x:c>
      <x:c r="B364" t="str">
        <x:f>Despesas!A328</x:f>
        <x:v>MAGNO</x:v>
      </x:c>
      <x:c r="C364" t="n">
        <x:f>Despesas!B328</x:f>
        <x:v>0</x:v>
      </x:c>
      <x:c r="D364" t="str">
        <x:f>Despesas!C328</x:f>
        <x:v>015287</x:v>
      </x:c>
      <x:c r="E364" t="str">
        <x:f>Despesas!D328</x:f>
        <x:v>PRESTAÇÃO DE CONTAS MAGNO</x:v>
      </x:c>
      <x:c r="F364" t="str">
        <x:f>Despesas!E328</x:f>
        <x:v>GASOLINA COMUM 12/01/2026</x:v>
      </x:c>
      <x:c r="G364" s="4" t="n">
        <x:f>Despesas!F328</x:f>
        <x:v>46035</x:v>
      </x:c>
      <x:c r="H364" t="str">
        <x:f>Despesas!G328</x:f>
        <x:v>CMOC CUBATÃO</x:v>
      </x:c>
      <x:c r="I364" t="str">
        <x:f>Despesas!H328</x:f>
        <x:v>6.4 - COMBUSTIVEL VEICULOS</x:v>
      </x:c>
      <x:c r="J364" s="5" t="n">
        <x:f>Despesas!I328</x:f>
        <x:v>234.27</x:v>
      </x:c>
      <x:c r="K364" s="5" t="n">
        <x:f>0</x:f>
        <x:v>0</x:v>
      </x:c>
      <x:c r="L364" s="5" t="n">
        <x:f>Despesas!I328</x:f>
        <x:v>234.27</x:v>
      </x:c>
      <x:c r="M364" s="5" t="n">
        <x:f>-J364</x:f>
        <x:v>-234.27</x:v>
      </x:c>
    </x:row>
    <x:row r="365">
      <x:c r="A365" t="str">
        <x:f>"Despesa/Custo"</x:f>
        <x:v>Despesa/Custo</x:v>
      </x:c>
      <x:c r="B365" t="str">
        <x:f>Despesas!A329</x:f>
        <x:v>MAGNO</x:v>
      </x:c>
      <x:c r="C365" t="n">
        <x:f>Despesas!B329</x:f>
        <x:v>0</x:v>
      </x:c>
      <x:c r="D365" t="str">
        <x:f>Despesas!C329</x:f>
        <x:v>015288</x:v>
      </x:c>
      <x:c r="E365" t="str">
        <x:f>Despesas!D329</x:f>
        <x:v>PRESTAÇÃO DE CONTAS MAGNO</x:v>
      </x:c>
      <x:c r="F365" t="str">
        <x:f>Despesas!E329</x:f>
        <x:v>3 IRMÃOS MUTTON &amp; CIA LTDA -  GASOLINA</x:v>
      </x:c>
      <x:c r="G365" s="4" t="n">
        <x:f>Despesas!F329</x:f>
        <x:v>46035</x:v>
      </x:c>
      <x:c r="H365" t="str">
        <x:f>Despesas!G329</x:f>
        <x:v>CMOC CUBATÃO</x:v>
      </x:c>
      <x:c r="I365" t="str">
        <x:f>Despesas!H329</x:f>
        <x:v>6.4 - COMBUSTIVEL VEICULOS</x:v>
      </x:c>
      <x:c r="J365" s="5" t="n">
        <x:f>Despesas!I329</x:f>
        <x:v>201.68</x:v>
      </x:c>
      <x:c r="K365" s="5" t="n">
        <x:f>0</x:f>
        <x:v>0</x:v>
      </x:c>
      <x:c r="L365" s="5" t="n">
        <x:f>Despesas!I329</x:f>
        <x:v>201.68</x:v>
      </x:c>
      <x:c r="M365" s="5" t="n">
        <x:f>-J365</x:f>
        <x:v>-201.68</x:v>
      </x:c>
    </x:row>
    <x:row r="366">
      <x:c r="A366" t="str">
        <x:f>"Despesa/Custo"</x:f>
        <x:v>Despesa/Custo</x:v>
      </x:c>
      <x:c r="B366" t="str">
        <x:f>Despesas!A330</x:f>
        <x:v>MAGNO</x:v>
      </x:c>
      <x:c r="C366" t="n">
        <x:f>Despesas!B330</x:f>
        <x:v>0</x:v>
      </x:c>
      <x:c r="D366" t="str">
        <x:f>Despesas!C330</x:f>
        <x:v>015289</x:v>
      </x:c>
      <x:c r="E366" t="str">
        <x:f>Despesas!D330</x:f>
        <x:v>PRESTAÇÃO DE CONTAS MAGNO</x:v>
      </x:c>
      <x:c r="F366" t="str">
        <x:f>Despesas!E330</x:f>
        <x:v>REDE DE SERVIÇOS PACHECO</x:v>
      </x:c>
      <x:c r="G366" s="4" t="n">
        <x:f>Despesas!F330</x:f>
        <x:v>46035</x:v>
      </x:c>
      <x:c r="H366" t="str">
        <x:f>Despesas!G330</x:f>
        <x:v>CMOC CUBATÃO</x:v>
      </x:c>
      <x:c r="I366" t="str">
        <x:f>Despesas!H330</x:f>
        <x:v>6.4 - COMBUSTIVEL VEICULOS</x:v>
      </x:c>
      <x:c r="J366" s="5" t="n">
        <x:f>Despesas!I330</x:f>
        <x:v>210.29</x:v>
      </x:c>
      <x:c r="K366" s="5" t="n">
        <x:f>0</x:f>
        <x:v>0</x:v>
      </x:c>
      <x:c r="L366" s="5" t="n">
        <x:f>Despesas!I330</x:f>
        <x:v>210.29</x:v>
      </x:c>
      <x:c r="M366" s="5" t="n">
        <x:f>-J366</x:f>
        <x:v>-210.29</x:v>
      </x:c>
    </x:row>
    <x:row r="367">
      <x:c r="A367" t="str">
        <x:f>"Despesa/Custo"</x:f>
        <x:v>Despesa/Custo</x:v>
      </x:c>
      <x:c r="B367" t="str">
        <x:f>Despesas!A331</x:f>
        <x:v>MAGNO</x:v>
      </x:c>
      <x:c r="C367" t="n">
        <x:f>Despesas!B331</x:f>
        <x:v>0</x:v>
      </x:c>
      <x:c r="D367" t="str">
        <x:f>Despesas!C331</x:f>
        <x:v>015290</x:v>
      </x:c>
      <x:c r="E367" t="str">
        <x:f>Despesas!D331</x:f>
        <x:v>PRESTAÇÃO DE CONTAS MAGNO</x:v>
      </x:c>
      <x:c r="F367" t="str">
        <x:f>Despesas!E331</x:f>
        <x:v>PIMENTA VERDE ALIMENTOS LTDA</x:v>
      </x:c>
      <x:c r="G367" s="4" t="n">
        <x:f>Despesas!F331</x:f>
        <x:v>46035</x:v>
      </x:c>
      <x:c r="H367" t="str">
        <x:f>Despesas!G331</x:f>
        <x:v>CMOC CUBATÃO</x:v>
      </x:c>
      <x:c r="I367" t="str">
        <x:f>Despesas!H331</x:f>
        <x:v>12.5 - REFEIÇÕES FUNCIONARIOS</x:v>
      </x:c>
      <x:c r="J367" s="5" t="n">
        <x:f>Despesas!I331</x:f>
        <x:v>33</x:v>
      </x:c>
      <x:c r="K367" s="5" t="n">
        <x:f>0</x:f>
        <x:v>0</x:v>
      </x:c>
      <x:c r="L367" s="5" t="n">
        <x:f>Despesas!I331</x:f>
        <x:v>33</x:v>
      </x:c>
      <x:c r="M367" s="5" t="n">
        <x:f>-J367</x:f>
        <x:v>-33</x:v>
      </x:c>
    </x:row>
    <x:row r="368">
      <x:c r="A368" t="str">
        <x:f>"Despesa/Custo"</x:f>
        <x:v>Despesa/Custo</x:v>
      </x:c>
      <x:c r="B368" t="str">
        <x:f>Despesas!A332</x:f>
        <x:v>MAGNO</x:v>
      </x:c>
      <x:c r="C368" t="n">
        <x:f>Despesas!B332</x:f>
        <x:v>0</x:v>
      </x:c>
      <x:c r="D368" t="str">
        <x:f>Despesas!C332</x:f>
        <x:v>015291</x:v>
      </x:c>
      <x:c r="E368" t="str">
        <x:f>Despesas!D332</x:f>
        <x:v>PRESTAÇÃO DE CONTA MAGNO</x:v>
      </x:c>
      <x:c r="F368" t="str">
        <x:f>Despesas!E332</x:f>
        <x:v>ASTRO CANTINA</x:v>
      </x:c>
      <x:c r="G368" s="4" t="n">
        <x:f>Despesas!F332</x:f>
        <x:v>46035</x:v>
      </x:c>
      <x:c r="H368" t="str">
        <x:f>Despesas!G332</x:f>
        <x:v>MOSAIC UBERABA CONTRAT0 3 ANOS</x:v>
      </x:c>
      <x:c r="I368" t="str">
        <x:f>Despesas!H332</x:f>
        <x:v>12.5 - REFEIÇÕES FUNCIONARIOS</x:v>
      </x:c>
      <x:c r="J368" s="5" t="n">
        <x:f>Despesas!I332</x:f>
        <x:v>33</x:v>
      </x:c>
      <x:c r="K368" s="5" t="n">
        <x:f>0</x:f>
        <x:v>0</x:v>
      </x:c>
      <x:c r="L368" s="5" t="n">
        <x:f>Despesas!I332</x:f>
        <x:v>33</x:v>
      </x:c>
      <x:c r="M368" s="5" t="n">
        <x:f>-J368</x:f>
        <x:v>-33</x:v>
      </x:c>
    </x:row>
    <x:row r="369">
      <x:c r="A369" t="str">
        <x:f>"Despesa/Custo"</x:f>
        <x:v>Despesa/Custo</x:v>
      </x:c>
      <x:c r="B369" t="str">
        <x:f>Despesas!A333</x:f>
        <x:v>MAGNO</x:v>
      </x:c>
      <x:c r="C369" t="n">
        <x:f>Despesas!B333</x:f>
        <x:v>0</x:v>
      </x:c>
      <x:c r="D369" t="str">
        <x:f>Despesas!C333</x:f>
        <x:v>015292</x:v>
      </x:c>
      <x:c r="E369" t="str">
        <x:f>Despesas!D333</x:f>
        <x:v>PRESTAÇÃO DE CONTAS MAGNO</x:v>
      </x:c>
      <x:c r="F369" t="str">
        <x:f>Despesas!E333</x:f>
        <x:v>NANFA PACHECO DA SILVA RUBIO</x:v>
      </x:c>
      <x:c r="G369" s="4" t="n">
        <x:f>Despesas!F333</x:f>
        <x:v>46035</x:v>
      </x:c>
      <x:c r="H369" t="str">
        <x:f>Despesas!G333</x:f>
        <x:v>CMOC CUBATÃO</x:v>
      </x:c>
      <x:c r="I369" t="str">
        <x:f>Despesas!H333</x:f>
        <x:v>12.5 - REFEIÇÕES FUNCIONARIOS</x:v>
      </x:c>
      <x:c r="J369" s="5" t="n">
        <x:f>Despesas!I333</x:f>
        <x:v>12</x:v>
      </x:c>
      <x:c r="K369" s="5" t="n">
        <x:f>0</x:f>
        <x:v>0</x:v>
      </x:c>
      <x:c r="L369" s="5" t="n">
        <x:f>Despesas!I333</x:f>
        <x:v>12</x:v>
      </x:c>
      <x:c r="M369" s="5" t="n">
        <x:f>-J369</x:f>
        <x:v>-12</x:v>
      </x:c>
    </x:row>
    <x:row r="370">
      <x:c r="A370" t="str">
        <x:f>"Despesa/Custo"</x:f>
        <x:v>Despesa/Custo</x:v>
      </x:c>
      <x:c r="B370" t="str">
        <x:f>Despesas!A334</x:f>
        <x:v>MAGNO</x:v>
      </x:c>
      <x:c r="C370" t="n">
        <x:f>Despesas!B334</x:f>
        <x:v>0</x:v>
      </x:c>
      <x:c r="D370" t="str">
        <x:f>Despesas!C334</x:f>
        <x:v>015293</x:v>
      </x:c>
      <x:c r="E370" t="str">
        <x:f>Despesas!D334</x:f>
        <x:v>PRESTAÇÃO DE CONTAS MAGNO</x:v>
      </x:c>
      <x:c r="F370" t="str">
        <x:f>Despesas!E334</x:f>
        <x:v>PEDAGIOS</x:v>
      </x:c>
      <x:c r="G370" s="4" t="n">
        <x:f>Despesas!F334</x:f>
        <x:v>46035</x:v>
      </x:c>
      <x:c r="H370" t="str">
        <x:f>Despesas!G334</x:f>
        <x:v>CMOC CUBATÃO</x:v>
      </x:c>
      <x:c r="I370" t="str">
        <x:f>Despesas!H334</x:f>
        <x:v>6.6 - PEDAGIOS</x:v>
      </x:c>
      <x:c r="J370" s="5" t="n">
        <x:f>Despesas!I334</x:f>
        <x:v>365.8</x:v>
      </x:c>
      <x:c r="K370" s="5" t="n">
        <x:f>0</x:f>
        <x:v>0</x:v>
      </x:c>
      <x:c r="L370" s="5" t="n">
        <x:f>Despesas!I334</x:f>
        <x:v>365.8</x:v>
      </x:c>
      <x:c r="M370" s="5" t="n">
        <x:f>-J370</x:f>
        <x:v>-365.8</x:v>
      </x:c>
    </x:row>
    <x:row r="371">
      <x:c r="A371" t="str">
        <x:f>"Despesa/Custo"</x:f>
        <x:v>Despesa/Custo</x:v>
      </x:c>
      <x:c r="B371" t="str">
        <x:f>Despesas!A335</x:f>
        <x:v>AJEL MATERIAIS ELETRICOS LTDA</x:v>
      </x:c>
      <x:c r="C371" t="str">
        <x:f>Despesas!B335</x:f>
        <x:v>1039853</x:v>
      </x:c>
      <x:c r="D371" t="str">
        <x:f>Despesas!C335</x:f>
        <x:v>015295</x:v>
      </x:c>
      <x:c r="E371" t="str">
        <x:f>Despesas!D335</x:f>
        <x:v>ANJEL MATERIAIS ELETRICOS</x:v>
      </x:c>
      <x:c r="F371" t="str">
        <x:f>Despesas!E335</x:f>
        <x:v>MANUTENÇÃO DE EQUIPAMENTOS</x:v>
      </x:c>
      <x:c r="G371" s="4" t="n">
        <x:f>Despesas!F335</x:f>
        <x:v>46035</x:v>
      </x:c>
      <x:c r="H371" t="str">
        <x:f>Despesas!G335</x:f>
        <x:v>CONDUTOS UG 1 - ELETROBRAS</x:v>
      </x:c>
      <x:c r="I371" t="str">
        <x:f>Despesas!H335</x:f>
        <x:v>8.14 - MANUTENÇÃO/PEÇAS MAQUINAS E EQUIPAMENTOS</x:v>
      </x:c>
      <x:c r="J371" s="5" t="n">
        <x:f>Despesas!I335</x:f>
        <x:v>1174.48</x:v>
      </x:c>
      <x:c r="K371" s="5" t="n">
        <x:f>0</x:f>
        <x:v>0</x:v>
      </x:c>
      <x:c r="L371" s="5" t="n">
        <x:f>Despesas!I335</x:f>
        <x:v>1174.48</x:v>
      </x:c>
      <x:c r="M371" s="5" t="n">
        <x:f>-J371</x:f>
        <x:v>-1174.48</x:v>
      </x:c>
    </x:row>
    <x:row r="372">
      <x:c r="A372" t="str">
        <x:f>"Despesa/Custo"</x:f>
        <x:v>Despesa/Custo</x:v>
      </x:c>
      <x:c r="B372" t="str">
        <x:f>Despesas!A336</x:f>
        <x:v>DESPESAS DE OBRAS</x:v>
      </x:c>
      <x:c r="C372" t="n">
        <x:f>Despesas!B336</x:f>
        <x:v>0</x:v>
      </x:c>
      <x:c r="D372" t="str">
        <x:f>Despesas!C336</x:f>
        <x:v>015296</x:v>
      </x:c>
      <x:c r="E372" t="str">
        <x:f>Despesas!D336</x:f>
        <x:v>REEMBOLSO FUNCIONARIO/ COMPRA DE TORNEIRA/ NOSSA CASA</x:v>
      </x:c>
      <x:c r="F372" t="str">
        <x:f>Despesas!E336</x:f>
        <x:v>JOSE SIMÕES</x:v>
      </x:c>
      <x:c r="G372" s="4" t="n">
        <x:f>Despesas!F336</x:f>
        <x:v>46035</x:v>
      </x:c>
      <x:c r="H372" t="str">
        <x:f>Despesas!G336</x:f>
        <x:v>EUROCHEM SERRA DO SALITRE</x:v>
      </x:c>
      <x:c r="I372" t="str">
        <x:f>Despesas!H336</x:f>
        <x:v>8.9 - MATERIAIS DE CONSUMO EM OBRAS</x:v>
      </x:c>
      <x:c r="J372" s="5" t="n">
        <x:f>Despesas!I336</x:f>
        <x:v>39.9</x:v>
      </x:c>
      <x:c r="K372" s="5" t="n">
        <x:f>0</x:f>
        <x:v>0</x:v>
      </x:c>
      <x:c r="L372" s="5" t="n">
        <x:f>Despesas!I336</x:f>
        <x:v>39.9</x:v>
      </x:c>
      <x:c r="M372" s="5" t="n">
        <x:f>-J372</x:f>
        <x:v>-39.9</x:v>
      </x:c>
    </x:row>
    <x:row r="373">
      <x:c r="A373" t="str">
        <x:f>"Despesa/Custo"</x:f>
        <x:v>Despesa/Custo</x:v>
      </x:c>
      <x:c r="B373" t="str">
        <x:f>Despesas!A337</x:f>
        <x:v>DESPESAS DE VIAGEM</x:v>
      </x:c>
      <x:c r="C373" t="n">
        <x:f>Despesas!B337</x:f>
        <x:v>0</x:v>
      </x:c>
      <x:c r="D373" t="str">
        <x:f>Despesas!C337</x:f>
        <x:v>015297</x:v>
      </x:c>
      <x:c r="E373" t="str">
        <x:f>Despesas!D337</x:f>
        <x:v>REMARCAÇÃO DE PASSAGEM</x:v>
      </x:c>
      <x:c r="F373" t="str">
        <x:f>Despesas!E337</x:f>
        <x:v>TARCISIO DE LIMA</x:v>
      </x:c>
      <x:c r="G373" s="4" t="n">
        <x:f>Despesas!F337</x:f>
        <x:v>46035</x:v>
      </x:c>
      <x:c r="H373" t="str">
        <x:f>Despesas!G337</x:f>
        <x:v>FOSFATO CMOC CONTRAT</x:v>
      </x:c>
      <x:c r="I373" t="str">
        <x:f>Despesas!H337</x:f>
        <x:v>12.9 - PASSAGENS FUNCIONARIOS</x:v>
      </x:c>
      <x:c r="J373" s="5" t="n">
        <x:f>Despesas!I337</x:f>
        <x:v>24.72</x:v>
      </x:c>
      <x:c r="K373" s="5" t="n">
        <x:f>0</x:f>
        <x:v>0</x:v>
      </x:c>
      <x:c r="L373" s="5" t="n">
        <x:f>Despesas!I337</x:f>
        <x:v>24.72</x:v>
      </x:c>
      <x:c r="M373" s="5" t="n">
        <x:f>-J373</x:f>
        <x:v>-24.72</x:v>
      </x:c>
    </x:row>
    <x:row r="374">
      <x:c r="A374" t="str">
        <x:f>"Despesa/Custo"</x:f>
        <x:v>Despesa/Custo</x:v>
      </x:c>
      <x:c r="B374" t="str">
        <x:f>Despesas!A338</x:f>
        <x:v>DESPESAS DE VIAGEM</x:v>
      </x:c>
      <x:c r="C374" t="n">
        <x:f>Despesas!B338</x:f>
        <x:v>0</x:v>
      </x:c>
      <x:c r="D374" t="str">
        <x:f>Despesas!C338</x:f>
        <x:v>015298</x:v>
      </x:c>
      <x:c r="E374" t="str">
        <x:f>Despesas!D338</x:f>
        <x:v>OPÇÃO MOTO E CARRO</x:v>
      </x:c>
      <x:c r="F374" t="str">
        <x:f>Despesas!E338</x:f>
        <x:v>JOSÉ EDSON ARRUDA DA SILVA</x:v>
      </x:c>
      <x:c r="G374" s="4" t="n">
        <x:f>Despesas!F338</x:f>
        <x:v>46035</x:v>
      </x:c>
      <x:c r="H374" t="str">
        <x:f>Despesas!G338</x:f>
        <x:v>NIOBIO CMOC CONTRATO</x:v>
      </x:c>
      <x:c r="I374" t="str">
        <x:f>Despesas!H338</x:f>
        <x:v>12.9 - PASSAGENS FUNCIONARIOS</x:v>
      </x:c>
      <x:c r="J374" s="5" t="n">
        <x:f>Despesas!I338</x:f>
        <x:v>437.84</x:v>
      </x:c>
      <x:c r="K374" s="5" t="n">
        <x:f>0</x:f>
        <x:v>0</x:v>
      </x:c>
      <x:c r="L374" s="5" t="n">
        <x:f>Despesas!I338</x:f>
        <x:v>437.84</x:v>
      </x:c>
      <x:c r="M374" s="5" t="n">
        <x:f>-J374</x:f>
        <x:v>-437.84</x:v>
      </x:c>
    </x:row>
    <x:row r="375">
      <x:c r="A375" t="str">
        <x:f>"Despesa/Custo"</x:f>
        <x:v>Despesa/Custo</x:v>
      </x:c>
      <x:c r="B375" t="str">
        <x:f>Despesas!A339</x:f>
        <x:v>DESPESAS DE VIAGEM</x:v>
      </x:c>
      <x:c r="C375" t="n">
        <x:f>Despesas!B339</x:f>
        <x:v>0</x:v>
      </x:c>
      <x:c r="D375" t="str">
        <x:f>Despesas!C339</x:f>
        <x:v>015299</x:v>
      </x:c>
      <x:c r="E375" t="str">
        <x:f>Despesas!D339</x:f>
        <x:v>TRANSLADO ENTRE PAULINO NEVES- MA E  PARNAÍBA - PI</x:v>
      </x:c>
      <x:c r="F375" t="str">
        <x:f>Despesas!E339</x:f>
        <x:v>ABIMAEL ALVES DA SILVA</x:v>
      </x:c>
      <x:c r="G375" s="4" t="n">
        <x:f>Despesas!F339</x:f>
        <x:v>46035</x:v>
      </x:c>
      <x:c r="H375" t="str">
        <x:f>Despesas!G339</x:f>
        <x:v>NIOBIO CMOC CONTRATO</x:v>
      </x:c>
      <x:c r="I375" t="str">
        <x:f>Despesas!H339</x:f>
        <x:v>12.9 - PASSAGENS FUNCIONARIOS</x:v>
      </x:c>
      <x:c r="J375" s="5" t="n">
        <x:f>Despesas!I339</x:f>
        <x:v>240</x:v>
      </x:c>
      <x:c r="K375" s="5" t="n">
        <x:f>0</x:f>
        <x:v>0</x:v>
      </x:c>
      <x:c r="L375" s="5" t="n">
        <x:f>Despesas!I339</x:f>
        <x:v>240</x:v>
      </x:c>
      <x:c r="M375" s="5" t="n">
        <x:f>-J375</x:f>
        <x:v>-240</x:v>
      </x:c>
    </x:row>
    <x:row r="376">
      <x:c r="A376" t="str">
        <x:f>"Despesa/Custo"</x:f>
        <x:v>Despesa/Custo</x:v>
      </x:c>
      <x:c r="B376" t="str">
        <x:f>Despesas!A340</x:f>
        <x:v>DESPESAS DE VIAGEM</x:v>
      </x:c>
      <x:c r="C376" t="n">
        <x:f>Despesas!B340</x:f>
        <x:v>0</x:v>
      </x:c>
      <x:c r="D376" t="str">
        <x:f>Despesas!C340</x:f>
        <x:v>015300</x:v>
      </x:c>
      <x:c r="E376" t="str">
        <x:f>Despesas!D340</x:f>
        <x:v>REEMBOLSO FUNCIONARIO</x:v>
      </x:c>
      <x:c r="F376" t="str">
        <x:f>Despesas!E340</x:f>
        <x:v>PATRICK SILVA SOUSA DO ROSARIO</x:v>
      </x:c>
      <x:c r="G376" s="4" t="n">
        <x:f>Despesas!F340</x:f>
        <x:v>46035</x:v>
      </x:c>
      <x:c r="H376" t="str">
        <x:f>Despesas!G340</x:f>
        <x:v>NIOBIO CMOC CONTRATO</x:v>
      </x:c>
      <x:c r="I376" t="str">
        <x:f>Despesas!H340</x:f>
        <x:v>12.9 - PASSAGENS FUNCIONARIOS</x:v>
      </x:c>
      <x:c r="J376" s="5" t="n">
        <x:f>Despesas!I340</x:f>
        <x:v>200</x:v>
      </x:c>
      <x:c r="K376" s="5" t="n">
        <x:f>0</x:f>
        <x:v>0</x:v>
      </x:c>
      <x:c r="L376" s="5" t="n">
        <x:f>Despesas!I340</x:f>
        <x:v>200</x:v>
      </x:c>
      <x:c r="M376" s="5" t="n">
        <x:f>-J376</x:f>
        <x:v>-200</x:v>
      </x:c>
    </x:row>
    <x:row r="377">
      <x:c r="A377" t="str">
        <x:f>"Despesa/Custo"</x:f>
        <x:v>Despesa/Custo</x:v>
      </x:c>
      <x:c r="B377" t="str">
        <x:f>Despesas!A341</x:f>
        <x:v>POSTO A+ COMERCIO DE COMBUSTIVEL LTDA</x:v>
      </x:c>
      <x:c r="C377" t="str">
        <x:f>Despesas!B341</x:f>
        <x:v>20334 / 1</x:v>
      </x:c>
      <x:c r="D377" t="str">
        <x:f>Despesas!C341</x:f>
        <x:v>015301</x:v>
      </x:c>
      <x:c r="E377" t="str">
        <x:f>Despesas!D341</x:f>
        <x:v>COMBUSTIVEL VEICULOS</x:v>
      </x:c>
      <x:c r="F377" t="str">
        <x:f>Despesas!E341</x:f>
        <x:v>BOLETO</x:v>
      </x:c>
      <x:c r="G377" s="4" t="n">
        <x:f>Despesas!F341</x:f>
        <x:v>46035</x:v>
      </x:c>
      <x:c r="H377" t="str">
        <x:f>Despesas!G341</x:f>
        <x:v>VLI PINTURA</x:v>
      </x:c>
      <x:c r="I377" t="str">
        <x:f>Despesas!H341</x:f>
        <x:v>6.4 - COMBUSTIVEL VEICULOS</x:v>
      </x:c>
      <x:c r="J377" s="5" t="n">
        <x:f>Despesas!I341</x:f>
        <x:v>1425.32</x:v>
      </x:c>
      <x:c r="K377" s="5" t="n">
        <x:f>0</x:f>
        <x:v>0</x:v>
      </x:c>
      <x:c r="L377" s="5" t="n">
        <x:f>Despesas!I341</x:f>
        <x:v>1425.32</x:v>
      </x:c>
      <x:c r="M377" s="5" t="n">
        <x:f>-J377</x:f>
        <x:v>-1425.32</x:v>
      </x:c>
    </x:row>
    <x:row r="378">
      <x:c r="A378" t="str">
        <x:f>"Despesa/Custo"</x:f>
        <x:v>Despesa/Custo</x:v>
      </x:c>
      <x:c r="B378" t="str">
        <x:f>Despesas!A342</x:f>
        <x:v>POSTO A+ COMERCIO DE COMBUSTIVEL LTDA</x:v>
      </x:c>
      <x:c r="C378" t="str">
        <x:f>Despesas!B342</x:f>
        <x:v>20334 / 2</x:v>
      </x:c>
      <x:c r="D378" t="str">
        <x:f>Despesas!C342</x:f>
        <x:v>015302</x:v>
      </x:c>
      <x:c r="E378" t="str">
        <x:f>Despesas!D342</x:f>
        <x:v>COMBUSTIVEIS MAQUINAS</x:v>
      </x:c>
      <x:c r="F378" t="n">
        <x:f>Despesas!E342</x:f>
        <x:v>0</x:v>
      </x:c>
      <x:c r="G378" s="4" t="n">
        <x:f>Despesas!F342</x:f>
        <x:v>46035</x:v>
      </x:c>
      <x:c r="H378" t="str">
        <x:f>Despesas!G342</x:f>
        <x:v>VLI PINTURA</x:v>
      </x:c>
      <x:c r="I378" t="str">
        <x:f>Despesas!H342</x:f>
        <x:v>8.13 - COMBUSTIVEL EQUIPAMENTOS</x:v>
      </x:c>
      <x:c r="J378" s="5" t="n">
        <x:f>Despesas!I342</x:f>
        <x:v>1713.99</x:v>
      </x:c>
      <x:c r="K378" s="5" t="n">
        <x:f>0</x:f>
        <x:v>0</x:v>
      </x:c>
      <x:c r="L378" s="5" t="n">
        <x:f>Despesas!I342</x:f>
        <x:v>1713.99</x:v>
      </x:c>
      <x:c r="M378" s="5" t="n">
        <x:f>-J378</x:f>
        <x:v>-1713.99</x:v>
      </x:c>
    </x:row>
    <x:row r="379">
      <x:c r="A379" t="str">
        <x:f>"Despesa/Custo"</x:f>
        <x:v>Despesa/Custo</x:v>
      </x:c>
      <x:c r="B379" t="str">
        <x:f>Despesas!A343</x:f>
        <x:v>49.814.051 MAXSANDER MENEZES DE OLIVEIRA</x:v>
      </x:c>
      <x:c r="C379" t="str">
        <x:f>Despesas!B343</x:f>
        <x:v>31</x:v>
      </x:c>
      <x:c r="D379" t="str">
        <x:f>Despesas!C343</x:f>
        <x:v>015303</x:v>
      </x:c>
      <x:c r="E379" t="str">
        <x:f>Despesas!D343</x:f>
        <x:v>LAVA JATO  RANGER GENILDO</x:v>
      </x:c>
      <x:c r="F379" t="str">
        <x:f>Despesas!E343</x:f>
        <x:v>PIX: 49814051000146</x:v>
      </x:c>
      <x:c r="G379" s="4" t="n">
        <x:f>Despesas!F343</x:f>
        <x:v>46035</x:v>
      </x:c>
      <x:c r="H379" t="str">
        <x:f>Despesas!G343</x:f>
        <x:v>ADMINISTRATIVO</x:v>
      </x:c>
      <x:c r="I379" t="str">
        <x:f>Despesas!H343</x:f>
        <x:v>6.10 - SERVIÇO LAVA JATO</x:v>
      </x:c>
      <x:c r="J379" s="5" t="n">
        <x:f>Despesas!I343</x:f>
        <x:v>150</x:v>
      </x:c>
      <x:c r="K379" s="5" t="n">
        <x:f>0</x:f>
        <x:v>0</x:v>
      </x:c>
      <x:c r="L379" s="5" t="n">
        <x:f>Despesas!I343</x:f>
        <x:v>150</x:v>
      </x:c>
      <x:c r="M379" s="5" t="n">
        <x:f>-J379</x:f>
        <x:v>-150</x:v>
      </x:c>
    </x:row>
    <x:row r="380">
      <x:c r="A380" t="str">
        <x:f>"Despesa/Custo"</x:f>
        <x:v>Despesa/Custo</x:v>
      </x:c>
      <x:c r="B380" t="str">
        <x:f>Despesas!A344</x:f>
        <x:v>RENOVE SOLUCOES EM SEGURANCA EIRELI</x:v>
      </x:c>
      <x:c r="C380" t="str">
        <x:f>Despesas!B344</x:f>
        <x:v>1200</x:v>
      </x:c>
      <x:c r="D380" t="str">
        <x:f>Despesas!C344</x:f>
        <x:v>015304</x:v>
      </x:c>
      <x:c r="E380" t="str">
        <x:f>Despesas!D344</x:f>
        <x:v>EPIS ANGLO AMERICAN</x:v>
      </x:c>
      <x:c r="F380" t="n">
        <x:f>Despesas!E344</x:f>
        <x:v>0</x:v>
      </x:c>
      <x:c r="G380" s="4" t="n">
        <x:f>Despesas!F344</x:f>
        <x:v>46035</x:v>
      </x:c>
      <x:c r="H380" t="str">
        <x:f>Despesas!G344</x:f>
        <x:v>ANGLO AMERICAN</x:v>
      </x:c>
      <x:c r="I380" t="str">
        <x:f>Despesas!H344</x:f>
        <x:v>13.1 - EPIS</x:v>
      </x:c>
      <x:c r="J380" s="5" t="n">
        <x:f>Despesas!I344</x:f>
        <x:v>2225.9</x:v>
      </x:c>
      <x:c r="K380" s="5" t="n">
        <x:f>0</x:f>
        <x:v>0</x:v>
      </x:c>
      <x:c r="L380" s="5" t="n">
        <x:f>Despesas!I344</x:f>
        <x:v>2225.9</x:v>
      </x:c>
      <x:c r="M380" s="5" t="n">
        <x:f>-J380</x:f>
        <x:v>-2225.9</x:v>
      </x:c>
    </x:row>
    <x:row r="381">
      <x:c r="A381" t="str">
        <x:f>"Despesa/Custo"</x:f>
        <x:v>Despesa/Custo</x:v>
      </x:c>
      <x:c r="B381" t="str">
        <x:f>Despesas!A345</x:f>
        <x:v>RENOVE SOLUCOES EM SEGURANCA EIRELI</x:v>
      </x:c>
      <x:c r="C381" t="str">
        <x:f>Despesas!B345</x:f>
        <x:v>1200</x:v>
      </x:c>
      <x:c r="D381" t="str">
        <x:f>Despesas!C345</x:f>
        <x:v>015304</x:v>
      </x:c>
      <x:c r="E381" t="str">
        <x:f>Despesas!D345</x:f>
        <x:v>EPIS ANGLO AMERICAN</x:v>
      </x:c>
      <x:c r="F381" t="n">
        <x:f>Despesas!E345</x:f>
        <x:v>0</x:v>
      </x:c>
      <x:c r="G381" s="4" t="n">
        <x:f>Despesas!F345</x:f>
        <x:v>46035</x:v>
      </x:c>
      <x:c r="H381" t="str">
        <x:f>Despesas!G345</x:f>
        <x:v>ANGLO AMERICAN</x:v>
      </x:c>
      <x:c r="I381" t="str">
        <x:f>Despesas!H345</x:f>
        <x:v>13.1 - EPIS</x:v>
      </x:c>
      <x:c r="J381" s="5" t="n">
        <x:f>Despesas!I345</x:f>
        <x:v>2225.9</x:v>
      </x:c>
      <x:c r="K381" s="5" t="n">
        <x:f>0</x:f>
        <x:v>0</x:v>
      </x:c>
      <x:c r="L381" s="5" t="n">
        <x:f>Despesas!I345</x:f>
        <x:v>2225.9</x:v>
      </x:c>
      <x:c r="M381" s="5" t="n">
        <x:f>-J381</x:f>
        <x:v>-2225.9</x:v>
      </x:c>
    </x:row>
    <x:row r="382">
      <x:c r="A382" t="str">
        <x:f>"Despesa/Custo"</x:f>
        <x:v>Despesa/Custo</x:v>
      </x:c>
      <x:c r="B382" t="str">
        <x:f>Despesas!A346</x:f>
        <x:v>DEDE TRANSPORTES LTDA</x:v>
      </x:c>
      <x:c r="C382" t="str">
        <x:f>Despesas!B346</x:f>
        <x:v>38643</x:v>
      </x:c>
      <x:c r="D382" t="str">
        <x:f>Despesas!C346</x:f>
        <x:v>015305</x:v>
      </x:c>
      <x:c r="E382" t="str">
        <x:f>Despesas!D346</x:f>
        <x:v>FRENTE DE MATERIAIS E EQUIPAMENTOS</x:v>
      </x:c>
      <x:c r="F382" t="n">
        <x:f>Despesas!E346</x:f>
        <x:v>0</x:v>
      </x:c>
      <x:c r="G382" s="4" t="n">
        <x:f>Despesas!F346</x:f>
        <x:v>46035</x:v>
      </x:c>
      <x:c r="H382" t="str">
        <x:f>Despesas!G346</x:f>
        <x:v>EUROCHEM SERRA DO SALITRE</x:v>
      </x:c>
      <x:c r="I382" t="str">
        <x:f>Despesas!H346</x:f>
        <x:v>10.1 - FRETE MATERIAIS E EQUIPAMENTOS</x:v>
      </x:c>
      <x:c r="J382" s="5" t="n">
        <x:f>Despesas!I346</x:f>
        <x:v>4500</x:v>
      </x:c>
      <x:c r="K382" s="5" t="n">
        <x:f>0</x:f>
        <x:v>0</x:v>
      </x:c>
      <x:c r="L382" s="5" t="n">
        <x:f>Despesas!I346</x:f>
        <x:v>4500</x:v>
      </x:c>
      <x:c r="M382" s="5" t="n">
        <x:f>-J382</x:f>
        <x:v>-4500</x:v>
      </x:c>
    </x:row>
    <x:row r="383">
      <x:c r="A383" t="str">
        <x:f>"Despesa/Custo"</x:f>
        <x:v>Despesa/Custo</x:v>
      </x:c>
      <x:c r="B383" t="str">
        <x:f>Despesas!A347</x:f>
        <x:v>FERCLAV COMERCIO DE FERRAGENS LTDA</x:v>
      </x:c>
      <x:c r="C383" t="str">
        <x:f>Despesas!B347</x:f>
        <x:v>73464</x:v>
      </x:c>
      <x:c r="D383" t="str">
        <x:f>Despesas!C347</x:f>
        <x:v>015399</x:v>
      </x:c>
      <x:c r="E383" t="str">
        <x:f>Despesas!D347</x:f>
        <x:v>MANUTENÇÃO 4 LIXADEIRAS</x:v>
      </x:c>
      <x:c r="F383" t="n">
        <x:f>Despesas!E347</x:f>
        <x:v>0</x:v>
      </x:c>
      <x:c r="G383" s="4" t="n">
        <x:f>Despesas!F347</x:f>
        <x:v>46035</x:v>
      </x:c>
      <x:c r="H383" t="str">
        <x:f>Despesas!G347</x:f>
        <x:v>FOSFATO CMOC CONTRAT</x:v>
      </x:c>
      <x:c r="I383" t="str">
        <x:f>Despesas!H347</x:f>
        <x:v>8.14 - MANUTENÇÃO/PEÇAS MAQUINAS E EQUIPAMENTOS</x:v>
      </x:c>
      <x:c r="J383" s="5" t="n">
        <x:f>Despesas!I347</x:f>
        <x:v>276.1</x:v>
      </x:c>
      <x:c r="K383" s="5" t="n">
        <x:f>0</x:f>
        <x:v>0</x:v>
      </x:c>
      <x:c r="L383" s="5" t="n">
        <x:f>Despesas!I347</x:f>
        <x:v>276.1</x:v>
      </x:c>
      <x:c r="M383" s="5" t="n">
        <x:f>-J383</x:f>
        <x:v>-276.1</x:v>
      </x:c>
    </x:row>
    <x:row r="384">
      <x:c r="A384" t="str">
        <x:f>"Despesa/Custo"</x:f>
        <x:v>Despesa/Custo</x:v>
      </x:c>
      <x:c r="B384" t="str">
        <x:f>Despesas!A348</x:f>
        <x:v>FERCLAV COMERCIO DE FERRAGENS LTDA</x:v>
      </x:c>
      <x:c r="C384" t="str">
        <x:f>Despesas!B348</x:f>
        <x:v>73464</x:v>
      </x:c>
      <x:c r="D384" t="str">
        <x:f>Despesas!C348</x:f>
        <x:v>015399</x:v>
      </x:c>
      <x:c r="E384" t="str">
        <x:f>Despesas!D348</x:f>
        <x:v>MANUTENÇÃO 4 LIXADEIRAS</x:v>
      </x:c>
      <x:c r="F384" t="n">
        <x:f>Despesas!E348</x:f>
        <x:v>0</x:v>
      </x:c>
      <x:c r="G384" s="4" t="n">
        <x:f>Despesas!F348</x:f>
        <x:v>46035</x:v>
      </x:c>
      <x:c r="H384" t="str">
        <x:f>Despesas!G348</x:f>
        <x:v>NIOBIO CMOC CONTRATO</x:v>
      </x:c>
      <x:c r="I384" t="str">
        <x:f>Despesas!H348</x:f>
        <x:v>8.14 - MANUTENÇÃO/PEÇAS MAQUINAS E EQUIPAMENTOS</x:v>
      </x:c>
      <x:c r="J384" s="5" t="n">
        <x:f>Despesas!I348</x:f>
        <x:v>276.1</x:v>
      </x:c>
      <x:c r="K384" s="5" t="n">
        <x:f>0</x:f>
        <x:v>0</x:v>
      </x:c>
      <x:c r="L384" s="5" t="n">
        <x:f>Despesas!I348</x:f>
        <x:v>276.1</x:v>
      </x:c>
      <x:c r="M384" s="5" t="n">
        <x:f>-J384</x:f>
        <x:v>-276.1</x:v>
      </x:c>
    </x:row>
    <x:row r="385">
      <x:c r="A385" t="str">
        <x:f>"Despesa/Custo"</x:f>
        <x:v>Despesa/Custo</x:v>
      </x:c>
      <x:c r="B385" t="str">
        <x:f>Despesas!A349</x:f>
        <x:v>REFEIÇÃO OBRAS</x:v>
      </x:c>
      <x:c r="C385" t="n">
        <x:f>Despesas!B349</x:f>
        <x:v>0</x:v>
      </x:c>
      <x:c r="D385" t="str">
        <x:f>Despesas!C349</x:f>
        <x:v>015400</x:v>
      </x:c>
      <x:c r="E385" t="str">
        <x:f>Despesas!D349</x:f>
        <x:v>ALIMENTAÇÃO SERENA 12-01 A 15-01</x:v>
      </x:c>
      <x:c r="F385" t="n">
        <x:f>Despesas!E349</x:f>
        <x:v>0</x:v>
      </x:c>
      <x:c r="G385" s="4" t="n">
        <x:f>Despesas!F349</x:f>
        <x:v>46035</x:v>
      </x:c>
      <x:c r="H385" t="str">
        <x:f>Despesas!G349</x:f>
        <x:v>SERENA 10 TORRES 2025</x:v>
      </x:c>
      <x:c r="I385" t="str">
        <x:f>Despesas!H349</x:f>
        <x:v>12.5 - REFEIÇÕES FUNCIONARIOS</x:v>
      </x:c>
      <x:c r="J385" s="5" t="n">
        <x:f>Despesas!I349</x:f>
        <x:v>336</x:v>
      </x:c>
      <x:c r="K385" s="5" t="n">
        <x:f>0</x:f>
        <x:v>0</x:v>
      </x:c>
      <x:c r="L385" s="5" t="n">
        <x:f>Despesas!I349</x:f>
        <x:v>336</x:v>
      </x:c>
      <x:c r="M385" s="5" t="n">
        <x:f>-J385</x:f>
        <x:v>-336</x:v>
      </x:c>
    </x:row>
    <x:row r="386">
      <x:c r="A386" t="str">
        <x:f>"Despesa/Custo"</x:f>
        <x:v>Despesa/Custo</x:v>
      </x:c>
      <x:c r="B386" t="str">
        <x:f>Despesas!A350</x:f>
        <x:v>DESPESAS DE VIAGEM</x:v>
      </x:c>
      <x:c r="C386" t="n">
        <x:f>Despesas!B350</x:f>
        <x:v>0</x:v>
      </x:c>
      <x:c r="D386" t="str">
        <x:f>Despesas!C350</x:f>
        <x:v>015402</x:v>
      </x:c>
      <x:c r="E386" t="str">
        <x:f>Despesas!D350</x:f>
        <x:v>DESPESAS DA SEMANA 05/01/2026 A 09/01/2026</x:v>
      </x:c>
      <x:c r="F386" t="n">
        <x:f>Despesas!E350</x:f>
        <x:v>0</x:v>
      </x:c>
      <x:c r="G386" s="4" t="n">
        <x:f>Despesas!F350</x:f>
        <x:v>46035</x:v>
      </x:c>
      <x:c r="H386" t="str">
        <x:f>Despesas!G350</x:f>
        <x:v>VLI PINTURA</x:v>
      </x:c>
      <x:c r="I386" t="str">
        <x:f>Despesas!H350</x:f>
        <x:v>12.5 - REFEIÇÕES FUNCIONARIOS</x:v>
      </x:c>
      <x:c r="J386" s="5" t="n">
        <x:f>Despesas!I350</x:f>
        <x:v>528.220588</x:v>
      </x:c>
      <x:c r="K386" s="5" t="n">
        <x:f>0</x:f>
        <x:v>0</x:v>
      </x:c>
      <x:c r="L386" s="5" t="n">
        <x:f>Despesas!I350</x:f>
        <x:v>528.220588</x:v>
      </x:c>
      <x:c r="M386" s="5" t="n">
        <x:f>-J386</x:f>
        <x:v>-528.220588</x:v>
      </x:c>
    </x:row>
    <x:row r="387">
      <x:c r="A387" t="str">
        <x:f>"Despesa/Custo"</x:f>
        <x:v>Despesa/Custo</x:v>
      </x:c>
      <x:c r="B387" t="str">
        <x:f>Despesas!A351</x:f>
        <x:v>DESPESAS DE VIAGEM</x:v>
      </x:c>
      <x:c r="C387" t="n">
        <x:f>Despesas!B351</x:f>
        <x:v>0</x:v>
      </x:c>
      <x:c r="D387" t="str">
        <x:f>Despesas!C351</x:f>
        <x:v>015402</x:v>
      </x:c>
      <x:c r="E387" t="str">
        <x:f>Despesas!D351</x:f>
        <x:v>DESPESAS DA SEMANA 05/01/2026 A 09/01/2026</x:v>
      </x:c>
      <x:c r="F387" t="n">
        <x:f>Despesas!E351</x:f>
        <x:v>0</x:v>
      </x:c>
      <x:c r="G387" s="4" t="n">
        <x:f>Despesas!F351</x:f>
        <x:v>46035</x:v>
      </x:c>
      <x:c r="H387" t="str">
        <x:f>Despesas!G351</x:f>
        <x:v>VLI PINTURA</x:v>
      </x:c>
      <x:c r="I387" t="str">
        <x:f>Despesas!H351</x:f>
        <x:v>12.9 - PASSAGENS FUNCIONARIOS</x:v>
      </x:c>
      <x:c r="J387" s="5" t="n">
        <x:f>Despesas!I351</x:f>
        <x:v>1811.779412</x:v>
      </x:c>
      <x:c r="K387" s="5" t="n">
        <x:f>0</x:f>
        <x:v>0</x:v>
      </x:c>
      <x:c r="L387" s="5" t="n">
        <x:f>Despesas!I351</x:f>
        <x:v>1811.779412</x:v>
      </x:c>
      <x:c r="M387" s="5" t="n">
        <x:f>-J387</x:f>
        <x:v>-1811.779412</x:v>
      </x:c>
    </x:row>
    <x:row r="388">
      <x:c r="A388" t="str">
        <x:f>"Despesa/Custo"</x:f>
        <x:v>Despesa/Custo</x:v>
      </x:c>
      <x:c r="B388" t="str">
        <x:f>Despesas!A352</x:f>
        <x:v>DESPESAS DE VIAGEM</x:v>
      </x:c>
      <x:c r="C388" t="n">
        <x:f>Despesas!B352</x:f>
        <x:v>0</x:v>
      </x:c>
      <x:c r="D388" t="str">
        <x:f>Despesas!C352</x:f>
        <x:v>015402</x:v>
      </x:c>
      <x:c r="E388" t="str">
        <x:f>Despesas!D352</x:f>
        <x:v>DESPESAS DA SEMANA 05/01/2026 A 09/01/2026</x:v>
      </x:c>
      <x:c r="F388" t="n">
        <x:f>Despesas!E352</x:f>
        <x:v>0</x:v>
      </x:c>
      <x:c r="G388" s="4" t="n">
        <x:f>Despesas!F352</x:f>
        <x:v>46035</x:v>
      </x:c>
      <x:c r="H388" t="str">
        <x:f>Despesas!G352</x:f>
        <x:v>MOSAIC UBERABA CONTRAT0 3 ANOS</x:v>
      </x:c>
      <x:c r="I388" t="str">
        <x:f>Despesas!H352</x:f>
        <x:v>12.5 - REFEIÇÕES FUNCIONARIOS</x:v>
      </x:c>
      <x:c r="J388" s="5" t="n">
        <x:f>Despesas!I352</x:f>
        <x:v>275.397059</x:v>
      </x:c>
      <x:c r="K388" s="5" t="n">
        <x:f>0</x:f>
        <x:v>0</x:v>
      </x:c>
      <x:c r="L388" s="5" t="n">
        <x:f>Despesas!I352</x:f>
        <x:v>275.397059</x:v>
      </x:c>
      <x:c r="M388" s="5" t="n">
        <x:f>-J388</x:f>
        <x:v>-275.397059</x:v>
      </x:c>
    </x:row>
    <x:row r="389">
      <x:c r="A389" t="str">
        <x:f>"Despesa/Custo"</x:f>
        <x:v>Despesa/Custo</x:v>
      </x:c>
      <x:c r="B389" t="str">
        <x:f>Despesas!A353</x:f>
        <x:v>DESPESAS DE VIAGEM</x:v>
      </x:c>
      <x:c r="C389" t="n">
        <x:f>Despesas!B353</x:f>
        <x:v>0</x:v>
      </x:c>
      <x:c r="D389" t="str">
        <x:f>Despesas!C353</x:f>
        <x:v>015402</x:v>
      </x:c>
      <x:c r="E389" t="str">
        <x:f>Despesas!D353</x:f>
        <x:v>DESPESAS DA SEMANA 05/01/2026 A 09/01/2026</x:v>
      </x:c>
      <x:c r="F389" t="n">
        <x:f>Despesas!E353</x:f>
        <x:v>0</x:v>
      </x:c>
      <x:c r="G389" s="4" t="n">
        <x:f>Despesas!F353</x:f>
        <x:v>46035</x:v>
      </x:c>
      <x:c r="H389" t="str">
        <x:f>Despesas!G353</x:f>
        <x:v>MOSAIC UBERABA CONTRAT0 3 ANOS</x:v>
      </x:c>
      <x:c r="I389" t="str">
        <x:f>Despesas!H353</x:f>
        <x:v>12.9 - PASSAGENS FUNCIONARIOS</x:v>
      </x:c>
      <x:c r="J389" s="5" t="n">
        <x:f>Despesas!I353</x:f>
        <x:v>944.602941</x:v>
      </x:c>
      <x:c r="K389" s="5" t="n">
        <x:f>0</x:f>
        <x:v>0</x:v>
      </x:c>
      <x:c r="L389" s="5" t="n">
        <x:f>Despesas!I353</x:f>
        <x:v>944.602941</x:v>
      </x:c>
      <x:c r="M389" s="5" t="n">
        <x:f>-J389</x:f>
        <x:v>-944.602941</x:v>
      </x:c>
    </x:row>
    <x:row r="390">
      <x:c r="A390" t="str">
        <x:f>"Despesa/Custo"</x:f>
        <x:v>Despesa/Custo</x:v>
      </x:c>
      <x:c r="B390" t="str">
        <x:f>Despesas!A354</x:f>
        <x:v>DESPESAS DE VIAGEM</x:v>
      </x:c>
      <x:c r="C390" t="n">
        <x:f>Despesas!B354</x:f>
        <x:v>0</x:v>
      </x:c>
      <x:c r="D390" t="str">
        <x:f>Despesas!C354</x:f>
        <x:v>015402</x:v>
      </x:c>
      <x:c r="E390" t="str">
        <x:f>Despesas!D354</x:f>
        <x:v>DESPESAS DA SEMANA 05/01/2026 A 09/01/2026</x:v>
      </x:c>
      <x:c r="F390" t="n">
        <x:f>Despesas!E354</x:f>
        <x:v>0</x:v>
      </x:c>
      <x:c r="G390" s="4" t="n">
        <x:f>Despesas!F354</x:f>
        <x:v>46035</x:v>
      </x:c>
      <x:c r="H390" t="str">
        <x:f>Despesas!G354</x:f>
        <x:v>EUROCHEM SERRA DO SALITRE</x:v>
      </x:c>
      <x:c r="I390" t="str">
        <x:f>Despesas!H354</x:f>
        <x:v>12.5 - REFEIÇÕES FUNCIONARIOS</x:v>
      </x:c>
      <x:c r="J390" s="5" t="n">
        <x:f>Despesas!I354</x:f>
        <x:v>424.382353</x:v>
      </x:c>
      <x:c r="K390" s="5" t="n">
        <x:f>0</x:f>
        <x:v>0</x:v>
      </x:c>
      <x:c r="L390" s="5" t="n">
        <x:f>Despesas!I354</x:f>
        <x:v>424.382353</x:v>
      </x:c>
      <x:c r="M390" s="5" t="n">
        <x:f>-J390</x:f>
        <x:v>-424.382353</x:v>
      </x:c>
    </x:row>
    <x:row r="391">
      <x:c r="A391" t="str">
        <x:f>"Despesa/Custo"</x:f>
        <x:v>Despesa/Custo</x:v>
      </x:c>
      <x:c r="B391" t="str">
        <x:f>Despesas!A355</x:f>
        <x:v>DESPESAS DE VIAGEM</x:v>
      </x:c>
      <x:c r="C391" t="n">
        <x:f>Despesas!B355</x:f>
        <x:v>0</x:v>
      </x:c>
      <x:c r="D391" t="str">
        <x:f>Despesas!C355</x:f>
        <x:v>015402</x:v>
      </x:c>
      <x:c r="E391" t="str">
        <x:f>Despesas!D355</x:f>
        <x:v>DESPESAS DA SEMANA 05/01/2026 A 09/01/2026</x:v>
      </x:c>
      <x:c r="F391" t="n">
        <x:f>Despesas!E355</x:f>
        <x:v>0</x:v>
      </x:c>
      <x:c r="G391" s="4" t="n">
        <x:f>Despesas!F355</x:f>
        <x:v>46035</x:v>
      </x:c>
      <x:c r="H391" t="str">
        <x:f>Despesas!G355</x:f>
        <x:v>EUROCHEM SERRA DO SALITRE</x:v>
      </x:c>
      <x:c r="I391" t="str">
        <x:f>Despesas!H355</x:f>
        <x:v>12.9 - PASSAGENS FUNCIONARIOS</x:v>
      </x:c>
      <x:c r="J391" s="5" t="n">
        <x:f>Despesas!I355</x:f>
        <x:v>1455.617647</x:v>
      </x:c>
      <x:c r="K391" s="5" t="n">
        <x:f>0</x:f>
        <x:v>0</x:v>
      </x:c>
      <x:c r="L391" s="5" t="n">
        <x:f>Despesas!I355</x:f>
        <x:v>1455.617647</x:v>
      </x:c>
      <x:c r="M391" s="5" t="n">
        <x:f>-J391</x:f>
        <x:v>-1455.617647</x:v>
      </x:c>
    </x:row>
    <x:row r="392">
      <x:c r="A392" t="str">
        <x:f>"Despesa/Custo"</x:f>
        <x:v>Despesa/Custo</x:v>
      </x:c>
      <x:c r="B392" t="str">
        <x:f>Despesas!A356</x:f>
        <x:v>MOTO BOY CLAUDEMIR</x:v>
      </x:c>
      <x:c r="C392" t="n">
        <x:f>Despesas!B356</x:f>
        <x:v>0</x:v>
      </x:c>
      <x:c r="D392" t="str">
        <x:f>Despesas!C356</x:f>
        <x:v>015404</x:v>
      </x:c>
      <x:c r="E392" t="str">
        <x:f>Despesas!D356</x:f>
        <x:v>CLAUDEMIR</x:v>
      </x:c>
      <x:c r="F392" t="str">
        <x:f>Despesas!E356</x:f>
        <x:v>BUSCAR ADESIVOS AIDEAL</x:v>
      </x:c>
      <x:c r="G392" s="4" t="n">
        <x:f>Despesas!F356</x:f>
        <x:v>46035</x:v>
      </x:c>
      <x:c r="H392" t="str">
        <x:f>Despesas!G356</x:f>
        <x:v>ADMINISTRATIVO</x:v>
      </x:c>
      <x:c r="I392" t="str">
        <x:f>Despesas!H356</x:f>
        <x:v>3.8 - SERVIÇO MOTOBOY / UBER</x:v>
      </x:c>
      <x:c r="J392" s="5" t="n">
        <x:f>Despesas!I356</x:f>
        <x:v>60</x:v>
      </x:c>
      <x:c r="K392" s="5" t="n">
        <x:f>0</x:f>
        <x:v>0</x:v>
      </x:c>
      <x:c r="L392" s="5" t="n">
        <x:f>Despesas!I356</x:f>
        <x:v>60</x:v>
      </x:c>
      <x:c r="M392" s="5" t="n">
        <x:f>-J392</x:f>
        <x:v>-60</x:v>
      </x:c>
    </x:row>
    <x:row r="393">
      <x:c r="A393" t="str">
        <x:f>"Despesa/Custo"</x:f>
        <x:v>Despesa/Custo</x:v>
      </x:c>
      <x:c r="B393" t="str">
        <x:f>Despesas!A357</x:f>
        <x:v>VALE TRANSPORTE</x:v>
      </x:c>
      <x:c r="C393" t="n">
        <x:f>Despesas!B357</x:f>
        <x:v>0</x:v>
      </x:c>
      <x:c r="D393" t="str">
        <x:f>Despesas!C357</x:f>
        <x:v>015405</x:v>
      </x:c>
      <x:c r="E393" t="str">
        <x:f>Despesas!D357</x:f>
        <x:v>VALE TRANSPORTE JOVEM APRENDIZ</x:v>
      </x:c>
      <x:c r="F393" t="str">
        <x:f>Despesas!E357</x:f>
        <x:v>05/01 A 02/02</x:v>
      </x:c>
      <x:c r="G393" s="4" t="n">
        <x:f>Despesas!F357</x:f>
        <x:v>46035</x:v>
      </x:c>
      <x:c r="H393" t="str">
        <x:f>Despesas!G357</x:f>
        <x:v>ADMINISTRATIVO</x:v>
      </x:c>
      <x:c r="I393" t="str">
        <x:f>Despesas!H357</x:f>
        <x:v>12.7 - TRANSPORTE FUNCIONARIOS</x:v>
      </x:c>
      <x:c r="J393" s="5" t="n">
        <x:f>Despesas!I357</x:f>
        <x:v>2066.3</x:v>
      </x:c>
      <x:c r="K393" s="5" t="n">
        <x:f>0</x:f>
        <x:v>0</x:v>
      </x:c>
      <x:c r="L393" s="5" t="n">
        <x:f>Despesas!I357</x:f>
        <x:v>2066.3</x:v>
      </x:c>
      <x:c r="M393" s="5" t="n">
        <x:f>-J393</x:f>
        <x:v>-2066.3</x:v>
      </x:c>
    </x:row>
    <x:row r="394">
      <x:c r="A394" t="str">
        <x:f>"Despesa/Custo"</x:f>
        <x:v>Despesa/Custo</x:v>
      </x:c>
      <x:c r="B394" t="str">
        <x:f>Despesas!A358</x:f>
        <x:v>SR APRIGIO RODRIGUES</x:v>
      </x:c>
      <x:c r="C394" t="n">
        <x:f>Despesas!B358</x:f>
        <x:v>0</x:v>
      </x:c>
      <x:c r="D394" t="str">
        <x:f>Despesas!C358</x:f>
        <x:v>015306</x:v>
      </x:c>
      <x:c r="E394" t="str">
        <x:f>Despesas!D358</x:f>
        <x:v>APRIGIO JOAQUIM RODRIGUES</x:v>
      </x:c>
      <x:c r="F394" t="str">
        <x:f>Despesas!E358</x:f>
        <x:v>FAXINEIRA SR. APRIGIO 10/12 A 10/01</x:v>
      </x:c>
      <x:c r="G394" s="4" t="n">
        <x:f>Despesas!F358</x:f>
        <x:v>46036</x:v>
      </x:c>
      <x:c r="H394" t="str">
        <x:f>Despesas!G358</x:f>
        <x:v>RETIRADA</x:v>
      </x:c>
      <x:c r="I394" t="str">
        <x:f>Despesas!H358</x:f>
        <x:v>16.2 - RETIRADAS</x:v>
      </x:c>
      <x:c r="J394" s="5" t="n">
        <x:f>Despesas!I358</x:f>
        <x:v>1000</x:v>
      </x:c>
      <x:c r="K394" s="5" t="n">
        <x:f>0</x:f>
        <x:v>0</x:v>
      </x:c>
      <x:c r="L394" s="5" t="n">
        <x:f>Despesas!I358</x:f>
        <x:v>1000</x:v>
      </x:c>
      <x:c r="M394" s="5" t="n">
        <x:f>-J394</x:f>
        <x:v>-1000</x:v>
      </x:c>
    </x:row>
    <x:row r="395">
      <x:c r="A395" t="str">
        <x:f>"Despesa/Custo"</x:f>
        <x:v>Despesa/Custo</x:v>
      </x:c>
      <x:c r="B395" t="str">
        <x:f>Despesas!A359</x:f>
        <x:v>MOVIDA PARTICIPACOES S.A.</x:v>
      </x:c>
      <x:c r="C395" t="n">
        <x:f>Despesas!B359</x:f>
        <x:v>0</x:v>
      </x:c>
      <x:c r="D395" t="str">
        <x:f>Despesas!C359</x:f>
        <x:v>015308</x:v>
      </x:c>
      <x:c r="E395" t="str">
        <x:f>Despesas!D359</x:f>
        <x:v>MOVIDA ALUGUEL SPIN</x:v>
      </x:c>
      <x:c r="F395" t="str">
        <x:f>Despesas!E359</x:f>
        <x:v>BOLETO</x:v>
      </x:c>
      <x:c r="G395" s="4" t="n">
        <x:f>Despesas!F359</x:f>
        <x:v>46036</x:v>
      </x:c>
      <x:c r="H395" t="str">
        <x:f>Despesas!G359</x:f>
        <x:v>SERENA 10 TORRES 2025</x:v>
      </x:c>
      <x:c r="I395" t="str">
        <x:f>Despesas!H359</x:f>
        <x:v>7.8 - LOCAÇAO VEICULOS</x:v>
      </x:c>
      <x:c r="J395" s="5" t="n">
        <x:f>Despesas!I359</x:f>
        <x:v>3512.7</x:v>
      </x:c>
      <x:c r="K395" s="5" t="n">
        <x:f>0</x:f>
        <x:v>0</x:v>
      </x:c>
      <x:c r="L395" s="5" t="n">
        <x:f>Despesas!I359</x:f>
        <x:v>3512.7</x:v>
      </x:c>
      <x:c r="M395" s="5" t="n">
        <x:f>-J395</x:f>
        <x:v>-3512.7</x:v>
      </x:c>
    </x:row>
    <x:row r="396">
      <x:c r="A396" t="str">
        <x:f>"Despesa/Custo"</x:f>
        <x:v>Despesa/Custo</x:v>
      </x:c>
      <x:c r="B396" t="str">
        <x:f>Despesas!A360</x:f>
        <x:v>S O S BORRACHAS</x:v>
      </x:c>
      <x:c r="C396" t="str">
        <x:f>Despesas!B360</x:f>
        <x:v>43571</x:v>
      </x:c>
      <x:c r="D396" t="str">
        <x:f>Despesas!C360</x:f>
        <x:v>015309</x:v>
      </x:c>
      <x:c r="E396" t="str">
        <x:f>Despesas!D360</x:f>
        <x:v>MANUTENÇÃO DE EQUIPAMENTOS</x:v>
      </x:c>
      <x:c r="F396" t="str">
        <x:f>Despesas!E360</x:f>
        <x:v>BOLETO</x:v>
      </x:c>
      <x:c r="G396" s="4" t="n">
        <x:f>Despesas!F360</x:f>
        <x:v>46036</x:v>
      </x:c>
      <x:c r="H396" t="str">
        <x:f>Despesas!G360</x:f>
        <x:v>CONDUTOS UG 1 - ELETROBRAS</x:v>
      </x:c>
      <x:c r="I396" t="str">
        <x:f>Despesas!H360</x:f>
        <x:v>8.14 - MANUTENÇÃO/PEÇAS MAQUINAS E EQUIPAMENTOS</x:v>
      </x:c>
      <x:c r="J396" s="5" t="n">
        <x:f>Despesas!I360</x:f>
        <x:v>665</x:v>
      </x:c>
      <x:c r="K396" s="5" t="n">
        <x:f>0</x:f>
        <x:v>0</x:v>
      </x:c>
      <x:c r="L396" s="5" t="n">
        <x:f>Despesas!I360</x:f>
        <x:v>665</x:v>
      </x:c>
      <x:c r="M396" s="5" t="n">
        <x:f>-J396</x:f>
        <x:v>-665</x:v>
      </x:c>
    </x:row>
    <x:row r="397">
      <x:c r="A397" t="str">
        <x:f>"Despesa/Custo"</x:f>
        <x:v>Despesa/Custo</x:v>
      </x:c>
      <x:c r="B397" t="str">
        <x:f>Despesas!A361</x:f>
        <x:v>MARIA DA FE VIDAL PASCOA COMBUSTIVEIS LTDA</x:v>
      </x:c>
      <x:c r="C397" t="str">
        <x:f>Despesas!B361</x:f>
        <x:v>156</x:v>
      </x:c>
      <x:c r="D397" t="str">
        <x:f>Despesas!C361</x:f>
        <x:v>015310</x:v>
      </x:c>
      <x:c r="E397" t="str">
        <x:f>Despesas!D361</x:f>
        <x:v>POSTO SANTA FÉ</x:v>
      </x:c>
      <x:c r="F397" t="str">
        <x:f>Despesas!E361</x:f>
        <x:v>MARIA DA FE VIDAL PASCOA - PIX 07.430.239/0001-40</x:v>
      </x:c>
      <x:c r="G397" s="4" t="n">
        <x:f>Despesas!F361</x:f>
        <x:v>46036</x:v>
      </x:c>
      <x:c r="H397" t="str">
        <x:f>Despesas!G361</x:f>
        <x:v>SERENA 10 TORRES 2025</x:v>
      </x:c>
      <x:c r="I397" t="str">
        <x:f>Despesas!H361</x:f>
        <x:v>6.4 - COMBUSTIVEL VEICULOS</x:v>
      </x:c>
      <x:c r="J397" s="5" t="n">
        <x:f>Despesas!I361</x:f>
        <x:v>811.09</x:v>
      </x:c>
      <x:c r="K397" s="5" t="n">
        <x:f>0</x:f>
        <x:v>0</x:v>
      </x:c>
      <x:c r="L397" s="5" t="n">
        <x:f>Despesas!I361</x:f>
        <x:v>811.09</x:v>
      </x:c>
      <x:c r="M397" s="5" t="n">
        <x:f>-J397</x:f>
        <x:v>-811.09</x:v>
      </x:c>
    </x:row>
    <x:row r="398">
      <x:c r="A398" t="str">
        <x:f>"Despesa/Custo"</x:f>
        <x:v>Despesa/Custo</x:v>
      </x:c>
      <x:c r="B398" t="str">
        <x:f>Despesas!A362</x:f>
        <x:v>CAB INDUSTRIAL LTDA</x:v>
      </x:c>
      <x:c r="C398" t="str">
        <x:f>Despesas!B362</x:f>
        <x:v>79342</x:v>
      </x:c>
      <x:c r="D398" t="str">
        <x:f>Despesas!C362</x:f>
        <x:v>015311</x:v>
      </x:c>
      <x:c r="E398" t="str">
        <x:f>Despesas!D362</x:f>
        <x:v>EPIS</x:v>
      </x:c>
      <x:c r="F398" t="n">
        <x:f>Despesas!E362</x:f>
        <x:v>0</x:v>
      </x:c>
      <x:c r="G398" s="4" t="n">
        <x:f>Despesas!F362</x:f>
        <x:v>46036</x:v>
      </x:c>
      <x:c r="H398" t="str">
        <x:f>Despesas!G362</x:f>
        <x:v>MOSAIC UBERABA CONTRAT0 3 ANOS</x:v>
      </x:c>
      <x:c r="I398" t="str">
        <x:f>Despesas!H362</x:f>
        <x:v>13.1 - EPIS</x:v>
      </x:c>
      <x:c r="J398" s="5" t="n">
        <x:f>Despesas!I362</x:f>
        <x:v>411.86</x:v>
      </x:c>
      <x:c r="K398" s="5" t="n">
        <x:f>0</x:f>
        <x:v>0</x:v>
      </x:c>
      <x:c r="L398" s="5" t="n">
        <x:f>Despesas!I362</x:f>
        <x:v>411.86</x:v>
      </x:c>
      <x:c r="M398" s="5" t="n">
        <x:f>-J398</x:f>
        <x:v>-411.86</x:v>
      </x:c>
    </x:row>
    <x:row r="399">
      <x:c r="A399" t="str">
        <x:f>"Despesa/Custo"</x:f>
        <x:v>Despesa/Custo</x:v>
      </x:c>
      <x:c r="B399" t="str">
        <x:f>Despesas!A363</x:f>
        <x:v>START INSTITUTO DE DESENVOLVIMENTO HUMANO E PROFISSIONAL LTDA</x:v>
      </x:c>
      <x:c r="C399" t="n">
        <x:f>Despesas!B363</x:f>
        <x:v>0</x:v>
      </x:c>
      <x:c r="D399" t="str">
        <x:f>Despesas!C363</x:f>
        <x:v>015408</x:v>
      </x:c>
      <x:c r="E399" t="str">
        <x:f>Despesas!D363</x:f>
        <x:v>START - AGENCIA DO ESTAGIARIO</x:v>
      </x:c>
      <x:c r="F399" t="n">
        <x:f>Despesas!E363</x:f>
        <x:v>0</x:v>
      </x:c>
      <x:c r="G399" s="4" t="n">
        <x:f>Despesas!F363</x:f>
        <x:v>46036</x:v>
      </x:c>
      <x:c r="H399" t="str">
        <x:f>Despesas!G363</x:f>
        <x:v>ADMINISTRATIVO</x:v>
      </x:c>
      <x:c r="I399" t="str">
        <x:f>Despesas!H363</x:f>
        <x:v>12.1 - SALARIO</x:v>
      </x:c>
      <x:c r="J399" s="5" t="n">
        <x:f>Despesas!I363</x:f>
        <x:v>64.29</x:v>
      </x:c>
      <x:c r="K399" s="5" t="n">
        <x:f>0</x:f>
        <x:v>0</x:v>
      </x:c>
      <x:c r="L399" s="5" t="n">
        <x:f>Despesas!I363</x:f>
        <x:v>64.29</x:v>
      </x:c>
      <x:c r="M399" s="5" t="n">
        <x:f>-J399</x:f>
        <x:v>-64.29</x:v>
      </x:c>
    </x:row>
    <x:row r="400">
      <x:c r="A400" t="str">
        <x:f>"Despesa/Custo"</x:f>
        <x:v>Despesa/Custo</x:v>
      </x:c>
      <x:c r="B400" t="str">
        <x:f>Despesas!A364</x:f>
        <x:v>DESPESAS DE VIAGEM</x:v>
      </x:c>
      <x:c r="C400" t="n">
        <x:f>Despesas!B364</x:f>
        <x:v>0</x:v>
      </x:c>
      <x:c r="D400" t="str">
        <x:f>Despesas!C364</x:f>
        <x:v>015412</x:v>
      </x:c>
      <x:c r="E400" t="str">
        <x:f>Despesas!D364</x:f>
        <x:v>PASSAGEM CARLOS ANTONIO FERREIRA</x:v>
      </x:c>
      <x:c r="F400" t="n">
        <x:f>Despesas!E364</x:f>
        <x:v>0</x:v>
      </x:c>
      <x:c r="G400" s="4" t="n">
        <x:f>Despesas!F364</x:f>
        <x:v>46036</x:v>
      </x:c>
      <x:c r="H400" t="str">
        <x:f>Despesas!G364</x:f>
        <x:v>VLI PINTURA</x:v>
      </x:c>
      <x:c r="I400" t="str">
        <x:f>Despesas!H364</x:f>
        <x:v>12.9 - PASSAGENS FUNCIONARIOS</x:v>
      </x:c>
      <x:c r="J400" s="5" t="n">
        <x:f>Despesas!I364</x:f>
        <x:v>1120</x:v>
      </x:c>
      <x:c r="K400" s="5" t="n">
        <x:f>0</x:f>
        <x:v>0</x:v>
      </x:c>
      <x:c r="L400" s="5" t="n">
        <x:f>Despesas!I364</x:f>
        <x:v>1120</x:v>
      </x:c>
      <x:c r="M400" s="5" t="n">
        <x:f>-J400</x:f>
        <x:v>-1120</x:v>
      </x:c>
    </x:row>
    <x:row r="401">
      <x:c r="A401" t="str">
        <x:f>"Despesa/Custo"</x:f>
        <x:v>Despesa/Custo</x:v>
      </x:c>
      <x:c r="B401" t="str">
        <x:f>Despesas!A365</x:f>
        <x:v>EXECUTIVA M E PATENTES LTDA</x:v>
      </x:c>
      <x:c r="C401" t="n">
        <x:f>Despesas!B365</x:f>
        <x:v>0</x:v>
      </x:c>
      <x:c r="D401" t="str">
        <x:f>Despesas!C365</x:f>
        <x:v>015413</x:v>
      </x:c>
      <x:c r="E401" t="str">
        <x:f>Despesas!D365</x:f>
        <x:v>REGISTRO E PATENTE DA MARCA A IDEAL</x:v>
      </x:c>
      <x:c r="F401" t="n">
        <x:f>Despesas!E365</x:f>
        <x:v>0</x:v>
      </x:c>
      <x:c r="G401" s="4" t="n">
        <x:f>Despesas!F365</x:f>
        <x:v>46036</x:v>
      </x:c>
      <x:c r="H401" t="str">
        <x:f>Despesas!G365</x:f>
        <x:v>ADMINISTRATIVO</x:v>
      </x:c>
      <x:c r="I401" t="str">
        <x:f>Despesas!H365</x:f>
        <x:v>3.18 - SERVIÇO ALVARAS E LICENCIAMENTO</x:v>
      </x:c>
      <x:c r="J401" s="5" t="n">
        <x:f>Despesas!I365</x:f>
        <x:v>826.87</x:v>
      </x:c>
      <x:c r="K401" s="5" t="n">
        <x:f>0</x:f>
        <x:v>0</x:v>
      </x:c>
      <x:c r="L401" s="5" t="n">
        <x:f>Despesas!I365</x:f>
        <x:v>826.87</x:v>
      </x:c>
      <x:c r="M401" s="5" t="n">
        <x:f>-J401</x:f>
        <x:v>-826.87</x:v>
      </x:c>
    </x:row>
    <x:row r="402">
      <x:c r="A402" t="str">
        <x:f>"Despesa/Custo"</x:f>
        <x:v>Despesa/Custo</x:v>
      </x:c>
      <x:c r="B402" t="str">
        <x:f>Despesas!A366</x:f>
        <x:v>FVX TECNOLOGIA DA INFORMACAO LTDA</x:v>
      </x:c>
      <x:c r="C402" t="n">
        <x:f>Despesas!B366</x:f>
        <x:v>0</x:v>
      </x:c>
      <x:c r="D402" t="str">
        <x:f>Despesas!C366</x:f>
        <x:v>015418</x:v>
      </x:c>
      <x:c r="E402" t="str">
        <x:f>Despesas!D366</x:f>
        <x:v>LINHA VIRTUAL VOIP</x:v>
      </x:c>
      <x:c r="F402" t="n">
        <x:f>Despesas!E366</x:f>
        <x:v>0</x:v>
      </x:c>
      <x:c r="G402" s="4" t="n">
        <x:f>Despesas!F366</x:f>
        <x:v>46036</x:v>
      </x:c>
      <x:c r="H402" t="str">
        <x:f>Despesas!G366</x:f>
        <x:v>ADMINISTRATIVO</x:v>
      </x:c>
      <x:c r="I402" t="str">
        <x:f>Despesas!H366</x:f>
        <x:v>11.6 - INTERNET / TELEFONE ADM</x:v>
      </x:c>
      <x:c r="J402" s="5" t="n">
        <x:f>Despesas!I366</x:f>
        <x:v>200</x:v>
      </x:c>
      <x:c r="K402" s="5" t="n">
        <x:f>0</x:f>
        <x:v>0</x:v>
      </x:c>
      <x:c r="L402" s="5" t="n">
        <x:f>Despesas!I366</x:f>
        <x:v>200</x:v>
      </x:c>
      <x:c r="M402" s="5" t="n">
        <x:f>-J402</x:f>
        <x:v>-200</x:v>
      </x:c>
    </x:row>
    <x:row r="403">
      <x:c r="A403" t="str">
        <x:f>"Despesa/Custo"</x:f>
        <x:v>Despesa/Custo</x:v>
      </x:c>
      <x:c r="B403" t="str">
        <x:f>Despesas!A367</x:f>
        <x:v>IPOG</x:v>
      </x:c>
      <x:c r="C403" t="n">
        <x:f>Despesas!B367</x:f>
        <x:v>0</x:v>
      </x:c>
      <x:c r="D403" t="str">
        <x:f>Despesas!C367</x:f>
        <x:v>015419</x:v>
      </x:c>
      <x:c r="E403" t="str">
        <x:f>Despesas!D367</x:f>
        <x:v>CURSO POS GECYKA 12º MENSALIDADE</x:v>
      </x:c>
      <x:c r="F403" t="n">
        <x:f>Despesas!E367</x:f>
        <x:v>0</x:v>
      </x:c>
      <x:c r="G403" s="4" t="n">
        <x:f>Despesas!F367</x:f>
        <x:v>46036</x:v>
      </x:c>
      <x:c r="H403" t="str">
        <x:f>Despesas!G367</x:f>
        <x:v>ADMINISTRATIVO</x:v>
      </x:c>
      <x:c r="I403" t="str">
        <x:f>Despesas!H367</x:f>
        <x:v>14.2 - CURSOS / TREINAMENTOS</x:v>
      </x:c>
      <x:c r="J403" s="5" t="n">
        <x:f>Despesas!I367</x:f>
        <x:v>1105</x:v>
      </x:c>
      <x:c r="K403" s="5" t="n">
        <x:f>0</x:f>
        <x:v>0</x:v>
      </x:c>
      <x:c r="L403" s="5" t="n">
        <x:f>Despesas!I367</x:f>
        <x:v>1105</x:v>
      </x:c>
      <x:c r="M403" s="5" t="n">
        <x:f>-J403</x:f>
        <x:v>-1105</x:v>
      </x:c>
    </x:row>
    <x:row r="404">
      <x:c r="A404" t="str">
        <x:f>"Despesa/Custo"</x:f>
        <x:v>Despesa/Custo</x:v>
      </x:c>
      <x:c r="B404" t="str">
        <x:f>Despesas!A368</x:f>
        <x:v>DETRAN - GO</x:v>
      </x:c>
      <x:c r="C404" t="n">
        <x:f>Despesas!B368</x:f>
        <x:v>0</x:v>
      </x:c>
      <x:c r="D404" t="str">
        <x:f>Despesas!C368</x:f>
        <x:v>015421</x:v>
      </x:c>
      <x:c r="E404" t="str">
        <x:f>Despesas!D368</x:f>
        <x:v>MULTA DE TRANSITO RANGER SDN9A29</x:v>
      </x:c>
      <x:c r="F404" t="n">
        <x:f>Despesas!E368</x:f>
        <x:v>0</x:v>
      </x:c>
      <x:c r="G404" s="4" t="n">
        <x:f>Despesas!F368</x:f>
        <x:v>46036</x:v>
      </x:c>
      <x:c r="H404" t="str">
        <x:f>Despesas!G368</x:f>
        <x:v>VEICULOS</x:v>
      </x:c>
      <x:c r="I404" t="str">
        <x:f>Despesas!H368</x:f>
        <x:v>6.2 - MULTAS DE TRANSITO</x:v>
      </x:c>
      <x:c r="J404" s="5" t="n">
        <x:f>Despesas!I368</x:f>
        <x:v>952.54</x:v>
      </x:c>
      <x:c r="K404" s="5" t="n">
        <x:f>0</x:f>
        <x:v>0</x:v>
      </x:c>
      <x:c r="L404" s="5" t="n">
        <x:f>Despesas!I368</x:f>
        <x:v>952.54</x:v>
      </x:c>
      <x:c r="M404" s="5" t="n">
        <x:f>-J404</x:f>
        <x:v>-952.54</x:v>
      </x:c>
    </x:row>
    <x:row r="405">
      <x:c r="A405" t="str">
        <x:f>"Despesa/Custo"</x:f>
        <x:v>Despesa/Custo</x:v>
      </x:c>
      <x:c r="B405" t="str">
        <x:f>Despesas!A369</x:f>
        <x:v>AUTO POSTO SAO MARCOS LTDA</x:v>
      </x:c>
      <x:c r="C405" t="str">
        <x:f>Despesas!B369</x:f>
        <x:v>28849</x:v>
      </x:c>
      <x:c r="D405" t="str">
        <x:f>Despesas!C369</x:f>
        <x:v>015424</x:v>
      </x:c>
      <x:c r="E405" t="str">
        <x:f>Despesas!D369</x:f>
        <x:v>COMBUSTIVEL RANGER</x:v>
      </x:c>
      <x:c r="F405" t="n">
        <x:f>Despesas!E369</x:f>
        <x:v>0</x:v>
      </x:c>
      <x:c r="G405" s="4" t="n">
        <x:f>Despesas!F369</x:f>
        <x:v>46036</x:v>
      </x:c>
      <x:c r="H405" t="str">
        <x:f>Despesas!G369</x:f>
        <x:v>ADMINISTRATIVO</x:v>
      </x:c>
      <x:c r="I405" t="str">
        <x:f>Despesas!H369</x:f>
        <x:v>6.4 - COMBUSTIVEL VEICULOS</x:v>
      </x:c>
      <x:c r="J405" s="5" t="n">
        <x:f>Despesas!I369</x:f>
        <x:v>398.28</x:v>
      </x:c>
      <x:c r="K405" s="5" t="n">
        <x:f>0</x:f>
        <x:v>0</x:v>
      </x:c>
      <x:c r="L405" s="5" t="n">
        <x:f>Despesas!I369</x:f>
        <x:v>398.28</x:v>
      </x:c>
      <x:c r="M405" s="5" t="n">
        <x:f>-J405</x:f>
        <x:v>-398.28</x:v>
      </x:c>
    </x:row>
    <x:row r="406">
      <x:c r="A406" t="str">
        <x:f>"Despesa/Custo"</x:f>
        <x:v>Despesa/Custo</x:v>
      </x:c>
      <x:c r="B406" t="str">
        <x:f>Despesas!A370</x:f>
        <x:v>BANCO MERCANTIL</x:v>
      </x:c>
      <x:c r="C406" t="n">
        <x:f>Despesas!B370</x:f>
        <x:v>0</x:v>
      </x:c>
      <x:c r="D406" t="str">
        <x:f>Despesas!C370</x:f>
        <x:v>015989</x:v>
      </x:c>
      <x:c r="E406" t="str">
        <x:f>Despesas!D370</x:f>
        <x:v>JRS.PROP.CH.ESPECIAL</x:v>
      </x:c>
      <x:c r="F406" t="str">
        <x:f>Despesas!E370</x:f>
        <x:v>Documento gerado a partir do Mov. 017524</x:v>
      </x:c>
      <x:c r="G406" s="4" t="n">
        <x:f>Despesas!F370</x:f>
        <x:v>46036</x:v>
      </x:c>
      <x:c r="H406" t="str">
        <x:f>Despesas!G370</x:f>
        <x:v>ADMINISTRATIVO</x:v>
      </x:c>
      <x:c r="I406" t="str">
        <x:f>Despesas!H370</x:f>
        <x:v>18.1 - JUROS BANCARIOS</x:v>
      </x:c>
      <x:c r="J406" s="5" t="n">
        <x:f>Despesas!I370</x:f>
        <x:v>2334.89</x:v>
      </x:c>
      <x:c r="K406" s="5" t="n">
        <x:f>0</x:f>
        <x:v>0</x:v>
      </x:c>
      <x:c r="L406" s="5" t="n">
        <x:f>Despesas!I370</x:f>
        <x:v>2334.89</x:v>
      </x:c>
      <x:c r="M406" s="5" t="n">
        <x:f>-J406</x:f>
        <x:v>-2334.89</x:v>
      </x:c>
    </x:row>
    <x:row r="407">
      <x:c r="A407" t="str">
        <x:f>"Despesa/Custo"</x:f>
        <x:v>Despesa/Custo</x:v>
      </x:c>
      <x:c r="B407" t="str">
        <x:f>Despesas!A371</x:f>
        <x:v>MAGNO</x:v>
      </x:c>
      <x:c r="C407" t="n">
        <x:f>Despesas!B371</x:f>
        <x:v>0</x:v>
      </x:c>
      <x:c r="D407" t="str">
        <x:f>Despesas!C371</x:f>
        <x:v>014094</x:v>
      </x:c>
      <x:c r="E407" t="str">
        <x:f>Despesas!D371</x:f>
        <x:v>BONIFICAÇÃO MOSAIC PARADA 2025 - 30 MIL</x:v>
      </x:c>
      <x:c r="F407" t="str">
        <x:f>Despesas!E371</x:f>
        <x:v>MAGNO DE LIMA</x:v>
      </x:c>
      <x:c r="G407" s="4" t="n">
        <x:f>Despesas!F371</x:f>
        <x:v>46037</x:v>
      </x:c>
      <x:c r="H407" t="str">
        <x:f>Despesas!G371</x:f>
        <x:v>MOSAIC UBERABA CONTRAT0 3 ANOS</x:v>
      </x:c>
      <x:c r="I407" t="str">
        <x:f>Despesas!H371</x:f>
        <x:v>12.17 - BONIFICAÇOES</x:v>
      </x:c>
      <x:c r="J407" s="5" t="n">
        <x:f>Despesas!I371</x:f>
        <x:v>5000</x:v>
      </x:c>
      <x:c r="K407" s="5" t="n">
        <x:f>0</x:f>
        <x:v>0</x:v>
      </x:c>
      <x:c r="L407" s="5" t="n">
        <x:f>Despesas!I371</x:f>
        <x:v>5000</x:v>
      </x:c>
      <x:c r="M407" s="5" t="n">
        <x:f>-J407</x:f>
        <x:v>-5000</x:v>
      </x:c>
    </x:row>
    <x:row r="408">
      <x:c r="A408" t="str">
        <x:f>"Despesa/Custo"</x:f>
        <x:v>Despesa/Custo</x:v>
      </x:c>
      <x:c r="B408" t="str">
        <x:f>Despesas!A372</x:f>
        <x:v>ALUGUEIS OBRAS</x:v>
      </x:c>
      <x:c r="C408" t="n">
        <x:f>Despesas!B372</x:f>
        <x:v>0</x:v>
      </x:c>
      <x:c r="D408" t="str">
        <x:f>Despesas!C372</x:f>
        <x:v>014794</x:v>
      </x:c>
      <x:c r="E408" t="str">
        <x:f>Despesas!D372</x:f>
        <x:v>R. FRANCISCA NOG. COSTA Nº 564  15.01 A 15.02</x:v>
      </x:c>
      <x:c r="F408" t="str">
        <x:f>Despesas!E372</x:f>
        <x:v>ELIANA ALCANTARA CESAR - PIX 649.698.603-78</x:v>
      </x:c>
      <x:c r="G408" s="4" t="n">
        <x:f>Despesas!F372</x:f>
        <x:v>46037</x:v>
      </x:c>
      <x:c r="H408" t="str">
        <x:f>Despesas!G372</x:f>
        <x:v>VLI PINTURA</x:v>
      </x:c>
      <x:c r="I408" t="str">
        <x:f>Despesas!H372</x:f>
        <x:v>5.3 - ALUGUEL ALOJAMENTO</x:v>
      </x:c>
      <x:c r="J408" s="5" t="n">
        <x:f>Despesas!I372</x:f>
        <x:v>1500</x:v>
      </x:c>
      <x:c r="K408" s="5" t="n">
        <x:f>0</x:f>
        <x:v>0</x:v>
      </x:c>
      <x:c r="L408" s="5" t="n">
        <x:f>Despesas!I372</x:f>
        <x:v>1500</x:v>
      </x:c>
      <x:c r="M408" s="5" t="n">
        <x:f>-J408</x:f>
        <x:v>-1500</x:v>
      </x:c>
    </x:row>
    <x:row r="409">
      <x:c r="A409" t="str">
        <x:f>"Despesa/Custo"</x:f>
        <x:v>Despesa/Custo</x:v>
      </x:c>
      <x:c r="B409" t="str">
        <x:f>Despesas!A373</x:f>
        <x:v>ADVOGADO</x:v>
      </x:c>
      <x:c r="C409" t="n">
        <x:f>Despesas!B373</x:f>
        <x:v>0</x:v>
      </x:c>
      <x:c r="D409" t="str">
        <x:f>Despesas!C373</x:f>
        <x:v>014795</x:v>
      </x:c>
      <x:c r="E409" t="str">
        <x:f>Despesas!D373</x:f>
        <x:v>HONORÁRIO ADVOCATÍCIO - STELLA</x:v>
      </x:c>
      <x:c r="F409" t="str">
        <x:f>Despesas!E373</x:f>
        <x:v>REF. MÊS 11/2025</x:v>
      </x:c>
      <x:c r="G409" s="4" t="n">
        <x:f>Despesas!F373</x:f>
        <x:v>46037</x:v>
      </x:c>
      <x:c r="H409" t="str">
        <x:f>Despesas!G373</x:f>
        <x:v>ADMINISTRATIVO</x:v>
      </x:c>
      <x:c r="I409" t="str">
        <x:f>Despesas!H373</x:f>
        <x:v>9.1 - HONORARIOS ADVOCATICIOS</x:v>
      </x:c>
      <x:c r="J409" s="5" t="n">
        <x:f>Despesas!I373</x:f>
        <x:v>150</x:v>
      </x:c>
      <x:c r="K409" s="5" t="n">
        <x:f>0</x:f>
        <x:v>0</x:v>
      </x:c>
      <x:c r="L409" s="5" t="n">
        <x:f>Despesas!I373</x:f>
        <x:v>150</x:v>
      </x:c>
      <x:c r="M409" s="5" t="n">
        <x:f>-J409</x:f>
        <x:v>-150</x:v>
      </x:c>
    </x:row>
    <x:row r="410">
      <x:c r="A410" t="str">
        <x:f>"Despesa/Custo"</x:f>
        <x:v>Despesa/Custo</x:v>
      </x:c>
      <x:c r="B410" t="str">
        <x:f>Despesas!A374</x:f>
        <x:v>ALUGUEIS OBRAS</x:v>
      </x:c>
      <x:c r="C410" t="n">
        <x:f>Despesas!B374</x:f>
        <x:v>0</x:v>
      </x:c>
      <x:c r="D410" t="str">
        <x:f>Despesas!C374</x:f>
        <x:v>014796</x:v>
      </x:c>
      <x:c r="E410" t="str">
        <x:f>Despesas!D374</x:f>
        <x:v>RUA DO NIQUEL COND. ACACIA APT. 102 REF. 15-01 A 15-02</x:v>
      </x:c>
      <x:c r="F410" t="str">
        <x:f>Despesas!E374</x:f>
        <x:v>KATIA REGINA BEZERRA -  PIX 4987479f-ecb5-4c78-9e84-ca7af04c50b7</x:v>
      </x:c>
      <x:c r="G410" s="4" t="n">
        <x:f>Despesas!F374</x:f>
        <x:v>46037</x:v>
      </x:c>
      <x:c r="H410" t="str">
        <x:f>Despesas!G374</x:f>
        <x:v>VLI PINTURA</x:v>
      </x:c>
      <x:c r="I410" t="str">
        <x:f>Despesas!H374</x:f>
        <x:v>5.3 - ALUGUEL ALOJAMENTO</x:v>
      </x:c>
      <x:c r="J410" s="5" t="n">
        <x:f>Despesas!I374</x:f>
        <x:v>1160</x:v>
      </x:c>
      <x:c r="K410" s="5" t="n">
        <x:f>0</x:f>
        <x:v>0</x:v>
      </x:c>
      <x:c r="L410" s="5" t="n">
        <x:f>Despesas!I374</x:f>
        <x:v>1160</x:v>
      </x:c>
      <x:c r="M410" s="5" t="n">
        <x:f>-J410</x:f>
        <x:v>-1160</x:v>
      </x:c>
    </x:row>
    <x:row r="411">
      <x:c r="A411" t="str">
        <x:f>"Despesa/Custo"</x:f>
        <x:v>Despesa/Custo</x:v>
      </x:c>
      <x:c r="B411" t="str">
        <x:f>Despesas!A375</x:f>
        <x:v>ALUGUEIS OBRAS</x:v>
      </x:c>
      <x:c r="C411" t="n">
        <x:f>Despesas!B375</x:f>
        <x:v>0</x:v>
      </x:c>
      <x:c r="D411" t="str">
        <x:f>Despesas!C375</x:f>
        <x:v>014797</x:v>
      </x:c>
      <x:c r="E411" t="str">
        <x:f>Despesas!D375</x:f>
        <x:v>R. DOS ABACATEIROS APT 04 - GESTORLUCIANO - PIX (62) 9 8112-3739</x:v>
      </x:c>
      <x:c r="F411" t="str">
        <x:f>Despesas!E375</x:f>
        <x:v>REF.  15-01 A 15-02</x:v>
      </x:c>
      <x:c r="G411" s="4" t="n">
        <x:f>Despesas!F375</x:f>
        <x:v>46037</x:v>
      </x:c>
      <x:c r="H411" t="str">
        <x:f>Despesas!G375</x:f>
        <x:v>ADMINISTRATIVO</x:v>
      </x:c>
      <x:c r="I411" t="str">
        <x:f>Despesas!H375</x:f>
        <x:v>5.3 - ALUGUEL ALOJAMENTO</x:v>
      </x:c>
      <x:c r="J411" s="5" t="n">
        <x:f>Despesas!I375</x:f>
        <x:v>1370</x:v>
      </x:c>
      <x:c r="K411" s="5" t="n">
        <x:f>0</x:f>
        <x:v>0</x:v>
      </x:c>
      <x:c r="L411" s="5" t="n">
        <x:f>Despesas!I375</x:f>
        <x:v>1370</x:v>
      </x:c>
      <x:c r="M411" s="5" t="n">
        <x:f>-J411</x:f>
        <x:v>-1370</x:v>
      </x:c>
    </x:row>
    <x:row r="412">
      <x:c r="A412" t="str">
        <x:f>"Despesa/Custo"</x:f>
        <x:v>Despesa/Custo</x:v>
      </x:c>
      <x:c r="B412" t="str">
        <x:f>Despesas!A376</x:f>
        <x:v>FOLHA DE PAGAMENTO</x:v>
      </x:c>
      <x:c r="C412" t="n">
        <x:f>Despesas!B376</x:f>
        <x:v>0</x:v>
      </x:c>
      <x:c r="D412" t="str">
        <x:f>Despesas!C376</x:f>
        <x:v>014798</x:v>
      </x:c>
      <x:c r="E412" t="str">
        <x:f>Despesas!D376</x:f>
        <x:v>SALARIO JACINTO 12/2025</x:v>
      </x:c>
      <x:c r="F412" t="n">
        <x:f>Despesas!E376</x:f>
        <x:v>0</x:v>
      </x:c>
      <x:c r="G412" s="4" t="n">
        <x:f>Despesas!F376</x:f>
        <x:v>46037</x:v>
      </x:c>
      <x:c r="H412" t="str">
        <x:f>Despesas!G376</x:f>
        <x:v>SERENA 10 TORRES 2025</x:v>
      </x:c>
      <x:c r="I412" t="str">
        <x:f>Despesas!H376</x:f>
        <x:v>12.1 - SALARIO</x:v>
      </x:c>
      <x:c r="J412" s="5" t="n">
        <x:f>Despesas!I376</x:f>
        <x:v>2500</x:v>
      </x:c>
      <x:c r="K412" s="5" t="n">
        <x:f>0</x:f>
        <x:v>0</x:v>
      </x:c>
      <x:c r="L412" s="5" t="n">
        <x:f>Despesas!I376</x:f>
        <x:v>2500</x:v>
      </x:c>
      <x:c r="M412" s="5" t="n">
        <x:f>-J412</x:f>
        <x:v>-2500</x:v>
      </x:c>
    </x:row>
    <x:row r="413">
      <x:c r="A413" t="str">
        <x:f>"Despesa/Custo"</x:f>
        <x:v>Despesa/Custo</x:v>
      </x:c>
      <x:c r="B413" t="str">
        <x:f>Despesas!A377</x:f>
        <x:v>ALUGUEIS OBRAS</x:v>
      </x:c>
      <x:c r="C413" t="n">
        <x:f>Despesas!B377</x:f>
        <x:v>0</x:v>
      </x:c>
      <x:c r="D413" t="str">
        <x:f>Despesas!C377</x:f>
        <x:v>014799</x:v>
      </x:c>
      <x:c r="E413" t="str">
        <x:f>Despesas!D377</x:f>
        <x:v>RUA AV. BEATRIZ BRAGA CASA 03 REF. 15-01 A 15-02-26</x:v>
      </x:c>
      <x:c r="F413" t="str">
        <x:f>Despesas!E377</x:f>
        <x:v>LUCIELDE ALVES OLIVEIRA (85) 9 9215-2258</x:v>
      </x:c>
      <x:c r="G413" s="4" t="n">
        <x:f>Despesas!F377</x:f>
        <x:v>46037</x:v>
      </x:c>
      <x:c r="H413" t="str">
        <x:f>Despesas!G377</x:f>
        <x:v>VLI PINTURA</x:v>
      </x:c>
      <x:c r="I413" t="str">
        <x:f>Despesas!H377</x:f>
        <x:v>5.3 - ALUGUEL ALOJAMENTO</x:v>
      </x:c>
      <x:c r="J413" s="5" t="n">
        <x:f>Despesas!I377</x:f>
        <x:v>800</x:v>
      </x:c>
      <x:c r="K413" s="5" t="n">
        <x:f>0</x:f>
        <x:v>0</x:v>
      </x:c>
      <x:c r="L413" s="5" t="n">
        <x:f>Despesas!I377</x:f>
        <x:v>800</x:v>
      </x:c>
      <x:c r="M413" s="5" t="n">
        <x:f>-J413</x:f>
        <x:v>-800</x:v>
      </x:c>
    </x:row>
    <x:row r="414">
      <x:c r="A414" t="str">
        <x:f>"Despesa/Custo"</x:f>
        <x:v>Despesa/Custo</x:v>
      </x:c>
      <x:c r="B414" t="str">
        <x:f>Despesas!A378</x:f>
        <x:v>EQUATORIAL DISTRIBUIDORA DE ENERGIA S.A.</x:v>
      </x:c>
      <x:c r="C414" t="n">
        <x:f>Despesas!B378</x:f>
        <x:v>0</x:v>
      </x:c>
      <x:c r="D414" t="str">
        <x:f>Despesas!C378</x:f>
        <x:v>014901</x:v>
      </x:c>
      <x:c r="E414" t="str">
        <x:f>Despesas!D378</x:f>
        <x:v>RUA . 2, 44 JK CATALÃO  MES 12/2025</x:v>
      </x:c>
      <x:c r="F414" t="str">
        <x:f>Despesas!E378</x:f>
        <x:v>UNIDADE CONSUMIDORA - 1990077204</x:v>
      </x:c>
      <x:c r="G414" s="4" t="n">
        <x:f>Despesas!F378</x:f>
        <x:v>46037</x:v>
      </x:c>
      <x:c r="H414" t="str">
        <x:f>Despesas!G378</x:f>
        <x:v>NIOBIO CMOC CONTRATO</x:v>
      </x:c>
      <x:c r="I414" t="str">
        <x:f>Despesas!H378</x:f>
        <x:v>5.5 - ENERGIA ALOJAMENTO</x:v>
      </x:c>
      <x:c r="J414" s="5" t="n">
        <x:f>Despesas!I378</x:f>
        <x:v>204.79</x:v>
      </x:c>
      <x:c r="K414" s="5" t="n">
        <x:f>0</x:f>
        <x:v>0</x:v>
      </x:c>
      <x:c r="L414" s="5" t="n">
        <x:f>Despesas!I378</x:f>
        <x:v>204.79</x:v>
      </x:c>
      <x:c r="M414" s="5" t="n">
        <x:f>-J414</x:f>
        <x:v>-204.79</x:v>
      </x:c>
    </x:row>
    <x:row r="415">
      <x:c r="A415" t="str">
        <x:f>"Despesa/Custo"</x:f>
        <x:v>Despesa/Custo</x:v>
      </x:c>
      <x:c r="B415" t="str">
        <x:f>Despesas!A379</x:f>
        <x:v>COPASA SANEAMENTO</x:v>
      </x:c>
      <x:c r="C415" t="n">
        <x:f>Despesas!B379</x:f>
        <x:v>0</x:v>
      </x:c>
      <x:c r="D415" t="str">
        <x:f>Despesas!C379</x:f>
        <x:v>015094</x:v>
      </x:c>
      <x:c r="E415" t="str">
        <x:f>Despesas!D379</x:f>
        <x:v>R. ALFEU MARRA Nº 65 CASA 02 CENTRO REF. 12/2025</x:v>
      </x:c>
      <x:c r="F415" t="str">
        <x:f>Despesas!E379</x:f>
        <x:v>MATRICULA 0 015 991 382 9 / IDENT. 0 015 991 365 9</x:v>
      </x:c>
      <x:c r="G415" s="4" t="n">
        <x:f>Despesas!F379</x:f>
        <x:v>46037</x:v>
      </x:c>
      <x:c r="H415" t="str">
        <x:f>Despesas!G379</x:f>
        <x:v>EUROCHEM SERRA DO SALITRE</x:v>
      </x:c>
      <x:c r="I415" t="str">
        <x:f>Despesas!H379</x:f>
        <x:v>5.4 - AGUA ALOJAMENTO</x:v>
      </x:c>
      <x:c r="J415" s="5" t="n">
        <x:f>Despesas!I379</x:f>
        <x:v>140.07</x:v>
      </x:c>
      <x:c r="K415" s="5" t="n">
        <x:f>0</x:f>
        <x:v>0</x:v>
      </x:c>
      <x:c r="L415" s="5" t="n">
        <x:f>Despesas!I379</x:f>
        <x:v>140.07</x:v>
      </x:c>
      <x:c r="M415" s="5" t="n">
        <x:f>-J415</x:f>
        <x:v>-140.07</x:v>
      </x:c>
    </x:row>
    <x:row r="416">
      <x:c r="A416" t="str">
        <x:f>"Despesa/Custo"</x:f>
        <x:v>Despesa/Custo</x:v>
      </x:c>
      <x:c r="B416" t="str">
        <x:f>Despesas!A380</x:f>
        <x:v>SANEAMENTO E ACOES URBANAS</x:v>
      </x:c>
      <x:c r="C416" t="n">
        <x:f>Despesas!B380</x:f>
        <x:v>0</x:v>
      </x:c>
      <x:c r="D416" t="str">
        <x:f>Despesas!C380</x:f>
        <x:v>015206</x:v>
      </x:c>
      <x:c r="E416" t="str">
        <x:f>Despesas!D380</x:f>
        <x:v>R. DOS ANDRADAS 211 REF. 01/2026</x:v>
      </x:c>
      <x:c r="F416" t="str">
        <x:f>Despesas!E380</x:f>
        <x:v>IDENTIFICADOR 8056</x:v>
      </x:c>
      <x:c r="G416" s="4" t="n">
        <x:f>Despesas!F380</x:f>
        <x:v>46037</x:v>
      </x:c>
      <x:c r="H416" t="str">
        <x:f>Despesas!G380</x:f>
        <x:v>MOSAIC UBERABA CONTRAT0 3 ANOS</x:v>
      </x:c>
      <x:c r="I416" t="str">
        <x:f>Despesas!H380</x:f>
        <x:v>5.4 - AGUA ALOJAMENTO</x:v>
      </x:c>
      <x:c r="J416" s="5" t="n">
        <x:f>Despesas!I380</x:f>
        <x:v>271.11</x:v>
      </x:c>
      <x:c r="K416" s="5" t="n">
        <x:f>0</x:f>
        <x:v>0</x:v>
      </x:c>
      <x:c r="L416" s="5" t="n">
        <x:f>Despesas!I380</x:f>
        <x:v>271.11</x:v>
      </x:c>
      <x:c r="M416" s="5" t="n">
        <x:f>-J416</x:f>
        <x:v>-271.11</x:v>
      </x:c>
    </x:row>
    <x:row r="417">
      <x:c r="A417" t="str">
        <x:f>"Despesa/Custo"</x:f>
        <x:v>Despesa/Custo</x:v>
      </x:c>
      <x:c r="B417" t="str">
        <x:f>Despesas!A381</x:f>
        <x:v>CEMIG DISTRIBUIÇÃO S.A</x:v>
      </x:c>
      <x:c r="C417" t="n">
        <x:f>Despesas!B381</x:f>
        <x:v>0</x:v>
      </x:c>
      <x:c r="D417" t="str">
        <x:f>Despesas!C381</x:f>
        <x:v>015207</x:v>
      </x:c>
      <x:c r="E417" t="str">
        <x:f>Despesas!D381</x:f>
        <x:v>R. DOS ANDRADAS 211 REF. 12/2025</x:v>
      </x:c>
      <x:c r="F417" t="str">
        <x:f>Despesas!E381</x:f>
        <x:v>UC 7003872857 / Nº DA INSTALAÇÃO 3000470094</x:v>
      </x:c>
      <x:c r="G417" s="4" t="n">
        <x:f>Despesas!F381</x:f>
        <x:v>46037</x:v>
      </x:c>
      <x:c r="H417" t="str">
        <x:f>Despesas!G381</x:f>
        <x:v>MOSAIC UBERABA CONTRAT0 3 ANOS</x:v>
      </x:c>
      <x:c r="I417" t="str">
        <x:f>Despesas!H381</x:f>
        <x:v>5.5 - ENERGIA ALOJAMENTO</x:v>
      </x:c>
      <x:c r="J417" s="5" t="n">
        <x:f>Despesas!I381</x:f>
        <x:v>742.91</x:v>
      </x:c>
      <x:c r="K417" s="5" t="n">
        <x:f>0</x:f>
        <x:v>0</x:v>
      </x:c>
      <x:c r="L417" s="5" t="n">
        <x:f>Despesas!I381</x:f>
        <x:v>742.91</x:v>
      </x:c>
      <x:c r="M417" s="5" t="n">
        <x:f>-J417</x:f>
        <x:v>-742.91</x:v>
      </x:c>
    </x:row>
    <x:row r="418">
      <x:c r="A418" t="str">
        <x:f>"Despesa/Custo"</x:f>
        <x:v>Despesa/Custo</x:v>
      </x:c>
      <x:c r="B418" t="str">
        <x:f>Despesas!A382</x:f>
        <x:v>SANEAMENTO DE GOIA S.A</x:v>
      </x:c>
      <x:c r="C418" t="n">
        <x:f>Despesas!B382</x:f>
        <x:v>0</x:v>
      </x:c>
      <x:c r="D418" t="str">
        <x:f>Despesas!C382</x:f>
        <x:v>015208</x:v>
      </x:c>
      <x:c r="E418" t="str">
        <x:f>Despesas!D382</x:f>
        <x:v>R. OLIMPIA AREA QD 66-A REF. 01/2026</x:v>
      </x:c>
      <x:c r="F418" t="str">
        <x:f>Despesas!E382</x:f>
        <x:v>Nº DA CONTA: 2722355-8</x:v>
      </x:c>
      <x:c r="G418" s="4" t="n">
        <x:f>Despesas!F382</x:f>
        <x:v>46037</x:v>
      </x:c>
      <x:c r="H418" t="str">
        <x:f>Despesas!G382</x:f>
        <x:v>ADMINISTRATIVO</x:v>
      </x:c>
      <x:c r="I418" t="str">
        <x:f>Despesas!H382</x:f>
        <x:v>11.2 - AGUA ADM</x:v>
      </x:c>
      <x:c r="J418" s="5" t="n">
        <x:f>Despesas!I382</x:f>
        <x:v>319.97</x:v>
      </x:c>
      <x:c r="K418" s="5" t="n">
        <x:f>0</x:f>
        <x:v>0</x:v>
      </x:c>
      <x:c r="L418" s="5" t="n">
        <x:f>Despesas!I382</x:f>
        <x:v>319.97</x:v>
      </x:c>
      <x:c r="M418" s="5" t="n">
        <x:f>-J418</x:f>
        <x:v>-319.97</x:v>
      </x:c>
    </x:row>
    <x:row r="419">
      <x:c r="A419" t="str">
        <x:f>"Despesa/Custo"</x:f>
        <x:v>Despesa/Custo</x:v>
      </x:c>
      <x:c r="B419" t="str">
        <x:f>Despesas!A383</x:f>
        <x:v>EQUATORIAL DISTRIBUIDORA DE ENERGIA S.A.</x:v>
      </x:c>
      <x:c r="C419" t="n">
        <x:f>Despesas!B383</x:f>
        <x:v>0</x:v>
      </x:c>
      <x:c r="D419" t="str">
        <x:f>Despesas!C383</x:f>
        <x:v>015209</x:v>
      </x:c>
      <x:c r="E419" t="str">
        <x:f>Despesas!D383</x:f>
        <x:v>R. DOS ABACATEIROS QD 34 LT 15 CASA 04 REF. 05/25</x:v>
      </x:c>
      <x:c r="F419" t="str">
        <x:f>Despesas!E383</x:f>
        <x:v>UC - 10035395638</x:v>
      </x:c>
      <x:c r="G419" s="4" t="n">
        <x:f>Despesas!F383</x:f>
        <x:v>46037</x:v>
      </x:c>
      <x:c r="H419" t="str">
        <x:f>Despesas!G383</x:f>
        <x:v>ADMINISTRATIVO</x:v>
      </x:c>
      <x:c r="I419" t="str">
        <x:f>Despesas!H383</x:f>
        <x:v>5.5 - ENERGIA ALOJAMENTO</x:v>
      </x:c>
      <x:c r="J419" s="5" t="n">
        <x:f>Despesas!I383</x:f>
        <x:v>47.5</x:v>
      </x:c>
      <x:c r="K419" s="5" t="n">
        <x:f>0</x:f>
        <x:v>0</x:v>
      </x:c>
      <x:c r="L419" s="5" t="n">
        <x:f>Despesas!I383</x:f>
        <x:v>47.5</x:v>
      </x:c>
      <x:c r="M419" s="5" t="n">
        <x:f>-J419</x:f>
        <x:v>-47.5</x:v>
      </x:c>
    </x:row>
    <x:row r="420">
      <x:c r="A420" t="str">
        <x:f>"Despesa/Custo"</x:f>
        <x:v>Despesa/Custo</x:v>
      </x:c>
      <x:c r="B420" t="str">
        <x:f>Despesas!A384</x:f>
        <x:v>EQUATORIAL DISTRIBUIDORA DE ENERGIA S.A.</x:v>
      </x:c>
      <x:c r="C420" t="n">
        <x:f>Despesas!B384</x:f>
        <x:v>0</x:v>
      </x:c>
      <x:c r="D420" t="str">
        <x:f>Despesas!C384</x:f>
        <x:v>015210</x:v>
      </x:c>
      <x:c r="E420" t="str">
        <x:f>Despesas!D384</x:f>
        <x:v>R. DOS ABACATEIROS QD 34 LT 15 CASA 04 REF. 06/25</x:v>
      </x:c>
      <x:c r="F420" t="str">
        <x:f>Despesas!E384</x:f>
        <x:v>UC - 10035395638</x:v>
      </x:c>
      <x:c r="G420" s="4" t="n">
        <x:f>Despesas!F384</x:f>
        <x:v>46037</x:v>
      </x:c>
      <x:c r="H420" t="str">
        <x:f>Despesas!G384</x:f>
        <x:v>ADMINISTRATIVO</x:v>
      </x:c>
      <x:c r="I420" t="str">
        <x:f>Despesas!H384</x:f>
        <x:v>5.5 - ENERGIA ALOJAMENTO</x:v>
      </x:c>
      <x:c r="J420" s="5" t="n">
        <x:f>Despesas!I384</x:f>
        <x:v>30.87</x:v>
      </x:c>
      <x:c r="K420" s="5" t="n">
        <x:f>0</x:f>
        <x:v>0</x:v>
      </x:c>
      <x:c r="L420" s="5" t="n">
        <x:f>Despesas!I384</x:f>
        <x:v>30.87</x:v>
      </x:c>
      <x:c r="M420" s="5" t="n">
        <x:f>-J420</x:f>
        <x:v>-30.87</x:v>
      </x:c>
    </x:row>
    <x:row r="421">
      <x:c r="A421" t="str">
        <x:f>"Despesa/Custo"</x:f>
        <x:v>Despesa/Custo</x:v>
      </x:c>
      <x:c r="B421" t="str">
        <x:f>Despesas!A385</x:f>
        <x:v>EQUATORIAL DISTRIBUIDORA DE ENERGIA S.A.</x:v>
      </x:c>
      <x:c r="C421" t="n">
        <x:f>Despesas!B385</x:f>
        <x:v>0</x:v>
      </x:c>
      <x:c r="D421" t="str">
        <x:f>Despesas!C385</x:f>
        <x:v>015211</x:v>
      </x:c>
      <x:c r="E421" t="str">
        <x:f>Despesas!D385</x:f>
        <x:v>R. DOS ABACATEIROS QD 34 LT 15 CASA 04 REF. 07/25</x:v>
      </x:c>
      <x:c r="F421" t="str">
        <x:f>Despesas!E385</x:f>
        <x:v>UC - 10035395638</x:v>
      </x:c>
      <x:c r="G421" s="4" t="n">
        <x:f>Despesas!F385</x:f>
        <x:v>46037</x:v>
      </x:c>
      <x:c r="H421" t="str">
        <x:f>Despesas!G385</x:f>
        <x:v>ADMINISTRATIVO</x:v>
      </x:c>
      <x:c r="I421" t="str">
        <x:f>Despesas!H385</x:f>
        <x:v>5.5 - ENERGIA ALOJAMENTO</x:v>
      </x:c>
      <x:c r="J421" s="5" t="n">
        <x:f>Despesas!I385</x:f>
        <x:v>94.66</x:v>
      </x:c>
      <x:c r="K421" s="5" t="n">
        <x:f>0</x:f>
        <x:v>0</x:v>
      </x:c>
      <x:c r="L421" s="5" t="n">
        <x:f>Despesas!I385</x:f>
        <x:v>94.66</x:v>
      </x:c>
      <x:c r="M421" s="5" t="n">
        <x:f>-J421</x:f>
        <x:v>-94.66</x:v>
      </x:c>
    </x:row>
    <x:row r="422">
      <x:c r="A422" t="str">
        <x:f>"Despesa/Custo"</x:f>
        <x:v>Despesa/Custo</x:v>
      </x:c>
      <x:c r="B422" t="str">
        <x:f>Despesas!A386</x:f>
        <x:v>EQUATORIAL DISTRIBUIDORA DE ENERGIA S.A.</x:v>
      </x:c>
      <x:c r="C422" t="n">
        <x:f>Despesas!B386</x:f>
        <x:v>0</x:v>
      </x:c>
      <x:c r="D422" t="str">
        <x:f>Despesas!C386</x:f>
        <x:v>015212</x:v>
      </x:c>
      <x:c r="E422" t="str">
        <x:f>Despesas!D386</x:f>
        <x:v>R. DOS ABACATEIROS QD 34 LT 15 CASA 04 REF. 12/25</x:v>
      </x:c>
      <x:c r="F422" t="str">
        <x:f>Despesas!E386</x:f>
        <x:v>UC - 10035395638</x:v>
      </x:c>
      <x:c r="G422" s="4" t="n">
        <x:f>Despesas!F386</x:f>
        <x:v>46037</x:v>
      </x:c>
      <x:c r="H422" t="str">
        <x:f>Despesas!G386</x:f>
        <x:v>ADMINISTRATIVO</x:v>
      </x:c>
      <x:c r="I422" t="str">
        <x:f>Despesas!H386</x:f>
        <x:v>5.5 - ENERGIA ALOJAMENTO</x:v>
      </x:c>
      <x:c r="J422" s="5" t="n">
        <x:f>Despesas!I386</x:f>
        <x:v>137.35</x:v>
      </x:c>
      <x:c r="K422" s="5" t="n">
        <x:f>0</x:f>
        <x:v>0</x:v>
      </x:c>
      <x:c r="L422" s="5" t="n">
        <x:f>Despesas!I386</x:f>
        <x:v>137.35</x:v>
      </x:c>
      <x:c r="M422" s="5" t="n">
        <x:f>-J422</x:f>
        <x:v>-137.35</x:v>
      </x:c>
    </x:row>
    <x:row r="423">
      <x:c r="A423" t="str">
        <x:f>"Despesa/Custo"</x:f>
        <x:v>Despesa/Custo</x:v>
      </x:c>
      <x:c r="B423" t="str">
        <x:f>Despesas!A387</x:f>
        <x:v>SANEAMENTO DE GOIA S.A</x:v>
      </x:c>
      <x:c r="C423" t="n">
        <x:f>Despesas!B387</x:f>
        <x:v>0</x:v>
      </x:c>
      <x:c r="D423" t="str">
        <x:f>Despesas!C387</x:f>
        <x:v>015216</x:v>
      </x:c>
      <x:c r="E423" t="str">
        <x:f>Despesas!D387</x:f>
        <x:v>R. DOS ABACATEIROS QD 34 LT 15 CASA 04 REF. 01/26</x:v>
      </x:c>
      <x:c r="F423" t="str">
        <x:f>Despesas!E387</x:f>
        <x:v>Nº CONTA 2557793-0 / DIONATAN ANTONIO DE OLIVEIRA</x:v>
      </x:c>
      <x:c r="G423" s="4" t="n">
        <x:f>Despesas!F387</x:f>
        <x:v>46037</x:v>
      </x:c>
      <x:c r="H423" t="str">
        <x:f>Despesas!G387</x:f>
        <x:v>ADMINISTRATIVO</x:v>
      </x:c>
      <x:c r="I423" t="str">
        <x:f>Despesas!H387</x:f>
        <x:v>5.4 - AGUA ALOJAMENTO</x:v>
      </x:c>
      <x:c r="J423" s="5" t="n">
        <x:f>Despesas!I387</x:f>
        <x:v>60.65</x:v>
      </x:c>
      <x:c r="K423" s="5" t="n">
        <x:f>0</x:f>
        <x:v>0</x:v>
      </x:c>
      <x:c r="L423" s="5" t="n">
        <x:f>Despesas!I387</x:f>
        <x:v>60.65</x:v>
      </x:c>
      <x:c r="M423" s="5" t="n">
        <x:f>-J423</x:f>
        <x:v>-60.65</x:v>
      </x:c>
    </x:row>
    <x:row r="424">
      <x:c r="A424" t="str">
        <x:f>"Despesa/Custo"</x:f>
        <x:v>Despesa/Custo</x:v>
      </x:c>
      <x:c r="B424" t="str">
        <x:f>Despesas!A388</x:f>
        <x:v>EQUATORIAL DISTRIBUIDORA DE ENERGIA S.A.</x:v>
      </x:c>
      <x:c r="C424" t="n">
        <x:f>Despesas!B388</x:f>
        <x:v>0</x:v>
      </x:c>
      <x:c r="D424" t="str">
        <x:f>Despesas!C388</x:f>
        <x:v>015217</x:v>
      </x:c>
      <x:c r="E424" t="str">
        <x:f>Despesas!D388</x:f>
        <x:v>AV. BRASIL QD 00 LT 04 S/N SOUZALANDIA REF. 12/25</x:v>
      </x:c>
      <x:c r="F424" t="str">
        <x:f>Despesas!E388</x:f>
        <x:v>UNIDADE CONSUMIDORA - 10018876240</x:v>
      </x:c>
      <x:c r="G424" s="4" t="n">
        <x:f>Despesas!F388</x:f>
        <x:v>46037</x:v>
      </x:c>
      <x:c r="H424" t="str">
        <x:f>Despesas!G388</x:f>
        <x:v>CANTEIRO SOUZALANDIA</x:v>
      </x:c>
      <x:c r="I424" t="str">
        <x:f>Despesas!H388</x:f>
        <x:v>5.5 - ENERGIA ALOJAMENTO</x:v>
      </x:c>
      <x:c r="J424" s="5" t="n">
        <x:f>Despesas!I388</x:f>
        <x:v>123.14</x:v>
      </x:c>
      <x:c r="K424" s="5" t="n">
        <x:f>0</x:f>
        <x:v>0</x:v>
      </x:c>
      <x:c r="L424" s="5" t="n">
        <x:f>Despesas!I388</x:f>
        <x:v>123.14</x:v>
      </x:c>
      <x:c r="M424" s="5" t="n">
        <x:f>-J424</x:f>
        <x:v>-123.14</x:v>
      </x:c>
    </x:row>
    <x:row r="425">
      <x:c r="A425" t="str">
        <x:f>"Despesa/Custo"</x:f>
        <x:v>Despesa/Custo</x:v>
      </x:c>
      <x:c r="B425" t="str">
        <x:f>Despesas!A389</x:f>
        <x:v>SANEAMENTO DE GOIA S.A</x:v>
      </x:c>
      <x:c r="C425" t="n">
        <x:f>Despesas!B389</x:f>
        <x:v>0</x:v>
      </x:c>
      <x:c r="D425" t="str">
        <x:f>Despesas!C389</x:f>
        <x:v>015218</x:v>
      </x:c>
      <x:c r="E425" t="str">
        <x:f>Despesas!D389</x:f>
        <x:v>AV. BRASIL QD 00 LT 04 S/N SOUZALANDIA</x:v>
      </x:c>
      <x:c r="F425" t="str">
        <x:f>Despesas!E389</x:f>
        <x:v>Nº CONTA  2083940-5</x:v>
      </x:c>
      <x:c r="G425" s="4" t="n">
        <x:f>Despesas!F389</x:f>
        <x:v>46037</x:v>
      </x:c>
      <x:c r="H425" t="str">
        <x:f>Despesas!G389</x:f>
        <x:v>CANTEIRO SOUZALANDIA</x:v>
      </x:c>
      <x:c r="I425" t="str">
        <x:f>Despesas!H389</x:f>
        <x:v>5.4 - AGUA ALOJAMENTO</x:v>
      </x:c>
      <x:c r="J425" s="5" t="n">
        <x:f>Despesas!I389</x:f>
        <x:v>22.85</x:v>
      </x:c>
      <x:c r="K425" s="5" t="n">
        <x:f>0</x:f>
        <x:v>0</x:v>
      </x:c>
      <x:c r="L425" s="5" t="n">
        <x:f>Despesas!I389</x:f>
        <x:v>22.85</x:v>
      </x:c>
      <x:c r="M425" s="5" t="n">
        <x:f>-J425</x:f>
        <x:v>-22.85</x:v>
      </x:c>
    </x:row>
    <x:row r="426">
      <x:c r="A426" t="str">
        <x:f>"Despesa/Custo"</x:f>
        <x:v>Despesa/Custo</x:v>
      </x:c>
      <x:c r="B426" t="str">
        <x:f>Despesas!A390</x:f>
        <x:v>ENCOMENDA DE CATALAO</x:v>
      </x:c>
      <x:c r="C426" t="n">
        <x:f>Despesas!B390</x:f>
        <x:v>0</x:v>
      </x:c>
      <x:c r="D426" t="str">
        <x:f>Despesas!C390</x:f>
        <x:v>015322</x:v>
      </x:c>
      <x:c r="E426" t="str">
        <x:f>Despesas!D390</x:f>
        <x:v>ENCOMENDA GOIANIA X CATALAO</x:v>
      </x:c>
      <x:c r="F426" t="str">
        <x:f>Despesas!E390</x:f>
        <x:v>PIX 64 9 92591215 GABRIELLE ELIAS DE FREITAS</x:v>
      </x:c>
      <x:c r="G426" s="4" t="n">
        <x:f>Despesas!F390</x:f>
        <x:v>46037</x:v>
      </x:c>
      <x:c r="H426" t="str">
        <x:f>Despesas!G390</x:f>
        <x:v>FOSFATO CMOC CONTRAT</x:v>
      </x:c>
      <x:c r="I426" t="str">
        <x:f>Despesas!H390</x:f>
        <x:v>10.1 - FRETE MATERIAIS E EQUIPAMENTOS</x:v>
      </x:c>
      <x:c r="J426" s="5" t="n">
        <x:f>Despesas!I390</x:f>
        <x:v>100</x:v>
      </x:c>
      <x:c r="K426" s="5" t="n">
        <x:f>0</x:f>
        <x:v>0</x:v>
      </x:c>
      <x:c r="L426" s="5" t="n">
        <x:f>Despesas!I390</x:f>
        <x:v>100</x:v>
      </x:c>
      <x:c r="M426" s="5" t="n">
        <x:f>-J426</x:f>
        <x:v>-100</x:v>
      </x:c>
    </x:row>
    <x:row r="427">
      <x:c r="A427" t="str">
        <x:f>"Despesa/Custo"</x:f>
        <x:v>Despesa/Custo</x:v>
      </x:c>
      <x:c r="B427" t="str">
        <x:f>Despesas!A391</x:f>
        <x:v>DESPESAS DE VIAGEM</x:v>
      </x:c>
      <x:c r="C427" t="n">
        <x:f>Despesas!B391</x:f>
        <x:v>0</x:v>
      </x:c>
      <x:c r="D427" t="str">
        <x:f>Despesas!C391</x:f>
        <x:v>015324</x:v>
      </x:c>
      <x:c r="E427" t="str">
        <x:f>Despesas!D391</x:f>
        <x:v>DESPESA DE VIAGEM BARRO ALTO X GOIANIA</x:v>
      </x:c>
      <x:c r="F427" t="str">
        <x:f>Despesas!E391</x:f>
        <x:v>RENAN SOARES DE OLIVIERA</x:v>
      </x:c>
      <x:c r="G427" s="4" t="n">
        <x:f>Despesas!F391</x:f>
        <x:v>46037</x:v>
      </x:c>
      <x:c r="H427" t="str">
        <x:f>Despesas!G391</x:f>
        <x:v>ANGLO AMERICAN</x:v>
      </x:c>
      <x:c r="I427" t="str">
        <x:f>Despesas!H391</x:f>
        <x:v>12.9 - PASSAGENS FUNCIONARIOS</x:v>
      </x:c>
      <x:c r="J427" s="5" t="n">
        <x:f>Despesas!I391</x:f>
        <x:v>79</x:v>
      </x:c>
      <x:c r="K427" s="5" t="n">
        <x:f>0</x:f>
        <x:v>0</x:v>
      </x:c>
      <x:c r="L427" s="5" t="n">
        <x:f>Despesas!I391</x:f>
        <x:v>79</x:v>
      </x:c>
      <x:c r="M427" s="5" t="n">
        <x:f>-J427</x:f>
        <x:v>-79</x:v>
      </x:c>
    </x:row>
    <x:row r="428">
      <x:c r="A428" t="str">
        <x:f>"Despesa/Custo"</x:f>
        <x:v>Despesa/Custo</x:v>
      </x:c>
      <x:c r="B428" t="str">
        <x:f>Despesas!A392</x:f>
        <x:v>SERVIÇOS DE LIMPEZA / FAXINA</x:v>
      </x:c>
      <x:c r="C428" t="n">
        <x:f>Despesas!B392</x:f>
        <x:v>0</x:v>
      </x:c>
      <x:c r="D428" t="str">
        <x:f>Despesas!C392</x:f>
        <x:v>015325</x:v>
      </x:c>
      <x:c r="E428" t="str">
        <x:f>Despesas!D392</x:f>
        <x:v>ROSANGELA HELENA CPF 002.992.221-60</x:v>
      </x:c>
      <x:c r="F428" t="str">
        <x:f>Despesas!E392</x:f>
        <x:v>5 LIMPEZA ADM TRINDADE REF. 06/12 13/12 17/12 03/01 10/01</x:v>
      </x:c>
      <x:c r="G428" s="4" t="n">
        <x:f>Despesas!F392</x:f>
        <x:v>46037</x:v>
      </x:c>
      <x:c r="H428" t="str">
        <x:f>Despesas!G392</x:f>
        <x:v>ADMINISTRATIVO</x:v>
      </x:c>
      <x:c r="I428" t="str">
        <x:f>Despesas!H392</x:f>
        <x:v>3.7 - SERVIÇO LIMPEZA ALOJAMENTO/ESCRITORIO</x:v>
      </x:c>
      <x:c r="J428" s="5" t="n">
        <x:f>Despesas!I392</x:f>
        <x:v>1500</x:v>
      </x:c>
      <x:c r="K428" s="5" t="n">
        <x:f>0</x:f>
        <x:v>0</x:v>
      </x:c>
      <x:c r="L428" s="5" t="n">
        <x:f>Despesas!I392</x:f>
        <x:v>1500</x:v>
      </x:c>
      <x:c r="M428" s="5" t="n">
        <x:f>-J428</x:f>
        <x:v>-1500</x:v>
      </x:c>
    </x:row>
    <x:row r="429">
      <x:c r="A429" t="str">
        <x:f>"Despesa/Custo"</x:f>
        <x:v>Despesa/Custo</x:v>
      </x:c>
      <x:c r="B429" t="str">
        <x:f>Despesas!A393</x:f>
        <x:v>CONNECT INF. E TECNOLOGIA</x:v>
      </x:c>
      <x:c r="C429" t="n">
        <x:f>Despesas!B393</x:f>
        <x:v>0</x:v>
      </x:c>
      <x:c r="D429" t="str">
        <x:f>Despesas!C393</x:f>
        <x:v>015328</x:v>
      </x:c>
      <x:c r="E429" t="str">
        <x:f>Despesas!D393</x:f>
        <x:v>CONSULTA CONNECT REF. MÊS 12/2025</x:v>
      </x:c>
      <x:c r="F429" t="str">
        <x:f>Despesas!E393</x:f>
        <x:v>VENCIMENTO ORIGINAL DO BOLETO 15/01/26</x:v>
      </x:c>
      <x:c r="G429" s="4" t="n">
        <x:f>Despesas!F393</x:f>
        <x:v>46037</x:v>
      </x:c>
      <x:c r="H429" t="str">
        <x:f>Despesas!G393</x:f>
        <x:v>ADMINISTRATIVO</x:v>
      </x:c>
      <x:c r="I429" t="str">
        <x:f>Despesas!H393</x:f>
        <x:v>3.4 - SERVIÇO SERASA</x:v>
      </x:c>
      <x:c r="J429" s="5" t="n">
        <x:f>Despesas!I393</x:f>
        <x:v>935.91</x:v>
      </x:c>
      <x:c r="K429" s="5" t="n">
        <x:f>0</x:f>
        <x:v>0</x:v>
      </x:c>
      <x:c r="L429" s="5" t="n">
        <x:f>Despesas!I393</x:f>
        <x:v>935.91</x:v>
      </x:c>
      <x:c r="M429" s="5" t="n">
        <x:f>-J429</x:f>
        <x:v>-935.91</x:v>
      </x:c>
    </x:row>
    <x:row r="430">
      <x:c r="A430" t="str">
        <x:f>"Despesa/Custo"</x:f>
        <x:v>Despesa/Custo</x:v>
      </x:c>
      <x:c r="B430" t="str">
        <x:f>Despesas!A394</x:f>
        <x:v>IPOG</x:v>
      </x:c>
      <x:c r="C430" t="n">
        <x:f>Despesas!B394</x:f>
        <x:v>0</x:v>
      </x:c>
      <x:c r="D430" t="str">
        <x:f>Despesas!C394</x:f>
        <x:v>015329</x:v>
      </x:c>
      <x:c r="E430" t="str">
        <x:f>Despesas!D394</x:f>
        <x:v>CURSO POS EDUARDO 12º MENSALIDADE</x:v>
      </x:c>
      <x:c r="F430" t="n">
        <x:f>Despesas!E394</x:f>
        <x:v>0</x:v>
      </x:c>
      <x:c r="G430" s="4" t="n">
        <x:f>Despesas!F394</x:f>
        <x:v>46037</x:v>
      </x:c>
      <x:c r="H430" t="str">
        <x:f>Despesas!G394</x:f>
        <x:v>ADMINISTRATIVO</x:v>
      </x:c>
      <x:c r="I430" t="str">
        <x:f>Despesas!H394</x:f>
        <x:v>14.2 - CURSOS / TREINAMENTOS</x:v>
      </x:c>
      <x:c r="J430" s="5" t="n">
        <x:f>Despesas!I394</x:f>
        <x:v>1041</x:v>
      </x:c>
      <x:c r="K430" s="5" t="n">
        <x:f>0</x:f>
        <x:v>0</x:v>
      </x:c>
      <x:c r="L430" s="5" t="n">
        <x:f>Despesas!I394</x:f>
        <x:v>1041</x:v>
      </x:c>
      <x:c r="M430" s="5" t="n">
        <x:f>-J430</x:f>
        <x:v>-1041</x:v>
      </x:c>
    </x:row>
    <x:row r="431">
      <x:c r="A431" t="str">
        <x:f>"Despesa/Custo"</x:f>
        <x:v>Despesa/Custo</x:v>
      </x:c>
      <x:c r="B431" t="str">
        <x:f>Despesas!A395</x:f>
        <x:v>RICARDO RODRIGUES - COMERCIAL</x:v>
      </x:c>
      <x:c r="C431" t="n">
        <x:f>Despesas!B395</x:f>
        <x:v>0</x:v>
      </x:c>
      <x:c r="D431" t="str">
        <x:f>Despesas!C395</x:f>
        <x:v>015330</x:v>
      </x:c>
      <x:c r="E431" t="str">
        <x:f>Despesas!D395</x:f>
        <x:v>VISITA TECNICA</x:v>
      </x:c>
      <x:c r="F431" t="str">
        <x:f>Despesas!E395</x:f>
        <x:v>REEM. RICARDO RODRIGUES RIBEIRO</x:v>
      </x:c>
      <x:c r="G431" s="4" t="n">
        <x:f>Despesas!F395</x:f>
        <x:v>46037</x:v>
      </x:c>
      <x:c r="H431" t="str">
        <x:f>Despesas!G395</x:f>
        <x:v>GASTOS COMERCIAIS</x:v>
      </x:c>
      <x:c r="I431" t="str">
        <x:f>Despesas!H395</x:f>
        <x:v>6.4 - COMBUSTIVEL VEICULOS</x:v>
      </x:c>
      <x:c r="J431" s="5" t="n">
        <x:f>Despesas!I395</x:f>
        <x:v>341.72</x:v>
      </x:c>
      <x:c r="K431" s="5" t="n">
        <x:f>0</x:f>
        <x:v>0</x:v>
      </x:c>
      <x:c r="L431" s="5" t="n">
        <x:f>Despesas!I395</x:f>
        <x:v>341.72</x:v>
      </x:c>
      <x:c r="M431" s="5" t="n">
        <x:f>-J431</x:f>
        <x:v>-341.72</x:v>
      </x:c>
    </x:row>
    <x:row r="432">
      <x:c r="A432" t="str">
        <x:f>"Despesa/Custo"</x:f>
        <x:v>Despesa/Custo</x:v>
      </x:c>
      <x:c r="B432" t="str">
        <x:f>Despesas!A396</x:f>
        <x:v>QUALI TINTAS</x:v>
      </x:c>
      <x:c r="C432" t="n">
        <x:f>Despesas!B396</x:f>
        <x:v>0</x:v>
      </x:c>
      <x:c r="D432" t="str">
        <x:f>Despesas!C396</x:f>
        <x:v>015332</x:v>
      </x:c>
      <x:c r="E432" t="str">
        <x:f>Despesas!D396</x:f>
        <x:v>QUAILITINTAS</x:v>
      </x:c>
      <x:c r="F432" t="str">
        <x:f>Despesas!E396</x:f>
        <x:v>DEPOSITO</x:v>
      </x:c>
      <x:c r="G432" s="4" t="n">
        <x:f>Despesas!F396</x:f>
        <x:v>46037</x:v>
      </x:c>
      <x:c r="H432" t="str">
        <x:f>Despesas!G396</x:f>
        <x:v>ADMINISTRATIVO</x:v>
      </x:c>
      <x:c r="I432" t="str">
        <x:f>Despesas!H396</x:f>
        <x:v>4.1 - TINTAS E SOLVENTES</x:v>
      </x:c>
      <x:c r="J432" s="5" t="n">
        <x:f>Despesas!I396</x:f>
        <x:v>450</x:v>
      </x:c>
      <x:c r="K432" s="5" t="n">
        <x:f>0</x:f>
        <x:v>0</x:v>
      </x:c>
      <x:c r="L432" s="5" t="n">
        <x:f>Despesas!I396</x:f>
        <x:v>450</x:v>
      </x:c>
      <x:c r="M432" s="5" t="n">
        <x:f>-J432</x:f>
        <x:v>-450</x:v>
      </x:c>
    </x:row>
    <x:row r="433">
      <x:c r="A433" t="str">
        <x:f>"Despesa/Custo"</x:f>
        <x:v>Despesa/Custo</x:v>
      </x:c>
      <x:c r="B433" t="str">
        <x:f>Despesas!A397</x:f>
        <x:v>QUALI TINTAS</x:v>
      </x:c>
      <x:c r="C433" t="n">
        <x:f>Despesas!B397</x:f>
        <x:v>0</x:v>
      </x:c>
      <x:c r="D433" t="str">
        <x:f>Despesas!C397</x:f>
        <x:v>015334</x:v>
      </x:c>
      <x:c r="E433" t="str">
        <x:f>Despesas!D397</x:f>
        <x:v>QUALITINTAS</x:v>
      </x:c>
      <x:c r="F433" t="n">
        <x:f>Despesas!E397</x:f>
        <x:v>0</x:v>
      </x:c>
      <x:c r="G433" s="4" t="n">
        <x:f>Despesas!F397</x:f>
        <x:v>46037</x:v>
      </x:c>
      <x:c r="H433" t="str">
        <x:f>Despesas!G397</x:f>
        <x:v>ANGLO AMERICAN</x:v>
      </x:c>
      <x:c r="I433" t="str">
        <x:f>Despesas!H397</x:f>
        <x:v>4.1 - TINTAS E SOLVENTES</x:v>
      </x:c>
      <x:c r="J433" s="5" t="n">
        <x:f>Despesas!I397</x:f>
        <x:v>390</x:v>
      </x:c>
      <x:c r="K433" s="5" t="n">
        <x:f>0</x:f>
        <x:v>0</x:v>
      </x:c>
      <x:c r="L433" s="5" t="n">
        <x:f>Despesas!I397</x:f>
        <x:v>390</x:v>
      </x:c>
      <x:c r="M433" s="5" t="n">
        <x:f>-J433</x:f>
        <x:v>-390</x:v>
      </x:c>
    </x:row>
    <x:row r="434">
      <x:c r="A434" t="str">
        <x:f>"Despesa/Custo"</x:f>
        <x:v>Despesa/Custo</x:v>
      </x:c>
      <x:c r="B434" t="str">
        <x:f>Despesas!A398</x:f>
        <x:v>RESTAURANTE MARINA LTDA</x:v>
      </x:c>
      <x:c r="C434" t="str">
        <x:f>Despesas!B398</x:f>
        <x:v>441</x:v>
      </x:c>
      <x:c r="D434" t="str">
        <x:f>Despesas!C398</x:f>
        <x:v>015335</x:v>
      </x:c>
      <x:c r="E434" t="str">
        <x:f>Despesas!D398</x:f>
        <x:v>RESTAURANTE MARINA</x:v>
      </x:c>
      <x:c r="F434" t="str">
        <x:f>Despesas!E398</x:f>
        <x:v>PIX 50531065000131</x:v>
      </x:c>
      <x:c r="G434" s="4" t="n">
        <x:f>Despesas!F398</x:f>
        <x:v>46037</x:v>
      </x:c>
      <x:c r="H434" t="str">
        <x:f>Despesas!G398</x:f>
        <x:v>VLI PINTURA</x:v>
      </x:c>
      <x:c r="I434" t="str">
        <x:f>Despesas!H398</x:f>
        <x:v>12.5 - REFEIÇÕES FUNCIONARIOS</x:v>
      </x:c>
      <x:c r="J434" s="5" t="n">
        <x:f>Despesas!I398</x:f>
        <x:v>4074</x:v>
      </x:c>
      <x:c r="K434" s="5" t="n">
        <x:f>0</x:f>
        <x:v>0</x:v>
      </x:c>
      <x:c r="L434" s="5" t="n">
        <x:f>Despesas!I398</x:f>
        <x:v>4074</x:v>
      </x:c>
      <x:c r="M434" s="5" t="n">
        <x:f>-J434</x:f>
        <x:v>-4074</x:v>
      </x:c>
    </x:row>
    <x:row r="435">
      <x:c r="A435" t="str">
        <x:f>"Despesa/Custo"</x:f>
        <x:v>Despesa/Custo</x:v>
      </x:c>
      <x:c r="B435" t="str">
        <x:f>Despesas!A399</x:f>
        <x:v>FGTS</x:v>
      </x:c>
      <x:c r="C435" t="n">
        <x:f>Despesas!B399</x:f>
        <x:v>0</x:v>
      </x:c>
      <x:c r="D435" t="str">
        <x:f>Despesas!C399</x:f>
        <x:v>015336</x:v>
      </x:c>
      <x:c r="E435" t="str">
        <x:f>Despesas!D399</x:f>
        <x:v>GUIA DE FGTS</x:v>
      </x:c>
      <x:c r="F435" t="str">
        <x:f>Despesas!E399</x:f>
        <x:v>GDF - GUIA DE FGTS</x:v>
      </x:c>
      <x:c r="G435" s="4" t="n">
        <x:f>Despesas!F399</x:f>
        <x:v>46037</x:v>
      </x:c>
      <x:c r="H435" t="str">
        <x:f>Despesas!G399</x:f>
        <x:v>VLI PINTURA</x:v>
      </x:c>
      <x:c r="I435" t="str">
        <x:f>Despesas!H399</x:f>
        <x:v>12.14 - FGTS FUNCIONARIOS</x:v>
      </x:c>
      <x:c r="J435" s="5" t="n">
        <x:f>Despesas!I399</x:f>
        <x:v>8923.71</x:v>
      </x:c>
      <x:c r="K435" s="5" t="n">
        <x:f>0</x:f>
        <x:v>0</x:v>
      </x:c>
      <x:c r="L435" s="5" t="n">
        <x:f>Despesas!I399</x:f>
        <x:v>8923.71</x:v>
      </x:c>
      <x:c r="M435" s="5" t="n">
        <x:f>-J435</x:f>
        <x:v>-8923.71</x:v>
      </x:c>
    </x:row>
    <x:row r="436">
      <x:c r="A436" t="str">
        <x:f>"Despesa/Custo"</x:f>
        <x:v>Despesa/Custo</x:v>
      </x:c>
      <x:c r="B436" t="str">
        <x:f>Despesas!A400</x:f>
        <x:v>FGTS</x:v>
      </x:c>
      <x:c r="C436" t="n">
        <x:f>Despesas!B400</x:f>
        <x:v>0</x:v>
      </x:c>
      <x:c r="D436" t="str">
        <x:f>Despesas!C400</x:f>
        <x:v>015336</x:v>
      </x:c>
      <x:c r="E436" t="str">
        <x:f>Despesas!D400</x:f>
        <x:v>GUIA DE FGTS</x:v>
      </x:c>
      <x:c r="F436" t="str">
        <x:f>Despesas!E400</x:f>
        <x:v>GDF - GUIA DE FGTS</x:v>
      </x:c>
      <x:c r="G436" s="4" t="n">
        <x:f>Despesas!F400</x:f>
        <x:v>46037</x:v>
      </x:c>
      <x:c r="H436" t="str">
        <x:f>Despesas!G400</x:f>
        <x:v>ADMINISTRATIVO</x:v>
      </x:c>
      <x:c r="I436" t="str">
        <x:f>Despesas!H400</x:f>
        <x:v>12.14 - FGTS FUNCIONARIOS</x:v>
      </x:c>
      <x:c r="J436" s="5" t="n">
        <x:f>Despesas!I400</x:f>
        <x:v>4461.85</x:v>
      </x:c>
      <x:c r="K436" s="5" t="n">
        <x:f>0</x:f>
        <x:v>0</x:v>
      </x:c>
      <x:c r="L436" s="5" t="n">
        <x:f>Despesas!I400</x:f>
        <x:v>4461.85</x:v>
      </x:c>
      <x:c r="M436" s="5" t="n">
        <x:f>-J436</x:f>
        <x:v>-4461.85</x:v>
      </x:c>
    </x:row>
    <x:row r="437">
      <x:c r="A437" t="str">
        <x:f>"Despesa/Custo"</x:f>
        <x:v>Despesa/Custo</x:v>
      </x:c>
      <x:c r="B437" t="str">
        <x:f>Despesas!A401</x:f>
        <x:v>FGTS</x:v>
      </x:c>
      <x:c r="C437" t="n">
        <x:f>Despesas!B401</x:f>
        <x:v>0</x:v>
      </x:c>
      <x:c r="D437" t="str">
        <x:f>Despesas!C401</x:f>
        <x:v>015336</x:v>
      </x:c>
      <x:c r="E437" t="str">
        <x:f>Despesas!D401</x:f>
        <x:v>GUIA DE FGTS</x:v>
      </x:c>
      <x:c r="F437" t="str">
        <x:f>Despesas!E401</x:f>
        <x:v>GDF - GUIA DE FGTS</x:v>
      </x:c>
      <x:c r="G437" s="4" t="n">
        <x:f>Despesas!F401</x:f>
        <x:v>46037</x:v>
      </x:c>
      <x:c r="H437" t="str">
        <x:f>Despesas!G401</x:f>
        <x:v>MOSAIC UBERABA CONTRAT0 3 ANOS</x:v>
      </x:c>
      <x:c r="I437" t="str">
        <x:f>Despesas!H401</x:f>
        <x:v>12.14 - FGTS FUNCIONARIOS</x:v>
      </x:c>
      <x:c r="J437" s="5" t="n">
        <x:f>Despesas!I401</x:f>
        <x:v>9561.12</x:v>
      </x:c>
      <x:c r="K437" s="5" t="n">
        <x:f>0</x:f>
        <x:v>0</x:v>
      </x:c>
      <x:c r="L437" s="5" t="n">
        <x:f>Despesas!I401</x:f>
        <x:v>9561.12</x:v>
      </x:c>
      <x:c r="M437" s="5" t="n">
        <x:f>-J437</x:f>
        <x:v>-9561.12</x:v>
      </x:c>
    </x:row>
    <x:row r="438">
      <x:c r="A438" t="str">
        <x:f>"Despesa/Custo"</x:f>
        <x:v>Despesa/Custo</x:v>
      </x:c>
      <x:c r="B438" t="str">
        <x:f>Despesas!A402</x:f>
        <x:v>FGTS</x:v>
      </x:c>
      <x:c r="C438" t="n">
        <x:f>Despesas!B402</x:f>
        <x:v>0</x:v>
      </x:c>
      <x:c r="D438" t="str">
        <x:f>Despesas!C402</x:f>
        <x:v>015336</x:v>
      </x:c>
      <x:c r="E438" t="str">
        <x:f>Despesas!D402</x:f>
        <x:v>GUIA DE FGTS</x:v>
      </x:c>
      <x:c r="F438" t="str">
        <x:f>Despesas!E402</x:f>
        <x:v>GDF - GUIA DE FGTS</x:v>
      </x:c>
      <x:c r="G438" s="4" t="n">
        <x:f>Despesas!F402</x:f>
        <x:v>46037</x:v>
      </x:c>
      <x:c r="H438" t="str">
        <x:f>Despesas!G402</x:f>
        <x:v>ANGLO AMERICAN</x:v>
      </x:c>
      <x:c r="I438" t="str">
        <x:f>Despesas!H402</x:f>
        <x:v>12.14 - FGTS FUNCIONARIOS</x:v>
      </x:c>
      <x:c r="J438" s="5" t="n">
        <x:f>Despesas!I402</x:f>
        <x:v>2868.33</x:v>
      </x:c>
      <x:c r="K438" s="5" t="n">
        <x:f>0</x:f>
        <x:v>0</x:v>
      </x:c>
      <x:c r="L438" s="5" t="n">
        <x:f>Despesas!I402</x:f>
        <x:v>2868.33</x:v>
      </x:c>
      <x:c r="M438" s="5" t="n">
        <x:f>-J438</x:f>
        <x:v>-2868.33</x:v>
      </x:c>
    </x:row>
    <x:row r="439">
      <x:c r="A439" t="str">
        <x:f>"Despesa/Custo"</x:f>
        <x:v>Despesa/Custo</x:v>
      </x:c>
      <x:c r="B439" t="str">
        <x:f>Despesas!A403</x:f>
        <x:v>FGTS</x:v>
      </x:c>
      <x:c r="C439" t="n">
        <x:f>Despesas!B403</x:f>
        <x:v>0</x:v>
      </x:c>
      <x:c r="D439" t="str">
        <x:f>Despesas!C403</x:f>
        <x:v>015336</x:v>
      </x:c>
      <x:c r="E439" t="str">
        <x:f>Despesas!D403</x:f>
        <x:v>GUIA DE FGTS</x:v>
      </x:c>
      <x:c r="F439" t="str">
        <x:f>Despesas!E403</x:f>
        <x:v>GDF - GUIA DE FGTS</x:v>
      </x:c>
      <x:c r="G439" s="4" t="n">
        <x:f>Despesas!F403</x:f>
        <x:v>46037</x:v>
      </x:c>
      <x:c r="H439" t="str">
        <x:f>Despesas!G403</x:f>
        <x:v>EUROCHEM SERRA DO SALITRE</x:v>
      </x:c>
      <x:c r="I439" t="str">
        <x:f>Despesas!H403</x:f>
        <x:v>12.14 - FGTS FUNCIONARIOS</x:v>
      </x:c>
      <x:c r="J439" s="5" t="n">
        <x:f>Despesas!I403</x:f>
        <x:v>2868.33</x:v>
      </x:c>
      <x:c r="K439" s="5" t="n">
        <x:f>0</x:f>
        <x:v>0</x:v>
      </x:c>
      <x:c r="L439" s="5" t="n">
        <x:f>Despesas!I403</x:f>
        <x:v>2868.33</x:v>
      </x:c>
      <x:c r="M439" s="5" t="n">
        <x:f>-J439</x:f>
        <x:v>-2868.33</x:v>
      </x:c>
    </x:row>
    <x:row r="440">
      <x:c r="A440" t="str">
        <x:f>"Despesa/Custo"</x:f>
        <x:v>Despesa/Custo</x:v>
      </x:c>
      <x:c r="B440" t="str">
        <x:f>Despesas!A404</x:f>
        <x:v>FGTS</x:v>
      </x:c>
      <x:c r="C440" t="n">
        <x:f>Despesas!B404</x:f>
        <x:v>0</x:v>
      </x:c>
      <x:c r="D440" t="str">
        <x:f>Despesas!C404</x:f>
        <x:v>015336</x:v>
      </x:c>
      <x:c r="E440" t="str">
        <x:f>Despesas!D404</x:f>
        <x:v>GUIA DE FGTS</x:v>
      </x:c>
      <x:c r="F440" t="str">
        <x:f>Despesas!E404</x:f>
        <x:v>GDF - GUIA DE FGTS</x:v>
      </x:c>
      <x:c r="G440" s="4" t="n">
        <x:f>Despesas!F404</x:f>
        <x:v>46037</x:v>
      </x:c>
      <x:c r="H440" t="str">
        <x:f>Despesas!G404</x:f>
        <x:v>FOSFATO CMOC CONTRAT</x:v>
      </x:c>
      <x:c r="I440" t="str">
        <x:f>Despesas!H404</x:f>
        <x:v>12.14 - FGTS FUNCIONARIOS</x:v>
      </x:c>
      <x:c r="J440" s="5" t="n">
        <x:f>Despesas!I404</x:f>
        <x:v>7011.48</x:v>
      </x:c>
      <x:c r="K440" s="5" t="n">
        <x:f>0</x:f>
        <x:v>0</x:v>
      </x:c>
      <x:c r="L440" s="5" t="n">
        <x:f>Despesas!I404</x:f>
        <x:v>7011.48</x:v>
      </x:c>
      <x:c r="M440" s="5" t="n">
        <x:f>-J440</x:f>
        <x:v>-7011.48</x:v>
      </x:c>
    </x:row>
    <x:row r="441">
      <x:c r="A441" t="str">
        <x:f>"Despesa/Custo"</x:f>
        <x:v>Despesa/Custo</x:v>
      </x:c>
      <x:c r="B441" t="str">
        <x:f>Despesas!A405</x:f>
        <x:v>FGTS</x:v>
      </x:c>
      <x:c r="C441" t="n">
        <x:f>Despesas!B405</x:f>
        <x:v>0</x:v>
      </x:c>
      <x:c r="D441" t="str">
        <x:f>Despesas!C405</x:f>
        <x:v>015336</x:v>
      </x:c>
      <x:c r="E441" t="str">
        <x:f>Despesas!D405</x:f>
        <x:v>GUIA DE FGTS</x:v>
      </x:c>
      <x:c r="F441" t="str">
        <x:f>Despesas!E405</x:f>
        <x:v>GDF - GUIA DE FGTS</x:v>
      </x:c>
      <x:c r="G441" s="4" t="n">
        <x:f>Despesas!F405</x:f>
        <x:v>46037</x:v>
      </x:c>
      <x:c r="H441" t="str">
        <x:f>Despesas!G405</x:f>
        <x:v>NIOBIO CMOC CONTRATO</x:v>
      </x:c>
      <x:c r="I441" t="str">
        <x:f>Despesas!H405</x:f>
        <x:v>12.14 - FGTS FUNCIONARIOS</x:v>
      </x:c>
      <x:c r="J441" s="5" t="n">
        <x:f>Despesas!I405</x:f>
        <x:v>3824.45</x:v>
      </x:c>
      <x:c r="K441" s="5" t="n">
        <x:f>0</x:f>
        <x:v>0</x:v>
      </x:c>
      <x:c r="L441" s="5" t="n">
        <x:f>Despesas!I405</x:f>
        <x:v>3824.45</x:v>
      </x:c>
      <x:c r="M441" s="5" t="n">
        <x:f>-J441</x:f>
        <x:v>-3824.45</x:v>
      </x:c>
    </x:row>
    <x:row r="442">
      <x:c r="A442" t="str">
        <x:f>"Despesa/Custo"</x:f>
        <x:v>Despesa/Custo</x:v>
      </x:c>
      <x:c r="B442" t="str">
        <x:f>Despesas!A406</x:f>
        <x:v>FGTS</x:v>
      </x:c>
      <x:c r="C442" t="n">
        <x:f>Despesas!B406</x:f>
        <x:v>0</x:v>
      </x:c>
      <x:c r="D442" t="str">
        <x:f>Despesas!C406</x:f>
        <x:v>015336</x:v>
      </x:c>
      <x:c r="E442" t="str">
        <x:f>Despesas!D406</x:f>
        <x:v>GUIA DE FGTS</x:v>
      </x:c>
      <x:c r="F442" t="str">
        <x:f>Despesas!E406</x:f>
        <x:v>GDF - GUIA DE FGTS</x:v>
      </x:c>
      <x:c r="G442" s="4" t="n">
        <x:f>Despesas!F406</x:f>
        <x:v>46037</x:v>
      </x:c>
      <x:c r="H442" t="str">
        <x:f>Despesas!G406</x:f>
        <x:v>SERENA 10 TORRES 2025</x:v>
      </x:c>
      <x:c r="I442" t="str">
        <x:f>Despesas!H406</x:f>
        <x:v>12.14 - FGTS FUNCIONARIOS</x:v>
      </x:c>
      <x:c r="J442" s="5" t="n">
        <x:f>Despesas!I406</x:f>
        <x:v>5736.67</x:v>
      </x:c>
      <x:c r="K442" s="5" t="n">
        <x:f>0</x:f>
        <x:v>0</x:v>
      </x:c>
      <x:c r="L442" s="5" t="n">
        <x:f>Despesas!I406</x:f>
        <x:v>5736.67</x:v>
      </x:c>
      <x:c r="M442" s="5" t="n">
        <x:f>-J442</x:f>
        <x:v>-5736.67</x:v>
      </x:c>
    </x:row>
    <x:row r="443">
      <x:c r="A443" t="str">
        <x:f>"Despesa/Custo"</x:f>
        <x:v>Despesa/Custo</x:v>
      </x:c>
      <x:c r="B443" t="str">
        <x:f>Despesas!A407</x:f>
        <x:v>FGTS</x:v>
      </x:c>
      <x:c r="C443" t="n">
        <x:f>Despesas!B407</x:f>
        <x:v>0</x:v>
      </x:c>
      <x:c r="D443" t="str">
        <x:f>Despesas!C407</x:f>
        <x:v>015336</x:v>
      </x:c>
      <x:c r="E443" t="str">
        <x:f>Despesas!D407</x:f>
        <x:v>GUIA DE FGTS</x:v>
      </x:c>
      <x:c r="F443" t="str">
        <x:f>Despesas!E407</x:f>
        <x:v>GDF - GUIA DE FGTS</x:v>
      </x:c>
      <x:c r="G443" s="4" t="n">
        <x:f>Despesas!F407</x:f>
        <x:v>46037</x:v>
      </x:c>
      <x:c r="H443" t="str">
        <x:f>Despesas!G407</x:f>
        <x:v>CMOC CUBATÃO</x:v>
      </x:c>
      <x:c r="I443" t="str">
        <x:f>Despesas!H407</x:f>
        <x:v>12.14 - FGTS FUNCIONARIOS</x:v>
      </x:c>
      <x:c r="J443" s="5" t="n">
        <x:f>Despesas!I407</x:f>
        <x:v>4780.56</x:v>
      </x:c>
      <x:c r="K443" s="5" t="n">
        <x:f>0</x:f>
        <x:v>0</x:v>
      </x:c>
      <x:c r="L443" s="5" t="n">
        <x:f>Despesas!I407</x:f>
        <x:v>4780.56</x:v>
      </x:c>
      <x:c r="M443" s="5" t="n">
        <x:f>-J443</x:f>
        <x:v>-4780.56</x:v>
      </x:c>
    </x:row>
    <x:row r="444">
      <x:c r="A444" t="str">
        <x:f>"Despesa/Custo"</x:f>
        <x:v>Despesa/Custo</x:v>
      </x:c>
      <x:c r="B444" t="str">
        <x:f>Despesas!A408</x:f>
        <x:v>FGTS</x:v>
      </x:c>
      <x:c r="C444" t="n">
        <x:f>Despesas!B408</x:f>
        <x:v>0</x:v>
      </x:c>
      <x:c r="D444" t="str">
        <x:f>Despesas!C408</x:f>
        <x:v>015336</x:v>
      </x:c>
      <x:c r="E444" t="str">
        <x:f>Despesas!D408</x:f>
        <x:v>GUIA DE FGTS</x:v>
      </x:c>
      <x:c r="F444" t="str">
        <x:f>Despesas!E408</x:f>
        <x:v>GDF - GUIA DE FGTS</x:v>
      </x:c>
      <x:c r="G444" s="4" t="n">
        <x:f>Despesas!F408</x:f>
        <x:v>46037</x:v>
      </x:c>
      <x:c r="H444" t="str">
        <x:f>Despesas!G408</x:f>
        <x:v>CONTRATO 02 ANOS MINERAÇÃO SERRA VERDE</x:v>
      </x:c>
      <x:c r="I444" t="str">
        <x:f>Despesas!H408</x:f>
        <x:v>12.14 - FGTS FUNCIONARIOS</x:v>
      </x:c>
      <x:c r="J444" s="5" t="n">
        <x:f>Despesas!I408</x:f>
        <x:v>2230.93</x:v>
      </x:c>
      <x:c r="K444" s="5" t="n">
        <x:f>0</x:f>
        <x:v>0</x:v>
      </x:c>
      <x:c r="L444" s="5" t="n">
        <x:f>Despesas!I408</x:f>
        <x:v>2230.93</x:v>
      </x:c>
      <x:c r="M444" s="5" t="n">
        <x:f>-J444</x:f>
        <x:v>-2230.93</x:v>
      </x:c>
    </x:row>
    <x:row r="445">
      <x:c r="A445" t="str">
        <x:f>"Despesa/Custo"</x:f>
        <x:v>Despesa/Custo</x:v>
      </x:c>
      <x:c r="B445" t="str">
        <x:f>Despesas!A409</x:f>
        <x:v>EMPRESTIMO CONSIGNADO - FGTS</x:v>
      </x:c>
      <x:c r="C445" t="n">
        <x:f>Despesas!B409</x:f>
        <x:v>0</x:v>
      </x:c>
      <x:c r="D445" t="str">
        <x:f>Despesas!C409</x:f>
        <x:v>015337</x:v>
      </x:c>
      <x:c r="E445" t="str">
        <x:f>Despesas!D409</x:f>
        <x:v>EMPRESTIMO CLT</x:v>
      </x:c>
      <x:c r="F445" t="str">
        <x:f>Despesas!E409</x:f>
        <x:v>EMPRESTIMO CONSIGNADO FGTS</x:v>
      </x:c>
      <x:c r="G445" s="4" t="n">
        <x:f>Despesas!F409</x:f>
        <x:v>46037</x:v>
      </x:c>
      <x:c r="H445" t="str">
        <x:f>Despesas!G409</x:f>
        <x:v>VLI PINTURA</x:v>
      </x:c>
      <x:c r="I445" t="str">
        <x:f>Despesas!H409</x:f>
        <x:v>12.1 - SALARIO</x:v>
      </x:c>
      <x:c r="J445" s="5" t="n">
        <x:f>Despesas!I409</x:f>
        <x:v>6249.09</x:v>
      </x:c>
      <x:c r="K445" s="5" t="n">
        <x:f>0</x:f>
        <x:v>0</x:v>
      </x:c>
      <x:c r="L445" s="5" t="n">
        <x:f>Despesas!I409</x:f>
        <x:v>6249.09</x:v>
      </x:c>
      <x:c r="M445" s="5" t="n">
        <x:f>-J445</x:f>
        <x:v>-6249.09</x:v>
      </x:c>
    </x:row>
    <x:row r="446">
      <x:c r="A446" t="str">
        <x:f>"Despesa/Custo"</x:f>
        <x:v>Despesa/Custo</x:v>
      </x:c>
      <x:c r="B446" t="str">
        <x:f>Despesas!A410</x:f>
        <x:v>EMPRESTIMO CONSIGNADO - FGTS</x:v>
      </x:c>
      <x:c r="C446" t="n">
        <x:f>Despesas!B410</x:f>
        <x:v>0</x:v>
      </x:c>
      <x:c r="D446" t="str">
        <x:f>Despesas!C410</x:f>
        <x:v>015337</x:v>
      </x:c>
      <x:c r="E446" t="str">
        <x:f>Despesas!D410</x:f>
        <x:v>EMPRESTIMO CLT</x:v>
      </x:c>
      <x:c r="F446" t="str">
        <x:f>Despesas!E410</x:f>
        <x:v>EMPRESTIMO CONSIGNADO FGTS</x:v>
      </x:c>
      <x:c r="G446" s="4" t="n">
        <x:f>Despesas!F410</x:f>
        <x:v>46037</x:v>
      </x:c>
      <x:c r="H446" t="str">
        <x:f>Despesas!G410</x:f>
        <x:v>ADMINISTRATIVO</x:v>
      </x:c>
      <x:c r="I446" t="str">
        <x:f>Despesas!H410</x:f>
        <x:v>12.1 - SALARIO</x:v>
      </x:c>
      <x:c r="J446" s="5" t="n">
        <x:f>Despesas!I410</x:f>
        <x:v>659.94</x:v>
      </x:c>
      <x:c r="K446" s="5" t="n">
        <x:f>0</x:f>
        <x:v>0</x:v>
      </x:c>
      <x:c r="L446" s="5" t="n">
        <x:f>Despesas!I410</x:f>
        <x:v>659.94</x:v>
      </x:c>
      <x:c r="M446" s="5" t="n">
        <x:f>-J446</x:f>
        <x:v>-659.94</x:v>
      </x:c>
    </x:row>
    <x:row r="447">
      <x:c r="A447" t="str">
        <x:f>"Despesa/Custo"</x:f>
        <x:v>Despesa/Custo</x:v>
      </x:c>
      <x:c r="B447" t="str">
        <x:f>Despesas!A411</x:f>
        <x:v>EMPRESTIMO CONSIGNADO - FGTS</x:v>
      </x:c>
      <x:c r="C447" t="n">
        <x:f>Despesas!B411</x:f>
        <x:v>0</x:v>
      </x:c>
      <x:c r="D447" t="str">
        <x:f>Despesas!C411</x:f>
        <x:v>015337</x:v>
      </x:c>
      <x:c r="E447" t="str">
        <x:f>Despesas!D411</x:f>
        <x:v>EMPRESTIMO CLT</x:v>
      </x:c>
      <x:c r="F447" t="str">
        <x:f>Despesas!E411</x:f>
        <x:v>EMPRESTIMO CONSIGNADO FGTS</x:v>
      </x:c>
      <x:c r="G447" s="4" t="n">
        <x:f>Despesas!F411</x:f>
        <x:v>46037</x:v>
      </x:c>
      <x:c r="H447" t="str">
        <x:f>Despesas!G411</x:f>
        <x:v>MOSAIC UBERABA CONTRAT0 3 ANOS</x:v>
      </x:c>
      <x:c r="I447" t="str">
        <x:f>Despesas!H411</x:f>
        <x:v>12.1 - SALARIO</x:v>
      </x:c>
      <x:c r="J447" s="5" t="n">
        <x:f>Despesas!I411</x:f>
        <x:v>5939.8</x:v>
      </x:c>
      <x:c r="K447" s="5" t="n">
        <x:f>0</x:f>
        <x:v>0</x:v>
      </x:c>
      <x:c r="L447" s="5" t="n">
        <x:f>Despesas!I411</x:f>
        <x:v>5939.8</x:v>
      </x:c>
      <x:c r="M447" s="5" t="n">
        <x:f>-J447</x:f>
        <x:v>-5939.8</x:v>
      </x:c>
    </x:row>
    <x:row r="448">
      <x:c r="A448" t="str">
        <x:f>"Despesa/Custo"</x:f>
        <x:v>Despesa/Custo</x:v>
      </x:c>
      <x:c r="B448" t="str">
        <x:f>Despesas!A412</x:f>
        <x:v>EMPRESTIMO CONSIGNADO - FGTS</x:v>
      </x:c>
      <x:c r="C448" t="n">
        <x:f>Despesas!B412</x:f>
        <x:v>0</x:v>
      </x:c>
      <x:c r="D448" t="str">
        <x:f>Despesas!C412</x:f>
        <x:v>015337</x:v>
      </x:c>
      <x:c r="E448" t="str">
        <x:f>Despesas!D412</x:f>
        <x:v>EMPRESTIMO CLT</x:v>
      </x:c>
      <x:c r="F448" t="str">
        <x:f>Despesas!E412</x:f>
        <x:v>EMPRESTIMO CONSIGNADO FGTS</x:v>
      </x:c>
      <x:c r="G448" s="4" t="n">
        <x:f>Despesas!F412</x:f>
        <x:v>46037</x:v>
      </x:c>
      <x:c r="H448" t="str">
        <x:f>Despesas!G412</x:f>
        <x:v>ANGLO AMERICAN</x:v>
      </x:c>
      <x:c r="I448" t="str">
        <x:f>Despesas!H412</x:f>
        <x:v>12.1 - SALARIO</x:v>
      </x:c>
      <x:c r="J448" s="5" t="n">
        <x:f>Despesas!I412</x:f>
        <x:v>530.8</x:v>
      </x:c>
      <x:c r="K448" s="5" t="n">
        <x:f>0</x:f>
        <x:v>0</x:v>
      </x:c>
      <x:c r="L448" s="5" t="n">
        <x:f>Despesas!I412</x:f>
        <x:v>530.8</x:v>
      </x:c>
      <x:c r="M448" s="5" t="n">
        <x:f>-J448</x:f>
        <x:v>-530.8</x:v>
      </x:c>
    </x:row>
    <x:row r="449">
      <x:c r="A449" t="str">
        <x:f>"Despesa/Custo"</x:f>
        <x:v>Despesa/Custo</x:v>
      </x:c>
      <x:c r="B449" t="str">
        <x:f>Despesas!A413</x:f>
        <x:v>EMPRESTIMO CONSIGNADO - FGTS</x:v>
      </x:c>
      <x:c r="C449" t="n">
        <x:f>Despesas!B413</x:f>
        <x:v>0</x:v>
      </x:c>
      <x:c r="D449" t="str">
        <x:f>Despesas!C413</x:f>
        <x:v>015337</x:v>
      </x:c>
      <x:c r="E449" t="str">
        <x:f>Despesas!D413</x:f>
        <x:v>EMPRESTIMO CLT</x:v>
      </x:c>
      <x:c r="F449" t="str">
        <x:f>Despesas!E413</x:f>
        <x:v>EMPRESTIMO CONSIGNADO FGTS</x:v>
      </x:c>
      <x:c r="G449" s="4" t="n">
        <x:f>Despesas!F413</x:f>
        <x:v>46037</x:v>
      </x:c>
      <x:c r="H449" t="str">
        <x:f>Despesas!G413</x:f>
        <x:v>EUROCHEM SERRA DO SALITRE</x:v>
      </x:c>
      <x:c r="I449" t="str">
        <x:f>Despesas!H413</x:f>
        <x:v>12.1 - SALARIO</x:v>
      </x:c>
      <x:c r="J449" s="5" t="n">
        <x:f>Despesas!I413</x:f>
        <x:v>2087.96</x:v>
      </x:c>
      <x:c r="K449" s="5" t="n">
        <x:f>0</x:f>
        <x:v>0</x:v>
      </x:c>
      <x:c r="L449" s="5" t="n">
        <x:f>Despesas!I413</x:f>
        <x:v>2087.96</x:v>
      </x:c>
      <x:c r="M449" s="5" t="n">
        <x:f>-J449</x:f>
        <x:v>-2087.96</x:v>
      </x:c>
    </x:row>
    <x:row r="450">
      <x:c r="A450" t="str">
        <x:f>"Despesa/Custo"</x:f>
        <x:v>Despesa/Custo</x:v>
      </x:c>
      <x:c r="B450" t="str">
        <x:f>Despesas!A414</x:f>
        <x:v>EMPRESTIMO CONSIGNADO - FGTS</x:v>
      </x:c>
      <x:c r="C450" t="n">
        <x:f>Despesas!B414</x:f>
        <x:v>0</x:v>
      </x:c>
      <x:c r="D450" t="str">
        <x:f>Despesas!C414</x:f>
        <x:v>015337</x:v>
      </x:c>
      <x:c r="E450" t="str">
        <x:f>Despesas!D414</x:f>
        <x:v>EMPRESTIMO CLT</x:v>
      </x:c>
      <x:c r="F450" t="str">
        <x:f>Despesas!E414</x:f>
        <x:v>EMPRESTIMO CONSIGNADO FGTS</x:v>
      </x:c>
      <x:c r="G450" s="4" t="n">
        <x:f>Despesas!F414</x:f>
        <x:v>46037</x:v>
      </x:c>
      <x:c r="H450" t="str">
        <x:f>Despesas!G414</x:f>
        <x:v>FOSFATO CMOC CONTRAT</x:v>
      </x:c>
      <x:c r="I450" t="str">
        <x:f>Despesas!H414</x:f>
        <x:v>12.1 - SALARIO</x:v>
      </x:c>
      <x:c r="J450" s="5" t="n">
        <x:f>Despesas!I414</x:f>
        <x:v>1591.3</x:v>
      </x:c>
      <x:c r="K450" s="5" t="n">
        <x:f>0</x:f>
        <x:v>0</x:v>
      </x:c>
      <x:c r="L450" s="5" t="n">
        <x:f>Despesas!I414</x:f>
        <x:v>1591.3</x:v>
      </x:c>
      <x:c r="M450" s="5" t="n">
        <x:f>-J450</x:f>
        <x:v>-1591.3</x:v>
      </x:c>
    </x:row>
    <x:row r="451">
      <x:c r="A451" t="str">
        <x:f>"Despesa/Custo"</x:f>
        <x:v>Despesa/Custo</x:v>
      </x:c>
      <x:c r="B451" t="str">
        <x:f>Despesas!A415</x:f>
        <x:v>EMPRESTIMO CONSIGNADO - FGTS</x:v>
      </x:c>
      <x:c r="C451" t="n">
        <x:f>Despesas!B415</x:f>
        <x:v>0</x:v>
      </x:c>
      <x:c r="D451" t="str">
        <x:f>Despesas!C415</x:f>
        <x:v>015337</x:v>
      </x:c>
      <x:c r="E451" t="str">
        <x:f>Despesas!D415</x:f>
        <x:v>EMPRESTIMO CLT</x:v>
      </x:c>
      <x:c r="F451" t="str">
        <x:f>Despesas!E415</x:f>
        <x:v>EMPRESTIMO CONSIGNADO FGTS</x:v>
      </x:c>
      <x:c r="G451" s="4" t="n">
        <x:f>Despesas!F415</x:f>
        <x:v>46037</x:v>
      </x:c>
      <x:c r="H451" t="str">
        <x:f>Despesas!G415</x:f>
        <x:v>NIOBIO CMOC CONTRATO</x:v>
      </x:c>
      <x:c r="I451" t="str">
        <x:f>Despesas!H415</x:f>
        <x:v>12.1 - SALARIO</x:v>
      </x:c>
      <x:c r="J451" s="5" t="n">
        <x:f>Despesas!I415</x:f>
        <x:v>1189.53</x:v>
      </x:c>
      <x:c r="K451" s="5" t="n">
        <x:f>0</x:f>
        <x:v>0</x:v>
      </x:c>
      <x:c r="L451" s="5" t="n">
        <x:f>Despesas!I415</x:f>
        <x:v>1189.53</x:v>
      </x:c>
      <x:c r="M451" s="5" t="n">
        <x:f>-J451</x:f>
        <x:v>-1189.53</x:v>
      </x:c>
    </x:row>
    <x:row r="452">
      <x:c r="A452" t="str">
        <x:f>"Despesa/Custo"</x:f>
        <x:v>Despesa/Custo</x:v>
      </x:c>
      <x:c r="B452" t="str">
        <x:f>Despesas!A416</x:f>
        <x:v>EMPRESTIMO CONSIGNADO - FGTS</x:v>
      </x:c>
      <x:c r="C452" t="n">
        <x:f>Despesas!B416</x:f>
        <x:v>0</x:v>
      </x:c>
      <x:c r="D452" t="str">
        <x:f>Despesas!C416</x:f>
        <x:v>015337</x:v>
      </x:c>
      <x:c r="E452" t="str">
        <x:f>Despesas!D416</x:f>
        <x:v>EMPRESTIMO CLT</x:v>
      </x:c>
      <x:c r="F452" t="str">
        <x:f>Despesas!E416</x:f>
        <x:v>EMPRESTIMO CONSIGNADO FGTS</x:v>
      </x:c>
      <x:c r="G452" s="4" t="n">
        <x:f>Despesas!F416</x:f>
        <x:v>46037</x:v>
      </x:c>
      <x:c r="H452" t="str">
        <x:f>Despesas!G416</x:f>
        <x:v>SERENA 10 TORRES 2025</x:v>
      </x:c>
      <x:c r="I452" t="str">
        <x:f>Despesas!H416</x:f>
        <x:v>12.1 - SALARIO</x:v>
      </x:c>
      <x:c r="J452" s="5" t="n">
        <x:f>Despesas!I416</x:f>
        <x:v>2509.08</x:v>
      </x:c>
      <x:c r="K452" s="5" t="n">
        <x:f>0</x:f>
        <x:v>0</x:v>
      </x:c>
      <x:c r="L452" s="5" t="n">
        <x:f>Despesas!I416</x:f>
        <x:v>2509.08</x:v>
      </x:c>
      <x:c r="M452" s="5" t="n">
        <x:f>-J452</x:f>
        <x:v>-2509.08</x:v>
      </x:c>
    </x:row>
    <x:row r="453">
      <x:c r="A453" t="str">
        <x:f>"Despesa/Custo"</x:f>
        <x:v>Despesa/Custo</x:v>
      </x:c>
      <x:c r="B453" t="str">
        <x:f>Despesas!A417</x:f>
        <x:v>EMPRESTIMO CONSIGNADO - FGTS</x:v>
      </x:c>
      <x:c r="C453" t="n">
        <x:f>Despesas!B417</x:f>
        <x:v>0</x:v>
      </x:c>
      <x:c r="D453" t="str">
        <x:f>Despesas!C417</x:f>
        <x:v>015337</x:v>
      </x:c>
      <x:c r="E453" t="str">
        <x:f>Despesas!D417</x:f>
        <x:v>EMPRESTIMO CLT</x:v>
      </x:c>
      <x:c r="F453" t="str">
        <x:f>Despesas!E417</x:f>
        <x:v>EMPRESTIMO CONSIGNADO FGTS</x:v>
      </x:c>
      <x:c r="G453" s="4" t="n">
        <x:f>Despesas!F417</x:f>
        <x:v>46037</x:v>
      </x:c>
      <x:c r="H453" t="str">
        <x:f>Despesas!G417</x:f>
        <x:v>CMOC CUBATÃO</x:v>
      </x:c>
      <x:c r="I453" t="str">
        <x:f>Despesas!H417</x:f>
        <x:v>12.1 - SALARIO</x:v>
      </x:c>
      <x:c r="J453" s="5" t="n">
        <x:f>Despesas!I417</x:f>
        <x:v>787.59</x:v>
      </x:c>
      <x:c r="K453" s="5" t="n">
        <x:f>0</x:f>
        <x:v>0</x:v>
      </x:c>
      <x:c r="L453" s="5" t="n">
        <x:f>Despesas!I417</x:f>
        <x:v>787.59</x:v>
      </x:c>
      <x:c r="M453" s="5" t="n">
        <x:f>-J453</x:f>
        <x:v>-787.59</x:v>
      </x:c>
    </x:row>
    <x:row r="454">
      <x:c r="A454" t="str">
        <x:f>"Despesa/Custo"</x:f>
        <x:v>Despesa/Custo</x:v>
      </x:c>
      <x:c r="B454" t="str">
        <x:f>Despesas!A418</x:f>
        <x:v>FONTEBRAS HOME CENTER COM. DE MAT.</x:v>
      </x:c>
      <x:c r="C454" t="str">
        <x:f>Despesas!B418</x:f>
        <x:v>19399</x:v>
      </x:c>
      <x:c r="D454" t="str">
        <x:f>Despesas!C418</x:f>
        <x:v>015338</x:v>
      </x:c>
      <x:c r="E454" t="str">
        <x:f>Despesas!D418</x:f>
        <x:v>MATERIAIS DE CONSUMO</x:v>
      </x:c>
      <x:c r="F454" t="n">
        <x:f>Despesas!E418</x:f>
        <x:v>0</x:v>
      </x:c>
      <x:c r="G454" s="4" t="n">
        <x:f>Despesas!F418</x:f>
        <x:v>46037</x:v>
      </x:c>
      <x:c r="H454" t="str">
        <x:f>Despesas!G418</x:f>
        <x:v>VLI PINTURA</x:v>
      </x:c>
      <x:c r="I454" t="str">
        <x:f>Despesas!H418</x:f>
        <x:v>8.9 - MATERIAIS DE CONSUMO EM OBRAS</x:v>
      </x:c>
      <x:c r="J454" s="5" t="n">
        <x:f>Despesas!I418</x:f>
        <x:v>638.63</x:v>
      </x:c>
      <x:c r="K454" s="5" t="n">
        <x:f>0</x:f>
        <x:v>0</x:v>
      </x:c>
      <x:c r="L454" s="5" t="n">
        <x:f>Despesas!I418</x:f>
        <x:v>638.63</x:v>
      </x:c>
      <x:c r="M454" s="5" t="n">
        <x:f>-J454</x:f>
        <x:v>-638.63</x:v>
      </x:c>
    </x:row>
    <x:row r="455">
      <x:c r="A455" t="str">
        <x:f>"Despesa/Custo"</x:f>
        <x:v>Despesa/Custo</x:v>
      </x:c>
      <x:c r="B455" t="str">
        <x:f>Despesas!A419</x:f>
        <x:v>SANEAMENTO DE GOIA S.A</x:v>
      </x:c>
      <x:c r="C455" t="n">
        <x:f>Despesas!B419</x:f>
        <x:v>0</x:v>
      </x:c>
      <x:c r="D455" t="str">
        <x:f>Despesas!C419</x:f>
        <x:v>015339</x:v>
      </x:c>
      <x:c r="E455" t="str">
        <x:f>Despesas!D419</x:f>
        <x:v>R. OLIMPIA AREA QD 66-A REF. 01/2026</x:v>
      </x:c>
      <x:c r="F455" t="str">
        <x:f>Despesas!E419</x:f>
        <x:v>Nº DA CONTA: 2722355-8</x:v>
      </x:c>
      <x:c r="G455" s="4" t="n">
        <x:f>Despesas!F419</x:f>
        <x:v>46037</x:v>
      </x:c>
      <x:c r="H455" t="str">
        <x:f>Despesas!G419</x:f>
        <x:v>ADMINISTRATIVO</x:v>
      </x:c>
      <x:c r="I455" t="str">
        <x:f>Despesas!H419</x:f>
        <x:v>11.2 - AGUA ADM</x:v>
      </x:c>
      <x:c r="J455" s="5" t="n">
        <x:f>Despesas!I419</x:f>
        <x:v>319.97</x:v>
      </x:c>
      <x:c r="K455" s="5" t="n">
        <x:f>0</x:f>
        <x:v>0</x:v>
      </x:c>
      <x:c r="L455" s="5" t="n">
        <x:f>Despesas!I419</x:f>
        <x:v>319.97</x:v>
      </x:c>
      <x:c r="M455" s="5" t="n">
        <x:f>-J455</x:f>
        <x:v>-319.97</x:v>
      </x:c>
    </x:row>
    <x:row r="456">
      <x:c r="A456" t="str">
        <x:f>"Despesa/Custo"</x:f>
        <x:v>Despesa/Custo</x:v>
      </x:c>
      <x:c r="B456" t="str">
        <x:f>Despesas!A420</x:f>
        <x:v>CLARO TELEFONIA</x:v>
      </x:c>
      <x:c r="C456" t="n">
        <x:f>Despesas!B420</x:f>
        <x:v>0</x:v>
      </x:c>
      <x:c r="D456" t="str">
        <x:f>Despesas!C420</x:f>
        <x:v>015340</x:v>
      </x:c>
      <x:c r="E456" t="str">
        <x:f>Despesas!D420</x:f>
        <x:v>CONTA DE CHIPS</x:v>
      </x:c>
      <x:c r="F456" t="str">
        <x:f>Despesas!E420</x:f>
        <x:v>REF 01/2026 TELEFONE: 498,40</x:v>
      </x:c>
      <x:c r="G456" s="4" t="n">
        <x:f>Despesas!F420</x:f>
        <x:v>46037</x:v>
      </x:c>
      <x:c r="H456" t="str">
        <x:f>Despesas!G420</x:f>
        <x:v>ADMINISTRATIVO</x:v>
      </x:c>
      <x:c r="I456" t="str">
        <x:f>Despesas!H420</x:f>
        <x:v>11.6 - INTERNET / TELEFONE ADM</x:v>
      </x:c>
      <x:c r="J456" s="5" t="n">
        <x:f>Despesas!I420</x:f>
        <x:v>498.4</x:v>
      </x:c>
      <x:c r="K456" s="5" t="n">
        <x:f>0</x:f>
        <x:v>0</x:v>
      </x:c>
      <x:c r="L456" s="5" t="n">
        <x:f>Despesas!I420</x:f>
        <x:v>498.4</x:v>
      </x:c>
      <x:c r="M456" s="5" t="n">
        <x:f>-J456</x:f>
        <x:v>-498.4</x:v>
      </x:c>
    </x:row>
    <x:row r="457">
      <x:c r="A457" t="str">
        <x:f>"Despesa/Custo"</x:f>
        <x:v>Despesa/Custo</x:v>
      </x:c>
      <x:c r="B457" t="str">
        <x:f>Despesas!A421</x:f>
        <x:v>MATA FOME REFEICAO COLETIVA LTDA</x:v>
      </x:c>
      <x:c r="C457" t="str">
        <x:f>Despesas!B421</x:f>
        <x:v>221</x:v>
      </x:c>
      <x:c r="D457" t="str">
        <x:f>Despesas!C421</x:f>
        <x:v>015358</x:v>
      </x:c>
      <x:c r="E457" t="str">
        <x:f>Despesas!D421</x:f>
        <x:v>RESTAURANTE MATA FOME - PIX 57.730.611/0001-02</x:v>
      </x:c>
      <x:c r="F457" t="str">
        <x:f>Despesas!E421</x:f>
        <x:v>REFEICOES FUNCIONARIOS 05/01 A 15/01</x:v>
      </x:c>
      <x:c r="G457" s="4" t="n">
        <x:f>Despesas!F421</x:f>
        <x:v>46037</x:v>
      </x:c>
      <x:c r="H457" t="str">
        <x:f>Despesas!G421</x:f>
        <x:v>VLI PINTURA</x:v>
      </x:c>
      <x:c r="I457" t="str">
        <x:f>Despesas!H421</x:f>
        <x:v>12.5 - REFEIÇÕES FUNCIONARIOS</x:v>
      </x:c>
      <x:c r="J457" s="5" t="n">
        <x:f>Despesas!I421</x:f>
        <x:v>4618</x:v>
      </x:c>
      <x:c r="K457" s="5" t="n">
        <x:f>0</x:f>
        <x:v>0</x:v>
      </x:c>
      <x:c r="L457" s="5" t="n">
        <x:f>Despesas!I421</x:f>
        <x:v>4618</x:v>
      </x:c>
      <x:c r="M457" s="5" t="n">
        <x:f>-J457</x:f>
        <x:v>-4618</x:v>
      </x:c>
    </x:row>
    <x:row r="458">
      <x:c r="A458" t="str">
        <x:f>"Despesa/Custo"</x:f>
        <x:v>Despesa/Custo</x:v>
      </x:c>
      <x:c r="B458" t="str">
        <x:f>Despesas!A422</x:f>
        <x:v>CARTAO CREDITO EDUARDO</x:v>
      </x:c>
      <x:c r="C458" t="n">
        <x:f>Despesas!B422</x:f>
        <x:v>0</x:v>
      </x:c>
      <x:c r="D458" t="str">
        <x:f>Despesas!C422</x:f>
        <x:v>015502</x:v>
      </x:c>
      <x:c r="E458" t="str">
        <x:f>Despesas!D422</x:f>
        <x:v>REFORMULAÇÃO SITE A IDEAL PARTNER GOOGLE 10/10</x:v>
      </x:c>
      <x:c r="F458" t="str">
        <x:f>Despesas!E422</x:f>
        <x:v>ITAÚ</x:v>
      </x:c>
      <x:c r="G458" s="4" t="n">
        <x:f>Despesas!F422</x:f>
        <x:v>46037</x:v>
      </x:c>
      <x:c r="H458" t="str">
        <x:f>Despesas!G422</x:f>
        <x:v>ADMINISTRATIVO</x:v>
      </x:c>
      <x:c r="I458" t="str">
        <x:f>Despesas!H422</x:f>
        <x:v>11.8 - SISTEMA / SERVIDOR</x:v>
      </x:c>
      <x:c r="J458" s="5" t="n">
        <x:f>Despesas!I422</x:f>
        <x:v>250</x:v>
      </x:c>
      <x:c r="K458" s="5" t="n">
        <x:f>0</x:f>
        <x:v>0</x:v>
      </x:c>
      <x:c r="L458" s="5" t="n">
        <x:f>Despesas!I422</x:f>
        <x:v>250</x:v>
      </x:c>
      <x:c r="M458" s="5" t="n">
        <x:f>-J458</x:f>
        <x:v>-250</x:v>
      </x:c>
    </x:row>
    <x:row r="459">
      <x:c r="A459" t="str">
        <x:f>"Despesa/Custo"</x:f>
        <x:v>Despesa/Custo</x:v>
      </x:c>
      <x:c r="B459" t="str">
        <x:f>Despesas!A423</x:f>
        <x:v>CARTAO CREDITO EDUARDO</x:v>
      </x:c>
      <x:c r="C459" t="n">
        <x:f>Despesas!B423</x:f>
        <x:v>0</x:v>
      </x:c>
      <x:c r="D459" t="str">
        <x:f>Despesas!C423</x:f>
        <x:v>015503</x:v>
      </x:c>
      <x:c r="E459" t="str">
        <x:f>Despesas!D423</x:f>
        <x:v>CASA DO MARCINEIRO / MESA ADM ESCRITÓRIO 9/10</x:v>
      </x:c>
      <x:c r="F459" t="str">
        <x:f>Despesas!E423</x:f>
        <x:v>ITAÚ</x:v>
      </x:c>
      <x:c r="G459" s="4" t="n">
        <x:f>Despesas!F423</x:f>
        <x:v>46037</x:v>
      </x:c>
      <x:c r="H459" t="str">
        <x:f>Despesas!G423</x:f>
        <x:v>ADMINISTRATIVO</x:v>
      </x:c>
      <x:c r="I459" t="str">
        <x:f>Despesas!H423</x:f>
        <x:v>15.4 - DESPESAS C/ CONSTRUÇÃO ESCRITORIO ADM</x:v>
      </x:c>
      <x:c r="J459" s="5" t="n">
        <x:f>Despesas!I423</x:f>
        <x:v>1495</x:v>
      </x:c>
      <x:c r="K459" s="5" t="n">
        <x:f>0</x:f>
        <x:v>0</x:v>
      </x:c>
      <x:c r="L459" s="5" t="n">
        <x:f>Despesas!I423</x:f>
        <x:v>1495</x:v>
      </x:c>
      <x:c r="M459" s="5" t="n">
        <x:f>-J459</x:f>
        <x:v>-1495</x:v>
      </x:c>
    </x:row>
    <x:row r="460">
      <x:c r="A460" t="str">
        <x:f>"Despesa/Custo"</x:f>
        <x:v>Despesa/Custo</x:v>
      </x:c>
      <x:c r="B460" t="str">
        <x:f>Despesas!A424</x:f>
        <x:v>CARTAO CREDITO EDUARDO</x:v>
      </x:c>
      <x:c r="C460" t="n">
        <x:f>Despesas!B424</x:f>
        <x:v>0</x:v>
      </x:c>
      <x:c r="D460" t="str">
        <x:f>Despesas!C424</x:f>
        <x:v>015504</x:v>
      </x:c>
      <x:c r="E460" t="str">
        <x:f>Despesas!D424</x:f>
        <x:v>PORTO SEGURO / RANGER GILVAN 9/10</x:v>
      </x:c>
      <x:c r="F460" t="str">
        <x:f>Despesas!E424</x:f>
        <x:v>ITAÚ</x:v>
      </x:c>
      <x:c r="G460" s="4" t="n">
        <x:f>Despesas!F424</x:f>
        <x:v>46037</x:v>
      </x:c>
      <x:c r="H460" t="str">
        <x:f>Despesas!G424</x:f>
        <x:v>VEICULOS</x:v>
      </x:c>
      <x:c r="I460" t="str">
        <x:f>Despesas!H424</x:f>
        <x:v>6.5 - SEGUROS DE VEICULOS</x:v>
      </x:c>
      <x:c r="J460" s="5" t="n">
        <x:f>Despesas!I424</x:f>
        <x:v>363.41</x:v>
      </x:c>
      <x:c r="K460" s="5" t="n">
        <x:f>0</x:f>
        <x:v>0</x:v>
      </x:c>
      <x:c r="L460" s="5" t="n">
        <x:f>Despesas!I424</x:f>
        <x:v>363.41</x:v>
      </x:c>
      <x:c r="M460" s="5" t="n">
        <x:f>-J460</x:f>
        <x:v>-363.41</x:v>
      </x:c>
    </x:row>
    <x:row r="461">
      <x:c r="A461" t="str">
        <x:f>"Despesa/Custo"</x:f>
        <x:v>Despesa/Custo</x:v>
      </x:c>
      <x:c r="B461" t="str">
        <x:f>Despesas!A425</x:f>
        <x:v>CARTAO CREDITO EDUARDO</x:v>
      </x:c>
      <x:c r="C461" t="n">
        <x:f>Despesas!B425</x:f>
        <x:v>0</x:v>
      </x:c>
      <x:c r="D461" t="str">
        <x:f>Despesas!C425</x:f>
        <x:v>015505</x:v>
      </x:c>
      <x:c r="E461" t="str">
        <x:f>Despesas!D425</x:f>
        <x:v>JDL SEGURANCA CAMERAS, ALARMES E MOTOR 7/18</x:v>
      </x:c>
      <x:c r="F461" t="str">
        <x:f>Despesas!E425</x:f>
        <x:v>ITAÚ</x:v>
      </x:c>
      <x:c r="G461" s="4" t="n">
        <x:f>Despesas!F425</x:f>
        <x:v>46037</x:v>
      </x:c>
      <x:c r="H461" t="str">
        <x:f>Despesas!G425</x:f>
        <x:v>ADMINISTRATIVO</x:v>
      </x:c>
      <x:c r="I461" t="str">
        <x:f>Despesas!H425</x:f>
        <x:v>15.4 - DESPESAS C/ CONSTRUÇÃO ESCRITORIO ADM</x:v>
      </x:c>
      <x:c r="J461" s="5" t="n">
        <x:f>Despesas!I425</x:f>
        <x:v>1000</x:v>
      </x:c>
      <x:c r="K461" s="5" t="n">
        <x:f>0</x:f>
        <x:v>0</x:v>
      </x:c>
      <x:c r="L461" s="5" t="n">
        <x:f>Despesas!I425</x:f>
        <x:v>1000</x:v>
      </x:c>
      <x:c r="M461" s="5" t="n">
        <x:f>-J461</x:f>
        <x:v>-1000</x:v>
      </x:c>
    </x:row>
    <x:row r="462">
      <x:c r="A462" t="str">
        <x:f>"Despesa/Custo"</x:f>
        <x:v>Despesa/Custo</x:v>
      </x:c>
      <x:c r="B462" t="str">
        <x:f>Despesas!A426</x:f>
        <x:v>CARTAO CREDITO EDUARDO</x:v>
      </x:c>
      <x:c r="C462" t="n">
        <x:f>Despesas!B426</x:f>
        <x:v>0</x:v>
      </x:c>
      <x:c r="D462" t="str">
        <x:f>Despesas!C426</x:f>
        <x:v>015507</x:v>
      </x:c>
      <x:c r="E462" t="str">
        <x:f>Despesas!D426</x:f>
        <x:v>PASSAGEM AEREA LATAM P/ YCARO 3/3</x:v>
      </x:c>
      <x:c r="F462" t="n">
        <x:f>Despesas!E426</x:f>
        <x:v>0</x:v>
      </x:c>
      <x:c r="G462" s="4" t="n">
        <x:f>Despesas!F426</x:f>
        <x:v>46037</x:v>
      </x:c>
      <x:c r="H462" t="str">
        <x:f>Despesas!G426</x:f>
        <x:v>CONDUTOS UG 1 - ELETROBRAS</x:v>
      </x:c>
      <x:c r="I462" t="str">
        <x:f>Despesas!H426</x:f>
        <x:v>12.9 - PASSAGENS FUNCIONARIOS</x:v>
      </x:c>
      <x:c r="J462" s="5" t="n">
        <x:f>Despesas!I426</x:f>
        <x:v>1039.53</x:v>
      </x:c>
      <x:c r="K462" s="5" t="n">
        <x:f>0</x:f>
        <x:v>0</x:v>
      </x:c>
      <x:c r="L462" s="5" t="n">
        <x:f>Despesas!I426</x:f>
        <x:v>1039.53</x:v>
      </x:c>
      <x:c r="M462" s="5" t="n">
        <x:f>-J462</x:f>
        <x:v>-1039.53</x:v>
      </x:c>
    </x:row>
    <x:row r="463">
      <x:c r="A463" t="str">
        <x:f>"Despesa/Custo"</x:f>
        <x:v>Despesa/Custo</x:v>
      </x:c>
      <x:c r="B463" t="str">
        <x:f>Despesas!A427</x:f>
        <x:v>CARTAO CREDITO EDUARDO</x:v>
      </x:c>
      <x:c r="C463" t="n">
        <x:f>Despesas!B427</x:f>
        <x:v>0</x:v>
      </x:c>
      <x:c r="D463" t="str">
        <x:f>Despesas!C427</x:f>
        <x:v>015509</x:v>
      </x:c>
      <x:c r="E463" t="str">
        <x:f>Despesas!D427</x:f>
        <x:v>02 TENDAS 6X6 2/2</x:v>
      </x:c>
      <x:c r="F463" t="str">
        <x:f>Despesas!E427</x:f>
        <x:v>ITAÚ</x:v>
      </x:c>
      <x:c r="G463" s="4" t="n">
        <x:f>Despesas!F427</x:f>
        <x:v>46037</x:v>
      </x:c>
      <x:c r="H463" t="str">
        <x:f>Despesas!G427</x:f>
        <x:v>CONTRATO 02 ANOS MINERAÇÃO SERRA VERDE</x:v>
      </x:c>
      <x:c r="I463" t="str">
        <x:f>Despesas!H427</x:f>
        <x:v>8.5 - MAQUINAS / EQUIPAMENTOS</x:v>
      </x:c>
      <x:c r="J463" s="5" t="n">
        <x:f>Despesas!I427</x:f>
        <x:v>2500.02</x:v>
      </x:c>
      <x:c r="K463" s="5" t="n">
        <x:f>0</x:f>
        <x:v>0</x:v>
      </x:c>
      <x:c r="L463" s="5" t="n">
        <x:f>Despesas!I427</x:f>
        <x:v>2500.02</x:v>
      </x:c>
      <x:c r="M463" s="5" t="n">
        <x:f>-J463</x:f>
        <x:v>-2500.02</x:v>
      </x:c>
    </x:row>
    <x:row r="464">
      <x:c r="A464" t="str">
        <x:f>"Despesa/Custo"</x:f>
        <x:v>Despesa/Custo</x:v>
      </x:c>
      <x:c r="B464" t="str">
        <x:f>Despesas!A428</x:f>
        <x:v>CARTAO CREDITO EDUARDO</x:v>
      </x:c>
      <x:c r="C464" t="n">
        <x:f>Despesas!B428</x:f>
        <x:v>0</x:v>
      </x:c>
      <x:c r="D464" t="str">
        <x:f>Despesas!C428</x:f>
        <x:v>015510</x:v>
      </x:c>
      <x:c r="E464" t="str">
        <x:f>Despesas!D428</x:f>
        <x:v>STARLINK INTERNET AABA</x:v>
      </x:c>
      <x:c r="F464" t="str">
        <x:f>Despesas!E428</x:f>
        <x:v>ITAÚ</x:v>
      </x:c>
      <x:c r="G464" s="4" t="n">
        <x:f>Despesas!F428</x:f>
        <x:v>46037</x:v>
      </x:c>
      <x:c r="H464" t="str">
        <x:f>Despesas!G428</x:f>
        <x:v>ANGLO AMERICAN</x:v>
      </x:c>
      <x:c r="I464" t="str">
        <x:f>Despesas!H428</x:f>
        <x:v>11.14 - INTERNET OBRAS</x:v>
      </x:c>
      <x:c r="J464" s="5" t="n">
        <x:f>Despesas!I428</x:f>
        <x:v>235.52</x:v>
      </x:c>
      <x:c r="K464" s="5" t="n">
        <x:f>0</x:f>
        <x:v>0</x:v>
      </x:c>
      <x:c r="L464" s="5" t="n">
        <x:f>Despesas!I428</x:f>
        <x:v>235.52</x:v>
      </x:c>
      <x:c r="M464" s="5" t="n">
        <x:f>-J464</x:f>
        <x:v>-235.52</x:v>
      </x:c>
    </x:row>
    <x:row r="465">
      <x:c r="A465" t="str">
        <x:f>"Despesa/Custo"</x:f>
        <x:v>Despesa/Custo</x:v>
      </x:c>
      <x:c r="B465" t="str">
        <x:f>Despesas!A429</x:f>
        <x:v>CARTAO CREDITO EDUARDO</x:v>
      </x:c>
      <x:c r="C465" t="n">
        <x:f>Despesas!B429</x:f>
        <x:v>0</x:v>
      </x:c>
      <x:c r="D465" t="str">
        <x:f>Despesas!C429</x:f>
        <x:v>015511</x:v>
      </x:c>
      <x:c r="E465" t="str">
        <x:f>Despesas!D429</x:f>
        <x:v>STARLINK INTERNET MOSAIC UBA</x:v>
      </x:c>
      <x:c r="F465" t="str">
        <x:f>Despesas!E429</x:f>
        <x:v>ITAÚ</x:v>
      </x:c>
      <x:c r="G465" s="4" t="n">
        <x:f>Despesas!F429</x:f>
        <x:v>46037</x:v>
      </x:c>
      <x:c r="H465" t="str">
        <x:f>Despesas!G429</x:f>
        <x:v>MOSAIC UBERABA CONTRAT0 3 ANOS</x:v>
      </x:c>
      <x:c r="I465" t="str">
        <x:f>Despesas!H429</x:f>
        <x:v>11.14 - INTERNET OBRAS</x:v>
      </x:c>
      <x:c r="J465" s="5" t="n">
        <x:f>Despesas!I429</x:f>
        <x:v>235.52</x:v>
      </x:c>
      <x:c r="K465" s="5" t="n">
        <x:f>0</x:f>
        <x:v>0</x:v>
      </x:c>
      <x:c r="L465" s="5" t="n">
        <x:f>Despesas!I429</x:f>
        <x:v>235.52</x:v>
      </x:c>
      <x:c r="M465" s="5" t="n">
        <x:f>-J465</x:f>
        <x:v>-235.52</x:v>
      </x:c>
    </x:row>
    <x:row r="466">
      <x:c r="A466" t="str">
        <x:f>"Despesa/Custo"</x:f>
        <x:v>Despesa/Custo</x:v>
      </x:c>
      <x:c r="B466" t="str">
        <x:f>Despesas!A430</x:f>
        <x:v>CARTAO CREDITO EDUARDO</x:v>
      </x:c>
      <x:c r="C466" t="n">
        <x:f>Despesas!B430</x:f>
        <x:v>0</x:v>
      </x:c>
      <x:c r="D466" t="str">
        <x:f>Despesas!C430</x:f>
        <x:v>015512</x:v>
      </x:c>
      <x:c r="E466" t="str">
        <x:f>Despesas!D430</x:f>
        <x:v>STARLINK INTERNET CMOC CUBATAO</x:v>
      </x:c>
      <x:c r="F466" t="str">
        <x:f>Despesas!E430</x:f>
        <x:v>ITAÚ</x:v>
      </x:c>
      <x:c r="G466" s="4" t="n">
        <x:f>Despesas!F430</x:f>
        <x:v>46037</x:v>
      </x:c>
      <x:c r="H466" t="str">
        <x:f>Despesas!G430</x:f>
        <x:v>CMOC CUBATÃO</x:v>
      </x:c>
      <x:c r="I466" t="str">
        <x:f>Despesas!H430</x:f>
        <x:v>11.14 - INTERNET OBRAS</x:v>
      </x:c>
      <x:c r="J466" s="5" t="n">
        <x:f>Despesas!I430</x:f>
        <x:v>235.52</x:v>
      </x:c>
      <x:c r="K466" s="5" t="n">
        <x:f>0</x:f>
        <x:v>0</x:v>
      </x:c>
      <x:c r="L466" s="5" t="n">
        <x:f>Despesas!I430</x:f>
        <x:v>235.52</x:v>
      </x:c>
      <x:c r="M466" s="5" t="n">
        <x:f>-J466</x:f>
        <x:v>-235.52</x:v>
      </x:c>
    </x:row>
    <x:row r="467">
      <x:c r="A467" t="str">
        <x:f>"Despesa/Custo"</x:f>
        <x:v>Despesa/Custo</x:v>
      </x:c>
      <x:c r="B467" t="str">
        <x:f>Despesas!A431</x:f>
        <x:v>CARTAO CREDITO EDUARDO</x:v>
      </x:c>
      <x:c r="C467" t="n">
        <x:f>Despesas!B431</x:f>
        <x:v>0</x:v>
      </x:c>
      <x:c r="D467" t="str">
        <x:f>Despesas!C431</x:f>
        <x:v>015513</x:v>
      </x:c>
      <x:c r="E467" t="str">
        <x:f>Despesas!D431</x:f>
        <x:v>PASSAGEM AZUL P/ GENILDO E IVAN 2/2</x:v>
      </x:c>
      <x:c r="F467" t="str">
        <x:f>Despesas!E431</x:f>
        <x:v>ITAU</x:v>
      </x:c>
      <x:c r="G467" s="4" t="n">
        <x:f>Despesas!F431</x:f>
        <x:v>46037</x:v>
      </x:c>
      <x:c r="H467" t="str">
        <x:f>Despesas!G431</x:f>
        <x:v>VLI PINTURA</x:v>
      </x:c>
      <x:c r="I467" t="str">
        <x:f>Despesas!H431</x:f>
        <x:v>12.9 - PASSAGENS FUNCIONARIOS</x:v>
      </x:c>
      <x:c r="J467" s="5" t="n">
        <x:f>Despesas!I431</x:f>
        <x:v>898.6</x:v>
      </x:c>
      <x:c r="K467" s="5" t="n">
        <x:f>0</x:f>
        <x:v>0</x:v>
      </x:c>
      <x:c r="L467" s="5" t="n">
        <x:f>Despesas!I431</x:f>
        <x:v>898.6</x:v>
      </x:c>
      <x:c r="M467" s="5" t="n">
        <x:f>-J467</x:f>
        <x:v>-898.6</x:v>
      </x:c>
    </x:row>
    <x:row r="468">
      <x:c r="A468" t="str">
        <x:f>"Despesa/Custo"</x:f>
        <x:v>Despesa/Custo</x:v>
      </x:c>
      <x:c r="B468" t="str">
        <x:f>Despesas!A432</x:f>
        <x:v>CARTAO CREDITO EDUARDO</x:v>
      </x:c>
      <x:c r="C468" t="n">
        <x:f>Despesas!B432</x:f>
        <x:v>0</x:v>
      </x:c>
      <x:c r="D468" t="str">
        <x:f>Despesas!C432</x:f>
        <x:v>015514</x:v>
      </x:c>
      <x:c r="E468" t="str">
        <x:f>Despesas!D432</x:f>
        <x:v>PASSAGEM GOL P/ GENILDO E IVAN 2/2</x:v>
      </x:c>
      <x:c r="F468" t="str">
        <x:f>Despesas!E432</x:f>
        <x:v>ITAÚ</x:v>
      </x:c>
      <x:c r="G468" s="4" t="n">
        <x:f>Despesas!F432</x:f>
        <x:v>46037</x:v>
      </x:c>
      <x:c r="H468" t="str">
        <x:f>Despesas!G432</x:f>
        <x:v>VLI PINTURA</x:v>
      </x:c>
      <x:c r="I468" t="str">
        <x:f>Despesas!H432</x:f>
        <x:v>12.9 - PASSAGENS FUNCIONARIOS</x:v>
      </x:c>
      <x:c r="J468" s="5" t="n">
        <x:f>Despesas!I432</x:f>
        <x:v>548.4</x:v>
      </x:c>
      <x:c r="K468" s="5" t="n">
        <x:f>0</x:f>
        <x:v>0</x:v>
      </x:c>
      <x:c r="L468" s="5" t="n">
        <x:f>Despesas!I432</x:f>
        <x:v>548.4</x:v>
      </x:c>
      <x:c r="M468" s="5" t="n">
        <x:f>-J468</x:f>
        <x:v>-548.4</x:v>
      </x:c>
    </x:row>
    <x:row r="469">
      <x:c r="A469" t="str">
        <x:f>"Despesa/Custo"</x:f>
        <x:v>Despesa/Custo</x:v>
      </x:c>
      <x:c r="B469" t="str">
        <x:f>Despesas!A433</x:f>
        <x:v>CARTAO CREDITO EDUARDO</x:v>
      </x:c>
      <x:c r="C469" t="n">
        <x:f>Despesas!B433</x:f>
        <x:v>0</x:v>
      </x:c>
      <x:c r="D469" t="str">
        <x:f>Despesas!C433</x:f>
        <x:v>015515</x:v>
      </x:c>
      <x:c r="E469" t="str">
        <x:f>Despesas!D433</x:f>
        <x:v>MERCADO LIVRE - EPIS 2/2</x:v>
      </x:c>
      <x:c r="F469" t="str">
        <x:f>Despesas!E433</x:f>
        <x:v>ITAÚ</x:v>
      </x:c>
      <x:c r="G469" s="4" t="n">
        <x:f>Despesas!F433</x:f>
        <x:v>46037</x:v>
      </x:c>
      <x:c r="H469" t="str">
        <x:f>Despesas!G433</x:f>
        <x:v>SERENA 10 TORRES 2025</x:v>
      </x:c>
      <x:c r="I469" t="str">
        <x:f>Despesas!H433</x:f>
        <x:v>13.1 - EPIS</x:v>
      </x:c>
      <x:c r="J469" s="5" t="n">
        <x:f>Despesas!I433</x:f>
        <x:v>1731.87</x:v>
      </x:c>
      <x:c r="K469" s="5" t="n">
        <x:f>0</x:f>
        <x:v>0</x:v>
      </x:c>
      <x:c r="L469" s="5" t="n">
        <x:f>Despesas!I433</x:f>
        <x:v>1731.87</x:v>
      </x:c>
      <x:c r="M469" s="5" t="n">
        <x:f>-J469</x:f>
        <x:v>-1731.87</x:v>
      </x:c>
    </x:row>
    <x:row r="470">
      <x:c r="A470" t="str">
        <x:f>"Despesa/Custo"</x:f>
        <x:v>Despesa/Custo</x:v>
      </x:c>
      <x:c r="B470" t="str">
        <x:f>Despesas!A434</x:f>
        <x:v>CARTAO CREDITO EDUARDO</x:v>
      </x:c>
      <x:c r="C470" t="n">
        <x:f>Despesas!B434</x:f>
        <x:v>0</x:v>
      </x:c>
      <x:c r="D470" t="str">
        <x:f>Despesas!C434</x:f>
        <x:v>015516</x:v>
      </x:c>
      <x:c r="E470" t="str">
        <x:f>Despesas!D434</x:f>
        <x:v>CAIXA D'AGUA 2/3</x:v>
      </x:c>
      <x:c r="F470" t="str">
        <x:f>Despesas!E434</x:f>
        <x:v>ITAÚ</x:v>
      </x:c>
      <x:c r="G470" s="4" t="n">
        <x:f>Despesas!F434</x:f>
        <x:v>46037</x:v>
      </x:c>
      <x:c r="H470" t="str">
        <x:f>Despesas!G434</x:f>
        <x:v>ADMINISTRATIVO</x:v>
      </x:c>
      <x:c r="I470" t="str">
        <x:f>Despesas!H434</x:f>
        <x:v>8.5 - MAQUINAS / EQUIPAMENTOS</x:v>
      </x:c>
      <x:c r="J470" s="5" t="n">
        <x:f>Despesas!I434</x:f>
        <x:v>4316.68</x:v>
      </x:c>
      <x:c r="K470" s="5" t="n">
        <x:f>0</x:f>
        <x:v>0</x:v>
      </x:c>
      <x:c r="L470" s="5" t="n">
        <x:f>Despesas!I434</x:f>
        <x:v>4316.68</x:v>
      </x:c>
      <x:c r="M470" s="5" t="n">
        <x:f>-J470</x:f>
        <x:v>-4316.68</x:v>
      </x:c>
    </x:row>
    <x:row r="471">
      <x:c r="A471" t="str">
        <x:f>"Despesa/Custo"</x:f>
        <x:v>Despesa/Custo</x:v>
      </x:c>
      <x:c r="B471" t="str">
        <x:f>Despesas!A435</x:f>
        <x:v>CARTAO CREDITO EDUARDO</x:v>
      </x:c>
      <x:c r="C471" t="n">
        <x:f>Despesas!B435</x:f>
        <x:v>0</x:v>
      </x:c>
      <x:c r="D471" t="str">
        <x:f>Despesas!C435</x:f>
        <x:v>015518</x:v>
      </x:c>
      <x:c r="E471" t="str">
        <x:f>Despesas!D435</x:f>
        <x:v>STARLINK INTERNET ELETROBRAS</x:v>
      </x:c>
      <x:c r="F471" t="str">
        <x:f>Despesas!E435</x:f>
        <x:v>ITAÚ</x:v>
      </x:c>
      <x:c r="G471" s="4" t="n">
        <x:f>Despesas!F435</x:f>
        <x:v>46037</x:v>
      </x:c>
      <x:c r="H471" t="str">
        <x:f>Despesas!G435</x:f>
        <x:v>CONDUTOS UG 1 - ELETROBRAS</x:v>
      </x:c>
      <x:c r="I471" t="str">
        <x:f>Despesas!H435</x:f>
        <x:v>11.14 - INTERNET OBRAS</x:v>
      </x:c>
      <x:c r="J471" s="5" t="n">
        <x:f>Despesas!I435</x:f>
        <x:v>36</x:v>
      </x:c>
      <x:c r="K471" s="5" t="n">
        <x:f>0</x:f>
        <x:v>0</x:v>
      </x:c>
      <x:c r="L471" s="5" t="n">
        <x:f>Despesas!I435</x:f>
        <x:v>36</x:v>
      </x:c>
      <x:c r="M471" s="5" t="n">
        <x:f>-J471</x:f>
        <x:v>-36</x:v>
      </x:c>
    </x:row>
    <x:row r="472">
      <x:c r="A472" t="str">
        <x:f>"Despesa/Custo"</x:f>
        <x:v>Despesa/Custo</x:v>
      </x:c>
      <x:c r="B472" t="str">
        <x:f>Despesas!A436</x:f>
        <x:v>CARTAO CREDITO EDUARDO</x:v>
      </x:c>
      <x:c r="C472" t="n">
        <x:f>Despesas!B436</x:f>
        <x:v>0</x:v>
      </x:c>
      <x:c r="D472" t="str">
        <x:f>Despesas!C436</x:f>
        <x:v>015519</x:v>
      </x:c>
      <x:c r="E472" t="str">
        <x:f>Despesas!D436</x:f>
        <x:v>SEGURO RANGER PRW 1/10</x:v>
      </x:c>
      <x:c r="F472" t="str">
        <x:f>Despesas!E436</x:f>
        <x:v>ITAÚ</x:v>
      </x:c>
      <x:c r="G472" s="4" t="n">
        <x:f>Despesas!F436</x:f>
        <x:v>46037</x:v>
      </x:c>
      <x:c r="H472" t="str">
        <x:f>Despesas!G436</x:f>
        <x:v>VEICULOS</x:v>
      </x:c>
      <x:c r="I472" t="str">
        <x:f>Despesas!H436</x:f>
        <x:v>6.5 - SEGUROS DE VEICULOS</x:v>
      </x:c>
      <x:c r="J472" s="5" t="n">
        <x:f>Despesas!I436</x:f>
        <x:v>560.09</x:v>
      </x:c>
      <x:c r="K472" s="5" t="n">
        <x:f>0</x:f>
        <x:v>0</x:v>
      </x:c>
      <x:c r="L472" s="5" t="n">
        <x:f>Despesas!I436</x:f>
        <x:v>560.09</x:v>
      </x:c>
      <x:c r="M472" s="5" t="n">
        <x:f>-J472</x:f>
        <x:v>-560.09</x:v>
      </x:c>
    </x:row>
    <x:row r="473">
      <x:c r="A473" t="str">
        <x:f>"Despesa/Custo"</x:f>
        <x:v>Despesa/Custo</x:v>
      </x:c>
      <x:c r="B473" t="str">
        <x:f>Despesas!A437</x:f>
        <x:v>CARTAO CREDITO EDUARDO</x:v>
      </x:c>
      <x:c r="C473" t="n">
        <x:f>Despesas!B437</x:f>
        <x:v>0</x:v>
      </x:c>
      <x:c r="D473" t="str">
        <x:f>Despesas!C437</x:f>
        <x:v>015530</x:v>
      </x:c>
      <x:c r="E473" t="str">
        <x:f>Despesas!D437</x:f>
        <x:v>SEGURO RANGER SDN 1/10</x:v>
      </x:c>
      <x:c r="F473" t="str">
        <x:f>Despesas!E437</x:f>
        <x:v>ITAÚ</x:v>
      </x:c>
      <x:c r="G473" s="4" t="n">
        <x:f>Despesas!F437</x:f>
        <x:v>46037</x:v>
      </x:c>
      <x:c r="H473" t="str">
        <x:f>Despesas!G437</x:f>
        <x:v>VEICULOS</x:v>
      </x:c>
      <x:c r="I473" t="str">
        <x:f>Despesas!H437</x:f>
        <x:v>6.5 - SEGUROS DE VEICULOS</x:v>
      </x:c>
      <x:c r="J473" s="5" t="n">
        <x:f>Despesas!I437</x:f>
        <x:v>592.94</x:v>
      </x:c>
      <x:c r="K473" s="5" t="n">
        <x:f>0</x:f>
        <x:v>0</x:v>
      </x:c>
      <x:c r="L473" s="5" t="n">
        <x:f>Despesas!I437</x:f>
        <x:v>592.94</x:v>
      </x:c>
      <x:c r="M473" s="5" t="n">
        <x:f>-J473</x:f>
        <x:v>-592.94</x:v>
      </x:c>
    </x:row>
    <x:row r="474">
      <x:c r="A474" t="str">
        <x:f>"Despesa/Custo"</x:f>
        <x:v>Despesa/Custo</x:v>
      </x:c>
      <x:c r="B474" t="str">
        <x:f>Despesas!A438</x:f>
        <x:v>QUALI TINTAS</x:v>
      </x:c>
      <x:c r="C474" t="str">
        <x:f>Despesas!B438</x:f>
        <x:v>19663</x:v>
      </x:c>
      <x:c r="D474" t="str">
        <x:f>Despesas!C438</x:f>
        <x:v>015834</x:v>
      </x:c>
      <x:c r="E474" t="str">
        <x:f>Despesas!D438</x:f>
        <x:v>TINTAS E SOLVENTES</x:v>
      </x:c>
      <x:c r="F474" t="n">
        <x:f>Despesas!E438</x:f>
        <x:v>0</x:v>
      </x:c>
      <x:c r="G474" s="4" t="n">
        <x:f>Despesas!F438</x:f>
        <x:v>46037</x:v>
      </x:c>
      <x:c r="H474" t="str">
        <x:f>Despesas!G438</x:f>
        <x:v>NIOBIO CMOC CONTRATO</x:v>
      </x:c>
      <x:c r="I474" t="str">
        <x:f>Despesas!H438</x:f>
        <x:v>4.1 - TINTAS E SOLVENTES</x:v>
      </x:c>
      <x:c r="J474" s="5" t="n">
        <x:f>Despesas!I438</x:f>
        <x:v>3530</x:v>
      </x:c>
      <x:c r="K474" s="5" t="n">
        <x:f>0</x:f>
        <x:v>0</x:v>
      </x:c>
      <x:c r="L474" s="5" t="n">
        <x:f>Despesas!I438</x:f>
        <x:v>3530</x:v>
      </x:c>
      <x:c r="M474" s="5" t="n">
        <x:f>-J474</x:f>
        <x:v>-3530</x:v>
      </x:c>
    </x:row>
    <x:row r="475">
      <x:c r="A475" t="str">
        <x:f>"Despesa/Custo"</x:f>
        <x:v>Despesa/Custo</x:v>
      </x:c>
      <x:c r="B475" t="str">
        <x:f>Despesas!A439</x:f>
        <x:v>QUALI TINTAS</x:v>
      </x:c>
      <x:c r="C475" t="str">
        <x:f>Despesas!B439</x:f>
        <x:v>19663</x:v>
      </x:c>
      <x:c r="D475" t="str">
        <x:f>Despesas!C439</x:f>
        <x:v>015834</x:v>
      </x:c>
      <x:c r="E475" t="str">
        <x:f>Despesas!D439</x:f>
        <x:v>TINTAS E SOLVENTES</x:v>
      </x:c>
      <x:c r="F475" t="n">
        <x:f>Despesas!E439</x:f>
        <x:v>0</x:v>
      </x:c>
      <x:c r="G475" s="4" t="n">
        <x:f>Despesas!F439</x:f>
        <x:v>46037</x:v>
      </x:c>
      <x:c r="H475" t="str">
        <x:f>Despesas!G439</x:f>
        <x:v>NIOBIO CMOC CONTRATO</x:v>
      </x:c>
      <x:c r="I475" t="str">
        <x:f>Despesas!H439</x:f>
        <x:v>4.1 - TINTAS E SOLVENTES</x:v>
      </x:c>
      <x:c r="J475" s="5" t="n">
        <x:f>Despesas!I439</x:f>
        <x:v>3530</x:v>
      </x:c>
      <x:c r="K475" s="5" t="n">
        <x:f>0</x:f>
        <x:v>0</x:v>
      </x:c>
      <x:c r="L475" s="5" t="n">
        <x:f>Despesas!I439</x:f>
        <x:v>3530</x:v>
      </x:c>
      <x:c r="M475" s="5" t="n">
        <x:f>-J475</x:f>
        <x:v>-3530</x:v>
      </x:c>
    </x:row>
    <x:row r="476">
      <x:c r="A476" t="str">
        <x:f>"Despesa/Custo"</x:f>
        <x:v>Despesa/Custo</x:v>
      </x:c>
      <x:c r="B476" t="str">
        <x:f>Despesas!A440</x:f>
        <x:v>QUALI TINTAS</x:v>
      </x:c>
      <x:c r="C476" t="str">
        <x:f>Despesas!B440</x:f>
        <x:v>19663</x:v>
      </x:c>
      <x:c r="D476" t="str">
        <x:f>Despesas!C440</x:f>
        <x:v>015834</x:v>
      </x:c>
      <x:c r="E476" t="str">
        <x:f>Despesas!D440</x:f>
        <x:v>TINTAS E SOLVENTES</x:v>
      </x:c>
      <x:c r="F476" t="n">
        <x:f>Despesas!E440</x:f>
        <x:v>0</x:v>
      </x:c>
      <x:c r="G476" s="4" t="n">
        <x:f>Despesas!F440</x:f>
        <x:v>46037</x:v>
      </x:c>
      <x:c r="H476" t="str">
        <x:f>Despesas!G440</x:f>
        <x:v>NIOBIO CMOC CONTRATO</x:v>
      </x:c>
      <x:c r="I476" t="str">
        <x:f>Despesas!H440</x:f>
        <x:v>4.1 - TINTAS E SOLVENTES</x:v>
      </x:c>
      <x:c r="J476" s="5" t="n">
        <x:f>Despesas!I440</x:f>
        <x:v>3530</x:v>
      </x:c>
      <x:c r="K476" s="5" t="n">
        <x:f>0</x:f>
        <x:v>0</x:v>
      </x:c>
      <x:c r="L476" s="5" t="n">
        <x:f>Despesas!I440</x:f>
        <x:v>3530</x:v>
      </x:c>
      <x:c r="M476" s="5" t="n">
        <x:f>-J476</x:f>
        <x:v>-3530</x:v>
      </x:c>
    </x:row>
    <x:row r="477">
      <x:c r="A477" t="str">
        <x:f>"Despesa/Custo"</x:f>
        <x:v>Despesa/Custo</x:v>
      </x:c>
      <x:c r="B477" t="str">
        <x:f>Despesas!A441</x:f>
        <x:v>SMART BOSS SERVIÇOS LTDA</x:v>
      </x:c>
      <x:c r="C477" t="n">
        <x:f>Despesas!B441</x:f>
        <x:v>0</x:v>
      </x:c>
      <x:c r="D477" t="str">
        <x:f>Despesas!C441</x:f>
        <x:v>007766</x:v>
      </x:c>
      <x:c r="E477" t="str">
        <x:f>Despesas!D441</x:f>
        <x:v>SERVIÇO DE CONSULTORIA CONSELHO CONSULTIVO GERECIAL</x:v>
      </x:c>
      <x:c r="F477" t="str">
        <x:f>Despesas!E441</x:f>
        <x:v>CHAVE PIX EMAIL CONTATO@SMARTBOSS.COM.BR</x:v>
      </x:c>
      <x:c r="G477" s="4" t="n">
        <x:f>Despesas!F441</x:f>
        <x:v>46038</x:v>
      </x:c>
      <x:c r="H477" t="str">
        <x:f>Despesas!G441</x:f>
        <x:v>ADMINISTRATIVO</x:v>
      </x:c>
      <x:c r="I477" t="str">
        <x:f>Despesas!H441</x:f>
        <x:v>3.3 - SERVIÇOS DE CONSULTORIA</x:v>
      </x:c>
      <x:c r="J477" s="5" t="n">
        <x:f>Despesas!I441</x:f>
        <x:v>5000</x:v>
      </x:c>
      <x:c r="K477" s="5" t="n">
        <x:f>0</x:f>
        <x:v>0</x:v>
      </x:c>
      <x:c r="L477" s="5" t="n">
        <x:f>Despesas!I441</x:f>
        <x:v>5000</x:v>
      </x:c>
      <x:c r="M477" s="5" t="n">
        <x:f>-J477</x:f>
        <x:v>-5000</x:v>
      </x:c>
    </x:row>
    <x:row r="478">
      <x:c r="A478" t="str">
        <x:f>"Despesa/Custo"</x:f>
        <x:v>Despesa/Custo</x:v>
      </x:c>
      <x:c r="B478" t="str">
        <x:f>Despesas!A442</x:f>
        <x:v>ENCOMENDA DE CATALAO</x:v>
      </x:c>
      <x:c r="C478" t="n">
        <x:f>Despesas!B442</x:f>
        <x:v>0</x:v>
      </x:c>
      <x:c r="D478" t="str">
        <x:f>Despesas!C442</x:f>
        <x:v>015353</x:v>
      </x:c>
      <x:c r="E478" t="str">
        <x:f>Despesas!D442</x:f>
        <x:v>64 9 92591215 GABRIELLE ELIAS DE FREITAS</x:v>
      </x:c>
      <x:c r="F478" t="str">
        <x:f>Despesas!E442</x:f>
        <x:v>FRETE GOIANIA X CATALAO</x:v>
      </x:c>
      <x:c r="G478" s="4" t="n">
        <x:f>Despesas!F442</x:f>
        <x:v>46038</x:v>
      </x:c>
      <x:c r="H478" t="str">
        <x:f>Despesas!G442</x:f>
        <x:v>NIOBIO CMOC CONTRATO</x:v>
      </x:c>
      <x:c r="I478" t="str">
        <x:f>Despesas!H442</x:f>
        <x:v>10.1 - FRETE MATERIAIS E EQUIPAMENTOS</x:v>
      </x:c>
      <x:c r="J478" s="5" t="n">
        <x:f>Despesas!I442</x:f>
        <x:v>100</x:v>
      </x:c>
      <x:c r="K478" s="5" t="n">
        <x:f>0</x:f>
        <x:v>0</x:v>
      </x:c>
      <x:c r="L478" s="5" t="n">
        <x:f>Despesas!I442</x:f>
        <x:v>100</x:v>
      </x:c>
      <x:c r="M478" s="5" t="n">
        <x:f>-J478</x:f>
        <x:v>-100</x:v>
      </x:c>
    </x:row>
    <x:row r="479">
      <x:c r="A479" t="str">
        <x:f>"Despesa/Custo"</x:f>
        <x:v>Despesa/Custo</x:v>
      </x:c>
      <x:c r="B479" t="str">
        <x:f>Despesas!A443</x:f>
        <x:v>CARTAO CREDITO EDUARDO</x:v>
      </x:c>
      <x:c r="C479" t="n">
        <x:f>Despesas!B443</x:f>
        <x:v>0</x:v>
      </x:c>
      <x:c r="D479" t="str">
        <x:f>Despesas!C443</x:f>
        <x:v>015506</x:v>
      </x:c>
      <x:c r="E479" t="str">
        <x:f>Despesas!D443</x:f>
        <x:v>NOTEBOOK 5/6</x:v>
      </x:c>
      <x:c r="F479" t="str">
        <x:f>Despesas!E443</x:f>
        <x:v>ITAÚ</x:v>
      </x:c>
      <x:c r="G479" s="4" t="n">
        <x:f>Despesas!F443</x:f>
        <x:v>46038</x:v>
      </x:c>
      <x:c r="H479" t="str">
        <x:f>Despesas!G443</x:f>
        <x:v>CMOC CUBATÃO</x:v>
      </x:c>
      <x:c r="I479" t="str">
        <x:f>Despesas!H443</x:f>
        <x:v>11.13 - MATERIAIS DE INFORMATICA / COMPUTADOR</x:v>
      </x:c>
      <x:c r="J479" s="5" t="n">
        <x:f>Despesas!I443</x:f>
        <x:v>261.95</x:v>
      </x:c>
      <x:c r="K479" s="5" t="n">
        <x:f>0</x:f>
        <x:v>0</x:v>
      </x:c>
      <x:c r="L479" s="5" t="n">
        <x:f>Despesas!I443</x:f>
        <x:v>261.95</x:v>
      </x:c>
      <x:c r="M479" s="5" t="n">
        <x:f>-J479</x:f>
        <x:v>-261.95</x:v>
      </x:c>
    </x:row>
    <x:row r="480">
      <x:c r="A480" t="str">
        <x:f>"Despesa/Custo"</x:f>
        <x:v>Despesa/Custo</x:v>
      </x:c>
      <x:c r="B480" t="str">
        <x:f>Despesas!A444</x:f>
        <x:v>CARTAO CREDITO EDUARDO</x:v>
      </x:c>
      <x:c r="C480" t="n">
        <x:f>Despesas!B444</x:f>
        <x:v>0</x:v>
      </x:c>
      <x:c r="D480" t="str">
        <x:f>Despesas!C444</x:f>
        <x:v>015506</x:v>
      </x:c>
      <x:c r="E480" t="str">
        <x:f>Despesas!D444</x:f>
        <x:v>NOTEBOOK 5/6</x:v>
      </x:c>
      <x:c r="F480" t="str">
        <x:f>Despesas!E444</x:f>
        <x:v>ITAÚ</x:v>
      </x:c>
      <x:c r="G480" s="4" t="n">
        <x:f>Despesas!F444</x:f>
        <x:v>46038</x:v>
      </x:c>
      <x:c r="H480" t="str">
        <x:f>Despesas!G444</x:f>
        <x:v>CONTRATO 02 ANOS MINERAÇÃO SERRA VERDE</x:v>
      </x:c>
      <x:c r="I480" t="str">
        <x:f>Despesas!H444</x:f>
        <x:v>11.13 - MATERIAIS DE INFORMATICA / COMPUTADOR</x:v>
      </x:c>
      <x:c r="J480" s="5" t="n">
        <x:f>Despesas!I444</x:f>
        <x:v>261.95</x:v>
      </x:c>
      <x:c r="K480" s="5" t="n">
        <x:f>0</x:f>
        <x:v>0</x:v>
      </x:c>
      <x:c r="L480" s="5" t="n">
        <x:f>Despesas!I444</x:f>
        <x:v>261.95</x:v>
      </x:c>
      <x:c r="M480" s="5" t="n">
        <x:f>-J480</x:f>
        <x:v>-261.95</x:v>
      </x:c>
    </x:row>
    <x:row r="481">
      <x:c r="A481" t="str">
        <x:f>"Despesa/Custo"</x:f>
        <x:v>Despesa/Custo</x:v>
      </x:c>
      <x:c r="B481" t="str">
        <x:f>Despesas!A445</x:f>
        <x:v>CARTAO CREDITO EDUARDO</x:v>
      </x:c>
      <x:c r="C481" t="n">
        <x:f>Despesas!B445</x:f>
        <x:v>0</x:v>
      </x:c>
      <x:c r="D481" t="str">
        <x:f>Despesas!C445</x:f>
        <x:v>015508</x:v>
      </x:c>
      <x:c r="E481" t="str">
        <x:f>Despesas!D445</x:f>
        <x:v>CARTAO DE CREDITO SERVIÇO DE UBER</x:v>
      </x:c>
      <x:c r="F481" t="n">
        <x:f>Despesas!E445</x:f>
        <x:v>0</x:v>
      </x:c>
      <x:c r="G481" s="4" t="n">
        <x:f>Despesas!F445</x:f>
        <x:v>46038</x:v>
      </x:c>
      <x:c r="H481" t="str">
        <x:f>Despesas!G445</x:f>
        <x:v>ADMINISTRATIVO</x:v>
      </x:c>
      <x:c r="I481" t="str">
        <x:f>Despesas!H445</x:f>
        <x:v>3.8 - SERVIÇO MOTOBOY / UBER</x:v>
      </x:c>
      <x:c r="J481" s="5" t="n">
        <x:f>Despesas!I445</x:f>
        <x:v>542.45</x:v>
      </x:c>
      <x:c r="K481" s="5" t="n">
        <x:f>0</x:f>
        <x:v>0</x:v>
      </x:c>
      <x:c r="L481" s="5" t="n">
        <x:f>Despesas!I445</x:f>
        <x:v>542.45</x:v>
      </x:c>
      <x:c r="M481" s="5" t="n">
        <x:f>-J481</x:f>
        <x:v>-542.45</x:v>
      </x:c>
    </x:row>
    <x:row r="482">
      <x:c r="A482" t="str">
        <x:f>"Despesa/Custo"</x:f>
        <x:v>Despesa/Custo</x:v>
      </x:c>
      <x:c r="B482" t="str">
        <x:f>Despesas!A446</x:f>
        <x:v>CARTAO CREDITO EDUARDO</x:v>
      </x:c>
      <x:c r="C482" t="str">
        <x:f>Despesas!B446</x:f>
        <x:v>12203</x:v>
      </x:c>
      <x:c r="D482" t="str">
        <x:f>Despesas!C446</x:f>
        <x:v>015540</x:v>
      </x:c>
      <x:c r="E482" t="str">
        <x:f>Despesas!D446</x:f>
        <x:v>BICO DE JATO UMIDO - ML</x:v>
      </x:c>
      <x:c r="F482" t="str">
        <x:f>Despesas!E446</x:f>
        <x:v>ITAÚ</x:v>
      </x:c>
      <x:c r="G482" s="4" t="n">
        <x:f>Despesas!F446</x:f>
        <x:v>46038</x:v>
      </x:c>
      <x:c r="H482" t="str">
        <x:f>Despesas!G446</x:f>
        <x:v>CONDUTOS UG 2 - ELETROBRAS</x:v>
      </x:c>
      <x:c r="I482" t="str">
        <x:f>Despesas!H446</x:f>
        <x:v>8.5 - MAQUINAS / EQUIPAMENTOS</x:v>
      </x:c>
      <x:c r="J482" s="5" t="n">
        <x:f>Despesas!I446</x:f>
        <x:v>995</x:v>
      </x:c>
      <x:c r="K482" s="5" t="n">
        <x:f>0</x:f>
        <x:v>0</x:v>
      </x:c>
      <x:c r="L482" s="5" t="n">
        <x:f>Despesas!I446</x:f>
        <x:v>995</x:v>
      </x:c>
      <x:c r="M482" s="5" t="n">
        <x:f>-J482</x:f>
        <x:v>-995</x:v>
      </x:c>
    </x:row>
    <x:row r="483">
      <x:c r="A483" t="str">
        <x:f>"Despesa/Custo"</x:f>
        <x:v>Despesa/Custo</x:v>
      </x:c>
      <x:c r="B483" t="str">
        <x:f>Despesas!A447</x:f>
        <x:v>CARTAO CREDITO EDUARDO</x:v>
      </x:c>
      <x:c r="C483" t="str">
        <x:f>Despesas!B447</x:f>
        <x:v>12203</x:v>
      </x:c>
      <x:c r="D483" t="str">
        <x:f>Despesas!C447</x:f>
        <x:v>015540</x:v>
      </x:c>
      <x:c r="E483" t="str">
        <x:f>Despesas!D447</x:f>
        <x:v>BICO DE JATO UMIDO - ML</x:v>
      </x:c>
      <x:c r="F483" t="str">
        <x:f>Despesas!E447</x:f>
        <x:v>ITAÚ</x:v>
      </x:c>
      <x:c r="G483" s="4" t="n">
        <x:f>Despesas!F447</x:f>
        <x:v>46038</x:v>
      </x:c>
      <x:c r="H483" t="str">
        <x:f>Despesas!G447</x:f>
        <x:v>CONDUTOS UG 2 - ELETROBRAS</x:v>
      </x:c>
      <x:c r="I483" t="str">
        <x:f>Despesas!H447</x:f>
        <x:v>8.5 - MAQUINAS / EQUIPAMENTOS</x:v>
      </x:c>
      <x:c r="J483" s="5" t="n">
        <x:f>Despesas!I447</x:f>
        <x:v>995</x:v>
      </x:c>
      <x:c r="K483" s="5" t="n">
        <x:f>0</x:f>
        <x:v>0</x:v>
      </x:c>
      <x:c r="L483" s="5" t="n">
        <x:f>Despesas!I447</x:f>
        <x:v>995</x:v>
      </x:c>
      <x:c r="M483" s="5" t="n">
        <x:f>-J483</x:f>
        <x:v>-995</x:v>
      </x:c>
    </x:row>
    <x:row r="484">
      <x:c r="A484" t="str">
        <x:f>"Despesa/Custo"</x:f>
        <x:v>Despesa/Custo</x:v>
      </x:c>
      <x:c r="B484" t="str">
        <x:f>Despesas!A448</x:f>
        <x:v>DESPESAS DE VIAGEM</x:v>
      </x:c>
      <x:c r="C484" t="n">
        <x:f>Despesas!B448</x:f>
        <x:v>0</x:v>
      </x:c>
      <x:c r="D484" t="str">
        <x:f>Despesas!C448</x:f>
        <x:v>015541</x:v>
      </x:c>
      <x:c r="E484" t="str">
        <x:f>Despesas!D448</x:f>
        <x:v>PATRYKE MAIA - DESPESA VIAGEM</x:v>
      </x:c>
      <x:c r="F484" t="str">
        <x:f>Despesas!E448</x:f>
        <x:v>PASSAGEM</x:v>
      </x:c>
      <x:c r="G484" s="4" t="n">
        <x:f>Despesas!F448</x:f>
        <x:v>46038</x:v>
      </x:c>
      <x:c r="H484" t="str">
        <x:f>Despesas!G448</x:f>
        <x:v>FOSFATO CMOC CONTRAT</x:v>
      </x:c>
      <x:c r="I484" t="str">
        <x:f>Despesas!H448</x:f>
        <x:v>12.9 - PASSAGENS FUNCIONARIOS</x:v>
      </x:c>
      <x:c r="J484" s="5" t="n">
        <x:f>Despesas!I448</x:f>
        <x:v>225</x:v>
      </x:c>
      <x:c r="K484" s="5" t="n">
        <x:f>0</x:f>
        <x:v>0</x:v>
      </x:c>
      <x:c r="L484" s="5" t="n">
        <x:f>Despesas!I448</x:f>
        <x:v>225</x:v>
      </x:c>
      <x:c r="M484" s="5" t="n">
        <x:f>-J484</x:f>
        <x:v>-225</x:v>
      </x:c>
    </x:row>
    <x:row r="485">
      <x:c r="A485" t="str">
        <x:f>"Despesa/Custo"</x:f>
        <x:v>Despesa/Custo</x:v>
      </x:c>
      <x:c r="B485" t="str">
        <x:f>Despesas!A449</x:f>
        <x:v>DESPESAS DE VIAGEM</x:v>
      </x:c>
      <x:c r="C485" t="n">
        <x:f>Despesas!B449</x:f>
        <x:v>0</x:v>
      </x:c>
      <x:c r="D485" t="str">
        <x:f>Despesas!C449</x:f>
        <x:v>015542</x:v>
      </x:c>
      <x:c r="E485" t="str">
        <x:f>Despesas!D449</x:f>
        <x:v>WANDERSON - DESPESA VIAGEM</x:v>
      </x:c>
      <x:c r="F485" t="str">
        <x:f>Despesas!E449</x:f>
        <x:v>PASSAGEM</x:v>
      </x:c>
      <x:c r="G485" s="4" t="n">
        <x:f>Despesas!F449</x:f>
        <x:v>46038</x:v>
      </x:c>
      <x:c r="H485" t="str">
        <x:f>Despesas!G449</x:f>
        <x:v>FOSFATO CMOC CONTRAT</x:v>
      </x:c>
      <x:c r="I485" t="str">
        <x:f>Despesas!H449</x:f>
        <x:v>12.9 - PASSAGENS FUNCIONARIOS</x:v>
      </x:c>
      <x:c r="J485" s="5" t="n">
        <x:f>Despesas!I449</x:f>
        <x:v>240</x:v>
      </x:c>
      <x:c r="K485" s="5" t="n">
        <x:f>0</x:f>
        <x:v>0</x:v>
      </x:c>
      <x:c r="L485" s="5" t="n">
        <x:f>Despesas!I449</x:f>
        <x:v>240</x:v>
      </x:c>
      <x:c r="M485" s="5" t="n">
        <x:f>-J485</x:f>
        <x:v>-240</x:v>
      </x:c>
    </x:row>
    <x:row r="486">
      <x:c r="A486" t="str">
        <x:f>"Despesa/Custo"</x:f>
        <x:v>Despesa/Custo</x:v>
      </x:c>
      <x:c r="B486" t="str">
        <x:f>Despesas!A450</x:f>
        <x:v>REINALDO DIAS</x:v>
      </x:c>
      <x:c r="C486" t="n">
        <x:f>Despesas!B450</x:f>
        <x:v>0</x:v>
      </x:c>
      <x:c r="D486" t="str">
        <x:f>Despesas!C450</x:f>
        <x:v>015543</x:v>
      </x:c>
      <x:c r="E486" t="str">
        <x:f>Despesas!D450</x:f>
        <x:v>DESPESAS DA SEMANA - MATERIAL DE CONSUMO</x:v>
      </x:c>
      <x:c r="F486" t="str">
        <x:f>Despesas!E450</x:f>
        <x:v>REEM REINALDO DIAS DAMAS</x:v>
      </x:c>
      <x:c r="G486" s="4" t="n">
        <x:f>Despesas!F450</x:f>
        <x:v>46038</x:v>
      </x:c>
      <x:c r="H486" t="str">
        <x:f>Despesas!G450</x:f>
        <x:v>ADMINISTRATIVO</x:v>
      </x:c>
      <x:c r="I486" t="str">
        <x:f>Despesas!H450</x:f>
        <x:v>8.9 - MATERIAIS DE CONSUMO EM OBRAS</x:v>
      </x:c>
      <x:c r="J486" s="5" t="n">
        <x:f>Despesas!I450</x:f>
        <x:v>325.48</x:v>
      </x:c>
      <x:c r="K486" s="5" t="n">
        <x:f>0</x:f>
        <x:v>0</x:v>
      </x:c>
      <x:c r="L486" s="5" t="n">
        <x:f>Despesas!I450</x:f>
        <x:v>325.48</x:v>
      </x:c>
      <x:c r="M486" s="5" t="n">
        <x:f>-J486</x:f>
        <x:v>-325.48</x:v>
      </x:c>
    </x:row>
    <x:row r="487">
      <x:c r="A487" t="str">
        <x:f>"Despesa/Custo"</x:f>
        <x:v>Despesa/Custo</x:v>
      </x:c>
      <x:c r="B487" t="str">
        <x:f>Despesas!A451</x:f>
        <x:v>REFEIÇÃO OBRAS</x:v>
      </x:c>
      <x:c r="C487" t="n">
        <x:f>Despesas!B451</x:f>
        <x:v>0</x:v>
      </x:c>
      <x:c r="D487" t="str">
        <x:f>Despesas!C451</x:f>
        <x:v>015544</x:v>
      </x:c>
      <x:c r="E487" t="str">
        <x:f>Despesas!D451</x:f>
        <x:v>ALIMENTAÇÃO 2° QUINZENA JANEIRO</x:v>
      </x:c>
      <x:c r="F487" t="n">
        <x:f>Despesas!E451</x:f>
        <x:v>0</x:v>
      </x:c>
      <x:c r="G487" s="4" t="n">
        <x:f>Despesas!F451</x:f>
        <x:v>46038</x:v>
      </x:c>
      <x:c r="H487" t="str">
        <x:f>Despesas!G451</x:f>
        <x:v>CONDUTOS UG 2 - ELETROBRAS</x:v>
      </x:c>
      <x:c r="I487" t="str">
        <x:f>Despesas!H451</x:f>
        <x:v>12.5 - REFEIÇÕES FUNCIONARIOS</x:v>
      </x:c>
      <x:c r="J487" s="5" t="n">
        <x:f>Despesas!I451</x:f>
        <x:v>990</x:v>
      </x:c>
      <x:c r="K487" s="5" t="n">
        <x:f>0</x:f>
        <x:v>0</x:v>
      </x:c>
      <x:c r="L487" s="5" t="n">
        <x:f>Despesas!I451</x:f>
        <x:v>990</x:v>
      </x:c>
      <x:c r="M487" s="5" t="n">
        <x:f>-J487</x:f>
        <x:v>-990</x:v>
      </x:c>
    </x:row>
    <x:row r="488">
      <x:c r="A488" t="str">
        <x:f>"Despesa/Custo"</x:f>
        <x:v>Despesa/Custo</x:v>
      </x:c>
      <x:c r="B488" t="str">
        <x:f>Despesas!A452</x:f>
        <x:v>REFEIÇÃO OBRAS</x:v>
      </x:c>
      <x:c r="C488" t="n">
        <x:f>Despesas!B452</x:f>
        <x:v>0</x:v>
      </x:c>
      <x:c r="D488" t="str">
        <x:f>Despesas!C452</x:f>
        <x:v>015545</x:v>
      </x:c>
      <x:c r="E488" t="str">
        <x:f>Despesas!D452</x:f>
        <x:v>ALIMENTAÇÃO 2° QUINZENA JANEIRO</x:v>
      </x:c>
      <x:c r="F488" t="n">
        <x:f>Despesas!E452</x:f>
        <x:v>0</x:v>
      </x:c>
      <x:c r="G488" s="4" t="n">
        <x:f>Despesas!F452</x:f>
        <x:v>46038</x:v>
      </x:c>
      <x:c r="H488" t="str">
        <x:f>Despesas!G452</x:f>
        <x:v>EUROCHEM SERRA DO SALITRE</x:v>
      </x:c>
      <x:c r="I488" t="str">
        <x:f>Despesas!H452</x:f>
        <x:v>12.5 - REFEIÇÕES FUNCIONARIOS</x:v>
      </x:c>
      <x:c r="J488" s="5" t="n">
        <x:f>Despesas!I452</x:f>
        <x:v>2757.5</x:v>
      </x:c>
      <x:c r="K488" s="5" t="n">
        <x:f>0</x:f>
        <x:v>0</x:v>
      </x:c>
      <x:c r="L488" s="5" t="n">
        <x:f>Despesas!I452</x:f>
        <x:v>2757.5</x:v>
      </x:c>
      <x:c r="M488" s="5" t="n">
        <x:f>-J488</x:f>
        <x:v>-2757.5</x:v>
      </x:c>
    </x:row>
    <x:row r="489">
      <x:c r="A489" t="str">
        <x:f>"Despesa/Custo"</x:f>
        <x:v>Despesa/Custo</x:v>
      </x:c>
      <x:c r="B489" t="str">
        <x:f>Despesas!A453</x:f>
        <x:v>REFEIÇÃO OBRAS</x:v>
      </x:c>
      <x:c r="C489" t="n">
        <x:f>Despesas!B453</x:f>
        <x:v>0</x:v>
      </x:c>
      <x:c r="D489" t="str">
        <x:f>Despesas!C453</x:f>
        <x:v>015546</x:v>
      </x:c>
      <x:c r="E489" t="str">
        <x:f>Despesas!D453</x:f>
        <x:v>ALIMENTAÇÃO 2° QUINZENA JANEIRO</x:v>
      </x:c>
      <x:c r="F489" t="n">
        <x:f>Despesas!E453</x:f>
        <x:v>0</x:v>
      </x:c>
      <x:c r="G489" s="4" t="n">
        <x:f>Despesas!F453</x:f>
        <x:v>46038</x:v>
      </x:c>
      <x:c r="H489" t="str">
        <x:f>Despesas!G453</x:f>
        <x:v>SERENA 10 TORRES 2025</x:v>
      </x:c>
      <x:c r="I489" t="str">
        <x:f>Despesas!H453</x:f>
        <x:v>12.5 - REFEIÇÕES FUNCIONARIOS</x:v>
      </x:c>
      <x:c r="J489" s="5" t="n">
        <x:f>Despesas!I453</x:f>
        <x:v>2692</x:v>
      </x:c>
      <x:c r="K489" s="5" t="n">
        <x:f>0</x:f>
        <x:v>0</x:v>
      </x:c>
      <x:c r="L489" s="5" t="n">
        <x:f>Despesas!I453</x:f>
        <x:v>2692</x:v>
      </x:c>
      <x:c r="M489" s="5" t="n">
        <x:f>-J489</x:f>
        <x:v>-2692</x:v>
      </x:c>
    </x:row>
    <x:row r="490">
      <x:c r="A490" t="str">
        <x:f>"Despesa/Custo"</x:f>
        <x:v>Despesa/Custo</x:v>
      </x:c>
      <x:c r="B490" t="str">
        <x:f>Despesas!A454</x:f>
        <x:v>REFEIÇÃO OBRAS</x:v>
      </x:c>
      <x:c r="C490" t="n">
        <x:f>Despesas!B454</x:f>
        <x:v>0</x:v>
      </x:c>
      <x:c r="D490" t="str">
        <x:f>Despesas!C454</x:f>
        <x:v>015547</x:v>
      </x:c>
      <x:c r="E490" t="str">
        <x:f>Despesas!D454</x:f>
        <x:v>ALIMENTAÇÃO 2° QUINZENA JANEIRO</x:v>
      </x:c>
      <x:c r="F490" t="n">
        <x:f>Despesas!E454</x:f>
        <x:v>0</x:v>
      </x:c>
      <x:c r="G490" s="4" t="n">
        <x:f>Despesas!F454</x:f>
        <x:v>46038</x:v>
      </x:c>
      <x:c r="H490" t="str">
        <x:f>Despesas!G454</x:f>
        <x:v>ANGLO AMERICAN</x:v>
      </x:c>
      <x:c r="I490" t="str">
        <x:f>Despesas!H454</x:f>
        <x:v>12.5 - REFEIÇÕES FUNCIONARIOS</x:v>
      </x:c>
      <x:c r="J490" s="5" t="n">
        <x:f>Despesas!I454</x:f>
        <x:v>1945</x:v>
      </x:c>
      <x:c r="K490" s="5" t="n">
        <x:f>0</x:f>
        <x:v>0</x:v>
      </x:c>
      <x:c r="L490" s="5" t="n">
        <x:f>Despesas!I454</x:f>
        <x:v>1945</x:v>
      </x:c>
      <x:c r="M490" s="5" t="n">
        <x:f>-J490</x:f>
        <x:v>-1945</x:v>
      </x:c>
    </x:row>
    <x:row r="491">
      <x:c r="A491" t="str">
        <x:f>"Despesa/Custo"</x:f>
        <x:v>Despesa/Custo</x:v>
      </x:c>
      <x:c r="B491" t="str">
        <x:f>Despesas!A455</x:f>
        <x:v>REFEIÇÃO OBRAS</x:v>
      </x:c>
      <x:c r="C491" t="n">
        <x:f>Despesas!B455</x:f>
        <x:v>0</x:v>
      </x:c>
      <x:c r="D491" t="str">
        <x:f>Despesas!C455</x:f>
        <x:v>015548</x:v>
      </x:c>
      <x:c r="E491" t="str">
        <x:f>Despesas!D455</x:f>
        <x:v>ALIMENTAÇÃO 2° QUINZENA JANEIRO</x:v>
      </x:c>
      <x:c r="F491" t="n">
        <x:f>Despesas!E455</x:f>
        <x:v>0</x:v>
      </x:c>
      <x:c r="G491" s="4" t="n">
        <x:f>Despesas!F455</x:f>
        <x:v>46038</x:v>
      </x:c>
      <x:c r="H491" t="str">
        <x:f>Despesas!G455</x:f>
        <x:v>MOSAIC UBERABA CONTRAT0 3 ANOS</x:v>
      </x:c>
      <x:c r="I491" t="str">
        <x:f>Despesas!H455</x:f>
        <x:v>12.5 - REFEIÇÕES FUNCIONARIOS</x:v>
      </x:c>
      <x:c r="J491" s="5" t="n">
        <x:f>Despesas!I455</x:f>
        <x:v>3580</x:v>
      </x:c>
      <x:c r="K491" s="5" t="n">
        <x:f>0</x:f>
        <x:v>0</x:v>
      </x:c>
      <x:c r="L491" s="5" t="n">
        <x:f>Despesas!I455</x:f>
        <x:v>3580</x:v>
      </x:c>
      <x:c r="M491" s="5" t="n">
        <x:f>-J491</x:f>
        <x:v>-3580</x:v>
      </x:c>
    </x:row>
    <x:row r="492">
      <x:c r="A492" t="str">
        <x:f>"Despesa/Custo"</x:f>
        <x:v>Despesa/Custo</x:v>
      </x:c>
      <x:c r="B492" t="str">
        <x:f>Despesas!A456</x:f>
        <x:v>REFEIÇÃO OBRAS</x:v>
      </x:c>
      <x:c r="C492" t="n">
        <x:f>Despesas!B456</x:f>
        <x:v>0</x:v>
      </x:c>
      <x:c r="D492" t="str">
        <x:f>Despesas!C456</x:f>
        <x:v>015549</x:v>
      </x:c>
      <x:c r="E492" t="str">
        <x:f>Despesas!D456</x:f>
        <x:v>ALIMENTAÇÃO 2° QUINZENA JANEIRO</x:v>
      </x:c>
      <x:c r="F492" t="n">
        <x:f>Despesas!E456</x:f>
        <x:v>0</x:v>
      </x:c>
      <x:c r="G492" s="4" t="n">
        <x:f>Despesas!F456</x:f>
        <x:v>46038</x:v>
      </x:c>
      <x:c r="H492" t="str">
        <x:f>Despesas!G456</x:f>
        <x:v>NIOBIO CMOC CONTRATO</x:v>
      </x:c>
      <x:c r="I492" t="str">
        <x:f>Despesas!H456</x:f>
        <x:v>12.5 - REFEIÇÕES FUNCIONARIOS</x:v>
      </x:c>
      <x:c r="J492" s="5" t="n">
        <x:f>Despesas!I456</x:f>
        <x:v>6507.5</x:v>
      </x:c>
      <x:c r="K492" s="5" t="n">
        <x:f>0</x:f>
        <x:v>0</x:v>
      </x:c>
      <x:c r="L492" s="5" t="n">
        <x:f>Despesas!I456</x:f>
        <x:v>6507.5</x:v>
      </x:c>
      <x:c r="M492" s="5" t="n">
        <x:f>-J492</x:f>
        <x:v>-6507.5</x:v>
      </x:c>
    </x:row>
    <x:row r="493">
      <x:c r="A493" t="str">
        <x:f>"Despesa/Custo"</x:f>
        <x:v>Despesa/Custo</x:v>
      </x:c>
      <x:c r="B493" t="str">
        <x:f>Despesas!A457</x:f>
        <x:v>REFEIÇÃO OBRAS</x:v>
      </x:c>
      <x:c r="C493" t="n">
        <x:f>Despesas!B457</x:f>
        <x:v>0</x:v>
      </x:c>
      <x:c r="D493" t="str">
        <x:f>Despesas!C457</x:f>
        <x:v>015550</x:v>
      </x:c>
      <x:c r="E493" t="str">
        <x:f>Despesas!D457</x:f>
        <x:v>ALIMENTAÇÃO 2° QUINZENA JANEIRO</x:v>
      </x:c>
      <x:c r="F493" t="n">
        <x:f>Despesas!E457</x:f>
        <x:v>0</x:v>
      </x:c>
      <x:c r="G493" s="4" t="n">
        <x:f>Despesas!F457</x:f>
        <x:v>46038</x:v>
      </x:c>
      <x:c r="H493" t="str">
        <x:f>Despesas!G457</x:f>
        <x:v>FOSFATO CMOC CONTRAT</x:v>
      </x:c>
      <x:c r="I493" t="str">
        <x:f>Despesas!H457</x:f>
        <x:v>12.5 - REFEIÇÕES FUNCIONARIOS</x:v>
      </x:c>
      <x:c r="J493" s="5" t="n">
        <x:f>Despesas!I457</x:f>
        <x:v>4320</x:v>
      </x:c>
      <x:c r="K493" s="5" t="n">
        <x:f>0</x:f>
        <x:v>0</x:v>
      </x:c>
      <x:c r="L493" s="5" t="n">
        <x:f>Despesas!I457</x:f>
        <x:v>4320</x:v>
      </x:c>
      <x:c r="M493" s="5" t="n">
        <x:f>-J493</x:f>
        <x:v>-4320</x:v>
      </x:c>
    </x:row>
    <x:row r="494">
      <x:c r="A494" t="str">
        <x:f>"Despesa/Custo"</x:f>
        <x:v>Despesa/Custo</x:v>
      </x:c>
      <x:c r="B494" t="str">
        <x:f>Despesas!A458</x:f>
        <x:v>QUALI TINTAS</x:v>
      </x:c>
      <x:c r="C494" t="str">
        <x:f>Despesas!B458</x:f>
        <x:v>19709</x:v>
      </x:c>
      <x:c r="D494" t="str">
        <x:f>Despesas!C458</x:f>
        <x:v>015835</x:v>
      </x:c>
      <x:c r="E494" t="str">
        <x:f>Despesas!D458</x:f>
        <x:v>TINTAS E SOLVENTES</x:v>
      </x:c>
      <x:c r="F494" t="n">
        <x:f>Despesas!E458</x:f>
        <x:v>0</x:v>
      </x:c>
      <x:c r="G494" s="4" t="n">
        <x:f>Despesas!F458</x:f>
        <x:v>46038</x:v>
      </x:c>
      <x:c r="H494" t="str">
        <x:f>Despesas!G458</x:f>
        <x:v>ADMINISTRATIVO</x:v>
      </x:c>
      <x:c r="I494" t="str">
        <x:f>Despesas!H458</x:f>
        <x:v>4.1 - TINTAS E SOLVENTES</x:v>
      </x:c>
      <x:c r="J494" s="5" t="n">
        <x:f>Despesas!I458</x:f>
        <x:v>65</x:v>
      </x:c>
      <x:c r="K494" s="5" t="n">
        <x:f>0</x:f>
        <x:v>0</x:v>
      </x:c>
      <x:c r="L494" s="5" t="n">
        <x:f>Despesas!I458</x:f>
        <x:v>65</x:v>
      </x:c>
      <x:c r="M494" s="5" t="n">
        <x:f>-J494</x:f>
        <x:v>-65</x:v>
      </x:c>
    </x:row>
    <x:row r="495">
      <x:c r="A495" t="str">
        <x:f>"Despesa/Custo"</x:f>
        <x:v>Despesa/Custo</x:v>
      </x:c>
      <x:c r="B495" t="str">
        <x:f>Despesas!A459</x:f>
        <x:v>THOMSON REUTERS BRASIL CONTEUDO E TECNOLOGIA LTDA</x:v>
      </x:c>
      <x:c r="C495" t="str">
        <x:f>Despesas!B459</x:f>
        <x:v>71064</x:v>
      </x:c>
      <x:c r="D495" t="str">
        <x:f>Despesas!C459</x:f>
        <x:v>015554</x:v>
      </x:c>
      <x:c r="E495" t="str">
        <x:f>Despesas!D459</x:f>
        <x:v>SISTEMA/SERVIDOR REF. 01/2026</x:v>
      </x:c>
      <x:c r="F495" t="str">
        <x:f>Despesas!E459</x:f>
        <x:v>VENCIMENTO ORIGINAL DO BOLETO 10/02/26</x:v>
      </x:c>
      <x:c r="G495" s="4" t="n">
        <x:f>Despesas!F459</x:f>
        <x:v>46039</x:v>
      </x:c>
      <x:c r="H495" t="str">
        <x:f>Despesas!G459</x:f>
        <x:v>ADMINISTRATIVO</x:v>
      </x:c>
      <x:c r="I495" t="str">
        <x:f>Despesas!H459</x:f>
        <x:v>11.8 - SISTEMA / SERVIDOR</x:v>
      </x:c>
      <x:c r="J495" s="5" t="n">
        <x:f>Despesas!I459</x:f>
        <x:v>501.16</x:v>
      </x:c>
      <x:c r="K495" s="5" t="n">
        <x:f>0</x:f>
        <x:v>0</x:v>
      </x:c>
      <x:c r="L495" s="5" t="n">
        <x:f>Despesas!I459</x:f>
        <x:v>501.16</x:v>
      </x:c>
      <x:c r="M495" s="5" t="n">
        <x:f>-J495</x:f>
        <x:v>-501.16</x:v>
      </x:c>
    </x:row>
    <x:row r="496">
      <x:c r="A496" t="str">
        <x:f>"Despesa/Custo"</x:f>
        <x:v>Despesa/Custo</x:v>
      </x:c>
      <x:c r="B496" t="str">
        <x:f>Despesas!A460</x:f>
        <x:v>THOMSON REUTERS BRASIL CONTEUDO E TECNOLOGIA LTDA</x:v>
      </x:c>
      <x:c r="C496" t="str">
        <x:f>Despesas!B460</x:f>
        <x:v>71065</x:v>
      </x:c>
      <x:c r="D496" t="str">
        <x:f>Despesas!C460</x:f>
        <x:v>015772</x:v>
      </x:c>
      <x:c r="E496" t="str">
        <x:f>Despesas!D460</x:f>
        <x:v>SISTEMA/SERVIDOR REF. 01/2026</x:v>
      </x:c>
      <x:c r="F496" t="str">
        <x:f>Despesas!E460</x:f>
        <x:v>VENCIMENTO ORIGINAL DO BOLETO 10/02/26</x:v>
      </x:c>
      <x:c r="G496" s="4" t="n">
        <x:f>Despesas!F460</x:f>
        <x:v>46039</x:v>
      </x:c>
      <x:c r="H496" t="str">
        <x:f>Despesas!G460</x:f>
        <x:v>ADMINISTRATIVO</x:v>
      </x:c>
      <x:c r="I496" t="str">
        <x:f>Despesas!H460</x:f>
        <x:v>11.8 - SISTEMA / SERVIDOR</x:v>
      </x:c>
      <x:c r="J496" s="5" t="n">
        <x:f>Despesas!I460</x:f>
        <x:v>1501.71</x:v>
      </x:c>
      <x:c r="K496" s="5" t="n">
        <x:f>0</x:f>
        <x:v>0</x:v>
      </x:c>
      <x:c r="L496" s="5" t="n">
        <x:f>Despesas!I460</x:f>
        <x:v>1501.71</x:v>
      </x:c>
      <x:c r="M496" s="5" t="n">
        <x:f>-J496</x:f>
        <x:v>-1501.71</x:v>
      </x:c>
    </x:row>
    <x:row r="497">
      <x:c r="A497" t="str">
        <x:f>"Despesa/Custo"</x:f>
        <x:v>Despesa/Custo</x:v>
      </x:c>
      <x:c r="B497" t="str">
        <x:f>Despesas!A461</x:f>
        <x:v>BANCO CAIXA</x:v>
      </x:c>
      <x:c r="C497" t="n">
        <x:f>Despesas!B461</x:f>
        <x:v>0</x:v>
      </x:c>
      <x:c r="D497" t="str">
        <x:f>Despesas!C461</x:f>
        <x:v>004329</x:v>
      </x:c>
      <x:c r="E497" t="str">
        <x:f>Despesas!D461</x:f>
        <x:v>EMPRESTIMO BANCO CAIXA / CAPITAL DE GIRO R$ 300.000,00</x:v>
      </x:c>
      <x:c r="F497" t="str">
        <x:f>Despesas!E461</x:f>
        <x:v>30 PARCELAS  6 MESES DE CARENCIA DT 12/04/2024 CONTRATO 734</x:v>
      </x:c>
      <x:c r="G497" s="4" t="n">
        <x:f>Despesas!F461</x:f>
        <x:v>46040</x:v>
      </x:c>
      <x:c r="H497" t="str">
        <x:f>Despesas!G461</x:f>
        <x:v>EMPRESTIMOS</x:v>
      </x:c>
      <x:c r="I497" t="str">
        <x:f>Despesas!H461</x:f>
        <x:v>11.9 - PAGAMENTOS EMPRESTIMOS</x:v>
      </x:c>
      <x:c r="J497" s="5" t="n">
        <x:f>Despesas!I461</x:f>
        <x:v>15804.58</x:v>
      </x:c>
      <x:c r="K497" s="5" t="n">
        <x:f>0</x:f>
        <x:v>0</x:v>
      </x:c>
      <x:c r="L497" s="5" t="n">
        <x:f>Despesas!I461</x:f>
        <x:v>15804.58</x:v>
      </x:c>
      <x:c r="M497" s="5" t="n">
        <x:f>-J497</x:f>
        <x:v>-15804.58</x:v>
      </x:c>
    </x:row>
    <x:row r="498">
      <x:c r="A498" t="str">
        <x:f>"Despesa/Custo"</x:f>
        <x:v>Despesa/Custo</x:v>
      </x:c>
      <x:c r="B498" t="str">
        <x:f>Despesas!A462</x:f>
        <x:v>FRETE OBRAS</x:v>
      </x:c>
      <x:c r="C498" t="n">
        <x:f>Despesas!B462</x:f>
        <x:v>0</x:v>
      </x:c>
      <x:c r="D498" t="str">
        <x:f>Despesas!C462</x:f>
        <x:v>015367</x:v>
      </x:c>
      <x:c r="E498" t="str">
        <x:f>Despesas!D462</x:f>
        <x:v>Botosso Transporte PIX 51.158.620/0001-94</x:v>
      </x:c>
      <x:c r="F498" t="str">
        <x:f>Despesas!E462</x:f>
        <x:v>BUSCAR AIRLESS DO DEMAP</x:v>
      </x:c>
      <x:c r="G498" s="4" t="n">
        <x:f>Despesas!F462</x:f>
        <x:v>46041</x:v>
      </x:c>
      <x:c r="H498" t="str">
        <x:f>Despesas!G462</x:f>
        <x:v>ADMINISTRATIVO</x:v>
      </x:c>
      <x:c r="I498" t="str">
        <x:f>Despesas!H462</x:f>
        <x:v>10.1 - FRETE MATERIAIS E EQUIPAMENTOS</x:v>
      </x:c>
      <x:c r="J498" s="5" t="n">
        <x:f>Despesas!I462</x:f>
        <x:v>294</x:v>
      </x:c>
      <x:c r="K498" s="5" t="n">
        <x:f>0</x:f>
        <x:v>0</x:v>
      </x:c>
      <x:c r="L498" s="5" t="n">
        <x:f>Despesas!I462</x:f>
        <x:v>294</x:v>
      </x:c>
      <x:c r="M498" s="5" t="n">
        <x:f>-J498</x:f>
        <x:v>-294</x:v>
      </x:c>
    </x:row>
    <x:row r="499">
      <x:c r="A499" t="str">
        <x:f>"Despesa/Custo"</x:f>
        <x:v>Despesa/Custo</x:v>
      </x:c>
      <x:c r="B499" t="str">
        <x:f>Despesas!A463</x:f>
        <x:v>ENCOMENDA DE CATALAO</x:v>
      </x:c>
      <x:c r="C499" t="n">
        <x:f>Despesas!B463</x:f>
        <x:v>0</x:v>
      </x:c>
      <x:c r="D499" t="str">
        <x:f>Despesas!C463</x:f>
        <x:v>015368</x:v>
      </x:c>
      <x:c r="E499" t="str">
        <x:f>Despesas!D463</x:f>
        <x:v>64 9 92591215 GABRIELLE ELIAS DE FREITAS</x:v>
      </x:c>
      <x:c r="F499" t="str">
        <x:f>Despesas!E463</x:f>
        <x:v>FRETE GOIANIA X CATALAO</x:v>
      </x:c>
      <x:c r="G499" s="4" t="n">
        <x:f>Despesas!F463</x:f>
        <x:v>46041</x:v>
      </x:c>
      <x:c r="H499" t="str">
        <x:f>Despesas!G463</x:f>
        <x:v>NIOBIO CMOC CONTRATO</x:v>
      </x:c>
      <x:c r="I499" t="str">
        <x:f>Despesas!H463</x:f>
        <x:v>10.1 - FRETE MATERIAIS E EQUIPAMENTOS</x:v>
      </x:c>
      <x:c r="J499" s="5" t="n">
        <x:f>Despesas!I463</x:f>
        <x:v>180</x:v>
      </x:c>
      <x:c r="K499" s="5" t="n">
        <x:f>0</x:f>
        <x:v>0</x:v>
      </x:c>
      <x:c r="L499" s="5" t="n">
        <x:f>Despesas!I463</x:f>
        <x:v>180</x:v>
      </x:c>
      <x:c r="M499" s="5" t="n">
        <x:f>-J499</x:f>
        <x:v>-180</x:v>
      </x:c>
    </x:row>
    <x:row r="500">
      <x:c r="A500" t="str">
        <x:f>"Despesa/Custo"</x:f>
        <x:v>Despesa/Custo</x:v>
      </x:c>
      <x:c r="B500" t="str">
        <x:f>Despesas!A464</x:f>
        <x:v>VALDMAR AUGUSTO</x:v>
      </x:c>
      <x:c r="C500" t="n">
        <x:f>Despesas!B464</x:f>
        <x:v>0</x:v>
      </x:c>
      <x:c r="D500" t="str">
        <x:f>Despesas!C464</x:f>
        <x:v>015369</x:v>
      </x:c>
      <x:c r="E500" t="str">
        <x:f>Despesas!D464</x:f>
        <x:v>RESTAURANTE RECANTO DA CORUJA</x:v>
      </x:c>
      <x:c r="F500" t="str">
        <x:f>Despesas!E464</x:f>
        <x:v>REEMBOLSO VALDMAR</x:v>
      </x:c>
      <x:c r="G500" s="4" t="n">
        <x:f>Despesas!F464</x:f>
        <x:v>46041</x:v>
      </x:c>
      <x:c r="H500" t="str">
        <x:f>Despesas!G464</x:f>
        <x:v>FOSFATO CMOC CONTRAT</x:v>
      </x:c>
      <x:c r="I500" t="str">
        <x:f>Despesas!H464</x:f>
        <x:v>12.5 - REFEIÇÕES FUNCIONARIOS</x:v>
      </x:c>
      <x:c r="J500" s="5" t="n">
        <x:f>Despesas!I464</x:f>
        <x:v>120</x:v>
      </x:c>
      <x:c r="K500" s="5" t="n">
        <x:f>0</x:f>
        <x:v>0</x:v>
      </x:c>
      <x:c r="L500" s="5" t="n">
        <x:f>Despesas!I464</x:f>
        <x:v>120</x:v>
      </x:c>
      <x:c r="M500" s="5" t="n">
        <x:f>-J500</x:f>
        <x:v>-120</x:v>
      </x:c>
    </x:row>
    <x:row r="501">
      <x:c r="A501" t="str">
        <x:f>"Despesa/Custo"</x:f>
        <x:v>Despesa/Custo</x:v>
      </x:c>
      <x:c r="B501" t="str">
        <x:f>Despesas!A465</x:f>
        <x:v>DESPESAS DE VIAGEM</x:v>
      </x:c>
      <x:c r="C501" t="n">
        <x:f>Despesas!B465</x:f>
        <x:v>0</x:v>
      </x:c>
      <x:c r="D501" t="str">
        <x:f>Despesas!C465</x:f>
        <x:v>015370</x:v>
      </x:c>
      <x:c r="E501" t="str">
        <x:f>Despesas!D465</x:f>
        <x:v>DESPESAR COM VIAGENS</x:v>
      </x:c>
      <x:c r="F501" t="str">
        <x:f>Despesas!E465</x:f>
        <x:v>WADSON NEVES</x:v>
      </x:c>
      <x:c r="G501" s="4" t="n">
        <x:f>Despesas!F465</x:f>
        <x:v>46041</x:v>
      </x:c>
      <x:c r="H501" t="str">
        <x:f>Despesas!G465</x:f>
        <x:v>EUROCHEM SERRA DO SALITRE</x:v>
      </x:c>
      <x:c r="I501" t="str">
        <x:f>Despesas!H465</x:f>
        <x:v>12.9 - PASSAGENS FUNCIONARIOS</x:v>
      </x:c>
      <x:c r="J501" s="5" t="n">
        <x:f>Despesas!I465</x:f>
        <x:v>240</x:v>
      </x:c>
      <x:c r="K501" s="5" t="n">
        <x:f>0</x:f>
        <x:v>0</x:v>
      </x:c>
      <x:c r="L501" s="5" t="n">
        <x:f>Despesas!I465</x:f>
        <x:v>240</x:v>
      </x:c>
      <x:c r="M501" s="5" t="n">
        <x:f>-J501</x:f>
        <x:v>-240</x:v>
      </x:c>
    </x:row>
    <x:row r="502">
      <x:c r="A502" t="str">
        <x:f>"Despesa/Custo"</x:f>
        <x:v>Despesa/Custo</x:v>
      </x:c>
      <x:c r="B502" t="str">
        <x:f>Despesas!A466</x:f>
        <x:v>SH LOCACAO DE ANDAIMES</x:v>
      </x:c>
      <x:c r="C502" t="str">
        <x:f>Despesas!B466</x:f>
        <x:v>60126</x:v>
      </x:c>
      <x:c r="D502" t="str">
        <x:f>Despesas!C466</x:f>
        <x:v>015371</x:v>
      </x:c>
      <x:c r="E502" t="str">
        <x:f>Despesas!D466</x:f>
        <x:v>SH LOCAÇÕES DE ANDAIMES</x:v>
      </x:c>
      <x:c r="F502" t="str">
        <x:f>Despesas!E466</x:f>
        <x:v>VENCIMENTO 21/01</x:v>
      </x:c>
      <x:c r="G502" s="4" t="n">
        <x:f>Despesas!F466</x:f>
        <x:v>46041</x:v>
      </x:c>
      <x:c r="H502" t="str">
        <x:f>Despesas!G466</x:f>
        <x:v>VLI PINTURA</x:v>
      </x:c>
      <x:c r="I502" t="str">
        <x:f>Despesas!H466</x:f>
        <x:v>7.7 - LOCAÇÃO ANDAIMES</x:v>
      </x:c>
      <x:c r="J502" s="5" t="n">
        <x:f>Despesas!I466</x:f>
        <x:v>27393.98</x:v>
      </x:c>
      <x:c r="K502" s="5" t="n">
        <x:f>0</x:f>
        <x:v>0</x:v>
      </x:c>
      <x:c r="L502" s="5" t="n">
        <x:f>Despesas!I466</x:f>
        <x:v>27393.98</x:v>
      </x:c>
      <x:c r="M502" s="5" t="n">
        <x:f>-J502</x:f>
        <x:v>-27393.98</x:v>
      </x:c>
    </x:row>
    <x:row r="503">
      <x:c r="A503" t="str">
        <x:f>"Despesa/Custo"</x:f>
        <x:v>Despesa/Custo</x:v>
      </x:c>
      <x:c r="B503" t="str">
        <x:f>Despesas!A467</x:f>
        <x:v>VALDMAR AUGUSTO</x:v>
      </x:c>
      <x:c r="C503" t="n">
        <x:f>Despesas!B467</x:f>
        <x:v>0</x:v>
      </x:c>
      <x:c r="D503" t="str">
        <x:f>Despesas!C467</x:f>
        <x:v>015372</x:v>
      </x:c>
      <x:c r="E503" t="str">
        <x:f>Despesas!D467</x:f>
        <x:v>DESPESAS VISITAR EUROCHEM</x:v>
      </x:c>
      <x:c r="F503" t="str">
        <x:f>Despesas!E467</x:f>
        <x:v>REEMBOLSO VALDMAR</x:v>
      </x:c>
      <x:c r="G503" s="4" t="n">
        <x:f>Despesas!F467</x:f>
        <x:v>46041</x:v>
      </x:c>
      <x:c r="H503" t="str">
        <x:f>Despesas!G467</x:f>
        <x:v>EUROCHEM SERRA DO SALITRE</x:v>
      </x:c>
      <x:c r="I503" t="str">
        <x:f>Despesas!H467</x:f>
        <x:v>12.5 - REFEIÇÕES FUNCIONARIOS</x:v>
      </x:c>
      <x:c r="J503" s="5" t="n">
        <x:f>Despesas!I467</x:f>
        <x:v>30</x:v>
      </x:c>
      <x:c r="K503" s="5" t="n">
        <x:f>0</x:f>
        <x:v>0</x:v>
      </x:c>
      <x:c r="L503" s="5" t="n">
        <x:f>Despesas!I467</x:f>
        <x:v>30</x:v>
      </x:c>
      <x:c r="M503" s="5" t="n">
        <x:f>-J503</x:f>
        <x:v>-30</x:v>
      </x:c>
    </x:row>
    <x:row r="504">
      <x:c r="A504" t="str">
        <x:f>"Despesa/Custo"</x:f>
        <x:v>Despesa/Custo</x:v>
      </x:c>
      <x:c r="B504" t="str">
        <x:f>Despesas!A468</x:f>
        <x:v>VALDMAR AUGUSTO</x:v>
      </x:c>
      <x:c r="C504" t="n">
        <x:f>Despesas!B468</x:f>
        <x:v>0</x:v>
      </x:c>
      <x:c r="D504" t="str">
        <x:f>Despesas!C468</x:f>
        <x:v>015372</x:v>
      </x:c>
      <x:c r="E504" t="str">
        <x:f>Despesas!D468</x:f>
        <x:v>DESPESAS VISITAR EUROCHEM</x:v>
      </x:c>
      <x:c r="F504" t="str">
        <x:f>Despesas!E468</x:f>
        <x:v>REEMBOLSO VALDMAR</x:v>
      </x:c>
      <x:c r="G504" s="4" t="n">
        <x:f>Despesas!F468</x:f>
        <x:v>46041</x:v>
      </x:c>
      <x:c r="H504" t="str">
        <x:f>Despesas!G468</x:f>
        <x:v>EUROCHEM SERRA DO SALITRE</x:v>
      </x:c>
      <x:c r="I504" t="str">
        <x:f>Despesas!H468</x:f>
        <x:v>6.4 - COMBUSTIVEL VEICULOS</x:v>
      </x:c>
      <x:c r="J504" s="5" t="n">
        <x:f>Despesas!I468</x:f>
        <x:v>100</x:v>
      </x:c>
      <x:c r="K504" s="5" t="n">
        <x:f>0</x:f>
        <x:v>0</x:v>
      </x:c>
      <x:c r="L504" s="5" t="n">
        <x:f>Despesas!I468</x:f>
        <x:v>100</x:v>
      </x:c>
      <x:c r="M504" s="5" t="n">
        <x:f>-J504</x:f>
        <x:v>-100</x:v>
      </x:c>
    </x:row>
    <x:row r="505">
      <x:c r="A505" t="str">
        <x:f>"Despesa/Custo"</x:f>
        <x:v>Despesa/Custo</x:v>
      </x:c>
      <x:c r="B505" t="str">
        <x:f>Despesas!A469</x:f>
        <x:v>FERREIRA NUNES LAVANDERIA LTDA</x:v>
      </x:c>
      <x:c r="C505" t="str">
        <x:f>Despesas!B469</x:f>
        <x:v>66</x:v>
      </x:c>
      <x:c r="D505" t="str">
        <x:f>Despesas!C469</x:f>
        <x:v>015373</x:v>
      </x:c>
      <x:c r="E505" t="str">
        <x:f>Despesas!D469</x:f>
        <x:v>ELAV LAVANDERIA</x:v>
      </x:c>
      <x:c r="F505" t="str">
        <x:f>Despesas!E469</x:f>
        <x:v>SERVIÇO DE LAVANDERIA</x:v>
      </x:c>
      <x:c r="G505" s="4" t="n">
        <x:f>Despesas!F469</x:f>
        <x:v>46041</x:v>
      </x:c>
      <x:c r="H505" t="str">
        <x:f>Despesas!G469</x:f>
        <x:v>CONDUTOS UG 1 - ELETROBRAS</x:v>
      </x:c>
      <x:c r="I505" t="str">
        <x:f>Despesas!H469</x:f>
        <x:v>5.2 - LAVANDERIA</x:v>
      </x:c>
      <x:c r="J505" s="5" t="n">
        <x:f>Despesas!I469</x:f>
        <x:v>391</x:v>
      </x:c>
      <x:c r="K505" s="5" t="n">
        <x:f>0</x:f>
        <x:v>0</x:v>
      </x:c>
      <x:c r="L505" s="5" t="n">
        <x:f>Despesas!I469</x:f>
        <x:v>391</x:v>
      </x:c>
      <x:c r="M505" s="5" t="n">
        <x:f>-J505</x:f>
        <x:v>-391</x:v>
      </x:c>
    </x:row>
    <x:row r="506">
      <x:c r="A506" t="str">
        <x:f>"Despesa/Custo"</x:f>
        <x:v>Despesa/Custo</x:v>
      </x:c>
      <x:c r="B506" t="str">
        <x:f>Despesas!A470</x:f>
        <x:v>PAPELARIA TRIBUTARIA LTDA</x:v>
      </x:c>
      <x:c r="C506" t="str">
        <x:f>Despesas!B470</x:f>
        <x:v>799088</x:v>
      </x:c>
      <x:c r="D506" t="str">
        <x:f>Despesas!C470</x:f>
        <x:v>015374</x:v>
      </x:c>
      <x:c r="E506" t="str">
        <x:f>Despesas!D470</x:f>
        <x:v>MATERIAIS DE ESCRITÓRIO</x:v>
      </x:c>
      <x:c r="F506" t="str">
        <x:f>Despesas!E470</x:f>
        <x:v>VENCIMENTO ORIGINAL DOS BOLETOS 15/02 E 17/03</x:v>
      </x:c>
      <x:c r="G506" s="4" t="n">
        <x:f>Despesas!F470</x:f>
        <x:v>46041</x:v>
      </x:c>
      <x:c r="H506" t="str">
        <x:f>Despesas!G470</x:f>
        <x:v>ANGLO AMERICAN</x:v>
      </x:c>
      <x:c r="I506" t="str">
        <x:f>Despesas!H470</x:f>
        <x:v>8.10 - MATERIAS DE ESCRITORIO</x:v>
      </x:c>
      <x:c r="J506" s="5" t="n">
        <x:f>Despesas!I470</x:f>
        <x:v>151.3</x:v>
      </x:c>
      <x:c r="K506" s="5" t="n">
        <x:f>0</x:f>
        <x:v>0</x:v>
      </x:c>
      <x:c r="L506" s="5" t="n">
        <x:f>Despesas!I470</x:f>
        <x:v>151.3</x:v>
      </x:c>
      <x:c r="M506" s="5" t="n">
        <x:f>-J506</x:f>
        <x:v>-151.3</x:v>
      </x:c>
    </x:row>
    <x:row r="507">
      <x:c r="A507" t="str">
        <x:f>"Despesa/Custo"</x:f>
        <x:v>Despesa/Custo</x:v>
      </x:c>
      <x:c r="B507" t="str">
        <x:f>Despesas!A471</x:f>
        <x:v>PAPELARIA TRIBUTARIA LTDA</x:v>
      </x:c>
      <x:c r="C507" t="str">
        <x:f>Despesas!B471</x:f>
        <x:v>799088</x:v>
      </x:c>
      <x:c r="D507" t="str">
        <x:f>Despesas!C471</x:f>
        <x:v>015374</x:v>
      </x:c>
      <x:c r="E507" t="str">
        <x:f>Despesas!D471</x:f>
        <x:v>MATERIAIS DE ESCRITÓRIO</x:v>
      </x:c>
      <x:c r="F507" t="str">
        <x:f>Despesas!E471</x:f>
        <x:v>VENCIMENTO ORIGINAL DOS BOLETOS 15/02 E 17/03</x:v>
      </x:c>
      <x:c r="G507" s="4" t="n">
        <x:f>Despesas!F471</x:f>
        <x:v>46041</x:v>
      </x:c>
      <x:c r="H507" t="str">
        <x:f>Despesas!G471</x:f>
        <x:v>ANGLO AMERICAN</x:v>
      </x:c>
      <x:c r="I507" t="str">
        <x:f>Despesas!H471</x:f>
        <x:v>8.10 - MATERIAS DE ESCRITORIO</x:v>
      </x:c>
      <x:c r="J507" s="5" t="n">
        <x:f>Despesas!I471</x:f>
        <x:v>151.3</x:v>
      </x:c>
      <x:c r="K507" s="5" t="n">
        <x:f>0</x:f>
        <x:v>0</x:v>
      </x:c>
      <x:c r="L507" s="5" t="n">
        <x:f>Despesas!I471</x:f>
        <x:v>151.3</x:v>
      </x:c>
      <x:c r="M507" s="5" t="n">
        <x:f>-J507</x:f>
        <x:v>-151.3</x:v>
      </x:c>
    </x:row>
    <x:row r="508">
      <x:c r="A508" t="str">
        <x:f>"Despesa/Custo"</x:f>
        <x:v>Despesa/Custo</x:v>
      </x:c>
      <x:c r="B508" t="str">
        <x:f>Despesas!A472</x:f>
        <x:v>PAPELARIA TRIBUTARIA LTDA</x:v>
      </x:c>
      <x:c r="C508" t="str">
        <x:f>Despesas!B472</x:f>
        <x:v>799089</x:v>
      </x:c>
      <x:c r="D508" t="str">
        <x:f>Despesas!C472</x:f>
        <x:v>015375</x:v>
      </x:c>
      <x:c r="E508" t="str">
        <x:f>Despesas!D472</x:f>
        <x:v>MATERIAS DE ESCRITÓRIO</x:v>
      </x:c>
      <x:c r="F508" t="str">
        <x:f>Despesas!E472</x:f>
        <x:v>VENCIMENTO ORIGINAL DO BOLETO 15/02/26</x:v>
      </x:c>
      <x:c r="G508" s="4" t="n">
        <x:f>Despesas!F472</x:f>
        <x:v>46041</x:v>
      </x:c>
      <x:c r="H508" t="str">
        <x:f>Despesas!G472</x:f>
        <x:v>CONTRATO 02 ANOS MINERAÇÃO SERRA VERDE</x:v>
      </x:c>
      <x:c r="I508" t="str">
        <x:f>Despesas!H472</x:f>
        <x:v>8.10 - MATERIAS DE ESCRITORIO</x:v>
      </x:c>
      <x:c r="J508" s="5" t="n">
        <x:f>Despesas!I472</x:f>
        <x:v>140.8</x:v>
      </x:c>
      <x:c r="K508" s="5" t="n">
        <x:f>0</x:f>
        <x:v>0</x:v>
      </x:c>
      <x:c r="L508" s="5" t="n">
        <x:f>Despesas!I472</x:f>
        <x:v>140.8</x:v>
      </x:c>
      <x:c r="M508" s="5" t="n">
        <x:f>-J508</x:f>
        <x:v>-140.8</x:v>
      </x:c>
    </x:row>
    <x:row r="509">
      <x:c r="A509" t="str">
        <x:f>"Despesa/Custo"</x:f>
        <x:v>Despesa/Custo</x:v>
      </x:c>
      <x:c r="B509" t="str">
        <x:f>Despesas!A473</x:f>
        <x:v>PAPELARIA TRIBUTARIA LTDA</x:v>
      </x:c>
      <x:c r="C509" t="str">
        <x:f>Despesas!B473</x:f>
        <x:v>799090</x:v>
      </x:c>
      <x:c r="D509" t="str">
        <x:f>Despesas!C473</x:f>
        <x:v>015376</x:v>
      </x:c>
      <x:c r="E509" t="str">
        <x:f>Despesas!D473</x:f>
        <x:v>MATERIAIS DE ESCRITORIO</x:v>
      </x:c>
      <x:c r="F509" t="str">
        <x:f>Despesas!E473</x:f>
        <x:v>VENCIMENTO ORIGINAL DOS BOLETOS 15/02 E 17/03</x:v>
      </x:c>
      <x:c r="G509" s="4" t="n">
        <x:f>Despesas!F473</x:f>
        <x:v>46041</x:v>
      </x:c>
      <x:c r="H509" t="str">
        <x:f>Despesas!G473</x:f>
        <x:v>ADMINISTRATIVO</x:v>
      </x:c>
      <x:c r="I509" t="str">
        <x:f>Despesas!H473</x:f>
        <x:v>8.10 - MATERIAS DE ESCRITORIO</x:v>
      </x:c>
      <x:c r="J509" s="5" t="n">
        <x:f>Despesas!I473</x:f>
        <x:v>157.46</x:v>
      </x:c>
      <x:c r="K509" s="5" t="n">
        <x:f>0</x:f>
        <x:v>0</x:v>
      </x:c>
      <x:c r="L509" s="5" t="n">
        <x:f>Despesas!I473</x:f>
        <x:v>157.46</x:v>
      </x:c>
      <x:c r="M509" s="5" t="n">
        <x:f>-J509</x:f>
        <x:v>-157.46</x:v>
      </x:c>
    </x:row>
    <x:row r="510">
      <x:c r="A510" t="str">
        <x:f>"Despesa/Custo"</x:f>
        <x:v>Despesa/Custo</x:v>
      </x:c>
      <x:c r="B510" t="str">
        <x:f>Despesas!A474</x:f>
        <x:v>PAPELARIA TRIBUTARIA LTDA</x:v>
      </x:c>
      <x:c r="C510" t="str">
        <x:f>Despesas!B474</x:f>
        <x:v>799090</x:v>
      </x:c>
      <x:c r="D510" t="str">
        <x:f>Despesas!C474</x:f>
        <x:v>015376</x:v>
      </x:c>
      <x:c r="E510" t="str">
        <x:f>Despesas!D474</x:f>
        <x:v>MATERIAIS DE ESCRITORIO</x:v>
      </x:c>
      <x:c r="F510" t="str">
        <x:f>Despesas!E474</x:f>
        <x:v>VENCIMENTO ORIGINAL DOS BOLETOS 15/02 E 17/03</x:v>
      </x:c>
      <x:c r="G510" s="4" t="n">
        <x:f>Despesas!F474</x:f>
        <x:v>46041</x:v>
      </x:c>
      <x:c r="H510" t="str">
        <x:f>Despesas!G474</x:f>
        <x:v>ADMINISTRATIVO</x:v>
      </x:c>
      <x:c r="I510" t="str">
        <x:f>Despesas!H474</x:f>
        <x:v>8.10 - MATERIAS DE ESCRITORIO</x:v>
      </x:c>
      <x:c r="J510" s="5" t="n">
        <x:f>Despesas!I474</x:f>
        <x:v>157.46</x:v>
      </x:c>
      <x:c r="K510" s="5" t="n">
        <x:f>0</x:f>
        <x:v>0</x:v>
      </x:c>
      <x:c r="L510" s="5" t="n">
        <x:f>Despesas!I474</x:f>
        <x:v>157.46</x:v>
      </x:c>
      <x:c r="M510" s="5" t="n">
        <x:f>-J510</x:f>
        <x:v>-157.46</x:v>
      </x:c>
    </x:row>
    <x:row r="511">
      <x:c r="A511" t="str">
        <x:f>"Despesa/Custo"</x:f>
        <x:v>Despesa/Custo</x:v>
      </x:c>
      <x:c r="B511" t="str">
        <x:f>Despesas!A475</x:f>
        <x:v>EMPRESTIMO CONSIGNADO - FGTS</x:v>
      </x:c>
      <x:c r="C511" t="n">
        <x:f>Despesas!B475</x:f>
        <x:v>0</x:v>
      </x:c>
      <x:c r="D511" t="str">
        <x:f>Despesas!C475</x:f>
        <x:v>015378</x:v>
      </x:c>
      <x:c r="E511" t="str">
        <x:f>Despesas!D475</x:f>
        <x:v>GDF</x:v>
      </x:c>
      <x:c r="F511" t="str">
        <x:f>Despesas!E475</x:f>
        <x:v>ALISSON MELO TORRES</x:v>
      </x:c>
      <x:c r="G511" s="4" t="n">
        <x:f>Despesas!F475</x:f>
        <x:v>46041</x:v>
      </x:c>
      <x:c r="H511" t="str">
        <x:f>Despesas!G475</x:f>
        <x:v>MOSAIC UBERABA CONTRAT0 3 ANOS</x:v>
      </x:c>
      <x:c r="I511" t="str">
        <x:f>Despesas!H475</x:f>
        <x:v>12.1 - SALARIO</x:v>
      </x:c>
      <x:c r="J511" s="5" t="n">
        <x:f>Despesas!I475</x:f>
        <x:v>259.29</x:v>
      </x:c>
      <x:c r="K511" s="5" t="n">
        <x:f>0</x:f>
        <x:v>0</x:v>
      </x:c>
      <x:c r="L511" s="5" t="n">
        <x:f>Despesas!I475</x:f>
        <x:v>259.29</x:v>
      </x:c>
      <x:c r="M511" s="5" t="n">
        <x:f>-J511</x:f>
        <x:v>-259.29</x:v>
      </x:c>
    </x:row>
    <x:row r="512">
      <x:c r="A512" t="str">
        <x:f>"Despesa/Custo"</x:f>
        <x:v>Despesa/Custo</x:v>
      </x:c>
      <x:c r="B512" t="str">
        <x:f>Despesas!A476</x:f>
        <x:v>RESCISOES / FGTS</x:v>
      </x:c>
      <x:c r="C512" t="n">
        <x:f>Despesas!B476</x:f>
        <x:v>0</x:v>
      </x:c>
      <x:c r="D512" t="str">
        <x:f>Despesas!C476</x:f>
        <x:v>015379</x:v>
      </x:c>
      <x:c r="E512" t="str">
        <x:f>Despesas!D476</x:f>
        <x:v>FGTS RECISORIO</x:v>
      </x:c>
      <x:c r="F512" t="str">
        <x:f>Despesas!E476</x:f>
        <x:v>ALISSON MELO TORRES</x:v>
      </x:c>
      <x:c r="G512" s="4" t="n">
        <x:f>Despesas!F476</x:f>
        <x:v>46041</x:v>
      </x:c>
      <x:c r="H512" t="str">
        <x:f>Despesas!G476</x:f>
        <x:v>MOSAIC UBERABA CONTRAT0 3 ANOS</x:v>
      </x:c>
      <x:c r="I512" t="str">
        <x:f>Despesas!H476</x:f>
        <x:v>12.4 - MULTA RESCISORIAS FGTS</x:v>
      </x:c>
      <x:c r="J512" s="5" t="n">
        <x:f>Despesas!I476</x:f>
        <x:v>2214.24</x:v>
      </x:c>
      <x:c r="K512" s="5" t="n">
        <x:f>0</x:f>
        <x:v>0</x:v>
      </x:c>
      <x:c r="L512" s="5" t="n">
        <x:f>Despesas!I476</x:f>
        <x:v>2214.24</x:v>
      </x:c>
      <x:c r="M512" s="5" t="n">
        <x:f>-J512</x:f>
        <x:v>-2214.24</x:v>
      </x:c>
    </x:row>
    <x:row r="513">
      <x:c r="A513" t="str">
        <x:f>"Despesa/Custo"</x:f>
        <x:v>Despesa/Custo</x:v>
      </x:c>
      <x:c r="B513" t="str">
        <x:f>Despesas!A477</x:f>
        <x:v>SAO JOSE COMERCIO DE EMBALAGENS LTDA</x:v>
      </x:c>
      <x:c r="C513" t="str">
        <x:f>Despesas!B477</x:f>
        <x:v>40646</x:v>
      </x:c>
      <x:c r="D513" t="str">
        <x:f>Despesas!C477</x:f>
        <x:v>015380</x:v>
      </x:c>
      <x:c r="E513" t="str">
        <x:f>Despesas!D477</x:f>
        <x:v>MAIS DISTRIBUIDORA</x:v>
      </x:c>
      <x:c r="F513" t="str">
        <x:f>Despesas!E477</x:f>
        <x:v>CAIXA ALMOXARIFADO</x:v>
      </x:c>
      <x:c r="G513" s="4" t="n">
        <x:f>Despesas!F477</x:f>
        <x:v>46041</x:v>
      </x:c>
      <x:c r="H513" t="str">
        <x:f>Despesas!G477</x:f>
        <x:v>ADMINISTRATIVO</x:v>
      </x:c>
      <x:c r="I513" t="str">
        <x:f>Despesas!H477</x:f>
        <x:v>8.9 - MATERIAIS DE CONSUMO EM OBRAS</x:v>
      </x:c>
      <x:c r="J513" s="5" t="n">
        <x:f>Despesas!I477</x:f>
        <x:v>214.6</x:v>
      </x:c>
      <x:c r="K513" s="5" t="n">
        <x:f>0</x:f>
        <x:v>0</x:v>
      </x:c>
      <x:c r="L513" s="5" t="n">
        <x:f>Despesas!I477</x:f>
        <x:v>214.6</x:v>
      </x:c>
      <x:c r="M513" s="5" t="n">
        <x:f>-J513</x:f>
        <x:v>-214.6</x:v>
      </x:c>
    </x:row>
    <x:row r="514">
      <x:c r="A514" t="str">
        <x:f>"Despesa/Custo"</x:f>
        <x:v>Despesa/Custo</x:v>
      </x:c>
      <x:c r="B514" t="str">
        <x:f>Despesas!A478</x:f>
        <x:v>SAO JOSE COMERCIO DE EMBALAGENS LTDA</x:v>
      </x:c>
      <x:c r="C514" t="str">
        <x:f>Despesas!B478</x:f>
        <x:v>40645</x:v>
      </x:c>
      <x:c r="D514" t="str">
        <x:f>Despesas!C478</x:f>
        <x:v>015381</x:v>
      </x:c>
      <x:c r="E514" t="str">
        <x:f>Despesas!D478</x:f>
        <x:v>MAIS DISTRIBUIDORA</x:v>
      </x:c>
      <x:c r="F514" t="str">
        <x:f>Despesas!E478</x:f>
        <x:v>MATERIAIS DE LIMPEZA</x:v>
      </x:c>
      <x:c r="G514" s="4" t="n">
        <x:f>Despesas!F478</x:f>
        <x:v>46041</x:v>
      </x:c>
      <x:c r="H514" t="str">
        <x:f>Despesas!G478</x:f>
        <x:v>CONTRATO 02 ANOS MINERAÇÃO SERRA VERDE</x:v>
      </x:c>
      <x:c r="I514" t="str">
        <x:f>Despesas!H478</x:f>
        <x:v>8.9 - MATERIAIS DE CONSUMO EM OBRAS</x:v>
      </x:c>
      <x:c r="J514" s="5" t="n">
        <x:f>Despesas!I478</x:f>
        <x:v>160.9</x:v>
      </x:c>
      <x:c r="K514" s="5" t="n">
        <x:f>0</x:f>
        <x:v>0</x:v>
      </x:c>
      <x:c r="L514" s="5" t="n">
        <x:f>Despesas!I478</x:f>
        <x:v>160.9</x:v>
      </x:c>
      <x:c r="M514" s="5" t="n">
        <x:f>-J514</x:f>
        <x:v>-160.9</x:v>
      </x:c>
    </x:row>
    <x:row r="515">
      <x:c r="A515" t="str">
        <x:f>"Despesa/Custo"</x:f>
        <x:v>Despesa/Custo</x:v>
      </x:c>
      <x:c r="B515" t="str">
        <x:f>Despesas!A479</x:f>
        <x:v>MERCADO</x:v>
      </x:c>
      <x:c r="C515" t="n">
        <x:f>Despesas!B479</x:f>
        <x:v>0</x:v>
      </x:c>
      <x:c r="D515" t="str">
        <x:f>Despesas!C479</x:f>
        <x:v>015382</x:v>
      </x:c>
      <x:c r="E515" t="str">
        <x:f>Despesas!D479</x:f>
        <x:v>GUTHIERE FERNANDES SUPERMERCAO</x:v>
      </x:c>
      <x:c r="F515" t="str">
        <x:f>Despesas!E479</x:f>
        <x:v>MATERIAIS DE LIMPEZA ADM</x:v>
      </x:c>
      <x:c r="G515" s="4" t="n">
        <x:f>Despesas!F479</x:f>
        <x:v>46041</x:v>
      </x:c>
      <x:c r="H515" t="str">
        <x:f>Despesas!G479</x:f>
        <x:v>ADMINISTRATIVO</x:v>
      </x:c>
      <x:c r="I515" t="str">
        <x:f>Despesas!H479</x:f>
        <x:v>8.11 - MATERIAIS DE LIMPEZA / HIGIENE</x:v>
      </x:c>
      <x:c r="J515" s="5" t="n">
        <x:f>Despesas!I479</x:f>
        <x:v>345.46</x:v>
      </x:c>
      <x:c r="K515" s="5" t="n">
        <x:f>0</x:f>
        <x:v>0</x:v>
      </x:c>
      <x:c r="L515" s="5" t="n">
        <x:f>Despesas!I479</x:f>
        <x:v>345.46</x:v>
      </x:c>
      <x:c r="M515" s="5" t="n">
        <x:f>-J515</x:f>
        <x:v>-345.46</x:v>
      </x:c>
    </x:row>
    <x:row r="516">
      <x:c r="A516" t="str">
        <x:f>"Despesa/Custo"</x:f>
        <x:v>Despesa/Custo</x:v>
      </x:c>
      <x:c r="B516" t="str">
        <x:f>Despesas!A480</x:f>
        <x:v>NEOBETEL EPI, EQUIPAMENTOS DE PROTECAO INDIVIDUAL LTDA</x:v>
      </x:c>
      <x:c r="C516" t="str">
        <x:f>Despesas!B480</x:f>
        <x:v>60644</x:v>
      </x:c>
      <x:c r="D516" t="str">
        <x:f>Despesas!C480</x:f>
        <x:v>015383</x:v>
      </x:c>
      <x:c r="E516" t="str">
        <x:f>Despesas!D480</x:f>
        <x:v>EPIS NEOBETEL</x:v>
      </x:c>
      <x:c r="F516" t="str">
        <x:f>Despesas!E480</x:f>
        <x:v>PIS FOSFATO CATALÃO</x:v>
      </x:c>
      <x:c r="G516" s="4" t="n">
        <x:f>Despesas!F480</x:f>
        <x:v>46041</x:v>
      </x:c>
      <x:c r="H516" t="str">
        <x:f>Despesas!G480</x:f>
        <x:v>FOSFATO CMOC CONTRAT</x:v>
      </x:c>
      <x:c r="I516" t="str">
        <x:f>Despesas!H480</x:f>
        <x:v>13.1 - EPIS</x:v>
      </x:c>
      <x:c r="J516" s="5" t="n">
        <x:f>Despesas!I480</x:f>
        <x:v>1258.71</x:v>
      </x:c>
      <x:c r="K516" s="5" t="n">
        <x:f>0</x:f>
        <x:v>0</x:v>
      </x:c>
      <x:c r="L516" s="5" t="n">
        <x:f>Despesas!I480</x:f>
        <x:v>1258.71</x:v>
      </x:c>
      <x:c r="M516" s="5" t="n">
        <x:f>-J516</x:f>
        <x:v>-1258.71</x:v>
      </x:c>
    </x:row>
    <x:row r="517">
      <x:c r="A517" t="str">
        <x:f>"Despesa/Custo"</x:f>
        <x:v>Despesa/Custo</x:v>
      </x:c>
      <x:c r="B517" t="str">
        <x:f>Despesas!A481</x:f>
        <x:v>NEOBETEL EPI, EQUIPAMENTOS DE PROTECAO INDIVIDUAL LTDA</x:v>
      </x:c>
      <x:c r="C517" t="str">
        <x:f>Despesas!B481</x:f>
        <x:v>60645</x:v>
      </x:c>
      <x:c r="D517" t="str">
        <x:f>Despesas!C481</x:f>
        <x:v>015384</x:v>
      </x:c>
      <x:c r="E517" t="str">
        <x:f>Despesas!D481</x:f>
        <x:v>NEOBETEL EPI</x:v>
      </x:c>
      <x:c r="F517" t="str">
        <x:f>Despesas!E481</x:f>
        <x:v>EPIS ALMOXARIFADO</x:v>
      </x:c>
      <x:c r="G517" s="4" t="n">
        <x:f>Despesas!F481</x:f>
        <x:v>46041</x:v>
      </x:c>
      <x:c r="H517" t="str">
        <x:f>Despesas!G481</x:f>
        <x:v>CANTEIRO TRINDADE</x:v>
      </x:c>
      <x:c r="I517" t="str">
        <x:f>Despesas!H481</x:f>
        <x:v>13.1 - EPIS</x:v>
      </x:c>
      <x:c r="J517" s="5" t="n">
        <x:f>Despesas!I481</x:f>
        <x:v>285</x:v>
      </x:c>
      <x:c r="K517" s="5" t="n">
        <x:f>0</x:f>
        <x:v>0</x:v>
      </x:c>
      <x:c r="L517" s="5" t="n">
        <x:f>Despesas!I481</x:f>
        <x:v>285</x:v>
      </x:c>
      <x:c r="M517" s="5" t="n">
        <x:f>-J517</x:f>
        <x:v>-285</x:v>
      </x:c>
    </x:row>
    <x:row r="518">
      <x:c r="A518" t="str">
        <x:f>"Despesa/Custo"</x:f>
        <x:v>Despesa/Custo</x:v>
      </x:c>
      <x:c r="B518" t="str">
        <x:f>Despesas!A482</x:f>
        <x:v>NEOBETEL EPI, EQUIPAMENTOS DE PROTECAO INDIVIDUAL LTDA</x:v>
      </x:c>
      <x:c r="C518" t="str">
        <x:f>Despesas!B482</x:f>
        <x:v>60642</x:v>
      </x:c>
      <x:c r="D518" t="str">
        <x:f>Despesas!C482</x:f>
        <x:v>015385</x:v>
      </x:c>
      <x:c r="E518" t="str">
        <x:f>Despesas!D482</x:f>
        <x:v>NEOBETEL EPI</x:v>
      </x:c>
      <x:c r="F518" t="str">
        <x:f>Despesas!E482</x:f>
        <x:v>EPI ANGLO AMERICAN</x:v>
      </x:c>
      <x:c r="G518" s="4" t="n">
        <x:f>Despesas!F482</x:f>
        <x:v>46041</x:v>
      </x:c>
      <x:c r="H518" t="str">
        <x:f>Despesas!G482</x:f>
        <x:v>ANGLO AMERICAN</x:v>
      </x:c>
      <x:c r="I518" t="str">
        <x:f>Despesas!H482</x:f>
        <x:v>13.1 - EPIS</x:v>
      </x:c>
      <x:c r="J518" s="5" t="n">
        <x:f>Despesas!I482</x:f>
        <x:v>1348.5</x:v>
      </x:c>
      <x:c r="K518" s="5" t="n">
        <x:f>0</x:f>
        <x:v>0</x:v>
      </x:c>
      <x:c r="L518" s="5" t="n">
        <x:f>Despesas!I482</x:f>
        <x:v>1348.5</x:v>
      </x:c>
      <x:c r="M518" s="5" t="n">
        <x:f>-J518</x:f>
        <x:v>-1348.5</x:v>
      </x:c>
    </x:row>
    <x:row r="519">
      <x:c r="A519" t="str">
        <x:f>"Despesa/Custo"</x:f>
        <x:v>Despesa/Custo</x:v>
      </x:c>
      <x:c r="B519" t="str">
        <x:f>Despesas!A483</x:f>
        <x:v>NEOBETEL EPI, EQUIPAMENTOS DE PROTECAO INDIVIDUAL LTDA</x:v>
      </x:c>
      <x:c r="C519" t="str">
        <x:f>Despesas!B483</x:f>
        <x:v>60642</x:v>
      </x:c>
      <x:c r="D519" t="str">
        <x:f>Despesas!C483</x:f>
        <x:v>015385</x:v>
      </x:c>
      <x:c r="E519" t="str">
        <x:f>Despesas!D483</x:f>
        <x:v>NEOBETEL EPI</x:v>
      </x:c>
      <x:c r="F519" t="str">
        <x:f>Despesas!E483</x:f>
        <x:v>EPI ANGLO AMERICAN</x:v>
      </x:c>
      <x:c r="G519" s="4" t="n">
        <x:f>Despesas!F483</x:f>
        <x:v>46041</x:v>
      </x:c>
      <x:c r="H519" t="str">
        <x:f>Despesas!G483</x:f>
        <x:v>ANGLO AMERICAN</x:v>
      </x:c>
      <x:c r="I519" t="str">
        <x:f>Despesas!H483</x:f>
        <x:v>13.1 - EPIS</x:v>
      </x:c>
      <x:c r="J519" s="5" t="n">
        <x:f>Despesas!I483</x:f>
        <x:v>1348.5</x:v>
      </x:c>
      <x:c r="K519" s="5" t="n">
        <x:f>0</x:f>
        <x:v>0</x:v>
      </x:c>
      <x:c r="L519" s="5" t="n">
        <x:f>Despesas!I483</x:f>
        <x:v>1348.5</x:v>
      </x:c>
      <x:c r="M519" s="5" t="n">
        <x:f>-J519</x:f>
        <x:v>-1348.5</x:v>
      </x:c>
    </x:row>
    <x:row r="520">
      <x:c r="A520" t="str">
        <x:f>"Despesa/Custo"</x:f>
        <x:v>Despesa/Custo</x:v>
      </x:c>
      <x:c r="B520" t="str">
        <x:f>Despesas!A484</x:f>
        <x:v>DEMEP COMERCIAL LTDA</x:v>
      </x:c>
      <x:c r="C520" t="str">
        <x:f>Despesas!B484</x:f>
        <x:v>88</x:v>
      </x:c>
      <x:c r="D520" t="str">
        <x:f>Despesas!C484</x:f>
        <x:v>015386</x:v>
      </x:c>
      <x:c r="E520" t="str">
        <x:f>Despesas!D484</x:f>
        <x:v>DEMEP AIRLESS</x:v>
      </x:c>
      <x:c r="F520" t="str">
        <x:f>Despesas!E484</x:f>
        <x:v>PIX: 62985447000</x:v>
      </x:c>
      <x:c r="G520" s="4" t="n">
        <x:f>Despesas!F484</x:f>
        <x:v>46041</x:v>
      </x:c>
      <x:c r="H520" t="str">
        <x:f>Despesas!G484</x:f>
        <x:v>CONDUTOS UG 1 - ELETROBRAS</x:v>
      </x:c>
      <x:c r="I520" t="str">
        <x:f>Despesas!H484</x:f>
        <x:v>8.14 - MANUTENÇÃO/PEÇAS MAQUINAS E EQUIPAMENTOS</x:v>
      </x:c>
      <x:c r="J520" s="5" t="n">
        <x:f>Despesas!I484</x:f>
        <x:v>4556.68</x:v>
      </x:c>
      <x:c r="K520" s="5" t="n">
        <x:f>0</x:f>
        <x:v>0</x:v>
      </x:c>
      <x:c r="L520" s="5" t="n">
        <x:f>Despesas!I484</x:f>
        <x:v>4556.68</x:v>
      </x:c>
      <x:c r="M520" s="5" t="n">
        <x:f>-J520</x:f>
        <x:v>-4556.68</x:v>
      </x:c>
    </x:row>
    <x:row r="521">
      <x:c r="A521" t="str">
        <x:f>"Despesa/Custo"</x:f>
        <x:v>Despesa/Custo</x:v>
      </x:c>
      <x:c r="B521" t="str">
        <x:f>Despesas!A485</x:f>
        <x:v>UBER OBRAS</x:v>
      </x:c>
      <x:c r="C521" t="n">
        <x:f>Despesas!B485</x:f>
        <x:v>0</x:v>
      </x:c>
      <x:c r="D521" t="str">
        <x:f>Despesas!C485</x:f>
        <x:v>015387</x:v>
      </x:c>
      <x:c r="E521" t="str">
        <x:f>Despesas!D485</x:f>
        <x:v>UBER TRANSPORTE</x:v>
      </x:c>
      <x:c r="F521" t="str">
        <x:f>Despesas!E485</x:f>
        <x:v>NUBYA REGINA RODRIGUES PIX 64981344382</x:v>
      </x:c>
      <x:c r="G521" s="4" t="n">
        <x:f>Despesas!F485</x:f>
        <x:v>46041</x:v>
      </x:c>
      <x:c r="H521" t="str">
        <x:f>Despesas!G485</x:f>
        <x:v>FOSFATO CMOC CONTRAT</x:v>
      </x:c>
      <x:c r="I521" t="str">
        <x:f>Despesas!H485</x:f>
        <x:v>12.7 - TRANSPORTE FUNCIONARIOS</x:v>
      </x:c>
      <x:c r="J521" s="5" t="n">
        <x:f>Despesas!I485</x:f>
        <x:v>210</x:v>
      </x:c>
      <x:c r="K521" s="5" t="n">
        <x:f>0</x:f>
        <x:v>0</x:v>
      </x:c>
      <x:c r="L521" s="5" t="n">
        <x:f>Despesas!I485</x:f>
        <x:v>210</x:v>
      </x:c>
      <x:c r="M521" s="5" t="n">
        <x:f>-J521</x:f>
        <x:v>-210</x:v>
      </x:c>
    </x:row>
    <x:row r="522">
      <x:c r="A522" t="str">
        <x:f>"Despesa/Custo"</x:f>
        <x:v>Despesa/Custo</x:v>
      </x:c>
      <x:c r="B522" t="str">
        <x:f>Despesas!A486</x:f>
        <x:v>MARCIA DIVINA FRANCA DA SILVA 89604040120</x:v>
      </x:c>
      <x:c r="C522" t="n">
        <x:f>Despesas!B486</x:f>
        <x:v>0</x:v>
      </x:c>
      <x:c r="D522" t="str">
        <x:f>Despesas!C486</x:f>
        <x:v>015388</x:v>
      </x:c>
      <x:c r="E522" t="str">
        <x:f>Despesas!D486</x:f>
        <x:v>MARCIA DIVINA FRANCA - PIX (62) 9 9266-6886</x:v>
      </x:c>
      <x:c r="F522" t="str">
        <x:f>Despesas!E486</x:f>
        <x:v>ALIMENTAÇÃO FUNCIONÁRIOS</x:v>
      </x:c>
      <x:c r="G522" s="4" t="n">
        <x:f>Despesas!F486</x:f>
        <x:v>46041</x:v>
      </x:c>
      <x:c r="H522" t="str">
        <x:f>Despesas!G486</x:f>
        <x:v>ADMINISTRATIVO</x:v>
      </x:c>
      <x:c r="I522" t="str">
        <x:f>Despesas!H486</x:f>
        <x:v>11.5 - ALIMENTAÇÃO ADM</x:v>
      </x:c>
      <x:c r="J522" s="5" t="n">
        <x:f>Despesas!I486</x:f>
        <x:v>2580</x:v>
      </x:c>
      <x:c r="K522" s="5" t="n">
        <x:f>0</x:f>
        <x:v>0</x:v>
      </x:c>
      <x:c r="L522" s="5" t="n">
        <x:f>Despesas!I486</x:f>
        <x:v>2580</x:v>
      </x:c>
      <x:c r="M522" s="5" t="n">
        <x:f>-J522</x:f>
        <x:v>-2580</x:v>
      </x:c>
    </x:row>
    <x:row r="523">
      <x:c r="A523" t="str">
        <x:f>"Despesa/Custo"</x:f>
        <x:v>Despesa/Custo</x:v>
      </x:c>
      <x:c r="B523" t="str">
        <x:f>Despesas!A487</x:f>
        <x:v>LOCALIZA RENT A CAR SA</x:v>
      </x:c>
      <x:c r="C523" t="str">
        <x:f>Despesas!B487</x:f>
        <x:v>10865575</x:v>
      </x:c>
      <x:c r="D523" t="str">
        <x:f>Despesas!C487</x:f>
        <x:v>015389</x:v>
      </x:c>
      <x:c r="E523" t="str">
        <x:f>Despesas!D487</x:f>
        <x:v>INFRAÇÃO DE TRÂNSITO - CARRO PLACA TER3G61</x:v>
      </x:c>
      <x:c r="F523" t="n">
        <x:f>Despesas!E487</x:f>
        <x:v>0</x:v>
      </x:c>
      <x:c r="G523" s="4" t="n">
        <x:f>Despesas!F487</x:f>
        <x:v>46041</x:v>
      </x:c>
      <x:c r="H523" t="str">
        <x:f>Despesas!G487</x:f>
        <x:v>VEICULOS</x:v>
      </x:c>
      <x:c r="I523" t="str">
        <x:f>Despesas!H487</x:f>
        <x:v>6.2 - MULTAS DE TRANSITO</x:v>
      </x:c>
      <x:c r="J523" s="5" t="n">
        <x:f>Despesas!I487</x:f>
        <x:v>204.99</x:v>
      </x:c>
      <x:c r="K523" s="5" t="n">
        <x:f>0</x:f>
        <x:v>0</x:v>
      </x:c>
      <x:c r="L523" s="5" t="n">
        <x:f>Despesas!I487</x:f>
        <x:v>204.99</x:v>
      </x:c>
      <x:c r="M523" s="5" t="n">
        <x:f>-J523</x:f>
        <x:v>-204.99</x:v>
      </x:c>
    </x:row>
    <x:row r="524">
      <x:c r="A524" t="str">
        <x:f>"Despesa/Custo"</x:f>
        <x:v>Despesa/Custo</x:v>
      </x:c>
      <x:c r="B524" t="str">
        <x:f>Despesas!A488</x:f>
        <x:v>LABORATORIO POPULAR LTDA.</x:v>
      </x:c>
      <x:c r="C524" t="str">
        <x:f>Despesas!B488</x:f>
        <x:v>1603</x:v>
      </x:c>
      <x:c r="D524" t="str">
        <x:f>Despesas!C488</x:f>
        <x:v>015390</x:v>
      </x:c>
      <x:c r="E524" t="str">
        <x:f>Despesas!D488</x:f>
        <x:v>LABORATORIO POPULAR LTDA - PIX 18.409.521/0001-62</x:v>
      </x:c>
      <x:c r="F524" t="str">
        <x:f>Despesas!E488</x:f>
        <x:v>EXAME OCUPACIONAL</x:v>
      </x:c>
      <x:c r="G524" s="4" t="n">
        <x:f>Despesas!F488</x:f>
        <x:v>46041</x:v>
      </x:c>
      <x:c r="H524" t="str">
        <x:f>Despesas!G488</x:f>
        <x:v>SERENA 10 TORRES 2025</x:v>
      </x:c>
      <x:c r="I524" t="str">
        <x:f>Despesas!H488</x:f>
        <x:v>14.1 - EXAMES</x:v>
      </x:c>
      <x:c r="J524" s="5" t="n">
        <x:f>Despesas!I488</x:f>
        <x:v>680</x:v>
      </x:c>
      <x:c r="K524" s="5" t="n">
        <x:f>0</x:f>
        <x:v>0</x:v>
      </x:c>
      <x:c r="L524" s="5" t="n">
        <x:f>Despesas!I488</x:f>
        <x:v>680</x:v>
      </x:c>
      <x:c r="M524" s="5" t="n">
        <x:f>-J524</x:f>
        <x:v>-680</x:v>
      </x:c>
    </x:row>
    <x:row r="525">
      <x:c r="A525" t="str">
        <x:f>"Despesa/Custo"</x:f>
        <x:v>Despesa/Custo</x:v>
      </x:c>
      <x:c r="B525" t="str">
        <x:f>Despesas!A489</x:f>
        <x:v>G17 AUTO POSTO LTDA</x:v>
      </x:c>
      <x:c r="C525" t="str">
        <x:f>Despesas!B489</x:f>
        <x:v>37</x:v>
      </x:c>
      <x:c r="D525" t="str">
        <x:f>Despesas!C489</x:f>
        <x:v>015478</x:v>
      </x:c>
      <x:c r="E525" t="str">
        <x:f>Despesas!D489</x:f>
        <x:v>COMBUSTIVEL IVAN HB20</x:v>
      </x:c>
      <x:c r="F525" t="str">
        <x:f>Despesas!E489</x:f>
        <x:v>REEM IVAN</x:v>
      </x:c>
      <x:c r="G525" s="4" t="n">
        <x:f>Despesas!F489</x:f>
        <x:v>46041</x:v>
      </x:c>
      <x:c r="H525" t="str">
        <x:f>Despesas!G489</x:f>
        <x:v>ADMINISTRATIVO</x:v>
      </x:c>
      <x:c r="I525" t="str">
        <x:f>Despesas!H489</x:f>
        <x:v>6.4 - COMBUSTIVEL VEICULOS</x:v>
      </x:c>
      <x:c r="J525" s="5" t="n">
        <x:f>Despesas!I489</x:f>
        <x:v>231.99</x:v>
      </x:c>
      <x:c r="K525" s="5" t="n">
        <x:f>0</x:f>
        <x:v>0</x:v>
      </x:c>
      <x:c r="L525" s="5" t="n">
        <x:f>Despesas!I489</x:f>
        <x:v>231.99</x:v>
      </x:c>
      <x:c r="M525" s="5" t="n">
        <x:f>-J525</x:f>
        <x:v>-231.99</x:v>
      </x:c>
    </x:row>
    <x:row r="526">
      <x:c r="A526" t="str">
        <x:f>"Despesa/Custo"</x:f>
        <x:v>Despesa/Custo</x:v>
      </x:c>
      <x:c r="B526" t="str">
        <x:f>Despesas!A490</x:f>
        <x:v>G17 AUTO POSTO LTDA</x:v>
      </x:c>
      <x:c r="C526" t="str">
        <x:f>Despesas!B490</x:f>
        <x:v>38</x:v>
      </x:c>
      <x:c r="D526" t="str">
        <x:f>Despesas!C490</x:f>
        <x:v>015480</x:v>
      </x:c>
      <x:c r="E526" t="str">
        <x:f>Despesas!D490</x:f>
        <x:v>COMBUSTIVEL RANGER</x:v>
      </x:c>
      <x:c r="F526" t="str">
        <x:f>Despesas!E490</x:f>
        <x:v>REEM REINALDO DIAS DAMAS</x:v>
      </x:c>
      <x:c r="G526" s="4" t="n">
        <x:f>Despesas!F490</x:f>
        <x:v>46041</x:v>
      </x:c>
      <x:c r="H526" t="str">
        <x:f>Despesas!G490</x:f>
        <x:v>AGREX IMPERMEALIZAÇAO DE TELHADO</x:v>
      </x:c>
      <x:c r="I526" t="str">
        <x:f>Despesas!H490</x:f>
        <x:v>6.4 - COMBUSTIVEL VEICULOS</x:v>
      </x:c>
      <x:c r="J526" s="5" t="n">
        <x:f>Despesas!I490</x:f>
        <x:v>451.91</x:v>
      </x:c>
      <x:c r="K526" s="5" t="n">
        <x:f>0</x:f>
        <x:v>0</x:v>
      </x:c>
      <x:c r="L526" s="5" t="n">
        <x:f>Despesas!I490</x:f>
        <x:v>451.91</x:v>
      </x:c>
      <x:c r="M526" s="5" t="n">
        <x:f>-J526</x:f>
        <x:v>-451.91</x:v>
      </x:c>
    </x:row>
    <x:row r="527">
      <x:c r="A527" t="str">
        <x:f>"Despesa/Custo"</x:f>
        <x:v>Despesa/Custo</x:v>
      </x:c>
      <x:c r="B527" t="str">
        <x:f>Despesas!A491</x:f>
        <x:v>G17 AUTO POSTO LTDA</x:v>
      </x:c>
      <x:c r="C527" t="str">
        <x:f>Despesas!B491</x:f>
        <x:v>39</x:v>
      </x:c>
      <x:c r="D527" t="str">
        <x:f>Despesas!C491</x:f>
        <x:v>015483</x:v>
      </x:c>
      <x:c r="E527" t="str">
        <x:f>Despesas!D491</x:f>
        <x:v>COMBUSTIVEL MOTO</x:v>
      </x:c>
      <x:c r="F527" t="str">
        <x:f>Despesas!E491</x:f>
        <x:v>REEM REINALDO DIAS DAMAS</x:v>
      </x:c>
      <x:c r="G527" s="4" t="n">
        <x:f>Despesas!F491</x:f>
        <x:v>46041</x:v>
      </x:c>
      <x:c r="H527" t="str">
        <x:f>Despesas!G491</x:f>
        <x:v>AGREX IMPERMEALIZAÇAO DE TELHADO</x:v>
      </x:c>
      <x:c r="I527" t="str">
        <x:f>Despesas!H491</x:f>
        <x:v>6.4 - COMBUSTIVEL VEICULOS</x:v>
      </x:c>
      <x:c r="J527" s="5" t="n">
        <x:f>Despesas!I491</x:f>
        <x:v>84.42</x:v>
      </x:c>
      <x:c r="K527" s="5" t="n">
        <x:f>0</x:f>
        <x:v>0</x:v>
      </x:c>
      <x:c r="L527" s="5" t="n">
        <x:f>Despesas!I491</x:f>
        <x:v>84.42</x:v>
      </x:c>
      <x:c r="M527" s="5" t="n">
        <x:f>-J527</x:f>
        <x:v>-84.42</x:v>
      </x:c>
    </x:row>
    <x:row r="528">
      <x:c r="A528" t="str">
        <x:f>"Despesa/Custo"</x:f>
        <x:v>Despesa/Custo</x:v>
      </x:c>
      <x:c r="B528" t="str">
        <x:f>Despesas!A492</x:f>
        <x:v>PGFN</x:v>
      </x:c>
      <x:c r="C528" t="n">
        <x:f>Despesas!B492</x:f>
        <x:v>0</x:v>
      </x:c>
      <x:c r="D528" t="str">
        <x:f>Despesas!C492</x:f>
        <x:v>015566</x:v>
      </x:c>
      <x:c r="E528" t="str">
        <x:f>Despesas!D492</x:f>
        <x:v>PARLEMANETO PGFN - 014842405 60X</x:v>
      </x:c>
      <x:c r="F528" t="str">
        <x:f>Despesas!E492</x:f>
        <x:v>PARCELAMENTO IRRF-IRPJ-COFINS-CSLL-PIS</x:v>
      </x:c>
      <x:c r="G528" s="4" t="n">
        <x:f>Despesas!F492</x:f>
        <x:v>46041</x:v>
      </x:c>
      <x:c r="H528" t="str">
        <x:f>Despesas!G492</x:f>
        <x:v>IMPOSTOS</x:v>
      </x:c>
      <x:c r="I528" t="str">
        <x:f>Despesas!H492</x:f>
        <x:v>17.1 - PARCELAMENTO</x:v>
      </x:c>
      <x:c r="J528" s="5" t="n">
        <x:f>Despesas!I492</x:f>
        <x:v>16345.24</x:v>
      </x:c>
      <x:c r="K528" s="5" t="n">
        <x:f>0</x:f>
        <x:v>0</x:v>
      </x:c>
      <x:c r="L528" s="5" t="n">
        <x:f>Despesas!I492</x:f>
        <x:v>16345.24</x:v>
      </x:c>
      <x:c r="M528" s="5" t="n">
        <x:f>-J528</x:f>
        <x:v>-16345.24</x:v>
      </x:c>
    </x:row>
    <x:row r="529">
      <x:c r="A529" t="str">
        <x:f>"Despesa/Custo"</x:f>
        <x:v>Despesa/Custo</x:v>
      </x:c>
      <x:c r="B529" t="str">
        <x:f>Despesas!A493</x:f>
        <x:v>PGFN</x:v>
      </x:c>
      <x:c r="C529" t="n">
        <x:f>Despesas!B493</x:f>
        <x:v>0</x:v>
      </x:c>
      <x:c r="D529" t="str">
        <x:f>Despesas!C493</x:f>
        <x:v>015626</x:v>
      </x:c>
      <x:c r="E529" t="str">
        <x:f>Despesas!D493</x:f>
        <x:v>PARCELAMENTO - 014842865 60X</x:v>
      </x:c>
      <x:c r="F529" t="str">
        <x:f>Despesas!E493</x:f>
        <x:v>IMPOSTOS DIVIDA ATIVA</x:v>
      </x:c>
      <x:c r="G529" s="4" t="n">
        <x:f>Despesas!F493</x:f>
        <x:v>46041</x:v>
      </x:c>
      <x:c r="H529" t="str">
        <x:f>Despesas!G493</x:f>
        <x:v>IMPOSTOS</x:v>
      </x:c>
      <x:c r="I529" t="str">
        <x:f>Despesas!H493</x:f>
        <x:v>17.1 - PARCELAMENTO</x:v>
      </x:c>
      <x:c r="J529" s="5" t="n">
        <x:f>Despesas!I493</x:f>
        <x:v>7781.37</x:v>
      </x:c>
      <x:c r="K529" s="5" t="n">
        <x:f>0</x:f>
        <x:v>0</x:v>
      </x:c>
      <x:c r="L529" s="5" t="n">
        <x:f>Despesas!I493</x:f>
        <x:v>7781.37</x:v>
      </x:c>
      <x:c r="M529" s="5" t="n">
        <x:f>-J529</x:f>
        <x:v>-7781.37</x:v>
      </x:c>
    </x:row>
    <x:row r="530">
      <x:c r="A530" t="str">
        <x:f>"Despesa/Custo"</x:f>
        <x:v>Despesa/Custo</x:v>
      </x:c>
      <x:c r="B530" t="str">
        <x:f>Despesas!A494</x:f>
        <x:v>PREFEITURA DE GOIANIA</x:v>
      </x:c>
      <x:c r="C530" t="n">
        <x:f>Despesas!B494</x:f>
        <x:v>0</x:v>
      </x:c>
      <x:c r="D530" t="str">
        <x:f>Despesas!C494</x:f>
        <x:v>015747</x:v>
      </x:c>
      <x:c r="E530" t="str">
        <x:f>Despesas!D494</x:f>
        <x:v>TAXA DE EXPEDIENTE DE SERVIÇOS MES 11-2025</x:v>
      </x:c>
      <x:c r="F530" t="n">
        <x:f>Despesas!E494</x:f>
        <x:v>0</x:v>
      </x:c>
      <x:c r="G530" s="4" t="n">
        <x:f>Despesas!F494</x:f>
        <x:v>46041</x:v>
      </x:c>
      <x:c r="H530" t="str">
        <x:f>Despesas!G494</x:f>
        <x:v>ADMINISTRATIVO</x:v>
      </x:c>
      <x:c r="I530" t="str">
        <x:f>Despesas!H494</x:f>
        <x:v>11.15 - TARIFA PREFEITURA</x:v>
      </x:c>
      <x:c r="J530" s="5" t="n">
        <x:f>Despesas!I494</x:f>
        <x:v>120.03</x:v>
      </x:c>
      <x:c r="K530" s="5" t="n">
        <x:f>0</x:f>
        <x:v>0</x:v>
      </x:c>
      <x:c r="L530" s="5" t="n">
        <x:f>Despesas!I494</x:f>
        <x:v>120.03</x:v>
      </x:c>
      <x:c r="M530" s="5" t="n">
        <x:f>-J530</x:f>
        <x:v>-120.03</x:v>
      </x:c>
    </x:row>
    <x:row r="531">
      <x:c r="A531" t="str">
        <x:f>"Despesa/Custo"</x:f>
        <x:v>Despesa/Custo</x:v>
      </x:c>
      <x:c r="B531" t="str">
        <x:f>Despesas!A495</x:f>
        <x:v>RESTAURANTES OBRAS</x:v>
      </x:c>
      <x:c r="C531" t="n">
        <x:f>Despesas!B495</x:f>
        <x:v>0</x:v>
      </x:c>
      <x:c r="D531" t="str">
        <x:f>Despesas!C495</x:f>
        <x:v>015748</x:v>
      </x:c>
      <x:c r="E531" t="str">
        <x:f>Despesas!D495</x:f>
        <x:v>REFEIÇÃO NOVOS COLABORADORES</x:v>
      </x:c>
      <x:c r="F531" t="str">
        <x:f>Despesas!E495</x:f>
        <x:v>SERRA VERDE</x:v>
      </x:c>
      <x:c r="G531" s="4" t="n">
        <x:f>Despesas!F495</x:f>
        <x:v>46041</x:v>
      </x:c>
      <x:c r="H531" t="str">
        <x:f>Despesas!G495</x:f>
        <x:v>CONTRATO 02 ANOS MINERAÇÃO SERRA VERDE</x:v>
      </x:c>
      <x:c r="I531" t="str">
        <x:f>Despesas!H495</x:f>
        <x:v>12.5 - REFEIÇÕES FUNCIONARIOS</x:v>
      </x:c>
      <x:c r="J531" s="5" t="n">
        <x:f>Despesas!I495</x:f>
        <x:v>71</x:v>
      </x:c>
      <x:c r="K531" s="5" t="n">
        <x:f>0</x:f>
        <x:v>0</x:v>
      </x:c>
      <x:c r="L531" s="5" t="n">
        <x:f>Despesas!I495</x:f>
        <x:v>71</x:v>
      </x:c>
      <x:c r="M531" s="5" t="n">
        <x:f>-J531</x:f>
        <x:v>-71</x:v>
      </x:c>
    </x:row>
    <x:row r="532">
      <x:c r="A532" t="str">
        <x:f>"Despesa/Custo"</x:f>
        <x:v>Despesa/Custo</x:v>
      </x:c>
      <x:c r="B532" t="str">
        <x:f>Despesas!A496</x:f>
        <x:v>FONTEBRAS HOME CENTER COM. DE MAT. PARA CONST. LTDA - EPP</x:v>
      </x:c>
      <x:c r="C532" t="str">
        <x:f>Despesas!B496</x:f>
        <x:v>19475</x:v>
      </x:c>
      <x:c r="D532" t="str">
        <x:f>Despesas!C496</x:f>
        <x:v>016235</x:v>
      </x:c>
      <x:c r="E532" t="str">
        <x:f>Despesas!D496</x:f>
        <x:v>MATERIAIS DE CONSUMO</x:v>
      </x:c>
      <x:c r="F532" t="n">
        <x:f>Despesas!E496</x:f>
        <x:v>0</x:v>
      </x:c>
      <x:c r="G532" s="4" t="n">
        <x:f>Despesas!F496</x:f>
        <x:v>46041</x:v>
      </x:c>
      <x:c r="H532" t="str">
        <x:f>Despesas!G496</x:f>
        <x:v>VLI PINTURA</x:v>
      </x:c>
      <x:c r="I532" t="str">
        <x:f>Despesas!H496</x:f>
        <x:v>8.9 - MATERIAIS DE CONSUMO EM OBRAS</x:v>
      </x:c>
      <x:c r="J532" s="5" t="n">
        <x:f>Despesas!I496</x:f>
        <x:v>151.2</x:v>
      </x:c>
      <x:c r="K532" s="5" t="n">
        <x:f>0</x:f>
        <x:v>0</x:v>
      </x:c>
      <x:c r="L532" s="5" t="n">
        <x:f>Despesas!I496</x:f>
        <x:v>151.2</x:v>
      </x:c>
      <x:c r="M532" s="5" t="n">
        <x:f>-J532</x:f>
        <x:v>-151.2</x:v>
      </x:c>
    </x:row>
    <x:row r="533">
      <x:c r="A533" t="str">
        <x:f>"Despesa/Custo"</x:f>
        <x:v>Despesa/Custo</x:v>
      </x:c>
      <x:c r="B533" t="str">
        <x:f>Despesas!A497</x:f>
        <x:v>ALUGUEIS OBRAS</x:v>
      </x:c>
      <x:c r="C533" t="n">
        <x:f>Despesas!B497</x:f>
        <x:v>0</x:v>
      </x:c>
      <x:c r="D533" t="str">
        <x:f>Despesas!C497</x:f>
        <x:v>014925</x:v>
      </x:c>
      <x:c r="E533" t="str">
        <x:f>Despesas!D497</x:f>
        <x:v>AV. LENCOIS, 5 REF. 20.01 A 20.02</x:v>
      </x:c>
      <x:c r="F533" t="str">
        <x:f>Despesas!E497</x:f>
        <x:v>KARLIANE SANTOS DE LIMA</x:v>
      </x:c>
      <x:c r="G533" s="4" t="n">
        <x:f>Despesas!F497</x:f>
        <x:v>46042</x:v>
      </x:c>
      <x:c r="H533" t="str">
        <x:f>Despesas!G497</x:f>
        <x:v>SERENA 10 TORRES 2025</x:v>
      </x:c>
      <x:c r="I533" t="str">
        <x:f>Despesas!H497</x:f>
        <x:v>5.3 - ALUGUEL ALOJAMENTO</x:v>
      </x:c>
      <x:c r="J533" s="5" t="n">
        <x:f>Despesas!I497</x:f>
        <x:v>1500</x:v>
      </x:c>
      <x:c r="K533" s="5" t="n">
        <x:f>0</x:f>
        <x:v>0</x:v>
      </x:c>
      <x:c r="L533" s="5" t="n">
        <x:f>Despesas!I497</x:f>
        <x:v>1500</x:v>
      </x:c>
      <x:c r="M533" s="5" t="n">
        <x:f>-J533</x:f>
        <x:v>-1500</x:v>
      </x:c>
    </x:row>
    <x:row r="534">
      <x:c r="A534" t="str">
        <x:f>"Despesa/Custo"</x:f>
        <x:v>Despesa/Custo</x:v>
      </x:c>
      <x:c r="B534" t="str">
        <x:f>Despesas!A498</x:f>
        <x:v>ALUGUEIS OBRAS</x:v>
      </x:c>
      <x:c r="C534" t="n">
        <x:f>Despesas!B498</x:f>
        <x:v>0</x:v>
      </x:c>
      <x:c r="D534" t="str">
        <x:f>Despesas!C498</x:f>
        <x:v>014926</x:v>
      </x:c>
      <x:c r="E534" t="str">
        <x:f>Despesas!D498</x:f>
        <x:v>LAURINEA FEITOSA REIS - PIX (98) 9 8439-2585</x:v>
      </x:c>
      <x:c r="F534" t="str">
        <x:f>Despesas!E498</x:f>
        <x:v>REF. 20.12 A 20.01</x:v>
      </x:c>
      <x:c r="G534" s="4" t="n">
        <x:f>Despesas!F498</x:f>
        <x:v>46042</x:v>
      </x:c>
      <x:c r="H534" t="str">
        <x:f>Despesas!G498</x:f>
        <x:v>SERENA 10 TORRES 2025</x:v>
      </x:c>
      <x:c r="I534" t="str">
        <x:f>Despesas!H498</x:f>
        <x:v>5.3 - ALUGUEL ALOJAMENTO</x:v>
      </x:c>
      <x:c r="J534" s="5" t="n">
        <x:f>Despesas!I498</x:f>
        <x:v>800</x:v>
      </x:c>
      <x:c r="K534" s="5" t="n">
        <x:f>0</x:f>
        <x:v>0</x:v>
      </x:c>
      <x:c r="L534" s="5" t="n">
        <x:f>Despesas!I498</x:f>
        <x:v>800</x:v>
      </x:c>
      <x:c r="M534" s="5" t="n">
        <x:f>-J534</x:f>
        <x:v>-800</x:v>
      </x:c>
    </x:row>
    <x:row r="535">
      <x:c r="A535" t="str">
        <x:f>"Despesa/Custo"</x:f>
        <x:v>Despesa/Custo</x:v>
      </x:c>
      <x:c r="B535" t="str">
        <x:f>Despesas!A499</x:f>
        <x:v>ADVOGADO</x:v>
      </x:c>
      <x:c r="C535" t="n">
        <x:f>Despesas!B499</x:f>
        <x:v>0</x:v>
      </x:c>
      <x:c r="D535" t="str">
        <x:f>Despesas!C499</x:f>
        <x:v>014927</x:v>
      </x:c>
      <x:c r="E535" t="str">
        <x:f>Despesas!D499</x:f>
        <x:v>DR BRUNNA ADVOGADA ADM MES 12-2025</x:v>
      </x:c>
      <x:c r="F535" t="str">
        <x:f>Despesas!E499</x:f>
        <x:v>BRUNNA SALGADO COSTA</x:v>
      </x:c>
      <x:c r="G535" s="4" t="n">
        <x:f>Despesas!F499</x:f>
        <x:v>46042</x:v>
      </x:c>
      <x:c r="H535" t="str">
        <x:f>Despesas!G499</x:f>
        <x:v>ADMINISTRATIVO</x:v>
      </x:c>
      <x:c r="I535" t="str">
        <x:f>Despesas!H499</x:f>
        <x:v>9.1 - HONORARIOS ADVOCATICIOS</x:v>
      </x:c>
      <x:c r="J535" s="5" t="n">
        <x:f>Despesas!I499</x:f>
        <x:v>3600</x:v>
      </x:c>
      <x:c r="K535" s="5" t="n">
        <x:f>0</x:f>
        <x:v>0</x:v>
      </x:c>
      <x:c r="L535" s="5" t="n">
        <x:f>Despesas!I499</x:f>
        <x:v>3600</x:v>
      </x:c>
      <x:c r="M535" s="5" t="n">
        <x:f>-J535</x:f>
        <x:v>-3600</x:v>
      </x:c>
    </x:row>
    <x:row r="536">
      <x:c r="A536" t="str">
        <x:f>"Despesa/Custo"</x:f>
        <x:v>Despesa/Custo</x:v>
      </x:c>
      <x:c r="B536" t="str">
        <x:f>Despesas!A500</x:f>
        <x:v>FLORENCE SOARES SILVA SOCIEDADE INDIVIDUAL DE ADVOCACIA</x:v>
      </x:c>
      <x:c r="C536" t="n">
        <x:f>Despesas!B500</x:f>
        <x:v>0</x:v>
      </x:c>
      <x:c r="D536" t="str">
        <x:f>Despesas!C500</x:f>
        <x:v>014928</x:v>
      </x:c>
      <x:c r="E536" t="str">
        <x:f>Despesas!D500</x:f>
        <x:v>HONORARIOS ADVOCATICIOS REF. 12/2025</x:v>
      </x:c>
      <x:c r="F536" t="str">
        <x:f>Despesas!E500</x:f>
        <x:v>FLORENCE SOARES SILVA</x:v>
      </x:c>
      <x:c r="G536" s="4" t="n">
        <x:f>Despesas!F500</x:f>
        <x:v>46042</x:v>
      </x:c>
      <x:c r="H536" t="str">
        <x:f>Despesas!G500</x:f>
        <x:v>ADMINISTRATIVO</x:v>
      </x:c>
      <x:c r="I536" t="str">
        <x:f>Despesas!H500</x:f>
        <x:v>9.1 - HONORARIOS ADVOCATICIOS</x:v>
      </x:c>
      <x:c r="J536" s="5" t="n">
        <x:f>Despesas!I500</x:f>
        <x:v>2933.1</x:v>
      </x:c>
      <x:c r="K536" s="5" t="n">
        <x:f>0</x:f>
        <x:v>0</x:v>
      </x:c>
      <x:c r="L536" s="5" t="n">
        <x:f>Despesas!I500</x:f>
        <x:v>2933.1</x:v>
      </x:c>
      <x:c r="M536" s="5" t="n">
        <x:f>-J536</x:f>
        <x:v>-2933.1</x:v>
      </x:c>
    </x:row>
    <x:row r="537">
      <x:c r="A537" t="str">
        <x:f>"Despesa/Custo"</x:f>
        <x:v>Despesa/Custo</x:v>
      </x:c>
      <x:c r="B537" t="str">
        <x:f>Despesas!A501</x:f>
        <x:v>YCARO GOMES</x:v>
      </x:c>
      <x:c r="C537" t="n">
        <x:f>Despesas!B501</x:f>
        <x:v>0</x:v>
      </x:c>
      <x:c r="D537" t="str">
        <x:f>Despesas!C501</x:f>
        <x:v>015391</x:v>
      </x:c>
      <x:c r="E537" t="str">
        <x:f>Despesas!D501</x:f>
        <x:v>INTERNET CONTANINER CONTA VIVO REF 12/2025</x:v>
      </x:c>
      <x:c r="F537" t="str">
        <x:f>Despesas!E501</x:f>
        <x:v>REEMBOLSO YCARO</x:v>
      </x:c>
      <x:c r="G537" s="4" t="n">
        <x:f>Despesas!F501</x:f>
        <x:v>46042</x:v>
      </x:c>
      <x:c r="H537" t="str">
        <x:f>Despesas!G501</x:f>
        <x:v>VLI PINTURA</x:v>
      </x:c>
      <x:c r="I537" t="str">
        <x:f>Despesas!H501</x:f>
        <x:v>11.14 - INTERNET OBRAS</x:v>
      </x:c>
      <x:c r="J537" s="5" t="n">
        <x:f>Despesas!I501</x:f>
        <x:v>150</x:v>
      </x:c>
      <x:c r="K537" s="5" t="n">
        <x:f>0</x:f>
        <x:v>0</x:v>
      </x:c>
      <x:c r="L537" s="5" t="n">
        <x:f>Despesas!I501</x:f>
        <x:v>150</x:v>
      </x:c>
      <x:c r="M537" s="5" t="n">
        <x:f>-J537</x:f>
        <x:v>-150</x:v>
      </x:c>
    </x:row>
    <x:row r="538">
      <x:c r="A538" t="str">
        <x:f>"Despesa/Custo"</x:f>
        <x:v>Despesa/Custo</x:v>
      </x:c>
      <x:c r="B538" t="str">
        <x:f>Despesas!A502</x:f>
        <x:v>YCARO GOMES</x:v>
      </x:c>
      <x:c r="C538" t="n">
        <x:f>Despesas!B502</x:f>
        <x:v>0</x:v>
      </x:c>
      <x:c r="D538" t="str">
        <x:f>Despesas!C502</x:f>
        <x:v>015392</x:v>
      </x:c>
      <x:c r="E538" t="str">
        <x:f>Despesas!D502</x:f>
        <x:v>AGUA ALOJAMENTO CONTA DE AGUA REF 12/2025</x:v>
      </x:c>
      <x:c r="F538" t="str">
        <x:f>Despesas!E502</x:f>
        <x:v>REEMBOLSO YCARO</x:v>
      </x:c>
      <x:c r="G538" s="4" t="n">
        <x:f>Despesas!F502</x:f>
        <x:v>46042</x:v>
      </x:c>
      <x:c r="H538" t="str">
        <x:f>Despesas!G502</x:f>
        <x:v>VLI PINTURA</x:v>
      </x:c>
      <x:c r="I538" t="str">
        <x:f>Despesas!H502</x:f>
        <x:v>5.4 - AGUA ALOJAMENTO</x:v>
      </x:c>
      <x:c r="J538" s="5" t="n">
        <x:f>Despesas!I502</x:f>
        <x:v>48</x:v>
      </x:c>
      <x:c r="K538" s="5" t="n">
        <x:f>0</x:f>
        <x:v>0</x:v>
      </x:c>
      <x:c r="L538" s="5" t="n">
        <x:f>Despesas!I502</x:f>
        <x:v>48</x:v>
      </x:c>
      <x:c r="M538" s="5" t="n">
        <x:f>-J538</x:f>
        <x:v>-48</x:v>
      </x:c>
    </x:row>
    <x:row r="539">
      <x:c r="A539" t="str">
        <x:f>"Despesa/Custo"</x:f>
        <x:v>Despesa/Custo</x:v>
      </x:c>
      <x:c r="B539" t="str">
        <x:f>Despesas!A503</x:f>
        <x:v>YCARO GOMES</x:v>
      </x:c>
      <x:c r="C539" t="str">
        <x:f>Despesas!B503</x:f>
        <x:v>1894</x:v>
      </x:c>
      <x:c r="D539" t="str">
        <x:f>Despesas!C503</x:f>
        <x:v>015393</x:v>
      </x:c>
      <x:c r="E539" t="str">
        <x:f>Despesas!D503</x:f>
        <x:v>MANUTENÇÃO DE MANGUEIRA ALOJAMENTO</x:v>
      </x:c>
      <x:c r="F539" t="str">
        <x:f>Despesas!E503</x:f>
        <x:v>REEMBOLSO YCARO</x:v>
      </x:c>
      <x:c r="G539" s="4" t="n">
        <x:f>Despesas!F503</x:f>
        <x:v>46042</x:v>
      </x:c>
      <x:c r="H539" t="str">
        <x:f>Despesas!G503</x:f>
        <x:v>VLI PINTURA</x:v>
      </x:c>
      <x:c r="I539" t="str">
        <x:f>Despesas!H503</x:f>
        <x:v>5.3 - ALUGUEL ALOJAMENTO</x:v>
      </x:c>
      <x:c r="J539" s="5" t="n">
        <x:f>Despesas!I503</x:f>
        <x:v>19</x:v>
      </x:c>
      <x:c r="K539" s="5" t="n">
        <x:f>0</x:f>
        <x:v>0</x:v>
      </x:c>
      <x:c r="L539" s="5" t="n">
        <x:f>Despesas!I503</x:f>
        <x:v>19</x:v>
      </x:c>
      <x:c r="M539" s="5" t="n">
        <x:f>-J539</x:f>
        <x:v>-19</x:v>
      </x:c>
    </x:row>
    <x:row r="540">
      <x:c r="A540" t="str">
        <x:f>"Despesa/Custo"</x:f>
        <x:v>Despesa/Custo</x:v>
      </x:c>
      <x:c r="B540" t="str">
        <x:f>Despesas!A504</x:f>
        <x:v>YCARO GOMES</x:v>
      </x:c>
      <x:c r="C540" t="str">
        <x:f>Despesas!B504</x:f>
        <x:v>5922</x:v>
      </x:c>
      <x:c r="D540" t="str">
        <x:f>Despesas!C504</x:f>
        <x:v>015394</x:v>
      </x:c>
      <x:c r="E540" t="str">
        <x:f>Despesas!D504</x:f>
        <x:v>JD BEZERRA PEREIRA ME</x:v>
      </x:c>
      <x:c r="F540" t="str">
        <x:f>Despesas!E504</x:f>
        <x:v>REEMBOLSO YCARO/ MANUTENÇÃO EFFA</x:v>
      </x:c>
      <x:c r="G540" s="4" t="n">
        <x:f>Despesas!F504</x:f>
        <x:v>46042</x:v>
      </x:c>
      <x:c r="H540" t="str">
        <x:f>Despesas!G504</x:f>
        <x:v>VLI PINTURA</x:v>
      </x:c>
      <x:c r="I540" t="str">
        <x:f>Despesas!H504</x:f>
        <x:v>6.3 - MANUTENÇÃO/PEÇAS  VEICULOS</x:v>
      </x:c>
      <x:c r="J540" s="5" t="n">
        <x:f>Despesas!I504</x:f>
        <x:v>74.33</x:v>
      </x:c>
      <x:c r="K540" s="5" t="n">
        <x:f>0</x:f>
        <x:v>0</x:v>
      </x:c>
      <x:c r="L540" s="5" t="n">
        <x:f>Despesas!I504</x:f>
        <x:v>74.33</x:v>
      </x:c>
      <x:c r="M540" s="5" t="n">
        <x:f>-J540</x:f>
        <x:v>-74.33</x:v>
      </x:c>
    </x:row>
    <x:row r="541">
      <x:c r="A541" t="str">
        <x:f>"Despesa/Custo"</x:f>
        <x:v>Despesa/Custo</x:v>
      </x:c>
      <x:c r="B541" t="str">
        <x:f>Despesas!A505</x:f>
        <x:v>YCARO GOMES</x:v>
      </x:c>
      <x:c r="C541" t="str">
        <x:f>Despesas!B505</x:f>
        <x:v>48916</x:v>
      </x:c>
      <x:c r="D541" t="str">
        <x:f>Despesas!C505</x:f>
        <x:v>015395</x:v>
      </x:c>
      <x:c r="E541" t="str">
        <x:f>Despesas!D505</x:f>
        <x:v>MANUTENÇÃO FORD RANGER RCFA</x:v>
      </x:c>
      <x:c r="F541" t="str">
        <x:f>Despesas!E505</x:f>
        <x:v>REEMBOLSO YCARO</x:v>
      </x:c>
      <x:c r="G541" s="4" t="n">
        <x:f>Despesas!F505</x:f>
        <x:v>46042</x:v>
      </x:c>
      <x:c r="H541" t="str">
        <x:f>Despesas!G505</x:f>
        <x:v>VLI PINTURA</x:v>
      </x:c>
      <x:c r="I541" t="str">
        <x:f>Despesas!H505</x:f>
        <x:v>6.3 - MANUTENÇÃO/PEÇAS  VEICULOS</x:v>
      </x:c>
      <x:c r="J541" s="5" t="n">
        <x:f>Despesas!I505</x:f>
        <x:v>1102.04</x:v>
      </x:c>
      <x:c r="K541" s="5" t="n">
        <x:f>0</x:f>
        <x:v>0</x:v>
      </x:c>
      <x:c r="L541" s="5" t="n">
        <x:f>Despesas!I505</x:f>
        <x:v>1102.04</x:v>
      </x:c>
      <x:c r="M541" s="5" t="n">
        <x:f>-J541</x:f>
        <x:v>-1102.04</x:v>
      </x:c>
    </x:row>
    <x:row r="542">
      <x:c r="A542" t="str">
        <x:f>"Despesa/Custo"</x:f>
        <x:v>Despesa/Custo</x:v>
      </x:c>
      <x:c r="B542" t="str">
        <x:f>Despesas!A506</x:f>
        <x:v>YCARO GOMES</x:v>
      </x:c>
      <x:c r="C542" t="str">
        <x:f>Despesas!B506</x:f>
        <x:v>107761</x:v>
      </x:c>
      <x:c r="D542" t="str">
        <x:f>Despesas!C506</x:f>
        <x:v>015396</x:v>
      </x:c>
      <x:c r="E542" t="str">
        <x:f>Despesas!D506</x:f>
        <x:v>MANUTENÇÃO RANGER RCF 2A85</x:v>
      </x:c>
      <x:c r="F542" t="str">
        <x:f>Despesas!E506</x:f>
        <x:v>REEMBOLSO YCARO</x:v>
      </x:c>
      <x:c r="G542" s="4" t="n">
        <x:f>Despesas!F506</x:f>
        <x:v>46042</x:v>
      </x:c>
      <x:c r="H542" t="str">
        <x:f>Despesas!G506</x:f>
        <x:v>VLI PINTURA</x:v>
      </x:c>
      <x:c r="I542" t="str">
        <x:f>Despesas!H506</x:f>
        <x:v>6.3 - MANUTENÇÃO/PEÇAS  VEICULOS</x:v>
      </x:c>
      <x:c r="J542" s="5" t="n">
        <x:f>Despesas!I506</x:f>
        <x:v>1104.81</x:v>
      </x:c>
      <x:c r="K542" s="5" t="n">
        <x:f>0</x:f>
        <x:v>0</x:v>
      </x:c>
      <x:c r="L542" s="5" t="n">
        <x:f>Despesas!I506</x:f>
        <x:v>1104.81</x:v>
      </x:c>
      <x:c r="M542" s="5" t="n">
        <x:f>-J542</x:f>
        <x:v>-1104.81</x:v>
      </x:c>
    </x:row>
    <x:row r="543">
      <x:c r="A543" t="str">
        <x:f>"Despesa/Custo"</x:f>
        <x:v>Despesa/Custo</x:v>
      </x:c>
      <x:c r="B543" t="str">
        <x:f>Despesas!A507</x:f>
        <x:v>YCARO GOMES</x:v>
      </x:c>
      <x:c r="C543" t="n">
        <x:f>Despesas!B507</x:f>
        <x:v>0</x:v>
      </x:c>
      <x:c r="D543" t="str">
        <x:f>Despesas!C507</x:f>
        <x:v>015397</x:v>
      </x:c>
      <x:c r="E543" t="str">
        <x:f>Despesas!D507</x:f>
        <x:v>REFEIÇÃO VLI</x:v>
      </x:c>
      <x:c r="F543" t="str">
        <x:f>Despesas!E507</x:f>
        <x:v>REEMBOLSO YCARO</x:v>
      </x:c>
      <x:c r="G543" s="4" t="n">
        <x:f>Despesas!F507</x:f>
        <x:v>46042</x:v>
      </x:c>
      <x:c r="H543" t="str">
        <x:f>Despesas!G507</x:f>
        <x:v>VLI PINTURA</x:v>
      </x:c>
      <x:c r="I543" t="str">
        <x:f>Despesas!H507</x:f>
        <x:v>12.5 - REFEIÇÕES FUNCIONARIOS</x:v>
      </x:c>
      <x:c r="J543" s="5" t="n">
        <x:f>Despesas!I507</x:f>
        <x:v>24.84</x:v>
      </x:c>
      <x:c r="K543" s="5" t="n">
        <x:f>0</x:f>
        <x:v>0</x:v>
      </x:c>
      <x:c r="L543" s="5" t="n">
        <x:f>Despesas!I507</x:f>
        <x:v>24.84</x:v>
      </x:c>
      <x:c r="M543" s="5" t="n">
        <x:f>-J543</x:f>
        <x:v>-24.84</x:v>
      </x:c>
    </x:row>
    <x:row r="544">
      <x:c r="A544" t="str">
        <x:f>"Despesa/Custo"</x:f>
        <x:v>Despesa/Custo</x:v>
      </x:c>
      <x:c r="B544" t="str">
        <x:f>Despesas!A508</x:f>
        <x:v>YCARO GOMES</x:v>
      </x:c>
      <x:c r="C544" t="n">
        <x:f>Despesas!B508</x:f>
        <x:v>0</x:v>
      </x:c>
      <x:c r="D544" t="str">
        <x:f>Despesas!C508</x:f>
        <x:v>015398</x:v>
      </x:c>
      <x:c r="E544" t="str">
        <x:f>Despesas!D508</x:f>
        <x:v>MATERIAIS DE PINTURAS</x:v>
      </x:c>
      <x:c r="F544" t="str">
        <x:f>Despesas!E508</x:f>
        <x:v>REEMBOLSO YCARO</x:v>
      </x:c>
      <x:c r="G544" s="4" t="n">
        <x:f>Despesas!F508</x:f>
        <x:v>46042</x:v>
      </x:c>
      <x:c r="H544" t="str">
        <x:f>Despesas!G508</x:f>
        <x:v>VLI PINTURA</x:v>
      </x:c>
      <x:c r="I544" t="str">
        <x:f>Despesas!H508</x:f>
        <x:v>12.5 - REFEIÇÕES FUNCIONARIOS</x:v>
      </x:c>
      <x:c r="J544" s="5" t="n">
        <x:f>Despesas!I508</x:f>
        <x:v>120</x:v>
      </x:c>
      <x:c r="K544" s="5" t="n">
        <x:f>0</x:f>
        <x:v>0</x:v>
      </x:c>
      <x:c r="L544" s="5" t="n">
        <x:f>Despesas!I508</x:f>
        <x:v>120</x:v>
      </x:c>
      <x:c r="M544" s="5" t="n">
        <x:f>-J544</x:f>
        <x:v>-120</x:v>
      </x:c>
    </x:row>
    <x:row r="545">
      <x:c r="A545" t="str">
        <x:f>"Despesa/Custo"</x:f>
        <x:v>Despesa/Custo</x:v>
      </x:c>
      <x:c r="B545" t="str">
        <x:f>Despesas!A509</x:f>
        <x:v>FABIANO PEREIRA DE OLIVEIRA LTDA</x:v>
      </x:c>
      <x:c r="C545" t="str">
        <x:f>Despesas!B509</x:f>
        <x:v>9063</x:v>
      </x:c>
      <x:c r="D545" t="str">
        <x:f>Despesas!C509</x:f>
        <x:v>015401</x:v>
      </x:c>
      <x:c r="E545" t="str">
        <x:f>Despesas!D509</x:f>
        <x:v>LOCAÇÃO BANHEIROS QUÍMICOS REF. 12/12 A 11/01</x:v>
      </x:c>
      <x:c r="F545" t="str">
        <x:f>Despesas!E509</x:f>
        <x:v>VENCIMENTO ORIGINAL DO BOLETO 14/02/26</x:v>
      </x:c>
      <x:c r="G545" s="4" t="n">
        <x:f>Despesas!F509</x:f>
        <x:v>46042</x:v>
      </x:c>
      <x:c r="H545" t="str">
        <x:f>Despesas!G509</x:f>
        <x:v>VLI PINTURA</x:v>
      </x:c>
      <x:c r="I545" t="str">
        <x:f>Despesas!H509</x:f>
        <x:v>7.11 - LOCAÇAO BANHEIRO QUIMICO</x:v>
      </x:c>
      <x:c r="J545" s="5" t="n">
        <x:f>Despesas!I509</x:f>
        <x:v>861.85</x:v>
      </x:c>
      <x:c r="K545" s="5" t="n">
        <x:f>0</x:f>
        <x:v>0</x:v>
      </x:c>
      <x:c r="L545" s="5" t="n">
        <x:f>Despesas!I509</x:f>
        <x:v>861.85</x:v>
      </x:c>
      <x:c r="M545" s="5" t="n">
        <x:f>-J545</x:f>
        <x:v>-861.85</x:v>
      </x:c>
    </x:row>
    <x:row r="546">
      <x:c r="A546" t="str">
        <x:f>"Despesa/Custo"</x:f>
        <x:v>Despesa/Custo</x:v>
      </x:c>
      <x:c r="B546" t="str">
        <x:f>Despesas!A510</x:f>
        <x:v>RODOVIARIA MATEUS CABEÇA BRANCA</x:v>
      </x:c>
      <x:c r="C546" t="n">
        <x:f>Despesas!B510</x:f>
        <x:v>0</x:v>
      </x:c>
      <x:c r="D546" t="str">
        <x:f>Despesas!C510</x:f>
        <x:v>015403</x:v>
      </x:c>
      <x:c r="E546" t="str">
        <x:f>Despesas!D510</x:f>
        <x:v>PASSAGENS DA SEMANA 05/01 A 09/01</x:v>
      </x:c>
      <x:c r="F546" t="n">
        <x:f>Despesas!E510</x:f>
        <x:v>0</x:v>
      </x:c>
      <x:c r="G546" s="4" t="n">
        <x:f>Despesas!F510</x:f>
        <x:v>46042</x:v>
      </x:c>
      <x:c r="H546" t="str">
        <x:f>Despesas!G510</x:f>
        <x:v>MOSAIC UBERABA CONTRAT0 3 ANOS</x:v>
      </x:c>
      <x:c r="I546" t="str">
        <x:f>Despesas!H510</x:f>
        <x:v>12.9 - PASSAGENS FUNCIONARIOS</x:v>
      </x:c>
      <x:c r="J546" s="5" t="n">
        <x:f>Despesas!I510</x:f>
        <x:v>1474.71</x:v>
      </x:c>
      <x:c r="K546" s="5" t="n">
        <x:f>0</x:f>
        <x:v>0</x:v>
      </x:c>
      <x:c r="L546" s="5" t="n">
        <x:f>Despesas!I510</x:f>
        <x:v>1474.71</x:v>
      </x:c>
      <x:c r="M546" s="5" t="n">
        <x:f>-J546</x:f>
        <x:v>-1474.71</x:v>
      </x:c>
    </x:row>
    <x:row r="547">
      <x:c r="A547" t="str">
        <x:f>"Despesa/Custo"</x:f>
        <x:v>Despesa/Custo</x:v>
      </x:c>
      <x:c r="B547" t="str">
        <x:f>Despesas!A511</x:f>
        <x:v>RODOVIARIA MATEUS CABEÇA BRANCA</x:v>
      </x:c>
      <x:c r="C547" t="n">
        <x:f>Despesas!B511</x:f>
        <x:v>0</x:v>
      </x:c>
      <x:c r="D547" t="str">
        <x:f>Despesas!C511</x:f>
        <x:v>015403</x:v>
      </x:c>
      <x:c r="E547" t="str">
        <x:f>Despesas!D511</x:f>
        <x:v>PASSAGENS DA SEMANA 05/01 A 09/01</x:v>
      </x:c>
      <x:c r="F547" t="n">
        <x:f>Despesas!E511</x:f>
        <x:v>0</x:v>
      </x:c>
      <x:c r="G547" s="4" t="n">
        <x:f>Despesas!F511</x:f>
        <x:v>46042</x:v>
      </x:c>
      <x:c r="H547" t="str">
        <x:f>Despesas!G511</x:f>
        <x:v>ANGLO AMERICAN</x:v>
      </x:c>
      <x:c r="I547" t="str">
        <x:f>Despesas!H511</x:f>
        <x:v>12.9 - PASSAGENS FUNCIONARIOS</x:v>
      </x:c>
      <x:c r="J547" s="5" t="n">
        <x:f>Despesas!I511</x:f>
        <x:v>824.2</x:v>
      </x:c>
      <x:c r="K547" s="5" t="n">
        <x:f>0</x:f>
        <x:v>0</x:v>
      </x:c>
      <x:c r="L547" s="5" t="n">
        <x:f>Despesas!I511</x:f>
        <x:v>824.2</x:v>
      </x:c>
      <x:c r="M547" s="5" t="n">
        <x:f>-J547</x:f>
        <x:v>-824.2</x:v>
      </x:c>
    </x:row>
    <x:row r="548">
      <x:c r="A548" t="str">
        <x:f>"Despesa/Custo"</x:f>
        <x:v>Despesa/Custo</x:v>
      </x:c>
      <x:c r="B548" t="str">
        <x:f>Despesas!A512</x:f>
        <x:v>RODOVIARIA MATEUS CABEÇA BRANCA</x:v>
      </x:c>
      <x:c r="C548" t="n">
        <x:f>Despesas!B512</x:f>
        <x:v>0</x:v>
      </x:c>
      <x:c r="D548" t="str">
        <x:f>Despesas!C512</x:f>
        <x:v>015403</x:v>
      </x:c>
      <x:c r="E548" t="str">
        <x:f>Despesas!D512</x:f>
        <x:v>PASSAGENS DA SEMANA 05/01 A 09/01</x:v>
      </x:c>
      <x:c r="F548" t="n">
        <x:f>Despesas!E512</x:f>
        <x:v>0</x:v>
      </x:c>
      <x:c r="G548" s="4" t="n">
        <x:f>Despesas!F512</x:f>
        <x:v>46042</x:v>
      </x:c>
      <x:c r="H548" t="str">
        <x:f>Despesas!G512</x:f>
        <x:v>EUROCHEM SERRA DO SALITRE</x:v>
      </x:c>
      <x:c r="I548" t="str">
        <x:f>Despesas!H512</x:f>
        <x:v>12.9 - PASSAGENS FUNCIONARIOS</x:v>
      </x:c>
      <x:c r="J548" s="5" t="n">
        <x:f>Despesas!I512</x:f>
        <x:v>1798.71</x:v>
      </x:c>
      <x:c r="K548" s="5" t="n">
        <x:f>0</x:f>
        <x:v>0</x:v>
      </x:c>
      <x:c r="L548" s="5" t="n">
        <x:f>Despesas!I512</x:f>
        <x:v>1798.71</x:v>
      </x:c>
      <x:c r="M548" s="5" t="n">
        <x:f>-J548</x:f>
        <x:v>-1798.71</x:v>
      </x:c>
    </x:row>
    <x:row r="549">
      <x:c r="A549" t="str">
        <x:f>"Despesa/Custo"</x:f>
        <x:v>Despesa/Custo</x:v>
      </x:c>
      <x:c r="B549" t="str">
        <x:f>Despesas!A513</x:f>
        <x:v>RODOVIARIA MATEUS CABEÇA BRANCA</x:v>
      </x:c>
      <x:c r="C549" t="n">
        <x:f>Despesas!B513</x:f>
        <x:v>0</x:v>
      </x:c>
      <x:c r="D549" t="str">
        <x:f>Despesas!C513</x:f>
        <x:v>015403</x:v>
      </x:c>
      <x:c r="E549" t="str">
        <x:f>Despesas!D513</x:f>
        <x:v>PASSAGENS DA SEMANA 05/01 A 09/01</x:v>
      </x:c>
      <x:c r="F549" t="n">
        <x:f>Despesas!E513</x:f>
        <x:v>0</x:v>
      </x:c>
      <x:c r="G549" s="4" t="n">
        <x:f>Despesas!F513</x:f>
        <x:v>46042</x:v>
      </x:c>
      <x:c r="H549" t="str">
        <x:f>Despesas!G513</x:f>
        <x:v>NIOBIO CMOC CONTRATO</x:v>
      </x:c>
      <x:c r="I549" t="str">
        <x:f>Despesas!H513</x:f>
        <x:v>12.9 - PASSAGENS FUNCIONARIOS</x:v>
      </x:c>
      <x:c r="J549" s="5" t="n">
        <x:f>Despesas!I513</x:f>
        <x:v>830.8</x:v>
      </x:c>
      <x:c r="K549" s="5" t="n">
        <x:f>0</x:f>
        <x:v>0</x:v>
      </x:c>
      <x:c r="L549" s="5" t="n">
        <x:f>Despesas!I513</x:f>
        <x:v>830.8</x:v>
      </x:c>
      <x:c r="M549" s="5" t="n">
        <x:f>-J549</x:f>
        <x:v>-830.8</x:v>
      </x:c>
    </x:row>
    <x:row r="550">
      <x:c r="A550" t="str">
        <x:f>"Despesa/Custo"</x:f>
        <x:v>Despesa/Custo</x:v>
      </x:c>
      <x:c r="B550" t="str">
        <x:f>Despesas!A514</x:f>
        <x:v>RODOVIARIA MATEUS CABEÇA BRANCA</x:v>
      </x:c>
      <x:c r="C550" t="n">
        <x:f>Despesas!B514</x:f>
        <x:v>0</x:v>
      </x:c>
      <x:c r="D550" t="str">
        <x:f>Despesas!C514</x:f>
        <x:v>015403</x:v>
      </x:c>
      <x:c r="E550" t="str">
        <x:f>Despesas!D514</x:f>
        <x:v>PASSAGENS DA SEMANA 05/01 A 09/01</x:v>
      </x:c>
      <x:c r="F550" t="n">
        <x:f>Despesas!E514</x:f>
        <x:v>0</x:v>
      </x:c>
      <x:c r="G550" s="4" t="n">
        <x:f>Despesas!F514</x:f>
        <x:v>46042</x:v>
      </x:c>
      <x:c r="H550" t="str">
        <x:f>Despesas!G514</x:f>
        <x:v>SERENA 10 TORRES 2025</x:v>
      </x:c>
      <x:c r="I550" t="str">
        <x:f>Despesas!H514</x:f>
        <x:v>12.9 - PASSAGENS FUNCIONARIOS</x:v>
      </x:c>
      <x:c r="J550" s="5" t="n">
        <x:f>Despesas!I514</x:f>
        <x:v>101.84</x:v>
      </x:c>
      <x:c r="K550" s="5" t="n">
        <x:f>0</x:f>
        <x:v>0</x:v>
      </x:c>
      <x:c r="L550" s="5" t="n">
        <x:f>Despesas!I514</x:f>
        <x:v>101.84</x:v>
      </x:c>
      <x:c r="M550" s="5" t="n">
        <x:f>-J550</x:f>
        <x:v>-101.84</x:v>
      </x:c>
    </x:row>
    <x:row r="551">
      <x:c r="A551" t="str">
        <x:f>"Despesa/Custo"</x:f>
        <x:v>Despesa/Custo</x:v>
      </x:c>
      <x:c r="B551" t="str">
        <x:f>Despesas!A515</x:f>
        <x:v>MAGNO</x:v>
      </x:c>
      <x:c r="C551" t="n">
        <x:f>Despesas!B515</x:f>
        <x:v>0</x:v>
      </x:c>
      <x:c r="D551" t="str">
        <x:f>Despesas!C515</x:f>
        <x:v>015406</x:v>
      </x:c>
      <x:c r="E551" t="str">
        <x:f>Despesas!D515</x:f>
        <x:v>ALFA VIDROS</x:v>
      </x:c>
      <x:c r="F551" t="str">
        <x:f>Despesas!E515</x:f>
        <x:v>REEMBOLSO MAGNO</x:v>
      </x:c>
      <x:c r="G551" s="4" t="n">
        <x:f>Despesas!F515</x:f>
        <x:v>46042</x:v>
      </x:c>
      <x:c r="H551" t="str">
        <x:f>Despesas!G515</x:f>
        <x:v>CMOC CUBATÃO</x:v>
      </x:c>
      <x:c r="I551" t="str">
        <x:f>Despesas!H515</x:f>
        <x:v>12.7 - TRANSPORTE FUNCIONARIOS</x:v>
      </x:c>
      <x:c r="J551" s="5" t="n">
        <x:f>Despesas!I515</x:f>
        <x:v>280</x:v>
      </x:c>
      <x:c r="K551" s="5" t="n">
        <x:f>0</x:f>
        <x:v>0</x:v>
      </x:c>
      <x:c r="L551" s="5" t="n">
        <x:f>Despesas!I515</x:f>
        <x:v>280</x:v>
      </x:c>
      <x:c r="M551" s="5" t="n">
        <x:f>-J551</x:f>
        <x:v>-280</x:v>
      </x:c>
    </x:row>
    <x:row r="552">
      <x:c r="A552" t="str">
        <x:f>"Despesa/Custo"</x:f>
        <x:v>Despesa/Custo</x:v>
      </x:c>
      <x:c r="B552" t="str">
        <x:f>Despesas!A516</x:f>
        <x:v>MAGNO</x:v>
      </x:c>
      <x:c r="C552" t="n">
        <x:f>Despesas!B516</x:f>
        <x:v>0</x:v>
      </x:c>
      <x:c r="D552" t="str">
        <x:f>Despesas!C516</x:f>
        <x:v>015406</x:v>
      </x:c>
      <x:c r="E552" t="str">
        <x:f>Despesas!D516</x:f>
        <x:v>ALFA VIDROS</x:v>
      </x:c>
      <x:c r="F552" t="str">
        <x:f>Despesas!E516</x:f>
        <x:v>REEMBOLSO MAGNO</x:v>
      </x:c>
      <x:c r="G552" s="4" t="n">
        <x:f>Despesas!F516</x:f>
        <x:v>46042</x:v>
      </x:c>
      <x:c r="H552" t="str">
        <x:f>Despesas!G516</x:f>
        <x:v>CMOC CUBATÃO</x:v>
      </x:c>
      <x:c r="I552" t="str">
        <x:f>Despesas!H516</x:f>
        <x:v>13.1 - EPIS</x:v>
      </x:c>
      <x:c r="J552" s="5" t="n">
        <x:f>Despesas!I516</x:f>
        <x:v>320</x:v>
      </x:c>
      <x:c r="K552" s="5" t="n">
        <x:f>0</x:f>
        <x:v>0</x:v>
      </x:c>
      <x:c r="L552" s="5" t="n">
        <x:f>Despesas!I516</x:f>
        <x:v>320</x:v>
      </x:c>
      <x:c r="M552" s="5" t="n">
        <x:f>-J552</x:f>
        <x:v>-320</x:v>
      </x:c>
    </x:row>
    <x:row r="553">
      <x:c r="A553" t="str">
        <x:f>"Despesa/Custo"</x:f>
        <x:v>Despesa/Custo</x:v>
      </x:c>
      <x:c r="B553" t="str">
        <x:f>Despesas!A517</x:f>
        <x:v>MAGNO</x:v>
      </x:c>
      <x:c r="C553" t="n">
        <x:f>Despesas!B517</x:f>
        <x:v>0</x:v>
      </x:c>
      <x:c r="D553" t="str">
        <x:f>Despesas!C517</x:f>
        <x:v>015407</x:v>
      </x:c>
      <x:c r="E553" t="str">
        <x:f>Despesas!D517</x:f>
        <x:v>REEMBOLSO MAGNO</x:v>
      </x:c>
      <x:c r="F553" t="str">
        <x:f>Despesas!E517</x:f>
        <x:v>PRESTAÇÃO DE CONTA</x:v>
      </x:c>
      <x:c r="G553" s="4" t="n">
        <x:f>Despesas!F517</x:f>
        <x:v>46042</x:v>
      </x:c>
      <x:c r="H553" t="str">
        <x:f>Despesas!G517</x:f>
        <x:v>MOSAIC UBERABA CONTRAT0 3 ANOS</x:v>
      </x:c>
      <x:c r="I553" t="str">
        <x:f>Despesas!H517</x:f>
        <x:v>8.9 - MATERIAIS DE CONSUMO EM OBRAS</x:v>
      </x:c>
      <x:c r="J553" s="5" t="n">
        <x:f>Despesas!I517</x:f>
        <x:v>40</x:v>
      </x:c>
      <x:c r="K553" s="5" t="n">
        <x:f>0</x:f>
        <x:v>0</x:v>
      </x:c>
      <x:c r="L553" s="5" t="n">
        <x:f>Despesas!I517</x:f>
        <x:v>40</x:v>
      </x:c>
      <x:c r="M553" s="5" t="n">
        <x:f>-J553</x:f>
        <x:v>-40</x:v>
      </x:c>
    </x:row>
    <x:row r="554">
      <x:c r="A554" t="str">
        <x:f>"Despesa/Custo"</x:f>
        <x:v>Despesa/Custo</x:v>
      </x:c>
      <x:c r="B554" t="str">
        <x:f>Despesas!A518</x:f>
        <x:v>MAGNO</x:v>
      </x:c>
      <x:c r="C554" t="n">
        <x:f>Despesas!B518</x:f>
        <x:v>0</x:v>
      </x:c>
      <x:c r="D554" t="str">
        <x:f>Despesas!C518</x:f>
        <x:v>015407</x:v>
      </x:c>
      <x:c r="E554" t="str">
        <x:f>Despesas!D518</x:f>
        <x:v>REEMBOLSO MAGNO</x:v>
      </x:c>
      <x:c r="F554" t="str">
        <x:f>Despesas!E518</x:f>
        <x:v>PRESTAÇÃO DE CONTA</x:v>
      </x:c>
      <x:c r="G554" s="4" t="n">
        <x:f>Despesas!F518</x:f>
        <x:v>46042</x:v>
      </x:c>
      <x:c r="H554" t="str">
        <x:f>Despesas!G518</x:f>
        <x:v>MOSAIC UBERABA CONTRAT0 3 ANOS</x:v>
      </x:c>
      <x:c r="I554" t="str">
        <x:f>Despesas!H518</x:f>
        <x:v>11.14 - INTERNET OBRAS</x:v>
      </x:c>
      <x:c r="J554" s="5" t="n">
        <x:f>Despesas!I518</x:f>
        <x:v>107.21</x:v>
      </x:c>
      <x:c r="K554" s="5" t="n">
        <x:f>0</x:f>
        <x:v>0</x:v>
      </x:c>
      <x:c r="L554" s="5" t="n">
        <x:f>Despesas!I518</x:f>
        <x:v>107.21</x:v>
      </x:c>
      <x:c r="M554" s="5" t="n">
        <x:f>-J554</x:f>
        <x:v>-107.21</x:v>
      </x:c>
    </x:row>
    <x:row r="555">
      <x:c r="A555" t="str">
        <x:f>"Despesa/Custo"</x:f>
        <x:v>Despesa/Custo</x:v>
      </x:c>
      <x:c r="B555" t="str">
        <x:f>Despesas!A519</x:f>
        <x:v>MAGNO</x:v>
      </x:c>
      <x:c r="C555" t="n">
        <x:f>Despesas!B519</x:f>
        <x:v>0</x:v>
      </x:c>
      <x:c r="D555" t="str">
        <x:f>Despesas!C519</x:f>
        <x:v>015407</x:v>
      </x:c>
      <x:c r="E555" t="str">
        <x:f>Despesas!D519</x:f>
        <x:v>REEMBOLSO MAGNO</x:v>
      </x:c>
      <x:c r="F555" t="str">
        <x:f>Despesas!E519</x:f>
        <x:v>PRESTAÇÃO DE CONTA</x:v>
      </x:c>
      <x:c r="G555" s="4" t="n">
        <x:f>Despesas!F519</x:f>
        <x:v>46042</x:v>
      </x:c>
      <x:c r="H555" t="str">
        <x:f>Despesas!G519</x:f>
        <x:v>MOSAIC UBERABA CONTRAT0 3 ANOS</x:v>
      </x:c>
      <x:c r="I555" t="str">
        <x:f>Despesas!H519</x:f>
        <x:v>12.7 - TRANSPORTE FUNCIONARIOS</x:v>
      </x:c>
      <x:c r="J555" s="5" t="n">
        <x:f>Despesas!I519</x:f>
        <x:v>140</x:v>
      </x:c>
      <x:c r="K555" s="5" t="n">
        <x:f>0</x:f>
        <x:v>0</x:v>
      </x:c>
      <x:c r="L555" s="5" t="n">
        <x:f>Despesas!I519</x:f>
        <x:v>140</x:v>
      </x:c>
      <x:c r="M555" s="5" t="n">
        <x:f>-J555</x:f>
        <x:v>-140</x:v>
      </x:c>
    </x:row>
    <x:row r="556">
      <x:c r="A556" t="str">
        <x:f>"Despesa/Custo"</x:f>
        <x:v>Despesa/Custo</x:v>
      </x:c>
      <x:c r="B556" t="str">
        <x:f>Despesas!A520</x:f>
        <x:v>MAGNO</x:v>
      </x:c>
      <x:c r="C556" t="n">
        <x:f>Despesas!B520</x:f>
        <x:v>0</x:v>
      </x:c>
      <x:c r="D556" t="str">
        <x:f>Despesas!C520</x:f>
        <x:v>015407</x:v>
      </x:c>
      <x:c r="E556" t="str">
        <x:f>Despesas!D520</x:f>
        <x:v>REEMBOLSO MAGNO</x:v>
      </x:c>
      <x:c r="F556" t="str">
        <x:f>Despesas!E520</x:f>
        <x:v>PRESTAÇÃO DE CONTA</x:v>
      </x:c>
      <x:c r="G556" s="4" t="n">
        <x:f>Despesas!F520</x:f>
        <x:v>46042</x:v>
      </x:c>
      <x:c r="H556" t="str">
        <x:f>Despesas!G520</x:f>
        <x:v>MOSAIC UBERABA CONTRAT0 3 ANOS</x:v>
      </x:c>
      <x:c r="I556" t="str">
        <x:f>Despesas!H520</x:f>
        <x:v>12.5 - REFEIÇÕES FUNCIONARIOS</x:v>
      </x:c>
      <x:c r="J556" s="5" t="n">
        <x:f>Despesas!I520</x:f>
        <x:v>201.4</x:v>
      </x:c>
      <x:c r="K556" s="5" t="n">
        <x:f>0</x:f>
        <x:v>0</x:v>
      </x:c>
      <x:c r="L556" s="5" t="n">
        <x:f>Despesas!I520</x:f>
        <x:v>201.4</x:v>
      </x:c>
      <x:c r="M556" s="5" t="n">
        <x:f>-J556</x:f>
        <x:v>-201.4</x:v>
      </x:c>
    </x:row>
    <x:row r="557">
      <x:c r="A557" t="str">
        <x:f>"Despesa/Custo"</x:f>
        <x:v>Despesa/Custo</x:v>
      </x:c>
      <x:c r="B557" t="str">
        <x:f>Despesas!A521</x:f>
        <x:v>MAGNO</x:v>
      </x:c>
      <x:c r="C557" t="n">
        <x:f>Despesas!B521</x:f>
        <x:v>0</x:v>
      </x:c>
      <x:c r="D557" t="str">
        <x:f>Despesas!C521</x:f>
        <x:v>015407</x:v>
      </x:c>
      <x:c r="E557" t="str">
        <x:f>Despesas!D521</x:f>
        <x:v>REEMBOLSO MAGNO</x:v>
      </x:c>
      <x:c r="F557" t="str">
        <x:f>Despesas!E521</x:f>
        <x:v>PRESTAÇÃO DE CONTA</x:v>
      </x:c>
      <x:c r="G557" s="4" t="n">
        <x:f>Despesas!F521</x:f>
        <x:v>46042</x:v>
      </x:c>
      <x:c r="H557" t="str">
        <x:f>Despesas!G521</x:f>
        <x:v>MOSAIC UBERABA CONTRAT0 3 ANOS</x:v>
      </x:c>
      <x:c r="I557" t="str">
        <x:f>Despesas!H521</x:f>
        <x:v>13.1 - EPIS</x:v>
      </x:c>
      <x:c r="J557" s="5" t="n">
        <x:f>Despesas!I521</x:f>
        <x:v>369.9</x:v>
      </x:c>
      <x:c r="K557" s="5" t="n">
        <x:f>0</x:f>
        <x:v>0</x:v>
      </x:c>
      <x:c r="L557" s="5" t="n">
        <x:f>Despesas!I521</x:f>
        <x:v>369.9</x:v>
      </x:c>
      <x:c r="M557" s="5" t="n">
        <x:f>-J557</x:f>
        <x:v>-369.9</x:v>
      </x:c>
    </x:row>
    <x:row r="558">
      <x:c r="A558" t="str">
        <x:f>"Despesa/Custo"</x:f>
        <x:v>Despesa/Custo</x:v>
      </x:c>
      <x:c r="B558" t="str">
        <x:f>Despesas!A522</x:f>
        <x:v>MAGNO</x:v>
      </x:c>
      <x:c r="C558" t="n">
        <x:f>Despesas!B522</x:f>
        <x:v>0</x:v>
      </x:c>
      <x:c r="D558" t="str">
        <x:f>Despesas!C522</x:f>
        <x:v>015414</x:v>
      </x:c>
      <x:c r="E558" t="str">
        <x:f>Despesas!D522</x:f>
        <x:v>PRESTAÇÃO DE CONTAS MAGNO</x:v>
      </x:c>
      <x:c r="F558" t="n">
        <x:f>Despesas!E522</x:f>
        <x:v>0</x:v>
      </x:c>
      <x:c r="G558" s="4" t="n">
        <x:f>Despesas!F522</x:f>
        <x:v>46042</x:v>
      </x:c>
      <x:c r="H558" t="str">
        <x:f>Despesas!G522</x:f>
        <x:v>MOSAIC UBERABA CONTRAT0 3 ANOS</x:v>
      </x:c>
      <x:c r="I558" t="str">
        <x:f>Despesas!H522</x:f>
        <x:v>12.5 - REFEIÇÕES FUNCIONARIOS</x:v>
      </x:c>
      <x:c r="J558" s="5" t="n">
        <x:f>Despesas!I522</x:f>
        <x:v>196.29</x:v>
      </x:c>
      <x:c r="K558" s="5" t="n">
        <x:f>0</x:f>
        <x:v>0</x:v>
      </x:c>
      <x:c r="L558" s="5" t="n">
        <x:f>Despesas!I522</x:f>
        <x:v>196.29</x:v>
      </x:c>
      <x:c r="M558" s="5" t="n">
        <x:f>-J558</x:f>
        <x:v>-196.29</x:v>
      </x:c>
    </x:row>
    <x:row r="559">
      <x:c r="A559" t="str">
        <x:f>"Despesa/Custo"</x:f>
        <x:v>Despesa/Custo</x:v>
      </x:c>
      <x:c r="B559" t="str">
        <x:f>Despesas!A523</x:f>
        <x:v>MAGNO</x:v>
      </x:c>
      <x:c r="C559" t="n">
        <x:f>Despesas!B523</x:f>
        <x:v>0</x:v>
      </x:c>
      <x:c r="D559" t="str">
        <x:f>Despesas!C523</x:f>
        <x:v>015414</x:v>
      </x:c>
      <x:c r="E559" t="str">
        <x:f>Despesas!D523</x:f>
        <x:v>PRESTAÇÃO DE CONTAS MAGNO</x:v>
      </x:c>
      <x:c r="F559" t="n">
        <x:f>Despesas!E523</x:f>
        <x:v>0</x:v>
      </x:c>
      <x:c r="G559" s="4" t="n">
        <x:f>Despesas!F523</x:f>
        <x:v>46042</x:v>
      </x:c>
      <x:c r="H559" t="str">
        <x:f>Despesas!G523</x:f>
        <x:v>MOSAIC UBERABA CONTRAT0 3 ANOS</x:v>
      </x:c>
      <x:c r="I559" t="str">
        <x:f>Despesas!H523</x:f>
        <x:v>6.10 - SERVIÇO LAVA JATO</x:v>
      </x:c>
      <x:c r="J559" s="5" t="n">
        <x:f>Despesas!I523</x:f>
        <x:v>240</x:v>
      </x:c>
      <x:c r="K559" s="5" t="n">
        <x:f>0</x:f>
        <x:v>0</x:v>
      </x:c>
      <x:c r="L559" s="5" t="n">
        <x:f>Despesas!I523</x:f>
        <x:v>240</x:v>
      </x:c>
      <x:c r="M559" s="5" t="n">
        <x:f>-J559</x:f>
        <x:v>-240</x:v>
      </x:c>
    </x:row>
    <x:row r="560">
      <x:c r="A560" t="str">
        <x:f>"Despesa/Custo"</x:f>
        <x:v>Despesa/Custo</x:v>
      </x:c>
      <x:c r="B560" t="str">
        <x:f>Despesas!A524</x:f>
        <x:v>MAGNO</x:v>
      </x:c>
      <x:c r="C560" t="n">
        <x:f>Despesas!B524</x:f>
        <x:v>0</x:v>
      </x:c>
      <x:c r="D560" t="str">
        <x:f>Despesas!C524</x:f>
        <x:v>015414</x:v>
      </x:c>
      <x:c r="E560" t="str">
        <x:f>Despesas!D524</x:f>
        <x:v>PRESTAÇÃO DE CONTAS MAGNO</x:v>
      </x:c>
      <x:c r="F560" t="n">
        <x:f>Despesas!E524</x:f>
        <x:v>0</x:v>
      </x:c>
      <x:c r="G560" s="4" t="n">
        <x:f>Despesas!F524</x:f>
        <x:v>46042</x:v>
      </x:c>
      <x:c r="H560" t="str">
        <x:f>Despesas!G524</x:f>
        <x:v>MOSAIC UBERABA CONTRAT0 3 ANOS</x:v>
      </x:c>
      <x:c r="I560" t="str">
        <x:f>Despesas!H524</x:f>
        <x:v>6.4 - COMBUSTIVEL VEICULOS</x:v>
      </x:c>
      <x:c r="J560" s="5" t="n">
        <x:f>Despesas!I524</x:f>
        <x:v>284.66</x:v>
      </x:c>
      <x:c r="K560" s="5" t="n">
        <x:f>0</x:f>
        <x:v>0</x:v>
      </x:c>
      <x:c r="L560" s="5" t="n">
        <x:f>Despesas!I524</x:f>
        <x:v>284.66</x:v>
      </x:c>
      <x:c r="M560" s="5" t="n">
        <x:f>-J560</x:f>
        <x:v>-284.66</x:v>
      </x:c>
    </x:row>
    <x:row r="561">
      <x:c r="A561" t="str">
        <x:f>"Despesa/Custo"</x:f>
        <x:v>Despesa/Custo</x:v>
      </x:c>
      <x:c r="B561" t="str">
        <x:f>Despesas!A525</x:f>
        <x:v>VAN OBRAS</x:v>
      </x:c>
      <x:c r="C561" t="n">
        <x:f>Despesas!B525</x:f>
        <x:v>0</x:v>
      </x:c>
      <x:c r="D561" t="str">
        <x:f>Despesas!C525</x:f>
        <x:v>015415</x:v>
      </x:c>
      <x:c r="E561" t="str">
        <x:f>Despesas!D525</x:f>
        <x:v>TRANSPORTE DE FUNCIONARIOS EUROCHEM</x:v>
      </x:c>
      <x:c r="F561" t="str">
        <x:f>Despesas!E525</x:f>
        <x:v>Edvaldo Pereira de Araújo 34999071602</x:v>
      </x:c>
      <x:c r="G561" s="4" t="n">
        <x:f>Despesas!F525</x:f>
        <x:v>46042</x:v>
      </x:c>
      <x:c r="H561" t="str">
        <x:f>Despesas!G525</x:f>
        <x:v>EUROCHEM SERRA DO SALITRE</x:v>
      </x:c>
      <x:c r="I561" t="str">
        <x:f>Despesas!H525</x:f>
        <x:v>12.7 - TRANSPORTE FUNCIONARIOS</x:v>
      </x:c>
      <x:c r="J561" s="5" t="n">
        <x:f>Despesas!I525</x:f>
        <x:v>2680</x:v>
      </x:c>
      <x:c r="K561" s="5" t="n">
        <x:f>0</x:f>
        <x:v>0</x:v>
      </x:c>
      <x:c r="L561" s="5" t="n">
        <x:f>Despesas!I525</x:f>
        <x:v>2680</x:v>
      </x:c>
      <x:c r="M561" s="5" t="n">
        <x:f>-J561</x:f>
        <x:v>-2680</x:v>
      </x:c>
    </x:row>
    <x:row r="562">
      <x:c r="A562" t="str">
        <x:f>"Despesa/Custo"</x:f>
        <x:v>Despesa/Custo</x:v>
      </x:c>
      <x:c r="B562" t="str">
        <x:f>Despesas!A526</x:f>
        <x:v>62.032.683 MAIARA DE ANDRADE SILVA</x:v>
      </x:c>
      <x:c r="C562" t="n">
        <x:f>Despesas!B526</x:f>
        <x:v>0</x:v>
      </x:c>
      <x:c r="D562" t="str">
        <x:f>Despesas!C526</x:f>
        <x:v>015416</x:v>
      </x:c>
      <x:c r="E562" t="str">
        <x:f>Despesas!D526</x:f>
        <x:v>REFEIÇÃO FUNCIONARIOS 01 A DIA 15</x:v>
      </x:c>
      <x:c r="F562" t="str">
        <x:f>Despesas!E526</x:f>
        <x:v>PIX MAYARAANDRADESILVA41@GMAIL.COM</x:v>
      </x:c>
      <x:c r="G562" s="4" t="n">
        <x:f>Despesas!F526</x:f>
        <x:v>46042</x:v>
      </x:c>
      <x:c r="H562" t="str">
        <x:f>Despesas!G526</x:f>
        <x:v>EUROCHEM SERRA DO SALITRE</x:v>
      </x:c>
      <x:c r="I562" t="str">
        <x:f>Despesas!H526</x:f>
        <x:v>12.5 - REFEIÇÕES FUNCIONARIOS</x:v>
      </x:c>
      <x:c r="J562" s="5" t="n">
        <x:f>Despesas!I526</x:f>
        <x:v>2128</x:v>
      </x:c>
      <x:c r="K562" s="5" t="n">
        <x:f>0</x:f>
        <x:v>0</x:v>
      </x:c>
      <x:c r="L562" s="5" t="n">
        <x:f>Despesas!I526</x:f>
        <x:v>2128</x:v>
      </x:c>
      <x:c r="M562" s="5" t="n">
        <x:f>-J562</x:f>
        <x:v>-2128</x:v>
      </x:c>
    </x:row>
    <x:row r="563">
      <x:c r="A563" t="str">
        <x:f>"Despesa/Custo"</x:f>
        <x:v>Despesa/Custo</x:v>
      </x:c>
      <x:c r="B563" t="str">
        <x:f>Despesas!A527</x:f>
        <x:v>FOLGA DE CAMPO</x:v>
      </x:c>
      <x:c r="C563" t="n">
        <x:f>Despesas!B527</x:f>
        <x:v>0</x:v>
      </x:c>
      <x:c r="D563" t="str">
        <x:f>Despesas!C527</x:f>
        <x:v>015420</x:v>
      </x:c>
      <x:c r="E563" t="str">
        <x:f>Despesas!D527</x:f>
        <x:v>JOSÉ SIMÕES DE PINHO FILHO</x:v>
      </x:c>
      <x:c r="F563" t="str">
        <x:f>Despesas!E527</x:f>
        <x:v>COMPRA DE FOLGA DE CAMPO</x:v>
      </x:c>
      <x:c r="G563" s="4" t="n">
        <x:f>Despesas!F527</x:f>
        <x:v>46042</x:v>
      </x:c>
      <x:c r="H563" t="str">
        <x:f>Despesas!G527</x:f>
        <x:v>EUROCHEM SERRA DO SALITRE</x:v>
      </x:c>
      <x:c r="I563" t="str">
        <x:f>Despesas!H527</x:f>
        <x:v>12.9 - PASSAGENS FUNCIONARIOS</x:v>
      </x:c>
      <x:c r="J563" s="5" t="n">
        <x:f>Despesas!I527</x:f>
        <x:v>1500</x:v>
      </x:c>
      <x:c r="K563" s="5" t="n">
        <x:f>0</x:f>
        <x:v>0</x:v>
      </x:c>
      <x:c r="L563" s="5" t="n">
        <x:f>Despesas!I527</x:f>
        <x:v>1500</x:v>
      </x:c>
      <x:c r="M563" s="5" t="n">
        <x:f>-J563</x:f>
        <x:v>-1500</x:v>
      </x:c>
    </x:row>
    <x:row r="564">
      <x:c r="A564" t="str">
        <x:f>"Despesa/Custo"</x:f>
        <x:v>Despesa/Custo</x:v>
      </x:c>
      <x:c r="B564" t="str">
        <x:f>Despesas!A528</x:f>
        <x:v>CORDEIRO REMOCOES GUINDASTES E TRANSPORTES LTDA</x:v>
      </x:c>
      <x:c r="C564" t="str">
        <x:f>Despesas!B528</x:f>
        <x:v>957</x:v>
      </x:c>
      <x:c r="D564" t="str">
        <x:f>Despesas!C528</x:f>
        <x:v>015422</x:v>
      </x:c>
      <x:c r="E564" t="str">
        <x:f>Despesas!D528</x:f>
        <x:v>CORDEIRO REMOÇÕES - PIX 07.209.686/0001-74</x:v>
      </x:c>
      <x:c r="F564" t="str">
        <x:f>Despesas!E528</x:f>
        <x:v>LOCAÇÃO CONTAINER REF. 01/12 A 31/12/25</x:v>
      </x:c>
      <x:c r="G564" s="4" t="n">
        <x:f>Despesas!F528</x:f>
        <x:v>46042</x:v>
      </x:c>
      <x:c r="H564" t="str">
        <x:f>Despesas!G528</x:f>
        <x:v>VLI PINTURA</x:v>
      </x:c>
      <x:c r="I564" t="str">
        <x:f>Despesas!H528</x:f>
        <x:v>7.6 - LOCAÇÃO CONTAINER</x:v>
      </x:c>
      <x:c r="J564" s="5" t="n">
        <x:f>Despesas!I528</x:f>
        <x:v>7043.64</x:v>
      </x:c>
      <x:c r="K564" s="5" t="n">
        <x:f>0</x:f>
        <x:v>0</x:v>
      </x:c>
      <x:c r="L564" s="5" t="n">
        <x:f>Despesas!I528</x:f>
        <x:v>7043.64</x:v>
      </x:c>
      <x:c r="M564" s="5" t="n">
        <x:f>-J564</x:f>
        <x:v>-7043.64</x:v>
      </x:c>
    </x:row>
    <x:row r="565">
      <x:c r="A565" t="str">
        <x:f>"Despesa/Custo"</x:f>
        <x:v>Despesa/Custo</x:v>
      </x:c>
      <x:c r="B565" t="str">
        <x:f>Despesas!A529</x:f>
        <x:v>PLANNING MAROX CONSULTORIA S/S LTDA</x:v>
      </x:c>
      <x:c r="C565" t="str">
        <x:f>Despesas!B529</x:f>
        <x:v>781</x:v>
      </x:c>
      <x:c r="D565" t="str">
        <x:f>Despesas!C529</x:f>
        <x:v>015423</x:v>
      </x:c>
      <x:c r="E565" t="str">
        <x:f>Despesas!D529</x:f>
        <x:v>HONORARIOS CONTABIL E FISCAL</x:v>
      </x:c>
      <x:c r="F565" t="str">
        <x:f>Despesas!E529</x:f>
        <x:v>VENCIMENTO ORIGINAL DO BOLETO  25/01/2026</x:v>
      </x:c>
      <x:c r="G565" s="4" t="n">
        <x:f>Despesas!F529</x:f>
        <x:v>46042</x:v>
      </x:c>
      <x:c r="H565" t="str">
        <x:f>Despesas!G529</x:f>
        <x:v>ADMINISTRATIVO</x:v>
      </x:c>
      <x:c r="I565" t="str">
        <x:f>Despesas!H529</x:f>
        <x:v>11.10 - CONTABILIDADE</x:v>
      </x:c>
      <x:c r="J565" s="5" t="n">
        <x:f>Despesas!I529</x:f>
        <x:v>7526.06</x:v>
      </x:c>
      <x:c r="K565" s="5" t="n">
        <x:f>0</x:f>
        <x:v>0</x:v>
      </x:c>
      <x:c r="L565" s="5" t="n">
        <x:f>Despesas!I529</x:f>
        <x:v>7526.06</x:v>
      </x:c>
      <x:c r="M565" s="5" t="n">
        <x:f>-J565</x:f>
        <x:v>-7526.06</x:v>
      </x:c>
    </x:row>
    <x:row r="566">
      <x:c r="A566" t="str">
        <x:f>"Despesa/Custo"</x:f>
        <x:v>Despesa/Custo</x:v>
      </x:c>
      <x:c r="B566" t="str">
        <x:f>Despesas!A530</x:f>
        <x:v>PLANNING MAROX CONSULTORIA S/S LTDA</x:v>
      </x:c>
      <x:c r="C566" t="str">
        <x:f>Despesas!B530</x:f>
        <x:v>782</x:v>
      </x:c>
      <x:c r="D566" t="str">
        <x:f>Despesas!C530</x:f>
        <x:v>015425</x:v>
      </x:c>
      <x:c r="E566" t="str">
        <x:f>Despesas!D530</x:f>
        <x:v>SERVIÇO FOPAG - FECHAMENTO DE ENCARGOS</x:v>
      </x:c>
      <x:c r="F566" t="str">
        <x:f>Despesas!E530</x:f>
        <x:v>VENCIMENTO ORIGINAL DO BOLETO 25/01/26</x:v>
      </x:c>
      <x:c r="G566" s="4" t="n">
        <x:f>Despesas!F530</x:f>
        <x:v>46042</x:v>
      </x:c>
      <x:c r="H566" t="str">
        <x:f>Despesas!G530</x:f>
        <x:v>ADMINISTRATIVO</x:v>
      </x:c>
      <x:c r="I566" t="str">
        <x:f>Despesas!H530</x:f>
        <x:v>11.10 - CONTABILIDADE</x:v>
      </x:c>
      <x:c r="J566" s="5" t="n">
        <x:f>Despesas!I530</x:f>
        <x:v>9035.4</x:v>
      </x:c>
      <x:c r="K566" s="5" t="n">
        <x:f>0</x:f>
        <x:v>0</x:v>
      </x:c>
      <x:c r="L566" s="5" t="n">
        <x:f>Despesas!I530</x:f>
        <x:v>9035.4</x:v>
      </x:c>
      <x:c r="M566" s="5" t="n">
        <x:f>-J566</x:f>
        <x:v>-9035.4</x:v>
      </x:c>
    </x:row>
    <x:row r="567">
      <x:c r="A567" t="str">
        <x:f>"Despesa/Custo"</x:f>
        <x:v>Despesa/Custo</x:v>
      </x:c>
      <x:c r="B567" t="str">
        <x:f>Despesas!A531</x:f>
        <x:v>FOLGA DE CAMPO</x:v>
      </x:c>
      <x:c r="C567" t="n">
        <x:f>Despesas!B531</x:f>
        <x:v>0</x:v>
      </x:c>
      <x:c r="D567" t="str">
        <x:f>Despesas!C531</x:f>
        <x:v>015426</x:v>
      </x:c>
      <x:c r="E567" t="str">
        <x:f>Despesas!D531</x:f>
        <x:v>MARIA DO AMPARO SALES DA ROCHA</x:v>
      </x:c>
      <x:c r="F567" t="str">
        <x:f>Despesas!E531</x:f>
        <x:v>COMPRA FOLGA DE CAMPO</x:v>
      </x:c>
      <x:c r="G567" s="4" t="n">
        <x:f>Despesas!F531</x:f>
        <x:v>46042</x:v>
      </x:c>
      <x:c r="H567" t="str">
        <x:f>Despesas!G531</x:f>
        <x:v>MOSAIC UBERABA CONTRAT0 3 ANOS</x:v>
      </x:c>
      <x:c r="I567" t="str">
        <x:f>Despesas!H531</x:f>
        <x:v>12.7 - TRANSPORTE FUNCIONARIOS</x:v>
      </x:c>
      <x:c r="J567" s="5" t="n">
        <x:f>Despesas!I531</x:f>
        <x:v>1500</x:v>
      </x:c>
      <x:c r="K567" s="5" t="n">
        <x:f>0</x:f>
        <x:v>0</x:v>
      </x:c>
      <x:c r="L567" s="5" t="n">
        <x:f>Despesas!I531</x:f>
        <x:v>1500</x:v>
      </x:c>
      <x:c r="M567" s="5" t="n">
        <x:f>-J567</x:f>
        <x:v>-1500</x:v>
      </x:c>
    </x:row>
    <x:row r="568">
      <x:c r="A568" t="str">
        <x:f>"Despesa/Custo"</x:f>
        <x:v>Despesa/Custo</x:v>
      </x:c>
      <x:c r="B568" t="str">
        <x:f>Despesas!A532</x:f>
        <x:v>INDUSTRIALLY REFEICOES EMPRESARIAIS E SERVICOS ADMINISTRATIV</x:v>
      </x:c>
      <x:c r="C568" t="str">
        <x:f>Despesas!B532</x:f>
        <x:v>287</x:v>
      </x:c>
      <x:c r="D568" t="str">
        <x:f>Despesas!C532</x:f>
        <x:v>015427</x:v>
      </x:c>
      <x:c r="E568" t="str">
        <x:f>Despesas!D532</x:f>
        <x:v>REFEIÇÃO ANGLO</x:v>
      </x:c>
      <x:c r="F568" t="str">
        <x:f>Despesas!E532</x:f>
        <x:v>INDUSTRIALY REFEIÇÕES  VENC 19/01/2026</x:v>
      </x:c>
      <x:c r="G568" s="4" t="n">
        <x:f>Despesas!F532</x:f>
        <x:v>46042</x:v>
      </x:c>
      <x:c r="H568" t="str">
        <x:f>Despesas!G532</x:f>
        <x:v>ANGLO AMERICAN</x:v>
      </x:c>
      <x:c r="I568" t="str">
        <x:f>Despesas!H532</x:f>
        <x:v>12.5 - REFEIÇÕES FUNCIONARIOS</x:v>
      </x:c>
      <x:c r="J568" s="5" t="n">
        <x:f>Despesas!I532</x:f>
        <x:v>2792.79</x:v>
      </x:c>
      <x:c r="K568" s="5" t="n">
        <x:f>0</x:f>
        <x:v>0</x:v>
      </x:c>
      <x:c r="L568" s="5" t="n">
        <x:f>Despesas!I532</x:f>
        <x:v>2792.79</x:v>
      </x:c>
      <x:c r="M568" s="5" t="n">
        <x:f>-J568</x:f>
        <x:v>-2792.79</x:v>
      </x:c>
    </x:row>
    <x:row r="569">
      <x:c r="A569" t="str">
        <x:f>"Despesa/Custo"</x:f>
        <x:v>Despesa/Custo</x:v>
      </x:c>
      <x:c r="B569" t="str">
        <x:f>Despesas!A533</x:f>
        <x:v>POSTO FERREIRA MATIAS COMBUSTIVEL LTDA</x:v>
      </x:c>
      <x:c r="C569" t="str">
        <x:f>Despesas!B533</x:f>
        <x:v>18608</x:v>
      </x:c>
      <x:c r="D569" t="str">
        <x:f>Despesas!C533</x:f>
        <x:v>015428</x:v>
      </x:c>
      <x:c r="E569" t="str">
        <x:f>Despesas!D533</x:f>
        <x:v>FERREIRA MATIAS COMBUSTIVEIS LTDA</x:v>
      </x:c>
      <x:c r="F569" t="str">
        <x:f>Despesas!E533</x:f>
        <x:v>BOLETO  VENC 22/01/2025</x:v>
      </x:c>
      <x:c r="G569" s="4" t="n">
        <x:f>Despesas!F533</x:f>
        <x:v>46042</x:v>
      </x:c>
      <x:c r="H569" t="str">
        <x:f>Despesas!G533</x:f>
        <x:v>ANGLO AMERICAN</x:v>
      </x:c>
      <x:c r="I569" t="str">
        <x:f>Despesas!H533</x:f>
        <x:v>6.4 - COMBUSTIVEL VEICULOS</x:v>
      </x:c>
      <x:c r="J569" s="5" t="n">
        <x:f>Despesas!I533</x:f>
        <x:v>143.098905</x:v>
      </x:c>
      <x:c r="K569" s="5" t="n">
        <x:f>0</x:f>
        <x:v>0</x:v>
      </x:c>
      <x:c r="L569" s="5" t="n">
        <x:f>Despesas!I533</x:f>
        <x:v>143.098905</x:v>
      </x:c>
      <x:c r="M569" s="5" t="n">
        <x:f>-J569</x:f>
        <x:v>-143.098905</x:v>
      </x:c>
    </x:row>
    <x:row r="570">
      <x:c r="A570" t="str">
        <x:f>"Despesa/Custo"</x:f>
        <x:v>Despesa/Custo</x:v>
      </x:c>
      <x:c r="B570" t="str">
        <x:f>Despesas!A534</x:f>
        <x:v>POSTO FERREIRA MATIAS COMBUSTIVEL LTDA</x:v>
      </x:c>
      <x:c r="C570" t="str">
        <x:f>Despesas!B534</x:f>
        <x:v>18608</x:v>
      </x:c>
      <x:c r="D570" t="str">
        <x:f>Despesas!C534</x:f>
        <x:v>015428</x:v>
      </x:c>
      <x:c r="E570" t="str">
        <x:f>Despesas!D534</x:f>
        <x:v>FERREIRA MATIAS COMBUSTIVEIS LTDA</x:v>
      </x:c>
      <x:c r="F570" t="str">
        <x:f>Despesas!E534</x:f>
        <x:v>BOLETO  VENC 22/01/2025</x:v>
      </x:c>
      <x:c r="G570" s="4" t="n">
        <x:f>Despesas!F534</x:f>
        <x:v>46042</x:v>
      </x:c>
      <x:c r="H570" t="str">
        <x:f>Despesas!G534</x:f>
        <x:v>ANGLO AMERICAN</x:v>
      </x:c>
      <x:c r="I570" t="str">
        <x:f>Despesas!H534</x:f>
        <x:v>8.13 - COMBUSTIVEL EQUIPAMENTOS</x:v>
      </x:c>
      <x:c r="J570" s="5" t="n">
        <x:f>Despesas!I534</x:f>
        <x:v>580.551095</x:v>
      </x:c>
      <x:c r="K570" s="5" t="n">
        <x:f>0</x:f>
        <x:v>0</x:v>
      </x:c>
      <x:c r="L570" s="5" t="n">
        <x:f>Despesas!I534</x:f>
        <x:v>580.551095</x:v>
      </x:c>
      <x:c r="M570" s="5" t="n">
        <x:f>-J570</x:f>
        <x:v>-580.551095</x:v>
      </x:c>
    </x:row>
    <x:row r="571">
      <x:c r="A571" t="str">
        <x:f>"Despesa/Custo"</x:f>
        <x:v>Despesa/Custo</x:v>
      </x:c>
      <x:c r="B571" t="str">
        <x:f>Despesas!A535</x:f>
        <x:v>CARTAO PRA TODOS</x:v>
      </x:c>
      <x:c r="C571" t="str">
        <x:f>Despesas!B535</x:f>
        <x:v>237115</x:v>
      </x:c>
      <x:c r="D571" t="str">
        <x:f>Despesas!C535</x:f>
        <x:v>015429</x:v>
      </x:c>
      <x:c r="E571" t="str">
        <x:f>Despesas!D535</x:f>
        <x:v>CARTÃO DE TODOS</x:v>
      </x:c>
      <x:c r="F571" t="str">
        <x:f>Despesas!E535</x:f>
        <x:v>VENC 23/01/2026</x:v>
      </x:c>
      <x:c r="G571" s="4" t="n">
        <x:f>Despesas!F535</x:f>
        <x:v>46042</x:v>
      </x:c>
      <x:c r="H571" t="str">
        <x:f>Despesas!G535</x:f>
        <x:v>ADMINISTRATIVO</x:v>
      </x:c>
      <x:c r="I571" t="str">
        <x:f>Despesas!H535</x:f>
        <x:v>12.11 - ASSISTENCIA MEDICA ADM</x:v>
      </x:c>
      <x:c r="J571" s="5" t="n">
        <x:f>Despesas!I535</x:f>
        <x:v>980.1</x:v>
      </x:c>
      <x:c r="K571" s="5" t="n">
        <x:f>0</x:f>
        <x:v>0</x:v>
      </x:c>
      <x:c r="L571" s="5" t="n">
        <x:f>Despesas!I535</x:f>
        <x:v>980.1</x:v>
      </x:c>
      <x:c r="M571" s="5" t="n">
        <x:f>-J571</x:f>
        <x:v>-980.1</x:v>
      </x:c>
    </x:row>
    <x:row r="572">
      <x:c r="A572" t="str">
        <x:f>"Despesa/Custo"</x:f>
        <x:v>Despesa/Custo</x:v>
      </x:c>
      <x:c r="B572" t="str">
        <x:f>Despesas!A536</x:f>
        <x:v>CARTAO PRA TODOS</x:v>
      </x:c>
      <x:c r="C572" t="str">
        <x:f>Despesas!B536</x:f>
        <x:v>237115</x:v>
      </x:c>
      <x:c r="D572" t="str">
        <x:f>Despesas!C536</x:f>
        <x:v>015429</x:v>
      </x:c>
      <x:c r="E572" t="str">
        <x:f>Despesas!D536</x:f>
        <x:v>CARTÃO DE TODOS</x:v>
      </x:c>
      <x:c r="F572" t="str">
        <x:f>Despesas!E536</x:f>
        <x:v>VENC 23/01/2026</x:v>
      </x:c>
      <x:c r="G572" s="4" t="n">
        <x:f>Despesas!F536</x:f>
        <x:v>46042</x:v>
      </x:c>
      <x:c r="H572" t="str">
        <x:f>Despesas!G536</x:f>
        <x:v>MOSAIC UBERABA CONTRAT0 3 ANOS</x:v>
      </x:c>
      <x:c r="I572" t="str">
        <x:f>Despesas!H536</x:f>
        <x:v>12.11 - ASSISTENCIA MEDICA ADM</x:v>
      </x:c>
      <x:c r="J572" s="5" t="n">
        <x:f>Despesas!I536</x:f>
        <x:v>772.2</x:v>
      </x:c>
      <x:c r="K572" s="5" t="n">
        <x:f>0</x:f>
        <x:v>0</x:v>
      </x:c>
      <x:c r="L572" s="5" t="n">
        <x:f>Despesas!I536</x:f>
        <x:v>772.2</x:v>
      </x:c>
      <x:c r="M572" s="5" t="n">
        <x:f>-J572</x:f>
        <x:v>-772.2</x:v>
      </x:c>
    </x:row>
    <x:row r="573">
      <x:c r="A573" t="str">
        <x:f>"Despesa/Custo"</x:f>
        <x:v>Despesa/Custo</x:v>
      </x:c>
      <x:c r="B573" t="str">
        <x:f>Despesas!A537</x:f>
        <x:v>CARTAO PRA TODOS</x:v>
      </x:c>
      <x:c r="C573" t="str">
        <x:f>Despesas!B537</x:f>
        <x:v>237115</x:v>
      </x:c>
      <x:c r="D573" t="str">
        <x:f>Despesas!C537</x:f>
        <x:v>015429</x:v>
      </x:c>
      <x:c r="E573" t="str">
        <x:f>Despesas!D537</x:f>
        <x:v>CARTÃO DE TODOS</x:v>
      </x:c>
      <x:c r="F573" t="str">
        <x:f>Despesas!E537</x:f>
        <x:v>VENC 23/01/2026</x:v>
      </x:c>
      <x:c r="G573" s="4" t="n">
        <x:f>Despesas!F537</x:f>
        <x:v>46042</x:v>
      </x:c>
      <x:c r="H573" t="str">
        <x:f>Despesas!G537</x:f>
        <x:v>ANGLO AMERICAN</x:v>
      </x:c>
      <x:c r="I573" t="str">
        <x:f>Despesas!H537</x:f>
        <x:v>12.11 - ASSISTENCIA MEDICA ADM</x:v>
      </x:c>
      <x:c r="J573" s="5" t="n">
        <x:f>Despesas!I537</x:f>
        <x:v>267.3</x:v>
      </x:c>
      <x:c r="K573" s="5" t="n">
        <x:f>0</x:f>
        <x:v>0</x:v>
      </x:c>
      <x:c r="L573" s="5" t="n">
        <x:f>Despesas!I537</x:f>
        <x:v>267.3</x:v>
      </x:c>
      <x:c r="M573" s="5" t="n">
        <x:f>-J573</x:f>
        <x:v>-267.3</x:v>
      </x:c>
    </x:row>
    <x:row r="574">
      <x:c r="A574" t="str">
        <x:f>"Despesa/Custo"</x:f>
        <x:v>Despesa/Custo</x:v>
      </x:c>
      <x:c r="B574" t="str">
        <x:f>Despesas!A538</x:f>
        <x:v>CARTAO PRA TODOS</x:v>
      </x:c>
      <x:c r="C574" t="str">
        <x:f>Despesas!B538</x:f>
        <x:v>237115</x:v>
      </x:c>
      <x:c r="D574" t="str">
        <x:f>Despesas!C538</x:f>
        <x:v>015429</x:v>
      </x:c>
      <x:c r="E574" t="str">
        <x:f>Despesas!D538</x:f>
        <x:v>CARTÃO DE TODOS</x:v>
      </x:c>
      <x:c r="F574" t="str">
        <x:f>Despesas!E538</x:f>
        <x:v>VENC 23/01/2026</x:v>
      </x:c>
      <x:c r="G574" s="4" t="n">
        <x:f>Despesas!F538</x:f>
        <x:v>46042</x:v>
      </x:c>
      <x:c r="H574" t="str">
        <x:f>Despesas!G538</x:f>
        <x:v>EUROCHEM SERRA DO SALITRE</x:v>
      </x:c>
      <x:c r="I574" t="str">
        <x:f>Despesas!H538</x:f>
        <x:v>12.11 - ASSISTENCIA MEDICA ADM</x:v>
      </x:c>
      <x:c r="J574" s="5" t="n">
        <x:f>Despesas!I538</x:f>
        <x:v>297</x:v>
      </x:c>
      <x:c r="K574" s="5" t="n">
        <x:f>0</x:f>
        <x:v>0</x:v>
      </x:c>
      <x:c r="L574" s="5" t="n">
        <x:f>Despesas!I538</x:f>
        <x:v>297</x:v>
      </x:c>
      <x:c r="M574" s="5" t="n">
        <x:f>-J574</x:f>
        <x:v>-297</x:v>
      </x:c>
    </x:row>
    <x:row r="575">
      <x:c r="A575" t="str">
        <x:f>"Despesa/Custo"</x:f>
        <x:v>Despesa/Custo</x:v>
      </x:c>
      <x:c r="B575" t="str">
        <x:f>Despesas!A539</x:f>
        <x:v>CARTAO PRA TODOS</x:v>
      </x:c>
      <x:c r="C575" t="str">
        <x:f>Despesas!B539</x:f>
        <x:v>237115</x:v>
      </x:c>
      <x:c r="D575" t="str">
        <x:f>Despesas!C539</x:f>
        <x:v>015429</x:v>
      </x:c>
      <x:c r="E575" t="str">
        <x:f>Despesas!D539</x:f>
        <x:v>CARTÃO DE TODOS</x:v>
      </x:c>
      <x:c r="F575" t="str">
        <x:f>Despesas!E539</x:f>
        <x:v>VENC 23/01/2026</x:v>
      </x:c>
      <x:c r="G575" s="4" t="n">
        <x:f>Despesas!F539</x:f>
        <x:v>46042</x:v>
      </x:c>
      <x:c r="H575" t="str">
        <x:f>Despesas!G539</x:f>
        <x:v>FOSFATO CMOC CONTRAT</x:v>
      </x:c>
      <x:c r="I575" t="str">
        <x:f>Despesas!H539</x:f>
        <x:v>12.11 - ASSISTENCIA MEDICA ADM</x:v>
      </x:c>
      <x:c r="J575" s="5" t="n">
        <x:f>Despesas!I539</x:f>
        <x:v>594</x:v>
      </x:c>
      <x:c r="K575" s="5" t="n">
        <x:f>0</x:f>
        <x:v>0</x:v>
      </x:c>
      <x:c r="L575" s="5" t="n">
        <x:f>Despesas!I539</x:f>
        <x:v>594</x:v>
      </x:c>
      <x:c r="M575" s="5" t="n">
        <x:f>-J575</x:f>
        <x:v>-594</x:v>
      </x:c>
    </x:row>
    <x:row r="576">
      <x:c r="A576" t="str">
        <x:f>"Despesa/Custo"</x:f>
        <x:v>Despesa/Custo</x:v>
      </x:c>
      <x:c r="B576" t="str">
        <x:f>Despesas!A540</x:f>
        <x:v>CARTAO PRA TODOS</x:v>
      </x:c>
      <x:c r="C576" t="str">
        <x:f>Despesas!B540</x:f>
        <x:v>237115</x:v>
      </x:c>
      <x:c r="D576" t="str">
        <x:f>Despesas!C540</x:f>
        <x:v>015429</x:v>
      </x:c>
      <x:c r="E576" t="str">
        <x:f>Despesas!D540</x:f>
        <x:v>CARTÃO DE TODOS</x:v>
      </x:c>
      <x:c r="F576" t="str">
        <x:f>Despesas!E540</x:f>
        <x:v>VENC 23/01/2026</x:v>
      </x:c>
      <x:c r="G576" s="4" t="n">
        <x:f>Despesas!F540</x:f>
        <x:v>46042</x:v>
      </x:c>
      <x:c r="H576" t="str">
        <x:f>Despesas!G540</x:f>
        <x:v>NIOBIO CMOC CONTRATO</x:v>
      </x:c>
      <x:c r="I576" t="str">
        <x:f>Despesas!H540</x:f>
        <x:v>12.11 - ASSISTENCIA MEDICA ADM</x:v>
      </x:c>
      <x:c r="J576" s="5" t="n">
        <x:f>Despesas!I540</x:f>
        <x:v>356.4</x:v>
      </x:c>
      <x:c r="K576" s="5" t="n">
        <x:f>0</x:f>
        <x:v>0</x:v>
      </x:c>
      <x:c r="L576" s="5" t="n">
        <x:f>Despesas!I540</x:f>
        <x:v>356.4</x:v>
      </x:c>
      <x:c r="M576" s="5" t="n">
        <x:f>-J576</x:f>
        <x:v>-356.4</x:v>
      </x:c>
    </x:row>
    <x:row r="577">
      <x:c r="A577" t="str">
        <x:f>"Despesa/Custo"</x:f>
        <x:v>Despesa/Custo</x:v>
      </x:c>
      <x:c r="B577" t="str">
        <x:f>Despesas!A541</x:f>
        <x:v>CARTAO PRA TODOS</x:v>
      </x:c>
      <x:c r="C577" t="str">
        <x:f>Despesas!B541</x:f>
        <x:v>237115</x:v>
      </x:c>
      <x:c r="D577" t="str">
        <x:f>Despesas!C541</x:f>
        <x:v>015429</x:v>
      </x:c>
      <x:c r="E577" t="str">
        <x:f>Despesas!D541</x:f>
        <x:v>CARTÃO DE TODOS</x:v>
      </x:c>
      <x:c r="F577" t="str">
        <x:f>Despesas!E541</x:f>
        <x:v>VENC 23/01/2026</x:v>
      </x:c>
      <x:c r="G577" s="4" t="n">
        <x:f>Despesas!F541</x:f>
        <x:v>46042</x:v>
      </x:c>
      <x:c r="H577" t="str">
        <x:f>Despesas!G541</x:f>
        <x:v>SERENA 10 TORRES 2025</x:v>
      </x:c>
      <x:c r="I577" t="str">
        <x:f>Despesas!H541</x:f>
        <x:v>12.11 - ASSISTENCIA MEDICA ADM</x:v>
      </x:c>
      <x:c r="J577" s="5" t="n">
        <x:f>Despesas!I541</x:f>
        <x:v>564.3</x:v>
      </x:c>
      <x:c r="K577" s="5" t="n">
        <x:f>0</x:f>
        <x:v>0</x:v>
      </x:c>
      <x:c r="L577" s="5" t="n">
        <x:f>Despesas!I541</x:f>
        <x:v>564.3</x:v>
      </x:c>
      <x:c r="M577" s="5" t="n">
        <x:f>-J577</x:f>
        <x:v>-564.3</x:v>
      </x:c>
    </x:row>
    <x:row r="578">
      <x:c r="A578" t="str">
        <x:f>"Despesa/Custo"</x:f>
        <x:v>Despesa/Custo</x:v>
      </x:c>
      <x:c r="B578" t="str">
        <x:f>Despesas!A542</x:f>
        <x:v>CARTAO PRA TODOS</x:v>
      </x:c>
      <x:c r="C578" t="str">
        <x:f>Despesas!B542</x:f>
        <x:v>237115</x:v>
      </x:c>
      <x:c r="D578" t="str">
        <x:f>Despesas!C542</x:f>
        <x:v>015429</x:v>
      </x:c>
      <x:c r="E578" t="str">
        <x:f>Despesas!D542</x:f>
        <x:v>CARTÃO DE TODOS</x:v>
      </x:c>
      <x:c r="F578" t="str">
        <x:f>Despesas!E542</x:f>
        <x:v>VENC 23/01/2026</x:v>
      </x:c>
      <x:c r="G578" s="4" t="n">
        <x:f>Despesas!F542</x:f>
        <x:v>46042</x:v>
      </x:c>
      <x:c r="H578" t="str">
        <x:f>Despesas!G542</x:f>
        <x:v>CMOC CUBATÃO</x:v>
      </x:c>
      <x:c r="I578" t="str">
        <x:f>Despesas!H542</x:f>
        <x:v>12.11 - ASSISTENCIA MEDICA ADM</x:v>
      </x:c>
      <x:c r="J578" s="5" t="n">
        <x:f>Despesas!I542</x:f>
        <x:v>445.5</x:v>
      </x:c>
      <x:c r="K578" s="5" t="n">
        <x:f>0</x:f>
        <x:v>0</x:v>
      </x:c>
      <x:c r="L578" s="5" t="n">
        <x:f>Despesas!I542</x:f>
        <x:v>445.5</x:v>
      </x:c>
      <x:c r="M578" s="5" t="n">
        <x:f>-J578</x:f>
        <x:v>-445.5</x:v>
      </x:c>
    </x:row>
    <x:row r="579">
      <x:c r="A579" t="str">
        <x:f>"Despesa/Custo"</x:f>
        <x:v>Despesa/Custo</x:v>
      </x:c>
      <x:c r="B579" t="str">
        <x:f>Despesas!A543</x:f>
        <x:v>CARTAO PRA TODOS</x:v>
      </x:c>
      <x:c r="C579" t="str">
        <x:f>Despesas!B543</x:f>
        <x:v>237115</x:v>
      </x:c>
      <x:c r="D579" t="str">
        <x:f>Despesas!C543</x:f>
        <x:v>015429</x:v>
      </x:c>
      <x:c r="E579" t="str">
        <x:f>Despesas!D543</x:f>
        <x:v>CARTÃO DE TODOS</x:v>
      </x:c>
      <x:c r="F579" t="str">
        <x:f>Despesas!E543</x:f>
        <x:v>VENC 23/01/2026</x:v>
      </x:c>
      <x:c r="G579" s="4" t="n">
        <x:f>Despesas!F543</x:f>
        <x:v>46042</x:v>
      </x:c>
      <x:c r="H579" t="str">
        <x:f>Despesas!G543</x:f>
        <x:v>CONTRATO 02 ANOS MINERAÇÃO SERRA VERDE</x:v>
      </x:c>
      <x:c r="I579" t="str">
        <x:f>Despesas!H543</x:f>
        <x:v>12.11 - ASSISTENCIA MEDICA ADM</x:v>
      </x:c>
      <x:c r="J579" s="5" t="n">
        <x:f>Despesas!I543</x:f>
        <x:v>207.9</x:v>
      </x:c>
      <x:c r="K579" s="5" t="n">
        <x:f>0</x:f>
        <x:v>0</x:v>
      </x:c>
      <x:c r="L579" s="5" t="n">
        <x:f>Despesas!I543</x:f>
        <x:v>207.9</x:v>
      </x:c>
      <x:c r="M579" s="5" t="n">
        <x:f>-J579</x:f>
        <x:v>-207.9</x:v>
      </x:c>
    </x:row>
    <x:row r="580">
      <x:c r="A580" t="str">
        <x:f>"Despesa/Custo"</x:f>
        <x:v>Despesa/Custo</x:v>
      </x:c>
      <x:c r="B580" t="str">
        <x:f>Despesas!A544</x:f>
        <x:v>CARTAO PRA TODOS</x:v>
      </x:c>
      <x:c r="C580" t="str">
        <x:f>Despesas!B544</x:f>
        <x:v>237115</x:v>
      </x:c>
      <x:c r="D580" t="str">
        <x:f>Despesas!C544</x:f>
        <x:v>015429</x:v>
      </x:c>
      <x:c r="E580" t="str">
        <x:f>Despesas!D544</x:f>
        <x:v>CARTÃO DE TODOS</x:v>
      </x:c>
      <x:c r="F580" t="str">
        <x:f>Despesas!E544</x:f>
        <x:v>VENC 23/01/2026</x:v>
      </x:c>
      <x:c r="G580" s="4" t="n">
        <x:f>Despesas!F544</x:f>
        <x:v>46042</x:v>
      </x:c>
      <x:c r="H580" t="str">
        <x:f>Despesas!G544</x:f>
        <x:v>AGREX IMPERMEALIZAÇAO DE TELHADO</x:v>
      </x:c>
      <x:c r="I580" t="str">
        <x:f>Despesas!H544</x:f>
        <x:v>12.11 - ASSISTENCIA MEDICA ADM</x:v>
      </x:c>
      <x:c r="J580" s="5" t="n">
        <x:f>Despesas!I544</x:f>
        <x:v>89.1</x:v>
      </x:c>
      <x:c r="K580" s="5" t="n">
        <x:f>0</x:f>
        <x:v>0</x:v>
      </x:c>
      <x:c r="L580" s="5" t="n">
        <x:f>Despesas!I544</x:f>
        <x:v>89.1</x:v>
      </x:c>
      <x:c r="M580" s="5" t="n">
        <x:f>-J580</x:f>
        <x:v>-89.1</x:v>
      </x:c>
    </x:row>
    <x:row r="581">
      <x:c r="A581" t="str">
        <x:f>"Despesa/Custo"</x:f>
        <x:v>Despesa/Custo</x:v>
      </x:c>
      <x:c r="B581" t="str">
        <x:f>Despesas!A545</x:f>
        <x:v>POSTO A+ COMERCIO DE COMBUSTIVEL LTDA</x:v>
      </x:c>
      <x:c r="C581" t="str">
        <x:f>Despesas!B545</x:f>
        <x:v>20368</x:v>
      </x:c>
      <x:c r="D581" t="str">
        <x:f>Despesas!C545</x:f>
        <x:v>015430</x:v>
      </x:c>
      <x:c r="E581" t="str">
        <x:f>Despesas!D545</x:f>
        <x:v>COMBUSTÍVEL VEÍCULOS</x:v>
      </x:c>
      <x:c r="F581" t="n">
        <x:f>Despesas!E545</x:f>
        <x:v>0</x:v>
      </x:c>
      <x:c r="G581" s="4" t="n">
        <x:f>Despesas!F545</x:f>
        <x:v>46042</x:v>
      </x:c>
      <x:c r="H581" t="str">
        <x:f>Despesas!G545</x:f>
        <x:v>VLI PINTURA</x:v>
      </x:c>
      <x:c r="I581" t="str">
        <x:f>Despesas!H545</x:f>
        <x:v>6.4 - COMBUSTIVEL VEICULOS</x:v>
      </x:c>
      <x:c r="J581" s="5" t="n">
        <x:f>Despesas!I545</x:f>
        <x:v>482.237855</x:v>
      </x:c>
      <x:c r="K581" s="5" t="n">
        <x:f>0</x:f>
        <x:v>0</x:v>
      </x:c>
      <x:c r="L581" s="5" t="n">
        <x:f>Despesas!I545</x:f>
        <x:v>482.237855</x:v>
      </x:c>
      <x:c r="M581" s="5" t="n">
        <x:f>-J581</x:f>
        <x:v>-482.237855</x:v>
      </x:c>
    </x:row>
    <x:row r="582">
      <x:c r="A582" t="str">
        <x:f>"Despesa/Custo"</x:f>
        <x:v>Despesa/Custo</x:v>
      </x:c>
      <x:c r="B582" t="str">
        <x:f>Despesas!A546</x:f>
        <x:v>POSTO A+ COMERCIO DE COMBUSTIVEL LTDA</x:v>
      </x:c>
      <x:c r="C582" t="str">
        <x:f>Despesas!B546</x:f>
        <x:v>20368</x:v>
      </x:c>
      <x:c r="D582" t="str">
        <x:f>Despesas!C546</x:f>
        <x:v>015430</x:v>
      </x:c>
      <x:c r="E582" t="str">
        <x:f>Despesas!D546</x:f>
        <x:v>COMBUSTÍVEL VEÍCULOS</x:v>
      </x:c>
      <x:c r="F582" t="n">
        <x:f>Despesas!E546</x:f>
        <x:v>0</x:v>
      </x:c>
      <x:c r="G582" s="4" t="n">
        <x:f>Despesas!F546</x:f>
        <x:v>46042</x:v>
      </x:c>
      <x:c r="H582" t="str">
        <x:f>Despesas!G546</x:f>
        <x:v>VLI PINTURA</x:v>
      </x:c>
      <x:c r="I582" t="str">
        <x:f>Despesas!H546</x:f>
        <x:v>8.13 - COMBUSTIVEL EQUIPAMENTOS</x:v>
      </x:c>
      <x:c r="J582" s="5" t="n">
        <x:f>Despesas!I546</x:f>
        <x:v>2214.702145</x:v>
      </x:c>
      <x:c r="K582" s="5" t="n">
        <x:f>0</x:f>
        <x:v>0</x:v>
      </x:c>
      <x:c r="L582" s="5" t="n">
        <x:f>Despesas!I546</x:f>
        <x:v>2214.702145</x:v>
      </x:c>
      <x:c r="M582" s="5" t="n">
        <x:f>-J582</x:f>
        <x:v>-2214.702145</x:v>
      </x:c>
    </x:row>
    <x:row r="583">
      <x:c r="A583" t="str">
        <x:f>"Despesa/Custo"</x:f>
        <x:v>Despesa/Custo</x:v>
      </x:c>
      <x:c r="B583" t="str">
        <x:f>Despesas!A547</x:f>
        <x:v>RODRIGO ELETRICISTA</x:v>
      </x:c>
      <x:c r="C583" t="str">
        <x:f>Despesas!B547</x:f>
        <x:v>27</x:v>
      </x:c>
      <x:c r="D583" t="str">
        <x:f>Despesas!C547</x:f>
        <x:v>015435</x:v>
      </x:c>
      <x:c r="E583" t="str">
        <x:f>Despesas!D547</x:f>
        <x:v>SERVIÇOS ELETRICOS</x:v>
      </x:c>
      <x:c r="F583" t="str">
        <x:f>Despesas!E547</x:f>
        <x:v>RODRIGO DANIEL DA CONCEIÇAO - PIX 017.143.291-60</x:v>
      </x:c>
      <x:c r="G583" s="4" t="n">
        <x:f>Despesas!F547</x:f>
        <x:v>46042</x:v>
      </x:c>
      <x:c r="H583" t="str">
        <x:f>Despesas!G547</x:f>
        <x:v>ADMINISTRATIVO</x:v>
      </x:c>
      <x:c r="I583" t="str">
        <x:f>Despesas!H547</x:f>
        <x:v>3.2 - SERVIÇO ELETRICO</x:v>
      </x:c>
      <x:c r="J583" s="5" t="n">
        <x:f>Despesas!I547</x:f>
        <x:v>650</x:v>
      </x:c>
      <x:c r="K583" s="5" t="n">
        <x:f>0</x:f>
        <x:v>0</x:v>
      </x:c>
      <x:c r="L583" s="5" t="n">
        <x:f>Despesas!I547</x:f>
        <x:v>650</x:v>
      </x:c>
      <x:c r="M583" s="5" t="n">
        <x:f>-J583</x:f>
        <x:v>-650</x:v>
      </x:c>
    </x:row>
    <x:row r="584">
      <x:c r="A584" t="str">
        <x:f>"Despesa/Custo"</x:f>
        <x:v>Despesa/Custo</x:v>
      </x:c>
      <x:c r="B584" t="str">
        <x:f>Despesas!A548</x:f>
        <x:v>AMO ASSESSORIA MEDICA OCUPACIONAL LTDA</x:v>
      </x:c>
      <x:c r="C584" t="str">
        <x:f>Despesas!B548</x:f>
        <x:v>1277</x:v>
      </x:c>
      <x:c r="D584" t="str">
        <x:f>Despesas!C548</x:f>
        <x:v>015438</x:v>
      </x:c>
      <x:c r="E584" t="str">
        <x:f>Despesas!D548</x:f>
        <x:v>ELAB. DE DOCUMENTOS E EXAMES REF. 01/12 A 31/12</x:v>
      </x:c>
      <x:c r="F584" t="n">
        <x:f>Despesas!E548</x:f>
        <x:v>0</x:v>
      </x:c>
      <x:c r="G584" s="4" t="n">
        <x:f>Despesas!F548</x:f>
        <x:v>46042</x:v>
      </x:c>
      <x:c r="H584" t="str">
        <x:f>Despesas!G548</x:f>
        <x:v>MOSAIC UBERABA CONTRAT0 3 ANOS</x:v>
      </x:c>
      <x:c r="I584" t="str">
        <x:f>Despesas!H548</x:f>
        <x:v>14.1 - EXAMES</x:v>
      </x:c>
      <x:c r="J584" s="5" t="n">
        <x:f>Despesas!I548</x:f>
        <x:v>3793.88</x:v>
      </x:c>
      <x:c r="K584" s="5" t="n">
        <x:f>0</x:f>
        <x:v>0</x:v>
      </x:c>
      <x:c r="L584" s="5" t="n">
        <x:f>Despesas!I548</x:f>
        <x:v>3793.88</x:v>
      </x:c>
      <x:c r="M584" s="5" t="n">
        <x:f>-J584</x:f>
        <x:v>-3793.88</x:v>
      </x:c>
    </x:row>
    <x:row r="585">
      <x:c r="A585" t="str">
        <x:f>"Despesa/Custo"</x:f>
        <x:v>Despesa/Custo</x:v>
      </x:c>
      <x:c r="B585" t="str">
        <x:f>Despesas!A549</x:f>
        <x:v>QUALISOL INDUSTRIA E COMERCIO DE PRODUTOS QUIMICOS LTDA</x:v>
      </x:c>
      <x:c r="C585" t="str">
        <x:f>Despesas!B549</x:f>
        <x:v>135448</x:v>
      </x:c>
      <x:c r="D585" t="str">
        <x:f>Despesas!C549</x:f>
        <x:v>015441</x:v>
      </x:c>
      <x:c r="E585" t="str">
        <x:f>Despesas!D549</x:f>
        <x:v>TINTAS E SOLVENTES</x:v>
      </x:c>
      <x:c r="F585" t="n">
        <x:f>Despesas!E549</x:f>
        <x:v>0</x:v>
      </x:c>
      <x:c r="G585" s="4" t="n">
        <x:f>Despesas!F549</x:f>
        <x:v>46042</x:v>
      </x:c>
      <x:c r="H585" t="str">
        <x:f>Despesas!G549</x:f>
        <x:v>ADMINISTRATIVO</x:v>
      </x:c>
      <x:c r="I585" t="str">
        <x:f>Despesas!H549</x:f>
        <x:v>4.1 - TINTAS E SOLVENTES</x:v>
      </x:c>
      <x:c r="J585" s="5" t="n">
        <x:f>Despesas!I549</x:f>
        <x:v>419.333333</x:v>
      </x:c>
      <x:c r="K585" s="5" t="n">
        <x:f>0</x:f>
        <x:v>0</x:v>
      </x:c>
      <x:c r="L585" s="5" t="n">
        <x:f>Despesas!I549</x:f>
        <x:v>419.333333</x:v>
      </x:c>
      <x:c r="M585" s="5" t="n">
        <x:f>-J585</x:f>
        <x:v>-419.333333</x:v>
      </x:c>
    </x:row>
    <x:row r="586">
      <x:c r="A586" t="str">
        <x:f>"Despesa/Custo"</x:f>
        <x:v>Despesa/Custo</x:v>
      </x:c>
      <x:c r="B586" t="str">
        <x:f>Despesas!A550</x:f>
        <x:v>QUALISOL INDUSTRIA E COMERCIO DE PRODUTOS QUIMICOS LTDA</x:v>
      </x:c>
      <x:c r="C586" t="str">
        <x:f>Despesas!B550</x:f>
        <x:v>135448</x:v>
      </x:c>
      <x:c r="D586" t="str">
        <x:f>Despesas!C550</x:f>
        <x:v>015441</x:v>
      </x:c>
      <x:c r="E586" t="str">
        <x:f>Despesas!D550</x:f>
        <x:v>TINTAS E SOLVENTES</x:v>
      </x:c>
      <x:c r="F586" t="n">
        <x:f>Despesas!E550</x:f>
        <x:v>0</x:v>
      </x:c>
      <x:c r="G586" s="4" t="n">
        <x:f>Despesas!F550</x:f>
        <x:v>46042</x:v>
      </x:c>
      <x:c r="H586" t="str">
        <x:f>Despesas!G550</x:f>
        <x:v>EUROCHEM SERRA DO SALITRE</x:v>
      </x:c>
      <x:c r="I586" t="str">
        <x:f>Despesas!H550</x:f>
        <x:v>4.1 - TINTAS E SOLVENTES</x:v>
      </x:c>
      <x:c r="J586" s="5" t="n">
        <x:f>Despesas!I550</x:f>
        <x:v>213.466667</x:v>
      </x:c>
      <x:c r="K586" s="5" t="n">
        <x:f>0</x:f>
        <x:v>0</x:v>
      </x:c>
      <x:c r="L586" s="5" t="n">
        <x:f>Despesas!I550</x:f>
        <x:v>213.466667</x:v>
      </x:c>
      <x:c r="M586" s="5" t="n">
        <x:f>-J586</x:f>
        <x:v>-213.466667</x:v>
      </x:c>
    </x:row>
    <x:row r="587">
      <x:c r="A587" t="str">
        <x:f>"Despesa/Custo"</x:f>
        <x:v>Despesa/Custo</x:v>
      </x:c>
      <x:c r="B587" t="str">
        <x:f>Despesas!A551</x:f>
        <x:v>QUALISOL INDUSTRIA E COMERCIO DE PRODUTOS QUIMICOS LTDA</x:v>
      </x:c>
      <x:c r="C587" t="str">
        <x:f>Despesas!B551</x:f>
        <x:v>135448</x:v>
      </x:c>
      <x:c r="D587" t="str">
        <x:f>Despesas!C551</x:f>
        <x:v>015441</x:v>
      </x:c>
      <x:c r="E587" t="str">
        <x:f>Despesas!D551</x:f>
        <x:v>TINTAS E SOLVENTES</x:v>
      </x:c>
      <x:c r="F587" t="n">
        <x:f>Despesas!E551</x:f>
        <x:v>0</x:v>
      </x:c>
      <x:c r="G587" s="4" t="n">
        <x:f>Despesas!F551</x:f>
        <x:v>46042</x:v>
      </x:c>
      <x:c r="H587" t="str">
        <x:f>Despesas!G551</x:f>
        <x:v>FOSFATO CMOC CONTRAT</x:v>
      </x:c>
      <x:c r="I587" t="str">
        <x:f>Despesas!H551</x:f>
        <x:v>4.1 - TINTAS E SOLVENTES</x:v>
      </x:c>
      <x:c r="J587" s="5" t="n">
        <x:f>Despesas!I551</x:f>
        <x:v>280</x:v>
      </x:c>
      <x:c r="K587" s="5" t="n">
        <x:f>0</x:f>
        <x:v>0</x:v>
      </x:c>
      <x:c r="L587" s="5" t="n">
        <x:f>Despesas!I551</x:f>
        <x:v>280</x:v>
      </x:c>
      <x:c r="M587" s="5" t="n">
        <x:f>-J587</x:f>
        <x:v>-280</x:v>
      </x:c>
    </x:row>
    <x:row r="588">
      <x:c r="A588" t="str">
        <x:f>"Despesa/Custo"</x:f>
        <x:v>Despesa/Custo</x:v>
      </x:c>
      <x:c r="B588" t="str">
        <x:f>Despesas!A552</x:f>
        <x:v>QUALISOL INDUSTRIA E COMERCIO DE PRODUTOS QUIMICOS LTDA</x:v>
      </x:c>
      <x:c r="C588" t="str">
        <x:f>Despesas!B552</x:f>
        <x:v>135448</x:v>
      </x:c>
      <x:c r="D588" t="str">
        <x:f>Despesas!C552</x:f>
        <x:v>015441</x:v>
      </x:c>
      <x:c r="E588" t="str">
        <x:f>Despesas!D552</x:f>
        <x:v>TINTAS E SOLVENTES</x:v>
      </x:c>
      <x:c r="F588" t="n">
        <x:f>Despesas!E552</x:f>
        <x:v>0</x:v>
      </x:c>
      <x:c r="G588" s="4" t="n">
        <x:f>Despesas!F552</x:f>
        <x:v>46042</x:v>
      </x:c>
      <x:c r="H588" t="str">
        <x:f>Despesas!G552</x:f>
        <x:v>NIOBIO CMOC CONTRATO</x:v>
      </x:c>
      <x:c r="I588" t="str">
        <x:f>Despesas!H552</x:f>
        <x:v>4.1 - TINTAS E SOLVENTES</x:v>
      </x:c>
      <x:c r="J588" s="5" t="n">
        <x:f>Despesas!I552</x:f>
        <x:v>56</x:v>
      </x:c>
      <x:c r="K588" s="5" t="n">
        <x:f>0</x:f>
        <x:v>0</x:v>
      </x:c>
      <x:c r="L588" s="5" t="n">
        <x:f>Despesas!I552</x:f>
        <x:v>56</x:v>
      </x:c>
      <x:c r="M588" s="5" t="n">
        <x:f>-J588</x:f>
        <x:v>-56</x:v>
      </x:c>
    </x:row>
    <x:row r="589">
      <x:c r="A589" t="str">
        <x:f>"Despesa/Custo"</x:f>
        <x:v>Despesa/Custo</x:v>
      </x:c>
      <x:c r="B589" t="str">
        <x:f>Despesas!A553</x:f>
        <x:v>QUALISOL INDUSTRIA E COMERCIO DE PRODUTOS QUIMICOS LTDA</x:v>
      </x:c>
      <x:c r="C589" t="str">
        <x:f>Despesas!B553</x:f>
        <x:v>135448</x:v>
      </x:c>
      <x:c r="D589" t="str">
        <x:f>Despesas!C553</x:f>
        <x:v>015441</x:v>
      </x:c>
      <x:c r="E589" t="str">
        <x:f>Despesas!D553</x:f>
        <x:v>TINTAS E SOLVENTES</x:v>
      </x:c>
      <x:c r="F589" t="n">
        <x:f>Despesas!E553</x:f>
        <x:v>0</x:v>
      </x:c>
      <x:c r="G589" s="4" t="n">
        <x:f>Despesas!F553</x:f>
        <x:v>46042</x:v>
      </x:c>
      <x:c r="H589" t="str">
        <x:f>Despesas!G553</x:f>
        <x:v>SERENA 10 TORRES 2025</x:v>
      </x:c>
      <x:c r="I589" t="str">
        <x:f>Despesas!H553</x:f>
        <x:v>4.1 - TINTAS E SOLVENTES</x:v>
      </x:c>
      <x:c r="J589" s="5" t="n">
        <x:f>Despesas!I553</x:f>
        <x:v>224</x:v>
      </x:c>
      <x:c r="K589" s="5" t="n">
        <x:f>0</x:f>
        <x:v>0</x:v>
      </x:c>
      <x:c r="L589" s="5" t="n">
        <x:f>Despesas!I553</x:f>
        <x:v>224</x:v>
      </x:c>
      <x:c r="M589" s="5" t="n">
        <x:f>-J589</x:f>
        <x:v>-224</x:v>
      </x:c>
    </x:row>
    <x:row r="590">
      <x:c r="A590" t="str">
        <x:f>"Despesa/Custo"</x:f>
        <x:v>Despesa/Custo</x:v>
      </x:c>
      <x:c r="B590" t="str">
        <x:f>Despesas!A554</x:f>
        <x:v>QUALISOL INDUSTRIA E COMERCIO DE PRODUTOS QUIMICOS LTDA</x:v>
      </x:c>
      <x:c r="C590" t="str">
        <x:f>Despesas!B554</x:f>
        <x:v>135448</x:v>
      </x:c>
      <x:c r="D590" t="str">
        <x:f>Despesas!C554</x:f>
        <x:v>015441</x:v>
      </x:c>
      <x:c r="E590" t="str">
        <x:f>Despesas!D554</x:f>
        <x:v>TINTAS E SOLVENTES</x:v>
      </x:c>
      <x:c r="F590" t="n">
        <x:f>Despesas!E554</x:f>
        <x:v>0</x:v>
      </x:c>
      <x:c r="G590" s="4" t="n">
        <x:f>Despesas!F554</x:f>
        <x:v>46042</x:v>
      </x:c>
      <x:c r="H590" t="str">
        <x:f>Despesas!G554</x:f>
        <x:v>ADMINISTRATIVO</x:v>
      </x:c>
      <x:c r="I590" t="str">
        <x:f>Despesas!H554</x:f>
        <x:v>4.1 - TINTAS E SOLVENTES</x:v>
      </x:c>
      <x:c r="J590" s="5" t="n">
        <x:f>Despesas!I554</x:f>
        <x:v>419.333333</x:v>
      </x:c>
      <x:c r="K590" s="5" t="n">
        <x:f>0</x:f>
        <x:v>0</x:v>
      </x:c>
      <x:c r="L590" s="5" t="n">
        <x:f>Despesas!I554</x:f>
        <x:v>419.333333</x:v>
      </x:c>
      <x:c r="M590" s="5" t="n">
        <x:f>-J590</x:f>
        <x:v>-419.333333</x:v>
      </x:c>
    </x:row>
    <x:row r="591">
      <x:c r="A591" t="str">
        <x:f>"Despesa/Custo"</x:f>
        <x:v>Despesa/Custo</x:v>
      </x:c>
      <x:c r="B591" t="str">
        <x:f>Despesas!A555</x:f>
        <x:v>QUALISOL INDUSTRIA E COMERCIO DE PRODUTOS QUIMICOS LTDA</x:v>
      </x:c>
      <x:c r="C591" t="str">
        <x:f>Despesas!B555</x:f>
        <x:v>135448</x:v>
      </x:c>
      <x:c r="D591" t="str">
        <x:f>Despesas!C555</x:f>
        <x:v>015441</x:v>
      </x:c>
      <x:c r="E591" t="str">
        <x:f>Despesas!D555</x:f>
        <x:v>TINTAS E SOLVENTES</x:v>
      </x:c>
      <x:c r="F591" t="n">
        <x:f>Despesas!E555</x:f>
        <x:v>0</x:v>
      </x:c>
      <x:c r="G591" s="4" t="n">
        <x:f>Despesas!F555</x:f>
        <x:v>46042</x:v>
      </x:c>
      <x:c r="H591" t="str">
        <x:f>Despesas!G555</x:f>
        <x:v>EUROCHEM SERRA DO SALITRE</x:v>
      </x:c>
      <x:c r="I591" t="str">
        <x:f>Despesas!H555</x:f>
        <x:v>4.1 - TINTAS E SOLVENTES</x:v>
      </x:c>
      <x:c r="J591" s="5" t="n">
        <x:f>Despesas!I555</x:f>
        <x:v>213.466667</x:v>
      </x:c>
      <x:c r="K591" s="5" t="n">
        <x:f>0</x:f>
        <x:v>0</x:v>
      </x:c>
      <x:c r="L591" s="5" t="n">
        <x:f>Despesas!I555</x:f>
        <x:v>213.466667</x:v>
      </x:c>
      <x:c r="M591" s="5" t="n">
        <x:f>-J591</x:f>
        <x:v>-213.466667</x:v>
      </x:c>
    </x:row>
    <x:row r="592">
      <x:c r="A592" t="str">
        <x:f>"Despesa/Custo"</x:f>
        <x:v>Despesa/Custo</x:v>
      </x:c>
      <x:c r="B592" t="str">
        <x:f>Despesas!A556</x:f>
        <x:v>QUALISOL INDUSTRIA E COMERCIO DE PRODUTOS QUIMICOS LTDA</x:v>
      </x:c>
      <x:c r="C592" t="str">
        <x:f>Despesas!B556</x:f>
        <x:v>135448</x:v>
      </x:c>
      <x:c r="D592" t="str">
        <x:f>Despesas!C556</x:f>
        <x:v>015441</x:v>
      </x:c>
      <x:c r="E592" t="str">
        <x:f>Despesas!D556</x:f>
        <x:v>TINTAS E SOLVENTES</x:v>
      </x:c>
      <x:c r="F592" t="n">
        <x:f>Despesas!E556</x:f>
        <x:v>0</x:v>
      </x:c>
      <x:c r="G592" s="4" t="n">
        <x:f>Despesas!F556</x:f>
        <x:v>46042</x:v>
      </x:c>
      <x:c r="H592" t="str">
        <x:f>Despesas!G556</x:f>
        <x:v>FOSFATO CMOC CONTRAT</x:v>
      </x:c>
      <x:c r="I592" t="str">
        <x:f>Despesas!H556</x:f>
        <x:v>4.1 - TINTAS E SOLVENTES</x:v>
      </x:c>
      <x:c r="J592" s="5" t="n">
        <x:f>Despesas!I556</x:f>
        <x:v>280</x:v>
      </x:c>
      <x:c r="K592" s="5" t="n">
        <x:f>0</x:f>
        <x:v>0</x:v>
      </x:c>
      <x:c r="L592" s="5" t="n">
        <x:f>Despesas!I556</x:f>
        <x:v>280</x:v>
      </x:c>
      <x:c r="M592" s="5" t="n">
        <x:f>-J592</x:f>
        <x:v>-280</x:v>
      </x:c>
    </x:row>
    <x:row r="593">
      <x:c r="A593" t="str">
        <x:f>"Despesa/Custo"</x:f>
        <x:v>Despesa/Custo</x:v>
      </x:c>
      <x:c r="B593" t="str">
        <x:f>Despesas!A557</x:f>
        <x:v>QUALISOL INDUSTRIA E COMERCIO DE PRODUTOS QUIMICOS LTDA</x:v>
      </x:c>
      <x:c r="C593" t="str">
        <x:f>Despesas!B557</x:f>
        <x:v>135448</x:v>
      </x:c>
      <x:c r="D593" t="str">
        <x:f>Despesas!C557</x:f>
        <x:v>015441</x:v>
      </x:c>
      <x:c r="E593" t="str">
        <x:f>Despesas!D557</x:f>
        <x:v>TINTAS E SOLVENTES</x:v>
      </x:c>
      <x:c r="F593" t="n">
        <x:f>Despesas!E557</x:f>
        <x:v>0</x:v>
      </x:c>
      <x:c r="G593" s="4" t="n">
        <x:f>Despesas!F557</x:f>
        <x:v>46042</x:v>
      </x:c>
      <x:c r="H593" t="str">
        <x:f>Despesas!G557</x:f>
        <x:v>NIOBIO CMOC CONTRATO</x:v>
      </x:c>
      <x:c r="I593" t="str">
        <x:f>Despesas!H557</x:f>
        <x:v>4.1 - TINTAS E SOLVENTES</x:v>
      </x:c>
      <x:c r="J593" s="5" t="n">
        <x:f>Despesas!I557</x:f>
        <x:v>56</x:v>
      </x:c>
      <x:c r="K593" s="5" t="n">
        <x:f>0</x:f>
        <x:v>0</x:v>
      </x:c>
      <x:c r="L593" s="5" t="n">
        <x:f>Despesas!I557</x:f>
        <x:v>56</x:v>
      </x:c>
      <x:c r="M593" s="5" t="n">
        <x:f>-J593</x:f>
        <x:v>-56</x:v>
      </x:c>
    </x:row>
    <x:row r="594">
      <x:c r="A594" t="str">
        <x:f>"Despesa/Custo"</x:f>
        <x:v>Despesa/Custo</x:v>
      </x:c>
      <x:c r="B594" t="str">
        <x:f>Despesas!A558</x:f>
        <x:v>QUALISOL INDUSTRIA E COMERCIO DE PRODUTOS QUIMICOS LTDA</x:v>
      </x:c>
      <x:c r="C594" t="str">
        <x:f>Despesas!B558</x:f>
        <x:v>135448</x:v>
      </x:c>
      <x:c r="D594" t="str">
        <x:f>Despesas!C558</x:f>
        <x:v>015441</x:v>
      </x:c>
      <x:c r="E594" t="str">
        <x:f>Despesas!D558</x:f>
        <x:v>TINTAS E SOLVENTES</x:v>
      </x:c>
      <x:c r="F594" t="n">
        <x:f>Despesas!E558</x:f>
        <x:v>0</x:v>
      </x:c>
      <x:c r="G594" s="4" t="n">
        <x:f>Despesas!F558</x:f>
        <x:v>46042</x:v>
      </x:c>
      <x:c r="H594" t="str">
        <x:f>Despesas!G558</x:f>
        <x:v>SERENA 10 TORRES 2025</x:v>
      </x:c>
      <x:c r="I594" t="str">
        <x:f>Despesas!H558</x:f>
        <x:v>4.1 - TINTAS E SOLVENTES</x:v>
      </x:c>
      <x:c r="J594" s="5" t="n">
        <x:f>Despesas!I558</x:f>
        <x:v>224</x:v>
      </x:c>
      <x:c r="K594" s="5" t="n">
        <x:f>0</x:f>
        <x:v>0</x:v>
      </x:c>
      <x:c r="L594" s="5" t="n">
        <x:f>Despesas!I558</x:f>
        <x:v>224</x:v>
      </x:c>
      <x:c r="M594" s="5" t="n">
        <x:f>-J594</x:f>
        <x:v>-224</x:v>
      </x:c>
    </x:row>
    <x:row r="595">
      <x:c r="A595" t="str">
        <x:f>"Despesa/Custo"</x:f>
        <x:v>Despesa/Custo</x:v>
      </x:c>
      <x:c r="B595" t="str">
        <x:f>Despesas!A559</x:f>
        <x:v>QUALISOL INDUSTRIA E COMERCIO DE PRODUTOS QUIMICOS LTDA</x:v>
      </x:c>
      <x:c r="C595" t="str">
        <x:f>Despesas!B559</x:f>
        <x:v>135448</x:v>
      </x:c>
      <x:c r="D595" t="str">
        <x:f>Despesas!C559</x:f>
        <x:v>015441</x:v>
      </x:c>
      <x:c r="E595" t="str">
        <x:f>Despesas!D559</x:f>
        <x:v>TINTAS E SOLVENTES</x:v>
      </x:c>
      <x:c r="F595" t="n">
        <x:f>Despesas!E559</x:f>
        <x:v>0</x:v>
      </x:c>
      <x:c r="G595" s="4" t="n">
        <x:f>Despesas!F559</x:f>
        <x:v>46042</x:v>
      </x:c>
      <x:c r="H595" t="str">
        <x:f>Despesas!G559</x:f>
        <x:v>ADMINISTRATIVO</x:v>
      </x:c>
      <x:c r="I595" t="str">
        <x:f>Despesas!H559</x:f>
        <x:v>4.1 - TINTAS E SOLVENTES</x:v>
      </x:c>
      <x:c r="J595" s="5" t="n">
        <x:f>Despesas!I559</x:f>
        <x:v>419.333333</x:v>
      </x:c>
      <x:c r="K595" s="5" t="n">
        <x:f>0</x:f>
        <x:v>0</x:v>
      </x:c>
      <x:c r="L595" s="5" t="n">
        <x:f>Despesas!I559</x:f>
        <x:v>419.333333</x:v>
      </x:c>
      <x:c r="M595" s="5" t="n">
        <x:f>-J595</x:f>
        <x:v>-419.333333</x:v>
      </x:c>
    </x:row>
    <x:row r="596">
      <x:c r="A596" t="str">
        <x:f>"Despesa/Custo"</x:f>
        <x:v>Despesa/Custo</x:v>
      </x:c>
      <x:c r="B596" t="str">
        <x:f>Despesas!A560</x:f>
        <x:v>QUALISOL INDUSTRIA E COMERCIO DE PRODUTOS QUIMICOS LTDA</x:v>
      </x:c>
      <x:c r="C596" t="str">
        <x:f>Despesas!B560</x:f>
        <x:v>135448</x:v>
      </x:c>
      <x:c r="D596" t="str">
        <x:f>Despesas!C560</x:f>
        <x:v>015441</x:v>
      </x:c>
      <x:c r="E596" t="str">
        <x:f>Despesas!D560</x:f>
        <x:v>TINTAS E SOLVENTES</x:v>
      </x:c>
      <x:c r="F596" t="n">
        <x:f>Despesas!E560</x:f>
        <x:v>0</x:v>
      </x:c>
      <x:c r="G596" s="4" t="n">
        <x:f>Despesas!F560</x:f>
        <x:v>46042</x:v>
      </x:c>
      <x:c r="H596" t="str">
        <x:f>Despesas!G560</x:f>
        <x:v>EUROCHEM SERRA DO SALITRE</x:v>
      </x:c>
      <x:c r="I596" t="str">
        <x:f>Despesas!H560</x:f>
        <x:v>4.1 - TINTAS E SOLVENTES</x:v>
      </x:c>
      <x:c r="J596" s="5" t="n">
        <x:f>Despesas!I560</x:f>
        <x:v>213.466667</x:v>
      </x:c>
      <x:c r="K596" s="5" t="n">
        <x:f>0</x:f>
        <x:v>0</x:v>
      </x:c>
      <x:c r="L596" s="5" t="n">
        <x:f>Despesas!I560</x:f>
        <x:v>213.466667</x:v>
      </x:c>
      <x:c r="M596" s="5" t="n">
        <x:f>-J596</x:f>
        <x:v>-213.466667</x:v>
      </x:c>
    </x:row>
    <x:row r="597">
      <x:c r="A597" t="str">
        <x:f>"Despesa/Custo"</x:f>
        <x:v>Despesa/Custo</x:v>
      </x:c>
      <x:c r="B597" t="str">
        <x:f>Despesas!A561</x:f>
        <x:v>QUALISOL INDUSTRIA E COMERCIO DE PRODUTOS QUIMICOS LTDA</x:v>
      </x:c>
      <x:c r="C597" t="str">
        <x:f>Despesas!B561</x:f>
        <x:v>135448</x:v>
      </x:c>
      <x:c r="D597" t="str">
        <x:f>Despesas!C561</x:f>
        <x:v>015441</x:v>
      </x:c>
      <x:c r="E597" t="str">
        <x:f>Despesas!D561</x:f>
        <x:v>TINTAS E SOLVENTES</x:v>
      </x:c>
      <x:c r="F597" t="n">
        <x:f>Despesas!E561</x:f>
        <x:v>0</x:v>
      </x:c>
      <x:c r="G597" s="4" t="n">
        <x:f>Despesas!F561</x:f>
        <x:v>46042</x:v>
      </x:c>
      <x:c r="H597" t="str">
        <x:f>Despesas!G561</x:f>
        <x:v>FOSFATO CMOC CONTRAT</x:v>
      </x:c>
      <x:c r="I597" t="str">
        <x:f>Despesas!H561</x:f>
        <x:v>4.1 - TINTAS E SOLVENTES</x:v>
      </x:c>
      <x:c r="J597" s="5" t="n">
        <x:f>Despesas!I561</x:f>
        <x:v>280</x:v>
      </x:c>
      <x:c r="K597" s="5" t="n">
        <x:f>0</x:f>
        <x:v>0</x:v>
      </x:c>
      <x:c r="L597" s="5" t="n">
        <x:f>Despesas!I561</x:f>
        <x:v>280</x:v>
      </x:c>
      <x:c r="M597" s="5" t="n">
        <x:f>-J597</x:f>
        <x:v>-280</x:v>
      </x:c>
    </x:row>
    <x:row r="598">
      <x:c r="A598" t="str">
        <x:f>"Despesa/Custo"</x:f>
        <x:v>Despesa/Custo</x:v>
      </x:c>
      <x:c r="B598" t="str">
        <x:f>Despesas!A562</x:f>
        <x:v>QUALISOL INDUSTRIA E COMERCIO DE PRODUTOS QUIMICOS LTDA</x:v>
      </x:c>
      <x:c r="C598" t="str">
        <x:f>Despesas!B562</x:f>
        <x:v>135448</x:v>
      </x:c>
      <x:c r="D598" t="str">
        <x:f>Despesas!C562</x:f>
        <x:v>015441</x:v>
      </x:c>
      <x:c r="E598" t="str">
        <x:f>Despesas!D562</x:f>
        <x:v>TINTAS E SOLVENTES</x:v>
      </x:c>
      <x:c r="F598" t="n">
        <x:f>Despesas!E562</x:f>
        <x:v>0</x:v>
      </x:c>
      <x:c r="G598" s="4" t="n">
        <x:f>Despesas!F562</x:f>
        <x:v>46042</x:v>
      </x:c>
      <x:c r="H598" t="str">
        <x:f>Despesas!G562</x:f>
        <x:v>NIOBIO CMOC CONTRATO</x:v>
      </x:c>
      <x:c r="I598" t="str">
        <x:f>Despesas!H562</x:f>
        <x:v>4.1 - TINTAS E SOLVENTES</x:v>
      </x:c>
      <x:c r="J598" s="5" t="n">
        <x:f>Despesas!I562</x:f>
        <x:v>56</x:v>
      </x:c>
      <x:c r="K598" s="5" t="n">
        <x:f>0</x:f>
        <x:v>0</x:v>
      </x:c>
      <x:c r="L598" s="5" t="n">
        <x:f>Despesas!I562</x:f>
        <x:v>56</x:v>
      </x:c>
      <x:c r="M598" s="5" t="n">
        <x:f>-J598</x:f>
        <x:v>-56</x:v>
      </x:c>
    </x:row>
    <x:row r="599">
      <x:c r="A599" t="str">
        <x:f>"Despesa/Custo"</x:f>
        <x:v>Despesa/Custo</x:v>
      </x:c>
      <x:c r="B599" t="str">
        <x:f>Despesas!A563</x:f>
        <x:v>QUALISOL INDUSTRIA E COMERCIO DE PRODUTOS QUIMICOS LTDA</x:v>
      </x:c>
      <x:c r="C599" t="str">
        <x:f>Despesas!B563</x:f>
        <x:v>135448</x:v>
      </x:c>
      <x:c r="D599" t="str">
        <x:f>Despesas!C563</x:f>
        <x:v>015441</x:v>
      </x:c>
      <x:c r="E599" t="str">
        <x:f>Despesas!D563</x:f>
        <x:v>TINTAS E SOLVENTES</x:v>
      </x:c>
      <x:c r="F599" t="n">
        <x:f>Despesas!E563</x:f>
        <x:v>0</x:v>
      </x:c>
      <x:c r="G599" s="4" t="n">
        <x:f>Despesas!F563</x:f>
        <x:v>46042</x:v>
      </x:c>
      <x:c r="H599" t="str">
        <x:f>Despesas!G563</x:f>
        <x:v>SERENA 10 TORRES 2025</x:v>
      </x:c>
      <x:c r="I599" t="str">
        <x:f>Despesas!H563</x:f>
        <x:v>4.1 - TINTAS E SOLVENTES</x:v>
      </x:c>
      <x:c r="J599" s="5" t="n">
        <x:f>Despesas!I563</x:f>
        <x:v>224</x:v>
      </x:c>
      <x:c r="K599" s="5" t="n">
        <x:f>0</x:f>
        <x:v>0</x:v>
      </x:c>
      <x:c r="L599" s="5" t="n">
        <x:f>Despesas!I563</x:f>
        <x:v>224</x:v>
      </x:c>
      <x:c r="M599" s="5" t="n">
        <x:f>-J599</x:f>
        <x:v>-224</x:v>
      </x:c>
    </x:row>
    <x:row r="600">
      <x:c r="A600" t="str">
        <x:f>"Despesa/Custo"</x:f>
        <x:v>Despesa/Custo</x:v>
      </x:c>
      <x:c r="B600" t="str">
        <x:f>Despesas!A564</x:f>
        <x:v>TRANSPORTADORA AQUINO E DINIZ LTDA</x:v>
      </x:c>
      <x:c r="C600" t="str">
        <x:f>Despesas!B564</x:f>
        <x:v>2044</x:v>
      </x:c>
      <x:c r="D600" t="str">
        <x:f>Despesas!C564</x:f>
        <x:v>015443</x:v>
      </x:c>
      <x:c r="E600" t="str">
        <x:f>Despesas!D564</x:f>
        <x:v>TRANSPORTADORA AQUINO E DINIZ LTDA</x:v>
      </x:c>
      <x:c r="F600" t="str">
        <x:f>Despesas!E564</x:f>
        <x:v>BOLETO 05/02/2026</x:v>
      </x:c>
      <x:c r="G600" s="4" t="n">
        <x:f>Despesas!F564</x:f>
        <x:v>46042</x:v>
      </x:c>
      <x:c r="H600" t="str">
        <x:f>Despesas!G564</x:f>
        <x:v>ANGLO AMERICAN</x:v>
      </x:c>
      <x:c r="I600" t="str">
        <x:f>Despesas!H564</x:f>
        <x:v>12.7 - TRANSPORTE FUNCIONARIOS</x:v>
      </x:c>
      <x:c r="J600" s="5" t="n">
        <x:f>Despesas!I564</x:f>
        <x:v>1035</x:v>
      </x:c>
      <x:c r="K600" s="5" t="n">
        <x:f>0</x:f>
        <x:v>0</x:v>
      </x:c>
      <x:c r="L600" s="5" t="n">
        <x:f>Despesas!I564</x:f>
        <x:v>1035</x:v>
      </x:c>
      <x:c r="M600" s="5" t="n">
        <x:f>-J600</x:f>
        <x:v>-1035</x:v>
      </x:c>
    </x:row>
    <x:row r="601">
      <x:c r="A601" t="str">
        <x:f>"Despesa/Custo"</x:f>
        <x:v>Despesa/Custo</x:v>
      </x:c>
      <x:c r="B601" t="str">
        <x:f>Despesas!A565</x:f>
        <x:v>JACINTO FERNANDES</x:v>
      </x:c>
      <x:c r="C601" t="n">
        <x:f>Despesas!B565</x:f>
        <x:v>0</x:v>
      </x:c>
      <x:c r="D601" t="str">
        <x:f>Despesas!C565</x:f>
        <x:v>015444</x:v>
      </x:c>
      <x:c r="E601" t="str">
        <x:f>Despesas!D565</x:f>
        <x:v>PRESTAÇÃO DE CONTA JACINTO</x:v>
      </x:c>
      <x:c r="F601" t="str">
        <x:f>Despesas!E565</x:f>
        <x:v>NOTAS 01/12/2025 A 07/12/2025</x:v>
      </x:c>
      <x:c r="G601" s="4" t="n">
        <x:f>Despesas!F565</x:f>
        <x:v>46042</x:v>
      </x:c>
      <x:c r="H601" t="str">
        <x:f>Despesas!G565</x:f>
        <x:v>SERENA 10 TORRES 2025</x:v>
      </x:c>
      <x:c r="I601" t="str">
        <x:f>Despesas!H565</x:f>
        <x:v>8.13 - COMBUSTIVEL EQUIPAMENTOS</x:v>
      </x:c>
      <x:c r="J601" s="5" t="n">
        <x:f>Despesas!I565</x:f>
        <x:v>82</x:v>
      </x:c>
      <x:c r="K601" s="5" t="n">
        <x:f>0</x:f>
        <x:v>0</x:v>
      </x:c>
      <x:c r="L601" s="5" t="n">
        <x:f>Despesas!I565</x:f>
        <x:v>82</x:v>
      </x:c>
      <x:c r="M601" s="5" t="n">
        <x:f>-J601</x:f>
        <x:v>-82</x:v>
      </x:c>
    </x:row>
    <x:row r="602">
      <x:c r="A602" t="str">
        <x:f>"Despesa/Custo"</x:f>
        <x:v>Despesa/Custo</x:v>
      </x:c>
      <x:c r="B602" t="str">
        <x:f>Despesas!A566</x:f>
        <x:v>JACINTO FERNANDES</x:v>
      </x:c>
      <x:c r="C602" t="n">
        <x:f>Despesas!B566</x:f>
        <x:v>0</x:v>
      </x:c>
      <x:c r="D602" t="str">
        <x:f>Despesas!C566</x:f>
        <x:v>015444</x:v>
      </x:c>
      <x:c r="E602" t="str">
        <x:f>Despesas!D566</x:f>
        <x:v>PRESTAÇÃO DE CONTA JACINTO</x:v>
      </x:c>
      <x:c r="F602" t="str">
        <x:f>Despesas!E566</x:f>
        <x:v>NOTAS 01/12/2025 A 07/12/2025</x:v>
      </x:c>
      <x:c r="G602" s="4" t="n">
        <x:f>Despesas!F566</x:f>
        <x:v>46042</x:v>
      </x:c>
      <x:c r="H602" t="str">
        <x:f>Despesas!G566</x:f>
        <x:v>SERENA 10 TORRES 2025</x:v>
      </x:c>
      <x:c r="I602" t="str">
        <x:f>Despesas!H566</x:f>
        <x:v>11.14 - INTERNET OBRAS</x:v>
      </x:c>
      <x:c r="J602" s="5" t="n">
        <x:f>Despesas!I566</x:f>
        <x:v>86.18</x:v>
      </x:c>
      <x:c r="K602" s="5" t="n">
        <x:f>0</x:f>
        <x:v>0</x:v>
      </x:c>
      <x:c r="L602" s="5" t="n">
        <x:f>Despesas!I566</x:f>
        <x:v>86.18</x:v>
      </x:c>
      <x:c r="M602" s="5" t="n">
        <x:f>-J602</x:f>
        <x:v>-86.18</x:v>
      </x:c>
    </x:row>
    <x:row r="603">
      <x:c r="A603" t="str">
        <x:f>"Despesa/Custo"</x:f>
        <x:v>Despesa/Custo</x:v>
      </x:c>
      <x:c r="B603" t="str">
        <x:f>Despesas!A567</x:f>
        <x:v>JACINTO FERNANDES</x:v>
      </x:c>
      <x:c r="C603" t="n">
        <x:f>Despesas!B567</x:f>
        <x:v>0</x:v>
      </x:c>
      <x:c r="D603" t="str">
        <x:f>Despesas!C567</x:f>
        <x:v>015444</x:v>
      </x:c>
      <x:c r="E603" t="str">
        <x:f>Despesas!D567</x:f>
        <x:v>PRESTAÇÃO DE CONTA JACINTO</x:v>
      </x:c>
      <x:c r="F603" t="str">
        <x:f>Despesas!E567</x:f>
        <x:v>NOTAS 01/12/2025 A 07/12/2025</x:v>
      </x:c>
      <x:c r="G603" s="4" t="n">
        <x:f>Despesas!F567</x:f>
        <x:v>46042</x:v>
      </x:c>
      <x:c r="H603" t="str">
        <x:f>Despesas!G567</x:f>
        <x:v>SERENA 10 TORRES 2025</x:v>
      </x:c>
      <x:c r="I603" t="str">
        <x:f>Despesas!H567</x:f>
        <x:v>6.10 - SERVIÇO LAVA JATO</x:v>
      </x:c>
      <x:c r="J603" s="5" t="n">
        <x:f>Despesas!I567</x:f>
        <x:v>200</x:v>
      </x:c>
      <x:c r="K603" s="5" t="n">
        <x:f>0</x:f>
        <x:v>0</x:v>
      </x:c>
      <x:c r="L603" s="5" t="n">
        <x:f>Despesas!I567</x:f>
        <x:v>200</x:v>
      </x:c>
      <x:c r="M603" s="5" t="n">
        <x:f>-J603</x:f>
        <x:v>-200</x:v>
      </x:c>
    </x:row>
    <x:row r="604">
      <x:c r="A604" t="str">
        <x:f>"Despesa/Custo"</x:f>
        <x:v>Despesa/Custo</x:v>
      </x:c>
      <x:c r="B604" t="str">
        <x:f>Despesas!A568</x:f>
        <x:v>JACINTO FERNANDES</x:v>
      </x:c>
      <x:c r="C604" t="n">
        <x:f>Despesas!B568</x:f>
        <x:v>0</x:v>
      </x:c>
      <x:c r="D604" t="str">
        <x:f>Despesas!C568</x:f>
        <x:v>015444</x:v>
      </x:c>
      <x:c r="E604" t="str">
        <x:f>Despesas!D568</x:f>
        <x:v>PRESTAÇÃO DE CONTA JACINTO</x:v>
      </x:c>
      <x:c r="F604" t="str">
        <x:f>Despesas!E568</x:f>
        <x:v>NOTAS 01/12/2025 A 07/12/2025</x:v>
      </x:c>
      <x:c r="G604" s="4" t="n">
        <x:f>Despesas!F568</x:f>
        <x:v>46042</x:v>
      </x:c>
      <x:c r="H604" t="str">
        <x:f>Despesas!G568</x:f>
        <x:v>SERENA 10 TORRES 2025</x:v>
      </x:c>
      <x:c r="I604" t="str">
        <x:f>Despesas!H568</x:f>
        <x:v>8.9 - MATERIAIS DE CONSUMO EM OBRAS</x:v>
      </x:c>
      <x:c r="J604" s="5" t="n">
        <x:f>Despesas!I568</x:f>
        <x:v>234</x:v>
      </x:c>
      <x:c r="K604" s="5" t="n">
        <x:f>0</x:f>
        <x:v>0</x:v>
      </x:c>
      <x:c r="L604" s="5" t="n">
        <x:f>Despesas!I568</x:f>
        <x:v>234</x:v>
      </x:c>
      <x:c r="M604" s="5" t="n">
        <x:f>-J604</x:f>
        <x:v>-234</x:v>
      </x:c>
    </x:row>
    <x:row r="605">
      <x:c r="A605" t="str">
        <x:f>"Despesa/Custo"</x:f>
        <x:v>Despesa/Custo</x:v>
      </x:c>
      <x:c r="B605" t="str">
        <x:f>Despesas!A569</x:f>
        <x:v>JACINTO FERNANDES</x:v>
      </x:c>
      <x:c r="C605" t="n">
        <x:f>Despesas!B569</x:f>
        <x:v>0</x:v>
      </x:c>
      <x:c r="D605" t="str">
        <x:f>Despesas!C569</x:f>
        <x:v>015445</x:v>
      </x:c>
      <x:c r="E605" t="str">
        <x:f>Despesas!D569</x:f>
        <x:v>PRESTAÇÃO DE CONTA JACINTO</x:v>
      </x:c>
      <x:c r="F605" t="str">
        <x:f>Despesas!E569</x:f>
        <x:v>GASTO CONFRETERNIZAÇÃO</x:v>
      </x:c>
      <x:c r="G605" s="4" t="n">
        <x:f>Despesas!F569</x:f>
        <x:v>46042</x:v>
      </x:c>
      <x:c r="H605" t="str">
        <x:f>Despesas!G569</x:f>
        <x:v>SERENA 10 TORRES 2025</x:v>
      </x:c>
      <x:c r="I605" t="str">
        <x:f>Despesas!H569</x:f>
        <x:v>12.5 - REFEIÇÕES FUNCIONARIOS</x:v>
      </x:c>
      <x:c r="J605" s="5" t="n">
        <x:f>Despesas!I569</x:f>
        <x:v>1939</x:v>
      </x:c>
      <x:c r="K605" s="5" t="n">
        <x:f>0</x:f>
        <x:v>0</x:v>
      </x:c>
      <x:c r="L605" s="5" t="n">
        <x:f>Despesas!I569</x:f>
        <x:v>1939</x:v>
      </x:c>
      <x:c r="M605" s="5" t="n">
        <x:f>-J605</x:f>
        <x:v>-1939</x:v>
      </x:c>
    </x:row>
    <x:row r="606">
      <x:c r="A606" t="str">
        <x:f>"Despesa/Custo"</x:f>
        <x:v>Despesa/Custo</x:v>
      </x:c>
      <x:c r="B606" t="str">
        <x:f>Despesas!A570</x:f>
        <x:v>JACINTO FERNANDES</x:v>
      </x:c>
      <x:c r="C606" t="n">
        <x:f>Despesas!B570</x:f>
        <x:v>0</x:v>
      </x:c>
      <x:c r="D606" t="str">
        <x:f>Despesas!C570</x:f>
        <x:v>015446</x:v>
      </x:c>
      <x:c r="E606" t="str">
        <x:f>Despesas!D570</x:f>
        <x:v>PRESTAÇÃO DE CONTA JACINTO</x:v>
      </x:c>
      <x:c r="F606" t="str">
        <x:f>Despesas!E570</x:f>
        <x:v>GASTOS COM HOSPEDAGEMS E VEICULO</x:v>
      </x:c>
      <x:c r="G606" s="4" t="n">
        <x:f>Despesas!F570</x:f>
        <x:v>46042</x:v>
      </x:c>
      <x:c r="H606" t="str">
        <x:f>Despesas!G570</x:f>
        <x:v>SERENA 10 TORRES 2025</x:v>
      </x:c>
      <x:c r="I606" t="str">
        <x:f>Despesas!H570</x:f>
        <x:v>5.1 - HOTEL FUNCIONARIOS</x:v>
      </x:c>
      <x:c r="J606" s="5" t="n">
        <x:f>Despesas!I570</x:f>
        <x:v>750</x:v>
      </x:c>
      <x:c r="K606" s="5" t="n">
        <x:f>0</x:f>
        <x:v>0</x:v>
      </x:c>
      <x:c r="L606" s="5" t="n">
        <x:f>Despesas!I570</x:f>
        <x:v>750</x:v>
      </x:c>
      <x:c r="M606" s="5" t="n">
        <x:f>-J606</x:f>
        <x:v>-750</x:v>
      </x:c>
    </x:row>
    <x:row r="607">
      <x:c r="A607" t="str">
        <x:f>"Despesa/Custo"</x:f>
        <x:v>Despesa/Custo</x:v>
      </x:c>
      <x:c r="B607" t="str">
        <x:f>Despesas!A571</x:f>
        <x:v>JACINTO FERNANDES</x:v>
      </x:c>
      <x:c r="C607" t="n">
        <x:f>Despesas!B571</x:f>
        <x:v>0</x:v>
      </x:c>
      <x:c r="D607" t="str">
        <x:f>Despesas!C571</x:f>
        <x:v>015446</x:v>
      </x:c>
      <x:c r="E607" t="str">
        <x:f>Despesas!D571</x:f>
        <x:v>PRESTAÇÃO DE CONTA JACINTO</x:v>
      </x:c>
      <x:c r="F607" t="str">
        <x:f>Despesas!E571</x:f>
        <x:v>GASTOS COM HOSPEDAGEMS E VEICULO</x:v>
      </x:c>
      <x:c r="G607" s="4" t="n">
        <x:f>Despesas!F571</x:f>
        <x:v>46042</x:v>
      </x:c>
      <x:c r="H607" t="str">
        <x:f>Despesas!G571</x:f>
        <x:v>SERENA 10 TORRES 2025</x:v>
      </x:c>
      <x:c r="I607" t="str">
        <x:f>Despesas!H571</x:f>
        <x:v>6.3 - MANUTENÇÃO/PEÇAS  VEICULOS</x:v>
      </x:c>
      <x:c r="J607" s="5" t="n">
        <x:f>Despesas!I571</x:f>
        <x:v>3903</x:v>
      </x:c>
      <x:c r="K607" s="5" t="n">
        <x:f>0</x:f>
        <x:v>0</x:v>
      </x:c>
      <x:c r="L607" s="5" t="n">
        <x:f>Despesas!I571</x:f>
        <x:v>3903</x:v>
      </x:c>
      <x:c r="M607" s="5" t="n">
        <x:f>-J607</x:f>
        <x:v>-3903</x:v>
      </x:c>
    </x:row>
    <x:row r="608">
      <x:c r="A608" t="str">
        <x:f>"Despesa/Custo"</x:f>
        <x:v>Despesa/Custo</x:v>
      </x:c>
      <x:c r="B608" t="str">
        <x:f>Despesas!A572</x:f>
        <x:v>JACINTO FERNANDES</x:v>
      </x:c>
      <x:c r="C608" t="n">
        <x:f>Despesas!B572</x:f>
        <x:v>0</x:v>
      </x:c>
      <x:c r="D608" t="str">
        <x:f>Despesas!C572</x:f>
        <x:v>015447</x:v>
      </x:c>
      <x:c r="E608" t="str">
        <x:f>Despesas!D572</x:f>
        <x:v>PRESTAÇÃO DE CONTA JACINTO</x:v>
      </x:c>
      <x:c r="F608" t="str">
        <x:f>Despesas!E572</x:f>
        <x:v>LAVA JATO 3 VEICULOS</x:v>
      </x:c>
      <x:c r="G608" s="4" t="n">
        <x:f>Despesas!F572</x:f>
        <x:v>46042</x:v>
      </x:c>
      <x:c r="H608" t="str">
        <x:f>Despesas!G572</x:f>
        <x:v>SERENA 10 TORRES 2025</x:v>
      </x:c>
      <x:c r="I608" t="str">
        <x:f>Despesas!H572</x:f>
        <x:v>6.10 - SERVIÇO LAVA JATO</x:v>
      </x:c>
      <x:c r="J608" s="5" t="n">
        <x:f>Despesas!I572</x:f>
        <x:v>220</x:v>
      </x:c>
      <x:c r="K608" s="5" t="n">
        <x:f>0</x:f>
        <x:v>0</x:v>
      </x:c>
      <x:c r="L608" s="5" t="n">
        <x:f>Despesas!I572</x:f>
        <x:v>220</x:v>
      </x:c>
      <x:c r="M608" s="5" t="n">
        <x:f>-J608</x:f>
        <x:v>-220</x:v>
      </x:c>
    </x:row>
    <x:row r="609">
      <x:c r="A609" t="str">
        <x:f>"Despesa/Custo"</x:f>
        <x:v>Despesa/Custo</x:v>
      </x:c>
      <x:c r="B609" t="str">
        <x:f>Despesas!A573</x:f>
        <x:v>JACINTO FERNANDES</x:v>
      </x:c>
      <x:c r="C609" t="n">
        <x:f>Despesas!B573</x:f>
        <x:v>0</x:v>
      </x:c>
      <x:c r="D609" t="str">
        <x:f>Despesas!C573</x:f>
        <x:v>015448</x:v>
      </x:c>
      <x:c r="E609" t="str">
        <x:f>Despesas!D573</x:f>
        <x:v>PRESTAÇÃO DE CONTA JACINTO</x:v>
      </x:c>
      <x:c r="F609" t="str">
        <x:f>Despesas!E573</x:f>
        <x:v>MATERIAIS DE LIMPEZA</x:v>
      </x:c>
      <x:c r="G609" s="4" t="n">
        <x:f>Despesas!F573</x:f>
        <x:v>46042</x:v>
      </x:c>
      <x:c r="H609" t="str">
        <x:f>Despesas!G573</x:f>
        <x:v>SERENA 10 TORRES 2025</x:v>
      </x:c>
      <x:c r="I609" t="str">
        <x:f>Despesas!H573</x:f>
        <x:v>8.11 - MATERIAIS DE LIMPEZA / HIGIENE</x:v>
      </x:c>
      <x:c r="J609" s="5" t="n">
        <x:f>Despesas!I573</x:f>
        <x:v>130</x:v>
      </x:c>
      <x:c r="K609" s="5" t="n">
        <x:f>0</x:f>
        <x:v>0</x:v>
      </x:c>
      <x:c r="L609" s="5" t="n">
        <x:f>Despesas!I573</x:f>
        <x:v>130</x:v>
      </x:c>
      <x:c r="M609" s="5" t="n">
        <x:f>-J609</x:f>
        <x:v>-130</x:v>
      </x:c>
    </x:row>
    <x:row r="610">
      <x:c r="A610" t="str">
        <x:f>"Despesa/Custo"</x:f>
        <x:v>Despesa/Custo</x:v>
      </x:c>
      <x:c r="B610" t="str">
        <x:f>Despesas!A574</x:f>
        <x:v>JACINTO FERNANDES</x:v>
      </x:c>
      <x:c r="C610" t="n">
        <x:f>Despesas!B574</x:f>
        <x:v>0</x:v>
      </x:c>
      <x:c r="D610" t="str">
        <x:f>Despesas!C574</x:f>
        <x:v>015449</x:v>
      </x:c>
      <x:c r="E610" t="str">
        <x:f>Despesas!D574</x:f>
        <x:v>PRESTAÇÃO DE CONTA JACINTO</x:v>
      </x:c>
      <x:c r="F610" t="n">
        <x:f>Despesas!E574</x:f>
        <x:v>0</x:v>
      </x:c>
      <x:c r="G610" s="4" t="n">
        <x:f>Despesas!F574</x:f>
        <x:v>46042</x:v>
      </x:c>
      <x:c r="H610" t="str">
        <x:f>Despesas!G574</x:f>
        <x:v>VLI PINTURA</x:v>
      </x:c>
      <x:c r="I610" t="str">
        <x:f>Despesas!H574</x:f>
        <x:v>6.3 - MANUTENÇÃO/PEÇAS  VEICULOS</x:v>
      </x:c>
      <x:c r="J610" s="5" t="n">
        <x:f>Despesas!I574</x:f>
        <x:v>55</x:v>
      </x:c>
      <x:c r="K610" s="5" t="n">
        <x:f>0</x:f>
        <x:v>0</x:v>
      </x:c>
      <x:c r="L610" s="5" t="n">
        <x:f>Despesas!I574</x:f>
        <x:v>55</x:v>
      </x:c>
      <x:c r="M610" s="5" t="n">
        <x:f>-J610</x:f>
        <x:v>-55</x:v>
      </x:c>
    </x:row>
    <x:row r="611">
      <x:c r="A611" t="str">
        <x:f>"Despesa/Custo"</x:f>
        <x:v>Despesa/Custo</x:v>
      </x:c>
      <x:c r="B611" t="str">
        <x:f>Despesas!A575</x:f>
        <x:v>JACINTO FERNANDES</x:v>
      </x:c>
      <x:c r="C611" t="n">
        <x:f>Despesas!B575</x:f>
        <x:v>0</x:v>
      </x:c>
      <x:c r="D611" t="str">
        <x:f>Despesas!C575</x:f>
        <x:v>015449</x:v>
      </x:c>
      <x:c r="E611" t="str">
        <x:f>Despesas!D575</x:f>
        <x:v>PRESTAÇÃO DE CONTA JACINTO</x:v>
      </x:c>
      <x:c r="F611" t="n">
        <x:f>Despesas!E575</x:f>
        <x:v>0</x:v>
      </x:c>
      <x:c r="G611" s="4" t="n">
        <x:f>Despesas!F575</x:f>
        <x:v>46042</x:v>
      </x:c>
      <x:c r="H611" t="str">
        <x:f>Despesas!G575</x:f>
        <x:v>VLI PINTURA</x:v>
      </x:c>
      <x:c r="I611" t="str">
        <x:f>Despesas!H575</x:f>
        <x:v>8.9 - MATERIAIS DE CONSUMO EM OBRAS</x:v>
      </x:c>
      <x:c r="J611" s="5" t="n">
        <x:f>Despesas!I575</x:f>
        <x:v>145</x:v>
      </x:c>
      <x:c r="K611" s="5" t="n">
        <x:f>0</x:f>
        <x:v>0</x:v>
      </x:c>
      <x:c r="L611" s="5" t="n">
        <x:f>Despesas!I575</x:f>
        <x:v>145</x:v>
      </x:c>
      <x:c r="M611" s="5" t="n">
        <x:f>-J611</x:f>
        <x:v>-145</x:v>
      </x:c>
    </x:row>
    <x:row r="612">
      <x:c r="A612" t="str">
        <x:f>"Despesa/Custo"</x:f>
        <x:v>Despesa/Custo</x:v>
      </x:c>
      <x:c r="B612" t="str">
        <x:f>Despesas!A576</x:f>
        <x:v>JACINTO FERNANDES</x:v>
      </x:c>
      <x:c r="C612" t="n">
        <x:f>Despesas!B576</x:f>
        <x:v>0</x:v>
      </x:c>
      <x:c r="D612" t="str">
        <x:f>Despesas!C576</x:f>
        <x:v>015449</x:v>
      </x:c>
      <x:c r="E612" t="str">
        <x:f>Despesas!D576</x:f>
        <x:v>PRESTAÇÃO DE CONTA JACINTO</x:v>
      </x:c>
      <x:c r="F612" t="n">
        <x:f>Despesas!E576</x:f>
        <x:v>0</x:v>
      </x:c>
      <x:c r="G612" s="4" t="n">
        <x:f>Despesas!F576</x:f>
        <x:v>46042</x:v>
      </x:c>
      <x:c r="H612" t="str">
        <x:f>Despesas!G576</x:f>
        <x:v>VLI PINTURA</x:v>
      </x:c>
      <x:c r="I612" t="str">
        <x:f>Despesas!H576</x:f>
        <x:v>6.10 - SERVIÇO LAVA JATO</x:v>
      </x:c>
      <x:c r="J612" s="5" t="n">
        <x:f>Despesas!I576</x:f>
        <x:v>160</x:v>
      </x:c>
      <x:c r="K612" s="5" t="n">
        <x:f>0</x:f>
        <x:v>0</x:v>
      </x:c>
      <x:c r="L612" s="5" t="n">
        <x:f>Despesas!I576</x:f>
        <x:v>160</x:v>
      </x:c>
      <x:c r="M612" s="5" t="n">
        <x:f>-J612</x:f>
        <x:v>-160</x:v>
      </x:c>
    </x:row>
    <x:row r="613">
      <x:c r="A613" t="str">
        <x:f>"Despesa/Custo"</x:f>
        <x:v>Despesa/Custo</x:v>
      </x:c>
      <x:c r="B613" t="str">
        <x:f>Despesas!A577</x:f>
        <x:v>JACINTO FERNANDES</x:v>
      </x:c>
      <x:c r="C613" t="n">
        <x:f>Despesas!B577</x:f>
        <x:v>0</x:v>
      </x:c>
      <x:c r="D613" t="str">
        <x:f>Despesas!C577</x:f>
        <x:v>015449</x:v>
      </x:c>
      <x:c r="E613" t="str">
        <x:f>Despesas!D577</x:f>
        <x:v>PRESTAÇÃO DE CONTA JACINTO</x:v>
      </x:c>
      <x:c r="F613" t="n">
        <x:f>Despesas!E577</x:f>
        <x:v>0</x:v>
      </x:c>
      <x:c r="G613" s="4" t="n">
        <x:f>Despesas!F577</x:f>
        <x:v>46042</x:v>
      </x:c>
      <x:c r="H613" t="str">
        <x:f>Despesas!G577</x:f>
        <x:v>VLI PINTURA</x:v>
      </x:c>
      <x:c r="I613" t="str">
        <x:f>Despesas!H577</x:f>
        <x:v>11.14 - INTERNET OBRAS</x:v>
      </x:c>
      <x:c r="J613" s="5" t="n">
        <x:f>Despesas!I577</x:f>
        <x:v>214.8</x:v>
      </x:c>
      <x:c r="K613" s="5" t="n">
        <x:f>0</x:f>
        <x:v>0</x:v>
      </x:c>
      <x:c r="L613" s="5" t="n">
        <x:f>Despesas!I577</x:f>
        <x:v>214.8</x:v>
      </x:c>
      <x:c r="M613" s="5" t="n">
        <x:f>-J613</x:f>
        <x:v>-214.8</x:v>
      </x:c>
    </x:row>
    <x:row r="614">
      <x:c r="A614" t="str">
        <x:f>"Despesa/Custo"</x:f>
        <x:v>Despesa/Custo</x:v>
      </x:c>
      <x:c r="B614" t="str">
        <x:f>Despesas!A578</x:f>
        <x:v>JACINTO FERNANDES</x:v>
      </x:c>
      <x:c r="C614" t="n">
        <x:f>Despesas!B578</x:f>
        <x:v>0</x:v>
      </x:c>
      <x:c r="D614" t="str">
        <x:f>Despesas!C578</x:f>
        <x:v>015450</x:v>
      </x:c>
      <x:c r="E614" t="str">
        <x:f>Despesas!D578</x:f>
        <x:v>PRESTAÇÃO DE CONTA JACINTO</x:v>
      </x:c>
      <x:c r="F614" t="str">
        <x:f>Despesas!E578</x:f>
        <x:v>MARANHÃO</x:v>
      </x:c>
      <x:c r="G614" s="4" t="n">
        <x:f>Despesas!F578</x:f>
        <x:v>46042</x:v>
      </x:c>
      <x:c r="H614" t="str">
        <x:f>Despesas!G578</x:f>
        <x:v>SERENA 10 TORRES 2025</x:v>
      </x:c>
      <x:c r="I614" t="str">
        <x:f>Despesas!H578</x:f>
        <x:v>6.6 - PEDAGIOS</x:v>
      </x:c>
      <x:c r="J614" s="5" t="n">
        <x:f>Despesas!I578</x:f>
        <x:v>93.77</x:v>
      </x:c>
      <x:c r="K614" s="5" t="n">
        <x:f>0</x:f>
        <x:v>0</x:v>
      </x:c>
      <x:c r="L614" s="5" t="n">
        <x:f>Despesas!I578</x:f>
        <x:v>93.77</x:v>
      </x:c>
      <x:c r="M614" s="5" t="n">
        <x:f>-J614</x:f>
        <x:v>-93.77</x:v>
      </x:c>
    </x:row>
    <x:row r="615">
      <x:c r="A615" t="str">
        <x:f>"Despesa/Custo"</x:f>
        <x:v>Despesa/Custo</x:v>
      </x:c>
      <x:c r="B615" t="str">
        <x:f>Despesas!A579</x:f>
        <x:v>JACINTO FERNANDES</x:v>
      </x:c>
      <x:c r="C615" t="n">
        <x:f>Despesas!B579</x:f>
        <x:v>0</x:v>
      </x:c>
      <x:c r="D615" t="str">
        <x:f>Despesas!C579</x:f>
        <x:v>015450</x:v>
      </x:c>
      <x:c r="E615" t="str">
        <x:f>Despesas!D579</x:f>
        <x:v>PRESTAÇÃO DE CONTA JACINTO</x:v>
      </x:c>
      <x:c r="F615" t="str">
        <x:f>Despesas!E579</x:f>
        <x:v>MARANHÃO</x:v>
      </x:c>
      <x:c r="G615" s="4" t="n">
        <x:f>Despesas!F579</x:f>
        <x:v>46042</x:v>
      </x:c>
      <x:c r="H615" t="str">
        <x:f>Despesas!G579</x:f>
        <x:v>SERENA 10 TORRES 2025</x:v>
      </x:c>
      <x:c r="I615" t="str">
        <x:f>Despesas!H579</x:f>
        <x:v>12.5 - REFEIÇÕES FUNCIONARIOS</x:v>
      </x:c>
      <x:c r="J615" s="5" t="n">
        <x:f>Despesas!I579</x:f>
        <x:v>120</x:v>
      </x:c>
      <x:c r="K615" s="5" t="n">
        <x:f>0</x:f>
        <x:v>0</x:v>
      </x:c>
      <x:c r="L615" s="5" t="n">
        <x:f>Despesas!I579</x:f>
        <x:v>120</x:v>
      </x:c>
      <x:c r="M615" s="5" t="n">
        <x:f>-J615</x:f>
        <x:v>-120</x:v>
      </x:c>
    </x:row>
    <x:row r="616">
      <x:c r="A616" t="str">
        <x:f>"Despesa/Custo"</x:f>
        <x:v>Despesa/Custo</x:v>
      </x:c>
      <x:c r="B616" t="str">
        <x:f>Despesas!A580</x:f>
        <x:v>JACINTO FERNANDES</x:v>
      </x:c>
      <x:c r="C616" t="n">
        <x:f>Despesas!B580</x:f>
        <x:v>0</x:v>
      </x:c>
      <x:c r="D616" t="str">
        <x:f>Despesas!C580</x:f>
        <x:v>015450</x:v>
      </x:c>
      <x:c r="E616" t="str">
        <x:f>Despesas!D580</x:f>
        <x:v>PRESTAÇÃO DE CONTA JACINTO</x:v>
      </x:c>
      <x:c r="F616" t="str">
        <x:f>Despesas!E580</x:f>
        <x:v>MARANHÃO</x:v>
      </x:c>
      <x:c r="G616" s="4" t="n">
        <x:f>Despesas!F580</x:f>
        <x:v>46042</x:v>
      </x:c>
      <x:c r="H616" t="str">
        <x:f>Despesas!G580</x:f>
        <x:v>SERENA 10 TORRES 2025</x:v>
      </x:c>
      <x:c r="I616" t="str">
        <x:f>Despesas!H580</x:f>
        <x:v>5.1 - HOTEL FUNCIONARIOS</x:v>
      </x:c>
      <x:c r="J616" s="5" t="n">
        <x:f>Despesas!I580</x:f>
        <x:v>200</x:v>
      </x:c>
      <x:c r="K616" s="5" t="n">
        <x:f>0</x:f>
        <x:v>0</x:v>
      </x:c>
      <x:c r="L616" s="5" t="n">
        <x:f>Despesas!I580</x:f>
        <x:v>200</x:v>
      </x:c>
      <x:c r="M616" s="5" t="n">
        <x:f>-J616</x:f>
        <x:v>-200</x:v>
      </x:c>
    </x:row>
    <x:row r="617">
      <x:c r="A617" t="str">
        <x:f>"Despesa/Custo"</x:f>
        <x:v>Despesa/Custo</x:v>
      </x:c>
      <x:c r="B617" t="str">
        <x:f>Despesas!A581</x:f>
        <x:v>JACINTO FERNANDES</x:v>
      </x:c>
      <x:c r="C617" t="n">
        <x:f>Despesas!B581</x:f>
        <x:v>0</x:v>
      </x:c>
      <x:c r="D617" t="str">
        <x:f>Despesas!C581</x:f>
        <x:v>015450</x:v>
      </x:c>
      <x:c r="E617" t="str">
        <x:f>Despesas!D581</x:f>
        <x:v>PRESTAÇÃO DE CONTA JACINTO</x:v>
      </x:c>
      <x:c r="F617" t="str">
        <x:f>Despesas!E581</x:f>
        <x:v>MARANHÃO</x:v>
      </x:c>
      <x:c r="G617" s="4" t="n">
        <x:f>Despesas!F581</x:f>
        <x:v>46042</x:v>
      </x:c>
      <x:c r="H617" t="str">
        <x:f>Despesas!G581</x:f>
        <x:v>SERENA 10 TORRES 2025</x:v>
      </x:c>
      <x:c r="I617" t="str">
        <x:f>Despesas!H581</x:f>
        <x:v>6.4 - COMBUSTIVEL VEICULOS</x:v>
      </x:c>
      <x:c r="J617" s="5" t="n">
        <x:f>Despesas!I581</x:f>
        <x:v>1383.68</x:v>
      </x:c>
      <x:c r="K617" s="5" t="n">
        <x:f>0</x:f>
        <x:v>0</x:v>
      </x:c>
      <x:c r="L617" s="5" t="n">
        <x:f>Despesas!I581</x:f>
        <x:v>1383.68</x:v>
      </x:c>
      <x:c r="M617" s="5" t="n">
        <x:f>-J617</x:f>
        <x:v>-1383.68</x:v>
      </x:c>
    </x:row>
    <x:row r="618">
      <x:c r="A618" t="str">
        <x:f>"Despesa/Custo"</x:f>
        <x:v>Despesa/Custo</x:v>
      </x:c>
      <x:c r="B618" t="str">
        <x:f>Despesas!A582</x:f>
        <x:v>JACINTO FERNANDES</x:v>
      </x:c>
      <x:c r="C618" t="n">
        <x:f>Despesas!B582</x:f>
        <x:v>0</x:v>
      </x:c>
      <x:c r="D618" t="str">
        <x:f>Despesas!C582</x:f>
        <x:v>015451</x:v>
      </x:c>
      <x:c r="E618" t="str">
        <x:f>Despesas!D582</x:f>
        <x:v>PRESTAÇÃO DE CONTA JACINTO</x:v>
      </x:c>
      <x:c r="F618" t="str">
        <x:f>Despesas!E582</x:f>
        <x:v>VIAGEM MARANHÃO</x:v>
      </x:c>
      <x:c r="G618" s="4" t="n">
        <x:f>Despesas!F582</x:f>
        <x:v>46042</x:v>
      </x:c>
      <x:c r="H618" t="str">
        <x:f>Despesas!G582</x:f>
        <x:v>SERENA 10 TORRES 2025</x:v>
      </x:c>
      <x:c r="I618" t="str">
        <x:f>Despesas!H582</x:f>
        <x:v>6.6 - PEDAGIOS</x:v>
      </x:c>
      <x:c r="J618" s="5" t="n">
        <x:f>Despesas!I582</x:f>
        <x:v>89.6</x:v>
      </x:c>
      <x:c r="K618" s="5" t="n">
        <x:f>0</x:f>
        <x:v>0</x:v>
      </x:c>
      <x:c r="L618" s="5" t="n">
        <x:f>Despesas!I582</x:f>
        <x:v>89.6</x:v>
      </x:c>
      <x:c r="M618" s="5" t="n">
        <x:f>-J618</x:f>
        <x:v>-89.6</x:v>
      </x:c>
    </x:row>
    <x:row r="619">
      <x:c r="A619" t="str">
        <x:f>"Despesa/Custo"</x:f>
        <x:v>Despesa/Custo</x:v>
      </x:c>
      <x:c r="B619" t="str">
        <x:f>Despesas!A583</x:f>
        <x:v>JACINTO FERNANDES</x:v>
      </x:c>
      <x:c r="C619" t="n">
        <x:f>Despesas!B583</x:f>
        <x:v>0</x:v>
      </x:c>
      <x:c r="D619" t="str">
        <x:f>Despesas!C583</x:f>
        <x:v>015451</x:v>
      </x:c>
      <x:c r="E619" t="str">
        <x:f>Despesas!D583</x:f>
        <x:v>PRESTAÇÃO DE CONTA JACINTO</x:v>
      </x:c>
      <x:c r="F619" t="str">
        <x:f>Despesas!E583</x:f>
        <x:v>VIAGEM MARANHÃO</x:v>
      </x:c>
      <x:c r="G619" s="4" t="n">
        <x:f>Despesas!F583</x:f>
        <x:v>46042</x:v>
      </x:c>
      <x:c r="H619" t="str">
        <x:f>Despesas!G583</x:f>
        <x:v>SERENA 10 TORRES 2025</x:v>
      </x:c>
      <x:c r="I619" t="str">
        <x:f>Despesas!H583</x:f>
        <x:v>12.5 - REFEIÇÕES FUNCIONARIOS</x:v>
      </x:c>
      <x:c r="J619" s="5" t="n">
        <x:f>Despesas!I583</x:f>
        <x:v>130</x:v>
      </x:c>
      <x:c r="K619" s="5" t="n">
        <x:f>0</x:f>
        <x:v>0</x:v>
      </x:c>
      <x:c r="L619" s="5" t="n">
        <x:f>Despesas!I583</x:f>
        <x:v>130</x:v>
      </x:c>
      <x:c r="M619" s="5" t="n">
        <x:f>-J619</x:f>
        <x:v>-130</x:v>
      </x:c>
    </x:row>
    <x:row r="620">
      <x:c r="A620" t="str">
        <x:f>"Despesa/Custo"</x:f>
        <x:v>Despesa/Custo</x:v>
      </x:c>
      <x:c r="B620" t="str">
        <x:f>Despesas!A584</x:f>
        <x:v>JACINTO FERNANDES</x:v>
      </x:c>
      <x:c r="C620" t="n">
        <x:f>Despesas!B584</x:f>
        <x:v>0</x:v>
      </x:c>
      <x:c r="D620" t="str">
        <x:f>Despesas!C584</x:f>
        <x:v>015451</x:v>
      </x:c>
      <x:c r="E620" t="str">
        <x:f>Despesas!D584</x:f>
        <x:v>PRESTAÇÃO DE CONTA JACINTO</x:v>
      </x:c>
      <x:c r="F620" t="str">
        <x:f>Despesas!E584</x:f>
        <x:v>VIAGEM MARANHÃO</x:v>
      </x:c>
      <x:c r="G620" s="4" t="n">
        <x:f>Despesas!F584</x:f>
        <x:v>46042</x:v>
      </x:c>
      <x:c r="H620" t="str">
        <x:f>Despesas!G584</x:f>
        <x:v>SERENA 10 TORRES 2025</x:v>
      </x:c>
      <x:c r="I620" t="str">
        <x:f>Despesas!H584</x:f>
        <x:v>5.1 - HOTEL FUNCIONARIOS</x:v>
      </x:c>
      <x:c r="J620" s="5" t="n">
        <x:f>Despesas!I584</x:f>
        <x:v>190</x:v>
      </x:c>
      <x:c r="K620" s="5" t="n">
        <x:f>0</x:f>
        <x:v>0</x:v>
      </x:c>
      <x:c r="L620" s="5" t="n">
        <x:f>Despesas!I584</x:f>
        <x:v>190</x:v>
      </x:c>
      <x:c r="M620" s="5" t="n">
        <x:f>-J620</x:f>
        <x:v>-190</x:v>
      </x:c>
    </x:row>
    <x:row r="621">
      <x:c r="A621" t="str">
        <x:f>"Despesa/Custo"</x:f>
        <x:v>Despesa/Custo</x:v>
      </x:c>
      <x:c r="B621" t="str">
        <x:f>Despesas!A585</x:f>
        <x:v>JACINTO FERNANDES</x:v>
      </x:c>
      <x:c r="C621" t="n">
        <x:f>Despesas!B585</x:f>
        <x:v>0</x:v>
      </x:c>
      <x:c r="D621" t="str">
        <x:f>Despesas!C585</x:f>
        <x:v>015451</x:v>
      </x:c>
      <x:c r="E621" t="str">
        <x:f>Despesas!D585</x:f>
        <x:v>PRESTAÇÃO DE CONTA JACINTO</x:v>
      </x:c>
      <x:c r="F621" t="str">
        <x:f>Despesas!E585</x:f>
        <x:v>VIAGEM MARANHÃO</x:v>
      </x:c>
      <x:c r="G621" s="4" t="n">
        <x:f>Despesas!F585</x:f>
        <x:v>46042</x:v>
      </x:c>
      <x:c r="H621" t="str">
        <x:f>Despesas!G585</x:f>
        <x:v>SERENA 10 TORRES 2025</x:v>
      </x:c>
      <x:c r="I621" t="str">
        <x:f>Despesas!H585</x:f>
        <x:v>6.4 - COMBUSTIVEL VEICULOS</x:v>
      </x:c>
      <x:c r="J621" s="5" t="n">
        <x:f>Despesas!I585</x:f>
        <x:v>1061.19</x:v>
      </x:c>
      <x:c r="K621" s="5" t="n">
        <x:f>0</x:f>
        <x:v>0</x:v>
      </x:c>
      <x:c r="L621" s="5" t="n">
        <x:f>Despesas!I585</x:f>
        <x:v>1061.19</x:v>
      </x:c>
      <x:c r="M621" s="5" t="n">
        <x:f>-J621</x:f>
        <x:v>-1061.19</x:v>
      </x:c>
    </x:row>
    <x:row r="622">
      <x:c r="A622" t="str">
        <x:f>"Despesa/Custo"</x:f>
        <x:v>Despesa/Custo</x:v>
      </x:c>
      <x:c r="B622" t="str">
        <x:f>Despesas!A586</x:f>
        <x:v>ENCOMENDA DE CATALAO</x:v>
      </x:c>
      <x:c r="C622" t="n">
        <x:f>Despesas!B586</x:f>
        <x:v>0</x:v>
      </x:c>
      <x:c r="D622" t="str">
        <x:f>Despesas!C586</x:f>
        <x:v>015452</x:v>
      </x:c>
      <x:c r="E622" t="str">
        <x:f>Despesas!D586</x:f>
        <x:v>GABRIELLE ELIAS DE FREITAS PIX 64992591215</x:v>
      </x:c>
      <x:c r="F622" t="str">
        <x:f>Despesas!E586</x:f>
        <x:v>ENCOMENDA TRINDADE A CATALAO</x:v>
      </x:c>
      <x:c r="G622" s="4" t="n">
        <x:f>Despesas!F586</x:f>
        <x:v>46042</x:v>
      </x:c>
      <x:c r="H622" t="str">
        <x:f>Despesas!G586</x:f>
        <x:v>FOSFATO CMOC CONTRAT</x:v>
      </x:c>
      <x:c r="I622" t="str">
        <x:f>Despesas!H586</x:f>
        <x:v>10.1 - FRETE MATERIAIS E EQUIPAMENTOS</x:v>
      </x:c>
      <x:c r="J622" s="5" t="n">
        <x:f>Despesas!I586</x:f>
        <x:v>130</x:v>
      </x:c>
      <x:c r="K622" s="5" t="n">
        <x:f>0</x:f>
        <x:v>0</x:v>
      </x:c>
      <x:c r="L622" s="5" t="n">
        <x:f>Despesas!I586</x:f>
        <x:v>130</x:v>
      </x:c>
      <x:c r="M622" s="5" t="n">
        <x:f>-J622</x:f>
        <x:v>-130</x:v>
      </x:c>
    </x:row>
    <x:row r="623">
      <x:c r="A623" t="str">
        <x:f>"Despesa/Custo"</x:f>
        <x:v>Despesa/Custo</x:v>
      </x:c>
      <x:c r="B623" t="str">
        <x:f>Despesas!A587</x:f>
        <x:v>DCTF WEB</x:v>
      </x:c>
      <x:c r="C623" t="n">
        <x:f>Despesas!B587</x:f>
        <x:v>0</x:v>
      </x:c>
      <x:c r="D623" t="str">
        <x:f>Despesas!C587</x:f>
        <x:v>015755</x:v>
      </x:c>
      <x:c r="E623" t="str">
        <x:f>Despesas!D587</x:f>
        <x:v>DCTF WEB MES12/205</x:v>
      </x:c>
      <x:c r="F623" t="n">
        <x:f>Despesas!E587</x:f>
        <x:v>0</x:v>
      </x:c>
      <x:c r="G623" s="4" t="n">
        <x:f>Despesas!F587</x:f>
        <x:v>46042</x:v>
      </x:c>
      <x:c r="H623" t="str">
        <x:f>Despesas!G587</x:f>
        <x:v>VLI PINTURA</x:v>
      </x:c>
      <x:c r="I623" t="str">
        <x:f>Despesas!H587</x:f>
        <x:v>12.15 - DCTFWEB</x:v>
      </x:c>
      <x:c r="J623" s="5" t="n">
        <x:f>Despesas!I587</x:f>
        <x:v>23363.052782</x:v>
      </x:c>
      <x:c r="K623" s="5" t="n">
        <x:f>0</x:f>
        <x:v>0</x:v>
      </x:c>
      <x:c r="L623" s="5" t="n">
        <x:f>Despesas!I587</x:f>
        <x:v>23363.052782</x:v>
      </x:c>
      <x:c r="M623" s="5" t="n">
        <x:f>-J623</x:f>
        <x:v>-23363.052782</x:v>
      </x:c>
    </x:row>
    <x:row r="624">
      <x:c r="A624" t="str">
        <x:f>"Despesa/Custo"</x:f>
        <x:v>Despesa/Custo</x:v>
      </x:c>
      <x:c r="B624" t="str">
        <x:f>Despesas!A588</x:f>
        <x:v>DCTF WEB</x:v>
      </x:c>
      <x:c r="C624" t="n">
        <x:f>Despesas!B588</x:f>
        <x:v>0</x:v>
      </x:c>
      <x:c r="D624" t="str">
        <x:f>Despesas!C588</x:f>
        <x:v>015755</x:v>
      </x:c>
      <x:c r="E624" t="str">
        <x:f>Despesas!D588</x:f>
        <x:v>DCTF WEB MES12/205</x:v>
      </x:c>
      <x:c r="F624" t="n">
        <x:f>Despesas!E588</x:f>
        <x:v>0</x:v>
      </x:c>
      <x:c r="G624" s="4" t="n">
        <x:f>Despesas!F588</x:f>
        <x:v>46042</x:v>
      </x:c>
      <x:c r="H624" t="str">
        <x:f>Despesas!G588</x:f>
        <x:v>ADMINISTRATIVO</x:v>
      </x:c>
      <x:c r="I624" t="str">
        <x:f>Despesas!H588</x:f>
        <x:v>12.15 - DCTFWEB</x:v>
      </x:c>
      <x:c r="J624" s="5" t="n">
        <x:f>Despesas!I588</x:f>
        <x:v>11681.526391</x:v>
      </x:c>
      <x:c r="K624" s="5" t="n">
        <x:f>0</x:f>
        <x:v>0</x:v>
      </x:c>
      <x:c r="L624" s="5" t="n">
        <x:f>Despesas!I588</x:f>
        <x:v>11681.526391</x:v>
      </x:c>
      <x:c r="M624" s="5" t="n">
        <x:f>-J624</x:f>
        <x:v>-11681.526391</x:v>
      </x:c>
    </x:row>
    <x:row r="625">
      <x:c r="A625" t="str">
        <x:f>"Despesa/Custo"</x:f>
        <x:v>Despesa/Custo</x:v>
      </x:c>
      <x:c r="B625" t="str">
        <x:f>Despesas!A589</x:f>
        <x:v>DCTF WEB</x:v>
      </x:c>
      <x:c r="C625" t="n">
        <x:f>Despesas!B589</x:f>
        <x:v>0</x:v>
      </x:c>
      <x:c r="D625" t="str">
        <x:f>Despesas!C589</x:f>
        <x:v>015755</x:v>
      </x:c>
      <x:c r="E625" t="str">
        <x:f>Despesas!D589</x:f>
        <x:v>DCTF WEB MES12/205</x:v>
      </x:c>
      <x:c r="F625" t="n">
        <x:f>Despesas!E589</x:f>
        <x:v>0</x:v>
      </x:c>
      <x:c r="G625" s="4" t="n">
        <x:f>Despesas!F589</x:f>
        <x:v>46042</x:v>
      </x:c>
      <x:c r="H625" t="str">
        <x:f>Despesas!G589</x:f>
        <x:v>MOSAIC UBERABA CONTRAT0 3 ANOS</x:v>
      </x:c>
      <x:c r="I625" t="str">
        <x:f>Despesas!H589</x:f>
        <x:v>12.15 - DCTFWEB</x:v>
      </x:c>
      <x:c r="J625" s="5" t="n">
        <x:f>Despesas!I589</x:f>
        <x:v>25031.844722</x:v>
      </x:c>
      <x:c r="K625" s="5" t="n">
        <x:f>0</x:f>
        <x:v>0</x:v>
      </x:c>
      <x:c r="L625" s="5" t="n">
        <x:f>Despesas!I589</x:f>
        <x:v>25031.844722</x:v>
      </x:c>
      <x:c r="M625" s="5" t="n">
        <x:f>-J625</x:f>
        <x:v>-25031.844722</x:v>
      </x:c>
    </x:row>
    <x:row r="626">
      <x:c r="A626" t="str">
        <x:f>"Despesa/Custo"</x:f>
        <x:v>Despesa/Custo</x:v>
      </x:c>
      <x:c r="B626" t="str">
        <x:f>Despesas!A590</x:f>
        <x:v>DCTF WEB</x:v>
      </x:c>
      <x:c r="C626" t="n">
        <x:f>Despesas!B590</x:f>
        <x:v>0</x:v>
      </x:c>
      <x:c r="D626" t="str">
        <x:f>Despesas!C590</x:f>
        <x:v>015755</x:v>
      </x:c>
      <x:c r="E626" t="str">
        <x:f>Despesas!D590</x:f>
        <x:v>DCTF WEB MES12/205</x:v>
      </x:c>
      <x:c r="F626" t="n">
        <x:f>Despesas!E590</x:f>
        <x:v>0</x:v>
      </x:c>
      <x:c r="G626" s="4" t="n">
        <x:f>Despesas!F590</x:f>
        <x:v>46042</x:v>
      </x:c>
      <x:c r="H626" t="str">
        <x:f>Despesas!G590</x:f>
        <x:v>ANGLO AMERICAN</x:v>
      </x:c>
      <x:c r="I626" t="str">
        <x:f>Despesas!H590</x:f>
        <x:v>12.15 - DCTFWEB</x:v>
      </x:c>
      <x:c r="J626" s="5" t="n">
        <x:f>Despesas!I590</x:f>
        <x:v>7509.555135</x:v>
      </x:c>
      <x:c r="K626" s="5" t="n">
        <x:f>0</x:f>
        <x:v>0</x:v>
      </x:c>
      <x:c r="L626" s="5" t="n">
        <x:f>Despesas!I590</x:f>
        <x:v>7509.555135</x:v>
      </x:c>
      <x:c r="M626" s="5" t="n">
        <x:f>-J626</x:f>
        <x:v>-7509.555135</x:v>
      </x:c>
    </x:row>
    <x:row r="627">
      <x:c r="A627" t="str">
        <x:f>"Despesa/Custo"</x:f>
        <x:v>Despesa/Custo</x:v>
      </x:c>
      <x:c r="B627" t="str">
        <x:f>Despesas!A591</x:f>
        <x:v>DCTF WEB</x:v>
      </x:c>
      <x:c r="C627" t="n">
        <x:f>Despesas!B591</x:f>
        <x:v>0</x:v>
      </x:c>
      <x:c r="D627" t="str">
        <x:f>Despesas!C591</x:f>
        <x:v>015755</x:v>
      </x:c>
      <x:c r="E627" t="str">
        <x:f>Despesas!D591</x:f>
        <x:v>DCTF WEB MES12/205</x:v>
      </x:c>
      <x:c r="F627" t="n">
        <x:f>Despesas!E591</x:f>
        <x:v>0</x:v>
      </x:c>
      <x:c r="G627" s="4" t="n">
        <x:f>Despesas!F591</x:f>
        <x:v>46042</x:v>
      </x:c>
      <x:c r="H627" t="str">
        <x:f>Despesas!G591</x:f>
        <x:v>EUROCHEM SERRA DO SALITRE</x:v>
      </x:c>
      <x:c r="I627" t="str">
        <x:f>Despesas!H591</x:f>
        <x:v>12.15 - DCTFWEB</x:v>
      </x:c>
      <x:c r="J627" s="5" t="n">
        <x:f>Despesas!I591</x:f>
        <x:v>7509.555135</x:v>
      </x:c>
      <x:c r="K627" s="5" t="n">
        <x:f>0</x:f>
        <x:v>0</x:v>
      </x:c>
      <x:c r="L627" s="5" t="n">
        <x:f>Despesas!I591</x:f>
        <x:v>7509.555135</x:v>
      </x:c>
      <x:c r="M627" s="5" t="n">
        <x:f>-J627</x:f>
        <x:v>-7509.555135</x:v>
      </x:c>
    </x:row>
    <x:row r="628">
      <x:c r="A628" t="str">
        <x:f>"Despesa/Custo"</x:f>
        <x:v>Despesa/Custo</x:v>
      </x:c>
      <x:c r="B628" t="str">
        <x:f>Despesas!A592</x:f>
        <x:v>DCTF WEB</x:v>
      </x:c>
      <x:c r="C628" t="n">
        <x:f>Despesas!B592</x:f>
        <x:v>0</x:v>
      </x:c>
      <x:c r="D628" t="str">
        <x:f>Despesas!C592</x:f>
        <x:v>015755</x:v>
      </x:c>
      <x:c r="E628" t="str">
        <x:f>Despesas!D592</x:f>
        <x:v>DCTF WEB MES12/205</x:v>
      </x:c>
      <x:c r="F628" t="n">
        <x:f>Despesas!E592</x:f>
        <x:v>0</x:v>
      </x:c>
      <x:c r="G628" s="4" t="n">
        <x:f>Despesas!F592</x:f>
        <x:v>46042</x:v>
      </x:c>
      <x:c r="H628" t="str">
        <x:f>Despesas!G592</x:f>
        <x:v>FOSFATO CMOC CONTRAT</x:v>
      </x:c>
      <x:c r="I628" t="str">
        <x:f>Despesas!H592</x:f>
        <x:v>12.15 - DCTFWEB</x:v>
      </x:c>
      <x:c r="J628" s="5" t="n">
        <x:f>Despesas!I592</x:f>
        <x:v>18356.685556</x:v>
      </x:c>
      <x:c r="K628" s="5" t="n">
        <x:f>0</x:f>
        <x:v>0</x:v>
      </x:c>
      <x:c r="L628" s="5" t="n">
        <x:f>Despesas!I592</x:f>
        <x:v>18356.685556</x:v>
      </x:c>
      <x:c r="M628" s="5" t="n">
        <x:f>-J628</x:f>
        <x:v>-18356.685556</x:v>
      </x:c>
    </x:row>
    <x:row r="629">
      <x:c r="A629" t="str">
        <x:f>"Despesa/Custo"</x:f>
        <x:v>Despesa/Custo</x:v>
      </x:c>
      <x:c r="B629" t="str">
        <x:f>Despesas!A593</x:f>
        <x:v>DCTF WEB</x:v>
      </x:c>
      <x:c r="C629" t="n">
        <x:f>Despesas!B593</x:f>
        <x:v>0</x:v>
      </x:c>
      <x:c r="D629" t="str">
        <x:f>Despesas!C593</x:f>
        <x:v>015755</x:v>
      </x:c>
      <x:c r="E629" t="str">
        <x:f>Despesas!D593</x:f>
        <x:v>DCTF WEB MES12/205</x:v>
      </x:c>
      <x:c r="F629" t="n">
        <x:f>Despesas!E593</x:f>
        <x:v>0</x:v>
      </x:c>
      <x:c r="G629" s="4" t="n">
        <x:f>Despesas!F593</x:f>
        <x:v>46042</x:v>
      </x:c>
      <x:c r="H629" t="str">
        <x:f>Despesas!G593</x:f>
        <x:v>NIOBIO CMOC CONTRATO</x:v>
      </x:c>
      <x:c r="I629" t="str">
        <x:f>Despesas!H593</x:f>
        <x:v>12.15 - DCTFWEB</x:v>
      </x:c>
      <x:c r="J629" s="5" t="n">
        <x:f>Despesas!I593</x:f>
        <x:v>10012.738748</x:v>
      </x:c>
      <x:c r="K629" s="5" t="n">
        <x:f>0</x:f>
        <x:v>0</x:v>
      </x:c>
      <x:c r="L629" s="5" t="n">
        <x:f>Despesas!I593</x:f>
        <x:v>10012.738748</x:v>
      </x:c>
      <x:c r="M629" s="5" t="n">
        <x:f>-J629</x:f>
        <x:v>-10012.738748</x:v>
      </x:c>
    </x:row>
    <x:row r="630">
      <x:c r="A630" t="str">
        <x:f>"Despesa/Custo"</x:f>
        <x:v>Despesa/Custo</x:v>
      </x:c>
      <x:c r="B630" t="str">
        <x:f>Despesas!A594</x:f>
        <x:v>DCTF WEB</x:v>
      </x:c>
      <x:c r="C630" t="n">
        <x:f>Despesas!B594</x:f>
        <x:v>0</x:v>
      </x:c>
      <x:c r="D630" t="str">
        <x:f>Despesas!C594</x:f>
        <x:v>015755</x:v>
      </x:c>
      <x:c r="E630" t="str">
        <x:f>Despesas!D594</x:f>
        <x:v>DCTF WEB MES12/205</x:v>
      </x:c>
      <x:c r="F630" t="n">
        <x:f>Despesas!E594</x:f>
        <x:v>0</x:v>
      </x:c>
      <x:c r="G630" s="4" t="n">
        <x:f>Despesas!F594</x:f>
        <x:v>46042</x:v>
      </x:c>
      <x:c r="H630" t="str">
        <x:f>Despesas!G594</x:f>
        <x:v>SERENA 10 TORRES 2025</x:v>
      </x:c>
      <x:c r="I630" t="str">
        <x:f>Despesas!H594</x:f>
        <x:v>12.15 - DCTFWEB</x:v>
      </x:c>
      <x:c r="J630" s="5" t="n">
        <x:f>Despesas!I594</x:f>
        <x:v>15019.105974</x:v>
      </x:c>
      <x:c r="K630" s="5" t="n">
        <x:f>0</x:f>
        <x:v>0</x:v>
      </x:c>
      <x:c r="L630" s="5" t="n">
        <x:f>Despesas!I594</x:f>
        <x:v>15019.105974</x:v>
      </x:c>
      <x:c r="M630" s="5" t="n">
        <x:f>-J630</x:f>
        <x:v>-15019.105974</x:v>
      </x:c>
    </x:row>
    <x:row r="631">
      <x:c r="A631" t="str">
        <x:f>"Despesa/Custo"</x:f>
        <x:v>Despesa/Custo</x:v>
      </x:c>
      <x:c r="B631" t="str">
        <x:f>Despesas!A595</x:f>
        <x:v>DCTF WEB</x:v>
      </x:c>
      <x:c r="C631" t="n">
        <x:f>Despesas!B595</x:f>
        <x:v>0</x:v>
      </x:c>
      <x:c r="D631" t="str">
        <x:f>Despesas!C595</x:f>
        <x:v>015755</x:v>
      </x:c>
      <x:c r="E631" t="str">
        <x:f>Despesas!D595</x:f>
        <x:v>DCTF WEB MES12/205</x:v>
      </x:c>
      <x:c r="F631" t="n">
        <x:f>Despesas!E595</x:f>
        <x:v>0</x:v>
      </x:c>
      <x:c r="G631" s="4" t="n">
        <x:f>Despesas!F595</x:f>
        <x:v>46042</x:v>
      </x:c>
      <x:c r="H631" t="str">
        <x:f>Despesas!G595</x:f>
        <x:v>CMOC CUBATÃO</x:v>
      </x:c>
      <x:c r="I631" t="str">
        <x:f>Despesas!H595</x:f>
        <x:v>12.15 - DCTFWEB</x:v>
      </x:c>
      <x:c r="J631" s="5" t="n">
        <x:f>Despesas!I595</x:f>
        <x:v>12515.922361</x:v>
      </x:c>
      <x:c r="K631" s="5" t="n">
        <x:f>0</x:f>
        <x:v>0</x:v>
      </x:c>
      <x:c r="L631" s="5" t="n">
        <x:f>Despesas!I595</x:f>
        <x:v>12515.922361</x:v>
      </x:c>
      <x:c r="M631" s="5" t="n">
        <x:f>-J631</x:f>
        <x:v>-12515.922361</x:v>
      </x:c>
    </x:row>
    <x:row r="632">
      <x:c r="A632" t="str">
        <x:f>"Despesa/Custo"</x:f>
        <x:v>Despesa/Custo</x:v>
      </x:c>
      <x:c r="B632" t="str">
        <x:f>Despesas!A596</x:f>
        <x:v>DCTF WEB</x:v>
      </x:c>
      <x:c r="C632" t="n">
        <x:f>Despesas!B596</x:f>
        <x:v>0</x:v>
      </x:c>
      <x:c r="D632" t="str">
        <x:f>Despesas!C596</x:f>
        <x:v>015755</x:v>
      </x:c>
      <x:c r="E632" t="str">
        <x:f>Despesas!D596</x:f>
        <x:v>DCTF WEB MES12/205</x:v>
      </x:c>
      <x:c r="F632" t="n">
        <x:f>Despesas!E596</x:f>
        <x:v>0</x:v>
      </x:c>
      <x:c r="G632" s="4" t="n">
        <x:f>Despesas!F596</x:f>
        <x:v>46042</x:v>
      </x:c>
      <x:c r="H632" t="str">
        <x:f>Despesas!G596</x:f>
        <x:v>CONTRATO 02 ANOS MINERAÇÃO SERRA VERDE</x:v>
      </x:c>
      <x:c r="I632" t="str">
        <x:f>Despesas!H596</x:f>
        <x:v>12.15 - DCTFWEB</x:v>
      </x:c>
      <x:c r="J632" s="5" t="n">
        <x:f>Despesas!I596</x:f>
        <x:v>5840.763196</x:v>
      </x:c>
      <x:c r="K632" s="5" t="n">
        <x:f>0</x:f>
        <x:v>0</x:v>
      </x:c>
      <x:c r="L632" s="5" t="n">
        <x:f>Despesas!I596</x:f>
        <x:v>5840.763196</x:v>
      </x:c>
      <x:c r="M632" s="5" t="n">
        <x:f>-J632</x:f>
        <x:v>-5840.763196</x:v>
      </x:c>
    </x:row>
    <x:row r="633">
      <x:c r="A633" t="str">
        <x:f>"Despesa/Custo"</x:f>
        <x:v>Despesa/Custo</x:v>
      </x:c>
      <x:c r="B633" t="str">
        <x:f>Despesas!A597</x:f>
        <x:v>DCTF WEB</x:v>
      </x:c>
      <x:c r="C633" t="n">
        <x:f>Despesas!B597</x:f>
        <x:v>0</x:v>
      </x:c>
      <x:c r="D633" t="str">
        <x:f>Despesas!C597</x:f>
        <x:v>015756</x:v>
      </x:c>
      <x:c r="E633" t="str">
        <x:f>Despesas!D597</x:f>
        <x:v>DCTF WEB MES12/205</x:v>
      </x:c>
      <x:c r="F633" t="n">
        <x:f>Despesas!E597</x:f>
        <x:v>0</x:v>
      </x:c>
      <x:c r="G633" s="4" t="n">
        <x:f>Despesas!F597</x:f>
        <x:v>46042</x:v>
      </x:c>
      <x:c r="H633" t="str">
        <x:f>Despesas!G597</x:f>
        <x:v>VLI PINTURA</x:v>
      </x:c>
      <x:c r="I633" t="str">
        <x:f>Despesas!H597</x:f>
        <x:v>12.15 - DCTFWEB</x:v>
      </x:c>
      <x:c r="J633" s="5" t="n">
        <x:f>Despesas!I597</x:f>
        <x:v>17854.637179</x:v>
      </x:c>
      <x:c r="K633" s="5" t="n">
        <x:f>0</x:f>
        <x:v>0</x:v>
      </x:c>
      <x:c r="L633" s="5" t="n">
        <x:f>Despesas!I597</x:f>
        <x:v>17854.637179</x:v>
      </x:c>
      <x:c r="M633" s="5" t="n">
        <x:f>-J633</x:f>
        <x:v>-17854.637179</x:v>
      </x:c>
    </x:row>
    <x:row r="634">
      <x:c r="A634" t="str">
        <x:f>"Despesa/Custo"</x:f>
        <x:v>Despesa/Custo</x:v>
      </x:c>
      <x:c r="B634" t="str">
        <x:f>Despesas!A598</x:f>
        <x:v>DCTF WEB</x:v>
      </x:c>
      <x:c r="C634" t="n">
        <x:f>Despesas!B598</x:f>
        <x:v>0</x:v>
      </x:c>
      <x:c r="D634" t="str">
        <x:f>Despesas!C598</x:f>
        <x:v>015756</x:v>
      </x:c>
      <x:c r="E634" t="str">
        <x:f>Despesas!D598</x:f>
        <x:v>DCTF WEB MES12/205</x:v>
      </x:c>
      <x:c r="F634" t="n">
        <x:f>Despesas!E598</x:f>
        <x:v>0</x:v>
      </x:c>
      <x:c r="G634" s="4" t="n">
        <x:f>Despesas!F598</x:f>
        <x:v>46042</x:v>
      </x:c>
      <x:c r="H634" t="str">
        <x:f>Despesas!G598</x:f>
        <x:v>ADMINISTRATIVO</x:v>
      </x:c>
      <x:c r="I634" t="str">
        <x:f>Despesas!H598</x:f>
        <x:v>12.15 - DCTFWEB</x:v>
      </x:c>
      <x:c r="J634" s="5" t="n">
        <x:f>Despesas!I598</x:f>
        <x:v>8927.318589</x:v>
      </x:c>
      <x:c r="K634" s="5" t="n">
        <x:f>0</x:f>
        <x:v>0</x:v>
      </x:c>
      <x:c r="L634" s="5" t="n">
        <x:f>Despesas!I598</x:f>
        <x:v>8927.318589</x:v>
      </x:c>
      <x:c r="M634" s="5" t="n">
        <x:f>-J634</x:f>
        <x:v>-8927.318589</x:v>
      </x:c>
    </x:row>
    <x:row r="635">
      <x:c r="A635" t="str">
        <x:f>"Despesa/Custo"</x:f>
        <x:v>Despesa/Custo</x:v>
      </x:c>
      <x:c r="B635" t="str">
        <x:f>Despesas!A599</x:f>
        <x:v>DCTF WEB</x:v>
      </x:c>
      <x:c r="C635" t="n">
        <x:f>Despesas!B599</x:f>
        <x:v>0</x:v>
      </x:c>
      <x:c r="D635" t="str">
        <x:f>Despesas!C599</x:f>
        <x:v>015756</x:v>
      </x:c>
      <x:c r="E635" t="str">
        <x:f>Despesas!D599</x:f>
        <x:v>DCTF WEB MES12/205</x:v>
      </x:c>
      <x:c r="F635" t="n">
        <x:f>Despesas!E599</x:f>
        <x:v>0</x:v>
      </x:c>
      <x:c r="G635" s="4" t="n">
        <x:f>Despesas!F599</x:f>
        <x:v>46042</x:v>
      </x:c>
      <x:c r="H635" t="str">
        <x:f>Despesas!G599</x:f>
        <x:v>MOSAIC UBERABA CONTRAT0 3 ANOS</x:v>
      </x:c>
      <x:c r="I635" t="str">
        <x:f>Despesas!H599</x:f>
        <x:v>12.15 - DCTFWEB</x:v>
      </x:c>
      <x:c r="J635" s="5" t="n">
        <x:f>Despesas!I599</x:f>
        <x:v>19129.970282</x:v>
      </x:c>
      <x:c r="K635" s="5" t="n">
        <x:f>0</x:f>
        <x:v>0</x:v>
      </x:c>
      <x:c r="L635" s="5" t="n">
        <x:f>Despesas!I599</x:f>
        <x:v>19129.970282</x:v>
      </x:c>
      <x:c r="M635" s="5" t="n">
        <x:f>-J635</x:f>
        <x:v>-19129.970282</x:v>
      </x:c>
    </x:row>
    <x:row r="636">
      <x:c r="A636" t="str">
        <x:f>"Despesa/Custo"</x:f>
        <x:v>Despesa/Custo</x:v>
      </x:c>
      <x:c r="B636" t="str">
        <x:f>Despesas!A600</x:f>
        <x:v>DCTF WEB</x:v>
      </x:c>
      <x:c r="C636" t="n">
        <x:f>Despesas!B600</x:f>
        <x:v>0</x:v>
      </x:c>
      <x:c r="D636" t="str">
        <x:f>Despesas!C600</x:f>
        <x:v>015756</x:v>
      </x:c>
      <x:c r="E636" t="str">
        <x:f>Despesas!D600</x:f>
        <x:v>DCTF WEB MES12/205</x:v>
      </x:c>
      <x:c r="F636" t="n">
        <x:f>Despesas!E600</x:f>
        <x:v>0</x:v>
      </x:c>
      <x:c r="G636" s="4" t="n">
        <x:f>Despesas!F600</x:f>
        <x:v>46042</x:v>
      </x:c>
      <x:c r="H636" t="str">
        <x:f>Despesas!G600</x:f>
        <x:v>ANGLO AMERICAN</x:v>
      </x:c>
      <x:c r="I636" t="str">
        <x:f>Despesas!H600</x:f>
        <x:v>12.15 - DCTFWEB</x:v>
      </x:c>
      <x:c r="J636" s="5" t="n">
        <x:f>Despesas!I600</x:f>
        <x:v>5738.992398</x:v>
      </x:c>
      <x:c r="K636" s="5" t="n">
        <x:f>0</x:f>
        <x:v>0</x:v>
      </x:c>
      <x:c r="L636" s="5" t="n">
        <x:f>Despesas!I600</x:f>
        <x:v>5738.992398</x:v>
      </x:c>
      <x:c r="M636" s="5" t="n">
        <x:f>-J636</x:f>
        <x:v>-5738.992398</x:v>
      </x:c>
    </x:row>
    <x:row r="637">
      <x:c r="A637" t="str">
        <x:f>"Despesa/Custo"</x:f>
        <x:v>Despesa/Custo</x:v>
      </x:c>
      <x:c r="B637" t="str">
        <x:f>Despesas!A601</x:f>
        <x:v>DCTF WEB</x:v>
      </x:c>
      <x:c r="C637" t="n">
        <x:f>Despesas!B601</x:f>
        <x:v>0</x:v>
      </x:c>
      <x:c r="D637" t="str">
        <x:f>Despesas!C601</x:f>
        <x:v>015756</x:v>
      </x:c>
      <x:c r="E637" t="str">
        <x:f>Despesas!D601</x:f>
        <x:v>DCTF WEB MES12/205</x:v>
      </x:c>
      <x:c r="F637" t="n">
        <x:f>Despesas!E601</x:f>
        <x:v>0</x:v>
      </x:c>
      <x:c r="G637" s="4" t="n">
        <x:f>Despesas!F601</x:f>
        <x:v>46042</x:v>
      </x:c>
      <x:c r="H637" t="str">
        <x:f>Despesas!G601</x:f>
        <x:v>EUROCHEM SERRA DO SALITRE</x:v>
      </x:c>
      <x:c r="I637" t="str">
        <x:f>Despesas!H601</x:f>
        <x:v>12.15 - DCTFWEB</x:v>
      </x:c>
      <x:c r="J637" s="5" t="n">
        <x:f>Despesas!I601</x:f>
        <x:v>5738.992398</x:v>
      </x:c>
      <x:c r="K637" s="5" t="n">
        <x:f>0</x:f>
        <x:v>0</x:v>
      </x:c>
      <x:c r="L637" s="5" t="n">
        <x:f>Despesas!I601</x:f>
        <x:v>5738.992398</x:v>
      </x:c>
      <x:c r="M637" s="5" t="n">
        <x:f>-J637</x:f>
        <x:v>-5738.992398</x:v>
      </x:c>
    </x:row>
    <x:row r="638">
      <x:c r="A638" t="str">
        <x:f>"Despesa/Custo"</x:f>
        <x:v>Despesa/Custo</x:v>
      </x:c>
      <x:c r="B638" t="str">
        <x:f>Despesas!A602</x:f>
        <x:v>DCTF WEB</x:v>
      </x:c>
      <x:c r="C638" t="n">
        <x:f>Despesas!B602</x:f>
        <x:v>0</x:v>
      </x:c>
      <x:c r="D638" t="str">
        <x:f>Despesas!C602</x:f>
        <x:v>015756</x:v>
      </x:c>
      <x:c r="E638" t="str">
        <x:f>Despesas!D602</x:f>
        <x:v>DCTF WEB MES12/205</x:v>
      </x:c>
      <x:c r="F638" t="n">
        <x:f>Despesas!E602</x:f>
        <x:v>0</x:v>
      </x:c>
      <x:c r="G638" s="4" t="n">
        <x:f>Despesas!F602</x:f>
        <x:v>46042</x:v>
      </x:c>
      <x:c r="H638" t="str">
        <x:f>Despesas!G602</x:f>
        <x:v>FOSFATO CMOC CONTRAT</x:v>
      </x:c>
      <x:c r="I638" t="str">
        <x:f>Despesas!H602</x:f>
        <x:v>12.15 - DCTFWEB</x:v>
      </x:c>
      <x:c r="J638" s="5" t="n">
        <x:f>Despesas!I602</x:f>
        <x:v>14028.644436</x:v>
      </x:c>
      <x:c r="K638" s="5" t="n">
        <x:f>0</x:f>
        <x:v>0</x:v>
      </x:c>
      <x:c r="L638" s="5" t="n">
        <x:f>Despesas!I602</x:f>
        <x:v>14028.644436</x:v>
      </x:c>
      <x:c r="M638" s="5" t="n">
        <x:f>-J638</x:f>
        <x:v>-14028.644436</x:v>
      </x:c>
    </x:row>
    <x:row r="639">
      <x:c r="A639" t="str">
        <x:f>"Despesa/Custo"</x:f>
        <x:v>Despesa/Custo</x:v>
      </x:c>
      <x:c r="B639" t="str">
        <x:f>Despesas!A603</x:f>
        <x:v>DCTF WEB</x:v>
      </x:c>
      <x:c r="C639" t="n">
        <x:f>Despesas!B603</x:f>
        <x:v>0</x:v>
      </x:c>
      <x:c r="D639" t="str">
        <x:f>Despesas!C603</x:f>
        <x:v>015756</x:v>
      </x:c>
      <x:c r="E639" t="str">
        <x:f>Despesas!D603</x:f>
        <x:v>DCTF WEB MES12/205</x:v>
      </x:c>
      <x:c r="F639" t="n">
        <x:f>Despesas!E603</x:f>
        <x:v>0</x:v>
      </x:c>
      <x:c r="G639" s="4" t="n">
        <x:f>Despesas!F603</x:f>
        <x:v>46042</x:v>
      </x:c>
      <x:c r="H639" t="str">
        <x:f>Despesas!G603</x:f>
        <x:v>NIOBIO CMOC CONTRATO</x:v>
      </x:c>
      <x:c r="I639" t="str">
        <x:f>Despesas!H603</x:f>
        <x:v>12.15 - DCTFWEB</x:v>
      </x:c>
      <x:c r="J639" s="5" t="n">
        <x:f>Despesas!I603</x:f>
        <x:v>7651.98877</x:v>
      </x:c>
      <x:c r="K639" s="5" t="n">
        <x:f>0</x:f>
        <x:v>0</x:v>
      </x:c>
      <x:c r="L639" s="5" t="n">
        <x:f>Despesas!I603</x:f>
        <x:v>7651.98877</x:v>
      </x:c>
      <x:c r="M639" s="5" t="n">
        <x:f>-J639</x:f>
        <x:v>-7651.98877</x:v>
      </x:c>
    </x:row>
    <x:row r="640">
      <x:c r="A640" t="str">
        <x:f>"Despesa/Custo"</x:f>
        <x:v>Despesa/Custo</x:v>
      </x:c>
      <x:c r="B640" t="str">
        <x:f>Despesas!A604</x:f>
        <x:v>DCTF WEB</x:v>
      </x:c>
      <x:c r="C640" t="n">
        <x:f>Despesas!B604</x:f>
        <x:v>0</x:v>
      </x:c>
      <x:c r="D640" t="str">
        <x:f>Despesas!C604</x:f>
        <x:v>015756</x:v>
      </x:c>
      <x:c r="E640" t="str">
        <x:f>Despesas!D604</x:f>
        <x:v>DCTF WEB MES12/205</x:v>
      </x:c>
      <x:c r="F640" t="n">
        <x:f>Despesas!E604</x:f>
        <x:v>0</x:v>
      </x:c>
      <x:c r="G640" s="4" t="n">
        <x:f>Despesas!F604</x:f>
        <x:v>46042</x:v>
      </x:c>
      <x:c r="H640" t="str">
        <x:f>Despesas!G604</x:f>
        <x:v>SERENA 10 TORRES 2025</x:v>
      </x:c>
      <x:c r="I640" t="str">
        <x:f>Despesas!H604</x:f>
        <x:v>12.15 - DCTFWEB</x:v>
      </x:c>
      <x:c r="J640" s="5" t="n">
        <x:f>Despesas!I604</x:f>
        <x:v>11477.981513</x:v>
      </x:c>
      <x:c r="K640" s="5" t="n">
        <x:f>0</x:f>
        <x:v>0</x:v>
      </x:c>
      <x:c r="L640" s="5" t="n">
        <x:f>Despesas!I604</x:f>
        <x:v>11477.981513</x:v>
      </x:c>
      <x:c r="M640" s="5" t="n">
        <x:f>-J640</x:f>
        <x:v>-11477.981513</x:v>
      </x:c>
    </x:row>
    <x:row r="641">
      <x:c r="A641" t="str">
        <x:f>"Despesa/Custo"</x:f>
        <x:v>Despesa/Custo</x:v>
      </x:c>
      <x:c r="B641" t="str">
        <x:f>Despesas!A605</x:f>
        <x:v>DCTF WEB</x:v>
      </x:c>
      <x:c r="C641" t="n">
        <x:f>Despesas!B605</x:f>
        <x:v>0</x:v>
      </x:c>
      <x:c r="D641" t="str">
        <x:f>Despesas!C605</x:f>
        <x:v>015756</x:v>
      </x:c>
      <x:c r="E641" t="str">
        <x:f>Despesas!D605</x:f>
        <x:v>DCTF WEB MES12/205</x:v>
      </x:c>
      <x:c r="F641" t="n">
        <x:f>Despesas!E605</x:f>
        <x:v>0</x:v>
      </x:c>
      <x:c r="G641" s="4" t="n">
        <x:f>Despesas!F605</x:f>
        <x:v>46042</x:v>
      </x:c>
      <x:c r="H641" t="str">
        <x:f>Despesas!G605</x:f>
        <x:v>CMOC CUBATÃO</x:v>
      </x:c>
      <x:c r="I641" t="str">
        <x:f>Despesas!H605</x:f>
        <x:v>12.15 - DCTFWEB</x:v>
      </x:c>
      <x:c r="J641" s="5" t="n">
        <x:f>Despesas!I605</x:f>
        <x:v>9564.985141</x:v>
      </x:c>
      <x:c r="K641" s="5" t="n">
        <x:f>0</x:f>
        <x:v>0</x:v>
      </x:c>
      <x:c r="L641" s="5" t="n">
        <x:f>Despesas!I605</x:f>
        <x:v>9564.985141</x:v>
      </x:c>
      <x:c r="M641" s="5" t="n">
        <x:f>-J641</x:f>
        <x:v>-9564.985141</x:v>
      </x:c>
    </x:row>
    <x:row r="642">
      <x:c r="A642" t="str">
        <x:f>"Despesa/Custo"</x:f>
        <x:v>Despesa/Custo</x:v>
      </x:c>
      <x:c r="B642" t="str">
        <x:f>Despesas!A606</x:f>
        <x:v>DCTF WEB</x:v>
      </x:c>
      <x:c r="C642" t="n">
        <x:f>Despesas!B606</x:f>
        <x:v>0</x:v>
      </x:c>
      <x:c r="D642" t="str">
        <x:f>Despesas!C606</x:f>
        <x:v>015756</x:v>
      </x:c>
      <x:c r="E642" t="str">
        <x:f>Despesas!D606</x:f>
        <x:v>DCTF WEB MES12/205</x:v>
      </x:c>
      <x:c r="F642" t="n">
        <x:f>Despesas!E606</x:f>
        <x:v>0</x:v>
      </x:c>
      <x:c r="G642" s="4" t="n">
        <x:f>Despesas!F606</x:f>
        <x:v>46042</x:v>
      </x:c>
      <x:c r="H642" t="str">
        <x:f>Despesas!G606</x:f>
        <x:v>CONTRATO 02 ANOS MINERAÇÃO SERRA VERDE</x:v>
      </x:c>
      <x:c r="I642" t="str">
        <x:f>Despesas!H606</x:f>
        <x:v>12.15 - DCTFWEB</x:v>
      </x:c>
      <x:c r="J642" s="5" t="n">
        <x:f>Despesas!I606</x:f>
        <x:v>4463.659295</x:v>
      </x:c>
      <x:c r="K642" s="5" t="n">
        <x:f>0</x:f>
        <x:v>0</x:v>
      </x:c>
      <x:c r="L642" s="5" t="n">
        <x:f>Despesas!I606</x:f>
        <x:v>4463.659295</x:v>
      </x:c>
      <x:c r="M642" s="5" t="n">
        <x:f>-J642</x:f>
        <x:v>-4463.659295</x:v>
      </x:c>
    </x:row>
    <x:row r="643">
      <x:c r="A643" t="str">
        <x:f>"Despesa/Custo"</x:f>
        <x:v>Despesa/Custo</x:v>
      </x:c>
      <x:c r="B643" t="str">
        <x:f>Despesas!A607</x:f>
        <x:v>ADIANTAMENTO SALARIAL</x:v>
      </x:c>
      <x:c r="C643" t="n">
        <x:f>Despesas!B607</x:f>
        <x:v>0</x:v>
      </x:c>
      <x:c r="D643" t="str">
        <x:f>Despesas!C607</x:f>
        <x:v>015759</x:v>
      </x:c>
      <x:c r="E643" t="str">
        <x:f>Despesas!D607</x:f>
        <x:v>ADIANTAMENTO SALARIAL REF. FOLHA MES 01-2026</x:v>
      </x:c>
      <x:c r="F643" t="n">
        <x:f>Despesas!E607</x:f>
        <x:v>0</x:v>
      </x:c>
      <x:c r="G643" s="4" t="n">
        <x:f>Despesas!F607</x:f>
        <x:v>46042</x:v>
      </x:c>
      <x:c r="H643" t="str">
        <x:f>Despesas!G607</x:f>
        <x:v>VLI PINTURA</x:v>
      </x:c>
      <x:c r="I643" t="str">
        <x:f>Despesas!H607</x:f>
        <x:v>12.1 - SALARIO</x:v>
      </x:c>
      <x:c r="J643" s="5" t="n">
        <x:f>Despesas!I607</x:f>
        <x:v>16998.375278</x:v>
      </x:c>
      <x:c r="K643" s="5" t="n">
        <x:f>0</x:f>
        <x:v>0</x:v>
      </x:c>
      <x:c r="L643" s="5" t="n">
        <x:f>Despesas!I607</x:f>
        <x:v>16998.375278</x:v>
      </x:c>
      <x:c r="M643" s="5" t="n">
        <x:f>-J643</x:f>
        <x:v>-16998.375278</x:v>
      </x:c>
    </x:row>
    <x:row r="644">
      <x:c r="A644" t="str">
        <x:f>"Despesa/Custo"</x:f>
        <x:v>Despesa/Custo</x:v>
      </x:c>
      <x:c r="B644" t="str">
        <x:f>Despesas!A608</x:f>
        <x:v>ADIANTAMENTO SALARIAL</x:v>
      </x:c>
      <x:c r="C644" t="n">
        <x:f>Despesas!B608</x:f>
        <x:v>0</x:v>
      </x:c>
      <x:c r="D644" t="str">
        <x:f>Despesas!C608</x:f>
        <x:v>015759</x:v>
      </x:c>
      <x:c r="E644" t="str">
        <x:f>Despesas!D608</x:f>
        <x:v>ADIANTAMENTO SALARIAL REF. FOLHA MES 01-2026</x:v>
      </x:c>
      <x:c r="F644" t="n">
        <x:f>Despesas!E608</x:f>
        <x:v>0</x:v>
      </x:c>
      <x:c r="G644" s="4" t="n">
        <x:f>Despesas!F608</x:f>
        <x:v>46042</x:v>
      </x:c>
      <x:c r="H644" t="str">
        <x:f>Despesas!G608</x:f>
        <x:v>MOSAIC UBERABA CONTRAT0 3 ANOS</x:v>
      </x:c>
      <x:c r="I644" t="str">
        <x:f>Despesas!H608</x:f>
        <x:v>12.1 - SALARIO</x:v>
      </x:c>
      <x:c r="J644" s="5" t="n">
        <x:f>Despesas!I608</x:f>
        <x:v>25474.751084</x:v>
      </x:c>
      <x:c r="K644" s="5" t="n">
        <x:f>0</x:f>
        <x:v>0</x:v>
      </x:c>
      <x:c r="L644" s="5" t="n">
        <x:f>Despesas!I608</x:f>
        <x:v>25474.751084</x:v>
      </x:c>
      <x:c r="M644" s="5" t="n">
        <x:f>-J644</x:f>
        <x:v>-25474.751084</x:v>
      </x:c>
    </x:row>
    <x:row r="645">
      <x:c r="A645" t="str">
        <x:f>"Despesa/Custo"</x:f>
        <x:v>Despesa/Custo</x:v>
      </x:c>
      <x:c r="B645" t="str">
        <x:f>Despesas!A609</x:f>
        <x:v>ADIANTAMENTO SALARIAL</x:v>
      </x:c>
      <x:c r="C645" t="n">
        <x:f>Despesas!B609</x:f>
        <x:v>0</x:v>
      </x:c>
      <x:c r="D645" t="str">
        <x:f>Despesas!C609</x:f>
        <x:v>015759</x:v>
      </x:c>
      <x:c r="E645" t="str">
        <x:f>Despesas!D609</x:f>
        <x:v>ADIANTAMENTO SALARIAL REF. FOLHA MES 01-2026</x:v>
      </x:c>
      <x:c r="F645" t="n">
        <x:f>Despesas!E609</x:f>
        <x:v>0</x:v>
      </x:c>
      <x:c r="G645" s="4" t="n">
        <x:f>Despesas!F609</x:f>
        <x:v>46042</x:v>
      </x:c>
      <x:c r="H645" t="str">
        <x:f>Despesas!G609</x:f>
        <x:v>EUROCHEM SERRA DO SALITRE</x:v>
      </x:c>
      <x:c r="I645" t="str">
        <x:f>Despesas!H609</x:f>
        <x:v>12.1 - SALARIO</x:v>
      </x:c>
      <x:c r="J645" s="5" t="n">
        <x:f>Despesas!I609</x:f>
        <x:v>885.093441</x:v>
      </x:c>
      <x:c r="K645" s="5" t="n">
        <x:f>0</x:f>
        <x:v>0</x:v>
      </x:c>
      <x:c r="L645" s="5" t="n">
        <x:f>Despesas!I609</x:f>
        <x:v>885.093441</x:v>
      </x:c>
      <x:c r="M645" s="5" t="n">
        <x:f>-J645</x:f>
        <x:v>-885.093441</x:v>
      </x:c>
    </x:row>
    <x:row r="646">
      <x:c r="A646" t="str">
        <x:f>"Despesa/Custo"</x:f>
        <x:v>Despesa/Custo</x:v>
      </x:c>
      <x:c r="B646" t="str">
        <x:f>Despesas!A610</x:f>
        <x:v>ADIANTAMENTO SALARIAL</x:v>
      </x:c>
      <x:c r="C646" t="n">
        <x:f>Despesas!B610</x:f>
        <x:v>0</x:v>
      </x:c>
      <x:c r="D646" t="str">
        <x:f>Despesas!C610</x:f>
        <x:v>015759</x:v>
      </x:c>
      <x:c r="E646" t="str">
        <x:f>Despesas!D610</x:f>
        <x:v>ADIANTAMENTO SALARIAL REF. FOLHA MES 01-2026</x:v>
      </x:c>
      <x:c r="F646" t="n">
        <x:f>Despesas!E610</x:f>
        <x:v>0</x:v>
      </x:c>
      <x:c r="G646" s="4" t="n">
        <x:f>Despesas!F610</x:f>
        <x:v>46042</x:v>
      </x:c>
      <x:c r="H646" t="str">
        <x:f>Despesas!G610</x:f>
        <x:v>CMOC CUBATÃO</x:v>
      </x:c>
      <x:c r="I646" t="str">
        <x:f>Despesas!H610</x:f>
        <x:v>12.1 - SALARIO</x:v>
      </x:c>
      <x:c r="J646" s="5" t="n">
        <x:f>Despesas!I610</x:f>
        <x:v>15181.990196</x:v>
      </x:c>
      <x:c r="K646" s="5" t="n">
        <x:f>0</x:f>
        <x:v>0</x:v>
      </x:c>
      <x:c r="L646" s="5" t="n">
        <x:f>Despesas!I610</x:f>
        <x:v>15181.990196</x:v>
      </x:c>
      <x:c r="M646" s="5" t="n">
        <x:f>-J646</x:f>
        <x:v>-15181.990196</x:v>
      </x:c>
    </x:row>
    <x:row r="647">
      <x:c r="A647" t="str">
        <x:f>"Despesa/Custo"</x:f>
        <x:v>Despesa/Custo</x:v>
      </x:c>
      <x:c r="B647" t="str">
        <x:f>Despesas!A611</x:f>
        <x:v>ADIANTAMENTO SALARIAL</x:v>
      </x:c>
      <x:c r="C647" t="n">
        <x:f>Despesas!B611</x:f>
        <x:v>0</x:v>
      </x:c>
      <x:c r="D647" t="str">
        <x:f>Despesas!C611</x:f>
        <x:v>015760</x:v>
      </x:c>
      <x:c r="E647" t="str">
        <x:f>Despesas!D611</x:f>
        <x:v>ADIANTAMENTO SALARIAL REF. FOLHA MES 01-2026</x:v>
      </x:c>
      <x:c r="F647" t="n">
        <x:f>Despesas!E611</x:f>
        <x:v>0</x:v>
      </x:c>
      <x:c r="G647" s="4" t="n">
        <x:f>Despesas!F611</x:f>
        <x:v>46042</x:v>
      </x:c>
      <x:c r="H647" t="str">
        <x:f>Despesas!G611</x:f>
        <x:v>VLI PINTURA</x:v>
      </x:c>
      <x:c r="I647" t="str">
        <x:f>Despesas!H611</x:f>
        <x:v>12.1 - SALARIO</x:v>
      </x:c>
      <x:c r="J647" s="5" t="n">
        <x:f>Despesas!I611</x:f>
        <x:v>1049.322144</x:v>
      </x:c>
      <x:c r="K647" s="5" t="n">
        <x:f>0</x:f>
        <x:v>0</x:v>
      </x:c>
      <x:c r="L647" s="5" t="n">
        <x:f>Despesas!I611</x:f>
        <x:v>1049.322144</x:v>
      </x:c>
      <x:c r="M647" s="5" t="n">
        <x:f>-J647</x:f>
        <x:v>-1049.322144</x:v>
      </x:c>
    </x:row>
    <x:row r="648">
      <x:c r="A648" t="str">
        <x:f>"Despesa/Custo"</x:f>
        <x:v>Despesa/Custo</x:v>
      </x:c>
      <x:c r="B648" t="str">
        <x:f>Despesas!A612</x:f>
        <x:v>ADIANTAMENTO SALARIAL</x:v>
      </x:c>
      <x:c r="C648" t="n">
        <x:f>Despesas!B612</x:f>
        <x:v>0</x:v>
      </x:c>
      <x:c r="D648" t="str">
        <x:f>Despesas!C612</x:f>
        <x:v>015760</x:v>
      </x:c>
      <x:c r="E648" t="str">
        <x:f>Despesas!D612</x:f>
        <x:v>ADIANTAMENTO SALARIAL REF. FOLHA MES 01-2026</x:v>
      </x:c>
      <x:c r="F648" t="n">
        <x:f>Despesas!E612</x:f>
        <x:v>0</x:v>
      </x:c>
      <x:c r="G648" s="4" t="n">
        <x:f>Despesas!F612</x:f>
        <x:v>46042</x:v>
      </x:c>
      <x:c r="H648" t="str">
        <x:f>Despesas!G612</x:f>
        <x:v>MOSAIC UBERABA CONTRAT0 3 ANOS</x:v>
      </x:c>
      <x:c r="I648" t="str">
        <x:f>Despesas!H612</x:f>
        <x:v>12.1 - SALARIO</x:v>
      </x:c>
      <x:c r="J648" s="5" t="n">
        <x:f>Despesas!I612</x:f>
        <x:v>1572.575026</x:v>
      </x:c>
      <x:c r="K648" s="5" t="n">
        <x:f>0</x:f>
        <x:v>0</x:v>
      </x:c>
      <x:c r="L648" s="5" t="n">
        <x:f>Despesas!I612</x:f>
        <x:v>1572.575026</x:v>
      </x:c>
      <x:c r="M648" s="5" t="n">
        <x:f>-J648</x:f>
        <x:v>-1572.575026</x:v>
      </x:c>
    </x:row>
    <x:row r="649">
      <x:c r="A649" t="str">
        <x:f>"Despesa/Custo"</x:f>
        <x:v>Despesa/Custo</x:v>
      </x:c>
      <x:c r="B649" t="str">
        <x:f>Despesas!A613</x:f>
        <x:v>ADIANTAMENTO SALARIAL</x:v>
      </x:c>
      <x:c r="C649" t="n">
        <x:f>Despesas!B613</x:f>
        <x:v>0</x:v>
      </x:c>
      <x:c r="D649" t="str">
        <x:f>Despesas!C613</x:f>
        <x:v>015760</x:v>
      </x:c>
      <x:c r="E649" t="str">
        <x:f>Despesas!D613</x:f>
        <x:v>ADIANTAMENTO SALARIAL REF. FOLHA MES 01-2026</x:v>
      </x:c>
      <x:c r="F649" t="n">
        <x:f>Despesas!E613</x:f>
        <x:v>0</x:v>
      </x:c>
      <x:c r="G649" s="4" t="n">
        <x:f>Despesas!F613</x:f>
        <x:v>46042</x:v>
      </x:c>
      <x:c r="H649" t="str">
        <x:f>Despesas!G613</x:f>
        <x:v>EUROCHEM SERRA DO SALITRE</x:v>
      </x:c>
      <x:c r="I649" t="str">
        <x:f>Despesas!H613</x:f>
        <x:v>12.1 - SALARIO</x:v>
      </x:c>
      <x:c r="J649" s="5" t="n">
        <x:f>Despesas!I613</x:f>
        <x:v>54.637466</x:v>
      </x:c>
      <x:c r="K649" s="5" t="n">
        <x:f>0</x:f>
        <x:v>0</x:v>
      </x:c>
      <x:c r="L649" s="5" t="n">
        <x:f>Despesas!I613</x:f>
        <x:v>54.637466</x:v>
      </x:c>
      <x:c r="M649" s="5" t="n">
        <x:f>-J649</x:f>
        <x:v>-54.637466</x:v>
      </x:c>
    </x:row>
    <x:row r="650">
      <x:c r="A650" t="str">
        <x:f>"Despesa/Custo"</x:f>
        <x:v>Despesa/Custo</x:v>
      </x:c>
      <x:c r="B650" t="str">
        <x:f>Despesas!A614</x:f>
        <x:v>ADIANTAMENTO SALARIAL</x:v>
      </x:c>
      <x:c r="C650" t="n">
        <x:f>Despesas!B614</x:f>
        <x:v>0</x:v>
      </x:c>
      <x:c r="D650" t="str">
        <x:f>Despesas!C614</x:f>
        <x:v>015760</x:v>
      </x:c>
      <x:c r="E650" t="str">
        <x:f>Despesas!D614</x:f>
        <x:v>ADIANTAMENTO SALARIAL REF. FOLHA MES 01-2026</x:v>
      </x:c>
      <x:c r="F650" t="n">
        <x:f>Despesas!E614</x:f>
        <x:v>0</x:v>
      </x:c>
      <x:c r="G650" s="4" t="n">
        <x:f>Despesas!F614</x:f>
        <x:v>46042</x:v>
      </x:c>
      <x:c r="H650" t="str">
        <x:f>Despesas!G614</x:f>
        <x:v>CMOC CUBATÃO</x:v>
      </x:c>
      <x:c r="I650" t="str">
        <x:f>Despesas!H614</x:f>
        <x:v>12.1 - SALARIO</x:v>
      </x:c>
      <x:c r="J650" s="5" t="n">
        <x:f>Despesas!I614</x:f>
        <x:v>937.195364</x:v>
      </x:c>
      <x:c r="K650" s="5" t="n">
        <x:f>0</x:f>
        <x:v>0</x:v>
      </x:c>
      <x:c r="L650" s="5" t="n">
        <x:f>Despesas!I614</x:f>
        <x:v>937.195364</x:v>
      </x:c>
      <x:c r="M650" s="5" t="n">
        <x:f>-J650</x:f>
        <x:v>-937.195364</x:v>
      </x:c>
    </x:row>
    <x:row r="651">
      <x:c r="A651" t="str">
        <x:f>"Despesa/Custo"</x:f>
        <x:v>Despesa/Custo</x:v>
      </x:c>
      <x:c r="B651" t="str">
        <x:f>Despesas!A615</x:f>
        <x:v>REFEIÇÃO OBRAS</x:v>
      </x:c>
      <x:c r="C651" t="n">
        <x:f>Despesas!B615</x:f>
        <x:v>0</x:v>
      </x:c>
      <x:c r="D651" t="str">
        <x:f>Despesas!C615</x:f>
        <x:v>015761</x:v>
      </x:c>
      <x:c r="E651" t="str">
        <x:f>Despesas!D615</x:f>
        <x:v>REFEIÇÃO 15° EUROCHEM</x:v>
      </x:c>
      <x:c r="F651" t="str">
        <x:f>Despesas!E615</x:f>
        <x:v>REGINALDO OLIVEIRA DE ALMEIDA</x:v>
      </x:c>
      <x:c r="G651" s="4" t="n">
        <x:f>Despesas!F615</x:f>
        <x:v>46042</x:v>
      </x:c>
      <x:c r="H651" t="str">
        <x:f>Despesas!G615</x:f>
        <x:v>EUROCHEM SERRA DO SALITRE</x:v>
      </x:c>
      <x:c r="I651" t="str">
        <x:f>Despesas!H615</x:f>
        <x:v>12.5 - REFEIÇÕES FUNCIONARIOS</x:v>
      </x:c>
      <x:c r="J651" s="5" t="n">
        <x:f>Despesas!I615</x:f>
        <x:v>417.5</x:v>
      </x:c>
      <x:c r="K651" s="5" t="n">
        <x:f>0</x:f>
        <x:v>0</x:v>
      </x:c>
      <x:c r="L651" s="5" t="n">
        <x:f>Despesas!I615</x:f>
        <x:v>417.5</x:v>
      </x:c>
      <x:c r="M651" s="5" t="n">
        <x:f>-J651</x:f>
        <x:v>-417.5</x:v>
      </x:c>
    </x:row>
    <x:row r="652">
      <x:c r="A652" t="str">
        <x:f>"Despesa/Custo"</x:f>
        <x:v>Despesa/Custo</x:v>
      </x:c>
      <x:c r="B652" t="str">
        <x:f>Despesas!A616</x:f>
        <x:v>RODOVIARIA MATEUS CABEÇA BRANCA</x:v>
      </x:c>
      <x:c r="C652" t="n">
        <x:f>Despesas!B616</x:f>
        <x:v>0</x:v>
      </x:c>
      <x:c r="D652" t="str">
        <x:f>Despesas!C616</x:f>
        <x:v>015762</x:v>
      </x:c>
      <x:c r="E652" t="str">
        <x:f>Despesas!D616</x:f>
        <x:v>PASSAGENS DA SEMANA 12-01 A 16-01</x:v>
      </x:c>
      <x:c r="F652" t="str">
        <x:f>Despesas!E616</x:f>
        <x:v>PASSGEM MATEUS</x:v>
      </x:c>
      <x:c r="G652" s="4" t="n">
        <x:f>Despesas!F616</x:f>
        <x:v>46042</x:v>
      </x:c>
      <x:c r="H652" t="str">
        <x:f>Despesas!G616</x:f>
        <x:v>VLI PINTURA</x:v>
      </x:c>
      <x:c r="I652" t="str">
        <x:f>Despesas!H616</x:f>
        <x:v>12.9 - PASSAGENS FUNCIONARIOS</x:v>
      </x:c>
      <x:c r="J652" s="5" t="n">
        <x:f>Despesas!I616</x:f>
        <x:v>339.57</x:v>
      </x:c>
      <x:c r="K652" s="5" t="n">
        <x:f>0</x:f>
        <x:v>0</x:v>
      </x:c>
      <x:c r="L652" s="5" t="n">
        <x:f>Despesas!I616</x:f>
        <x:v>339.57</x:v>
      </x:c>
      <x:c r="M652" s="5" t="n">
        <x:f>-J652</x:f>
        <x:v>-339.57</x:v>
      </x:c>
    </x:row>
    <x:row r="653">
      <x:c r="A653" t="str">
        <x:f>"Despesa/Custo"</x:f>
        <x:v>Despesa/Custo</x:v>
      </x:c>
      <x:c r="B653" t="str">
        <x:f>Despesas!A617</x:f>
        <x:v>RODOVIARIA MATEUS CABEÇA BRANCA</x:v>
      </x:c>
      <x:c r="C653" t="n">
        <x:f>Despesas!B617</x:f>
        <x:v>0</x:v>
      </x:c>
      <x:c r="D653" t="str">
        <x:f>Despesas!C617</x:f>
        <x:v>015762</x:v>
      </x:c>
      <x:c r="E653" t="str">
        <x:f>Despesas!D617</x:f>
        <x:v>PASSAGENS DA SEMANA 12-01 A 16-01</x:v>
      </x:c>
      <x:c r="F653" t="str">
        <x:f>Despesas!E617</x:f>
        <x:v>PASSGEM MATEUS</x:v>
      </x:c>
      <x:c r="G653" s="4" t="n">
        <x:f>Despesas!F617</x:f>
        <x:v>46042</x:v>
      </x:c>
      <x:c r="H653" t="str">
        <x:f>Despesas!G617</x:f>
        <x:v>MOSAIC UBERABA CONTRAT0 3 ANOS</x:v>
      </x:c>
      <x:c r="I653" t="str">
        <x:f>Despesas!H617</x:f>
        <x:v>12.9 - PASSAGENS FUNCIONARIOS</x:v>
      </x:c>
      <x:c r="J653" s="5" t="n">
        <x:f>Despesas!I617</x:f>
        <x:v>1429.44</x:v>
      </x:c>
      <x:c r="K653" s="5" t="n">
        <x:f>0</x:f>
        <x:v>0</x:v>
      </x:c>
      <x:c r="L653" s="5" t="n">
        <x:f>Despesas!I617</x:f>
        <x:v>1429.44</x:v>
      </x:c>
      <x:c r="M653" s="5" t="n">
        <x:f>-J653</x:f>
        <x:v>-1429.44</x:v>
      </x:c>
    </x:row>
    <x:row r="654">
      <x:c r="A654" t="str">
        <x:f>"Despesa/Custo"</x:f>
        <x:v>Despesa/Custo</x:v>
      </x:c>
      <x:c r="B654" t="str">
        <x:f>Despesas!A618</x:f>
        <x:v>RODOVIARIA MATEUS CABEÇA BRANCA</x:v>
      </x:c>
      <x:c r="C654" t="n">
        <x:f>Despesas!B618</x:f>
        <x:v>0</x:v>
      </x:c>
      <x:c r="D654" t="str">
        <x:f>Despesas!C618</x:f>
        <x:v>015762</x:v>
      </x:c>
      <x:c r="E654" t="str">
        <x:f>Despesas!D618</x:f>
        <x:v>PASSAGENS DA SEMANA 12-01 A 16-01</x:v>
      </x:c>
      <x:c r="F654" t="str">
        <x:f>Despesas!E618</x:f>
        <x:v>PASSGEM MATEUS</x:v>
      </x:c>
      <x:c r="G654" s="4" t="n">
        <x:f>Despesas!F618</x:f>
        <x:v>46042</x:v>
      </x:c>
      <x:c r="H654" t="str">
        <x:f>Despesas!G618</x:f>
        <x:v>ANGLO AMERICAN</x:v>
      </x:c>
      <x:c r="I654" t="str">
        <x:f>Despesas!H618</x:f>
        <x:v>12.9 - PASSAGENS FUNCIONARIOS</x:v>
      </x:c>
      <x:c r="J654" s="5" t="n">
        <x:f>Despesas!I618</x:f>
        <x:v>241.79</x:v>
      </x:c>
      <x:c r="K654" s="5" t="n">
        <x:f>0</x:f>
        <x:v>0</x:v>
      </x:c>
      <x:c r="L654" s="5" t="n">
        <x:f>Despesas!I618</x:f>
        <x:v>241.79</x:v>
      </x:c>
      <x:c r="M654" s="5" t="n">
        <x:f>-J654</x:f>
        <x:v>-241.79</x:v>
      </x:c>
    </x:row>
    <x:row r="655">
      <x:c r="A655" t="str">
        <x:f>"Despesa/Custo"</x:f>
        <x:v>Despesa/Custo</x:v>
      </x:c>
      <x:c r="B655" t="str">
        <x:f>Despesas!A619</x:f>
        <x:v>RODOVIARIA MATEUS CABEÇA BRANCA</x:v>
      </x:c>
      <x:c r="C655" t="n">
        <x:f>Despesas!B619</x:f>
        <x:v>0</x:v>
      </x:c>
      <x:c r="D655" t="str">
        <x:f>Despesas!C619</x:f>
        <x:v>015762</x:v>
      </x:c>
      <x:c r="E655" t="str">
        <x:f>Despesas!D619</x:f>
        <x:v>PASSAGENS DA SEMANA 12-01 A 16-01</x:v>
      </x:c>
      <x:c r="F655" t="str">
        <x:f>Despesas!E619</x:f>
        <x:v>PASSGEM MATEUS</x:v>
      </x:c>
      <x:c r="G655" s="4" t="n">
        <x:f>Despesas!F619</x:f>
        <x:v>46042</x:v>
      </x:c>
      <x:c r="H655" t="str">
        <x:f>Despesas!G619</x:f>
        <x:v>EUROCHEM SERRA DO SALITRE</x:v>
      </x:c>
      <x:c r="I655" t="str">
        <x:f>Despesas!H619</x:f>
        <x:v>12.9 - PASSAGENS FUNCIONARIOS</x:v>
      </x:c>
      <x:c r="J655" s="5" t="n">
        <x:f>Despesas!I619</x:f>
        <x:v>1846.89</x:v>
      </x:c>
      <x:c r="K655" s="5" t="n">
        <x:f>0</x:f>
        <x:v>0</x:v>
      </x:c>
      <x:c r="L655" s="5" t="n">
        <x:f>Despesas!I619</x:f>
        <x:v>1846.89</x:v>
      </x:c>
      <x:c r="M655" s="5" t="n">
        <x:f>-J655</x:f>
        <x:v>-1846.89</x:v>
      </x:c>
    </x:row>
    <x:row r="656">
      <x:c r="A656" t="str">
        <x:f>"Despesa/Custo"</x:f>
        <x:v>Despesa/Custo</x:v>
      </x:c>
      <x:c r="B656" t="str">
        <x:f>Despesas!A620</x:f>
        <x:v>DESPESAS DE VIAGEM</x:v>
      </x:c>
      <x:c r="C656" t="n">
        <x:f>Despesas!B620</x:f>
        <x:v>0</x:v>
      </x:c>
      <x:c r="D656" t="str">
        <x:f>Despesas!C620</x:f>
        <x:v>015763</x:v>
      </x:c>
      <x:c r="E656" t="str">
        <x:f>Despesas!D620</x:f>
        <x:v>DESPESAS DE PASSAGEM SEMANA 19-01 A 23-01</x:v>
      </x:c>
      <x:c r="F656" t="n">
        <x:f>Despesas!E620</x:f>
        <x:v>0</x:v>
      </x:c>
      <x:c r="G656" s="4" t="n">
        <x:f>Despesas!F620</x:f>
        <x:v>46042</x:v>
      </x:c>
      <x:c r="H656" t="str">
        <x:f>Despesas!G620</x:f>
        <x:v>MOSAIC UBERABA CONTRAT0 3 ANOS</x:v>
      </x:c>
      <x:c r="I656" t="str">
        <x:f>Despesas!H620</x:f>
        <x:v>12.5 - REFEIÇÕES FUNCIONARIOS</x:v>
      </x:c>
      <x:c r="J656" s="5" t="n">
        <x:f>Despesas!I620</x:f>
        <x:v>271.428571</x:v>
      </x:c>
      <x:c r="K656" s="5" t="n">
        <x:f>0</x:f>
        <x:v>0</x:v>
      </x:c>
      <x:c r="L656" s="5" t="n">
        <x:f>Despesas!I620</x:f>
        <x:v>271.428571</x:v>
      </x:c>
      <x:c r="M656" s="5" t="n">
        <x:f>-J656</x:f>
        <x:v>-271.428571</x:v>
      </x:c>
    </x:row>
    <x:row r="657">
      <x:c r="A657" t="str">
        <x:f>"Despesa/Custo"</x:f>
        <x:v>Despesa/Custo</x:v>
      </x:c>
      <x:c r="B657" t="str">
        <x:f>Despesas!A621</x:f>
        <x:v>DESPESAS DE VIAGEM</x:v>
      </x:c>
      <x:c r="C657" t="n">
        <x:f>Despesas!B621</x:f>
        <x:v>0</x:v>
      </x:c>
      <x:c r="D657" t="str">
        <x:f>Despesas!C621</x:f>
        <x:v>015763</x:v>
      </x:c>
      <x:c r="E657" t="str">
        <x:f>Despesas!D621</x:f>
        <x:v>DESPESAS DE PASSAGEM SEMANA 19-01 A 23-01</x:v>
      </x:c>
      <x:c r="F657" t="n">
        <x:f>Despesas!E621</x:f>
        <x:v>0</x:v>
      </x:c>
      <x:c r="G657" s="4" t="n">
        <x:f>Despesas!F621</x:f>
        <x:v>46042</x:v>
      </x:c>
      <x:c r="H657" t="str">
        <x:f>Despesas!G621</x:f>
        <x:v>MOSAIC UBERABA CONTRAT0 3 ANOS</x:v>
      </x:c>
      <x:c r="I657" t="str">
        <x:f>Despesas!H621</x:f>
        <x:v>12.9 - PASSAGENS FUNCIONARIOS</x:v>
      </x:c>
      <x:c r="J657" s="5" t="n">
        <x:f>Despesas!I621</x:f>
        <x:v>488.571429</x:v>
      </x:c>
      <x:c r="K657" s="5" t="n">
        <x:f>0</x:f>
        <x:v>0</x:v>
      </x:c>
      <x:c r="L657" s="5" t="n">
        <x:f>Despesas!I621</x:f>
        <x:v>488.571429</x:v>
      </x:c>
      <x:c r="M657" s="5" t="n">
        <x:f>-J657</x:f>
        <x:v>-488.571429</x:v>
      </x:c>
    </x:row>
    <x:row r="658">
      <x:c r="A658" t="str">
        <x:f>"Despesa/Custo"</x:f>
        <x:v>Despesa/Custo</x:v>
      </x:c>
      <x:c r="B658" t="str">
        <x:f>Despesas!A622</x:f>
        <x:v>DESPESAS DE VIAGEM</x:v>
      </x:c>
      <x:c r="C658" t="n">
        <x:f>Despesas!B622</x:f>
        <x:v>0</x:v>
      </x:c>
      <x:c r="D658" t="str">
        <x:f>Despesas!C622</x:f>
        <x:v>015763</x:v>
      </x:c>
      <x:c r="E658" t="str">
        <x:f>Despesas!D622</x:f>
        <x:v>DESPESAS DE PASSAGEM SEMANA 19-01 A 23-01</x:v>
      </x:c>
      <x:c r="F658" t="n">
        <x:f>Despesas!E622</x:f>
        <x:v>0</x:v>
      </x:c>
      <x:c r="G658" s="4" t="n">
        <x:f>Despesas!F622</x:f>
        <x:v>46042</x:v>
      </x:c>
      <x:c r="H658" t="str">
        <x:f>Despesas!G622</x:f>
        <x:v>ANGLO AMERICAN</x:v>
      </x:c>
      <x:c r="I658" t="str">
        <x:f>Despesas!H622</x:f>
        <x:v>12.5 - REFEIÇÕES FUNCIONARIOS</x:v>
      </x:c>
      <x:c r="J658" s="5" t="n">
        <x:f>Despesas!I622</x:f>
        <x:v>57.142857</x:v>
      </x:c>
      <x:c r="K658" s="5" t="n">
        <x:f>0</x:f>
        <x:v>0</x:v>
      </x:c>
      <x:c r="L658" s="5" t="n">
        <x:f>Despesas!I622</x:f>
        <x:v>57.142857</x:v>
      </x:c>
      <x:c r="M658" s="5" t="n">
        <x:f>-J658</x:f>
        <x:v>-57.142857</x:v>
      </x:c>
    </x:row>
    <x:row r="659">
      <x:c r="A659" t="str">
        <x:f>"Despesa/Custo"</x:f>
        <x:v>Despesa/Custo</x:v>
      </x:c>
      <x:c r="B659" t="str">
        <x:f>Despesas!A623</x:f>
        <x:v>DESPESAS DE VIAGEM</x:v>
      </x:c>
      <x:c r="C659" t="n">
        <x:f>Despesas!B623</x:f>
        <x:v>0</x:v>
      </x:c>
      <x:c r="D659" t="str">
        <x:f>Despesas!C623</x:f>
        <x:v>015763</x:v>
      </x:c>
      <x:c r="E659" t="str">
        <x:f>Despesas!D623</x:f>
        <x:v>DESPESAS DE PASSAGEM SEMANA 19-01 A 23-01</x:v>
      </x:c>
      <x:c r="F659" t="n">
        <x:f>Despesas!E623</x:f>
        <x:v>0</x:v>
      </x:c>
      <x:c r="G659" s="4" t="n">
        <x:f>Despesas!F623</x:f>
        <x:v>46042</x:v>
      </x:c>
      <x:c r="H659" t="str">
        <x:f>Despesas!G623</x:f>
        <x:v>ANGLO AMERICAN</x:v>
      </x:c>
      <x:c r="I659" t="str">
        <x:f>Despesas!H623</x:f>
        <x:v>12.9 - PASSAGENS FUNCIONARIOS</x:v>
      </x:c>
      <x:c r="J659" s="5" t="n">
        <x:f>Despesas!I623</x:f>
        <x:v>102.857143</x:v>
      </x:c>
      <x:c r="K659" s="5" t="n">
        <x:f>0</x:f>
        <x:v>0</x:v>
      </x:c>
      <x:c r="L659" s="5" t="n">
        <x:f>Despesas!I623</x:f>
        <x:v>102.857143</x:v>
      </x:c>
      <x:c r="M659" s="5" t="n">
        <x:f>-J659</x:f>
        <x:v>-102.857143</x:v>
      </x:c>
    </x:row>
    <x:row r="660">
      <x:c r="A660" t="str">
        <x:f>"Despesa/Custo"</x:f>
        <x:v>Despesa/Custo</x:v>
      </x:c>
      <x:c r="B660" t="str">
        <x:f>Despesas!A624</x:f>
        <x:v>DESPESAS DE VIAGEM</x:v>
      </x:c>
      <x:c r="C660" t="n">
        <x:f>Despesas!B624</x:f>
        <x:v>0</x:v>
      </x:c>
      <x:c r="D660" t="str">
        <x:f>Despesas!C624</x:f>
        <x:v>015763</x:v>
      </x:c>
      <x:c r="E660" t="str">
        <x:f>Despesas!D624</x:f>
        <x:v>DESPESAS DE PASSAGEM SEMANA 19-01 A 23-01</x:v>
      </x:c>
      <x:c r="F660" t="n">
        <x:f>Despesas!E624</x:f>
        <x:v>0</x:v>
      </x:c>
      <x:c r="G660" s="4" t="n">
        <x:f>Despesas!F624</x:f>
        <x:v>46042</x:v>
      </x:c>
      <x:c r="H660" t="str">
        <x:f>Despesas!G624</x:f>
        <x:v>EUROCHEM SERRA DO SALITRE</x:v>
      </x:c>
      <x:c r="I660" t="str">
        <x:f>Despesas!H624</x:f>
        <x:v>12.5 - REFEIÇÕES FUNCIONARIOS</x:v>
      </x:c>
      <x:c r="J660" s="5" t="n">
        <x:f>Despesas!I624</x:f>
        <x:v>414.285714</x:v>
      </x:c>
      <x:c r="K660" s="5" t="n">
        <x:f>0</x:f>
        <x:v>0</x:v>
      </x:c>
      <x:c r="L660" s="5" t="n">
        <x:f>Despesas!I624</x:f>
        <x:v>414.285714</x:v>
      </x:c>
      <x:c r="M660" s="5" t="n">
        <x:f>-J660</x:f>
        <x:v>-414.285714</x:v>
      </x:c>
    </x:row>
    <x:row r="661">
      <x:c r="A661" t="str">
        <x:f>"Despesa/Custo"</x:f>
        <x:v>Despesa/Custo</x:v>
      </x:c>
      <x:c r="B661" t="str">
        <x:f>Despesas!A625</x:f>
        <x:v>DESPESAS DE VIAGEM</x:v>
      </x:c>
      <x:c r="C661" t="n">
        <x:f>Despesas!B625</x:f>
        <x:v>0</x:v>
      </x:c>
      <x:c r="D661" t="str">
        <x:f>Despesas!C625</x:f>
        <x:v>015763</x:v>
      </x:c>
      <x:c r="E661" t="str">
        <x:f>Despesas!D625</x:f>
        <x:v>DESPESAS DE PASSAGEM SEMANA 19-01 A 23-01</x:v>
      </x:c>
      <x:c r="F661" t="n">
        <x:f>Despesas!E625</x:f>
        <x:v>0</x:v>
      </x:c>
      <x:c r="G661" s="4" t="n">
        <x:f>Despesas!F625</x:f>
        <x:v>46042</x:v>
      </x:c>
      <x:c r="H661" t="str">
        <x:f>Despesas!G625</x:f>
        <x:v>EUROCHEM SERRA DO SALITRE</x:v>
      </x:c>
      <x:c r="I661" t="str">
        <x:f>Despesas!H625</x:f>
        <x:v>12.9 - PASSAGENS FUNCIONARIOS</x:v>
      </x:c>
      <x:c r="J661" s="5" t="n">
        <x:f>Despesas!I625</x:f>
        <x:v>745.714286</x:v>
      </x:c>
      <x:c r="K661" s="5" t="n">
        <x:f>0</x:f>
        <x:v>0</x:v>
      </x:c>
      <x:c r="L661" s="5" t="n">
        <x:f>Despesas!I625</x:f>
        <x:v>745.714286</x:v>
      </x:c>
      <x:c r="M661" s="5" t="n">
        <x:f>-J661</x:f>
        <x:v>-745.714286</x:v>
      </x:c>
    </x:row>
    <x:row r="662">
      <x:c r="A662" t="str">
        <x:f>"Despesa/Custo"</x:f>
        <x:v>Despesa/Custo</x:v>
      </x:c>
      <x:c r="B662" t="str">
        <x:f>Despesas!A626</x:f>
        <x:v>DESPESAS DE VIAGEM</x:v>
      </x:c>
      <x:c r="C662" t="n">
        <x:f>Despesas!B626</x:f>
        <x:v>0</x:v>
      </x:c>
      <x:c r="D662" t="str">
        <x:f>Despesas!C626</x:f>
        <x:v>015763</x:v>
      </x:c>
      <x:c r="E662" t="str">
        <x:f>Despesas!D626</x:f>
        <x:v>DESPESAS DE PASSAGEM SEMANA 19-01 A 23-01</x:v>
      </x:c>
      <x:c r="F662" t="n">
        <x:f>Despesas!E626</x:f>
        <x:v>0</x:v>
      </x:c>
      <x:c r="G662" s="4" t="n">
        <x:f>Despesas!F626</x:f>
        <x:v>46042</x:v>
      </x:c>
      <x:c r="H662" t="str">
        <x:f>Despesas!G626</x:f>
        <x:v>FOSFATO CMOC CONTRAT</x:v>
      </x:c>
      <x:c r="I662" t="str">
        <x:f>Despesas!H626</x:f>
        <x:v>12.5 - REFEIÇÕES FUNCIONARIOS</x:v>
      </x:c>
      <x:c r="J662" s="5" t="n">
        <x:f>Despesas!I626</x:f>
        <x:v>57.142857</x:v>
      </x:c>
      <x:c r="K662" s="5" t="n">
        <x:f>0</x:f>
        <x:v>0</x:v>
      </x:c>
      <x:c r="L662" s="5" t="n">
        <x:f>Despesas!I626</x:f>
        <x:v>57.142857</x:v>
      </x:c>
      <x:c r="M662" s="5" t="n">
        <x:f>-J662</x:f>
        <x:v>-57.142857</x:v>
      </x:c>
    </x:row>
    <x:row r="663">
      <x:c r="A663" t="str">
        <x:f>"Despesa/Custo"</x:f>
        <x:v>Despesa/Custo</x:v>
      </x:c>
      <x:c r="B663" t="str">
        <x:f>Despesas!A627</x:f>
        <x:v>DESPESAS DE VIAGEM</x:v>
      </x:c>
      <x:c r="C663" t="n">
        <x:f>Despesas!B627</x:f>
        <x:v>0</x:v>
      </x:c>
      <x:c r="D663" t="str">
        <x:f>Despesas!C627</x:f>
        <x:v>015763</x:v>
      </x:c>
      <x:c r="E663" t="str">
        <x:f>Despesas!D627</x:f>
        <x:v>DESPESAS DE PASSAGEM SEMANA 19-01 A 23-01</x:v>
      </x:c>
      <x:c r="F663" t="n">
        <x:f>Despesas!E627</x:f>
        <x:v>0</x:v>
      </x:c>
      <x:c r="G663" s="4" t="n">
        <x:f>Despesas!F627</x:f>
        <x:v>46042</x:v>
      </x:c>
      <x:c r="H663" t="str">
        <x:f>Despesas!G627</x:f>
        <x:v>FOSFATO CMOC CONTRAT</x:v>
      </x:c>
      <x:c r="I663" t="str">
        <x:f>Despesas!H627</x:f>
        <x:v>12.9 - PASSAGENS FUNCIONARIOS</x:v>
      </x:c>
      <x:c r="J663" s="5" t="n">
        <x:f>Despesas!I627</x:f>
        <x:v>102.857143</x:v>
      </x:c>
      <x:c r="K663" s="5" t="n">
        <x:f>0</x:f>
        <x:v>0</x:v>
      </x:c>
      <x:c r="L663" s="5" t="n">
        <x:f>Despesas!I627</x:f>
        <x:v>102.857143</x:v>
      </x:c>
      <x:c r="M663" s="5" t="n">
        <x:f>-J663</x:f>
        <x:v>-102.857143</x:v>
      </x:c>
    </x:row>
    <x:row r="664">
      <x:c r="A664" t="str">
        <x:f>"Despesa/Custo"</x:f>
        <x:v>Despesa/Custo</x:v>
      </x:c>
      <x:c r="B664" t="str">
        <x:f>Despesas!A628</x:f>
        <x:v>BANCO ITAU</x:v>
      </x:c>
      <x:c r="C664" t="n">
        <x:f>Despesas!B628</x:f>
        <x:v>0</x:v>
      </x:c>
      <x:c r="D664" t="str">
        <x:f>Despesas!C628</x:f>
        <x:v>015765</x:v>
      </x:c>
      <x:c r="E664" t="str">
        <x:f>Despesas!D628</x:f>
        <x:v>SEGURO ITAU EMPRESA 4/11 (SEDE) TRINDADE</x:v>
      </x:c>
      <x:c r="F664" t="n">
        <x:f>Despesas!E628</x:f>
        <x:v>0</x:v>
      </x:c>
      <x:c r="G664" s="4" t="n">
        <x:f>Despesas!F628</x:f>
        <x:v>46042</x:v>
      </x:c>
      <x:c r="H664" t="str">
        <x:f>Despesas!G628</x:f>
        <x:v>ADMINISTRATIVO</x:v>
      </x:c>
      <x:c r="I664" t="str">
        <x:f>Despesas!H628</x:f>
        <x:v>11.17 - SEGURO SEDE ADMINISTRATIVA</x:v>
      </x:c>
      <x:c r="J664" s="5" t="n">
        <x:f>Despesas!I628</x:f>
        <x:v>933.71</x:v>
      </x:c>
      <x:c r="K664" s="5" t="n">
        <x:f>0</x:f>
        <x:v>0</x:v>
      </x:c>
      <x:c r="L664" s="5" t="n">
        <x:f>Despesas!I628</x:f>
        <x:v>933.71</x:v>
      </x:c>
      <x:c r="M664" s="5" t="n">
        <x:f>-J664</x:f>
        <x:v>-933.71</x:v>
      </x:c>
    </x:row>
    <x:row r="665">
      <x:c r="A665" t="str">
        <x:f>"Despesa/Custo"</x:f>
        <x:v>Despesa/Custo</x:v>
      </x:c>
      <x:c r="B665" t="str">
        <x:f>Despesas!A629</x:f>
        <x:v>PGR COMERCIAL LTDA</x:v>
      </x:c>
      <x:c r="C665" t="str">
        <x:f>Despesas!B629</x:f>
        <x:v>27278</x:v>
      </x:c>
      <x:c r="D665" t="str">
        <x:f>Despesas!C629</x:f>
        <x:v>015911</x:v>
      </x:c>
      <x:c r="E665" t="str">
        <x:f>Despesas!D629</x:f>
        <x:v>MATERIAIS DE LIMPEZA</x:v>
      </x:c>
      <x:c r="F665" t="n">
        <x:f>Despesas!E629</x:f>
        <x:v>0</x:v>
      </x:c>
      <x:c r="G665" s="4" t="n">
        <x:f>Despesas!F629</x:f>
        <x:v>46042</x:v>
      </x:c>
      <x:c r="H665" t="str">
        <x:f>Despesas!G629</x:f>
        <x:v>ANGLO AMERICAN</x:v>
      </x:c>
      <x:c r="I665" t="str">
        <x:f>Despesas!H629</x:f>
        <x:v>8.11 - MATERIAIS DE LIMPEZA / HIGIENE</x:v>
      </x:c>
      <x:c r="J665" s="5" t="n">
        <x:f>Despesas!I629</x:f>
        <x:v>472.74</x:v>
      </x:c>
      <x:c r="K665" s="5" t="n">
        <x:f>0</x:f>
        <x:v>0</x:v>
      </x:c>
      <x:c r="L665" s="5" t="n">
        <x:f>Despesas!I629</x:f>
        <x:v>472.74</x:v>
      </x:c>
      <x:c r="M665" s="5" t="n">
        <x:f>-J665</x:f>
        <x:v>-472.74</x:v>
      </x:c>
    </x:row>
    <x:row r="666">
      <x:c r="A666" t="str">
        <x:f>"Despesa/Custo"</x:f>
        <x:v>Despesa/Custo</x:v>
      </x:c>
      <x:c r="B666" t="str">
        <x:f>Despesas!A630</x:f>
        <x:v>CR DIESEL ( CARLOS RITLER )</x:v>
      </x:c>
      <x:c r="C666" t="n">
        <x:f>Despesas!B630</x:f>
        <x:v>0</x:v>
      </x:c>
      <x:c r="D666" t="str">
        <x:f>Despesas!C630</x:f>
        <x:v>015453</x:v>
      </x:c>
      <x:c r="E666" t="str">
        <x:f>Despesas!D630</x:f>
        <x:v>.CARLOS RITLER MOREIRA  CNPJ 58.255.772/0001-54</x:v>
      </x:c>
      <x:c r="F666" t="n">
        <x:f>Despesas!E630</x:f>
        <x:v>0</x:v>
      </x:c>
      <x:c r="G666" s="4" t="n">
        <x:f>Despesas!F630</x:f>
        <x:v>46043</x:v>
      </x:c>
      <x:c r="H666" t="str">
        <x:f>Despesas!G630</x:f>
        <x:v>SERENA 10 TORRES 2025</x:v>
      </x:c>
      <x:c r="I666" t="str">
        <x:f>Despesas!H630</x:f>
        <x:v>6.3 - MANUTENÇÃO/PEÇAS  VEICULOS</x:v>
      </x:c>
      <x:c r="J666" s="5" t="n">
        <x:f>Despesas!I630</x:f>
        <x:v>1719</x:v>
      </x:c>
      <x:c r="K666" s="5" t="n">
        <x:f>0</x:f>
        <x:v>0</x:v>
      </x:c>
      <x:c r="L666" s="5" t="n">
        <x:f>Despesas!I630</x:f>
        <x:v>1719</x:v>
      </x:c>
      <x:c r="M666" s="5" t="n">
        <x:f>-J666</x:f>
        <x:v>-1719</x:v>
      </x:c>
    </x:row>
    <x:row r="667">
      <x:c r="A667" t="str">
        <x:f>"Despesa/Custo"</x:f>
        <x:v>Despesa/Custo</x:v>
      </x:c>
      <x:c r="B667" t="str">
        <x:f>Despesas!A631</x:f>
        <x:v>WILLIAM ADM</x:v>
      </x:c>
      <x:c r="C667" t="n">
        <x:f>Despesas!B631</x:f>
        <x:v>0</x:v>
      </x:c>
      <x:c r="D667" t="str">
        <x:f>Despesas!C631</x:f>
        <x:v>015454</x:v>
      </x:c>
      <x:c r="E667" t="str">
        <x:f>Despesas!D631</x:f>
        <x:v>WILLIAM MONTEIRO BEZERRA</x:v>
      </x:c>
      <x:c r="F667" t="str">
        <x:f>Despesas!E631</x:f>
        <x:v>TRANSPORTE HOTEL X SISI - INTEGRAÇÃO</x:v>
      </x:c>
      <x:c r="G667" s="4" t="n">
        <x:f>Despesas!F631</x:f>
        <x:v>46043</x:v>
      </x:c>
      <x:c r="H667" t="str">
        <x:f>Despesas!G631</x:f>
        <x:v>CONTRATO 02 ANOS MINERAÇÃO SERRA VERDE</x:v>
      </x:c>
      <x:c r="I667" t="str">
        <x:f>Despesas!H631</x:f>
        <x:v>12.7 - TRANSPORTE FUNCIONARIOS</x:v>
      </x:c>
      <x:c r="J667" s="5" t="n">
        <x:f>Despesas!I631</x:f>
        <x:v>90</x:v>
      </x:c>
      <x:c r="K667" s="5" t="n">
        <x:f>0</x:f>
        <x:v>0</x:v>
      </x:c>
      <x:c r="L667" s="5" t="n">
        <x:f>Despesas!I631</x:f>
        <x:v>90</x:v>
      </x:c>
      <x:c r="M667" s="5" t="n">
        <x:f>-J667</x:f>
        <x:v>-90</x:v>
      </x:c>
    </x:row>
    <x:row r="668">
      <x:c r="A668" t="str">
        <x:f>"Despesa/Custo"</x:f>
        <x:v>Despesa/Custo</x:v>
      </x:c>
      <x:c r="B668" t="str">
        <x:f>Despesas!A632</x:f>
        <x:v>REFEIÇÃO OBRAS</x:v>
      </x:c>
      <x:c r="C668" t="n">
        <x:f>Despesas!B632</x:f>
        <x:v>0</x:v>
      </x:c>
      <x:c r="D668" t="str">
        <x:f>Despesas!C632</x:f>
        <x:v>015455</x:v>
      </x:c>
      <x:c r="E668" t="str">
        <x:f>Despesas!D632</x:f>
        <x:v>ALIMENTAÇÃO EQUIPE RESTANTE</x:v>
      </x:c>
      <x:c r="F668" t="n">
        <x:f>Despesas!E632</x:f>
        <x:v>0</x:v>
      </x:c>
      <x:c r="G668" s="4" t="n">
        <x:f>Despesas!F632</x:f>
        <x:v>46043</x:v>
      </x:c>
      <x:c r="H668" t="str">
        <x:f>Despesas!G632</x:f>
        <x:v>SERENA 10 TORRES 2025</x:v>
      </x:c>
      <x:c r="I668" t="str">
        <x:f>Despesas!H632</x:f>
        <x:v>12.5 - REFEIÇÕES FUNCIONARIOS</x:v>
      </x:c>
      <x:c r="J668" s="5" t="n">
        <x:f>Despesas!I632</x:f>
        <x:v>1620</x:v>
      </x:c>
      <x:c r="K668" s="5" t="n">
        <x:f>0</x:f>
        <x:v>0</x:v>
      </x:c>
      <x:c r="L668" s="5" t="n">
        <x:f>Despesas!I632</x:f>
        <x:v>1620</x:v>
      </x:c>
      <x:c r="M668" s="5" t="n">
        <x:f>-J668</x:f>
        <x:v>-1620</x:v>
      </x:c>
    </x:row>
    <x:row r="669">
      <x:c r="A669" t="str">
        <x:f>"Despesa/Custo"</x:f>
        <x:v>Despesa/Custo</x:v>
      </x:c>
      <x:c r="B669" t="str">
        <x:f>Despesas!A633</x:f>
        <x:v>CAIXA ROTATIVO OBRAS</x:v>
      </x:c>
      <x:c r="C669" t="n">
        <x:f>Despesas!B633</x:f>
        <x:v>0</x:v>
      </x:c>
      <x:c r="D669" t="str">
        <x:f>Despesas!C633</x:f>
        <x:v>015459</x:v>
      </x:c>
      <x:c r="E669" t="str">
        <x:f>Despesas!D633</x:f>
        <x:v>CAIXA ROTATIVO REF. MÊS 12/2025</x:v>
      </x:c>
      <x:c r="F669" t="str">
        <x:f>Despesas!E633</x:f>
        <x:v>JOSE EDUARDO</x:v>
      </x:c>
      <x:c r="G669" s="4" t="n">
        <x:f>Despesas!F633</x:f>
        <x:v>46043</x:v>
      </x:c>
      <x:c r="H669" t="str">
        <x:f>Despesas!G633</x:f>
        <x:v>EUROCHEM SERRA DO SALITRE</x:v>
      </x:c>
      <x:c r="I669" t="str">
        <x:f>Despesas!H633</x:f>
        <x:v>8.10 - MATERIAS DE ESCRITORIO</x:v>
      </x:c>
      <x:c r="J669" s="5" t="n">
        <x:f>Despesas!I633</x:f>
        <x:v>15</x:v>
      </x:c>
      <x:c r="K669" s="5" t="n">
        <x:f>0</x:f>
        <x:v>0</x:v>
      </x:c>
      <x:c r="L669" s="5" t="n">
        <x:f>Despesas!I633</x:f>
        <x:v>15</x:v>
      </x:c>
      <x:c r="M669" s="5" t="n">
        <x:f>-J669</x:f>
        <x:v>-15</x:v>
      </x:c>
    </x:row>
    <x:row r="670">
      <x:c r="A670" t="str">
        <x:f>"Despesa/Custo"</x:f>
        <x:v>Despesa/Custo</x:v>
      </x:c>
      <x:c r="B670" t="str">
        <x:f>Despesas!A634</x:f>
        <x:v>CAIXA ROTATIVO OBRAS</x:v>
      </x:c>
      <x:c r="C670" t="n">
        <x:f>Despesas!B634</x:f>
        <x:v>0</x:v>
      </x:c>
      <x:c r="D670" t="str">
        <x:f>Despesas!C634</x:f>
        <x:v>015459</x:v>
      </x:c>
      <x:c r="E670" t="str">
        <x:f>Despesas!D634</x:f>
        <x:v>CAIXA ROTATIVO REF. MÊS 12/2025</x:v>
      </x:c>
      <x:c r="F670" t="str">
        <x:f>Despesas!E634</x:f>
        <x:v>JOSE EDUARDO</x:v>
      </x:c>
      <x:c r="G670" s="4" t="n">
        <x:f>Despesas!F634</x:f>
        <x:v>46043</x:v>
      </x:c>
      <x:c r="H670" t="str">
        <x:f>Despesas!G634</x:f>
        <x:v>EUROCHEM SERRA DO SALITRE</x:v>
      </x:c>
      <x:c r="I670" t="str">
        <x:f>Despesas!H634</x:f>
        <x:v>6.10 - SERVIÇO LAVA JATO</x:v>
      </x:c>
      <x:c r="J670" s="5" t="n">
        <x:f>Despesas!I634</x:f>
        <x:v>120</x:v>
      </x:c>
      <x:c r="K670" s="5" t="n">
        <x:f>0</x:f>
        <x:v>0</x:v>
      </x:c>
      <x:c r="L670" s="5" t="n">
        <x:f>Despesas!I634</x:f>
        <x:v>120</x:v>
      </x:c>
      <x:c r="M670" s="5" t="n">
        <x:f>-J670</x:f>
        <x:v>-120</x:v>
      </x:c>
    </x:row>
    <x:row r="671">
      <x:c r="A671" t="str">
        <x:f>"Despesa/Custo"</x:f>
        <x:v>Despesa/Custo</x:v>
      </x:c>
      <x:c r="B671" t="str">
        <x:f>Despesas!A635</x:f>
        <x:v>CAIXA ROTATIVO OBRAS</x:v>
      </x:c>
      <x:c r="C671" t="n">
        <x:f>Despesas!B635</x:f>
        <x:v>0</x:v>
      </x:c>
      <x:c r="D671" t="str">
        <x:f>Despesas!C635</x:f>
        <x:v>015459</x:v>
      </x:c>
      <x:c r="E671" t="str">
        <x:f>Despesas!D635</x:f>
        <x:v>CAIXA ROTATIVO REF. MÊS 12/2025</x:v>
      </x:c>
      <x:c r="F671" t="str">
        <x:f>Despesas!E635</x:f>
        <x:v>JOSE EDUARDO</x:v>
      </x:c>
      <x:c r="G671" s="4" t="n">
        <x:f>Despesas!F635</x:f>
        <x:v>46043</x:v>
      </x:c>
      <x:c r="H671" t="str">
        <x:f>Despesas!G635</x:f>
        <x:v>EUROCHEM SERRA DO SALITRE</x:v>
      </x:c>
      <x:c r="I671" t="str">
        <x:f>Despesas!H635</x:f>
        <x:v>8.11 - MATERIAIS DE LIMPEZA / HIGIENE</x:v>
      </x:c>
      <x:c r="J671" s="5" t="n">
        <x:f>Despesas!I635</x:f>
        <x:v>1025.45</x:v>
      </x:c>
      <x:c r="K671" s="5" t="n">
        <x:f>0</x:f>
        <x:v>0</x:v>
      </x:c>
      <x:c r="L671" s="5" t="n">
        <x:f>Despesas!I635</x:f>
        <x:v>1025.45</x:v>
      </x:c>
      <x:c r="M671" s="5" t="n">
        <x:f>-J671</x:f>
        <x:v>-1025.45</x:v>
      </x:c>
    </x:row>
    <x:row r="672">
      <x:c r="A672" t="str">
        <x:f>"Despesa/Custo"</x:f>
        <x:v>Despesa/Custo</x:v>
      </x:c>
      <x:c r="B672" t="str">
        <x:f>Despesas!A636</x:f>
        <x:v>CEMIG DISTRIBUIÇÃO S.A</x:v>
      </x:c>
      <x:c r="C672" t="n">
        <x:f>Despesas!B636</x:f>
        <x:v>0</x:v>
      </x:c>
      <x:c r="D672" t="str">
        <x:f>Despesas!C636</x:f>
        <x:v>015461</x:v>
      </x:c>
      <x:c r="E672" t="str">
        <x:f>Despesas!D636</x:f>
        <x:v>R. JACY GUIMARAES 12 CS REF. 01/2026</x:v>
      </x:c>
      <x:c r="F672" t="str">
        <x:f>Despesas!E636</x:f>
        <x:v>Nº DA UNIDADE CONSUMIDORA 9.105.625.018.00</x:v>
      </x:c>
      <x:c r="G672" s="4" t="n">
        <x:f>Despesas!F636</x:f>
        <x:v>46043</x:v>
      </x:c>
      <x:c r="H672" t="str">
        <x:f>Despesas!G636</x:f>
        <x:v>EUROCHEM SERRA DO SALITRE</x:v>
      </x:c>
      <x:c r="I672" t="str">
        <x:f>Despesas!H636</x:f>
        <x:v>5.5 - ENERGIA ALOJAMENTO</x:v>
      </x:c>
      <x:c r="J672" s="5" t="n">
        <x:f>Despesas!I636</x:f>
        <x:v>89.98</x:v>
      </x:c>
      <x:c r="K672" s="5" t="n">
        <x:f>0</x:f>
        <x:v>0</x:v>
      </x:c>
      <x:c r="L672" s="5" t="n">
        <x:f>Despesas!I636</x:f>
        <x:v>89.98</x:v>
      </x:c>
      <x:c r="M672" s="5" t="n">
        <x:f>-J672</x:f>
        <x:v>-89.98</x:v>
      </x:c>
    </x:row>
    <x:row r="673">
      <x:c r="A673" t="str">
        <x:f>"Despesa/Custo"</x:f>
        <x:v>Despesa/Custo</x:v>
      </x:c>
      <x:c r="B673" t="str">
        <x:f>Despesas!A637</x:f>
        <x:v>DESPESAS DE VIAGEM</x:v>
      </x:c>
      <x:c r="C673" t="n">
        <x:f>Despesas!B637</x:f>
        <x:v>0</x:v>
      </x:c>
      <x:c r="D673" t="str">
        <x:f>Despesas!C637</x:f>
        <x:v>015463</x:v>
      </x:c>
      <x:c r="E673" t="str">
        <x:f>Despesas!D637</x:f>
        <x:v>REEMBOLSO FUNCIONARIO</x:v>
      </x:c>
      <x:c r="F673" t="str">
        <x:f>Despesas!E637</x:f>
        <x:v>JOSE EDSON DE ARRUDA</x:v>
      </x:c>
      <x:c r="G673" s="4" t="n">
        <x:f>Despesas!F637</x:f>
        <x:v>46043</x:v>
      </x:c>
      <x:c r="H673" t="str">
        <x:f>Despesas!G637</x:f>
        <x:v>FOSFATO CMOC CONTRAT</x:v>
      </x:c>
      <x:c r="I673" t="str">
        <x:f>Despesas!H637</x:f>
        <x:v>12.7 - TRANSPORTE FUNCIONARIOS</x:v>
      </x:c>
      <x:c r="J673" s="5" t="n">
        <x:f>Despesas!I637</x:f>
        <x:v>224.72</x:v>
      </x:c>
      <x:c r="K673" s="5" t="n">
        <x:f>0</x:f>
        <x:v>0</x:v>
      </x:c>
      <x:c r="L673" s="5" t="n">
        <x:f>Despesas!I637</x:f>
        <x:v>224.72</x:v>
      </x:c>
      <x:c r="M673" s="5" t="n">
        <x:f>-J673</x:f>
        <x:v>-224.72</x:v>
      </x:c>
    </x:row>
    <x:row r="674">
      <x:c r="A674" t="str">
        <x:f>"Despesa/Custo"</x:f>
        <x:v>Despesa/Custo</x:v>
      </x:c>
      <x:c r="B674" t="str">
        <x:f>Despesas!A638</x:f>
        <x:v>PRO MINAS MATERIAIS DE SEGURANÇA LTDA</x:v>
      </x:c>
      <x:c r="C674" t="str">
        <x:f>Despesas!B638</x:f>
        <x:v>87664</x:v>
      </x:c>
      <x:c r="D674" t="str">
        <x:f>Despesas!C638</x:f>
        <x:v>015468</x:v>
      </x:c>
      <x:c r="E674" t="str">
        <x:f>Despesas!D638</x:f>
        <x:v>EPIS</x:v>
      </x:c>
      <x:c r="F674" t="n">
        <x:f>Despesas!E638</x:f>
        <x:v>0</x:v>
      </x:c>
      <x:c r="G674" s="4" t="n">
        <x:f>Despesas!F638</x:f>
        <x:v>46043</x:v>
      </x:c>
      <x:c r="H674" t="str">
        <x:f>Despesas!G638</x:f>
        <x:v>MOSAIC UBERABA CONTRAT0 3 ANOS</x:v>
      </x:c>
      <x:c r="I674" t="str">
        <x:f>Despesas!H638</x:f>
        <x:v>13.1 - EPIS</x:v>
      </x:c>
      <x:c r="J674" s="5" t="n">
        <x:f>Despesas!I638</x:f>
        <x:v>351</x:v>
      </x:c>
      <x:c r="K674" s="5" t="n">
        <x:f>0</x:f>
        <x:v>0</x:v>
      </x:c>
      <x:c r="L674" s="5" t="n">
        <x:f>Despesas!I638</x:f>
        <x:v>351</x:v>
      </x:c>
      <x:c r="M674" s="5" t="n">
        <x:f>-J674</x:f>
        <x:v>-351</x:v>
      </x:c>
    </x:row>
    <x:row r="675">
      <x:c r="A675" t="str">
        <x:f>"Despesa/Custo"</x:f>
        <x:v>Despesa/Custo</x:v>
      </x:c>
      <x:c r="B675" t="str">
        <x:f>Despesas!A639</x:f>
        <x:v>SANEAMENTO E ACOES URBANAS</x:v>
      </x:c>
      <x:c r="C675" t="n">
        <x:f>Despesas!B639</x:f>
        <x:v>0</x:v>
      </x:c>
      <x:c r="D675" t="str">
        <x:f>Despesas!C639</x:f>
        <x:v>015469</x:v>
      </x:c>
      <x:c r="E675" t="str">
        <x:f>Despesas!D639</x:f>
        <x:v>R. DOS ANDRADAS 211 REF. 02/2026</x:v>
      </x:c>
      <x:c r="F675" t="str">
        <x:f>Despesas!E639</x:f>
        <x:v>IDENTIFICADOR 8056</x:v>
      </x:c>
      <x:c r="G675" s="4" t="n">
        <x:f>Despesas!F639</x:f>
        <x:v>46043</x:v>
      </x:c>
      <x:c r="H675" t="str">
        <x:f>Despesas!G639</x:f>
        <x:v>MOSAIC UBERABA CONTRAT0 3 ANOS</x:v>
      </x:c>
      <x:c r="I675" t="str">
        <x:f>Despesas!H639</x:f>
        <x:v>5.4 - AGUA ALOJAMENTO</x:v>
      </x:c>
      <x:c r="J675" s="5" t="n">
        <x:f>Despesas!I639</x:f>
        <x:v>106.27</x:v>
      </x:c>
      <x:c r="K675" s="5" t="n">
        <x:f>0</x:f>
        <x:v>0</x:v>
      </x:c>
      <x:c r="L675" s="5" t="n">
        <x:f>Despesas!I639</x:f>
        <x:v>106.27</x:v>
      </x:c>
      <x:c r="M675" s="5" t="n">
        <x:f>-J675</x:f>
        <x:v>-106.27</x:v>
      </x:c>
    </x:row>
    <x:row r="676">
      <x:c r="A676" t="str">
        <x:f>"Despesa/Custo"</x:f>
        <x:v>Despesa/Custo</x:v>
      </x:c>
      <x:c r="B676" t="str">
        <x:f>Despesas!A640</x:f>
        <x:v>HOTEIS OBRAS</x:v>
      </x:c>
      <x:c r="C676" t="n">
        <x:f>Despesas!B640</x:f>
        <x:v>0</x:v>
      </x:c>
      <x:c r="D676" t="str">
        <x:f>Despesas!C640</x:f>
        <x:v>015471</x:v>
      </x:c>
      <x:c r="E676" t="str">
        <x:f>Despesas!D640</x:f>
        <x:v>PIX CNPJ 63.670.121/0001-60 TAMIRES BEATRIZ</x:v>
      </x:c>
      <x:c r="F676" t="str">
        <x:f>Despesas!E640</x:f>
        <x:v>DOMITORIO MINAÇU</x:v>
      </x:c>
      <x:c r="G676" s="4" t="n">
        <x:f>Despesas!F640</x:f>
        <x:v>46043</x:v>
      </x:c>
      <x:c r="H676" t="str">
        <x:f>Despesas!G640</x:f>
        <x:v>CONTRATO 02 ANOS MINERAÇÃO SERRA VERDE</x:v>
      </x:c>
      <x:c r="I676" t="str">
        <x:f>Despesas!H640</x:f>
        <x:v>5.1 - HOTEL FUNCIONARIOS</x:v>
      </x:c>
      <x:c r="J676" s="5" t="n">
        <x:f>Despesas!I640</x:f>
        <x:v>400</x:v>
      </x:c>
      <x:c r="K676" s="5" t="n">
        <x:f>0</x:f>
        <x:v>0</x:v>
      </x:c>
      <x:c r="L676" s="5" t="n">
        <x:f>Despesas!I640</x:f>
        <x:v>400</x:v>
      </x:c>
      <x:c r="M676" s="5" t="n">
        <x:f>-J676</x:f>
        <x:v>-400</x:v>
      </x:c>
    </x:row>
    <x:row r="677">
      <x:c r="A677" t="str">
        <x:f>"Despesa/Custo"</x:f>
        <x:v>Despesa/Custo</x:v>
      </x:c>
      <x:c r="B677" t="str">
        <x:f>Despesas!A641</x:f>
        <x:v>GUSA DO BRASIL MOBILIARIO E CONTAINER</x:v>
      </x:c>
      <x:c r="C677" t="str">
        <x:f>Despesas!B641</x:f>
        <x:v>470</x:v>
      </x:c>
      <x:c r="D677" t="str">
        <x:f>Despesas!C641</x:f>
        <x:v>015484</x:v>
      </x:c>
      <x:c r="E677" t="str">
        <x:f>Despesas!D641</x:f>
        <x:v>LOCAÇÃO CONTAINER REF. 05/02 A 04/03</x:v>
      </x:c>
      <x:c r="F677" t="str">
        <x:f>Despesas!E641</x:f>
        <x:v>VENCIMENTO ORIGINAL DO BOLETO 10/02/26</x:v>
      </x:c>
      <x:c r="G677" s="4" t="n">
        <x:f>Despesas!F641</x:f>
        <x:v>46043</x:v>
      </x:c>
      <x:c r="H677" t="str">
        <x:f>Despesas!G641</x:f>
        <x:v>SERENA 10 TORRES 2025</x:v>
      </x:c>
      <x:c r="I677" t="str">
        <x:f>Despesas!H641</x:f>
        <x:v>7.6 - LOCAÇÃO CONTAINER</x:v>
      </x:c>
      <x:c r="J677" s="5" t="n">
        <x:f>Despesas!I641</x:f>
        <x:v>919.8</x:v>
      </x:c>
      <x:c r="K677" s="5" t="n">
        <x:f>0</x:f>
        <x:v>0</x:v>
      </x:c>
      <x:c r="L677" s="5" t="n">
        <x:f>Despesas!I641</x:f>
        <x:v>919.8</x:v>
      </x:c>
      <x:c r="M677" s="5" t="n">
        <x:f>-J677</x:f>
        <x:v>-919.8</x:v>
      </x:c>
    </x:row>
    <x:row r="678">
      <x:c r="A678" t="str">
        <x:f>"Despesa/Custo"</x:f>
        <x:v>Despesa/Custo</x:v>
      </x:c>
      <x:c r="B678" t="str">
        <x:f>Despesas!A642</x:f>
        <x:v>ESTADO DE GOIAS</x:v>
      </x:c>
      <x:c r="C678" t="n">
        <x:f>Despesas!B642</x:f>
        <x:v>0</x:v>
      </x:c>
      <x:c r="D678" t="str">
        <x:f>Despesas!C642</x:f>
        <x:v>015758</x:v>
      </x:c>
      <x:c r="E678" t="str">
        <x:f>Despesas!D642</x:f>
        <x:v>ICMS</x:v>
      </x:c>
      <x:c r="F678" t="str">
        <x:f>Despesas!E642</x:f>
        <x:v>BOLETO VENC</x:v>
      </x:c>
      <x:c r="G678" s="4" t="n">
        <x:f>Despesas!F642</x:f>
        <x:v>46043</x:v>
      </x:c>
      <x:c r="H678" t="str">
        <x:f>Despesas!G642</x:f>
        <x:v>IMPOSTOS</x:v>
      </x:c>
      <x:c r="I678" t="str">
        <x:f>Despesas!H642</x:f>
        <x:v>17.9 - ICMS</x:v>
      </x:c>
      <x:c r="J678" s="5" t="n">
        <x:f>Despesas!I642</x:f>
        <x:v>18234.82</x:v>
      </x:c>
      <x:c r="K678" s="5" t="n">
        <x:f>0</x:f>
        <x:v>0</x:v>
      </x:c>
      <x:c r="L678" s="5" t="n">
        <x:f>Despesas!I642</x:f>
        <x:v>18234.82</x:v>
      </x:c>
      <x:c r="M678" s="5" t="n">
        <x:f>-J678</x:f>
        <x:v>-18234.82</x:v>
      </x:c>
    </x:row>
    <x:row r="679">
      <x:c r="A679" t="str">
        <x:f>"Despesa/Custo"</x:f>
        <x:v>Despesa/Custo</x:v>
      </x:c>
      <x:c r="B679" t="str">
        <x:f>Despesas!A643</x:f>
        <x:v>G17 AUTO POSTO LTDA</x:v>
      </x:c>
      <x:c r="C679" t="str">
        <x:f>Despesas!B643</x:f>
        <x:v>43</x:v>
      </x:c>
      <x:c r="D679" t="str">
        <x:f>Despesas!C643</x:f>
        <x:v>015767</x:v>
      </x:c>
      <x:c r="E679" t="str">
        <x:f>Despesas!D643</x:f>
        <x:v>COMBUSTIVEL RICARDO</x:v>
      </x:c>
      <x:c r="F679" t="str">
        <x:f>Despesas!E643</x:f>
        <x:v>REEM RICARDO</x:v>
      </x:c>
      <x:c r="G679" s="4" t="n">
        <x:f>Despesas!F643</x:f>
        <x:v>46043</x:v>
      </x:c>
      <x:c r="H679" t="str">
        <x:f>Despesas!G643</x:f>
        <x:v>GASTOS COMERCIAIS</x:v>
      </x:c>
      <x:c r="I679" t="str">
        <x:f>Despesas!H643</x:f>
        <x:v>6.4 - COMBUSTIVEL VEICULOS</x:v>
      </x:c>
      <x:c r="J679" s="5" t="n">
        <x:f>Despesas!I643</x:f>
        <x:v>100</x:v>
      </x:c>
      <x:c r="K679" s="5" t="n">
        <x:f>0</x:f>
        <x:v>0</x:v>
      </x:c>
      <x:c r="L679" s="5" t="n">
        <x:f>Despesas!I643</x:f>
        <x:v>100</x:v>
      </x:c>
      <x:c r="M679" s="5" t="n">
        <x:f>-J679</x:f>
        <x:v>-100</x:v>
      </x:c>
    </x:row>
    <x:row r="680">
      <x:c r="A680" t="str">
        <x:f>"Despesa/Custo"</x:f>
        <x:v>Despesa/Custo</x:v>
      </x:c>
      <x:c r="B680" t="str">
        <x:f>Despesas!A644</x:f>
        <x:v>G17 AUTO POSTO LTDA</x:v>
      </x:c>
      <x:c r="C680" t="str">
        <x:f>Despesas!B644</x:f>
        <x:v>43</x:v>
      </x:c>
      <x:c r="D680" t="str">
        <x:f>Despesas!C644</x:f>
        <x:v>015767</x:v>
      </x:c>
      <x:c r="E680" t="str">
        <x:f>Despesas!D644</x:f>
        <x:v>COMBUSTIVEL RICARDO</x:v>
      </x:c>
      <x:c r="F680" t="str">
        <x:f>Despesas!E644</x:f>
        <x:v>REEM RICARDO</x:v>
      </x:c>
      <x:c r="G680" s="4" t="n">
        <x:f>Despesas!F644</x:f>
        <x:v>46043</x:v>
      </x:c>
      <x:c r="H680" t="str">
        <x:f>Despesas!G644</x:f>
        <x:v>GASTOS COMERCIAIS</x:v>
      </x:c>
      <x:c r="I680" t="str">
        <x:f>Despesas!H644</x:f>
        <x:v>6.4 - COMBUSTIVEL VEICULOS</x:v>
      </x:c>
      <x:c r="J680" s="5" t="n">
        <x:f>Despesas!I644</x:f>
        <x:v>79.98</x:v>
      </x:c>
      <x:c r="K680" s="5" t="n">
        <x:f>0</x:f>
        <x:v>0</x:v>
      </x:c>
      <x:c r="L680" s="5" t="n">
        <x:f>Despesas!I644</x:f>
        <x:v>79.98</x:v>
      </x:c>
      <x:c r="M680" s="5" t="n">
        <x:f>-J680</x:f>
        <x:v>-79.98</x:v>
      </x:c>
    </x:row>
    <x:row r="681">
      <x:c r="A681" t="str">
        <x:f>"Despesa/Custo"</x:f>
        <x:v>Despesa/Custo</x:v>
      </x:c>
      <x:c r="B681" t="str">
        <x:f>Despesas!A645</x:f>
        <x:v>UBER JULIANO</x:v>
      </x:c>
      <x:c r="C681" t="n">
        <x:f>Despesas!B645</x:f>
        <x:v>0</x:v>
      </x:c>
      <x:c r="D681" t="str">
        <x:f>Despesas!C645</x:f>
        <x:v>015769</x:v>
      </x:c>
      <x:c r="E681" t="str">
        <x:f>Despesas!D645</x:f>
        <x:v>UBER JULIANO</x:v>
      </x:c>
      <x:c r="F681" t="str">
        <x:f>Despesas!E645</x:f>
        <x:v>ARTHUR RODRIGUES SEIDEMAN - PIX (64) 9 9302-3866</x:v>
      </x:c>
      <x:c r="G681" s="4" t="n">
        <x:f>Despesas!F645</x:f>
        <x:v>46043</x:v>
      </x:c>
      <x:c r="H681" t="str">
        <x:f>Despesas!G645</x:f>
        <x:v>FOSFATO CMOC CONTRAT</x:v>
      </x:c>
      <x:c r="I681" t="str">
        <x:f>Despesas!H645</x:f>
        <x:v>12.7 - TRANSPORTE FUNCIONARIOS</x:v>
      </x:c>
      <x:c r="J681" s="5" t="n">
        <x:f>Despesas!I645</x:f>
        <x:v>210</x:v>
      </x:c>
      <x:c r="K681" s="5" t="n">
        <x:f>0</x:f>
        <x:v>0</x:v>
      </x:c>
      <x:c r="L681" s="5" t="n">
        <x:f>Despesas!I645</x:f>
        <x:v>210</x:v>
      </x:c>
      <x:c r="M681" s="5" t="n">
        <x:f>-J681</x:f>
        <x:v>-210</x:v>
      </x:c>
    </x:row>
    <x:row r="682">
      <x:c r="A682" t="str">
        <x:f>"Despesa/Custo"</x:f>
        <x:v>Despesa/Custo</x:v>
      </x:c>
      <x:c r="B682" t="str">
        <x:f>Despesas!A646</x:f>
        <x:v>RESTAURANTE MARINA LTDA</x:v>
      </x:c>
      <x:c r="C682" t="str">
        <x:f>Despesas!B646</x:f>
        <x:v>453</x:v>
      </x:c>
      <x:c r="D682" t="str">
        <x:f>Despesas!C646</x:f>
        <x:v>015827</x:v>
      </x:c>
      <x:c r="E682" t="str">
        <x:f>Despesas!D646</x:f>
        <x:v>RESTAURANTE MARINA - PIX 50.531.065/0001-31</x:v>
      </x:c>
      <x:c r="F682" t="str">
        <x:f>Despesas!E646</x:f>
        <x:v>REFEIÇÃO FUNCIONÁRIOS REF. 12/2025</x:v>
      </x:c>
      <x:c r="G682" s="4" t="n">
        <x:f>Despesas!F646</x:f>
        <x:v>46043</x:v>
      </x:c>
      <x:c r="H682" t="str">
        <x:f>Despesas!G646</x:f>
        <x:v>VLI PINTURA</x:v>
      </x:c>
      <x:c r="I682" t="str">
        <x:f>Despesas!H646</x:f>
        <x:v>12.5 - REFEIÇÕES FUNCIONARIOS</x:v>
      </x:c>
      <x:c r="J682" s="5" t="n">
        <x:f>Despesas!I646</x:f>
        <x:v>2133</x:v>
      </x:c>
      <x:c r="K682" s="5" t="n">
        <x:f>0</x:f>
        <x:v>0</x:v>
      </x:c>
      <x:c r="L682" s="5" t="n">
        <x:f>Despesas!I646</x:f>
        <x:v>2133</x:v>
      </x:c>
      <x:c r="M682" s="5" t="n">
        <x:f>-J682</x:f>
        <x:v>-2133</x:v>
      </x:c>
    </x:row>
    <x:row r="683">
      <x:c r="A683" t="str">
        <x:f>"Despesa/Custo"</x:f>
        <x:v>Despesa/Custo</x:v>
      </x:c>
      <x:c r="B683" t="str">
        <x:f>Despesas!A647</x:f>
        <x:v>HS TREINAMENTOS E CONSULTORIA EM SEGURANCA DO TRABALHO LTDA</x:v>
      </x:c>
      <x:c r="C683" t="str">
        <x:f>Despesas!B647</x:f>
        <x:v>1386</x:v>
      </x:c>
      <x:c r="D683" t="str">
        <x:f>Despesas!C647</x:f>
        <x:v>015956</x:v>
      </x:c>
      <x:c r="E683" t="str">
        <x:f>Despesas!D647</x:f>
        <x:v>TREINAMENTO DE BRIGADA DE INCENDIO</x:v>
      </x:c>
      <x:c r="F683" t="n">
        <x:f>Despesas!E647</x:f>
        <x:v>0</x:v>
      </x:c>
      <x:c r="G683" s="4" t="n">
        <x:f>Despesas!F647</x:f>
        <x:v>46043</x:v>
      </x:c>
      <x:c r="H683" t="str">
        <x:f>Despesas!G647</x:f>
        <x:v>ANGLO AMERICAN</x:v>
      </x:c>
      <x:c r="I683" t="str">
        <x:f>Despesas!H647</x:f>
        <x:v>14.2 - CURSOS / TREINAMENTOS</x:v>
      </x:c>
      <x:c r="J683" s="5" t="n">
        <x:f>Despesas!I647</x:f>
        <x:v>3200</x:v>
      </x:c>
      <x:c r="K683" s="5" t="n">
        <x:f>0</x:f>
        <x:v>0</x:v>
      </x:c>
      <x:c r="L683" s="5" t="n">
        <x:f>Despesas!I647</x:f>
        <x:v>3200</x:v>
      </x:c>
      <x:c r="M683" s="5" t="n">
        <x:f>-J683</x:f>
        <x:v>-3200</x:v>
      </x:c>
    </x:row>
    <x:row r="684">
      <x:c r="A684" t="str">
        <x:f>"Despesa/Custo"</x:f>
        <x:v>Despesa/Custo</x:v>
      </x:c>
      <x:c r="B684" t="str">
        <x:f>Despesas!A648</x:f>
        <x:v>AUTO POSTO TERRA SANTA LTDA</x:v>
      </x:c>
      <x:c r="C684" t="str">
        <x:f>Despesas!B648</x:f>
        <x:v>7860</x:v>
      </x:c>
      <x:c r="D684" t="str">
        <x:f>Despesas!C648</x:f>
        <x:v>015477</x:v>
      </x:c>
      <x:c r="E684" t="str">
        <x:f>Despesas!D648</x:f>
        <x:v>COMBUSTIVEL RANGER ADM</x:v>
      </x:c>
      <x:c r="F684" t="n">
        <x:f>Despesas!E648</x:f>
        <x:v>0</x:v>
      </x:c>
      <x:c r="G684" s="4" t="n">
        <x:f>Despesas!F648</x:f>
        <x:v>46044</x:v>
      </x:c>
      <x:c r="H684" t="str">
        <x:f>Despesas!G648</x:f>
        <x:v>ADMINISTRATIVO</x:v>
      </x:c>
      <x:c r="I684" t="str">
        <x:f>Despesas!H648</x:f>
        <x:v>6.4 - COMBUSTIVEL VEICULOS</x:v>
      </x:c>
      <x:c r="J684" s="5" t="n">
        <x:f>Despesas!I648</x:f>
        <x:v>435.01</x:v>
      </x:c>
      <x:c r="K684" s="5" t="n">
        <x:f>0</x:f>
        <x:v>0</x:v>
      </x:c>
      <x:c r="L684" s="5" t="n">
        <x:f>Despesas!I648</x:f>
        <x:v>435.01</x:v>
      </x:c>
      <x:c r="M684" s="5" t="n">
        <x:f>-J684</x:f>
        <x:v>-435.01</x:v>
      </x:c>
    </x:row>
    <x:row r="685">
      <x:c r="A685" t="str">
        <x:f>"Despesa/Custo"</x:f>
        <x:v>Despesa/Custo</x:v>
      </x:c>
      <x:c r="B685" t="str">
        <x:f>Despesas!A649</x:f>
        <x:v>MDG MATERIAIS PARA CONSTRUCAO LTDA-ME</x:v>
      </x:c>
      <x:c r="C685" t="str">
        <x:f>Despesas!B649</x:f>
        <x:v>2155</x:v>
      </x:c>
      <x:c r="D685" t="str">
        <x:f>Despesas!C649</x:f>
        <x:v>015479</x:v>
      </x:c>
      <x:c r="E685" t="str">
        <x:f>Despesas!D649</x:f>
        <x:v>MATERIAL PARA INSTALAÇÃO CAIXA DE AGUA</x:v>
      </x:c>
      <x:c r="F685" t="str">
        <x:f>Despesas!E649</x:f>
        <x:v>REEM REINALDO DIAS DAMAS</x:v>
      </x:c>
      <x:c r="G685" s="4" t="n">
        <x:f>Despesas!F649</x:f>
        <x:v>46044</x:v>
      </x:c>
      <x:c r="H685" t="str">
        <x:f>Despesas!G649</x:f>
        <x:v>ADMINISTRATIVO</x:v>
      </x:c>
      <x:c r="I685" t="str">
        <x:f>Despesas!H649</x:f>
        <x:v>8.9 - MATERIAIS DE CONSUMO EM OBRAS</x:v>
      </x:c>
      <x:c r="J685" s="5" t="n">
        <x:f>Despesas!I649</x:f>
        <x:v>90.8</x:v>
      </x:c>
      <x:c r="K685" s="5" t="n">
        <x:f>0</x:f>
        <x:v>0</x:v>
      </x:c>
      <x:c r="L685" s="5" t="n">
        <x:f>Despesas!I649</x:f>
        <x:v>90.8</x:v>
      </x:c>
      <x:c r="M685" s="5" t="n">
        <x:f>-J685</x:f>
        <x:v>-90.8</x:v>
      </x:c>
    </x:row>
    <x:row r="686">
      <x:c r="A686" t="str">
        <x:f>"Despesa/Custo"</x:f>
        <x:v>Despesa/Custo</x:v>
      </x:c>
      <x:c r="B686" t="str">
        <x:f>Despesas!A650</x:f>
        <x:v>REAL BORRACHA EIRELI</x:v>
      </x:c>
      <x:c r="C686" t="str">
        <x:f>Despesas!B650</x:f>
        <x:v>97012</x:v>
      </x:c>
      <x:c r="D686" t="str">
        <x:f>Despesas!C650</x:f>
        <x:v>015482</x:v>
      </x:c>
      <x:c r="E686" t="str">
        <x:f>Despesas!D650</x:f>
        <x:v>EPIS</x:v>
      </x:c>
      <x:c r="F686" t="n">
        <x:f>Despesas!E650</x:f>
        <x:v>0</x:v>
      </x:c>
      <x:c r="G686" s="4" t="n">
        <x:f>Despesas!F650</x:f>
        <x:v>46044</x:v>
      </x:c>
      <x:c r="H686" t="str">
        <x:f>Despesas!G650</x:f>
        <x:v>VLI PINTURA</x:v>
      </x:c>
      <x:c r="I686" t="str">
        <x:f>Despesas!H650</x:f>
        <x:v>13.1 - EPIS</x:v>
      </x:c>
      <x:c r="J686" s="5" t="n">
        <x:f>Despesas!I650</x:f>
        <x:v>412</x:v>
      </x:c>
      <x:c r="K686" s="5" t="n">
        <x:f>0</x:f>
        <x:v>0</x:v>
      </x:c>
      <x:c r="L686" s="5" t="n">
        <x:f>Despesas!I650</x:f>
        <x:v>412</x:v>
      </x:c>
      <x:c r="M686" s="5" t="n">
        <x:f>-J686</x:f>
        <x:v>-412</x:v>
      </x:c>
    </x:row>
    <x:row r="687">
      <x:c r="A687" t="str">
        <x:f>"Despesa/Custo"</x:f>
        <x:v>Despesa/Custo</x:v>
      </x:c>
      <x:c r="B687" t="str">
        <x:f>Despesas!A651</x:f>
        <x:v>MOVIDA PARTICIPACOES S.A.</x:v>
      </x:c>
      <x:c r="C687" t="str">
        <x:f>Despesas!B651</x:f>
        <x:v>7827200</x:v>
      </x:c>
      <x:c r="D687" t="str">
        <x:f>Despesas!C651</x:f>
        <x:v>015485</x:v>
      </x:c>
      <x:c r="E687" t="str">
        <x:f>Despesas!D651</x:f>
        <x:v>LOCAÇÃO VEÍCULO REF. 18/12 A 17/01/26</x:v>
      </x:c>
      <x:c r="F687" t="str">
        <x:f>Despesas!E651</x:f>
        <x:v>VENCIMENTO ORIGINAL DO BOLETO 10/02/26</x:v>
      </x:c>
      <x:c r="G687" s="4" t="n">
        <x:f>Despesas!F651</x:f>
        <x:v>46044</x:v>
      </x:c>
      <x:c r="H687" t="str">
        <x:f>Despesas!G651</x:f>
        <x:v>ADMINISTRATIVO</x:v>
      </x:c>
      <x:c r="I687" t="str">
        <x:f>Despesas!H651</x:f>
        <x:v>7.8 - LOCAÇAO VEICULOS</x:v>
      </x:c>
      <x:c r="J687" s="5" t="n">
        <x:f>Despesas!I651</x:f>
        <x:v>2964.57</x:v>
      </x:c>
      <x:c r="K687" s="5" t="n">
        <x:f>0</x:f>
        <x:v>0</x:v>
      </x:c>
      <x:c r="L687" s="5" t="n">
        <x:f>Despesas!I651</x:f>
        <x:v>2964.57</x:v>
      </x:c>
      <x:c r="M687" s="5" t="n">
        <x:f>-J687</x:f>
        <x:v>-2964.57</x:v>
      </x:c>
    </x:row>
    <x:row r="688">
      <x:c r="A688" t="str">
        <x:f>"Despesa/Custo"</x:f>
        <x:v>Despesa/Custo</x:v>
      </x:c>
      <x:c r="B688" t="str">
        <x:f>Despesas!A652</x:f>
        <x:v>BERTI &amp; JARDIM</x:v>
      </x:c>
      <x:c r="C688" t="str">
        <x:f>Despesas!B652</x:f>
        <x:v>4</x:v>
      </x:c>
      <x:c r="D688" t="str">
        <x:f>Despesas!C652</x:f>
        <x:v>015486</x:v>
      </x:c>
      <x:c r="E688" t="str">
        <x:f>Despesas!D652</x:f>
        <x:v>JAIME PIX 25595134801</x:v>
      </x:c>
      <x:c r="F688" t="str">
        <x:f>Despesas!E652</x:f>
        <x:v>MANUTENÇÃO MAQUINAS DE HIDROJATO 4 MAQ</x:v>
      </x:c>
      <x:c r="G688" s="4" t="n">
        <x:f>Despesas!F652</x:f>
        <x:v>46044</x:v>
      </x:c>
      <x:c r="H688" t="str">
        <x:f>Despesas!G652</x:f>
        <x:v>MANUTENÇÃO DE EQUIPAMENTOS</x:v>
      </x:c>
      <x:c r="I688" t="str">
        <x:f>Despesas!H652</x:f>
        <x:v>8.14 - MANUTENÇÃO/PEÇAS MAQUINAS E EQUIPAMENTOS</x:v>
      </x:c>
      <x:c r="J688" s="5" t="n">
        <x:f>Despesas!I652</x:f>
        <x:v>6109.25</x:v>
      </x:c>
      <x:c r="K688" s="5" t="n">
        <x:f>0</x:f>
        <x:v>0</x:v>
      </x:c>
      <x:c r="L688" s="5" t="n">
        <x:f>Despesas!I652</x:f>
        <x:v>6109.25</x:v>
      </x:c>
      <x:c r="M688" s="5" t="n">
        <x:f>-J688</x:f>
        <x:v>-6109.25</x:v>
      </x:c>
    </x:row>
    <x:row r="689">
      <x:c r="A689" t="str">
        <x:f>"Despesa/Custo"</x:f>
        <x:v>Despesa/Custo</x:v>
      </x:c>
      <x:c r="B689" t="str">
        <x:f>Despesas!A653</x:f>
        <x:v>JOTUN BRASIL IMP. EXP. E INDUSTRIAL</x:v>
      </x:c>
      <x:c r="C689" t="str">
        <x:f>Despesas!B653</x:f>
        <x:v>99116</x:v>
      </x:c>
      <x:c r="D689" t="str">
        <x:f>Despesas!C653</x:f>
        <x:v>015487</x:v>
      </x:c>
      <x:c r="E689" t="str">
        <x:f>Despesas!D653</x:f>
        <x:v>TINTAS E SOLVENTES</x:v>
      </x:c>
      <x:c r="F689" t="str">
        <x:f>Despesas!E653</x:f>
        <x:v>VENCIMENTO ORIGINAL DO BOLETO 17/03/26</x:v>
      </x:c>
      <x:c r="G689" s="4" t="n">
        <x:f>Despesas!F653</x:f>
        <x:v>46044</x:v>
      </x:c>
      <x:c r="H689" t="str">
        <x:f>Despesas!G653</x:f>
        <x:v>CONTRATO 02 ANOS MINERAÇÃO SERRA VERDE</x:v>
      </x:c>
      <x:c r="I689" t="str">
        <x:f>Despesas!H653</x:f>
        <x:v>4.1 - TINTAS E SOLVENTES</x:v>
      </x:c>
      <x:c r="J689" s="5" t="n">
        <x:f>Despesas!I653</x:f>
        <x:v>1552.24</x:v>
      </x:c>
      <x:c r="K689" s="5" t="n">
        <x:f>0</x:f>
        <x:v>0</x:v>
      </x:c>
      <x:c r="L689" s="5" t="n">
        <x:f>Despesas!I653</x:f>
        <x:v>1552.24</x:v>
      </x:c>
      <x:c r="M689" s="5" t="n">
        <x:f>-J689</x:f>
        <x:v>-1552.24</x:v>
      </x:c>
    </x:row>
    <x:row r="690">
      <x:c r="A690" t="str">
        <x:f>"Despesa/Custo"</x:f>
        <x:v>Despesa/Custo</x:v>
      </x:c>
      <x:c r="B690" t="str">
        <x:f>Despesas!A654</x:f>
        <x:v>JOTUN BRASIL IMP. EXP. E INDUSTRIAL</x:v>
      </x:c>
      <x:c r="C690" t="str">
        <x:f>Despesas!B654</x:f>
        <x:v>99115</x:v>
      </x:c>
      <x:c r="D690" t="str">
        <x:f>Despesas!C654</x:f>
        <x:v>015488</x:v>
      </x:c>
      <x:c r="E690" t="str">
        <x:f>Despesas!D654</x:f>
        <x:v>TINTAS E SOLVENTES</x:v>
      </x:c>
      <x:c r="F690" t="str">
        <x:f>Despesas!E654</x:f>
        <x:v>VENCIMENTO ORIGINAL DO BOLETO 17/03/28</x:v>
      </x:c>
      <x:c r="G690" s="4" t="n">
        <x:f>Despesas!F654</x:f>
        <x:v>46044</x:v>
      </x:c>
      <x:c r="H690" t="str">
        <x:f>Despesas!G654</x:f>
        <x:v>CONTRATO 02 ANOS MINERAÇÃO SERRA VERDE</x:v>
      </x:c>
      <x:c r="I690" t="str">
        <x:f>Despesas!H654</x:f>
        <x:v>4.1 - TINTAS E SOLVENTES</x:v>
      </x:c>
      <x:c r="J690" s="5" t="n">
        <x:f>Despesas!I654</x:f>
        <x:v>7409.97</x:v>
      </x:c>
      <x:c r="K690" s="5" t="n">
        <x:f>0</x:f>
        <x:v>0</x:v>
      </x:c>
      <x:c r="L690" s="5" t="n">
        <x:f>Despesas!I654</x:f>
        <x:v>7409.97</x:v>
      </x:c>
      <x:c r="M690" s="5" t="n">
        <x:f>-J690</x:f>
        <x:v>-7409.97</x:v>
      </x:c>
    </x:row>
    <x:row r="691">
      <x:c r="A691" t="str">
        <x:f>"Despesa/Custo"</x:f>
        <x:v>Despesa/Custo</x:v>
      </x:c>
      <x:c r="B691" t="str">
        <x:f>Despesas!A655</x:f>
        <x:v>SERVIÇOS DE LIMPEZA / FAXINA</x:v>
      </x:c>
      <x:c r="C691" t="n">
        <x:f>Despesas!B655</x:f>
        <x:v>0</x:v>
      </x:c>
      <x:c r="D691" t="str">
        <x:f>Despesas!C655</x:f>
        <x:v>015489</x:v>
      </x:c>
      <x:c r="E691" t="str">
        <x:f>Despesas!D655</x:f>
        <x:v>LUCIENE SOUZA DE OLIVEIRA - PIX 043.949.565-28</x:v>
      </x:c>
      <x:c r="F691" t="str">
        <x:f>Despesas!E655</x:f>
        <x:v>FAXINA ALOJAMENTO TRINDADE</x:v>
      </x:c>
      <x:c r="G691" s="4" t="n">
        <x:f>Despesas!F655</x:f>
        <x:v>46044</x:v>
      </x:c>
      <x:c r="H691" t="str">
        <x:f>Despesas!G655</x:f>
        <x:v>ADMINISTRATIVO</x:v>
      </x:c>
      <x:c r="I691" t="str">
        <x:f>Despesas!H655</x:f>
        <x:v>3.7 - SERVIÇO LIMPEZA ALOJAMENTO/ESCRITORIO</x:v>
      </x:c>
      <x:c r="J691" s="5" t="n">
        <x:f>Despesas!I655</x:f>
        <x:v>100</x:v>
      </x:c>
      <x:c r="K691" s="5" t="n">
        <x:f>0</x:f>
        <x:v>0</x:v>
      </x:c>
      <x:c r="L691" s="5" t="n">
        <x:f>Despesas!I655</x:f>
        <x:v>100</x:v>
      </x:c>
      <x:c r="M691" s="5" t="n">
        <x:f>-J691</x:f>
        <x:v>-100</x:v>
      </x:c>
    </x:row>
    <x:row r="692">
      <x:c r="A692" t="str">
        <x:f>"Despesa/Custo"</x:f>
        <x:v>Despesa/Custo</x:v>
      </x:c>
      <x:c r="B692" t="str">
        <x:f>Despesas!A656</x:f>
        <x:v>DESPESAS DE OBRAS</x:v>
      </x:c>
      <x:c r="C692" t="n">
        <x:f>Despesas!B656</x:f>
        <x:v>0</x:v>
      </x:c>
      <x:c r="D692" t="str">
        <x:f>Despesas!C656</x:f>
        <x:v>015491</x:v>
      </x:c>
      <x:c r="E692" t="str">
        <x:f>Despesas!D656</x:f>
        <x:v>REEMBOLSO ERIVALDO NUNES DE ANDRADE</x:v>
      </x:c>
      <x:c r="F692" t="str">
        <x:f>Despesas!E656</x:f>
        <x:v>PIX nerivaldo751@gmail.com</x:v>
      </x:c>
      <x:c r="G692" s="4" t="n">
        <x:f>Despesas!F656</x:f>
        <x:v>46044</x:v>
      </x:c>
      <x:c r="H692" t="str">
        <x:f>Despesas!G656</x:f>
        <x:v>FOSFATO CMOC CONTRAT</x:v>
      </x:c>
      <x:c r="I692" t="str">
        <x:f>Despesas!H656</x:f>
        <x:v>5.3 - ALUGUEL ALOJAMENTO</x:v>
      </x:c>
      <x:c r="J692" s="5" t="n">
        <x:f>Despesas!I656</x:f>
        <x:v>184</x:v>
      </x:c>
      <x:c r="K692" s="5" t="n">
        <x:f>0</x:f>
        <x:v>0</x:v>
      </x:c>
      <x:c r="L692" s="5" t="n">
        <x:f>Despesas!I656</x:f>
        <x:v>184</x:v>
      </x:c>
      <x:c r="M692" s="5" t="n">
        <x:f>-J692</x:f>
        <x:v>-184</x:v>
      </x:c>
    </x:row>
    <x:row r="693">
      <x:c r="A693" t="str">
        <x:f>"Despesa/Custo"</x:f>
        <x:v>Despesa/Custo</x:v>
      </x:c>
      <x:c r="B693" t="str">
        <x:f>Despesas!A657</x:f>
        <x:v>REFEIÇÃO OBRAS</x:v>
      </x:c>
      <x:c r="C693" t="n">
        <x:f>Despesas!B657</x:f>
        <x:v>0</x:v>
      </x:c>
      <x:c r="D693" t="str">
        <x:f>Despesas!C657</x:f>
        <x:v>015494</x:v>
      </x:c>
      <x:c r="E693" t="str">
        <x:f>Despesas!D657</x:f>
        <x:v>PATRICIA GRACIANO TAVARES - PIX 042.601.731-54</x:v>
      </x:c>
      <x:c r="F693" t="str">
        <x:f>Despesas!E657</x:f>
        <x:v>REEMBOLSO PATRICIA</x:v>
      </x:c>
      <x:c r="G693" s="4" t="n">
        <x:f>Despesas!F657</x:f>
        <x:v>46044</x:v>
      </x:c>
      <x:c r="H693" t="str">
        <x:f>Despesas!G657</x:f>
        <x:v>NIOBIO CMOC CONTRATO</x:v>
      </x:c>
      <x:c r="I693" t="str">
        <x:f>Despesas!H657</x:f>
        <x:v>12.5 - REFEIÇÕES FUNCIONARIOS</x:v>
      </x:c>
      <x:c r="J693" s="5" t="n">
        <x:f>Despesas!I657</x:f>
        <x:v>200</x:v>
      </x:c>
      <x:c r="K693" s="5" t="n">
        <x:f>0</x:f>
        <x:v>0</x:v>
      </x:c>
      <x:c r="L693" s="5" t="n">
        <x:f>Despesas!I657</x:f>
        <x:v>200</x:v>
      </x:c>
      <x:c r="M693" s="5" t="n">
        <x:f>-J693</x:f>
        <x:v>-200</x:v>
      </x:c>
    </x:row>
    <x:row r="694">
      <x:c r="A694" t="str">
        <x:f>"Despesa/Custo"</x:f>
        <x:v>Despesa/Custo</x:v>
      </x:c>
      <x:c r="B694" t="str">
        <x:f>Despesas!A658</x:f>
        <x:v>EQUATORIAL DISTRIBUIDORA DE ENERGIA S.A.</x:v>
      </x:c>
      <x:c r="C694" t="n">
        <x:f>Despesas!B658</x:f>
        <x:v>0</x:v>
      </x:c>
      <x:c r="D694" t="str">
        <x:f>Despesas!C658</x:f>
        <x:v>015496</x:v>
      </x:c>
      <x:c r="E694" t="str">
        <x:f>Despesas!D658</x:f>
        <x:v>R. SANTO ANTONIO QD 04 LT 07 REF. 01/2026</x:v>
      </x:c>
      <x:c r="F694" t="str">
        <x:f>Despesas!E658</x:f>
        <x:v>UC 1150013609</x:v>
      </x:c>
      <x:c r="G694" s="4" t="n">
        <x:f>Despesas!F658</x:f>
        <x:v>46044</x:v>
      </x:c>
      <x:c r="H694" t="str">
        <x:f>Despesas!G658</x:f>
        <x:v>ANGLO AMERICAN</x:v>
      </x:c>
      <x:c r="I694" t="str">
        <x:f>Despesas!H658</x:f>
        <x:v>5.5 - ENERGIA ALOJAMENTO</x:v>
      </x:c>
      <x:c r="J694" s="5" t="n">
        <x:f>Despesas!I658</x:f>
        <x:v>350.67</x:v>
      </x:c>
      <x:c r="K694" s="5" t="n">
        <x:f>0</x:f>
        <x:v>0</x:v>
      </x:c>
      <x:c r="L694" s="5" t="n">
        <x:f>Despesas!I658</x:f>
        <x:v>350.67</x:v>
      </x:c>
      <x:c r="M694" s="5" t="n">
        <x:f>-J694</x:f>
        <x:v>-350.67</x:v>
      </x:c>
    </x:row>
    <x:row r="695">
      <x:c r="A695" t="str">
        <x:f>"Despesa/Custo"</x:f>
        <x:v>Despesa/Custo</x:v>
      </x:c>
      <x:c r="B695" t="str">
        <x:f>Despesas!A659</x:f>
        <x:v>DESPESAS DE VIAGEM</x:v>
      </x:c>
      <x:c r="C695" t="n">
        <x:f>Despesas!B659</x:f>
        <x:v>0</x:v>
      </x:c>
      <x:c r="D695" t="str">
        <x:f>Despesas!C659</x:f>
        <x:v>015497</x:v>
      </x:c>
      <x:c r="E695" t="str">
        <x:f>Despesas!D659</x:f>
        <x:v>REEMBOLSO FUNCIONARIO</x:v>
      </x:c>
      <x:c r="F695" t="str">
        <x:f>Despesas!E659</x:f>
        <x:v>REGINALDO OLIVEIRA DE ALMEIDA</x:v>
      </x:c>
      <x:c r="G695" s="4" t="n">
        <x:f>Despesas!F659</x:f>
        <x:v>46044</x:v>
      </x:c>
      <x:c r="H695" t="str">
        <x:f>Despesas!G659</x:f>
        <x:v>EUROCHEM SERRA DO SALITRE</x:v>
      </x:c>
      <x:c r="I695" t="str">
        <x:f>Despesas!H659</x:f>
        <x:v>12.7 - TRANSPORTE FUNCIONARIOS</x:v>
      </x:c>
      <x:c r="J695" s="5" t="n">
        <x:f>Despesas!I659</x:f>
        <x:v>500</x:v>
      </x:c>
      <x:c r="K695" s="5" t="n">
        <x:f>0</x:f>
        <x:v>0</x:v>
      </x:c>
      <x:c r="L695" s="5" t="n">
        <x:f>Despesas!I659</x:f>
        <x:v>500</x:v>
      </x:c>
      <x:c r="M695" s="5" t="n">
        <x:f>-J695</x:f>
        <x:v>-500</x:v>
      </x:c>
    </x:row>
    <x:row r="696">
      <x:c r="A696" t="str">
        <x:f>"Despesa/Custo"</x:f>
        <x:v>Despesa/Custo</x:v>
      </x:c>
      <x:c r="B696" t="str">
        <x:f>Despesas!A660</x:f>
        <x:v>MANUTENÇÃO EQUIPAMENTOS</x:v>
      </x:c>
      <x:c r="C696" t="n">
        <x:f>Despesas!B660</x:f>
        <x:v>0</x:v>
      </x:c>
      <x:c r="D696" t="str">
        <x:f>Despesas!C660</x:f>
        <x:v>015498</x:v>
      </x:c>
      <x:c r="E696" t="str">
        <x:f>Despesas!D660</x:f>
        <x:v>FERCLAV COMERCIO DE FERRAGENS - PIX 37.662.137/0001-11</x:v>
      </x:c>
      <x:c r="F696" t="str">
        <x:f>Despesas!E660</x:f>
        <x:v>MANUTENÇÃO EQUIPAMENTOS</x:v>
      </x:c>
      <x:c r="G696" s="4" t="n">
        <x:f>Despesas!F660</x:f>
        <x:v>46044</x:v>
      </x:c>
      <x:c r="H696" t="str">
        <x:f>Despesas!G660</x:f>
        <x:v>FOSFATO CMOC CONTRAT</x:v>
      </x:c>
      <x:c r="I696" t="str">
        <x:f>Despesas!H660</x:f>
        <x:v>8.14 - MANUTENÇÃO/PEÇAS MAQUINAS E EQUIPAMENTOS</x:v>
      </x:c>
      <x:c r="J696" s="5" t="n">
        <x:f>Despesas!I660</x:f>
        <x:v>152</x:v>
      </x:c>
      <x:c r="K696" s="5" t="n">
        <x:f>0</x:f>
        <x:v>0</x:v>
      </x:c>
      <x:c r="L696" s="5" t="n">
        <x:f>Despesas!I660</x:f>
        <x:v>152</x:v>
      </x:c>
      <x:c r="M696" s="5" t="n">
        <x:f>-J696</x:f>
        <x:v>-152</x:v>
      </x:c>
    </x:row>
    <x:row r="697">
      <x:c r="A697" t="str">
        <x:f>"Despesa/Custo"</x:f>
        <x:v>Despesa/Custo</x:v>
      </x:c>
      <x:c r="B697" t="str">
        <x:f>Despesas!A661</x:f>
        <x:v>POWER EPI</x:v>
      </x:c>
      <x:c r="C697" t="str">
        <x:f>Despesas!B661</x:f>
        <x:v>72236</x:v>
      </x:c>
      <x:c r="D697" t="str">
        <x:f>Despesas!C661</x:f>
        <x:v>015500</x:v>
      </x:c>
      <x:c r="E697" t="str">
        <x:f>Despesas!D661</x:f>
        <x:v>EPIS</x:v>
      </x:c>
      <x:c r="F697" t="n">
        <x:f>Despesas!E661</x:f>
        <x:v>0</x:v>
      </x:c>
      <x:c r="G697" s="4" t="n">
        <x:f>Despesas!F661</x:f>
        <x:v>46044</x:v>
      </x:c>
      <x:c r="H697" t="str">
        <x:f>Despesas!G661</x:f>
        <x:v>VLI PINTURA</x:v>
      </x:c>
      <x:c r="I697" t="str">
        <x:f>Despesas!H661</x:f>
        <x:v>13.1 - EPIS</x:v>
      </x:c>
      <x:c r="J697" s="5" t="n">
        <x:f>Despesas!I661</x:f>
        <x:v>3944.61</x:v>
      </x:c>
      <x:c r="K697" s="5" t="n">
        <x:f>0</x:f>
        <x:v>0</x:v>
      </x:c>
      <x:c r="L697" s="5" t="n">
        <x:f>Despesas!I661</x:f>
        <x:v>3944.61</x:v>
      </x:c>
      <x:c r="M697" s="5" t="n">
        <x:f>-J697</x:f>
        <x:v>-3944.61</x:v>
      </x:c>
    </x:row>
    <x:row r="698">
      <x:c r="A698" t="str">
        <x:f>"Despesa/Custo"</x:f>
        <x:v>Despesa/Custo</x:v>
      </x:c>
      <x:c r="B698" t="str">
        <x:f>Despesas!A662</x:f>
        <x:v>POWER EPI</x:v>
      </x:c>
      <x:c r="C698" t="str">
        <x:f>Despesas!B662</x:f>
        <x:v>72236</x:v>
      </x:c>
      <x:c r="D698" t="str">
        <x:f>Despesas!C662</x:f>
        <x:v>015500</x:v>
      </x:c>
      <x:c r="E698" t="str">
        <x:f>Despesas!D662</x:f>
        <x:v>EPIS</x:v>
      </x:c>
      <x:c r="F698" t="n">
        <x:f>Despesas!E662</x:f>
        <x:v>0</x:v>
      </x:c>
      <x:c r="G698" s="4" t="n">
        <x:f>Despesas!F662</x:f>
        <x:v>46044</x:v>
      </x:c>
      <x:c r="H698" t="str">
        <x:f>Despesas!G662</x:f>
        <x:v>VLI PINTURA</x:v>
      </x:c>
      <x:c r="I698" t="str">
        <x:f>Despesas!H662</x:f>
        <x:v>13.1 - EPIS</x:v>
      </x:c>
      <x:c r="J698" s="5" t="n">
        <x:f>Despesas!I662</x:f>
        <x:v>3944.61</x:v>
      </x:c>
      <x:c r="K698" s="5" t="n">
        <x:f>0</x:f>
        <x:v>0</x:v>
      </x:c>
      <x:c r="L698" s="5" t="n">
        <x:f>Despesas!I662</x:f>
        <x:v>3944.61</x:v>
      </x:c>
      <x:c r="M698" s="5" t="n">
        <x:f>-J698</x:f>
        <x:v>-3944.61</x:v>
      </x:c>
    </x:row>
    <x:row r="699">
      <x:c r="A699" t="str">
        <x:f>"Despesa/Custo"</x:f>
        <x:v>Despesa/Custo</x:v>
      </x:c>
      <x:c r="B699" t="str">
        <x:f>Despesas!A663</x:f>
        <x:v>POWER EPI</x:v>
      </x:c>
      <x:c r="C699" t="str">
        <x:f>Despesas!B663</x:f>
        <x:v>72236</x:v>
      </x:c>
      <x:c r="D699" t="str">
        <x:f>Despesas!C663</x:f>
        <x:v>015500</x:v>
      </x:c>
      <x:c r="E699" t="str">
        <x:f>Despesas!D663</x:f>
        <x:v>EPIS</x:v>
      </x:c>
      <x:c r="F699" t="n">
        <x:f>Despesas!E663</x:f>
        <x:v>0</x:v>
      </x:c>
      <x:c r="G699" s="4" t="n">
        <x:f>Despesas!F663</x:f>
        <x:v>46044</x:v>
      </x:c>
      <x:c r="H699" t="str">
        <x:f>Despesas!G663</x:f>
        <x:v>VLI PINTURA</x:v>
      </x:c>
      <x:c r="I699" t="str">
        <x:f>Despesas!H663</x:f>
        <x:v>13.1 - EPIS</x:v>
      </x:c>
      <x:c r="J699" s="5" t="n">
        <x:f>Despesas!I663</x:f>
        <x:v>3945.78</x:v>
      </x:c>
      <x:c r="K699" s="5" t="n">
        <x:f>0</x:f>
        <x:v>0</x:v>
      </x:c>
      <x:c r="L699" s="5" t="n">
        <x:f>Despesas!I663</x:f>
        <x:v>3945.78</x:v>
      </x:c>
      <x:c r="M699" s="5" t="n">
        <x:f>-J699</x:f>
        <x:v>-3945.78</x:v>
      </x:c>
    </x:row>
    <x:row r="700">
      <x:c r="A700" t="str">
        <x:f>"Despesa/Custo"</x:f>
        <x:v>Despesa/Custo</x:v>
      </x:c>
      <x:c r="B700" t="str">
        <x:f>Despesas!A664</x:f>
        <x:v>AC COSTA NETO - CONSTRUTORA E SERVICOS</x:v>
      </x:c>
      <x:c r="C700" t="str">
        <x:f>Despesas!B664</x:f>
        <x:v>1085</x:v>
      </x:c>
      <x:c r="D700" t="str">
        <x:f>Despesas!C664</x:f>
        <x:v>015501</x:v>
      </x:c>
      <x:c r="E700" t="str">
        <x:f>Despesas!D664</x:f>
        <x:v>MATERIAL ELÉTRICO</x:v>
      </x:c>
      <x:c r="F700" t="str">
        <x:f>Despesas!E664</x:f>
        <x:v>VENCIMENTO ORIGINAL DO BOLETO 20/02/26</x:v>
      </x:c>
      <x:c r="G700" s="4" t="n">
        <x:f>Despesas!F664</x:f>
        <x:v>46044</x:v>
      </x:c>
      <x:c r="H700" t="str">
        <x:f>Despesas!G664</x:f>
        <x:v>CONTRATO 02 ANOS MINERAÇÃO SERRA VERDE</x:v>
      </x:c>
      <x:c r="I700" t="str">
        <x:f>Despesas!H664</x:f>
        <x:v>8.8 - MATERIAL ELETRICO</x:v>
      </x:c>
      <x:c r="J700" s="5" t="n">
        <x:f>Despesas!I664</x:f>
        <x:v>42</x:v>
      </x:c>
      <x:c r="K700" s="5" t="n">
        <x:f>0</x:f>
        <x:v>0</x:v>
      </x:c>
      <x:c r="L700" s="5" t="n">
        <x:f>Despesas!I664</x:f>
        <x:v>42</x:v>
      </x:c>
      <x:c r="M700" s="5" t="n">
        <x:f>-J700</x:f>
        <x:v>-42</x:v>
      </x:c>
    </x:row>
    <x:row r="701">
      <x:c r="A701" t="str">
        <x:f>"Despesa/Custo"</x:f>
        <x:v>Despesa/Custo</x:v>
      </x:c>
      <x:c r="B701" t="str">
        <x:f>Despesas!A665</x:f>
        <x:v>PAPELARIA OBRAS</x:v>
      </x:c>
      <x:c r="C701" t="str">
        <x:f>Despesas!B665</x:f>
        <x:v>452</x:v>
      </x:c>
      <x:c r="D701" t="str">
        <x:f>Despesas!C665</x:f>
        <x:v>015552</x:v>
      </x:c>
      <x:c r="E701" t="str">
        <x:f>Despesas!D665</x:f>
        <x:v>ANA CLAUDIA MENEZES CNPJ 51281956/0001-40</x:v>
      </x:c>
      <x:c r="F701" t="str">
        <x:f>Despesas!E665</x:f>
        <x:v>CADERNOS MANUAL DE CONDUTA 200 UNIDADES</x:v>
      </x:c>
      <x:c r="G701" s="4" t="n">
        <x:f>Despesas!F665</x:f>
        <x:v>46044</x:v>
      </x:c>
      <x:c r="H701" t="str">
        <x:f>Despesas!G665</x:f>
        <x:v>ADMINISTRATIVO</x:v>
      </x:c>
      <x:c r="I701" t="str">
        <x:f>Despesas!H665</x:f>
        <x:v>3.9 - SERVIÇO GRAFICA / IMPRESSAO</x:v>
      </x:c>
      <x:c r="J701" s="5" t="n">
        <x:f>Despesas!I665</x:f>
        <x:v>2000</x:v>
      </x:c>
      <x:c r="K701" s="5" t="n">
        <x:f>0</x:f>
        <x:v>0</x:v>
      </x:c>
      <x:c r="L701" s="5" t="n">
        <x:f>Despesas!I665</x:f>
        <x:v>2000</x:v>
      </x:c>
      <x:c r="M701" s="5" t="n">
        <x:f>-J701</x:f>
        <x:v>-2000</x:v>
      </x:c>
    </x:row>
    <x:row r="702">
      <x:c r="A702" t="str">
        <x:f>"Despesa/Custo"</x:f>
        <x:v>Despesa/Custo</x:v>
      </x:c>
      <x:c r="B702" t="str">
        <x:f>Despesas!A666</x:f>
        <x:v>CARTAO CREDITO EDUARDO</x:v>
      </x:c>
      <x:c r="C702" t="str">
        <x:f>Despesas!B666</x:f>
        <x:v>5524</x:v>
      </x:c>
      <x:c r="D702" t="str">
        <x:f>Despesas!C666</x:f>
        <x:v>015553</x:v>
      </x:c>
      <x:c r="E702" t="str">
        <x:f>Despesas!D666</x:f>
        <x:v>4 LIXADEIRAS PNEUMATICAS PUMA</x:v>
      </x:c>
      <x:c r="F702" t="str">
        <x:f>Despesas!E666</x:f>
        <x:v>ITAÚ</x:v>
      </x:c>
      <x:c r="G702" s="4" t="n">
        <x:f>Despesas!F666</x:f>
        <x:v>46044</x:v>
      </x:c>
      <x:c r="H702" t="str">
        <x:f>Despesas!G666</x:f>
        <x:v>VLI PINTURA</x:v>
      </x:c>
      <x:c r="I702" t="str">
        <x:f>Despesas!H666</x:f>
        <x:v>8.5 - MAQUINAS / EQUIPAMENTOS</x:v>
      </x:c>
      <x:c r="J702" s="5" t="n">
        <x:f>Despesas!I666</x:f>
        <x:v>1483.43</x:v>
      </x:c>
      <x:c r="K702" s="5" t="n">
        <x:f>0</x:f>
        <x:v>0</x:v>
      </x:c>
      <x:c r="L702" s="5" t="n">
        <x:f>Despesas!I666</x:f>
        <x:v>1483.43</x:v>
      </x:c>
      <x:c r="M702" s="5" t="n">
        <x:f>-J702</x:f>
        <x:v>-1483.43</x:v>
      </x:c>
    </x:row>
    <x:row r="703">
      <x:c r="A703" t="str">
        <x:f>"Despesa/Custo"</x:f>
        <x:v>Despesa/Custo</x:v>
      </x:c>
      <x:c r="B703" t="str">
        <x:f>Despesas!A667</x:f>
        <x:v>CARTAO CREDITO EDUARDO</x:v>
      </x:c>
      <x:c r="C703" t="str">
        <x:f>Despesas!B667</x:f>
        <x:v>5524</x:v>
      </x:c>
      <x:c r="D703" t="str">
        <x:f>Despesas!C667</x:f>
        <x:v>015553</x:v>
      </x:c>
      <x:c r="E703" t="str">
        <x:f>Despesas!D667</x:f>
        <x:v>4 LIXADEIRAS PNEUMATICAS PUMA</x:v>
      </x:c>
      <x:c r="F703" t="str">
        <x:f>Despesas!E667</x:f>
        <x:v>ITAÚ</x:v>
      </x:c>
      <x:c r="G703" s="4" t="n">
        <x:f>Despesas!F667</x:f>
        <x:v>46044</x:v>
      </x:c>
      <x:c r="H703" t="str">
        <x:f>Despesas!G667</x:f>
        <x:v>VLI PINTURA</x:v>
      </x:c>
      <x:c r="I703" t="str">
        <x:f>Despesas!H667</x:f>
        <x:v>8.5 - MAQUINAS / EQUIPAMENTOS</x:v>
      </x:c>
      <x:c r="J703" s="5" t="n">
        <x:f>Despesas!I667</x:f>
        <x:v>1308.19</x:v>
      </x:c>
      <x:c r="K703" s="5" t="n">
        <x:f>0</x:f>
        <x:v>0</x:v>
      </x:c>
      <x:c r="L703" s="5" t="n">
        <x:f>Despesas!I667</x:f>
        <x:v>1308.19</x:v>
      </x:c>
      <x:c r="M703" s="5" t="n">
        <x:f>-J703</x:f>
        <x:v>-1308.19</x:v>
      </x:c>
    </x:row>
    <x:row r="704">
      <x:c r="A704" t="str">
        <x:f>"Despesa/Custo"</x:f>
        <x:v>Despesa/Custo</x:v>
      </x:c>
      <x:c r="B704" t="str">
        <x:f>Despesas!A668</x:f>
        <x:v>CARTAO CREDITO EDUARDO</x:v>
      </x:c>
      <x:c r="C704" t="str">
        <x:f>Despesas!B668</x:f>
        <x:v>5524</x:v>
      </x:c>
      <x:c r="D704" t="str">
        <x:f>Despesas!C668</x:f>
        <x:v>015553</x:v>
      </x:c>
      <x:c r="E704" t="str">
        <x:f>Despesas!D668</x:f>
        <x:v>4 LIXADEIRAS PNEUMATICAS PUMA</x:v>
      </x:c>
      <x:c r="F704" t="str">
        <x:f>Despesas!E668</x:f>
        <x:v>ITAÚ</x:v>
      </x:c>
      <x:c r="G704" s="4" t="n">
        <x:f>Despesas!F668</x:f>
        <x:v>46044</x:v>
      </x:c>
      <x:c r="H704" t="str">
        <x:f>Despesas!G668</x:f>
        <x:v>VLI PINTURA</x:v>
      </x:c>
      <x:c r="I704" t="str">
        <x:f>Despesas!H668</x:f>
        <x:v>8.5 - MAQUINAS / EQUIPAMENTOS</x:v>
      </x:c>
      <x:c r="J704" s="5" t="n">
        <x:f>Despesas!I668</x:f>
        <x:v>1308.19</x:v>
      </x:c>
      <x:c r="K704" s="5" t="n">
        <x:f>0</x:f>
        <x:v>0</x:v>
      </x:c>
      <x:c r="L704" s="5" t="n">
        <x:f>Despesas!I668</x:f>
        <x:v>1308.19</x:v>
      </x:c>
      <x:c r="M704" s="5" t="n">
        <x:f>-J704</x:f>
        <x:v>-1308.19</x:v>
      </x:c>
    </x:row>
    <x:row r="705">
      <x:c r="A705" t="str">
        <x:f>"Despesa/Custo"</x:f>
        <x:v>Despesa/Custo</x:v>
      </x:c>
      <x:c r="B705" t="str">
        <x:f>Despesas!A669</x:f>
        <x:v>CARTAO CREDITO EDUARDO</x:v>
      </x:c>
      <x:c r="C705" t="str">
        <x:f>Despesas!B669</x:f>
        <x:v>5524</x:v>
      </x:c>
      <x:c r="D705" t="str">
        <x:f>Despesas!C669</x:f>
        <x:v>015553</x:v>
      </x:c>
      <x:c r="E705" t="str">
        <x:f>Despesas!D669</x:f>
        <x:v>4 LIXADEIRAS PNEUMATICAS PUMA</x:v>
      </x:c>
      <x:c r="F705" t="str">
        <x:f>Despesas!E669</x:f>
        <x:v>ITAÚ</x:v>
      </x:c>
      <x:c r="G705" s="4" t="n">
        <x:f>Despesas!F669</x:f>
        <x:v>46044</x:v>
      </x:c>
      <x:c r="H705" t="str">
        <x:f>Despesas!G669</x:f>
        <x:v>VLI PINTURA</x:v>
      </x:c>
      <x:c r="I705" t="str">
        <x:f>Despesas!H669</x:f>
        <x:v>8.5 - MAQUINAS / EQUIPAMENTOS</x:v>
      </x:c>
      <x:c r="J705" s="5" t="n">
        <x:f>Despesas!I669</x:f>
        <x:v>1308.19</x:v>
      </x:c>
      <x:c r="K705" s="5" t="n">
        <x:f>0</x:f>
        <x:v>0</x:v>
      </x:c>
      <x:c r="L705" s="5" t="n">
        <x:f>Despesas!I669</x:f>
        <x:v>1308.19</x:v>
      </x:c>
      <x:c r="M705" s="5" t="n">
        <x:f>-J705</x:f>
        <x:v>-1308.19</x:v>
      </x:c>
    </x:row>
    <x:row r="706">
      <x:c r="A706" t="str">
        <x:f>"Despesa/Custo"</x:f>
        <x:v>Despesa/Custo</x:v>
      </x:c>
      <x:c r="B706" t="str">
        <x:f>Despesas!A670</x:f>
        <x:v>G17 AUTO POSTO LTDA</x:v>
      </x:c>
      <x:c r="C706" t="str">
        <x:f>Despesas!B670</x:f>
        <x:v>45</x:v>
      </x:c>
      <x:c r="D706" t="str">
        <x:f>Despesas!C670</x:f>
        <x:v>015768</x:v>
      </x:c>
      <x:c r="E706" t="str">
        <x:f>Despesas!D670</x:f>
        <x:v>COMBUSTIVEL RICARDO</x:v>
      </x:c>
      <x:c r="F706" t="str">
        <x:f>Despesas!E670</x:f>
        <x:v>REEM RICARDO RODRIGUES</x:v>
      </x:c>
      <x:c r="G706" s="4" t="n">
        <x:f>Despesas!F670</x:f>
        <x:v>46044</x:v>
      </x:c>
      <x:c r="H706" t="str">
        <x:f>Despesas!G670</x:f>
        <x:v>GASTOS COMERCIAIS</x:v>
      </x:c>
      <x:c r="I706" t="str">
        <x:f>Despesas!H670</x:f>
        <x:v>6.4 - COMBUSTIVEL VEICULOS</x:v>
      </x:c>
      <x:c r="J706" s="5" t="n">
        <x:f>Despesas!I670</x:f>
        <x:v>200</x:v>
      </x:c>
      <x:c r="K706" s="5" t="n">
        <x:f>0</x:f>
        <x:v>0</x:v>
      </x:c>
      <x:c r="L706" s="5" t="n">
        <x:f>Despesas!I670</x:f>
        <x:v>200</x:v>
      </x:c>
      <x:c r="M706" s="5" t="n">
        <x:f>-J706</x:f>
        <x:v>-200</x:v>
      </x:c>
    </x:row>
    <x:row r="707">
      <x:c r="A707" t="str">
        <x:f>"Despesa/Custo"</x:f>
        <x:v>Despesa/Custo</x:v>
      </x:c>
      <x:c r="B707" t="str">
        <x:f>Despesas!A671</x:f>
        <x:v>DESPESAS DE VIAGEM</x:v>
      </x:c>
      <x:c r="C707" t="n">
        <x:f>Despesas!B671</x:f>
        <x:v>0</x:v>
      </x:c>
      <x:c r="D707" t="str">
        <x:f>Despesas!C671</x:f>
        <x:v>015770</x:v>
      </x:c>
      <x:c r="E707" t="str">
        <x:f>Despesas!D671</x:f>
        <x:v>DESPESA DE VIAGEM - PATRYCK DA SILVA</x:v>
      </x:c>
      <x:c r="F707" t="str">
        <x:f>Despesas!E671</x:f>
        <x:v>PATRYCK DA SILVA</x:v>
      </x:c>
      <x:c r="G707" s="4" t="n">
        <x:f>Despesas!F671</x:f>
        <x:v>46044</x:v>
      </x:c>
      <x:c r="H707" t="str">
        <x:f>Despesas!G671</x:f>
        <x:v>NIOBIO CMOC CONTRATO</x:v>
      </x:c>
      <x:c r="I707" t="str">
        <x:f>Despesas!H671</x:f>
        <x:v>12.9 - PASSAGENS FUNCIONARIOS</x:v>
      </x:c>
      <x:c r="J707" s="5" t="n">
        <x:f>Despesas!I671</x:f>
        <x:v>200</x:v>
      </x:c>
      <x:c r="K707" s="5" t="n">
        <x:f>0</x:f>
        <x:v>0</x:v>
      </x:c>
      <x:c r="L707" s="5" t="n">
        <x:f>Despesas!I671</x:f>
        <x:v>200</x:v>
      </x:c>
      <x:c r="M707" s="5" t="n">
        <x:f>-J707</x:f>
        <x:v>-200</x:v>
      </x:c>
    </x:row>
    <x:row r="708">
      <x:c r="A708" t="str">
        <x:f>"Despesa/Custo"</x:f>
        <x:v>Despesa/Custo</x:v>
      </x:c>
      <x:c r="B708" t="str">
        <x:f>Despesas!A672</x:f>
        <x:v>GOOGLE INTERNET LTDA</x:v>
      </x:c>
      <x:c r="C708" t="n">
        <x:f>Despesas!B672</x:f>
        <x:v>0</x:v>
      </x:c>
      <x:c r="D708" t="str">
        <x:f>Despesas!C672</x:f>
        <x:v>015771</x:v>
      </x:c>
      <x:c r="E708" t="str">
        <x:f>Despesas!D672</x:f>
        <x:v>TRAFEGO PAGO GOOGLE</x:v>
      </x:c>
      <x:c r="F708" t="str">
        <x:f>Despesas!E672</x:f>
        <x:v>PIX COPIA E COLA</x:v>
      </x:c>
      <x:c r="G708" s="4" t="n">
        <x:f>Despesas!F672</x:f>
        <x:v>46044</x:v>
      </x:c>
      <x:c r="H708" t="str">
        <x:f>Despesas!G672</x:f>
        <x:v>GASTOS COMERCIAIS</x:v>
      </x:c>
      <x:c r="I708" t="str">
        <x:f>Despesas!H672</x:f>
        <x:v>3.5 - SERVIÇO GOOGLE ADS</x:v>
      </x:c>
      <x:c r="J708" s="5" t="n">
        <x:f>Despesas!I672</x:f>
        <x:v>100</x:v>
      </x:c>
      <x:c r="K708" s="5" t="n">
        <x:f>0</x:f>
        <x:v>0</x:v>
      </x:c>
      <x:c r="L708" s="5" t="n">
        <x:f>Despesas!I672</x:f>
        <x:v>100</x:v>
      </x:c>
      <x:c r="M708" s="5" t="n">
        <x:f>-J708</x:f>
        <x:v>-100</x:v>
      </x:c>
    </x:row>
    <x:row r="709">
      <x:c r="A709" t="str">
        <x:f>"Despesa/Custo"</x:f>
        <x:v>Despesa/Custo</x:v>
      </x:c>
      <x:c r="B709" t="str">
        <x:f>Despesas!A673</x:f>
        <x:v>CLINICA OBRAS</x:v>
      </x:c>
      <x:c r="C709" t="n">
        <x:f>Despesas!B673</x:f>
        <x:v>0</x:v>
      </x:c>
      <x:c r="D709" t="str">
        <x:f>Despesas!C673</x:f>
        <x:v>015773</x:v>
      </x:c>
      <x:c r="E709" t="str">
        <x:f>Despesas!D673</x:f>
        <x:v>ASO - COLABORADOR RENOVAÇÃO</x:v>
      </x:c>
      <x:c r="F709" t="str">
        <x:f>Despesas!E673</x:f>
        <x:v>PIX CLINICA CMS ASSESSORIA EM SEGURANÇA</x:v>
      </x:c>
      <x:c r="G709" s="4" t="n">
        <x:f>Despesas!F673</x:f>
        <x:v>46044</x:v>
      </x:c>
      <x:c r="H709" t="str">
        <x:f>Despesas!G673</x:f>
        <x:v>EUROCHEM SERRA DO SALITRE</x:v>
      </x:c>
      <x:c r="I709" t="str">
        <x:f>Despesas!H673</x:f>
        <x:v>14.1 - EXAMES</x:v>
      </x:c>
      <x:c r="J709" s="5" t="n">
        <x:f>Despesas!I673</x:f>
        <x:v>454</x:v>
      </x:c>
      <x:c r="K709" s="5" t="n">
        <x:f>0</x:f>
        <x:v>0</x:v>
      </x:c>
      <x:c r="L709" s="5" t="n">
        <x:f>Despesas!I673</x:f>
        <x:v>454</x:v>
      </x:c>
      <x:c r="M709" s="5" t="n">
        <x:f>-J709</x:f>
        <x:v>-454</x:v>
      </x:c>
    </x:row>
    <x:row r="710">
      <x:c r="A710" t="str">
        <x:f>"Despesa/Custo"</x:f>
        <x:v>Despesa/Custo</x:v>
      </x:c>
      <x:c r="B710" t="str">
        <x:f>Despesas!A674</x:f>
        <x:v>BANCO CAIXA</x:v>
      </x:c>
      <x:c r="C710" t="n">
        <x:f>Despesas!B674</x:f>
        <x:v>0</x:v>
      </x:c>
      <x:c r="D710" t="str">
        <x:f>Despesas!C674</x:f>
        <x:v>016008</x:v>
      </x:c>
      <x:c r="E710" t="str">
        <x:f>Despesas!D674</x:f>
        <x:v>DEB TARIFA</x:v>
      </x:c>
      <x:c r="F710" t="str">
        <x:f>Despesas!E674</x:f>
        <x:v>Documento gerado a partir do Mov. 017560</x:v>
      </x:c>
      <x:c r="G710" s="4" t="n">
        <x:f>Despesas!F674</x:f>
        <x:v>46044</x:v>
      </x:c>
      <x:c r="H710" t="str">
        <x:f>Despesas!G674</x:f>
        <x:v>ADMINISTRATIVO</x:v>
      </x:c>
      <x:c r="I710" t="str">
        <x:f>Despesas!H674</x:f>
        <x:v>18.2 - TARIFAS BANCARIAS</x:v>
      </x:c>
      <x:c r="J710" s="5" t="n">
        <x:f>Despesas!I674</x:f>
        <x:v>86.8</x:v>
      </x:c>
      <x:c r="K710" s="5" t="n">
        <x:f>0</x:f>
        <x:v>0</x:v>
      </x:c>
      <x:c r="L710" s="5" t="n">
        <x:f>Despesas!I674</x:f>
        <x:v>86.8</x:v>
      </x:c>
      <x:c r="M710" s="5" t="n">
        <x:f>-J710</x:f>
        <x:v>-86.8</x:v>
      </x:c>
    </x:row>
    <x:row r="711">
      <x:c r="A711" t="str">
        <x:f>"Despesa/Custo"</x:f>
        <x:v>Despesa/Custo</x:v>
      </x:c>
      <x:c r="B711" t="str">
        <x:f>Despesas!A675</x:f>
        <x:v>INTERNET OBRAS</x:v>
      </x:c>
      <x:c r="C711" t="n">
        <x:f>Despesas!B675</x:f>
        <x:v>0</x:v>
      </x:c>
      <x:c r="D711" t="str">
        <x:f>Despesas!C675</x:f>
        <x:v>014983</x:v>
      </x:c>
      <x:c r="E711" t="str">
        <x:f>Despesas!D675</x:f>
        <x:v>INTERNET PARCERIA EUROCHEM SERRA</x:v>
      </x:c>
      <x:c r="F711" t="str">
        <x:f>Despesas!E675</x:f>
        <x:v>JOSE DHYEGO DE SOUSA BRANDAÃO 13 9 9635-9823</x:v>
      </x:c>
      <x:c r="G711" s="4" t="n">
        <x:f>Despesas!F675</x:f>
        <x:v>46045</x:v>
      </x:c>
      <x:c r="H711" t="str">
        <x:f>Despesas!G675</x:f>
        <x:v>EUROCHEM SERRA DO SALITRE</x:v>
      </x:c>
      <x:c r="I711" t="str">
        <x:f>Despesas!H675</x:f>
        <x:v>11.14 - INTERNET OBRAS</x:v>
      </x:c>
      <x:c r="J711" s="5" t="n">
        <x:f>Despesas!I675</x:f>
        <x:v>200</x:v>
      </x:c>
      <x:c r="K711" s="5" t="n">
        <x:f>0</x:f>
        <x:v>0</x:v>
      </x:c>
      <x:c r="L711" s="5" t="n">
        <x:f>Despesas!I675</x:f>
        <x:v>200</x:v>
      </x:c>
      <x:c r="M711" s="5" t="n">
        <x:f>-J711</x:f>
        <x:v>-200</x:v>
      </x:c>
    </x:row>
    <x:row r="712">
      <x:c r="A712" t="str">
        <x:f>"Despesa/Custo"</x:f>
        <x:v>Despesa/Custo</x:v>
      </x:c>
      <x:c r="B712" t="str">
        <x:f>Despesas!A676</x:f>
        <x:v>MARIA DA FE VIDAL PASCOA COMBUSTIVEIS LTDA</x:v>
      </x:c>
      <x:c r="C712" t="str">
        <x:f>Despesas!B676</x:f>
        <x:v>161</x:v>
      </x:c>
      <x:c r="D712" t="str">
        <x:f>Despesas!C676</x:f>
        <x:v>015551</x:v>
      </x:c>
      <x:c r="E712" t="str">
        <x:f>Despesas!D676</x:f>
        <x:v>COMBUSTIVEL VEICULOS</x:v>
      </x:c>
      <x:c r="F712" t="str">
        <x:f>Despesas!E676</x:f>
        <x:v>MARIA DA FE VIDAL PASCOA - PIX 07.430.239/0001-40</x:v>
      </x:c>
      <x:c r="G712" s="4" t="n">
        <x:f>Despesas!F676</x:f>
        <x:v>46045</x:v>
      </x:c>
      <x:c r="H712" t="str">
        <x:f>Despesas!G676</x:f>
        <x:v>SERENA 10 TORRES 2025</x:v>
      </x:c>
      <x:c r="I712" t="str">
        <x:f>Despesas!H676</x:f>
        <x:v>6.4 - COMBUSTIVEL VEICULOS</x:v>
      </x:c>
      <x:c r="J712" s="5" t="n">
        <x:f>Despesas!I676</x:f>
        <x:v>927.61</x:v>
      </x:c>
      <x:c r="K712" s="5" t="n">
        <x:f>0</x:f>
        <x:v>0</x:v>
      </x:c>
      <x:c r="L712" s="5" t="n">
        <x:f>Despesas!I676</x:f>
        <x:v>927.61</x:v>
      </x:c>
      <x:c r="M712" s="5" t="n">
        <x:f>-J712</x:f>
        <x:v>-927.61</x:v>
      </x:c>
    </x:row>
    <x:row r="713">
      <x:c r="A713" t="str">
        <x:f>"Despesa/Custo"</x:f>
        <x:v>Despesa/Custo</x:v>
      </x:c>
      <x:c r="B713" t="str">
        <x:f>Despesas!A677</x:f>
        <x:v>IDELFONSO SOARES DOS REIS - ME</x:v>
      </x:c>
      <x:c r="C713" t="str">
        <x:f>Despesas!B677</x:f>
        <x:v>4677</x:v>
      </x:c>
      <x:c r="D713" t="str">
        <x:f>Despesas!C677</x:f>
        <x:v>015555</x:v>
      </x:c>
      <x:c r="E713" t="str">
        <x:f>Despesas!D677</x:f>
        <x:v>FERRAGISTA MADRI</x:v>
      </x:c>
      <x:c r="F713" t="str">
        <x:f>Despesas!E677</x:f>
        <x:v>BOLETO  VENC 04/02/2026</x:v>
      </x:c>
      <x:c r="G713" s="4" t="n">
        <x:f>Despesas!F677</x:f>
        <x:v>46045</x:v>
      </x:c>
      <x:c r="H713" t="str">
        <x:f>Despesas!G677</x:f>
        <x:v>NIOBIO CMOC CONTRATO</x:v>
      </x:c>
      <x:c r="I713" t="str">
        <x:f>Despesas!H677</x:f>
        <x:v>8.9 - MATERIAIS DE CONSUMO EM OBRAS</x:v>
      </x:c>
      <x:c r="J713" s="5" t="n">
        <x:f>Despesas!I677</x:f>
        <x:v>293.1</x:v>
      </x:c>
      <x:c r="K713" s="5" t="n">
        <x:f>0</x:f>
        <x:v>0</x:v>
      </x:c>
      <x:c r="L713" s="5" t="n">
        <x:f>Despesas!I677</x:f>
        <x:v>293.1</x:v>
      </x:c>
      <x:c r="M713" s="5" t="n">
        <x:f>-J713</x:f>
        <x:v>-293.1</x:v>
      </x:c>
    </x:row>
    <x:row r="714">
      <x:c r="A714" t="str">
        <x:f>"Despesa/Custo"</x:f>
        <x:v>Despesa/Custo</x:v>
      </x:c>
      <x:c r="B714" t="str">
        <x:f>Despesas!A678</x:f>
        <x:v>IDELFONSO SOARES DOS REIS - ME</x:v>
      </x:c>
      <x:c r="C714" t="str">
        <x:f>Despesas!B678</x:f>
        <x:v>4678</x:v>
      </x:c>
      <x:c r="D714" t="str">
        <x:f>Despesas!C678</x:f>
        <x:v>015556</x:v>
      </x:c>
      <x:c r="E714" t="str">
        <x:f>Despesas!D678</x:f>
        <x:v>FERRAMENTAS MANUAIS</x:v>
      </x:c>
      <x:c r="F714" t="n">
        <x:f>Despesas!E678</x:f>
        <x:v>0</x:v>
      </x:c>
      <x:c r="G714" s="4" t="n">
        <x:f>Despesas!F678</x:f>
        <x:v>46045</x:v>
      </x:c>
      <x:c r="H714" t="str">
        <x:f>Despesas!G678</x:f>
        <x:v>CONTRATO 02 ANOS MINERAÇÃO SERRA VERDE</x:v>
      </x:c>
      <x:c r="I714" t="str">
        <x:f>Despesas!H678</x:f>
        <x:v>8.6 - MATERIAIS / FERRAMENTAS  MANUAIS</x:v>
      </x:c>
      <x:c r="J714" s="5" t="n">
        <x:f>Despesas!I678</x:f>
        <x:v>630</x:v>
      </x:c>
      <x:c r="K714" s="5" t="n">
        <x:f>0</x:f>
        <x:v>0</x:v>
      </x:c>
      <x:c r="L714" s="5" t="n">
        <x:f>Despesas!I678</x:f>
        <x:v>630</x:v>
      </x:c>
      <x:c r="M714" s="5" t="n">
        <x:f>-J714</x:f>
        <x:v>-630</x:v>
      </x:c>
    </x:row>
    <x:row r="715">
      <x:c r="A715" t="str">
        <x:f>"Despesa/Custo"</x:f>
        <x:v>Despesa/Custo</x:v>
      </x:c>
      <x:c r="B715" t="str">
        <x:f>Despesas!A679</x:f>
        <x:v>MAGNO</x:v>
      </x:c>
      <x:c r="C715" t="n">
        <x:f>Despesas!B679</x:f>
        <x:v>0</x:v>
      </x:c>
      <x:c r="D715" t="str">
        <x:f>Despesas!C679</x:f>
        <x:v>015557</x:v>
      </x:c>
      <x:c r="E715" t="str">
        <x:f>Despesas!D679</x:f>
        <x:v>PRESTAÇÃO DE CONTA MAGNO</x:v>
      </x:c>
      <x:c r="F715" t="str">
        <x:f>Despesas!E679</x:f>
        <x:v>REEMBOLSO MAGNO</x:v>
      </x:c>
      <x:c r="G715" s="4" t="n">
        <x:f>Despesas!F679</x:f>
        <x:v>46045</x:v>
      </x:c>
      <x:c r="H715" t="str">
        <x:f>Despesas!G679</x:f>
        <x:v>MOSAIC UBERABA CONTRAT0 3 ANOS</x:v>
      </x:c>
      <x:c r="I715" t="str">
        <x:f>Despesas!H679</x:f>
        <x:v>12.5 - REFEIÇÕES FUNCIONARIOS</x:v>
      </x:c>
      <x:c r="J715" s="5" t="n">
        <x:f>Despesas!I679</x:f>
        <x:v>221.5</x:v>
      </x:c>
      <x:c r="K715" s="5" t="n">
        <x:f>0</x:f>
        <x:v>0</x:v>
      </x:c>
      <x:c r="L715" s="5" t="n">
        <x:f>Despesas!I679</x:f>
        <x:v>221.5</x:v>
      </x:c>
      <x:c r="M715" s="5" t="n">
        <x:f>-J715</x:f>
        <x:v>-221.5</x:v>
      </x:c>
    </x:row>
    <x:row r="716">
      <x:c r="A716" t="str">
        <x:f>"Despesa/Custo"</x:f>
        <x:v>Despesa/Custo</x:v>
      </x:c>
      <x:c r="B716" t="str">
        <x:f>Despesas!A680</x:f>
        <x:v>MAGNO</x:v>
      </x:c>
      <x:c r="C716" t="n">
        <x:f>Despesas!B680</x:f>
        <x:v>0</x:v>
      </x:c>
      <x:c r="D716" t="str">
        <x:f>Despesas!C680</x:f>
        <x:v>015557</x:v>
      </x:c>
      <x:c r="E716" t="str">
        <x:f>Despesas!D680</x:f>
        <x:v>PRESTAÇÃO DE CONTA MAGNO</x:v>
      </x:c>
      <x:c r="F716" t="str">
        <x:f>Despesas!E680</x:f>
        <x:v>REEMBOLSO MAGNO</x:v>
      </x:c>
      <x:c r="G716" s="4" t="n">
        <x:f>Despesas!F680</x:f>
        <x:v>46045</x:v>
      </x:c>
      <x:c r="H716" t="str">
        <x:f>Despesas!G680</x:f>
        <x:v>MOSAIC UBERABA CONTRAT0 3 ANOS</x:v>
      </x:c>
      <x:c r="I716" t="str">
        <x:f>Despesas!H680</x:f>
        <x:v>8.11 - MATERIAIS DE LIMPEZA / HIGIENE</x:v>
      </x:c>
      <x:c r="J716" s="5" t="n">
        <x:f>Despesas!I680</x:f>
        <x:v>283.1</x:v>
      </x:c>
      <x:c r="K716" s="5" t="n">
        <x:f>0</x:f>
        <x:v>0</x:v>
      </x:c>
      <x:c r="L716" s="5" t="n">
        <x:f>Despesas!I680</x:f>
        <x:v>283.1</x:v>
      </x:c>
      <x:c r="M716" s="5" t="n">
        <x:f>-J716</x:f>
        <x:v>-283.1</x:v>
      </x:c>
    </x:row>
    <x:row r="717">
      <x:c r="A717" t="str">
        <x:f>"Despesa/Custo"</x:f>
        <x:v>Despesa/Custo</x:v>
      </x:c>
      <x:c r="B717" t="str">
        <x:f>Despesas!A681</x:f>
        <x:v>MAGNO</x:v>
      </x:c>
      <x:c r="C717" t="n">
        <x:f>Despesas!B681</x:f>
        <x:v>0</x:v>
      </x:c>
      <x:c r="D717" t="str">
        <x:f>Despesas!C681</x:f>
        <x:v>015558</x:v>
      </x:c>
      <x:c r="E717" t="str">
        <x:f>Despesas!D681</x:f>
        <x:v>PRESTAÇÃO DE CONTA MAGNO</x:v>
      </x:c>
      <x:c r="F717" t="str">
        <x:f>Despesas!E681</x:f>
        <x:v>REEMBOLSO FUNCIONARIO</x:v>
      </x:c>
      <x:c r="G717" s="4" t="n">
        <x:f>Despesas!F681</x:f>
        <x:v>46045</x:v>
      </x:c>
      <x:c r="H717" t="str">
        <x:f>Despesas!G681</x:f>
        <x:v>CMOC CUBATÃO</x:v>
      </x:c>
      <x:c r="I717" t="str">
        <x:f>Despesas!H681</x:f>
        <x:v>8.14 - MANUTENÇÃO/PEÇAS MAQUINAS E EQUIPAMENTOS</x:v>
      </x:c>
      <x:c r="J717" s="5" t="n">
        <x:f>Despesas!I681</x:f>
        <x:v>40</x:v>
      </x:c>
      <x:c r="K717" s="5" t="n">
        <x:f>0</x:f>
        <x:v>0</x:v>
      </x:c>
      <x:c r="L717" s="5" t="n">
        <x:f>Despesas!I681</x:f>
        <x:v>40</x:v>
      </x:c>
      <x:c r="M717" s="5" t="n">
        <x:f>-J717</x:f>
        <x:v>-40</x:v>
      </x:c>
    </x:row>
    <x:row r="718">
      <x:c r="A718" t="str">
        <x:f>"Despesa/Custo"</x:f>
        <x:v>Despesa/Custo</x:v>
      </x:c>
      <x:c r="B718" t="str">
        <x:f>Despesas!A682</x:f>
        <x:v>UNIODONTO UBERABA - COOP. DE ASSISTENCIA A SAUDE ODONTOLOGICA LTDA</x:v>
      </x:c>
      <x:c r="C718" t="str">
        <x:f>Despesas!B682</x:f>
        <x:v>2532</x:v>
      </x:c>
      <x:c r="D718" t="str">
        <x:f>Despesas!C682</x:f>
        <x:v>015559</x:v>
      </x:c>
      <x:c r="E718" t="str">
        <x:f>Despesas!D682</x:f>
        <x:v>PLANO ODONTOLÓGICO REF. 01/2026</x:v>
      </x:c>
      <x:c r="F718" t="n">
        <x:f>Despesas!E682</x:f>
        <x:v>0</x:v>
      </x:c>
      <x:c r="G718" s="4" t="n">
        <x:f>Despesas!F682</x:f>
        <x:v>46045</x:v>
      </x:c>
      <x:c r="H718" t="str">
        <x:f>Despesas!G682</x:f>
        <x:v>MOSAIC UBERABA CONTRAT0 3 ANOS</x:v>
      </x:c>
      <x:c r="I718" t="str">
        <x:f>Despesas!H682</x:f>
        <x:v>12.10 - PLANO DE SAUDE</x:v>
      </x:c>
      <x:c r="J718" s="5" t="n">
        <x:f>Despesas!I682</x:f>
        <x:v>301</x:v>
      </x:c>
      <x:c r="K718" s="5" t="n">
        <x:f>0</x:f>
        <x:v>0</x:v>
      </x:c>
      <x:c r="L718" s="5" t="n">
        <x:f>Despesas!I682</x:f>
        <x:v>301</x:v>
      </x:c>
      <x:c r="M718" s="5" t="n">
        <x:f>-J718</x:f>
        <x:v>-301</x:v>
      </x:c>
    </x:row>
    <x:row r="719">
      <x:c r="A719" t="str">
        <x:f>"Despesa/Custo"</x:f>
        <x:v>Despesa/Custo</x:v>
      </x:c>
      <x:c r="B719" t="str">
        <x:f>Despesas!A683</x:f>
        <x:v>VAN OBRAS</x:v>
      </x:c>
      <x:c r="C719" t="n">
        <x:f>Despesas!B683</x:f>
        <x:v>0</x:v>
      </x:c>
      <x:c r="D719" t="str">
        <x:f>Despesas!C683</x:f>
        <x:v>015560</x:v>
      </x:c>
      <x:c r="E719" t="str">
        <x:f>Despesas!D683</x:f>
        <x:v>JULIO CESAR DE OLIVEIRA QUEIROZ - PIX 416.142.593-72</x:v>
      </x:c>
      <x:c r="F719" t="str">
        <x:f>Despesas!E683</x:f>
        <x:v>TRANSPORTE COLABORADORES 20/12 A 20/01/206</x:v>
      </x:c>
      <x:c r="G719" s="4" t="n">
        <x:f>Despesas!F683</x:f>
        <x:v>46045</x:v>
      </x:c>
      <x:c r="H719" t="str">
        <x:f>Despesas!G683</x:f>
        <x:v>VLI PINTURA</x:v>
      </x:c>
      <x:c r="I719" t="str">
        <x:f>Despesas!H683</x:f>
        <x:v>12.7 - TRANSPORTE FUNCIONARIOS</x:v>
      </x:c>
      <x:c r="J719" s="5" t="n">
        <x:f>Despesas!I683</x:f>
        <x:v>2600</x:v>
      </x:c>
      <x:c r="K719" s="5" t="n">
        <x:f>0</x:f>
        <x:v>0</x:v>
      </x:c>
      <x:c r="L719" s="5" t="n">
        <x:f>Despesas!I683</x:f>
        <x:v>2600</x:v>
      </x:c>
      <x:c r="M719" s="5" t="n">
        <x:f>-J719</x:f>
        <x:v>-2600</x:v>
      </x:c>
    </x:row>
    <x:row r="720">
      <x:c r="A720" t="str">
        <x:f>"Despesa/Custo"</x:f>
        <x:v>Despesa/Custo</x:v>
      </x:c>
      <x:c r="B720" t="str">
        <x:f>Despesas!A684</x:f>
        <x:v>REFEIÇÃO OBRAS</x:v>
      </x:c>
      <x:c r="C720" t="n">
        <x:f>Despesas!B684</x:f>
        <x:v>0</x:v>
      </x:c>
      <x:c r="D720" t="str">
        <x:f>Despesas!C684</x:f>
        <x:v>015561</x:v>
      </x:c>
      <x:c r="E720" t="str">
        <x:f>Despesas!D684</x:f>
        <x:v>CAIO VINICIOS PEREI - PIX (62) 9 8231-2127</x:v>
      </x:c>
      <x:c r="F720" t="str">
        <x:f>Despesas!E684</x:f>
        <x:v>REFEIÇÕES FUNCIONÁRIOS</x:v>
      </x:c>
      <x:c r="G720" s="4" t="n">
        <x:f>Despesas!F684</x:f>
        <x:v>46045</x:v>
      </x:c>
      <x:c r="H720" t="str">
        <x:f>Despesas!G684</x:f>
        <x:v>ANGLO AMERICAN</x:v>
      </x:c>
      <x:c r="I720" t="str">
        <x:f>Despesas!H684</x:f>
        <x:v>12.5 - REFEIÇÕES FUNCIONARIOS</x:v>
      </x:c>
      <x:c r="J720" s="5" t="n">
        <x:f>Despesas!I684</x:f>
        <x:v>150</x:v>
      </x:c>
      <x:c r="K720" s="5" t="n">
        <x:f>0</x:f>
        <x:v>0</x:v>
      </x:c>
      <x:c r="L720" s="5" t="n">
        <x:f>Despesas!I684</x:f>
        <x:v>150</x:v>
      </x:c>
      <x:c r="M720" s="5" t="n">
        <x:f>-J720</x:f>
        <x:v>-150</x:v>
      </x:c>
    </x:row>
    <x:row r="721">
      <x:c r="A721" t="str">
        <x:f>"Despesa/Custo"</x:f>
        <x:v>Despesa/Custo</x:v>
      </x:c>
      <x:c r="B721" t="str">
        <x:f>Despesas!A685</x:f>
        <x:v>UBER JULIANO</x:v>
      </x:c>
      <x:c r="C721" t="n">
        <x:f>Despesas!B685</x:f>
        <x:v>0</x:v>
      </x:c>
      <x:c r="D721" t="str">
        <x:f>Despesas!C685</x:f>
        <x:v>015562</x:v>
      </x:c>
      <x:c r="E721" t="str">
        <x:f>Despesas!D685</x:f>
        <x:v>ARTHUR RODRIGUES SEIDEMAN - PIX (64) 9 9302-3866</x:v>
      </x:c>
      <x:c r="F721" t="str">
        <x:f>Despesas!E685</x:f>
        <x:v>TRANSPORTE COLABORADORES REF. 18/01 A 23/01</x:v>
      </x:c>
      <x:c r="G721" s="4" t="n">
        <x:f>Despesas!F685</x:f>
        <x:v>46045</x:v>
      </x:c>
      <x:c r="H721" t="str">
        <x:f>Despesas!G685</x:f>
        <x:v>FOSFATO CMOC CONTRAT</x:v>
      </x:c>
      <x:c r="I721" t="str">
        <x:f>Despesas!H685</x:f>
        <x:v>12.7 - TRANSPORTE FUNCIONARIOS</x:v>
      </x:c>
      <x:c r="J721" s="5" t="n">
        <x:f>Despesas!I685</x:f>
        <x:v>210</x:v>
      </x:c>
      <x:c r="K721" s="5" t="n">
        <x:f>0</x:f>
        <x:v>0</x:v>
      </x:c>
      <x:c r="L721" s="5" t="n">
        <x:f>Despesas!I685</x:f>
        <x:v>210</x:v>
      </x:c>
      <x:c r="M721" s="5" t="n">
        <x:f>-J721</x:f>
        <x:v>-210</x:v>
      </x:c>
    </x:row>
    <x:row r="722">
      <x:c r="A722" t="str">
        <x:f>"Despesa/Custo"</x:f>
        <x:v>Despesa/Custo</x:v>
      </x:c>
      <x:c r="B722" t="str">
        <x:f>Despesas!A686</x:f>
        <x:v>ENCOMENDA DE CATALAO</x:v>
      </x:c>
      <x:c r="C722" t="n">
        <x:f>Despesas!B686</x:f>
        <x:v>0</x:v>
      </x:c>
      <x:c r="D722" t="str">
        <x:f>Despesas!C686</x:f>
        <x:v>015564</x:v>
      </x:c>
      <x:c r="E722" t="str">
        <x:f>Despesas!D686</x:f>
        <x:v>GABRIELLE ELIAS DE FREITAS - PIX (64) 9 9259-1215</x:v>
      </x:c>
      <x:c r="F722" t="str">
        <x:f>Despesas!E686</x:f>
        <x:v>ENCOMENDA GOIANIA X CATALÃO</x:v>
      </x:c>
      <x:c r="G722" s="4" t="n">
        <x:f>Despesas!F686</x:f>
        <x:v>46045</x:v>
      </x:c>
      <x:c r="H722" t="str">
        <x:f>Despesas!G686</x:f>
        <x:v>FOSFATO CMOC CONTRAT</x:v>
      </x:c>
      <x:c r="I722" t="str">
        <x:f>Despesas!H686</x:f>
        <x:v>10.1 - FRETE MATERIAIS E EQUIPAMENTOS</x:v>
      </x:c>
      <x:c r="J722" s="5" t="n">
        <x:f>Despesas!I686</x:f>
        <x:v>150</x:v>
      </x:c>
      <x:c r="K722" s="5" t="n">
        <x:f>0</x:f>
        <x:v>0</x:v>
      </x:c>
      <x:c r="L722" s="5" t="n">
        <x:f>Despesas!I686</x:f>
        <x:v>150</x:v>
      </x:c>
      <x:c r="M722" s="5" t="n">
        <x:f>-J722</x:f>
        <x:v>-150</x:v>
      </x:c>
    </x:row>
    <x:row r="723">
      <x:c r="A723" t="str">
        <x:f>"Despesa/Custo"</x:f>
        <x:v>Despesa/Custo</x:v>
      </x:c>
      <x:c r="B723" t="str">
        <x:f>Despesas!A687</x:f>
        <x:v>MANUTENÇÃO EQUIPAMENTOS</x:v>
      </x:c>
      <x:c r="C723" t="str">
        <x:f>Despesas!B687</x:f>
        <x:v>2833</x:v>
      </x:c>
      <x:c r="D723" t="str">
        <x:f>Despesas!C687</x:f>
        <x:v>015786</x:v>
      </x:c>
      <x:c r="E723" t="str">
        <x:f>Despesas!D687</x:f>
        <x:v>ALINE AIRES PEREIRA - PIX 10.899.310/0001-43</x:v>
      </x:c>
      <x:c r="F723" t="str">
        <x:f>Despesas!E687</x:f>
        <x:v>MANUTENÇAO IMPRESSORA EPSON L3150</x:v>
      </x:c>
      <x:c r="G723" s="4" t="n">
        <x:f>Despesas!F687</x:f>
        <x:v>46045</x:v>
      </x:c>
      <x:c r="H723" t="str">
        <x:f>Despesas!G687</x:f>
        <x:v>FOSFATO CMOC CONTRAT</x:v>
      </x:c>
      <x:c r="I723" t="str">
        <x:f>Despesas!H687</x:f>
        <x:v>8.14 - MANUTENÇÃO/PEÇAS MAQUINAS E EQUIPAMENTOS</x:v>
      </x:c>
      <x:c r="J723" s="5" t="n">
        <x:f>Despesas!I687</x:f>
        <x:v>145</x:v>
      </x:c>
      <x:c r="K723" s="5" t="n">
        <x:f>0</x:f>
        <x:v>0</x:v>
      </x:c>
      <x:c r="L723" s="5" t="n">
        <x:f>Despesas!I687</x:f>
        <x:v>145</x:v>
      </x:c>
      <x:c r="M723" s="5" t="n">
        <x:f>-J723</x:f>
        <x:v>-145</x:v>
      </x:c>
    </x:row>
    <x:row r="724">
      <x:c r="A724" t="str">
        <x:f>"Despesa/Custo"</x:f>
        <x:v>Despesa/Custo</x:v>
      </x:c>
      <x:c r="B724" t="str">
        <x:f>Despesas!A688</x:f>
        <x:v>A F DE OLIVEIRA - FRANCA LOCACOES EIRELI - ME</x:v>
      </x:c>
      <x:c r="C724" t="str">
        <x:f>Despesas!B688</x:f>
        <x:v>15057</x:v>
      </x:c>
      <x:c r="D724" t="str">
        <x:f>Despesas!C688</x:f>
        <x:v>015789</x:v>
      </x:c>
      <x:c r="E724" t="str">
        <x:f>Despesas!D688</x:f>
        <x:v>A F DE OLIVEIRA - LOJA DAS CAD - PIX 24.183.993/0001-42</x:v>
      </x:c>
      <x:c r="F724" t="str">
        <x:f>Despesas!E688</x:f>
        <x:v>DOAÇÃO - CADEIRA BISTRO</x:v>
      </x:c>
      <x:c r="G724" s="4" t="n">
        <x:f>Despesas!F688</x:f>
        <x:v>46045</x:v>
      </x:c>
      <x:c r="H724" t="str">
        <x:f>Despesas!G688</x:f>
        <x:v>ADMINISTRATIVO</x:v>
      </x:c>
      <x:c r="I724" t="str">
        <x:f>Despesas!H688</x:f>
        <x:v>16.4 - DOAÇÕES BENEFICENTES</x:v>
      </x:c>
      <x:c r="J724" s="5" t="n">
        <x:f>Despesas!I688</x:f>
        <x:v>149.76</x:v>
      </x:c>
      <x:c r="K724" s="5" t="n">
        <x:f>0</x:f>
        <x:v>0</x:v>
      </x:c>
      <x:c r="L724" s="5" t="n">
        <x:f>Despesas!I688</x:f>
        <x:v>149.76</x:v>
      </x:c>
      <x:c r="M724" s="5" t="n">
        <x:f>-J724</x:f>
        <x:v>-149.76</x:v>
      </x:c>
    </x:row>
    <x:row r="725">
      <x:c r="A725" t="str">
        <x:f>"Despesa/Custo"</x:f>
        <x:v>Despesa/Custo</x:v>
      </x:c>
      <x:c r="B725" t="str">
        <x:f>Despesas!A689</x:f>
        <x:v>AUTO POSTO TERRA SANTA LTDA</x:v>
      </x:c>
      <x:c r="C725" t="str">
        <x:f>Despesas!B689</x:f>
        <x:v>7862</x:v>
      </x:c>
      <x:c r="D725" t="str">
        <x:f>Despesas!C689</x:f>
        <x:v>015792</x:v>
      </x:c>
      <x:c r="E725" t="str">
        <x:f>Despesas!D689</x:f>
        <x:v>AUTO POSTO TERRA SANTA LTDA - PIX 3c014e4f-220a-44f7-80fd-c147aae5ed10</x:v>
      </x:c>
      <x:c r="F725" t="str">
        <x:f>Despesas!E689</x:f>
        <x:v>COMBUSTÍVEL VEÍCULOS</x:v>
      </x:c>
      <x:c r="G725" s="4" t="n">
        <x:f>Despesas!F689</x:f>
        <x:v>46045</x:v>
      </x:c>
      <x:c r="H725" t="str">
        <x:f>Despesas!G689</x:f>
        <x:v>ANGLO AMERICAN</x:v>
      </x:c>
      <x:c r="I725" t="str">
        <x:f>Despesas!H689</x:f>
        <x:v>6.4 - COMBUSTIVEL VEICULOS</x:v>
      </x:c>
      <x:c r="J725" s="5" t="n">
        <x:f>Despesas!I689</x:f>
        <x:v>250.3</x:v>
      </x:c>
      <x:c r="K725" s="5" t="n">
        <x:f>0</x:f>
        <x:v>0</x:v>
      </x:c>
      <x:c r="L725" s="5" t="n">
        <x:f>Despesas!I689</x:f>
        <x:v>250.3</x:v>
      </x:c>
      <x:c r="M725" s="5" t="n">
        <x:f>-J725</x:f>
        <x:v>-250.3</x:v>
      </x:c>
    </x:row>
    <x:row r="726">
      <x:c r="A726" t="str">
        <x:f>"Despesa/Custo"</x:f>
        <x:v>Despesa/Custo</x:v>
      </x:c>
      <x:c r="B726" t="str">
        <x:f>Despesas!A690</x:f>
        <x:v>SKYTECH IMPRESSORAS E INFORMATICA LTDA</x:v>
      </x:c>
      <x:c r="C726" t="str">
        <x:f>Despesas!B690</x:f>
        <x:v>110</x:v>
      </x:c>
      <x:c r="D726" t="str">
        <x:f>Despesas!C690</x:f>
        <x:v>015794</x:v>
      </x:c>
      <x:c r="E726" t="str">
        <x:f>Despesas!D690</x:f>
        <x:v>SKYTECH IMPRESSORAS E INFORMAT - PIX 11.736.619/0001-85</x:v>
      </x:c>
      <x:c r="F726" t="str">
        <x:f>Despesas!E690</x:f>
        <x:v>MANUTENÇAO IMPRESSORA BROTHER DCP-L3560</x:v>
      </x:c>
      <x:c r="G726" s="4" t="n">
        <x:f>Despesas!F690</x:f>
        <x:v>46045</x:v>
      </x:c>
      <x:c r="H726" t="str">
        <x:f>Despesas!G690</x:f>
        <x:v>ADMINISTRATIVO</x:v>
      </x:c>
      <x:c r="I726" t="str">
        <x:f>Despesas!H690</x:f>
        <x:v>8.14 - MANUTENÇÃO/PEÇAS MAQUINAS E EQUIPAMENTOS</x:v>
      </x:c>
      <x:c r="J726" s="5" t="n">
        <x:f>Despesas!I690</x:f>
        <x:v>570</x:v>
      </x:c>
      <x:c r="K726" s="5" t="n">
        <x:f>0</x:f>
        <x:v>0</x:v>
      </x:c>
      <x:c r="L726" s="5" t="n">
        <x:f>Despesas!I690</x:f>
        <x:v>570</x:v>
      </x:c>
      <x:c r="M726" s="5" t="n">
        <x:f>-J726</x:f>
        <x:v>-570</x:v>
      </x:c>
    </x:row>
    <x:row r="727">
      <x:c r="A727" t="str">
        <x:f>"Despesa/Custo"</x:f>
        <x:v>Despesa/Custo</x:v>
      </x:c>
      <x:c r="B727" t="str">
        <x:f>Despesas!A691</x:f>
        <x:v>ROBERTO SERVIÇOS</x:v>
      </x:c>
      <x:c r="C727" t="n">
        <x:f>Despesas!B691</x:f>
        <x:v>0</x:v>
      </x:c>
      <x:c r="D727" t="str">
        <x:f>Despesas!C691</x:f>
        <x:v>015795</x:v>
      </x:c>
      <x:c r="E727" t="str">
        <x:f>Despesas!D691</x:f>
        <x:v>VIAGEM ROBERTO GOIÂNIA X GOIANÉSIA</x:v>
      </x:c>
      <x:c r="F727" t="n">
        <x:f>Despesas!E691</x:f>
        <x:v>0</x:v>
      </x:c>
      <x:c r="G727" s="4" t="n">
        <x:f>Despesas!F691</x:f>
        <x:v>46045</x:v>
      </x:c>
      <x:c r="H727" t="str">
        <x:f>Despesas!G691</x:f>
        <x:v>ANGLO AMERICAN</x:v>
      </x:c>
      <x:c r="I727" t="str">
        <x:f>Despesas!H691</x:f>
        <x:v>10.1 - FRETE MATERIAIS E EQUIPAMENTOS</x:v>
      </x:c>
      <x:c r="J727" s="5" t="n">
        <x:f>Despesas!I691</x:f>
        <x:v>200</x:v>
      </x:c>
      <x:c r="K727" s="5" t="n">
        <x:f>0</x:f>
        <x:v>0</x:v>
      </x:c>
      <x:c r="L727" s="5" t="n">
        <x:f>Despesas!I691</x:f>
        <x:v>200</x:v>
      </x:c>
      <x:c r="M727" s="5" t="n">
        <x:f>-J727</x:f>
        <x:v>-200</x:v>
      </x:c>
    </x:row>
    <x:row r="728">
      <x:c r="A728" t="str">
        <x:f>"Despesa/Custo"</x:f>
        <x:v>Despesa/Custo</x:v>
      </x:c>
      <x:c r="B728" t="str">
        <x:f>Despesas!A692</x:f>
        <x:v>UBER MOACIR</x:v>
      </x:c>
      <x:c r="C728" t="n">
        <x:f>Despesas!B692</x:f>
        <x:v>0</x:v>
      </x:c>
      <x:c r="D728" t="str">
        <x:f>Despesas!C692</x:f>
        <x:v>015796</x:v>
      </x:c>
      <x:c r="E728" t="str">
        <x:f>Despesas!D692</x:f>
        <x:v>MOACIR BERNARDO DE BRITO SANTO - PIX (62) 9 9179-6006</x:v>
      </x:c>
      <x:c r="F728" t="str">
        <x:f>Despesas!E692</x:f>
        <x:v>BUSCAR IMPRESSORA</x:v>
      </x:c>
      <x:c r="G728" s="4" t="n">
        <x:f>Despesas!F692</x:f>
        <x:v>46045</x:v>
      </x:c>
      <x:c r="H728" t="str">
        <x:f>Despesas!G692</x:f>
        <x:v>ADMINISTRATIVO</x:v>
      </x:c>
      <x:c r="I728" t="str">
        <x:f>Despesas!H692</x:f>
        <x:v>3.8 - SERVIÇO MOTOBOY / UBER</x:v>
      </x:c>
      <x:c r="J728" s="5" t="n">
        <x:f>Despesas!I692</x:f>
        <x:v>80</x:v>
      </x:c>
      <x:c r="K728" s="5" t="n">
        <x:f>0</x:f>
        <x:v>0</x:v>
      </x:c>
      <x:c r="L728" s="5" t="n">
        <x:f>Despesas!I692</x:f>
        <x:v>80</x:v>
      </x:c>
      <x:c r="M728" s="5" t="n">
        <x:f>-J728</x:f>
        <x:v>-80</x:v>
      </x:c>
    </x:row>
    <x:row r="729">
      <x:c r="A729" t="str">
        <x:f>"Despesa/Custo"</x:f>
        <x:v>Despesa/Custo</x:v>
      </x:c>
      <x:c r="B729" t="str">
        <x:f>Despesas!A693</x:f>
        <x:v>BONIFICAÇOES</x:v>
      </x:c>
      <x:c r="C729" t="n">
        <x:f>Despesas!B693</x:f>
        <x:v>0</x:v>
      </x:c>
      <x:c r="D729" t="str">
        <x:f>Despesas!C693</x:f>
        <x:v>015797</x:v>
      </x:c>
      <x:c r="E729" t="str">
        <x:f>Despesas!D693</x:f>
        <x:v>BONIFICAÇÃO - GESTOR VLI</x:v>
      </x:c>
      <x:c r="F729" t="str">
        <x:f>Despesas!E693</x:f>
        <x:v>RECIBO</x:v>
      </x:c>
      <x:c r="G729" s="4" t="n">
        <x:f>Despesas!F693</x:f>
        <x:v>46045</x:v>
      </x:c>
      <x:c r="H729" t="str">
        <x:f>Despesas!G693</x:f>
        <x:v>VLI PINTURA</x:v>
      </x:c>
      <x:c r="I729" t="str">
        <x:f>Despesas!H693</x:f>
        <x:v>12.17 - BONIFICAÇOES</x:v>
      </x:c>
      <x:c r="J729" s="5" t="n">
        <x:f>Despesas!I693</x:f>
        <x:v>4000</x:v>
      </x:c>
      <x:c r="K729" s="5" t="n">
        <x:f>0</x:f>
        <x:v>0</x:v>
      </x:c>
      <x:c r="L729" s="5" t="n">
        <x:f>Despesas!I693</x:f>
        <x:v>4000</x:v>
      </x:c>
      <x:c r="M729" s="5" t="n">
        <x:f>-J729</x:f>
        <x:v>-4000</x:v>
      </x:c>
    </x:row>
    <x:row r="730">
      <x:c r="A730" t="str">
        <x:f>"Despesa/Custo"</x:f>
        <x:v>Despesa/Custo</x:v>
      </x:c>
      <x:c r="B730" t="str">
        <x:f>Despesas!A694</x:f>
        <x:v>AJEL MATERIAIS ELETRICOS LTDA</x:v>
      </x:c>
      <x:c r="C730" t="str">
        <x:f>Despesas!B694</x:f>
        <x:v>1043788</x:v>
      </x:c>
      <x:c r="D730" t="str">
        <x:f>Despesas!C694</x:f>
        <x:v>015841</x:v>
      </x:c>
      <x:c r="E730" t="str">
        <x:f>Despesas!D694</x:f>
        <x:v>MATERIAIS ELÉTRICOS</x:v>
      </x:c>
      <x:c r="F730" t="n">
        <x:f>Despesas!E694</x:f>
        <x:v>0</x:v>
      </x:c>
      <x:c r="G730" s="4" t="n">
        <x:f>Despesas!F694</x:f>
        <x:v>46045</x:v>
      </x:c>
      <x:c r="H730" t="str">
        <x:f>Despesas!G694</x:f>
        <x:v>CONTRATO 02 ANOS MINERAÇÃO SERRA VERDE</x:v>
      </x:c>
      <x:c r="I730" t="str">
        <x:f>Despesas!H694</x:f>
        <x:v>8.8 - MATERIAL ELETRICO</x:v>
      </x:c>
      <x:c r="J730" s="5" t="n">
        <x:f>Despesas!I694</x:f>
        <x:v>584.77</x:v>
      </x:c>
      <x:c r="K730" s="5" t="n">
        <x:f>0</x:f>
        <x:v>0</x:v>
      </x:c>
      <x:c r="L730" s="5" t="n">
        <x:f>Despesas!I694</x:f>
        <x:v>584.77</x:v>
      </x:c>
      <x:c r="M730" s="5" t="n">
        <x:f>-J730</x:f>
        <x:v>-584.77</x:v>
      </x:c>
    </x:row>
    <x:row r="731">
      <x:c r="A731" t="str">
        <x:f>"Despesa/Custo"</x:f>
        <x:v>Despesa/Custo</x:v>
      </x:c>
      <x:c r="B731" t="str">
        <x:f>Despesas!A695</x:f>
        <x:v>CARTAO CREDITO EDUARDO</x:v>
      </x:c>
      <x:c r="C731" t="str">
        <x:f>Despesas!B695</x:f>
        <x:v>229</x:v>
      </x:c>
      <x:c r="D731" t="str">
        <x:f>Despesas!C695</x:f>
        <x:v>016263</x:v>
      </x:c>
      <x:c r="E731" t="str">
        <x:f>Despesas!D695</x:f>
        <x:v>MANUTENÇÃO FIAT TORO 1/4</x:v>
      </x:c>
      <x:c r="F731" t="str">
        <x:f>Despesas!E695</x:f>
        <x:v>ITAÚ</x:v>
      </x:c>
      <x:c r="G731" s="4" t="n">
        <x:f>Despesas!F695</x:f>
        <x:v>46045</x:v>
      </x:c>
      <x:c r="H731" t="str">
        <x:f>Despesas!G695</x:f>
        <x:v>ANGLO AMERICAN</x:v>
      </x:c>
      <x:c r="I731" t="str">
        <x:f>Despesas!H695</x:f>
        <x:v>6.3 - MANUTENÇÃO/PEÇAS  VEICULOS</x:v>
      </x:c>
      <x:c r="J731" s="5" t="n">
        <x:f>Despesas!I695</x:f>
        <x:v>357.87</x:v>
      </x:c>
      <x:c r="K731" s="5" t="n">
        <x:f>0</x:f>
        <x:v>0</x:v>
      </x:c>
      <x:c r="L731" s="5" t="n">
        <x:f>Despesas!I695</x:f>
        <x:v>357.87</x:v>
      </x:c>
      <x:c r="M731" s="5" t="n">
        <x:f>-J731</x:f>
        <x:v>-357.87</x:v>
      </x:c>
    </x:row>
    <x:row r="732">
      <x:c r="A732" t="str">
        <x:f>"Despesa/Custo"</x:f>
        <x:v>Despesa/Custo</x:v>
      </x:c>
      <x:c r="B732" t="str">
        <x:f>Despesas!A696</x:f>
        <x:v>CARTAO CREDITO EDUARDO</x:v>
      </x:c>
      <x:c r="C732" t="str">
        <x:f>Despesas!B696</x:f>
        <x:v>229</x:v>
      </x:c>
      <x:c r="D732" t="str">
        <x:f>Despesas!C696</x:f>
        <x:v>016263</x:v>
      </x:c>
      <x:c r="E732" t="str">
        <x:f>Despesas!D696</x:f>
        <x:v>MANUTENÇÃO FIAT TORO 1/4</x:v>
      </x:c>
      <x:c r="F732" t="str">
        <x:f>Despesas!E696</x:f>
        <x:v>ITAÚ</x:v>
      </x:c>
      <x:c r="G732" s="4" t="n">
        <x:f>Despesas!F696</x:f>
        <x:v>46045</x:v>
      </x:c>
      <x:c r="H732" t="str">
        <x:f>Despesas!G696</x:f>
        <x:v>ANGLO AMERICAN</x:v>
      </x:c>
      <x:c r="I732" t="str">
        <x:f>Despesas!H696</x:f>
        <x:v>6.3 - MANUTENÇÃO/PEÇAS  VEICULOS</x:v>
      </x:c>
      <x:c r="J732" s="5" t="n">
        <x:f>Despesas!I696</x:f>
        <x:v>357.87</x:v>
      </x:c>
      <x:c r="K732" s="5" t="n">
        <x:f>0</x:f>
        <x:v>0</x:v>
      </x:c>
      <x:c r="L732" s="5" t="n">
        <x:f>Despesas!I696</x:f>
        <x:v>357.87</x:v>
      </x:c>
      <x:c r="M732" s="5" t="n">
        <x:f>-J732</x:f>
        <x:v>-357.87</x:v>
      </x:c>
    </x:row>
    <x:row r="733">
      <x:c r="A733" t="str">
        <x:f>"Despesa/Custo"</x:f>
        <x:v>Despesa/Custo</x:v>
      </x:c>
      <x:c r="B733" t="str">
        <x:f>Despesas!A697</x:f>
        <x:v>CARTAO CREDITO EDUARDO</x:v>
      </x:c>
      <x:c r="C733" t="str">
        <x:f>Despesas!B697</x:f>
        <x:v>229</x:v>
      </x:c>
      <x:c r="D733" t="str">
        <x:f>Despesas!C697</x:f>
        <x:v>016263</x:v>
      </x:c>
      <x:c r="E733" t="str">
        <x:f>Despesas!D697</x:f>
        <x:v>MANUTENÇÃO FIAT TORO 1/4</x:v>
      </x:c>
      <x:c r="F733" t="str">
        <x:f>Despesas!E697</x:f>
        <x:v>ITAÚ</x:v>
      </x:c>
      <x:c r="G733" s="4" t="n">
        <x:f>Despesas!F697</x:f>
        <x:v>46045</x:v>
      </x:c>
      <x:c r="H733" t="str">
        <x:f>Despesas!G697</x:f>
        <x:v>ANGLO AMERICAN</x:v>
      </x:c>
      <x:c r="I733" t="str">
        <x:f>Despesas!H697</x:f>
        <x:v>6.3 - MANUTENÇÃO/PEÇAS  VEICULOS</x:v>
      </x:c>
      <x:c r="J733" s="5" t="n">
        <x:f>Despesas!I697</x:f>
        <x:v>357.87</x:v>
      </x:c>
      <x:c r="K733" s="5" t="n">
        <x:f>0</x:f>
        <x:v>0</x:v>
      </x:c>
      <x:c r="L733" s="5" t="n">
        <x:f>Despesas!I697</x:f>
        <x:v>357.87</x:v>
      </x:c>
      <x:c r="M733" s="5" t="n">
        <x:f>-J733</x:f>
        <x:v>-357.87</x:v>
      </x:c>
    </x:row>
    <x:row r="734">
      <x:c r="A734" t="str">
        <x:f>"Despesa/Custo"</x:f>
        <x:v>Despesa/Custo</x:v>
      </x:c>
      <x:c r="B734" t="str">
        <x:f>Despesas!A698</x:f>
        <x:v>CARTAO CREDITO EDUARDO</x:v>
      </x:c>
      <x:c r="C734" t="str">
        <x:f>Despesas!B698</x:f>
        <x:v>229</x:v>
      </x:c>
      <x:c r="D734" t="str">
        <x:f>Despesas!C698</x:f>
        <x:v>016263</x:v>
      </x:c>
      <x:c r="E734" t="str">
        <x:f>Despesas!D698</x:f>
        <x:v>MANUTENÇÃO FIAT TORO 1/4</x:v>
      </x:c>
      <x:c r="F734" t="str">
        <x:f>Despesas!E698</x:f>
        <x:v>ITAÚ</x:v>
      </x:c>
      <x:c r="G734" s="4" t="n">
        <x:f>Despesas!F698</x:f>
        <x:v>46045</x:v>
      </x:c>
      <x:c r="H734" t="str">
        <x:f>Despesas!G698</x:f>
        <x:v>ANGLO AMERICAN</x:v>
      </x:c>
      <x:c r="I734" t="str">
        <x:f>Despesas!H698</x:f>
        <x:v>6.3 - MANUTENÇÃO/PEÇAS  VEICULOS</x:v>
      </x:c>
      <x:c r="J734" s="5" t="n">
        <x:f>Despesas!I698</x:f>
        <x:v>357.87</x:v>
      </x:c>
      <x:c r="K734" s="5" t="n">
        <x:f>0</x:f>
        <x:v>0</x:v>
      </x:c>
      <x:c r="L734" s="5" t="n">
        <x:f>Despesas!I698</x:f>
        <x:v>357.87</x:v>
      </x:c>
      <x:c r="M734" s="5" t="n">
        <x:f>-J734</x:f>
        <x:v>-357.87</x:v>
      </x:c>
    </x:row>
    <x:row r="735">
      <x:c r="A735" t="str">
        <x:f>"Despesa/Custo"</x:f>
        <x:v>Despesa/Custo</x:v>
      </x:c>
      <x:c r="B735" t="str">
        <x:f>Despesas!A699</x:f>
        <x:v>CARTAO CREDITO EDUARDO</x:v>
      </x:c>
      <x:c r="C735" t="str">
        <x:f>Despesas!B699</x:f>
        <x:v>244</x:v>
      </x:c>
      <x:c r="D735" t="str">
        <x:f>Despesas!C699</x:f>
        <x:v>016264</x:v>
      </x:c>
      <x:c r="E735" t="str">
        <x:f>Despesas!D699</x:f>
        <x:v>MANUTENÇÃO FIAT TORO 1/4</x:v>
      </x:c>
      <x:c r="F735" t="str">
        <x:f>Despesas!E699</x:f>
        <x:v>ITAÚ</x:v>
      </x:c>
      <x:c r="G735" s="4" t="n">
        <x:f>Despesas!F699</x:f>
        <x:v>46045</x:v>
      </x:c>
      <x:c r="H735" t="str">
        <x:f>Despesas!G699</x:f>
        <x:v>ANGLO AMERICAN</x:v>
      </x:c>
      <x:c r="I735" t="str">
        <x:f>Despesas!H699</x:f>
        <x:v>6.3 - MANUTENÇÃO/PEÇAS  VEICULOS</x:v>
      </x:c>
      <x:c r="J735" s="5" t="n">
        <x:f>Despesas!I699</x:f>
        <x:v>767.5</x:v>
      </x:c>
      <x:c r="K735" s="5" t="n">
        <x:f>0</x:f>
        <x:v>0</x:v>
      </x:c>
      <x:c r="L735" s="5" t="n">
        <x:f>Despesas!I699</x:f>
        <x:v>767.5</x:v>
      </x:c>
      <x:c r="M735" s="5" t="n">
        <x:f>-J735</x:f>
        <x:v>-767.5</x:v>
      </x:c>
    </x:row>
    <x:row r="736">
      <x:c r="A736" t="str">
        <x:f>"Despesa/Custo"</x:f>
        <x:v>Despesa/Custo</x:v>
      </x:c>
      <x:c r="B736" t="str">
        <x:f>Despesas!A700</x:f>
        <x:v>CARTAO CREDITO EDUARDO</x:v>
      </x:c>
      <x:c r="C736" t="str">
        <x:f>Despesas!B700</x:f>
        <x:v>244</x:v>
      </x:c>
      <x:c r="D736" t="str">
        <x:f>Despesas!C700</x:f>
        <x:v>016264</x:v>
      </x:c>
      <x:c r="E736" t="str">
        <x:f>Despesas!D700</x:f>
        <x:v>MANUTENÇÃO FIAT TORO 1/4</x:v>
      </x:c>
      <x:c r="F736" t="str">
        <x:f>Despesas!E700</x:f>
        <x:v>ITAÚ</x:v>
      </x:c>
      <x:c r="G736" s="4" t="n">
        <x:f>Despesas!F700</x:f>
        <x:v>46045</x:v>
      </x:c>
      <x:c r="H736" t="str">
        <x:f>Despesas!G700</x:f>
        <x:v>ANGLO AMERICAN</x:v>
      </x:c>
      <x:c r="I736" t="str">
        <x:f>Despesas!H700</x:f>
        <x:v>6.3 - MANUTENÇÃO/PEÇAS  VEICULOS</x:v>
      </x:c>
      <x:c r="J736" s="5" t="n">
        <x:f>Despesas!I700</x:f>
        <x:v>767.5</x:v>
      </x:c>
      <x:c r="K736" s="5" t="n">
        <x:f>0</x:f>
        <x:v>0</x:v>
      </x:c>
      <x:c r="L736" s="5" t="n">
        <x:f>Despesas!I700</x:f>
        <x:v>767.5</x:v>
      </x:c>
      <x:c r="M736" s="5" t="n">
        <x:f>-J736</x:f>
        <x:v>-767.5</x:v>
      </x:c>
    </x:row>
    <x:row r="737">
      <x:c r="A737" t="str">
        <x:f>"Despesa/Custo"</x:f>
        <x:v>Despesa/Custo</x:v>
      </x:c>
      <x:c r="B737" t="str">
        <x:f>Despesas!A701</x:f>
        <x:v>CARTAO CREDITO EDUARDO</x:v>
      </x:c>
      <x:c r="C737" t="str">
        <x:f>Despesas!B701</x:f>
        <x:v>244</x:v>
      </x:c>
      <x:c r="D737" t="str">
        <x:f>Despesas!C701</x:f>
        <x:v>016264</x:v>
      </x:c>
      <x:c r="E737" t="str">
        <x:f>Despesas!D701</x:f>
        <x:v>MANUTENÇÃO FIAT TORO 1/4</x:v>
      </x:c>
      <x:c r="F737" t="str">
        <x:f>Despesas!E701</x:f>
        <x:v>ITAÚ</x:v>
      </x:c>
      <x:c r="G737" s="4" t="n">
        <x:f>Despesas!F701</x:f>
        <x:v>46045</x:v>
      </x:c>
      <x:c r="H737" t="str">
        <x:f>Despesas!G701</x:f>
        <x:v>ANGLO AMERICAN</x:v>
      </x:c>
      <x:c r="I737" t="str">
        <x:f>Despesas!H701</x:f>
        <x:v>6.3 - MANUTENÇÃO/PEÇAS  VEICULOS</x:v>
      </x:c>
      <x:c r="J737" s="5" t="n">
        <x:f>Despesas!I701</x:f>
        <x:v>767.5</x:v>
      </x:c>
      <x:c r="K737" s="5" t="n">
        <x:f>0</x:f>
        <x:v>0</x:v>
      </x:c>
      <x:c r="L737" s="5" t="n">
        <x:f>Despesas!I701</x:f>
        <x:v>767.5</x:v>
      </x:c>
      <x:c r="M737" s="5" t="n">
        <x:f>-J737</x:f>
        <x:v>-767.5</x:v>
      </x:c>
    </x:row>
    <x:row r="738">
      <x:c r="A738" t="str">
        <x:f>"Despesa/Custo"</x:f>
        <x:v>Despesa/Custo</x:v>
      </x:c>
      <x:c r="B738" t="str">
        <x:f>Despesas!A702</x:f>
        <x:v>CARTAO CREDITO EDUARDO</x:v>
      </x:c>
      <x:c r="C738" t="str">
        <x:f>Despesas!B702</x:f>
        <x:v>244</x:v>
      </x:c>
      <x:c r="D738" t="str">
        <x:f>Despesas!C702</x:f>
        <x:v>016264</x:v>
      </x:c>
      <x:c r="E738" t="str">
        <x:f>Despesas!D702</x:f>
        <x:v>MANUTENÇÃO FIAT TORO 1/4</x:v>
      </x:c>
      <x:c r="F738" t="str">
        <x:f>Despesas!E702</x:f>
        <x:v>ITAÚ</x:v>
      </x:c>
      <x:c r="G738" s="4" t="n">
        <x:f>Despesas!F702</x:f>
        <x:v>46045</x:v>
      </x:c>
      <x:c r="H738" t="str">
        <x:f>Despesas!G702</x:f>
        <x:v>ANGLO AMERICAN</x:v>
      </x:c>
      <x:c r="I738" t="str">
        <x:f>Despesas!H702</x:f>
        <x:v>6.3 - MANUTENÇÃO/PEÇAS  VEICULOS</x:v>
      </x:c>
      <x:c r="J738" s="5" t="n">
        <x:f>Despesas!I702</x:f>
        <x:v>767.5</x:v>
      </x:c>
      <x:c r="K738" s="5" t="n">
        <x:f>0</x:f>
        <x:v>0</x:v>
      </x:c>
      <x:c r="L738" s="5" t="n">
        <x:f>Despesas!I702</x:f>
        <x:v>767.5</x:v>
      </x:c>
      <x:c r="M738" s="5" t="n">
        <x:f>-J738</x:f>
        <x:v>-767.5</x:v>
      </x:c>
    </x:row>
    <x:row r="739">
      <x:c r="A739" t="str">
        <x:f>"Despesa/Custo"</x:f>
        <x:v>Despesa/Custo</x:v>
      </x:c>
      <x:c r="B739" t="str">
        <x:f>Despesas!A703</x:f>
        <x:v>MARIA DA CONCEICAO</x:v>
      </x:c>
      <x:c r="C739" t="str">
        <x:f>Despesas!B703</x:f>
        <x:v>223</x:v>
      </x:c>
      <x:c r="D739" t="str">
        <x:f>Despesas!C703</x:f>
        <x:v>015840</x:v>
      </x:c>
      <x:c r="E739" t="str">
        <x:f>Despesas!D703</x:f>
        <x:v>MARIA DA CONCEIÇÃO - PIX 40.673.913/0001-93</x:v>
      </x:c>
      <x:c r="F739" t="str">
        <x:f>Despesas!E703</x:f>
        <x:v>REFEIÇÕES FUNCIONÁRIOS</x:v>
      </x:c>
      <x:c r="G739" s="4" t="n">
        <x:f>Despesas!F703</x:f>
        <x:v>46047</x:v>
      </x:c>
      <x:c r="H739" t="str">
        <x:f>Despesas!G703</x:f>
        <x:v>CMOC CUBATÃO</x:v>
      </x:c>
      <x:c r="I739" t="str">
        <x:f>Despesas!H703</x:f>
        <x:v>12.5 - REFEIÇÕES FUNCIONARIOS</x:v>
      </x:c>
      <x:c r="J739" s="5" t="n">
        <x:f>Despesas!I703</x:f>
        <x:v>5264</x:v>
      </x:c>
      <x:c r="K739" s="5" t="n">
        <x:f>0</x:f>
        <x:v>0</x:v>
      </x:c>
      <x:c r="L739" s="5" t="n">
        <x:f>Despesas!I703</x:f>
        <x:v>5264</x:v>
      </x:c>
      <x:c r="M739" s="5" t="n">
        <x:f>-J739</x:f>
        <x:v>-5264</x:v>
      </x:c>
    </x:row>
    <x:row r="740">
      <x:c r="A740" t="str">
        <x:f>"Despesa/Custo"</x:f>
        <x:v>Despesa/Custo</x:v>
      </x:c>
      <x:c r="B740" t="str">
        <x:f>Despesas!A704</x:f>
        <x:v>RETIRADA</x:v>
      </x:c>
      <x:c r="C740" t="n">
        <x:f>Despesas!B704</x:f>
        <x:v>0</x:v>
      </x:c>
      <x:c r="D740" t="str">
        <x:f>Despesas!C704</x:f>
        <x:v>015366</x:v>
      </x:c>
      <x:c r="E740" t="str">
        <x:f>Despesas!D704</x:f>
        <x:v>PARTICIPAÇÃO PORTO FERREIRA 50% DO PAGAMENTO</x:v>
      </x:c>
      <x:c r="F740" t="str">
        <x:f>Despesas!E704</x:f>
        <x:v>38% GI 38% GE 9,5% SRE 9,5% RMP 5% IVAN</x:v>
      </x:c>
      <x:c r="G740" s="4" t="n">
        <x:f>Despesas!F704</x:f>
        <x:v>46048</x:v>
      </x:c>
      <x:c r="H740" t="str">
        <x:f>Despesas!G704</x:f>
        <x:v>RETIRADA</x:v>
      </x:c>
      <x:c r="I740" t="str">
        <x:f>Despesas!H704</x:f>
        <x:v>16.2 - RETIRADAS</x:v>
      </x:c>
      <x:c r="J740" s="5" t="n">
        <x:f>Despesas!I704</x:f>
        <x:v>100000</x:v>
      </x:c>
      <x:c r="K740" s="5" t="n">
        <x:f>0</x:f>
        <x:v>0</x:v>
      </x:c>
      <x:c r="L740" s="5" t="n">
        <x:f>Despesas!I704</x:f>
        <x:v>100000</x:v>
      </x:c>
      <x:c r="M740" s="5" t="n">
        <x:f>-J740</x:f>
        <x:v>-100000</x:v>
      </x:c>
    </x:row>
    <x:row r="741">
      <x:c r="A741" t="str">
        <x:f>"Despesa/Custo"</x:f>
        <x:v>Despesa/Custo</x:v>
      </x:c>
      <x:c r="B741" t="str">
        <x:f>Despesas!A705</x:f>
        <x:v>ESPEDITO ADESIVOS</x:v>
      </x:c>
      <x:c r="C741" t="n">
        <x:f>Despesas!B705</x:f>
        <x:v>0</x:v>
      </x:c>
      <x:c r="D741" t="str">
        <x:f>Despesas!C705</x:f>
        <x:v>015563</x:v>
      </x:c>
      <x:c r="E741" t="str">
        <x:f>Despesas!D705</x:f>
        <x:v>ESPEDITO NICOLAU DOS SANTOS - PIX  271.495.521-53</x:v>
      </x:c>
      <x:c r="F741" t="str">
        <x:f>Despesas!E705</x:f>
        <x:v>ADESIVOS DE PORTA PARA CARROS</x:v>
      </x:c>
      <x:c r="G741" s="4" t="n">
        <x:f>Despesas!F705</x:f>
        <x:v>46048</x:v>
      </x:c>
      <x:c r="H741" t="str">
        <x:f>Despesas!G705</x:f>
        <x:v>ADMINISTRATIVO</x:v>
      </x:c>
      <x:c r="I741" t="str">
        <x:f>Despesas!H705</x:f>
        <x:v>3.16 - SERVIÇO PLOTAGEM / ADESIVO / PLACAS / CRACHAS</x:v>
      </x:c>
      <x:c r="J741" s="5" t="n">
        <x:f>Despesas!I705</x:f>
        <x:v>237.5</x:v>
      </x:c>
      <x:c r="K741" s="5" t="n">
        <x:f>0</x:f>
        <x:v>0</x:v>
      </x:c>
      <x:c r="L741" s="5" t="n">
        <x:f>Despesas!I705</x:f>
        <x:v>237.5</x:v>
      </x:c>
      <x:c r="M741" s="5" t="n">
        <x:f>-J741</x:f>
        <x:v>-237.5</x:v>
      </x:c>
    </x:row>
    <x:row r="742">
      <x:c r="A742" t="str">
        <x:f>"Despesa/Custo"</x:f>
        <x:v>Despesa/Custo</x:v>
      </x:c>
      <x:c r="B742" t="str">
        <x:f>Despesas!A706</x:f>
        <x:v>51.428.354 VINICIUS VIEIRA DE ARAUJO</x:v>
      </x:c>
      <x:c r="C742" t="str">
        <x:f>Despesas!B706</x:f>
        <x:v>687</x:v>
      </x:c>
      <x:c r="D742" t="str">
        <x:f>Despesas!C706</x:f>
        <x:v>015565</x:v>
      </x:c>
      <x:c r="E742" t="str">
        <x:f>Despesas!D706</x:f>
        <x:v>VINICIUS VIEIRA DE ARAUJO - PIX :  (62) 9 9697-8051</x:v>
      </x:c>
      <x:c r="F742" t="str">
        <x:f>Despesas!E706</x:f>
        <x:v>FRETE GOIANIA X BRASILIA X SOUZALANDIA</x:v>
      </x:c>
      <x:c r="G742" s="4" t="n">
        <x:f>Despesas!F706</x:f>
        <x:v>46048</x:v>
      </x:c>
      <x:c r="H742" t="str">
        <x:f>Despesas!G706</x:f>
        <x:v>ANGLO AMERICAN</x:v>
      </x:c>
      <x:c r="I742" t="str">
        <x:f>Despesas!H706</x:f>
        <x:v>10.1 - FRETE MATERIAIS E EQUIPAMENTOS</x:v>
      </x:c>
      <x:c r="J742" s="5" t="n">
        <x:f>Despesas!I706</x:f>
        <x:v>3034.5</x:v>
      </x:c>
      <x:c r="K742" s="5" t="n">
        <x:f>0</x:f>
        <x:v>0</x:v>
      </x:c>
      <x:c r="L742" s="5" t="n">
        <x:f>Despesas!I706</x:f>
        <x:v>3034.5</x:v>
      </x:c>
      <x:c r="M742" s="5" t="n">
        <x:f>-J742</x:f>
        <x:v>-3034.5</x:v>
      </x:c>
    </x:row>
    <x:row r="743">
      <x:c r="A743" t="str">
        <x:f>"Despesa/Custo"</x:f>
        <x:v>Despesa/Custo</x:v>
      </x:c>
      <x:c r="B743" t="str">
        <x:f>Despesas!A707</x:f>
        <x:v>PRUDENTIAL DO BRASIL SEGURO DE VIDAS</x:v>
      </x:c>
      <x:c r="C743" t="n">
        <x:f>Despesas!B707</x:f>
        <x:v>0</x:v>
      </x:c>
      <x:c r="D743" t="str">
        <x:f>Despesas!C707</x:f>
        <x:v>015802</x:v>
      </x:c>
      <x:c r="E743" t="str">
        <x:f>Despesas!D707</x:f>
        <x:v>SEGURO DE VIDA GILVAN</x:v>
      </x:c>
      <x:c r="F743" t="n">
        <x:f>Despesas!E707</x:f>
        <x:v>0</x:v>
      </x:c>
      <x:c r="G743" s="4" t="n">
        <x:f>Despesas!F707</x:f>
        <x:v>46048</x:v>
      </x:c>
      <x:c r="H743" t="str">
        <x:f>Despesas!G707</x:f>
        <x:v>ADMINISTRATIVO</x:v>
      </x:c>
      <x:c r="I743" t="str">
        <x:f>Despesas!H707</x:f>
        <x:v>12.12 - SEGUROS DE VIDA</x:v>
      </x:c>
      <x:c r="J743" s="5" t="n">
        <x:f>Despesas!I707</x:f>
        <x:v>2720.36</x:v>
      </x:c>
      <x:c r="K743" s="5" t="n">
        <x:f>0</x:f>
        <x:v>0</x:v>
      </x:c>
      <x:c r="L743" s="5" t="n">
        <x:f>Despesas!I707</x:f>
        <x:v>2720.36</x:v>
      </x:c>
      <x:c r="M743" s="5" t="n">
        <x:f>-J743</x:f>
        <x:v>-2720.36</x:v>
      </x:c>
    </x:row>
    <x:row r="744">
      <x:c r="A744" t="str">
        <x:f>"Despesa/Custo"</x:f>
        <x:v>Despesa/Custo</x:v>
      </x:c>
      <x:c r="B744" t="str">
        <x:f>Despesas!A708</x:f>
        <x:v>PRUDENTIAL DO BRASIL SEGURO DE VIDAS</x:v>
      </x:c>
      <x:c r="C744" t="n">
        <x:f>Despesas!B708</x:f>
        <x:v>0</x:v>
      </x:c>
      <x:c r="D744" t="str">
        <x:f>Despesas!C708</x:f>
        <x:v>015803</x:v>
      </x:c>
      <x:c r="E744" t="str">
        <x:f>Despesas!D708</x:f>
        <x:v>SEGURO DE VIDA GENILDO</x:v>
      </x:c>
      <x:c r="F744" t="n">
        <x:f>Despesas!E708</x:f>
        <x:v>0</x:v>
      </x:c>
      <x:c r="G744" s="4" t="n">
        <x:f>Despesas!F708</x:f>
        <x:v>46048</x:v>
      </x:c>
      <x:c r="H744" t="str">
        <x:f>Despesas!G708</x:f>
        <x:v>ADMINISTRATIVO</x:v>
      </x:c>
      <x:c r="I744" t="str">
        <x:f>Despesas!H708</x:f>
        <x:v>12.12 - SEGUROS DE VIDA</x:v>
      </x:c>
      <x:c r="J744" s="5" t="n">
        <x:f>Despesas!I708</x:f>
        <x:v>3167.69</x:v>
      </x:c>
      <x:c r="K744" s="5" t="n">
        <x:f>0</x:f>
        <x:v>0</x:v>
      </x:c>
      <x:c r="L744" s="5" t="n">
        <x:f>Despesas!I708</x:f>
        <x:v>3167.69</x:v>
      </x:c>
      <x:c r="M744" s="5" t="n">
        <x:f>-J744</x:f>
        <x:v>-3167.69</x:v>
      </x:c>
    </x:row>
    <x:row r="745">
      <x:c r="A745" t="str">
        <x:f>"Despesa/Custo"</x:f>
        <x:v>Despesa/Custo</x:v>
      </x:c>
      <x:c r="B745" t="str">
        <x:f>Despesas!A709</x:f>
        <x:v>GENILDO</x:v>
      </x:c>
      <x:c r="C745" t="n">
        <x:f>Despesas!B709</x:f>
        <x:v>0</x:v>
      </x:c>
      <x:c r="D745" t="str">
        <x:f>Despesas!C709</x:f>
        <x:v>015804</x:v>
      </x:c>
      <x:c r="E745" t="str">
        <x:f>Despesas!D709</x:f>
        <x:v>VIAGEM VISITA TECNICA GENILDO</x:v>
      </x:c>
      <x:c r="F745" t="n">
        <x:f>Despesas!E709</x:f>
        <x:v>0</x:v>
      </x:c>
      <x:c r="G745" s="4" t="n">
        <x:f>Despesas!F709</x:f>
        <x:v>46048</x:v>
      </x:c>
      <x:c r="H745" t="str">
        <x:f>Despesas!G709</x:f>
        <x:v>CONTRATO 02 ANOS MINERAÇÃO SERRA VERDE</x:v>
      </x:c>
      <x:c r="I745" t="str">
        <x:f>Despesas!H709</x:f>
        <x:v>6.4 - COMBUSTIVEL VEICULOS</x:v>
      </x:c>
      <x:c r="J745" s="5" t="n">
        <x:f>Despesas!I709</x:f>
        <x:v>1000</x:v>
      </x:c>
      <x:c r="K745" s="5" t="n">
        <x:f>0</x:f>
        <x:v>0</x:v>
      </x:c>
      <x:c r="L745" s="5" t="n">
        <x:f>Despesas!I709</x:f>
        <x:v>1000</x:v>
      </x:c>
      <x:c r="M745" s="5" t="n">
        <x:f>-J745</x:f>
        <x:v>-1000</x:v>
      </x:c>
    </x:row>
    <x:row r="746">
      <x:c r="A746" t="str">
        <x:f>"Despesa/Custo"</x:f>
        <x:v>Despesa/Custo</x:v>
      </x:c>
      <x:c r="B746" t="str">
        <x:f>Despesas!A710</x:f>
        <x:v>ALIMENTAÇÃO ADM</x:v>
      </x:c>
      <x:c r="C746" t="n">
        <x:f>Despesas!B710</x:f>
        <x:v>0</x:v>
      </x:c>
      <x:c r="D746" t="str">
        <x:f>Despesas!C710</x:f>
        <x:v>015805</x:v>
      </x:c>
      <x:c r="E746" t="str">
        <x:f>Despesas!D710</x:f>
        <x:v>MARCELO LOPES DE SOUZA - PIX (62) 9 8406-5777</x:v>
      </x:c>
      <x:c r="F746" t="str">
        <x:f>Despesas!E710</x:f>
        <x:v>REFEIÇÃO REF. EVENTO POLO INDUSTRIAL DE TRINDADE</x:v>
      </x:c>
      <x:c r="G746" s="4" t="n">
        <x:f>Despesas!F710</x:f>
        <x:v>46048</x:v>
      </x:c>
      <x:c r="H746" t="str">
        <x:f>Despesas!G710</x:f>
        <x:v>ADMINISTRATIVO</x:v>
      </x:c>
      <x:c r="I746" t="str">
        <x:f>Despesas!H710</x:f>
        <x:v>11.5 - ALIMENTAÇÃO ADM</x:v>
      </x:c>
      <x:c r="J746" s="5" t="n">
        <x:f>Despesas!I710</x:f>
        <x:v>70</x:v>
      </x:c>
      <x:c r="K746" s="5" t="n">
        <x:f>0</x:f>
        <x:v>0</x:v>
      </x:c>
      <x:c r="L746" s="5" t="n">
        <x:f>Despesas!I710</x:f>
        <x:v>70</x:v>
      </x:c>
      <x:c r="M746" s="5" t="n">
        <x:f>-J746</x:f>
        <x:v>-70</x:v>
      </x:c>
    </x:row>
    <x:row r="747">
      <x:c r="A747" t="str">
        <x:f>"Despesa/Custo"</x:f>
        <x:v>Despesa/Custo</x:v>
      </x:c>
      <x:c r="B747" t="str">
        <x:f>Despesas!A711</x:f>
        <x:v>DESPESAS VEICULOS</x:v>
      </x:c>
      <x:c r="C747" t="str">
        <x:f>Despesas!B711</x:f>
        <x:v>18</x:v>
      </x:c>
      <x:c r="D747" t="str">
        <x:f>Despesas!C711</x:f>
        <x:v>015806</x:v>
      </x:c>
      <x:c r="E747" t="str">
        <x:f>Despesas!D711</x:f>
        <x:v>AGRICOLA SERVICOS LTDA - PIX 53.602.733/0001-62</x:v>
      </x:c>
      <x:c r="F747" t="str">
        <x:f>Despesas!E711</x:f>
        <x:v>MANUTENÇAO VEÍCULO OROCH</x:v>
      </x:c>
      <x:c r="G747" s="4" t="n">
        <x:f>Despesas!F711</x:f>
        <x:v>46048</x:v>
      </x:c>
      <x:c r="H747" t="str">
        <x:f>Despesas!G711</x:f>
        <x:v>EUROCHEM SERRA DO SALITRE</x:v>
      </x:c>
      <x:c r="I747" t="str">
        <x:f>Despesas!H711</x:f>
        <x:v>6.3 - MANUTENÇÃO/PEÇAS  VEICULOS</x:v>
      </x:c>
      <x:c r="J747" s="5" t="n">
        <x:f>Despesas!I711</x:f>
        <x:v>180</x:v>
      </x:c>
      <x:c r="K747" s="5" t="n">
        <x:f>0</x:f>
        <x:v>0</x:v>
      </x:c>
      <x:c r="L747" s="5" t="n">
        <x:f>Despesas!I711</x:f>
        <x:v>180</x:v>
      </x:c>
      <x:c r="M747" s="5" t="n">
        <x:f>-J747</x:f>
        <x:v>-180</x:v>
      </x:c>
    </x:row>
    <x:row r="748">
      <x:c r="A748" t="str">
        <x:f>"Despesa/Custo"</x:f>
        <x:v>Despesa/Custo</x:v>
      </x:c>
      <x:c r="B748" t="str">
        <x:f>Despesas!A712</x:f>
        <x:v>Agricola Auto Pecas Ltda-me</x:v>
      </x:c>
      <x:c r="C748" t="str">
        <x:f>Despesas!B712</x:f>
        <x:v>15809</x:v>
      </x:c>
      <x:c r="D748" t="str">
        <x:f>Despesas!C712</x:f>
        <x:v>015807</x:v>
      </x:c>
      <x:c r="E748" t="str">
        <x:f>Despesas!D712</x:f>
        <x:v>AGRICOLA AUTO PECAS LTDA - PIX 02.702.210/0001-57</x:v>
      </x:c>
      <x:c r="F748" t="str">
        <x:f>Despesas!E712</x:f>
        <x:v>MANUTENÇÃO VEÍCULOS OROCH</x:v>
      </x:c>
      <x:c r="G748" s="4" t="n">
        <x:f>Despesas!F712</x:f>
        <x:v>46048</x:v>
      </x:c>
      <x:c r="H748" t="str">
        <x:f>Despesas!G712</x:f>
        <x:v>EUROCHEM SERRA DO SALITRE</x:v>
      </x:c>
      <x:c r="I748" t="str">
        <x:f>Despesas!H712</x:f>
        <x:v>6.3 - MANUTENÇÃO/PEÇAS  VEICULOS</x:v>
      </x:c>
      <x:c r="J748" s="5" t="n">
        <x:f>Despesas!I712</x:f>
        <x:v>309</x:v>
      </x:c>
      <x:c r="K748" s="5" t="n">
        <x:f>0</x:f>
        <x:v>0</x:v>
      </x:c>
      <x:c r="L748" s="5" t="n">
        <x:f>Despesas!I712</x:f>
        <x:v>309</x:v>
      </x:c>
      <x:c r="M748" s="5" t="n">
        <x:f>-J748</x:f>
        <x:v>-309</x:v>
      </x:c>
    </x:row>
    <x:row r="749">
      <x:c r="A749" t="str">
        <x:f>"Despesa/Custo"</x:f>
        <x:v>Despesa/Custo</x:v>
      </x:c>
      <x:c r="B749" t="str">
        <x:f>Despesas!A713</x:f>
        <x:v>FERRAGISTA OBRAS</x:v>
      </x:c>
      <x:c r="C749" t="n">
        <x:f>Despesas!B713</x:f>
        <x:v>0</x:v>
      </x:c>
      <x:c r="D749" t="str">
        <x:f>Despesas!C713</x:f>
        <x:v>015808</x:v>
      </x:c>
      <x:c r="E749" t="str">
        <x:f>Despesas!D713</x:f>
        <x:v>TECIDOS E ARMARINHOS MIGUEL BA - PIX 17.359.233/0001-88</x:v>
      </x:c>
      <x:c r="F749" t="str">
        <x:f>Despesas!E713</x:f>
        <x:v>03 BACIAS DE CONTENÇÃO DE 500L</x:v>
      </x:c>
      <x:c r="G749" s="4" t="n">
        <x:f>Despesas!F713</x:f>
        <x:v>46048</x:v>
      </x:c>
      <x:c r="H749" t="str">
        <x:f>Despesas!G713</x:f>
        <x:v>VLI PINTURA</x:v>
      </x:c>
      <x:c r="I749" t="str">
        <x:f>Despesas!H713</x:f>
        <x:v>8.9 - MATERIAIS DE CONSUMO EM OBRAS</x:v>
      </x:c>
      <x:c r="J749" s="5" t="n">
        <x:f>Despesas!I713</x:f>
        <x:v>1364.79</x:v>
      </x:c>
      <x:c r="K749" s="5" t="n">
        <x:f>0</x:f>
        <x:v>0</x:v>
      </x:c>
      <x:c r="L749" s="5" t="n">
        <x:f>Despesas!I713</x:f>
        <x:v>1364.79</x:v>
      </x:c>
      <x:c r="M749" s="5" t="n">
        <x:f>-J749</x:f>
        <x:v>-1364.79</x:v>
      </x:c>
    </x:row>
    <x:row r="750">
      <x:c r="A750" t="str">
        <x:f>"Despesa/Custo"</x:f>
        <x:v>Despesa/Custo</x:v>
      </x:c>
      <x:c r="B750" t="str">
        <x:f>Despesas!A714</x:f>
        <x:v>MULTIPLACAS SINALIZADORAS LTDA</x:v>
      </x:c>
      <x:c r="C750" t="str">
        <x:f>Despesas!B714</x:f>
        <x:v>102</x:v>
      </x:c>
      <x:c r="D750" t="str">
        <x:f>Despesas!C714</x:f>
        <x:v>015831</x:v>
      </x:c>
      <x:c r="E750" t="str">
        <x:f>Despesas!D714</x:f>
        <x:v>ESPEDITO NICOLAU DOS SANTOS - PIX  58.568.133/0001-49</x:v>
      </x:c>
      <x:c r="F750" t="str">
        <x:f>Despesas!E714</x:f>
        <x:v>PLACA PVC 03MM X 70X35</x:v>
      </x:c>
      <x:c r="G750" s="4" t="n">
        <x:f>Despesas!F714</x:f>
        <x:v>46048</x:v>
      </x:c>
      <x:c r="H750" t="str">
        <x:f>Despesas!G714</x:f>
        <x:v>CONTRATO 02 ANOS MINERAÇÃO SERRA VERDE</x:v>
      </x:c>
      <x:c r="I750" t="str">
        <x:f>Despesas!H714</x:f>
        <x:v>3.16 - SERVIÇO PLOTAGEM / ADESIVO / PLACAS / CRACHAS</x:v>
      </x:c>
      <x:c r="J750" s="5" t="n">
        <x:f>Despesas!I714</x:f>
        <x:v>294</x:v>
      </x:c>
      <x:c r="K750" s="5" t="n">
        <x:f>0</x:f>
        <x:v>0</x:v>
      </x:c>
      <x:c r="L750" s="5" t="n">
        <x:f>Despesas!I714</x:f>
        <x:v>294</x:v>
      </x:c>
      <x:c r="M750" s="5" t="n">
        <x:f>-J750</x:f>
        <x:v>-294</x:v>
      </x:c>
    </x:row>
    <x:row r="751">
      <x:c r="A751" t="str">
        <x:f>"Despesa/Custo"</x:f>
        <x:v>Despesa/Custo</x:v>
      </x:c>
      <x:c r="B751" t="str">
        <x:f>Despesas!A715</x:f>
        <x:v>POTENCIA COMERCIO DE EXTINTORES LTDA</x:v>
      </x:c>
      <x:c r="C751" t="str">
        <x:f>Despesas!B715</x:f>
        <x:v>10318</x:v>
      </x:c>
      <x:c r="D751" t="str">
        <x:f>Despesas!C715</x:f>
        <x:v>015839</x:v>
      </x:c>
      <x:c r="E751" t="str">
        <x:f>Despesas!D715</x:f>
        <x:v>MATERIAIS DE CONSUMO</x:v>
      </x:c>
      <x:c r="F751" t="n">
        <x:f>Despesas!E715</x:f>
        <x:v>0</x:v>
      </x:c>
      <x:c r="G751" s="4" t="n">
        <x:f>Despesas!F715</x:f>
        <x:v>46048</x:v>
      </x:c>
      <x:c r="H751" t="str">
        <x:f>Despesas!G715</x:f>
        <x:v>CONTRATO 02 ANOS MINERAÇÃO SERRA VERDE</x:v>
      </x:c>
      <x:c r="I751" t="str">
        <x:f>Despesas!H715</x:f>
        <x:v>8.9 - MATERIAIS DE CONSUMO EM OBRAS</x:v>
      </x:c>
      <x:c r="J751" s="5" t="n">
        <x:f>Despesas!I715</x:f>
        <x:v>540</x:v>
      </x:c>
      <x:c r="K751" s="5" t="n">
        <x:f>0</x:f>
        <x:v>0</x:v>
      </x:c>
      <x:c r="L751" s="5" t="n">
        <x:f>Despesas!I715</x:f>
        <x:v>540</x:v>
      </x:c>
      <x:c r="M751" s="5" t="n">
        <x:f>-J751</x:f>
        <x:v>-540</x:v>
      </x:c>
    </x:row>
    <x:row r="752">
      <x:c r="A752" t="str">
        <x:f>"Despesa/Custo"</x:f>
        <x:v>Despesa/Custo</x:v>
      </x:c>
      <x:c r="B752" t="str">
        <x:f>Despesas!A716</x:f>
        <x:v>DUEZZ MARKETING DIGITAL LTDA</x:v>
      </x:c>
      <x:c r="C752" t="str">
        <x:f>Despesas!B716</x:f>
        <x:v>9</x:v>
      </x:c>
      <x:c r="D752" t="str">
        <x:f>Despesas!C716</x:f>
        <x:v>015849</x:v>
      </x:c>
      <x:c r="E752" t="str">
        <x:f>Despesas!D716</x:f>
        <x:v>DUEZZ MARKETING DIGITAL - PIX 51.842.871/0001-93</x:v>
      </x:c>
      <x:c r="F752" t="str">
        <x:f>Despesas!E716</x:f>
        <x:v>50% VALOR INICIAL IMAGENS EM GOIATUBA</x:v>
      </x:c>
      <x:c r="G752" s="4" t="n">
        <x:f>Despesas!F716</x:f>
        <x:v>46048</x:v>
      </x:c>
      <x:c r="H752" t="str">
        <x:f>Despesas!G716</x:f>
        <x:v>AGREX IMPERMEALIZAÇAO DE TELHADO</x:v>
      </x:c>
      <x:c r="I752" t="str">
        <x:f>Despesas!H716</x:f>
        <x:v>3.21 - SERVIÇO MARKETING</x:v>
      </x:c>
      <x:c r="J752" s="5" t="n">
        <x:f>Despesas!I716</x:f>
        <x:v>1053.5</x:v>
      </x:c>
      <x:c r="K752" s="5" t="n">
        <x:f>0</x:f>
        <x:v>0</x:v>
      </x:c>
      <x:c r="L752" s="5" t="n">
        <x:f>Despesas!I716</x:f>
        <x:v>1053.5</x:v>
      </x:c>
      <x:c r="M752" s="5" t="n">
        <x:f>-J752</x:f>
        <x:v>-1053.5</x:v>
      </x:c>
    </x:row>
    <x:row r="753">
      <x:c r="A753" t="str">
        <x:f>"Despesa/Custo"</x:f>
        <x:v>Despesa/Custo</x:v>
      </x:c>
      <x:c r="B753" t="str">
        <x:f>Despesas!A717</x:f>
        <x:v>REAL BORRACHA EIRELI</x:v>
      </x:c>
      <x:c r="C753" t="str">
        <x:f>Despesas!B717</x:f>
        <x:v>97121</x:v>
      </x:c>
      <x:c r="D753" t="str">
        <x:f>Despesas!C717</x:f>
        <x:v>015850</x:v>
      </x:c>
      <x:c r="E753" t="str">
        <x:f>Despesas!D717</x:f>
        <x:v>EPIS</x:v>
      </x:c>
      <x:c r="F753" t="str">
        <x:f>Despesas!E717</x:f>
        <x:v>VENCIMENTO ORIGINAL DO BOLETO 23/02/26</x:v>
      </x:c>
      <x:c r="G753" s="4" t="n">
        <x:f>Despesas!F717</x:f>
        <x:v>46048</x:v>
      </x:c>
      <x:c r="H753" t="str">
        <x:f>Despesas!G717</x:f>
        <x:v>NIOBIO CMOC CONTRATO</x:v>
      </x:c>
      <x:c r="I753" t="str">
        <x:f>Despesas!H717</x:f>
        <x:v>13.1 - EPIS</x:v>
      </x:c>
      <x:c r="J753" s="5" t="n">
        <x:f>Despesas!I717</x:f>
        <x:v>188.26</x:v>
      </x:c>
      <x:c r="K753" s="5" t="n">
        <x:f>0</x:f>
        <x:v>0</x:v>
      </x:c>
      <x:c r="L753" s="5" t="n">
        <x:f>Despesas!I717</x:f>
        <x:v>188.26</x:v>
      </x:c>
      <x:c r="M753" s="5" t="n">
        <x:f>-J753</x:f>
        <x:v>-188.26</x:v>
      </x:c>
    </x:row>
    <x:row r="754">
      <x:c r="A754" t="str">
        <x:f>"Despesa/Custo"</x:f>
        <x:v>Despesa/Custo</x:v>
      </x:c>
      <x:c r="B754" t="str">
        <x:f>Despesas!A718</x:f>
        <x:v>GENILDO</x:v>
      </x:c>
      <x:c r="C754" t="str">
        <x:f>Despesas!B718</x:f>
        <x:v>6054</x:v>
      </x:c>
      <x:c r="D754" t="str">
        <x:f>Despesas!C718</x:f>
        <x:v>015973</x:v>
      </x:c>
      <x:c r="E754" t="str">
        <x:f>Despesas!D718</x:f>
        <x:v>COMBUSTIVEL VEÍCULOS</x:v>
      </x:c>
      <x:c r="F754" t="str">
        <x:f>Despesas!E718</x:f>
        <x:v>REEMBOLSO GENILDO</x:v>
      </x:c>
      <x:c r="G754" s="4" t="n">
        <x:f>Despesas!F718</x:f>
        <x:v>46048</x:v>
      </x:c>
      <x:c r="H754" t="str">
        <x:f>Despesas!G718</x:f>
        <x:v>CONTRATO 02 ANOS MINERAÇÃO SERRA VERDE</x:v>
      </x:c>
      <x:c r="I754" t="str">
        <x:f>Despesas!H718</x:f>
        <x:v>6.4 - COMBUSTIVEL VEICULOS</x:v>
      </x:c>
      <x:c r="J754" s="5" t="n">
        <x:f>Despesas!I718</x:f>
        <x:v>295.05</x:v>
      </x:c>
      <x:c r="K754" s="5" t="n">
        <x:f>0</x:f>
        <x:v>0</x:v>
      </x:c>
      <x:c r="L754" s="5" t="n">
        <x:f>Despesas!I718</x:f>
        <x:v>295.05</x:v>
      </x:c>
      <x:c r="M754" s="5" t="n">
        <x:f>-J754</x:f>
        <x:v>-295.05</x:v>
      </x:c>
    </x:row>
    <x:row r="755">
      <x:c r="A755" t="str">
        <x:f>"Despesa/Custo"</x:f>
        <x:v>Despesa/Custo</x:v>
      </x:c>
      <x:c r="B755" t="str">
        <x:f>Despesas!A719</x:f>
        <x:v>GENILDO</x:v>
      </x:c>
      <x:c r="C755" t="str">
        <x:f>Despesas!B719</x:f>
        <x:v>1388</x:v>
      </x:c>
      <x:c r="D755" t="str">
        <x:f>Despesas!C719</x:f>
        <x:v>015977</x:v>
      </x:c>
      <x:c r="E755" t="str">
        <x:f>Despesas!D719</x:f>
        <x:v>COMBUSTIVEL VEICULOS</x:v>
      </x:c>
      <x:c r="F755" t="str">
        <x:f>Despesas!E719</x:f>
        <x:v>REEMBOLSO GENILDO</x:v>
      </x:c>
      <x:c r="G755" s="4" t="n">
        <x:f>Despesas!F719</x:f>
        <x:v>46048</x:v>
      </x:c>
      <x:c r="H755" t="str">
        <x:f>Despesas!G719</x:f>
        <x:v>ANGLO AMERICAN</x:v>
      </x:c>
      <x:c r="I755" t="str">
        <x:f>Despesas!H719</x:f>
        <x:v>6.4 - COMBUSTIVEL VEICULOS</x:v>
      </x:c>
      <x:c r="J755" s="5" t="n">
        <x:f>Despesas!I719</x:f>
        <x:v>421.92</x:v>
      </x:c>
      <x:c r="K755" s="5" t="n">
        <x:f>0</x:f>
        <x:v>0</x:v>
      </x:c>
      <x:c r="L755" s="5" t="n">
        <x:f>Despesas!I719</x:f>
        <x:v>421.92</x:v>
      </x:c>
      <x:c r="M755" s="5" t="n">
        <x:f>-J755</x:f>
        <x:v>-421.92</x:v>
      </x:c>
    </x:row>
    <x:row r="756">
      <x:c r="A756" t="str">
        <x:f>"Despesa/Custo"</x:f>
        <x:v>Despesa/Custo</x:v>
      </x:c>
      <x:c r="B756" t="str">
        <x:f>Despesas!A720</x:f>
        <x:v>BANCO ITAU</x:v>
      </x:c>
      <x:c r="C756" t="n">
        <x:f>Despesas!B720</x:f>
        <x:v>0</x:v>
      </x:c>
      <x:c r="D756" t="str">
        <x:f>Despesas!C720</x:f>
        <x:v>006542</x:v>
      </x:c>
      <x:c r="E756" t="str">
        <x:f>Despesas!D720</x:f>
        <x:v>FINANCIAMENTO OROCH</x:v>
      </x:c>
      <x:c r="F756" t="n">
        <x:f>Despesas!E720</x:f>
        <x:v>0</x:v>
      </x:c>
      <x:c r="G756" s="4" t="n">
        <x:f>Despesas!F720</x:f>
        <x:v>46049</x:v>
      </x:c>
      <x:c r="H756" t="str">
        <x:f>Despesas!G720</x:f>
        <x:v>IMOBILIZADO / INVESTIMENTO</x:v>
      </x:c>
      <x:c r="I756" t="str">
        <x:f>Despesas!H720</x:f>
        <x:v>11.7 - FINANCIAMENTO</x:v>
      </x:c>
      <x:c r="J756" s="5" t="n">
        <x:f>Despesas!I720</x:f>
        <x:v>3601.26</x:v>
      </x:c>
      <x:c r="K756" s="5" t="n">
        <x:f>0</x:f>
        <x:v>0</x:v>
      </x:c>
      <x:c r="L756" s="5" t="n">
        <x:f>Despesas!I720</x:f>
        <x:v>3601.26</x:v>
      </x:c>
      <x:c r="M756" s="5" t="n">
        <x:f>-J756</x:f>
        <x:v>-3601.26</x:v>
      </x:c>
    </x:row>
    <x:row r="757">
      <x:c r="A757" t="str">
        <x:f>"Despesa/Custo"</x:f>
        <x:v>Despesa/Custo</x:v>
      </x:c>
      <x:c r="B757" t="str">
        <x:f>Despesas!A721</x:f>
        <x:v>QUALI TINTAS</x:v>
      </x:c>
      <x:c r="C757" t="str">
        <x:f>Despesas!B721</x:f>
        <x:v>19807</x:v>
      </x:c>
      <x:c r="D757" t="str">
        <x:f>Despesas!C721</x:f>
        <x:v>015632</x:v>
      </x:c>
      <x:c r="E757" t="str">
        <x:f>Despesas!D721</x:f>
        <x:v>QUALITINTAS</x:v>
      </x:c>
      <x:c r="F757" t="str">
        <x:f>Despesas!E721</x:f>
        <x:v>DEPOSITO 30 DIAS A PARTIR DO DIA 26/01/2026</x:v>
      </x:c>
      <x:c r="G757" s="4" t="n">
        <x:f>Despesas!F721</x:f>
        <x:v>46049</x:v>
      </x:c>
      <x:c r="H757" t="str">
        <x:f>Despesas!G721</x:f>
        <x:v>CONTRATO 02 ANOS MINERAÇÃO SERRA VERDE</x:v>
      </x:c>
      <x:c r="I757" t="str">
        <x:f>Despesas!H721</x:f>
        <x:v>8.9 - MATERIAIS DE CONSUMO EM OBRAS</x:v>
      </x:c>
      <x:c r="J757" s="5" t="n">
        <x:f>Despesas!I721</x:f>
        <x:v>810</x:v>
      </x:c>
      <x:c r="K757" s="5" t="n">
        <x:f>0</x:f>
        <x:v>0</x:v>
      </x:c>
      <x:c r="L757" s="5" t="n">
        <x:f>Despesas!I721</x:f>
        <x:v>810</x:v>
      </x:c>
      <x:c r="M757" s="5" t="n">
        <x:f>-J757</x:f>
        <x:v>-810</x:v>
      </x:c>
    </x:row>
    <x:row r="758">
      <x:c r="A758" t="str">
        <x:f>"Despesa/Custo"</x:f>
        <x:v>Despesa/Custo</x:v>
      </x:c>
      <x:c r="B758" t="str">
        <x:f>Despesas!A722</x:f>
        <x:v>PROMEDIC PREVENCAO E ORIENTACAO MEDICA INDUSTRIAL E COMERCIAL LTDA</x:v>
      </x:c>
      <x:c r="C758" t="str">
        <x:f>Despesas!B722</x:f>
        <x:v>62023</x:v>
      </x:c>
      <x:c r="D758" t="str">
        <x:f>Despesas!C722</x:f>
        <x:v>015749</x:v>
      </x:c>
      <x:c r="E758" t="str">
        <x:f>Despesas!D722</x:f>
        <x:v>ASOS REF. 01/12 A 31/12/25</x:v>
      </x:c>
      <x:c r="F758" t="str">
        <x:f>Despesas!E722</x:f>
        <x:v>VENCIMENTO ORIGINAL DO BOLETO 22/01/2026</x:v>
      </x:c>
      <x:c r="G758" s="4" t="n">
        <x:f>Despesas!F722</x:f>
        <x:v>46049</x:v>
      </x:c>
      <x:c r="H758" t="str">
        <x:f>Despesas!G722</x:f>
        <x:v>ANGLO AMERICAN</x:v>
      </x:c>
      <x:c r="I758" t="str">
        <x:f>Despesas!H722</x:f>
        <x:v>14.1 - EXAMES</x:v>
      </x:c>
      <x:c r="J758" s="5" t="n">
        <x:f>Despesas!I722</x:f>
        <x:v>14.4</x:v>
      </x:c>
      <x:c r="K758" s="5" t="n">
        <x:f>0</x:f>
        <x:v>0</x:v>
      </x:c>
      <x:c r="L758" s="5" t="n">
        <x:f>Despesas!I722</x:f>
        <x:v>14.4</x:v>
      </x:c>
      <x:c r="M758" s="5" t="n">
        <x:f>-J758</x:f>
        <x:v>-14.4</x:v>
      </x:c>
    </x:row>
    <x:row r="759">
      <x:c r="A759" t="str">
        <x:f>"Despesa/Custo"</x:f>
        <x:v>Despesa/Custo</x:v>
      </x:c>
      <x:c r="B759" t="str">
        <x:f>Despesas!A723</x:f>
        <x:v>EMPRESA BRASILEIRA DE BENEFICIOS E PAGAMENTOS INSTITUICAO DE PAGAMENTO LTDA</x:v>
      </x:c>
      <x:c r="C759" t="str">
        <x:f>Despesas!B723</x:f>
        <x:v>6518145</x:v>
      </x:c>
      <x:c r="D759" t="str">
        <x:f>Despesas!C723</x:f>
        <x:v>015751</x:v>
      </x:c>
      <x:c r="E759" t="str">
        <x:f>Despesas!D723</x:f>
        <x:v>VALE TRANSPORTE FUNCIONARIOS</x:v>
      </x:c>
      <x:c r="F759" t="n">
        <x:f>Despesas!E723</x:f>
        <x:v>0</x:v>
      </x:c>
      <x:c r="G759" s="4" t="n">
        <x:f>Despesas!F723</x:f>
        <x:v>46049</x:v>
      </x:c>
      <x:c r="H759" t="str">
        <x:f>Despesas!G723</x:f>
        <x:v>ADMINISTRATIVO</x:v>
      </x:c>
      <x:c r="I759" t="str">
        <x:f>Despesas!H723</x:f>
        <x:v>12.7 - TRANSPORTE FUNCIONARIOS</x:v>
      </x:c>
      <x:c r="J759" s="5" t="n">
        <x:f>Despesas!I723</x:f>
        <x:v>860</x:v>
      </x:c>
      <x:c r="K759" s="5" t="n">
        <x:f>0</x:f>
        <x:v>0</x:v>
      </x:c>
      <x:c r="L759" s="5" t="n">
        <x:f>Despesas!I723</x:f>
        <x:v>860</x:v>
      </x:c>
      <x:c r="M759" s="5" t="n">
        <x:f>-J759</x:f>
        <x:v>-860</x:v>
      </x:c>
    </x:row>
    <x:row r="760">
      <x:c r="A760" t="str">
        <x:f>"Despesa/Custo"</x:f>
        <x:v>Despesa/Custo</x:v>
      </x:c>
      <x:c r="B760" t="str">
        <x:f>Despesas!A724</x:f>
        <x:v>EMPRESA BRASILEIRA DE BENEFICIOS E PAGAMENTOS INSTITUICAO DE PAGAMENTO LTDA</x:v>
      </x:c>
      <x:c r="C760" t="str">
        <x:f>Despesas!B724</x:f>
        <x:v>6518145</x:v>
      </x:c>
      <x:c r="D760" t="str">
        <x:f>Despesas!C724</x:f>
        <x:v>015751</x:v>
      </x:c>
      <x:c r="E760" t="str">
        <x:f>Despesas!D724</x:f>
        <x:v>VALE TRANSPORTE FUNCIONARIOS</x:v>
      </x:c>
      <x:c r="F760" t="n">
        <x:f>Despesas!E724</x:f>
        <x:v>0</x:v>
      </x:c>
      <x:c r="G760" s="4" t="n">
        <x:f>Despesas!F724</x:f>
        <x:v>46049</x:v>
      </x:c>
      <x:c r="H760" t="str">
        <x:f>Despesas!G724</x:f>
        <x:v>CMOC CUBATÃO</x:v>
      </x:c>
      <x:c r="I760" t="str">
        <x:f>Despesas!H724</x:f>
        <x:v>12.7 - TRANSPORTE FUNCIONARIOS</x:v>
      </x:c>
      <x:c r="J760" s="5" t="n">
        <x:f>Despesas!I724</x:f>
        <x:v>200</x:v>
      </x:c>
      <x:c r="K760" s="5" t="n">
        <x:f>0</x:f>
        <x:v>0</x:v>
      </x:c>
      <x:c r="L760" s="5" t="n">
        <x:f>Despesas!I724</x:f>
        <x:v>200</x:v>
      </x:c>
      <x:c r="M760" s="5" t="n">
        <x:f>-J760</x:f>
        <x:v>-200</x:v>
      </x:c>
    </x:row>
    <x:row r="761">
      <x:c r="A761" t="str">
        <x:f>"Despesa/Custo"</x:f>
        <x:v>Despesa/Custo</x:v>
      </x:c>
      <x:c r="B761" t="str">
        <x:f>Despesas!A725</x:f>
        <x:v>OBRAS SOCIAIS DO CENTRO ESPIRITA IRMAO AUREO</x:v>
      </x:c>
      <x:c r="C761" t="n">
        <x:f>Despesas!B725</x:f>
        <x:v>0</x:v>
      </x:c>
      <x:c r="D761" t="str">
        <x:f>Despesas!C725</x:f>
        <x:v>015764</x:v>
      </x:c>
      <x:c r="E761" t="str">
        <x:f>Despesas!D725</x:f>
        <x:v>JOVEM APRENDIZ</x:v>
      </x:c>
      <x:c r="F761" t="str">
        <x:f>Despesas!E725</x:f>
        <x:v>VENCIMENTO ORIGINAL DO BOLETO 05/02/26</x:v>
      </x:c>
      <x:c r="G761" s="4" t="n">
        <x:f>Despesas!F725</x:f>
        <x:v>46049</x:v>
      </x:c>
      <x:c r="H761" t="str">
        <x:f>Despesas!G725</x:f>
        <x:v>ADMINISTRATIVO</x:v>
      </x:c>
      <x:c r="I761" t="str">
        <x:f>Despesas!H725</x:f>
        <x:v>3.3 - SERVIÇOS DE CONSULTORIA</x:v>
      </x:c>
      <x:c r="J761" s="5" t="n">
        <x:f>Despesas!I725</x:f>
        <x:v>2968.6</x:v>
      </x:c>
      <x:c r="K761" s="5" t="n">
        <x:f>0</x:f>
        <x:v>0</x:v>
      </x:c>
      <x:c r="L761" s="5" t="n">
        <x:f>Despesas!I725</x:f>
        <x:v>2968.6</x:v>
      </x:c>
      <x:c r="M761" s="5" t="n">
        <x:f>-J761</x:f>
        <x:v>-2968.6</x:v>
      </x:c>
    </x:row>
    <x:row r="762">
      <x:c r="A762" t="str">
        <x:f>"Despesa/Custo"</x:f>
        <x:v>Despesa/Custo</x:v>
      </x:c>
      <x:c r="B762" t="str">
        <x:f>Despesas!A726</x:f>
        <x:v>CLINICA OBRAS</x:v>
      </x:c>
      <x:c r="C762" t="n">
        <x:f>Despesas!B726</x:f>
        <x:v>0</x:v>
      </x:c>
      <x:c r="D762" t="str">
        <x:f>Despesas!C726</x:f>
        <x:v>015815</x:v>
      </x:c>
      <x:c r="E762" t="str">
        <x:f>Despesas!D726</x:f>
        <x:v>CARVALHO &amp; PAIXAO LTDA - ME - PIX 07.121.386/0001-39</x:v>
      </x:c>
      <x:c r="F762" t="str">
        <x:f>Despesas!E726</x:f>
        <x:v>EXAMES - ASO</x:v>
      </x:c>
      <x:c r="G762" s="4" t="n">
        <x:f>Despesas!F726</x:f>
        <x:v>46049</x:v>
      </x:c>
      <x:c r="H762" t="str">
        <x:f>Despesas!G726</x:f>
        <x:v>MOSAIC UBERABA CONTRAT0 3 ANOS</x:v>
      </x:c>
      <x:c r="I762" t="str">
        <x:f>Despesas!H726</x:f>
        <x:v>14.1 - EXAMES</x:v>
      </x:c>
      <x:c r="J762" s="5" t="n">
        <x:f>Despesas!I726</x:f>
        <x:v>580</x:v>
      </x:c>
      <x:c r="K762" s="5" t="n">
        <x:f>0</x:f>
        <x:v>0</x:v>
      </x:c>
      <x:c r="L762" s="5" t="n">
        <x:f>Despesas!I726</x:f>
        <x:v>580</x:v>
      </x:c>
      <x:c r="M762" s="5" t="n">
        <x:f>-J762</x:f>
        <x:v>-580</x:v>
      </x:c>
    </x:row>
    <x:row r="763">
      <x:c r="A763" t="str">
        <x:f>"Despesa/Custo"</x:f>
        <x:v>Despesa/Custo</x:v>
      </x:c>
      <x:c r="B763" t="str">
        <x:f>Despesas!A727</x:f>
        <x:v>RODOVIARIA MATEUS CABEÇA BRANCA</x:v>
      </x:c>
      <x:c r="C763" t="n">
        <x:f>Despesas!B727</x:f>
        <x:v>0</x:v>
      </x:c>
      <x:c r="D763" t="str">
        <x:f>Despesas!C727</x:f>
        <x:v>015816</x:v>
      </x:c>
      <x:c r="E763" t="str">
        <x:f>Despesas!D727</x:f>
        <x:v>JOSE MARIA DE MELO SOUSA - PIX (86) 9 9977-0777</x:v>
      </x:c>
      <x:c r="F763" t="str">
        <x:f>Despesas!E727</x:f>
        <x:v>PASSAGENS FUNCIONÁRIOS REF. 19/01 A 23/01</x:v>
      </x:c>
      <x:c r="G763" s="4" t="n">
        <x:f>Despesas!F727</x:f>
        <x:v>46049</x:v>
      </x:c>
      <x:c r="H763" t="str">
        <x:f>Despesas!G727</x:f>
        <x:v>ANGLO AMERICAN</x:v>
      </x:c>
      <x:c r="I763" t="str">
        <x:f>Despesas!H727</x:f>
        <x:v>12.9 - PASSAGENS FUNCIONARIOS</x:v>
      </x:c>
      <x:c r="J763" s="5" t="n">
        <x:f>Despesas!I727</x:f>
        <x:v>755.78</x:v>
      </x:c>
      <x:c r="K763" s="5" t="n">
        <x:f>0</x:f>
        <x:v>0</x:v>
      </x:c>
      <x:c r="L763" s="5" t="n">
        <x:f>Despesas!I727</x:f>
        <x:v>755.78</x:v>
      </x:c>
      <x:c r="M763" s="5" t="n">
        <x:f>-J763</x:f>
        <x:v>-755.78</x:v>
      </x:c>
    </x:row>
    <x:row r="764">
      <x:c r="A764" t="str">
        <x:f>"Despesa/Custo"</x:f>
        <x:v>Despesa/Custo</x:v>
      </x:c>
      <x:c r="B764" t="str">
        <x:f>Despesas!A728</x:f>
        <x:v>RODOVIARIA MATEUS CABEÇA BRANCA</x:v>
      </x:c>
      <x:c r="C764" t="n">
        <x:f>Despesas!B728</x:f>
        <x:v>0</x:v>
      </x:c>
      <x:c r="D764" t="str">
        <x:f>Despesas!C728</x:f>
        <x:v>015816</x:v>
      </x:c>
      <x:c r="E764" t="str">
        <x:f>Despesas!D728</x:f>
        <x:v>JOSE MARIA DE MELO SOUSA - PIX (86) 9 9977-0777</x:v>
      </x:c>
      <x:c r="F764" t="str">
        <x:f>Despesas!E728</x:f>
        <x:v>PASSAGENS FUNCIONÁRIOS REF. 19/01 A 23/01</x:v>
      </x:c>
      <x:c r="G764" s="4" t="n">
        <x:f>Despesas!F728</x:f>
        <x:v>46049</x:v>
      </x:c>
      <x:c r="H764" t="str">
        <x:f>Despesas!G728</x:f>
        <x:v>EUROCHEM SERRA DO SALITRE</x:v>
      </x:c>
      <x:c r="I764" t="str">
        <x:f>Despesas!H728</x:f>
        <x:v>12.9 - PASSAGENS FUNCIONARIOS</x:v>
      </x:c>
      <x:c r="J764" s="5" t="n">
        <x:f>Despesas!I728</x:f>
        <x:v>606.88</x:v>
      </x:c>
      <x:c r="K764" s="5" t="n">
        <x:f>0</x:f>
        <x:v>0</x:v>
      </x:c>
      <x:c r="L764" s="5" t="n">
        <x:f>Despesas!I728</x:f>
        <x:v>606.88</x:v>
      </x:c>
      <x:c r="M764" s="5" t="n">
        <x:f>-J764</x:f>
        <x:v>-606.88</x:v>
      </x:c>
    </x:row>
    <x:row r="765">
      <x:c r="A765" t="str">
        <x:f>"Despesa/Custo"</x:f>
        <x:v>Despesa/Custo</x:v>
      </x:c>
      <x:c r="B765" t="str">
        <x:f>Despesas!A729</x:f>
        <x:v>RODOVIARIA MATEUS CABEÇA BRANCA</x:v>
      </x:c>
      <x:c r="C765" t="n">
        <x:f>Despesas!B729</x:f>
        <x:v>0</x:v>
      </x:c>
      <x:c r="D765" t="str">
        <x:f>Despesas!C729</x:f>
        <x:v>015816</x:v>
      </x:c>
      <x:c r="E765" t="str">
        <x:f>Despesas!D729</x:f>
        <x:v>JOSE MARIA DE MELO SOUSA - PIX (86) 9 9977-0777</x:v>
      </x:c>
      <x:c r="F765" t="str">
        <x:f>Despesas!E729</x:f>
        <x:v>PASSAGENS FUNCIONÁRIOS REF. 19/01 A 23/01</x:v>
      </x:c>
      <x:c r="G765" s="4" t="n">
        <x:f>Despesas!F729</x:f>
        <x:v>46049</x:v>
      </x:c>
      <x:c r="H765" t="str">
        <x:f>Despesas!G729</x:f>
        <x:v>FOSFATO CMOC CONTRAT</x:v>
      </x:c>
      <x:c r="I765" t="str">
        <x:f>Despesas!H729</x:f>
        <x:v>12.9 - PASSAGENS FUNCIONARIOS</x:v>
      </x:c>
      <x:c r="J765" s="5" t="n">
        <x:f>Despesas!I729</x:f>
        <x:v>832.8</x:v>
      </x:c>
      <x:c r="K765" s="5" t="n">
        <x:f>0</x:f>
        <x:v>0</x:v>
      </x:c>
      <x:c r="L765" s="5" t="n">
        <x:f>Despesas!I729</x:f>
        <x:v>832.8</x:v>
      </x:c>
      <x:c r="M765" s="5" t="n">
        <x:f>-J765</x:f>
        <x:v>-832.8</x:v>
      </x:c>
    </x:row>
    <x:row r="766">
      <x:c r="A766" t="str">
        <x:f>"Despesa/Custo"</x:f>
        <x:v>Despesa/Custo</x:v>
      </x:c>
      <x:c r="B766" t="str">
        <x:f>Despesas!A730</x:f>
        <x:v>SEGUROS SURA S/A</x:v>
      </x:c>
      <x:c r="C766" t="n">
        <x:f>Despesas!B730</x:f>
        <x:v>0</x:v>
      </x:c>
      <x:c r="D766" t="str">
        <x:f>Despesas!C730</x:f>
        <x:v>015817</x:v>
      </x:c>
      <x:c r="E766" t="str">
        <x:f>Despesas!D730</x:f>
        <x:v>SEGURO DE VIDA REF. MÊS 12/2025</x:v>
      </x:c>
      <x:c r="F766" t="n">
        <x:f>Despesas!E730</x:f>
        <x:v>0</x:v>
      </x:c>
      <x:c r="G766" s="4" t="n">
        <x:f>Despesas!F730</x:f>
        <x:v>46049</x:v>
      </x:c>
      <x:c r="H766" t="str">
        <x:f>Despesas!G730</x:f>
        <x:v>VLI PINTURA</x:v>
      </x:c>
      <x:c r="I766" t="str">
        <x:f>Despesas!H730</x:f>
        <x:v>12.12 - SEGUROS DE VIDA</x:v>
      </x:c>
      <x:c r="J766" s="5" t="n">
        <x:f>Despesas!I730</x:f>
        <x:v>251.409025</x:v>
      </x:c>
      <x:c r="K766" s="5" t="n">
        <x:f>0</x:f>
        <x:v>0</x:v>
      </x:c>
      <x:c r="L766" s="5" t="n">
        <x:f>Despesas!I730</x:f>
        <x:v>251.409025</x:v>
      </x:c>
      <x:c r="M766" s="5" t="n">
        <x:f>-J766</x:f>
        <x:v>-251.409025</x:v>
      </x:c>
    </x:row>
    <x:row r="767">
      <x:c r="A767" t="str">
        <x:f>"Despesa/Custo"</x:f>
        <x:v>Despesa/Custo</x:v>
      </x:c>
      <x:c r="B767" t="str">
        <x:f>Despesas!A731</x:f>
        <x:v>SEGUROS SURA S/A</x:v>
      </x:c>
      <x:c r="C767" t="n">
        <x:f>Despesas!B731</x:f>
        <x:v>0</x:v>
      </x:c>
      <x:c r="D767" t="str">
        <x:f>Despesas!C731</x:f>
        <x:v>015817</x:v>
      </x:c>
      <x:c r="E767" t="str">
        <x:f>Despesas!D731</x:f>
        <x:v>SEGURO DE VIDA REF. MÊS 12/2025</x:v>
      </x:c>
      <x:c r="F767" t="n">
        <x:f>Despesas!E731</x:f>
        <x:v>0</x:v>
      </x:c>
      <x:c r="G767" s="4" t="n">
        <x:f>Despesas!F731</x:f>
        <x:v>46049</x:v>
      </x:c>
      <x:c r="H767" t="str">
        <x:f>Despesas!G731</x:f>
        <x:v>ADMINISTRATIVO</x:v>
      </x:c>
      <x:c r="I767" t="str">
        <x:f>Despesas!H731</x:f>
        <x:v>12.12 - SEGUROS DE VIDA</x:v>
      </x:c>
      <x:c r="J767" s="5" t="n">
        <x:f>Despesas!I731</x:f>
        <x:v>593.780365</x:v>
      </x:c>
      <x:c r="K767" s="5" t="n">
        <x:f>0</x:f>
        <x:v>0</x:v>
      </x:c>
      <x:c r="L767" s="5" t="n">
        <x:f>Despesas!I731</x:f>
        <x:v>593.780365</x:v>
      </x:c>
      <x:c r="M767" s="5" t="n">
        <x:f>-J767</x:f>
        <x:v>-593.780365</x:v>
      </x:c>
    </x:row>
    <x:row r="768">
      <x:c r="A768" t="str">
        <x:f>"Despesa/Custo"</x:f>
        <x:v>Despesa/Custo</x:v>
      </x:c>
      <x:c r="B768" t="str">
        <x:f>Despesas!A732</x:f>
        <x:v>SEGUROS SURA S/A</x:v>
      </x:c>
      <x:c r="C768" t="n">
        <x:f>Despesas!B732</x:f>
        <x:v>0</x:v>
      </x:c>
      <x:c r="D768" t="str">
        <x:f>Despesas!C732</x:f>
        <x:v>015817</x:v>
      </x:c>
      <x:c r="E768" t="str">
        <x:f>Despesas!D732</x:f>
        <x:v>SEGURO DE VIDA REF. MÊS 12/2025</x:v>
      </x:c>
      <x:c r="F768" t="n">
        <x:f>Despesas!E732</x:f>
        <x:v>0</x:v>
      </x:c>
      <x:c r="G768" s="4" t="n">
        <x:f>Despesas!F732</x:f>
        <x:v>46049</x:v>
      </x:c>
      <x:c r="H768" t="str">
        <x:f>Despesas!G732</x:f>
        <x:v>MOSAIC UBERABA CONTRAT0 3 ANOS</x:v>
      </x:c>
      <x:c r="I768" t="str">
        <x:f>Despesas!H732</x:f>
        <x:v>12.12 - SEGUROS DE VIDA</x:v>
      </x:c>
      <x:c r="J768" s="5" t="n">
        <x:f>Despesas!I732</x:f>
        <x:v>260.387918</x:v>
      </x:c>
      <x:c r="K768" s="5" t="n">
        <x:f>0</x:f>
        <x:v>0</x:v>
      </x:c>
      <x:c r="L768" s="5" t="n">
        <x:f>Despesas!I732</x:f>
        <x:v>260.387918</x:v>
      </x:c>
      <x:c r="M768" s="5" t="n">
        <x:f>-J768</x:f>
        <x:v>-260.387918</x:v>
      </x:c>
    </x:row>
    <x:row r="769">
      <x:c r="A769" t="str">
        <x:f>"Despesa/Custo"</x:f>
        <x:v>Despesa/Custo</x:v>
      </x:c>
      <x:c r="B769" t="str">
        <x:f>Despesas!A733</x:f>
        <x:v>SEGUROS SURA S/A</x:v>
      </x:c>
      <x:c r="C769" t="n">
        <x:f>Despesas!B733</x:f>
        <x:v>0</x:v>
      </x:c>
      <x:c r="D769" t="str">
        <x:f>Despesas!C733</x:f>
        <x:v>015817</x:v>
      </x:c>
      <x:c r="E769" t="str">
        <x:f>Despesas!D733</x:f>
        <x:v>SEGURO DE VIDA REF. MÊS 12/2025</x:v>
      </x:c>
      <x:c r="F769" t="n">
        <x:f>Despesas!E733</x:f>
        <x:v>0</x:v>
      </x:c>
      <x:c r="G769" s="4" t="n">
        <x:f>Despesas!F733</x:f>
        <x:v>46049</x:v>
      </x:c>
      <x:c r="H769" t="str">
        <x:f>Despesas!G733</x:f>
        <x:v>ANGLO AMERICAN</x:v>
      </x:c>
      <x:c r="I769" t="str">
        <x:f>Despesas!H733</x:f>
        <x:v>12.12 - SEGUROS DE VIDA</x:v>
      </x:c>
      <x:c r="J769" s="5" t="n">
        <x:f>Despesas!I733</x:f>
        <x:v>80.810044</x:v>
      </x:c>
      <x:c r="K769" s="5" t="n">
        <x:f>0</x:f>
        <x:v>0</x:v>
      </x:c>
      <x:c r="L769" s="5" t="n">
        <x:f>Despesas!I733</x:f>
        <x:v>80.810044</x:v>
      </x:c>
      <x:c r="M769" s="5" t="n">
        <x:f>-J769</x:f>
        <x:v>-80.810044</x:v>
      </x:c>
    </x:row>
    <x:row r="770">
      <x:c r="A770" t="str">
        <x:f>"Despesa/Custo"</x:f>
        <x:v>Despesa/Custo</x:v>
      </x:c>
      <x:c r="B770" t="str">
        <x:f>Despesas!A734</x:f>
        <x:v>SEGUROS SURA S/A</x:v>
      </x:c>
      <x:c r="C770" t="n">
        <x:f>Despesas!B734</x:f>
        <x:v>0</x:v>
      </x:c>
      <x:c r="D770" t="str">
        <x:f>Despesas!C734</x:f>
        <x:v>015817</x:v>
      </x:c>
      <x:c r="E770" t="str">
        <x:f>Despesas!D734</x:f>
        <x:v>SEGURO DE VIDA REF. MÊS 12/2025</x:v>
      </x:c>
      <x:c r="F770" t="n">
        <x:f>Despesas!E734</x:f>
        <x:v>0</x:v>
      </x:c>
      <x:c r="G770" s="4" t="n">
        <x:f>Despesas!F734</x:f>
        <x:v>46049</x:v>
      </x:c>
      <x:c r="H770" t="str">
        <x:f>Despesas!G734</x:f>
        <x:v>EUROCHEM SERRA DO SALITRE</x:v>
      </x:c>
      <x:c r="I770" t="str">
        <x:f>Despesas!H734</x:f>
        <x:v>12.12 - SEGUROS DE VIDA</x:v>
      </x:c>
      <x:c r="J770" s="5" t="n">
        <x:f>Despesas!I734</x:f>
        <x:v>89.788937</x:v>
      </x:c>
      <x:c r="K770" s="5" t="n">
        <x:f>0</x:f>
        <x:v>0</x:v>
      </x:c>
      <x:c r="L770" s="5" t="n">
        <x:f>Despesas!I734</x:f>
        <x:v>89.788937</x:v>
      </x:c>
      <x:c r="M770" s="5" t="n">
        <x:f>-J770</x:f>
        <x:v>-89.788937</x:v>
      </x:c>
    </x:row>
    <x:row r="771">
      <x:c r="A771" t="str">
        <x:f>"Despesa/Custo"</x:f>
        <x:v>Despesa/Custo</x:v>
      </x:c>
      <x:c r="B771" t="str">
        <x:f>Despesas!A735</x:f>
        <x:v>SEGUROS SURA S/A</x:v>
      </x:c>
      <x:c r="C771" t="n">
        <x:f>Despesas!B735</x:f>
        <x:v>0</x:v>
      </x:c>
      <x:c r="D771" t="str">
        <x:f>Despesas!C735</x:f>
        <x:v>015817</x:v>
      </x:c>
      <x:c r="E771" t="str">
        <x:f>Despesas!D735</x:f>
        <x:v>SEGURO DE VIDA REF. MÊS 12/2025</x:v>
      </x:c>
      <x:c r="F771" t="n">
        <x:f>Despesas!E735</x:f>
        <x:v>0</x:v>
      </x:c>
      <x:c r="G771" s="4" t="n">
        <x:f>Despesas!F735</x:f>
        <x:v>46049</x:v>
      </x:c>
      <x:c r="H771" t="str">
        <x:f>Despesas!G735</x:f>
        <x:v>FOSFATO CMOC CONTRAT</x:v>
      </x:c>
      <x:c r="I771" t="str">
        <x:f>Despesas!H735</x:f>
        <x:v>12.12 - SEGUROS DE VIDA</x:v>
      </x:c>
      <x:c r="J771" s="5" t="n">
        <x:f>Despesas!I735</x:f>
        <x:v>188.556768</x:v>
      </x:c>
      <x:c r="K771" s="5" t="n">
        <x:f>0</x:f>
        <x:v>0</x:v>
      </x:c>
      <x:c r="L771" s="5" t="n">
        <x:f>Despesas!I735</x:f>
        <x:v>188.556768</x:v>
      </x:c>
      <x:c r="M771" s="5" t="n">
        <x:f>-J771</x:f>
        <x:v>-188.556768</x:v>
      </x:c>
    </x:row>
    <x:row r="772">
      <x:c r="A772" t="str">
        <x:f>"Despesa/Custo"</x:f>
        <x:v>Despesa/Custo</x:v>
      </x:c>
      <x:c r="B772" t="str">
        <x:f>Despesas!A736</x:f>
        <x:v>SEGUROS SURA S/A</x:v>
      </x:c>
      <x:c r="C772" t="n">
        <x:f>Despesas!B736</x:f>
        <x:v>0</x:v>
      </x:c>
      <x:c r="D772" t="str">
        <x:f>Despesas!C736</x:f>
        <x:v>015817</x:v>
      </x:c>
      <x:c r="E772" t="str">
        <x:f>Despesas!D736</x:f>
        <x:v>SEGURO DE VIDA REF. MÊS 12/2025</x:v>
      </x:c>
      <x:c r="F772" t="n">
        <x:f>Despesas!E736</x:f>
        <x:v>0</x:v>
      </x:c>
      <x:c r="G772" s="4" t="n">
        <x:f>Despesas!F736</x:f>
        <x:v>46049</x:v>
      </x:c>
      <x:c r="H772" t="str">
        <x:f>Despesas!G736</x:f>
        <x:v>NIOBIO CMOC CONTRATO</x:v>
      </x:c>
      <x:c r="I772" t="str">
        <x:f>Despesas!H736</x:f>
        <x:v>12.12 - SEGUROS DE VIDA</x:v>
      </x:c>
      <x:c r="J772" s="5" t="n">
        <x:f>Despesas!I736</x:f>
        <x:v>116.725619</x:v>
      </x:c>
      <x:c r="K772" s="5" t="n">
        <x:f>0</x:f>
        <x:v>0</x:v>
      </x:c>
      <x:c r="L772" s="5" t="n">
        <x:f>Despesas!I736</x:f>
        <x:v>116.725619</x:v>
      </x:c>
      <x:c r="M772" s="5" t="n">
        <x:f>-J772</x:f>
        <x:v>-116.725619</x:v>
      </x:c>
    </x:row>
    <x:row r="773">
      <x:c r="A773" t="str">
        <x:f>"Despesa/Custo"</x:f>
        <x:v>Despesa/Custo</x:v>
      </x:c>
      <x:c r="B773" t="str">
        <x:f>Despesas!A737</x:f>
        <x:v>SEGUROS SURA S/A</x:v>
      </x:c>
      <x:c r="C773" t="n">
        <x:f>Despesas!B737</x:f>
        <x:v>0</x:v>
      </x:c>
      <x:c r="D773" t="str">
        <x:f>Despesas!C737</x:f>
        <x:v>015817</x:v>
      </x:c>
      <x:c r="E773" t="str">
        <x:f>Despesas!D737</x:f>
        <x:v>SEGURO DE VIDA REF. MÊS 12/2025</x:v>
      </x:c>
      <x:c r="F773" t="n">
        <x:f>Despesas!E737</x:f>
        <x:v>0</x:v>
      </x:c>
      <x:c r="G773" s="4" t="n">
        <x:f>Despesas!F737</x:f>
        <x:v>46049</x:v>
      </x:c>
      <x:c r="H773" t="str">
        <x:f>Despesas!G737</x:f>
        <x:v>SERENA 10 TORRES 2025</x:v>
      </x:c>
      <x:c r="I773" t="str">
        <x:f>Despesas!H737</x:f>
        <x:v>12.12 - SEGUROS DE VIDA</x:v>
      </x:c>
      <x:c r="J773" s="5" t="n">
        <x:f>Despesas!I737</x:f>
        <x:v>170.598981</x:v>
      </x:c>
      <x:c r="K773" s="5" t="n">
        <x:f>0</x:f>
        <x:v>0</x:v>
      </x:c>
      <x:c r="L773" s="5" t="n">
        <x:f>Despesas!I737</x:f>
        <x:v>170.598981</x:v>
      </x:c>
      <x:c r="M773" s="5" t="n">
        <x:f>-J773</x:f>
        <x:v>-170.598981</x:v>
      </x:c>
    </x:row>
    <x:row r="774">
      <x:c r="A774" t="str">
        <x:f>"Despesa/Custo"</x:f>
        <x:v>Despesa/Custo</x:v>
      </x:c>
      <x:c r="B774" t="str">
        <x:f>Despesas!A738</x:f>
        <x:v>SEGUROS SURA S/A</x:v>
      </x:c>
      <x:c r="C774" t="n">
        <x:f>Despesas!B738</x:f>
        <x:v>0</x:v>
      </x:c>
      <x:c r="D774" t="str">
        <x:f>Despesas!C738</x:f>
        <x:v>015817</x:v>
      </x:c>
      <x:c r="E774" t="str">
        <x:f>Despesas!D738</x:f>
        <x:v>SEGURO DE VIDA REF. MÊS 12/2025</x:v>
      </x:c>
      <x:c r="F774" t="n">
        <x:f>Despesas!E738</x:f>
        <x:v>0</x:v>
      </x:c>
      <x:c r="G774" s="4" t="n">
        <x:f>Despesas!F738</x:f>
        <x:v>46049</x:v>
      </x:c>
      <x:c r="H774" t="str">
        <x:f>Despesas!G738</x:f>
        <x:v>CMOC CUBATÃO</x:v>
      </x:c>
      <x:c r="I774" t="str">
        <x:f>Despesas!H738</x:f>
        <x:v>12.12 - SEGUROS DE VIDA</x:v>
      </x:c>
      <x:c r="J774" s="5" t="n">
        <x:f>Despesas!I738</x:f>
        <x:v>134.683406</x:v>
      </x:c>
      <x:c r="K774" s="5" t="n">
        <x:f>0</x:f>
        <x:v>0</x:v>
      </x:c>
      <x:c r="L774" s="5" t="n">
        <x:f>Despesas!I738</x:f>
        <x:v>134.683406</x:v>
      </x:c>
      <x:c r="M774" s="5" t="n">
        <x:f>-J774</x:f>
        <x:v>-134.683406</x:v>
      </x:c>
    </x:row>
    <x:row r="775">
      <x:c r="A775" t="str">
        <x:f>"Despesa/Custo"</x:f>
        <x:v>Despesa/Custo</x:v>
      </x:c>
      <x:c r="B775" t="str">
        <x:f>Despesas!A739</x:f>
        <x:v>SEGUROS SURA S/A</x:v>
      </x:c>
      <x:c r="C775" t="n">
        <x:f>Despesas!B739</x:f>
        <x:v>0</x:v>
      </x:c>
      <x:c r="D775" t="str">
        <x:f>Despesas!C739</x:f>
        <x:v>015817</x:v>
      </x:c>
      <x:c r="E775" t="str">
        <x:f>Despesas!D739</x:f>
        <x:v>SEGURO DE VIDA REF. MÊS 12/2025</x:v>
      </x:c>
      <x:c r="F775" t="n">
        <x:f>Despesas!E739</x:f>
        <x:v>0</x:v>
      </x:c>
      <x:c r="G775" s="4" t="n">
        <x:f>Despesas!F739</x:f>
        <x:v>46049</x:v>
      </x:c>
      <x:c r="H775" t="str">
        <x:f>Despesas!G739</x:f>
        <x:v>CONTRATO 02 ANOS MINERAÇÃO SERRA VERDE</x:v>
      </x:c>
      <x:c r="I775" t="str">
        <x:f>Despesas!H739</x:f>
        <x:v>12.12 - SEGUROS DE VIDA</x:v>
      </x:c>
      <x:c r="J775" s="5" t="n">
        <x:f>Despesas!I739</x:f>
        <x:v>62.852256</x:v>
      </x:c>
      <x:c r="K775" s="5" t="n">
        <x:f>0</x:f>
        <x:v>0</x:v>
      </x:c>
      <x:c r="L775" s="5" t="n">
        <x:f>Despesas!I739</x:f>
        <x:v>62.852256</x:v>
      </x:c>
      <x:c r="M775" s="5" t="n">
        <x:f>-J775</x:f>
        <x:v>-62.852256</x:v>
      </x:c>
    </x:row>
    <x:row r="776">
      <x:c r="A776" t="str">
        <x:f>"Despesa/Custo"</x:f>
        <x:v>Despesa/Custo</x:v>
      </x:c>
      <x:c r="B776" t="str">
        <x:f>Despesas!A740</x:f>
        <x:v>SEGUROS SURA S/A</x:v>
      </x:c>
      <x:c r="C776" t="n">
        <x:f>Despesas!B740</x:f>
        <x:v>0</x:v>
      </x:c>
      <x:c r="D776" t="str">
        <x:f>Despesas!C740</x:f>
        <x:v>015817</x:v>
      </x:c>
      <x:c r="E776" t="str">
        <x:f>Despesas!D740</x:f>
        <x:v>SEGURO DE VIDA REF. MÊS 12/2025</x:v>
      </x:c>
      <x:c r="F776" t="n">
        <x:f>Despesas!E740</x:f>
        <x:v>0</x:v>
      </x:c>
      <x:c r="G776" s="4" t="n">
        <x:f>Despesas!F740</x:f>
        <x:v>46049</x:v>
      </x:c>
      <x:c r="H776" t="str">
        <x:f>Despesas!G740</x:f>
        <x:v>AGREX IMPERMEALIZAÇAO DE TELHADO</x:v>
      </x:c>
      <x:c r="I776" t="str">
        <x:f>Despesas!H740</x:f>
        <x:v>12.12 - SEGUROS DE VIDA</x:v>
      </x:c>
      <x:c r="J776" s="5" t="n">
        <x:f>Despesas!I740</x:f>
        <x:v>26.936681</x:v>
      </x:c>
      <x:c r="K776" s="5" t="n">
        <x:f>0</x:f>
        <x:v>0</x:v>
      </x:c>
      <x:c r="L776" s="5" t="n">
        <x:f>Despesas!I740</x:f>
        <x:v>26.936681</x:v>
      </x:c>
      <x:c r="M776" s="5" t="n">
        <x:f>-J776</x:f>
        <x:v>-26.936681</x:v>
      </x:c>
    </x:row>
    <x:row r="777">
      <x:c r="A777" t="str">
        <x:f>"Despesa/Custo"</x:f>
        <x:v>Despesa/Custo</x:v>
      </x:c>
      <x:c r="B777" t="str">
        <x:f>Despesas!A741</x:f>
        <x:v>DESPESAS DE VIAGEM</x:v>
      </x:c>
      <x:c r="C777" t="n">
        <x:f>Despesas!B741</x:f>
        <x:v>0</x:v>
      </x:c>
      <x:c r="D777" t="str">
        <x:f>Despesas!C741</x:f>
        <x:v>015819</x:v>
      </x:c>
      <x:c r="E777" t="str">
        <x:f>Despesas!D741</x:f>
        <x:v>DESPESA REF. 26/01 A 30/01</x:v>
      </x:c>
      <x:c r="F777" t="n">
        <x:f>Despesas!E741</x:f>
        <x:v>0</x:v>
      </x:c>
      <x:c r="G777" s="4" t="n">
        <x:f>Despesas!F741</x:f>
        <x:v>46049</x:v>
      </x:c>
      <x:c r="H777" t="str">
        <x:f>Despesas!G741</x:f>
        <x:v>VLI PINTURA</x:v>
      </x:c>
      <x:c r="I777" t="str">
        <x:f>Despesas!H741</x:f>
        <x:v>12.5 - REFEIÇÕES FUNCIONARIOS</x:v>
      </x:c>
      <x:c r="J777" s="5" t="n">
        <x:f>Despesas!I741</x:f>
        <x:v>169.206349</x:v>
      </x:c>
      <x:c r="K777" s="5" t="n">
        <x:f>0</x:f>
        <x:v>0</x:v>
      </x:c>
      <x:c r="L777" s="5" t="n">
        <x:f>Despesas!I741</x:f>
        <x:v>169.206349</x:v>
      </x:c>
      <x:c r="M777" s="5" t="n">
        <x:f>-J777</x:f>
        <x:v>-169.206349</x:v>
      </x:c>
    </x:row>
    <x:row r="778">
      <x:c r="A778" t="str">
        <x:f>"Despesa/Custo"</x:f>
        <x:v>Despesa/Custo</x:v>
      </x:c>
      <x:c r="B778" t="str">
        <x:f>Despesas!A742</x:f>
        <x:v>DESPESAS DE VIAGEM</x:v>
      </x:c>
      <x:c r="C778" t="n">
        <x:f>Despesas!B742</x:f>
        <x:v>0</x:v>
      </x:c>
      <x:c r="D778" t="str">
        <x:f>Despesas!C742</x:f>
        <x:v>015819</x:v>
      </x:c>
      <x:c r="E778" t="str">
        <x:f>Despesas!D742</x:f>
        <x:v>DESPESA REF. 26/01 A 30/01</x:v>
      </x:c>
      <x:c r="F778" t="n">
        <x:f>Despesas!E742</x:f>
        <x:v>0</x:v>
      </x:c>
      <x:c r="G778" s="4" t="n">
        <x:f>Despesas!F742</x:f>
        <x:v>46049</x:v>
      </x:c>
      <x:c r="H778" t="str">
        <x:f>Despesas!G742</x:f>
        <x:v>VLI PINTURA</x:v>
      </x:c>
      <x:c r="I778" t="str">
        <x:f>Despesas!H742</x:f>
        <x:v>12.9 - PASSAGENS FUNCIONARIOS</x:v>
      </x:c>
      <x:c r="J778" s="5" t="n">
        <x:f>Despesas!I742</x:f>
        <x:v>240.793651</x:v>
      </x:c>
      <x:c r="K778" s="5" t="n">
        <x:f>0</x:f>
        <x:v>0</x:v>
      </x:c>
      <x:c r="L778" s="5" t="n">
        <x:f>Despesas!I742</x:f>
        <x:v>240.793651</x:v>
      </x:c>
      <x:c r="M778" s="5" t="n">
        <x:f>-J778</x:f>
        <x:v>-240.793651</x:v>
      </x:c>
    </x:row>
    <x:row r="779">
      <x:c r="A779" t="str">
        <x:f>"Despesa/Custo"</x:f>
        <x:v>Despesa/Custo</x:v>
      </x:c>
      <x:c r="B779" t="str">
        <x:f>Despesas!A743</x:f>
        <x:v>DESPESAS DE VIAGEM</x:v>
      </x:c>
      <x:c r="C779" t="n">
        <x:f>Despesas!B743</x:f>
        <x:v>0</x:v>
      </x:c>
      <x:c r="D779" t="str">
        <x:f>Despesas!C743</x:f>
        <x:v>015819</x:v>
      </x:c>
      <x:c r="E779" t="str">
        <x:f>Despesas!D743</x:f>
        <x:v>DESPESA REF. 26/01 A 30/01</x:v>
      </x:c>
      <x:c r="F779" t="n">
        <x:f>Despesas!E743</x:f>
        <x:v>0</x:v>
      </x:c>
      <x:c r="G779" s="4" t="n">
        <x:f>Despesas!F743</x:f>
        <x:v>46049</x:v>
      </x:c>
      <x:c r="H779" t="str">
        <x:f>Despesas!G743</x:f>
        <x:v>SERENA 10 TORRES 2025</x:v>
      </x:c>
      <x:c r="I779" t="str">
        <x:f>Despesas!H743</x:f>
        <x:v>12.5 - REFEIÇÕES FUNCIONARIOS</x:v>
      </x:c>
      <x:c r="J779" s="5" t="n">
        <x:f>Despesas!I743</x:f>
        <x:v>90.793651</x:v>
      </x:c>
      <x:c r="K779" s="5" t="n">
        <x:f>0</x:f>
        <x:v>0</x:v>
      </x:c>
      <x:c r="L779" s="5" t="n">
        <x:f>Despesas!I743</x:f>
        <x:v>90.793651</x:v>
      </x:c>
      <x:c r="M779" s="5" t="n">
        <x:f>-J779</x:f>
        <x:v>-90.793651</x:v>
      </x:c>
    </x:row>
    <x:row r="780">
      <x:c r="A780" t="str">
        <x:f>"Despesa/Custo"</x:f>
        <x:v>Despesa/Custo</x:v>
      </x:c>
      <x:c r="B780" t="str">
        <x:f>Despesas!A744</x:f>
        <x:v>DESPESAS DE VIAGEM</x:v>
      </x:c>
      <x:c r="C780" t="n">
        <x:f>Despesas!B744</x:f>
        <x:v>0</x:v>
      </x:c>
      <x:c r="D780" t="str">
        <x:f>Despesas!C744</x:f>
        <x:v>015819</x:v>
      </x:c>
      <x:c r="E780" t="str">
        <x:f>Despesas!D744</x:f>
        <x:v>DESPESA REF. 26/01 A 30/01</x:v>
      </x:c>
      <x:c r="F780" t="n">
        <x:f>Despesas!E744</x:f>
        <x:v>0</x:v>
      </x:c>
      <x:c r="G780" s="4" t="n">
        <x:f>Despesas!F744</x:f>
        <x:v>46049</x:v>
      </x:c>
      <x:c r="H780" t="str">
        <x:f>Despesas!G744</x:f>
        <x:v>SERENA 10 TORRES 2025</x:v>
      </x:c>
      <x:c r="I780" t="str">
        <x:f>Despesas!H744</x:f>
        <x:v>12.9 - PASSAGENS FUNCIONARIOS</x:v>
      </x:c>
      <x:c r="J780" s="5" t="n">
        <x:f>Despesas!I744</x:f>
        <x:v>129.206349</x:v>
      </x:c>
      <x:c r="K780" s="5" t="n">
        <x:f>0</x:f>
        <x:v>0</x:v>
      </x:c>
      <x:c r="L780" s="5" t="n">
        <x:f>Despesas!I744</x:f>
        <x:v>129.206349</x:v>
      </x:c>
      <x:c r="M780" s="5" t="n">
        <x:f>-J780</x:f>
        <x:v>-129.206349</x:v>
      </x:c>
    </x:row>
    <x:row r="781">
      <x:c r="A781" t="str">
        <x:f>"Despesa/Custo"</x:f>
        <x:v>Despesa/Custo</x:v>
      </x:c>
      <x:c r="B781" t="str">
        <x:f>Despesas!A745</x:f>
        <x:v>MOVIDA PARTICIPACOES S.A.</x:v>
      </x:c>
      <x:c r="C781" t="str">
        <x:f>Despesas!B745</x:f>
        <x:v>7588794</x:v>
      </x:c>
      <x:c r="D781" t="str">
        <x:f>Despesas!C745</x:f>
        <x:v>015820</x:v>
      </x:c>
      <x:c r="E781" t="str">
        <x:f>Despesas!D745</x:f>
        <x:v>LOCAÇÃO VEÍCULO REF. 22/10 A 21/11/25</x:v>
      </x:c>
      <x:c r="F781" t="n">
        <x:f>Despesas!E745</x:f>
        <x:v>0</x:v>
      </x:c>
      <x:c r="G781" s="4" t="n">
        <x:f>Despesas!F745</x:f>
        <x:v>46049</x:v>
      </x:c>
      <x:c r="H781" t="str">
        <x:f>Despesas!G745</x:f>
        <x:v>SERENA 10 TORRES 2025</x:v>
      </x:c>
      <x:c r="I781" t="str">
        <x:f>Despesas!H745</x:f>
        <x:v>7.8 - LOCAÇAO VEICULOS</x:v>
      </x:c>
      <x:c r="J781" s="5" t="n">
        <x:f>Despesas!I745</x:f>
        <x:v>5491.9</x:v>
      </x:c>
      <x:c r="K781" s="5" t="n">
        <x:f>0</x:f>
        <x:v>0</x:v>
      </x:c>
      <x:c r="L781" s="5" t="n">
        <x:f>Despesas!I745</x:f>
        <x:v>5491.9</x:v>
      </x:c>
      <x:c r="M781" s="5" t="n">
        <x:f>-J781</x:f>
        <x:v>-5491.9</x:v>
      </x:c>
    </x:row>
    <x:row r="782">
      <x:c r="A782" t="str">
        <x:f>"Despesa/Custo"</x:f>
        <x:v>Despesa/Custo</x:v>
      </x:c>
      <x:c r="B782" t="str">
        <x:f>Despesas!A746</x:f>
        <x:v>MOVIDA PARTICIPACOES S.A.</x:v>
      </x:c>
      <x:c r="C782" t="str">
        <x:f>Despesas!B746</x:f>
        <x:v>7604560</x:v>
      </x:c>
      <x:c r="D782" t="str">
        <x:f>Despesas!C746</x:f>
        <x:v>015821</x:v>
      </x:c>
      <x:c r="E782" t="str">
        <x:f>Despesas!D746</x:f>
        <x:v>LOCAÇÃO VEÍCULO REF. 24/10 A 23/11/25</x:v>
      </x:c>
      <x:c r="F782" t="n">
        <x:f>Despesas!E746</x:f>
        <x:v>0</x:v>
      </x:c>
      <x:c r="G782" s="4" t="n">
        <x:f>Despesas!F746</x:f>
        <x:v>46049</x:v>
      </x:c>
      <x:c r="H782" t="str">
        <x:f>Despesas!G746</x:f>
        <x:v>ADMINISTRATIVO</x:v>
      </x:c>
      <x:c r="I782" t="str">
        <x:f>Despesas!H746</x:f>
        <x:v>7.8 - LOCAÇAO VEICULOS</x:v>
      </x:c>
      <x:c r="J782" s="5" t="n">
        <x:f>Despesas!I746</x:f>
        <x:v>2767.25</x:v>
      </x:c>
      <x:c r="K782" s="5" t="n">
        <x:f>0</x:f>
        <x:v>0</x:v>
      </x:c>
      <x:c r="L782" s="5" t="n">
        <x:f>Despesas!I746</x:f>
        <x:v>2767.25</x:v>
      </x:c>
      <x:c r="M782" s="5" t="n">
        <x:f>-J782</x:f>
        <x:v>-2767.25</x:v>
      </x:c>
    </x:row>
    <x:row r="783">
      <x:c r="A783" t="str">
        <x:f>"Despesa/Custo"</x:f>
        <x:v>Despesa/Custo</x:v>
      </x:c>
      <x:c r="B783" t="str">
        <x:f>Despesas!A747</x:f>
        <x:v>MOTO BOY CLAUDEMIR</x:v>
      </x:c>
      <x:c r="C783" t="n">
        <x:f>Despesas!B747</x:f>
        <x:v>0</x:v>
      </x:c>
      <x:c r="D783" t="str">
        <x:f>Despesas!C747</x:f>
        <x:v>015822</x:v>
      </x:c>
      <x:c r="E783" t="str">
        <x:f>Despesas!D747</x:f>
        <x:v>CLAUDEMIR NUNES DA SILVA - PIX (62) 9 9193-5380</x:v>
      </x:c>
      <x:c r="F783" t="str">
        <x:f>Despesas!E747</x:f>
        <x:v>BUSCAR PLACAS E ADESIVOS</x:v>
      </x:c>
      <x:c r="G783" s="4" t="n">
        <x:f>Despesas!F747</x:f>
        <x:v>46049</x:v>
      </x:c>
      <x:c r="H783" t="str">
        <x:f>Despesas!G747</x:f>
        <x:v>ADMINISTRATIVO</x:v>
      </x:c>
      <x:c r="I783" t="str">
        <x:f>Despesas!H747</x:f>
        <x:v>3.8 - SERVIÇO MOTOBOY / UBER</x:v>
      </x:c>
      <x:c r="J783" s="5" t="n">
        <x:f>Despesas!I747</x:f>
        <x:v>150</x:v>
      </x:c>
      <x:c r="K783" s="5" t="n">
        <x:f>0</x:f>
        <x:v>0</x:v>
      </x:c>
      <x:c r="L783" s="5" t="n">
        <x:f>Despesas!I747</x:f>
        <x:v>150</x:v>
      </x:c>
      <x:c r="M783" s="5" t="n">
        <x:f>-J783</x:f>
        <x:v>-150</x:v>
      </x:c>
    </x:row>
    <x:row r="784">
      <x:c r="A784" t="str">
        <x:f>"Despesa/Custo"</x:f>
        <x:v>Despesa/Custo</x:v>
      </x:c>
      <x:c r="B784" t="str">
        <x:f>Despesas!A748</x:f>
        <x:v>MULTIPLACAS SINALIZADORAS LTDA</x:v>
      </x:c>
      <x:c r="C784" t="str">
        <x:f>Despesas!B748</x:f>
        <x:v>103</x:v>
      </x:c>
      <x:c r="D784" t="str">
        <x:f>Despesas!C748</x:f>
        <x:v>015823</x:v>
      </x:c>
      <x:c r="E784" t="str">
        <x:f>Despesas!D748</x:f>
        <x:v>ESPEDITO NICOLAU DOS SANTOS - PIX  58.568.133/0001-49</x:v>
      </x:c>
      <x:c r="F784" t="str">
        <x:f>Despesas!E748</x:f>
        <x:v>ADESIVO REFLETIVO - VENDA MOSAIC</x:v>
      </x:c>
      <x:c r="G784" s="4" t="n">
        <x:f>Despesas!F748</x:f>
        <x:v>46049</x:v>
      </x:c>
      <x:c r="H784" t="str">
        <x:f>Despesas!G748</x:f>
        <x:v>MOSAIC UBERABA CONTRAT0 3 ANOS</x:v>
      </x:c>
      <x:c r="I784" t="str">
        <x:f>Despesas!H748</x:f>
        <x:v>3.16 - SERVIÇO PLOTAGEM / ADESIVO / PLACAS / CRACHAS</x:v>
      </x:c>
      <x:c r="J784" s="5" t="n">
        <x:f>Despesas!I748</x:f>
        <x:v>10096.66</x:v>
      </x:c>
      <x:c r="K784" s="5" t="n">
        <x:f>0</x:f>
        <x:v>0</x:v>
      </x:c>
      <x:c r="L784" s="5" t="n">
        <x:f>Despesas!I748</x:f>
        <x:v>10096.66</x:v>
      </x:c>
      <x:c r="M784" s="5" t="n">
        <x:f>-J784</x:f>
        <x:v>-10096.66</x:v>
      </x:c>
    </x:row>
    <x:row r="785">
      <x:c r="A785" t="str">
        <x:f>"Despesa/Custo"</x:f>
        <x:v>Despesa/Custo</x:v>
      </x:c>
      <x:c r="B785" t="str">
        <x:f>Despesas!A749</x:f>
        <x:v>MULTIPLACAS SINALIZADORAS LTDA</x:v>
      </x:c>
      <x:c r="C785" t="str">
        <x:f>Despesas!B749</x:f>
        <x:v>103</x:v>
      </x:c>
      <x:c r="D785" t="str">
        <x:f>Despesas!C749</x:f>
        <x:v>015823</x:v>
      </x:c>
      <x:c r="E785" t="str">
        <x:f>Despesas!D749</x:f>
        <x:v>ESPEDITO NICOLAU DOS SANTOS - PIX  58.568.133/0001-49</x:v>
      </x:c>
      <x:c r="F785" t="str">
        <x:f>Despesas!E749</x:f>
        <x:v>ADESIVO REFLETIVO - VENDA MOSAIC</x:v>
      </x:c>
      <x:c r="G785" s="4" t="n">
        <x:f>Despesas!F749</x:f>
        <x:v>46049</x:v>
      </x:c>
      <x:c r="H785" t="str">
        <x:f>Despesas!G749</x:f>
        <x:v>MOSAIC UBERABA CONTRAT0 3 ANOS</x:v>
      </x:c>
      <x:c r="I785" t="str">
        <x:f>Despesas!H749</x:f>
        <x:v>3.16 - SERVIÇO PLOTAGEM / ADESIVO / PLACAS / CRACHAS</x:v>
      </x:c>
      <x:c r="J785" s="5" t="n">
        <x:f>Despesas!I749</x:f>
        <x:v>10096.67</x:v>
      </x:c>
      <x:c r="K785" s="5" t="n">
        <x:f>0</x:f>
        <x:v>0</x:v>
      </x:c>
      <x:c r="L785" s="5" t="n">
        <x:f>Despesas!I749</x:f>
        <x:v>10096.67</x:v>
      </x:c>
      <x:c r="M785" s="5" t="n">
        <x:f>-J785</x:f>
        <x:v>-10096.67</x:v>
      </x:c>
    </x:row>
    <x:row r="786">
      <x:c r="A786" t="str">
        <x:f>"Despesa/Custo"</x:f>
        <x:v>Despesa/Custo</x:v>
      </x:c>
      <x:c r="B786" t="str">
        <x:f>Despesas!A750</x:f>
        <x:v>MULTIPLACAS SINALIZADORAS LTDA</x:v>
      </x:c>
      <x:c r="C786" t="str">
        <x:f>Despesas!B750</x:f>
        <x:v>103</x:v>
      </x:c>
      <x:c r="D786" t="str">
        <x:f>Despesas!C750</x:f>
        <x:v>015823</x:v>
      </x:c>
      <x:c r="E786" t="str">
        <x:f>Despesas!D750</x:f>
        <x:v>ESPEDITO NICOLAU DOS SANTOS - PIX  58.568.133/0001-49</x:v>
      </x:c>
      <x:c r="F786" t="str">
        <x:f>Despesas!E750</x:f>
        <x:v>ADESIVO REFLETIVO - VENDA MOSAIC</x:v>
      </x:c>
      <x:c r="G786" s="4" t="n">
        <x:f>Despesas!F750</x:f>
        <x:v>46049</x:v>
      </x:c>
      <x:c r="H786" t="str">
        <x:f>Despesas!G750</x:f>
        <x:v>MOSAIC UBERABA CONTRAT0 3 ANOS</x:v>
      </x:c>
      <x:c r="I786" t="str">
        <x:f>Despesas!H750</x:f>
        <x:v>3.16 - SERVIÇO PLOTAGEM / ADESIVO / PLACAS / CRACHAS</x:v>
      </x:c>
      <x:c r="J786" s="5" t="n">
        <x:f>Despesas!I750</x:f>
        <x:v>10096.67</x:v>
      </x:c>
      <x:c r="K786" s="5" t="n">
        <x:f>0</x:f>
        <x:v>0</x:v>
      </x:c>
      <x:c r="L786" s="5" t="n">
        <x:f>Despesas!I750</x:f>
        <x:v>10096.67</x:v>
      </x:c>
      <x:c r="M786" s="5" t="n">
        <x:f>-J786</x:f>
        <x:v>-10096.67</x:v>
      </x:c>
    </x:row>
    <x:row r="787">
      <x:c r="A787" t="str">
        <x:f>"Despesa/Custo"</x:f>
        <x:v>Despesa/Custo</x:v>
      </x:c>
      <x:c r="B787" t="str">
        <x:f>Despesas!A751</x:f>
        <x:v>ZERO ONE TECNOLOGIA DA INFORMAÇAO LTDA</x:v>
      </x:c>
      <x:c r="C787" t="str">
        <x:f>Despesas!B751</x:f>
        <x:v>995</x:v>
      </x:c>
      <x:c r="D787" t="str">
        <x:f>Despesas!C751</x:f>
        <x:v>015830</x:v>
      </x:c>
      <x:c r="E787" t="str">
        <x:f>Despesas!D751</x:f>
        <x:v>SISTEMA OBRA PRIMA</x:v>
      </x:c>
      <x:c r="F787" t="str">
        <x:f>Despesas!E751</x:f>
        <x:v>VENCIMENTO ORIGINAL DO BOLETO 10/02/26</x:v>
      </x:c>
      <x:c r="G787" s="4" t="n">
        <x:f>Despesas!F751</x:f>
        <x:v>46049</x:v>
      </x:c>
      <x:c r="H787" t="str">
        <x:f>Despesas!G751</x:f>
        <x:v>ADMINISTRATIVO</x:v>
      </x:c>
      <x:c r="I787" t="str">
        <x:f>Despesas!H751</x:f>
        <x:v>11.8 - SISTEMA / SERVIDOR</x:v>
      </x:c>
      <x:c r="J787" s="5" t="n">
        <x:f>Despesas!I751</x:f>
        <x:v>860.1</x:v>
      </x:c>
      <x:c r="K787" s="5" t="n">
        <x:f>0</x:f>
        <x:v>0</x:v>
      </x:c>
      <x:c r="L787" s="5" t="n">
        <x:f>Despesas!I751</x:f>
        <x:v>860.1</x:v>
      </x:c>
      <x:c r="M787" s="5" t="n">
        <x:f>-J787</x:f>
        <x:v>-860.1</x:v>
      </x:c>
    </x:row>
    <x:row r="788">
      <x:c r="A788" t="str">
        <x:f>"Despesa/Custo"</x:f>
        <x:v>Despesa/Custo</x:v>
      </x:c>
      <x:c r="B788" t="str">
        <x:f>Despesas!A752</x:f>
        <x:v>CABANHA E FACAS &amp; BRINDES</x:v>
      </x:c>
      <x:c r="C788" t="str">
        <x:f>Despesas!B752</x:f>
        <x:v>610</x:v>
      </x:c>
      <x:c r="D788" t="str">
        <x:f>Despesas!C752</x:f>
        <x:v>015832</x:v>
      </x:c>
      <x:c r="E788" t="str">
        <x:f>Despesas!D752</x:f>
        <x:v>BRINDES</x:v>
      </x:c>
      <x:c r="F788" t="str">
        <x:f>Despesas!E752</x:f>
        <x:v>VENCIMENTO ORIGINAL DO 2º E 3º BOLETO 26/02 E 28/03</x:v>
      </x:c>
      <x:c r="G788" s="4" t="n">
        <x:f>Despesas!F752</x:f>
        <x:v>46049</x:v>
      </x:c>
      <x:c r="H788" t="str">
        <x:f>Despesas!G752</x:f>
        <x:v>ADMINISTRATIVO</x:v>
      </x:c>
      <x:c r="I788" t="str">
        <x:f>Despesas!H752</x:f>
        <x:v>3.19 - SERVIÇO BRINDES E ACESSORIOS E EVENTOS</x:v>
      </x:c>
      <x:c r="J788" s="5" t="n">
        <x:f>Despesas!I752</x:f>
        <x:v>532</x:v>
      </x:c>
      <x:c r="K788" s="5" t="n">
        <x:f>0</x:f>
        <x:v>0</x:v>
      </x:c>
      <x:c r="L788" s="5" t="n">
        <x:f>Despesas!I752</x:f>
        <x:v>532</x:v>
      </x:c>
      <x:c r="M788" s="5" t="n">
        <x:f>-J788</x:f>
        <x:v>-532</x:v>
      </x:c>
    </x:row>
    <x:row r="789">
      <x:c r="A789" t="str">
        <x:f>"Despesa/Custo"</x:f>
        <x:v>Despesa/Custo</x:v>
      </x:c>
      <x:c r="B789" t="str">
        <x:f>Despesas!A753</x:f>
        <x:v>CABANHA E FACAS &amp; BRINDES</x:v>
      </x:c>
      <x:c r="C789" t="str">
        <x:f>Despesas!B753</x:f>
        <x:v>610</x:v>
      </x:c>
      <x:c r="D789" t="str">
        <x:f>Despesas!C753</x:f>
        <x:v>015832</x:v>
      </x:c>
      <x:c r="E789" t="str">
        <x:f>Despesas!D753</x:f>
        <x:v>BRINDES</x:v>
      </x:c>
      <x:c r="F789" t="str">
        <x:f>Despesas!E753</x:f>
        <x:v>VENCIMENTO ORIGINAL DO 2º E 3º BOLETO 26/02 E 28/03</x:v>
      </x:c>
      <x:c r="G789" s="4" t="n">
        <x:f>Despesas!F753</x:f>
        <x:v>46049</x:v>
      </x:c>
      <x:c r="H789" t="str">
        <x:f>Despesas!G753</x:f>
        <x:v>ADMINISTRATIVO</x:v>
      </x:c>
      <x:c r="I789" t="str">
        <x:f>Despesas!H753</x:f>
        <x:v>3.19 - SERVIÇO BRINDES E ACESSORIOS E EVENTOS</x:v>
      </x:c>
      <x:c r="J789" s="5" t="n">
        <x:f>Despesas!I753</x:f>
        <x:v>532</x:v>
      </x:c>
      <x:c r="K789" s="5" t="n">
        <x:f>0</x:f>
        <x:v>0</x:v>
      </x:c>
      <x:c r="L789" s="5" t="n">
        <x:f>Despesas!I753</x:f>
        <x:v>532</x:v>
      </x:c>
      <x:c r="M789" s="5" t="n">
        <x:f>-J789</x:f>
        <x:v>-532</x:v>
      </x:c>
    </x:row>
    <x:row r="790">
      <x:c r="A790" t="str">
        <x:f>"Despesa/Custo"</x:f>
        <x:v>Despesa/Custo</x:v>
      </x:c>
      <x:c r="B790" t="str">
        <x:f>Despesas!A754</x:f>
        <x:v>CABANHA E FACAS &amp; BRINDES</x:v>
      </x:c>
      <x:c r="C790" t="str">
        <x:f>Despesas!B754</x:f>
        <x:v>610</x:v>
      </x:c>
      <x:c r="D790" t="str">
        <x:f>Despesas!C754</x:f>
        <x:v>015832</x:v>
      </x:c>
      <x:c r="E790" t="str">
        <x:f>Despesas!D754</x:f>
        <x:v>BRINDES</x:v>
      </x:c>
      <x:c r="F790" t="str">
        <x:f>Despesas!E754</x:f>
        <x:v>VENCIMENTO ORIGINAL DO 2º E 3º BOLETO 26/02 E 28/03</x:v>
      </x:c>
      <x:c r="G790" s="4" t="n">
        <x:f>Despesas!F754</x:f>
        <x:v>46049</x:v>
      </x:c>
      <x:c r="H790" t="str">
        <x:f>Despesas!G754</x:f>
        <x:v>ADMINISTRATIVO</x:v>
      </x:c>
      <x:c r="I790" t="str">
        <x:f>Despesas!H754</x:f>
        <x:v>3.19 - SERVIÇO BRINDES E ACESSORIOS E EVENTOS</x:v>
      </x:c>
      <x:c r="J790" s="5" t="n">
        <x:f>Despesas!I754</x:f>
        <x:v>532</x:v>
      </x:c>
      <x:c r="K790" s="5" t="n">
        <x:f>0</x:f>
        <x:v>0</x:v>
      </x:c>
      <x:c r="L790" s="5" t="n">
        <x:f>Despesas!I754</x:f>
        <x:v>532</x:v>
      </x:c>
      <x:c r="M790" s="5" t="n">
        <x:f>-J790</x:f>
        <x:v>-532</x:v>
      </x:c>
    </x:row>
    <x:row r="791">
      <x:c r="A791" t="str">
        <x:f>"Despesa/Custo"</x:f>
        <x:v>Despesa/Custo</x:v>
      </x:c>
      <x:c r="B791" t="str">
        <x:f>Despesas!A755</x:f>
        <x:v>DANIEL BATISTA  DE LIMA</x:v>
      </x:c>
      <x:c r="C791" t="str">
        <x:f>Despesas!B755</x:f>
        <x:v>434</x:v>
      </x:c>
      <x:c r="D791" t="str">
        <x:f>Despesas!C755</x:f>
        <x:v>015833</x:v>
      </x:c>
      <x:c r="E791" t="str">
        <x:f>Despesas!D755</x:f>
        <x:v>GASTOS COM INFRAESTRUTURA SEDE</x:v>
      </x:c>
      <x:c r="F791" t="str">
        <x:f>Despesas!E755</x:f>
        <x:v>VENCIMENTO ORIGINAL DO BOLETO 06/02/26</x:v>
      </x:c>
      <x:c r="G791" s="4" t="n">
        <x:f>Despesas!F755</x:f>
        <x:v>46049</x:v>
      </x:c>
      <x:c r="H791" t="str">
        <x:f>Despesas!G755</x:f>
        <x:v>ADMINISTRATIVO</x:v>
      </x:c>
      <x:c r="I791" t="str">
        <x:f>Despesas!H755</x:f>
        <x:v>15.8 - GASTOS COM INFRAESTRUTURA SEDE</x:v>
      </x:c>
      <x:c r="J791" s="5" t="n">
        <x:f>Despesas!I755</x:f>
        <x:v>185</x:v>
      </x:c>
      <x:c r="K791" s="5" t="n">
        <x:f>0</x:f>
        <x:v>0</x:v>
      </x:c>
      <x:c r="L791" s="5" t="n">
        <x:f>Despesas!I755</x:f>
        <x:v>185</x:v>
      </x:c>
      <x:c r="M791" s="5" t="n">
        <x:f>-J791</x:f>
        <x:v>-185</x:v>
      </x:c>
    </x:row>
    <x:row r="792">
      <x:c r="A792" t="str">
        <x:f>"Despesa/Custo"</x:f>
        <x:v>Despesa/Custo</x:v>
      </x:c>
      <x:c r="B792" t="str">
        <x:f>Despesas!A756</x:f>
        <x:v>MANUTENÇÃO EQUIPAMENTOS</x:v>
      </x:c>
      <x:c r="C792" t="str">
        <x:f>Despesas!B756</x:f>
        <x:v>519</x:v>
      </x:c>
      <x:c r="D792" t="str">
        <x:f>Despesas!C756</x:f>
        <x:v>015838</x:v>
      </x:c>
      <x:c r="E792" t="str">
        <x:f>Despesas!D756</x:f>
        <x:v>HL SERVICOS USINAGEM E CALDEIR - PIX 1dc56f17-ad71-4ef7-af28-6d46d392d294</x:v>
      </x:c>
      <x:c r="F792" t="str">
        <x:f>Despesas!E756</x:f>
        <x:v>MANUTENÇÃO HIDROJATO</x:v>
      </x:c>
      <x:c r="G792" s="4" t="n">
        <x:f>Despesas!F756</x:f>
        <x:v>46049</x:v>
      </x:c>
      <x:c r="H792" t="str">
        <x:f>Despesas!G756</x:f>
        <x:v>VLI PINTURA</x:v>
      </x:c>
      <x:c r="I792" t="str">
        <x:f>Despesas!H756</x:f>
        <x:v>8.14 - MANUTENÇÃO/PEÇAS MAQUINAS E EQUIPAMENTOS</x:v>
      </x:c>
      <x:c r="J792" s="5" t="n">
        <x:f>Despesas!I756</x:f>
        <x:v>500</x:v>
      </x:c>
      <x:c r="K792" s="5" t="n">
        <x:f>0</x:f>
        <x:v>0</x:v>
      </x:c>
      <x:c r="L792" s="5" t="n">
        <x:f>Despesas!I756</x:f>
        <x:v>500</x:v>
      </x:c>
      <x:c r="M792" s="5" t="n">
        <x:f>-J792</x:f>
        <x:v>-500</x:v>
      </x:c>
    </x:row>
    <x:row r="793">
      <x:c r="A793" t="str">
        <x:f>"Despesa/Custo"</x:f>
        <x:v>Despesa/Custo</x:v>
      </x:c>
      <x:c r="B793" t="str">
        <x:f>Despesas!A757</x:f>
        <x:v>PRO MINAS MATERIAIS DE SEGURANÇA LTDA</x:v>
      </x:c>
      <x:c r="C793" t="str">
        <x:f>Despesas!B757</x:f>
        <x:v>87894</x:v>
      </x:c>
      <x:c r="D793" t="str">
        <x:f>Despesas!C757</x:f>
        <x:v>015855</x:v>
      </x:c>
      <x:c r="E793" t="str">
        <x:f>Despesas!D757</x:f>
        <x:v>EPIS</x:v>
      </x:c>
      <x:c r="F793" t="n">
        <x:f>Despesas!E757</x:f>
        <x:v>0</x:v>
      </x:c>
      <x:c r="G793" s="4" t="n">
        <x:f>Despesas!F757</x:f>
        <x:v>46049</x:v>
      </x:c>
      <x:c r="H793" t="str">
        <x:f>Despesas!G757</x:f>
        <x:v>MOSAIC UBERABA CONTRAT0 3 ANOS</x:v>
      </x:c>
      <x:c r="I793" t="str">
        <x:f>Despesas!H757</x:f>
        <x:v>13.1 - EPIS</x:v>
      </x:c>
      <x:c r="J793" s="5" t="n">
        <x:f>Despesas!I757</x:f>
        <x:v>405</x:v>
      </x:c>
      <x:c r="K793" s="5" t="n">
        <x:f>0</x:f>
        <x:v>0</x:v>
      </x:c>
      <x:c r="L793" s="5" t="n">
        <x:f>Despesas!I757</x:f>
        <x:v>405</x:v>
      </x:c>
      <x:c r="M793" s="5" t="n">
        <x:f>-J793</x:f>
        <x:v>-405</x:v>
      </x:c>
    </x:row>
    <x:row r="794">
      <x:c r="A794" t="str">
        <x:f>"Despesa/Custo"</x:f>
        <x:v>Despesa/Custo</x:v>
      </x:c>
      <x:c r="B794" t="str">
        <x:f>Despesas!A758</x:f>
        <x:v>FONTEBRAS HOME CENTER COM. DE MAT. PARA CONST. LTDA - EPP</x:v>
      </x:c>
      <x:c r="C794" t="str">
        <x:f>Despesas!B758</x:f>
        <x:v>19562</x:v>
      </x:c>
      <x:c r="D794" t="str">
        <x:f>Despesas!C758</x:f>
        <x:v>015908</x:v>
      </x:c>
      <x:c r="E794" t="str">
        <x:f>Despesas!D758</x:f>
        <x:v>MATERIAIS DE LIMPEZA</x:v>
      </x:c>
      <x:c r="F794" t="str">
        <x:f>Despesas!E758</x:f>
        <x:v>VENCIMENTO ORIGINAL DO BOLETO 24/02/26</x:v>
      </x:c>
      <x:c r="G794" s="4" t="n">
        <x:f>Despesas!F758</x:f>
        <x:v>46049</x:v>
      </x:c>
      <x:c r="H794" t="str">
        <x:f>Despesas!G758</x:f>
        <x:v>VLI PINTURA</x:v>
      </x:c>
      <x:c r="I794" t="str">
        <x:f>Despesas!H758</x:f>
        <x:v>8.11 - MATERIAIS DE LIMPEZA / HIGIENE</x:v>
      </x:c>
      <x:c r="J794" s="5" t="n">
        <x:f>Despesas!I758</x:f>
        <x:v>148.81</x:v>
      </x:c>
      <x:c r="K794" s="5" t="n">
        <x:f>0</x:f>
        <x:v>0</x:v>
      </x:c>
      <x:c r="L794" s="5" t="n">
        <x:f>Despesas!I758</x:f>
        <x:v>148.81</x:v>
      </x:c>
      <x:c r="M794" s="5" t="n">
        <x:f>-J794</x:f>
        <x:v>-148.81</x:v>
      </x:c>
    </x:row>
    <x:row r="795">
      <x:c r="A795" t="str">
        <x:f>"Despesa/Custo"</x:f>
        <x:v>Despesa/Custo</x:v>
      </x:c>
      <x:c r="B795" t="str">
        <x:f>Despesas!A759</x:f>
        <x:v>GENILDO</x:v>
      </x:c>
      <x:c r="C795" t="str">
        <x:f>Despesas!B759</x:f>
        <x:v>8943</x:v>
      </x:c>
      <x:c r="D795" t="str">
        <x:f>Despesas!C759</x:f>
        <x:v>015970</x:v>
      </x:c>
      <x:c r="E795" t="str">
        <x:f>Despesas!D759</x:f>
        <x:v>HOSPEDAGEM GENILDO</x:v>
      </x:c>
      <x:c r="F795" t="str">
        <x:f>Despesas!E759</x:f>
        <x:v>REEMBOLSO GENILDO</x:v>
      </x:c>
      <x:c r="G795" s="4" t="n">
        <x:f>Despesas!F759</x:f>
        <x:v>46049</x:v>
      </x:c>
      <x:c r="H795" t="str">
        <x:f>Despesas!G759</x:f>
        <x:v>CONTRATO 02 ANOS MINERAÇÃO SERRA VERDE</x:v>
      </x:c>
      <x:c r="I795" t="str">
        <x:f>Despesas!H759</x:f>
        <x:v>5.1 - HOTEL FUNCIONARIOS</x:v>
      </x:c>
      <x:c r="J795" s="5" t="n">
        <x:f>Despesas!I759</x:f>
        <x:v>326</x:v>
      </x:c>
      <x:c r="K795" s="5" t="n">
        <x:f>0</x:f>
        <x:v>0</x:v>
      </x:c>
      <x:c r="L795" s="5" t="n">
        <x:f>Despesas!I759</x:f>
        <x:v>326</x:v>
      </x:c>
      <x:c r="M795" s="5" t="n">
        <x:f>-J795</x:f>
        <x:v>-326</x:v>
      </x:c>
    </x:row>
    <x:row r="796">
      <x:c r="A796" t="str">
        <x:f>"Despesa/Custo"</x:f>
        <x:v>Despesa/Custo</x:v>
      </x:c>
      <x:c r="B796" t="str">
        <x:f>Despesas!A760</x:f>
        <x:v>GENILDO</x:v>
      </x:c>
      <x:c r="C796" t="str">
        <x:f>Despesas!B760</x:f>
        <x:v>15803</x:v>
      </x:c>
      <x:c r="D796" t="str">
        <x:f>Despesas!C760</x:f>
        <x:v>015972</x:v>
      </x:c>
      <x:c r="E796" t="str">
        <x:f>Despesas!D760</x:f>
        <x:v>HOSPEDAGEM IVAN CESAR</x:v>
      </x:c>
      <x:c r="F796" t="str">
        <x:f>Despesas!E760</x:f>
        <x:v>REEMBOLSO GENILDO</x:v>
      </x:c>
      <x:c r="G796" s="4" t="n">
        <x:f>Despesas!F760</x:f>
        <x:v>46049</x:v>
      </x:c>
      <x:c r="H796" t="str">
        <x:f>Despesas!G760</x:f>
        <x:v>CONTRATO 02 ANOS MINERAÇÃO SERRA VERDE</x:v>
      </x:c>
      <x:c r="I796" t="str">
        <x:f>Despesas!H760</x:f>
        <x:v>5.1 - HOTEL FUNCIONARIOS</x:v>
      </x:c>
      <x:c r="J796" s="5" t="n">
        <x:f>Despesas!I760</x:f>
        <x:v>180</x:v>
      </x:c>
      <x:c r="K796" s="5" t="n">
        <x:f>0</x:f>
        <x:v>0</x:v>
      </x:c>
      <x:c r="L796" s="5" t="n">
        <x:f>Despesas!I760</x:f>
        <x:v>180</x:v>
      </x:c>
      <x:c r="M796" s="5" t="n">
        <x:f>-J796</x:f>
        <x:v>-180</x:v>
      </x:c>
    </x:row>
    <x:row r="797">
      <x:c r="A797" t="str">
        <x:f>"Despesa/Custo"</x:f>
        <x:v>Despesa/Custo</x:v>
      </x:c>
      <x:c r="B797" t="str">
        <x:f>Despesas!A761</x:f>
        <x:v>COPASA SANEAMENTO</x:v>
      </x:c>
      <x:c r="C797" t="n">
        <x:f>Despesas!B761</x:f>
        <x:v>0</x:v>
      </x:c>
      <x:c r="D797" t="str">
        <x:f>Despesas!C761</x:f>
        <x:v>015777</x:v>
      </x:c>
      <x:c r="E797" t="str">
        <x:f>Despesas!D761</x:f>
        <x:v>R. JACY GUIMARÃES, 12 REF. 01/2025</x:v>
      </x:c>
      <x:c r="F797" t="str">
        <x:f>Despesas!E761</x:f>
        <x:v>MATRICULA 0 013 063 237 6 / IDENTIFICADOR  0 014 324 897 9</x:v>
      </x:c>
      <x:c r="G797" s="4" t="n">
        <x:f>Despesas!F761</x:f>
        <x:v>46050</x:v>
      </x:c>
      <x:c r="H797" t="str">
        <x:f>Despesas!G761</x:f>
        <x:v>EUROCHEM SERRA DO SALITRE</x:v>
      </x:c>
      <x:c r="I797" t="str">
        <x:f>Despesas!H761</x:f>
        <x:v>5.4 - AGUA ALOJAMENTO</x:v>
      </x:c>
      <x:c r="J797" s="5" t="n">
        <x:f>Despesas!I761</x:f>
        <x:v>45.72</x:v>
      </x:c>
      <x:c r="K797" s="5" t="n">
        <x:f>0</x:f>
        <x:v>0</x:v>
      </x:c>
      <x:c r="L797" s="5" t="n">
        <x:f>Despesas!I761</x:f>
        <x:v>45.72</x:v>
      </x:c>
      <x:c r="M797" s="5" t="n">
        <x:f>-J797</x:f>
        <x:v>-45.72</x:v>
      </x:c>
    </x:row>
    <x:row r="798">
      <x:c r="A798" t="str">
        <x:f>"Despesa/Custo"</x:f>
        <x:v>Despesa/Custo</x:v>
      </x:c>
      <x:c r="B798" t="str">
        <x:f>Despesas!A762</x:f>
        <x:v>POSTO A+ COMERCIO DE COMBUSTIVEL LTDA</x:v>
      </x:c>
      <x:c r="C798" t="str">
        <x:f>Despesas!B762</x:f>
        <x:v>20409</x:v>
      </x:c>
      <x:c r="D798" t="str">
        <x:f>Despesas!C762</x:f>
        <x:v>015778</x:v>
      </x:c>
      <x:c r="E798" t="str">
        <x:f>Despesas!D762</x:f>
        <x:v>COMBUSTÍVEL VEÍCULOS</x:v>
      </x:c>
      <x:c r="F798" t="n">
        <x:f>Despesas!E762</x:f>
        <x:v>0</x:v>
      </x:c>
      <x:c r="G798" s="4" t="n">
        <x:f>Despesas!F762</x:f>
        <x:v>46050</x:v>
      </x:c>
      <x:c r="H798" t="str">
        <x:f>Despesas!G762</x:f>
        <x:v>VLI PINTURA</x:v>
      </x:c>
      <x:c r="I798" t="str">
        <x:f>Despesas!H762</x:f>
        <x:v>8.13 - COMBUSTIVEL EQUIPAMENTOS</x:v>
      </x:c>
      <x:c r="J798" s="5" t="n">
        <x:f>Despesas!I762</x:f>
        <x:v>500</x:v>
      </x:c>
      <x:c r="K798" s="5" t="n">
        <x:f>0</x:f>
        <x:v>0</x:v>
      </x:c>
      <x:c r="L798" s="5" t="n">
        <x:f>Despesas!I762</x:f>
        <x:v>500</x:v>
      </x:c>
      <x:c r="M798" s="5" t="n">
        <x:f>-J798</x:f>
        <x:v>-500</x:v>
      </x:c>
    </x:row>
    <x:row r="799">
      <x:c r="A799" t="str">
        <x:f>"Despesa/Custo"</x:f>
        <x:v>Despesa/Custo</x:v>
      </x:c>
      <x:c r="B799" t="str">
        <x:f>Despesas!A763</x:f>
        <x:v>POSTO A+ COMERCIO DE COMBUSTIVEL LTDA</x:v>
      </x:c>
      <x:c r="C799" t="str">
        <x:f>Despesas!B763</x:f>
        <x:v>20409</x:v>
      </x:c>
      <x:c r="D799" t="str">
        <x:f>Despesas!C763</x:f>
        <x:v>015778</x:v>
      </x:c>
      <x:c r="E799" t="str">
        <x:f>Despesas!D763</x:f>
        <x:v>COMBUSTÍVEL VEÍCULOS</x:v>
      </x:c>
      <x:c r="F799" t="n">
        <x:f>Despesas!E763</x:f>
        <x:v>0</x:v>
      </x:c>
      <x:c r="G799" s="4" t="n">
        <x:f>Despesas!F763</x:f>
        <x:v>46050</x:v>
      </x:c>
      <x:c r="H799" t="str">
        <x:f>Despesas!G763</x:f>
        <x:v>VLI PINTURA</x:v>
      </x:c>
      <x:c r="I799" t="str">
        <x:f>Despesas!H763</x:f>
        <x:v>6.4 - COMBUSTIVEL VEICULOS</x:v>
      </x:c>
      <x:c r="J799" s="5" t="n">
        <x:f>Despesas!I763</x:f>
        <x:v>1049.03</x:v>
      </x:c>
      <x:c r="K799" s="5" t="n">
        <x:f>0</x:f>
        <x:v>0</x:v>
      </x:c>
      <x:c r="L799" s="5" t="n">
        <x:f>Despesas!I763</x:f>
        <x:v>1049.03</x:v>
      </x:c>
      <x:c r="M799" s="5" t="n">
        <x:f>-J799</x:f>
        <x:v>-1049.03</x:v>
      </x:c>
    </x:row>
    <x:row r="800">
      <x:c r="A800" t="str">
        <x:f>"Despesa/Custo"</x:f>
        <x:v>Despesa/Custo</x:v>
      </x:c>
      <x:c r="B800" t="str">
        <x:f>Despesas!A764</x:f>
        <x:v>SANEAMENTO DE GOIA S.A</x:v>
      </x:c>
      <x:c r="C800" t="n">
        <x:f>Despesas!B764</x:f>
        <x:v>0</x:v>
      </x:c>
      <x:c r="D800" t="str">
        <x:f>Despesas!C764</x:f>
        <x:v>015780</x:v>
      </x:c>
      <x:c r="E800" t="str">
        <x:f>Despesas!D764</x:f>
        <x:v>R. SANTO ANTÔNIO QD 04 LT 07 REF. 01/2025</x:v>
      </x:c>
      <x:c r="F800" t="str">
        <x:f>Despesas!E764</x:f>
        <x:v>CONTA Nº 0521587-0</x:v>
      </x:c>
      <x:c r="G800" s="4" t="n">
        <x:f>Despesas!F764</x:f>
        <x:v>46050</x:v>
      </x:c>
      <x:c r="H800" t="str">
        <x:f>Despesas!G764</x:f>
        <x:v>ANGLO AMERICAN</x:v>
      </x:c>
      <x:c r="I800" t="str">
        <x:f>Despesas!H764</x:f>
        <x:v>5.4 - AGUA ALOJAMENTO</x:v>
      </x:c>
      <x:c r="J800" s="5" t="n">
        <x:f>Despesas!I764</x:f>
        <x:v>743.05</x:v>
      </x:c>
      <x:c r="K800" s="5" t="n">
        <x:f>0</x:f>
        <x:v>0</x:v>
      </x:c>
      <x:c r="L800" s="5" t="n">
        <x:f>Despesas!I764</x:f>
        <x:v>743.05</x:v>
      </x:c>
      <x:c r="M800" s="5" t="n">
        <x:f>-J800</x:f>
        <x:v>-743.05</x:v>
      </x:c>
    </x:row>
    <x:row r="801">
      <x:c r="A801" t="str">
        <x:f>"Despesa/Custo"</x:f>
        <x:v>Despesa/Custo</x:v>
      </x:c>
      <x:c r="B801" t="str">
        <x:f>Despesas!A765</x:f>
        <x:v>RESCISOES / FGTS</x:v>
      </x:c>
      <x:c r="C801" t="n">
        <x:f>Despesas!B765</x:f>
        <x:v>0</x:v>
      </x:c>
      <x:c r="D801" t="str">
        <x:f>Despesas!C765</x:f>
        <x:v>015782</x:v>
      </x:c>
      <x:c r="E801" t="str">
        <x:f>Despesas!D765</x:f>
        <x:v>JOÃO DE DEUS DE SOUSA SILVA</x:v>
      </x:c>
      <x:c r="F801" t="str">
        <x:f>Despesas!E765</x:f>
        <x:v>MULTA RESCISÓRIA</x:v>
      </x:c>
      <x:c r="G801" s="4" t="n">
        <x:f>Despesas!F765</x:f>
        <x:v>46050</x:v>
      </x:c>
      <x:c r="H801" t="str">
        <x:f>Despesas!G765</x:f>
        <x:v>SERENA 10 TORRES 2025</x:v>
      </x:c>
      <x:c r="I801" t="str">
        <x:f>Despesas!H765</x:f>
        <x:v>12.4 - MULTA RESCISORIAS FGTS</x:v>
      </x:c>
      <x:c r="J801" s="5" t="n">
        <x:f>Despesas!I765</x:f>
        <x:v>9143.74</x:v>
      </x:c>
      <x:c r="K801" s="5" t="n">
        <x:f>0</x:f>
        <x:v>0</x:v>
      </x:c>
      <x:c r="L801" s="5" t="n">
        <x:f>Despesas!I765</x:f>
        <x:v>9143.74</x:v>
      </x:c>
      <x:c r="M801" s="5" t="n">
        <x:f>-J801</x:f>
        <x:v>-9143.74</x:v>
      </x:c>
    </x:row>
    <x:row r="802">
      <x:c r="A802" t="str">
        <x:f>"Despesa/Custo"</x:f>
        <x:v>Despesa/Custo</x:v>
      </x:c>
      <x:c r="B802" t="str">
        <x:f>Despesas!A766</x:f>
        <x:v>RESCISOES / FGTS</x:v>
      </x:c>
      <x:c r="C802" t="n">
        <x:f>Despesas!B766</x:f>
        <x:v>0</x:v>
      </x:c>
      <x:c r="D802" t="str">
        <x:f>Despesas!C766</x:f>
        <x:v>015784</x:v>
      </x:c>
      <x:c r="E802" t="str">
        <x:f>Despesas!D766</x:f>
        <x:v>IADSON DA SILVA BASTOS</x:v>
      </x:c>
      <x:c r="F802" t="str">
        <x:f>Despesas!E766</x:f>
        <x:v>MULTA RESCISÓRIA</x:v>
      </x:c>
      <x:c r="G802" s="4" t="n">
        <x:f>Despesas!F766</x:f>
        <x:v>46050</x:v>
      </x:c>
      <x:c r="H802" t="str">
        <x:f>Despesas!G766</x:f>
        <x:v>SERENA 10 TORRES 2025</x:v>
      </x:c>
      <x:c r="I802" t="str">
        <x:f>Despesas!H766</x:f>
        <x:v>12.4 - MULTA RESCISORIAS FGTS</x:v>
      </x:c>
      <x:c r="J802" s="5" t="n">
        <x:f>Despesas!I766</x:f>
        <x:v>5320.95</x:v>
      </x:c>
      <x:c r="K802" s="5" t="n">
        <x:f>0</x:f>
        <x:v>0</x:v>
      </x:c>
      <x:c r="L802" s="5" t="n">
        <x:f>Despesas!I766</x:f>
        <x:v>5320.95</x:v>
      </x:c>
      <x:c r="M802" s="5" t="n">
        <x:f>-J802</x:f>
        <x:v>-5320.95</x:v>
      </x:c>
    </x:row>
    <x:row r="803">
      <x:c r="A803" t="str">
        <x:f>"Despesa/Custo"</x:f>
        <x:v>Despesa/Custo</x:v>
      </x:c>
      <x:c r="B803" t="str">
        <x:f>Despesas!A767</x:f>
        <x:v>RESCISOES / FGTS</x:v>
      </x:c>
      <x:c r="C803" t="n">
        <x:f>Despesas!B767</x:f>
        <x:v>0</x:v>
      </x:c>
      <x:c r="D803" t="str">
        <x:f>Despesas!C767</x:f>
        <x:v>015787</x:v>
      </x:c>
      <x:c r="E803" t="str">
        <x:f>Despesas!D767</x:f>
        <x:v>GILVAN BASTISTA DA SILVA</x:v>
      </x:c>
      <x:c r="F803" t="str">
        <x:f>Despesas!E767</x:f>
        <x:v>MULTA RESCISÓRIA</x:v>
      </x:c>
      <x:c r="G803" s="4" t="n">
        <x:f>Despesas!F767</x:f>
        <x:v>46050</x:v>
      </x:c>
      <x:c r="H803" t="str">
        <x:f>Despesas!G767</x:f>
        <x:v>SERENA 10 TORRES 2025</x:v>
      </x:c>
      <x:c r="I803" t="str">
        <x:f>Despesas!H767</x:f>
        <x:v>12.4 - MULTA RESCISORIAS FGTS</x:v>
      </x:c>
      <x:c r="J803" s="5" t="n">
        <x:f>Despesas!I767</x:f>
        <x:v>5623.83</x:v>
      </x:c>
      <x:c r="K803" s="5" t="n">
        <x:f>0</x:f>
        <x:v>0</x:v>
      </x:c>
      <x:c r="L803" s="5" t="n">
        <x:f>Despesas!I767</x:f>
        <x:v>5623.83</x:v>
      </x:c>
      <x:c r="M803" s="5" t="n">
        <x:f>-J803</x:f>
        <x:v>-5623.83</x:v>
      </x:c>
    </x:row>
    <x:row r="804">
      <x:c r="A804" t="str">
        <x:f>"Despesa/Custo"</x:f>
        <x:v>Despesa/Custo</x:v>
      </x:c>
      <x:c r="B804" t="str">
        <x:f>Despesas!A768</x:f>
        <x:v>RESCISOES / FGTS</x:v>
      </x:c>
      <x:c r="C804" t="n">
        <x:f>Despesas!B768</x:f>
        <x:v>0</x:v>
      </x:c>
      <x:c r="D804" t="str">
        <x:f>Despesas!C768</x:f>
        <x:v>015790</x:v>
      </x:c>
      <x:c r="E804" t="str">
        <x:f>Despesas!D768</x:f>
        <x:v>ERIC SANTOS DA SILVA</x:v>
      </x:c>
      <x:c r="F804" t="str">
        <x:f>Despesas!E768</x:f>
        <x:v>MULTA RESCISÓRIA</x:v>
      </x:c>
      <x:c r="G804" s="4" t="n">
        <x:f>Despesas!F768</x:f>
        <x:v>46050</x:v>
      </x:c>
      <x:c r="H804" t="str">
        <x:f>Despesas!G768</x:f>
        <x:v>SERENA 10 TORRES 2025</x:v>
      </x:c>
      <x:c r="I804" t="str">
        <x:f>Despesas!H768</x:f>
        <x:v>12.4 - MULTA RESCISORIAS FGTS</x:v>
      </x:c>
      <x:c r="J804" s="5" t="n">
        <x:f>Despesas!I768</x:f>
        <x:v>3774.02</x:v>
      </x:c>
      <x:c r="K804" s="5" t="n">
        <x:f>0</x:f>
        <x:v>0</x:v>
      </x:c>
      <x:c r="L804" s="5" t="n">
        <x:f>Despesas!I768</x:f>
        <x:v>3774.02</x:v>
      </x:c>
      <x:c r="M804" s="5" t="n">
        <x:f>-J804</x:f>
        <x:v>-3774.02</x:v>
      </x:c>
    </x:row>
    <x:row r="805">
      <x:c r="A805" t="str">
        <x:f>"Despesa/Custo"</x:f>
        <x:v>Despesa/Custo</x:v>
      </x:c>
      <x:c r="B805" t="str">
        <x:f>Despesas!A769</x:f>
        <x:v>FGTS</x:v>
      </x:c>
      <x:c r="C805" t="n">
        <x:f>Despesas!B769</x:f>
        <x:v>0</x:v>
      </x:c>
      <x:c r="D805" t="str">
        <x:f>Despesas!C769</x:f>
        <x:v>015798</x:v>
      </x:c>
      <x:c r="E805" t="str">
        <x:f>Despesas!D769</x:f>
        <x:v>ITHAUANNY SOUSA COSTA</x:v>
      </x:c>
      <x:c r="F805" t="str">
        <x:f>Despesas!E769</x:f>
        <x:v>FGTS REF. 01/2026</x:v>
      </x:c>
      <x:c r="G805" s="4" t="n">
        <x:f>Despesas!F769</x:f>
        <x:v>46050</x:v>
      </x:c>
      <x:c r="H805" t="str">
        <x:f>Despesas!G769</x:f>
        <x:v>CMOC CUBATÃO</x:v>
      </x:c>
      <x:c r="I805" t="str">
        <x:f>Despesas!H769</x:f>
        <x:v>12.14 - FGTS FUNCIONARIOS</x:v>
      </x:c>
      <x:c r="J805" s="5" t="n">
        <x:f>Despesas!I769</x:f>
        <x:v>143.99</x:v>
      </x:c>
      <x:c r="K805" s="5" t="n">
        <x:f>0</x:f>
        <x:v>0</x:v>
      </x:c>
      <x:c r="L805" s="5" t="n">
        <x:f>Despesas!I769</x:f>
        <x:v>143.99</x:v>
      </x:c>
      <x:c r="M805" s="5" t="n">
        <x:f>-J805</x:f>
        <x:v>-143.99</x:v>
      </x:c>
    </x:row>
    <x:row r="806">
      <x:c r="A806" t="str">
        <x:f>"Despesa/Custo"</x:f>
        <x:v>Despesa/Custo</x:v>
      </x:c>
      <x:c r="B806" t="str">
        <x:f>Despesas!A770</x:f>
        <x:v>RESCISOES / FGTS</x:v>
      </x:c>
      <x:c r="C806" t="n">
        <x:f>Despesas!B770</x:f>
        <x:v>0</x:v>
      </x:c>
      <x:c r="D806" t="str">
        <x:f>Despesas!C770</x:f>
        <x:v>015801</x:v>
      </x:c>
      <x:c r="E806" t="str">
        <x:f>Despesas!D770</x:f>
        <x:v>JOAO FERNANDES MORAIS SILVA</x:v>
      </x:c>
      <x:c r="F806" t="str">
        <x:f>Despesas!E770</x:f>
        <x:v>MULTA RESCISÓRIA</x:v>
      </x:c>
      <x:c r="G806" s="4" t="n">
        <x:f>Despesas!F770</x:f>
        <x:v>46050</x:v>
      </x:c>
      <x:c r="H806" t="str">
        <x:f>Despesas!G770</x:f>
        <x:v>VLI PINTURA</x:v>
      </x:c>
      <x:c r="I806" t="str">
        <x:f>Despesas!H770</x:f>
        <x:v>12.4 - MULTA RESCISORIAS FGTS</x:v>
      </x:c>
      <x:c r="J806" s="5" t="n">
        <x:f>Despesas!I770</x:f>
        <x:v>4192.11</x:v>
      </x:c>
      <x:c r="K806" s="5" t="n">
        <x:f>0</x:f>
        <x:v>0</x:v>
      </x:c>
      <x:c r="L806" s="5" t="n">
        <x:f>Despesas!I770</x:f>
        <x:v>4192.11</x:v>
      </x:c>
      <x:c r="M806" s="5" t="n">
        <x:f>-J806</x:f>
        <x:v>-4192.11</x:v>
      </x:c>
    </x:row>
    <x:row r="807">
      <x:c r="A807" t="str">
        <x:f>"Despesa/Custo"</x:f>
        <x:v>Despesa/Custo</x:v>
      </x:c>
      <x:c r="B807" t="str">
        <x:f>Despesas!A771</x:f>
        <x:v>DETRAN - GO</x:v>
      </x:c>
      <x:c r="C807" t="n">
        <x:f>Despesas!B771</x:f>
        <x:v>0</x:v>
      </x:c>
      <x:c r="D807" t="str">
        <x:f>Despesas!C771</x:f>
        <x:v>015818</x:v>
      </x:c>
      <x:c r="E807" t="str">
        <x:f>Despesas!D771</x:f>
        <x:v>MULTA DE TRANSITO - RANGER RBN3G39</x:v>
      </x:c>
      <x:c r="F807" t="n">
        <x:f>Despesas!E771</x:f>
        <x:v>0</x:v>
      </x:c>
      <x:c r="G807" s="4" t="n">
        <x:f>Despesas!F771</x:f>
        <x:v>46050</x:v>
      </x:c>
      <x:c r="H807" t="str">
        <x:f>Despesas!G771</x:f>
        <x:v>VEICULOS</x:v>
      </x:c>
      <x:c r="I807" t="str">
        <x:f>Despesas!H771</x:f>
        <x:v>6.2 - MULTAS DE TRANSITO</x:v>
      </x:c>
      <x:c r="J807" s="5" t="n">
        <x:f>Despesas!I771</x:f>
        <x:v>234.29</x:v>
      </x:c>
      <x:c r="K807" s="5" t="n">
        <x:f>0</x:f>
        <x:v>0</x:v>
      </x:c>
      <x:c r="L807" s="5" t="n">
        <x:f>Despesas!I771</x:f>
        <x:v>234.29</x:v>
      </x:c>
      <x:c r="M807" s="5" t="n">
        <x:f>-J807</x:f>
        <x:v>-234.29</x:v>
      </x:c>
    </x:row>
    <x:row r="808">
      <x:c r="A808" t="str">
        <x:f>"Despesa/Custo"</x:f>
        <x:v>Despesa/Custo</x:v>
      </x:c>
      <x:c r="B808" t="str">
        <x:f>Despesas!A772</x:f>
        <x:v>JACINTO FERNANDES</x:v>
      </x:c>
      <x:c r="C808" t="n">
        <x:f>Despesas!B772</x:f>
        <x:v>0</x:v>
      </x:c>
      <x:c r="D808" t="str">
        <x:f>Despesas!C772</x:f>
        <x:v>015824</x:v>
      </x:c>
      <x:c r="E808" t="str">
        <x:f>Despesas!D772</x:f>
        <x:v>DESP. REF. 19/01 A 25/01</x:v>
      </x:c>
      <x:c r="F808" t="str">
        <x:f>Despesas!E772</x:f>
        <x:v>REEMBOLSO JACINTO</x:v>
      </x:c>
      <x:c r="G808" s="4" t="n">
        <x:f>Despesas!F772</x:f>
        <x:v>46050</x:v>
      </x:c>
      <x:c r="H808" t="str">
        <x:f>Despesas!G772</x:f>
        <x:v>SERENA 10 TORRES 2025</x:v>
      </x:c>
      <x:c r="I808" t="str">
        <x:f>Despesas!H772</x:f>
        <x:v>6.10 - SERVIÇO LAVA JATO</x:v>
      </x:c>
      <x:c r="J808" s="5" t="n">
        <x:f>Despesas!I772</x:f>
        <x:v>80</x:v>
      </x:c>
      <x:c r="K808" s="5" t="n">
        <x:f>0</x:f>
        <x:v>0</x:v>
      </x:c>
      <x:c r="L808" s="5" t="n">
        <x:f>Despesas!I772</x:f>
        <x:v>80</x:v>
      </x:c>
      <x:c r="M808" s="5" t="n">
        <x:f>-J808</x:f>
        <x:v>-80</x:v>
      </x:c>
    </x:row>
    <x:row r="809">
      <x:c r="A809" t="str">
        <x:f>"Despesa/Custo"</x:f>
        <x:v>Despesa/Custo</x:v>
      </x:c>
      <x:c r="B809" t="str">
        <x:f>Despesas!A773</x:f>
        <x:v>AGNALDO BASILIO ENG SEGURANÇA</x:v>
      </x:c>
      <x:c r="C809" t="n">
        <x:f>Despesas!B773</x:f>
        <x:v>0</x:v>
      </x:c>
      <x:c r="D809" t="str">
        <x:f>Despesas!C773</x:f>
        <x:v>015825</x:v>
      </x:c>
      <x:c r="E809" t="str">
        <x:f>Despesas!D773</x:f>
        <x:v>AGNALDO BASÍLICO - PIX 585.550.641-04</x:v>
      </x:c>
      <x:c r="F809" t="str">
        <x:f>Despesas!E773</x:f>
        <x:v>CONFECÇÃO DO PPP DE COLABORADORES</x:v>
      </x:c>
      <x:c r="G809" s="4" t="n">
        <x:f>Despesas!F773</x:f>
        <x:v>46050</x:v>
      </x:c>
      <x:c r="H809" t="str">
        <x:f>Despesas!G773</x:f>
        <x:v>ADMINISTRATIVO</x:v>
      </x:c>
      <x:c r="I809" t="str">
        <x:f>Despesas!H773</x:f>
        <x:v>14.3 - PROGRAMA DE SEGURANÇA DO TRABALHO</x:v>
      </x:c>
      <x:c r="J809" s="5" t="n">
        <x:f>Despesas!I773</x:f>
        <x:v>120</x:v>
      </x:c>
      <x:c r="K809" s="5" t="n">
        <x:f>0</x:f>
        <x:v>0</x:v>
      </x:c>
      <x:c r="L809" s="5" t="n">
        <x:f>Despesas!I773</x:f>
        <x:v>120</x:v>
      </x:c>
      <x:c r="M809" s="5" t="n">
        <x:f>-J809</x:f>
        <x:v>-120</x:v>
      </x:c>
    </x:row>
    <x:row r="810">
      <x:c r="A810" t="str">
        <x:f>"Despesa/Custo"</x:f>
        <x:v>Despesa/Custo</x:v>
      </x:c>
      <x:c r="B810" t="str">
        <x:f>Despesas!A774</x:f>
        <x:v>UBER MOACIR</x:v>
      </x:c>
      <x:c r="C810" t="n">
        <x:f>Despesas!B774</x:f>
        <x:v>0</x:v>
      </x:c>
      <x:c r="D810" t="str">
        <x:f>Despesas!C774</x:f>
        <x:v>015826</x:v>
      </x:c>
      <x:c r="E810" t="str">
        <x:f>Despesas!D774</x:f>
        <x:v>MOACIR BERNARDO DE BRITO SANTO - PIX (62) 9 9179-6006</x:v>
      </x:c>
      <x:c r="F810" t="str">
        <x:f>Despesas!E774</x:f>
        <x:v>LEVAR IMPRESSÃO</x:v>
      </x:c>
      <x:c r="G810" s="4" t="n">
        <x:f>Despesas!F774</x:f>
        <x:v>46050</x:v>
      </x:c>
      <x:c r="H810" t="str">
        <x:f>Despesas!G774</x:f>
        <x:v>ADMINISTRATIVO</x:v>
      </x:c>
      <x:c r="I810" t="str">
        <x:f>Despesas!H774</x:f>
        <x:v>3.8 - SERVIÇO MOTOBOY / UBER</x:v>
      </x:c>
      <x:c r="J810" s="5" t="n">
        <x:f>Despesas!I774</x:f>
        <x:v>70</x:v>
      </x:c>
      <x:c r="K810" s="5" t="n">
        <x:f>0</x:f>
        <x:v>0</x:v>
      </x:c>
      <x:c r="L810" s="5" t="n">
        <x:f>Despesas!I774</x:f>
        <x:v>70</x:v>
      </x:c>
      <x:c r="M810" s="5" t="n">
        <x:f>-J810</x:f>
        <x:v>-70</x:v>
      </x:c>
    </x:row>
    <x:row r="811">
      <x:c r="A811" t="str">
        <x:f>"Despesa/Custo"</x:f>
        <x:v>Despesa/Custo</x:v>
      </x:c>
      <x:c r="B811" t="str">
        <x:f>Despesas!A775</x:f>
        <x:v>CR DIESEL ( CARLOS RITLER )</x:v>
      </x:c>
      <x:c r="C811" t="n">
        <x:f>Despesas!B775</x:f>
        <x:v>0</x:v>
      </x:c>
      <x:c r="D811" t="str">
        <x:f>Despesas!C775</x:f>
        <x:v>015828</x:v>
      </x:c>
      <x:c r="E811" t="str">
        <x:f>Despesas!D775</x:f>
        <x:v>.CARLOS RITLER MOREIRA  CNPJ 58.255.772/0001-54</x:v>
      </x:c>
      <x:c r="F811" t="str">
        <x:f>Despesas!E775</x:f>
        <x:v>MANUTENÇÃO VEÍCULOS - ARGO</x:v>
      </x:c>
      <x:c r="G811" s="4" t="n">
        <x:f>Despesas!F775</x:f>
        <x:v>46050</x:v>
      </x:c>
      <x:c r="H811" t="str">
        <x:f>Despesas!G775</x:f>
        <x:v>SERENA 10 TORRES 2025</x:v>
      </x:c>
      <x:c r="I811" t="str">
        <x:f>Despesas!H775</x:f>
        <x:v>6.3 - MANUTENÇÃO/PEÇAS  VEICULOS</x:v>
      </x:c>
      <x:c r="J811" s="5" t="n">
        <x:f>Despesas!I775</x:f>
        <x:v>367</x:v>
      </x:c>
      <x:c r="K811" s="5" t="n">
        <x:f>0</x:f>
        <x:v>0</x:v>
      </x:c>
      <x:c r="L811" s="5" t="n">
        <x:f>Despesas!I775</x:f>
        <x:v>367</x:v>
      </x:c>
      <x:c r="M811" s="5" t="n">
        <x:f>-J811</x:f>
        <x:v>-367</x:v>
      </x:c>
    </x:row>
    <x:row r="812">
      <x:c r="A812" t="str">
        <x:f>"Despesa/Custo"</x:f>
        <x:v>Despesa/Custo</x:v>
      </x:c>
      <x:c r="B812" t="str">
        <x:f>Despesas!A776</x:f>
        <x:v>CR DIESEL ( CARLOS RITLER )</x:v>
      </x:c>
      <x:c r="C812" t="n">
        <x:f>Despesas!B776</x:f>
        <x:v>0</x:v>
      </x:c>
      <x:c r="D812" t="str">
        <x:f>Despesas!C776</x:f>
        <x:v>015829</x:v>
      </x:c>
      <x:c r="E812" t="str">
        <x:f>Despesas!D776</x:f>
        <x:v>.CARLOS RITLER MOREIRA  CNPJ 58.255.772/0001-54</x:v>
      </x:c>
      <x:c r="F812" t="str">
        <x:f>Despesas!E776</x:f>
        <x:v>MANUTENÇÃO VEÍCULOS - S-10</x:v>
      </x:c>
      <x:c r="G812" s="4" t="n">
        <x:f>Despesas!F776</x:f>
        <x:v>46050</x:v>
      </x:c>
      <x:c r="H812" t="str">
        <x:f>Despesas!G776</x:f>
        <x:v>SERENA 10 TORRES 2025</x:v>
      </x:c>
      <x:c r="I812" t="str">
        <x:f>Despesas!H776</x:f>
        <x:v>6.3 - MANUTENÇÃO/PEÇAS  VEICULOS</x:v>
      </x:c>
      <x:c r="J812" s="5" t="n">
        <x:f>Despesas!I776</x:f>
        <x:v>565</x:v>
      </x:c>
      <x:c r="K812" s="5" t="n">
        <x:f>0</x:f>
        <x:v>0</x:v>
      </x:c>
      <x:c r="L812" s="5" t="n">
        <x:f>Despesas!I776</x:f>
        <x:v>565</x:v>
      </x:c>
      <x:c r="M812" s="5" t="n">
        <x:f>-J812</x:f>
        <x:v>-565</x:v>
      </x:c>
    </x:row>
    <x:row r="813">
      <x:c r="A813" t="str">
        <x:f>"Despesa/Custo"</x:f>
        <x:v>Despesa/Custo</x:v>
      </x:c>
      <x:c r="B813" t="str">
        <x:f>Despesas!A777</x:f>
        <x:v>MARIA DA FE VIDAL PASCOA COMBUSTIVEIS LTDA</x:v>
      </x:c>
      <x:c r="C813" t="str">
        <x:f>Despesas!B777</x:f>
        <x:v>163</x:v>
      </x:c>
      <x:c r="D813" t="str">
        <x:f>Despesas!C777</x:f>
        <x:v>015836</x:v>
      </x:c>
      <x:c r="E813" t="str">
        <x:f>Despesas!D777</x:f>
        <x:v>MARIA DA FE VIDAL PASCOA - PIX 07.430.239/0001-40</x:v>
      </x:c>
      <x:c r="F813" t="str">
        <x:f>Despesas!E777</x:f>
        <x:v>COMBUSTÍVEL VEÍCULOS</x:v>
      </x:c>
      <x:c r="G813" s="4" t="n">
        <x:f>Despesas!F777</x:f>
        <x:v>46050</x:v>
      </x:c>
      <x:c r="H813" t="str">
        <x:f>Despesas!G777</x:f>
        <x:v>SERENA 10 TORRES 2025</x:v>
      </x:c>
      <x:c r="I813" t="str">
        <x:f>Despesas!H777</x:f>
        <x:v>6.4 - COMBUSTIVEL VEICULOS</x:v>
      </x:c>
      <x:c r="J813" s="5" t="n">
        <x:f>Despesas!I777</x:f>
        <x:v>642.88</x:v>
      </x:c>
      <x:c r="K813" s="5" t="n">
        <x:f>0</x:f>
        <x:v>0</x:v>
      </x:c>
      <x:c r="L813" s="5" t="n">
        <x:f>Despesas!I777</x:f>
        <x:v>642.88</x:v>
      </x:c>
      <x:c r="M813" s="5" t="n">
        <x:f>-J813</x:f>
        <x:v>-642.88</x:v>
      </x:c>
    </x:row>
    <x:row r="814">
      <x:c r="A814" t="str">
        <x:f>"Despesa/Custo"</x:f>
        <x:v>Despesa/Custo</x:v>
      </x:c>
      <x:c r="B814" t="str">
        <x:f>Despesas!A778</x:f>
        <x:v>DESPESAS DE VIAGEM</x:v>
      </x:c>
      <x:c r="C814" t="n">
        <x:f>Despesas!B778</x:f>
        <x:v>0</x:v>
      </x:c>
      <x:c r="D814" t="str">
        <x:f>Despesas!C778</x:f>
        <x:v>015837</x:v>
      </x:c>
      <x:c r="E814" t="str">
        <x:f>Despesas!D778</x:f>
        <x:v>PASSAGEM FUNCIONÁRIO KEVIN DE JESUS</x:v>
      </x:c>
      <x:c r="F814" t="n">
        <x:f>Despesas!E778</x:f>
        <x:v>0</x:v>
      </x:c>
      <x:c r="G814" s="4" t="n">
        <x:f>Despesas!F778</x:f>
        <x:v>46050</x:v>
      </x:c>
      <x:c r="H814" t="str">
        <x:f>Despesas!G778</x:f>
        <x:v>ANGLO AMERICAN</x:v>
      </x:c>
      <x:c r="I814" t="str">
        <x:f>Despesas!H778</x:f>
        <x:v>12.9 - PASSAGENS FUNCIONARIOS</x:v>
      </x:c>
      <x:c r="J814" s="5" t="n">
        <x:f>Despesas!I778</x:f>
        <x:v>200</x:v>
      </x:c>
      <x:c r="K814" s="5" t="n">
        <x:f>0</x:f>
        <x:v>0</x:v>
      </x:c>
      <x:c r="L814" s="5" t="n">
        <x:f>Despesas!I778</x:f>
        <x:v>200</x:v>
      </x:c>
      <x:c r="M814" s="5" t="n">
        <x:f>-J814</x:f>
        <x:v>-200</x:v>
      </x:c>
    </x:row>
    <x:row r="815">
      <x:c r="A815" t="str">
        <x:f>"Despesa/Custo"</x:f>
        <x:v>Despesa/Custo</x:v>
      </x:c>
      <x:c r="B815" t="str">
        <x:f>Despesas!A779</x:f>
        <x:v>SUPORTE LOCAÇOES E SERVIÇOS LTDA</x:v>
      </x:c>
      <x:c r="C815" t="str">
        <x:f>Despesas!B779</x:f>
        <x:v>24206</x:v>
      </x:c>
      <x:c r="D815" t="str">
        <x:f>Despesas!C779</x:f>
        <x:v>015844</x:v>
      </x:c>
      <x:c r="E815" t="str">
        <x:f>Despesas!D779</x:f>
        <x:v>LOCAÇÃO CONTAINERS 01/12 A 31/12</x:v>
      </x:c>
      <x:c r="F815" t="str">
        <x:f>Despesas!E779</x:f>
        <x:v>VENCIMENTO ORIGINAL DO BOLETO 23/02/26</x:v>
      </x:c>
      <x:c r="G815" s="4" t="n">
        <x:f>Despesas!F779</x:f>
        <x:v>46050</x:v>
      </x:c>
      <x:c r="H815" t="str">
        <x:f>Despesas!G779</x:f>
        <x:v>MOSAIC UBERABA CONTRAT0 3 ANOS</x:v>
      </x:c>
      <x:c r="I815" t="str">
        <x:f>Despesas!H779</x:f>
        <x:v>7.6 - LOCAÇÃO CONTAINER</x:v>
      </x:c>
      <x:c r="J815" s="5" t="n">
        <x:f>Despesas!I779</x:f>
        <x:v>1350</x:v>
      </x:c>
      <x:c r="K815" s="5" t="n">
        <x:f>0</x:f>
        <x:v>0</x:v>
      </x:c>
      <x:c r="L815" s="5" t="n">
        <x:f>Despesas!I779</x:f>
        <x:v>1350</x:v>
      </x:c>
      <x:c r="M815" s="5" t="n">
        <x:f>-J815</x:f>
        <x:v>-1350</x:v>
      </x:c>
    </x:row>
    <x:row r="816">
      <x:c r="A816" t="str">
        <x:f>"Despesa/Custo"</x:f>
        <x:v>Despesa/Custo</x:v>
      </x:c>
      <x:c r="B816" t="str">
        <x:f>Despesas!A780</x:f>
        <x:v>REAL BORRACHA EIRELI</x:v>
      </x:c>
      <x:c r="C816" t="str">
        <x:f>Despesas!B780</x:f>
        <x:v>97188</x:v>
      </x:c>
      <x:c r="D816" t="str">
        <x:f>Despesas!C780</x:f>
        <x:v>015851</x:v>
      </x:c>
      <x:c r="E816" t="str">
        <x:f>Despesas!D780</x:f>
        <x:v>MATERIAIS DE CONSUMO</x:v>
      </x:c>
      <x:c r="F816" t="str">
        <x:f>Despesas!E780</x:f>
        <x:v>VENCIMENTO ORIGINAL DOS BOLETOS 27/02 29/03 E 28/04</x:v>
      </x:c>
      <x:c r="G816" s="4" t="n">
        <x:f>Despesas!F780</x:f>
        <x:v>46050</x:v>
      </x:c>
      <x:c r="H816" t="str">
        <x:f>Despesas!G780</x:f>
        <x:v>NIOBIO CMOC CONTRATO</x:v>
      </x:c>
      <x:c r="I816" t="str">
        <x:f>Despesas!H780</x:f>
        <x:v>8.9 - MATERIAIS DE CONSUMO EM OBRAS</x:v>
      </x:c>
      <x:c r="J816" s="5" t="n">
        <x:f>Despesas!I780</x:f>
        <x:v>333.33</x:v>
      </x:c>
      <x:c r="K816" s="5" t="n">
        <x:f>0</x:f>
        <x:v>0</x:v>
      </x:c>
      <x:c r="L816" s="5" t="n">
        <x:f>Despesas!I780</x:f>
        <x:v>333.33</x:v>
      </x:c>
      <x:c r="M816" s="5" t="n">
        <x:f>-J816</x:f>
        <x:v>-333.33</x:v>
      </x:c>
    </x:row>
    <x:row r="817">
      <x:c r="A817" t="str">
        <x:f>"Despesa/Custo"</x:f>
        <x:v>Despesa/Custo</x:v>
      </x:c>
      <x:c r="B817" t="str">
        <x:f>Despesas!A781</x:f>
        <x:v>REAL BORRACHA EIRELI</x:v>
      </x:c>
      <x:c r="C817" t="str">
        <x:f>Despesas!B781</x:f>
        <x:v>97188</x:v>
      </x:c>
      <x:c r="D817" t="str">
        <x:f>Despesas!C781</x:f>
        <x:v>015851</x:v>
      </x:c>
      <x:c r="E817" t="str">
        <x:f>Despesas!D781</x:f>
        <x:v>MATERIAIS DE CONSUMO</x:v>
      </x:c>
      <x:c r="F817" t="str">
        <x:f>Despesas!E781</x:f>
        <x:v>VENCIMENTO ORIGINAL DOS BOLETOS 27/02 29/03 E 28/04</x:v>
      </x:c>
      <x:c r="G817" s="4" t="n">
        <x:f>Despesas!F781</x:f>
        <x:v>46050</x:v>
      </x:c>
      <x:c r="H817" t="str">
        <x:f>Despesas!G781</x:f>
        <x:v>NIOBIO CMOC CONTRATO</x:v>
      </x:c>
      <x:c r="I817" t="str">
        <x:f>Despesas!H781</x:f>
        <x:v>8.9 - MATERIAIS DE CONSUMO EM OBRAS</x:v>
      </x:c>
      <x:c r="J817" s="5" t="n">
        <x:f>Despesas!I781</x:f>
        <x:v>333.33</x:v>
      </x:c>
      <x:c r="K817" s="5" t="n">
        <x:f>0</x:f>
        <x:v>0</x:v>
      </x:c>
      <x:c r="L817" s="5" t="n">
        <x:f>Despesas!I781</x:f>
        <x:v>333.33</x:v>
      </x:c>
      <x:c r="M817" s="5" t="n">
        <x:f>-J817</x:f>
        <x:v>-333.33</x:v>
      </x:c>
    </x:row>
    <x:row r="818">
      <x:c r="A818" t="str">
        <x:f>"Despesa/Custo"</x:f>
        <x:v>Despesa/Custo</x:v>
      </x:c>
      <x:c r="B818" t="str">
        <x:f>Despesas!A782</x:f>
        <x:v>REAL BORRACHA EIRELI</x:v>
      </x:c>
      <x:c r="C818" t="str">
        <x:f>Despesas!B782</x:f>
        <x:v>97188</x:v>
      </x:c>
      <x:c r="D818" t="str">
        <x:f>Despesas!C782</x:f>
        <x:v>015851</x:v>
      </x:c>
      <x:c r="E818" t="str">
        <x:f>Despesas!D782</x:f>
        <x:v>MATERIAIS DE CONSUMO</x:v>
      </x:c>
      <x:c r="F818" t="str">
        <x:f>Despesas!E782</x:f>
        <x:v>VENCIMENTO ORIGINAL DOS BOLETOS 27/02 29/03 E 28/04</x:v>
      </x:c>
      <x:c r="G818" s="4" t="n">
        <x:f>Despesas!F782</x:f>
        <x:v>46050</x:v>
      </x:c>
      <x:c r="H818" t="str">
        <x:f>Despesas!G782</x:f>
        <x:v>NIOBIO CMOC CONTRATO</x:v>
      </x:c>
      <x:c r="I818" t="str">
        <x:f>Despesas!H782</x:f>
        <x:v>8.9 - MATERIAIS DE CONSUMO EM OBRAS</x:v>
      </x:c>
      <x:c r="J818" s="5" t="n">
        <x:f>Despesas!I782</x:f>
        <x:v>333.33</x:v>
      </x:c>
      <x:c r="K818" s="5" t="n">
        <x:f>0</x:f>
        <x:v>0</x:v>
      </x:c>
      <x:c r="L818" s="5" t="n">
        <x:f>Despesas!I782</x:f>
        <x:v>333.33</x:v>
      </x:c>
      <x:c r="M818" s="5" t="n">
        <x:f>-J818</x:f>
        <x:v>-333.33</x:v>
      </x:c>
    </x:row>
    <x:row r="819">
      <x:c r="A819" t="str">
        <x:f>"Despesa/Custo"</x:f>
        <x:v>Despesa/Custo</x:v>
      </x:c>
      <x:c r="B819" t="str">
        <x:f>Despesas!A783</x:f>
        <x:v>MDG MATERIAIS PARA CONSTRUCAO LTDA-ME</x:v>
      </x:c>
      <x:c r="C819" t="str">
        <x:f>Despesas!B783</x:f>
        <x:v>2160</x:v>
      </x:c>
      <x:c r="D819" t="str">
        <x:f>Despesas!C783</x:f>
        <x:v>015886</x:v>
      </x:c>
      <x:c r="E819" t="str">
        <x:f>Despesas!D783</x:f>
        <x:v>MATERIAIS DE CONSUMO</x:v>
      </x:c>
      <x:c r="F819" t="str">
        <x:f>Despesas!E783</x:f>
        <x:v>REEMBOLSO REINALDO DIAS</x:v>
      </x:c>
      <x:c r="G819" s="4" t="n">
        <x:f>Despesas!F783</x:f>
        <x:v>46050</x:v>
      </x:c>
      <x:c r="H819" t="str">
        <x:f>Despesas!G783</x:f>
        <x:v>ADMINISTRATIVO</x:v>
      </x:c>
      <x:c r="I819" t="str">
        <x:f>Despesas!H783</x:f>
        <x:v>8.9 - MATERIAIS DE CONSUMO EM OBRAS</x:v>
      </x:c>
      <x:c r="J819" s="5" t="n">
        <x:f>Despesas!I783</x:f>
        <x:v>77</x:v>
      </x:c>
      <x:c r="K819" s="5" t="n">
        <x:f>0</x:f>
        <x:v>0</x:v>
      </x:c>
      <x:c r="L819" s="5" t="n">
        <x:f>Despesas!I783</x:f>
        <x:v>77</x:v>
      </x:c>
      <x:c r="M819" s="5" t="n">
        <x:f>-J819</x:f>
        <x:v>-77</x:v>
      </x:c>
    </x:row>
    <x:row r="820">
      <x:c r="A820" t="str">
        <x:f>"Despesa/Custo"</x:f>
        <x:v>Despesa/Custo</x:v>
      </x:c>
      <x:c r="B820" t="str">
        <x:f>Despesas!A784</x:f>
        <x:v>GENILDO</x:v>
      </x:c>
      <x:c r="C820" t="str">
        <x:f>Despesas!B784</x:f>
        <x:v>18679</x:v>
      </x:c>
      <x:c r="D820" t="str">
        <x:f>Despesas!C784</x:f>
        <x:v>015974</x:v>
      </x:c>
      <x:c r="E820" t="str">
        <x:f>Despesas!D784</x:f>
        <x:v>COMBUSTÍVEL VEÍCULOS</x:v>
      </x:c>
      <x:c r="F820" t="str">
        <x:f>Despesas!E784</x:f>
        <x:v>REEMBOLSO GENILDO</x:v>
      </x:c>
      <x:c r="G820" s="4" t="n">
        <x:f>Despesas!F784</x:f>
        <x:v>46050</x:v>
      </x:c>
      <x:c r="H820" t="str">
        <x:f>Despesas!G784</x:f>
        <x:v>CONTRATO 02 ANOS MINERAÇÃO SERRA VERDE</x:v>
      </x:c>
      <x:c r="I820" t="str">
        <x:f>Despesas!H784</x:f>
        <x:v>6.4 - COMBUSTIVEL VEICULOS</x:v>
      </x:c>
      <x:c r="J820" s="5" t="n">
        <x:f>Despesas!I784</x:f>
        <x:v>350.81</x:v>
      </x:c>
      <x:c r="K820" s="5" t="n">
        <x:f>0</x:f>
        <x:v>0</x:v>
      </x:c>
      <x:c r="L820" s="5" t="n">
        <x:f>Despesas!I784</x:f>
        <x:v>350.81</x:v>
      </x:c>
      <x:c r="M820" s="5" t="n">
        <x:f>-J820</x:f>
        <x:v>-350.81</x:v>
      </x:c>
    </x:row>
    <x:row r="821">
      <x:c r="A821" t="str">
        <x:f>"Despesa/Custo"</x:f>
        <x:v>Despesa/Custo</x:v>
      </x:c>
      <x:c r="B821" t="str">
        <x:f>Despesas!A785</x:f>
        <x:v>RFB</x:v>
      </x:c>
      <x:c r="C821" t="n">
        <x:f>Despesas!B785</x:f>
        <x:v>0</x:v>
      </x:c>
      <x:c r="D821" t="str">
        <x:f>Despesas!C785</x:f>
        <x:v>005672</x:v>
      </x:c>
      <x:c r="E821" t="str">
        <x:f>Despesas!D785</x:f>
        <x:v>PARCELAMENTO RFB 2435 01-60</x:v>
      </x:c>
      <x:c r="F821" t="str">
        <x:f>Despesas!E785</x:f>
        <x:v>NV AIDEAL SOLUCOES  GUERRA ADVOGADOS</x:v>
      </x:c>
      <x:c r="G821" s="4" t="n">
        <x:f>Despesas!F785</x:f>
        <x:v>46051</x:v>
      </x:c>
      <x:c r="H821" t="str">
        <x:f>Despesas!G785</x:f>
        <x:v>IMPOSTOS</x:v>
      </x:c>
      <x:c r="I821" t="str">
        <x:f>Despesas!H785</x:f>
        <x:v>17.1 - PARCELAMENTO</x:v>
      </x:c>
      <x:c r="J821" s="5" t="n">
        <x:f>Despesas!I785</x:f>
        <x:v>59353.77</x:v>
      </x:c>
      <x:c r="K821" s="5" t="n">
        <x:f>0</x:f>
        <x:v>0</x:v>
      </x:c>
      <x:c r="L821" s="5" t="n">
        <x:f>Despesas!I785</x:f>
        <x:v>59353.77</x:v>
      </x:c>
      <x:c r="M821" s="5" t="n">
        <x:f>-J821</x:f>
        <x:v>-59353.77</x:v>
      </x:c>
    </x:row>
    <x:row r="822">
      <x:c r="A822" t="str">
        <x:f>"Despesa/Custo"</x:f>
        <x:v>Despesa/Custo</x:v>
      </x:c>
      <x:c r="B822" t="str">
        <x:f>Despesas!A786</x:f>
        <x:v>PGFN</x:v>
      </x:c>
      <x:c r="C822" t="n">
        <x:f>Despesas!B786</x:f>
        <x:v>0</x:v>
      </x:c>
      <x:c r="D822" t="str">
        <x:f>Despesas!C786</x:f>
        <x:v>009904</x:v>
      </x:c>
      <x:c r="E822" t="str">
        <x:f>Despesas!D786</x:f>
        <x:v>PARCELAMENTO ENTRADA PGFN 011319029 1-6</x:v>
      </x:c>
      <x:c r="F822" t="str">
        <x:f>Despesas!E786</x:f>
        <x:v>NV AIDEAL SOLUCOES  GUERRA ADVOGADOS</x:v>
      </x:c>
      <x:c r="G822" s="4" t="n">
        <x:f>Despesas!F786</x:f>
        <x:v>46051</x:v>
      </x:c>
      <x:c r="H822" t="str">
        <x:f>Despesas!G786</x:f>
        <x:v>IMPOSTOS</x:v>
      </x:c>
      <x:c r="I822" t="str">
        <x:f>Despesas!H786</x:f>
        <x:v>17.1 - PARCELAMENTO</x:v>
      </x:c>
      <x:c r="J822" s="5" t="n">
        <x:f>Despesas!I786</x:f>
        <x:v>2664.81</x:v>
      </x:c>
      <x:c r="K822" s="5" t="n">
        <x:f>0</x:f>
        <x:v>0</x:v>
      </x:c>
      <x:c r="L822" s="5" t="n">
        <x:f>Despesas!I786</x:f>
        <x:v>2664.81</x:v>
      </x:c>
      <x:c r="M822" s="5" t="n">
        <x:f>-J822</x:f>
        <x:v>-2664.81</x:v>
      </x:c>
    </x:row>
    <x:row r="823">
      <x:c r="A823" t="str">
        <x:f>"Despesa/Custo"</x:f>
        <x:v>Despesa/Custo</x:v>
      </x:c>
      <x:c r="B823" t="str">
        <x:f>Despesas!A787</x:f>
        <x:v>MERCADO LIVRE</x:v>
      </x:c>
      <x:c r="C823" t="n">
        <x:f>Despesas!B787</x:f>
        <x:v>0</x:v>
      </x:c>
      <x:c r="D823" t="str">
        <x:f>Despesas!C787</x:f>
        <x:v>015846</x:v>
      </x:c>
      <x:c r="E823" t="str">
        <x:f>Despesas!D787</x:f>
        <x:v>MANUTENÇÃO EQUIPAMENTOS</x:v>
      </x:c>
      <x:c r="F823" t="n">
        <x:f>Despesas!E787</x:f>
        <x:v>0</x:v>
      </x:c>
      <x:c r="G823" s="4" t="n">
        <x:f>Despesas!F787</x:f>
        <x:v>46051</x:v>
      </x:c>
      <x:c r="H823" t="str">
        <x:f>Despesas!G787</x:f>
        <x:v>VLI PINTURA</x:v>
      </x:c>
      <x:c r="I823" t="str">
        <x:f>Despesas!H787</x:f>
        <x:v>8.14 - MANUTENÇÃO/PEÇAS MAQUINAS E EQUIPAMENTOS</x:v>
      </x:c>
      <x:c r="J823" s="5" t="n">
        <x:f>Despesas!I787</x:f>
        <x:v>266</x:v>
      </x:c>
      <x:c r="K823" s="5" t="n">
        <x:f>0</x:f>
        <x:v>0</x:v>
      </x:c>
      <x:c r="L823" s="5" t="n">
        <x:f>Despesas!I787</x:f>
        <x:v>266</x:v>
      </x:c>
      <x:c r="M823" s="5" t="n">
        <x:f>-J823</x:f>
        <x:v>-266</x:v>
      </x:c>
    </x:row>
    <x:row r="824">
      <x:c r="A824" t="str">
        <x:f>"Despesa/Custo"</x:f>
        <x:v>Despesa/Custo</x:v>
      </x:c>
      <x:c r="B824" t="str">
        <x:f>Despesas!A788</x:f>
        <x:v>AGSMB ASSOSIAÇAO GOIANIA DE SOCORRO</x:v>
      </x:c>
      <x:c r="C824" t="n">
        <x:f>Despesas!B788</x:f>
        <x:v>0</x:v>
      </x:c>
      <x:c r="D824" t="str">
        <x:f>Despesas!C788</x:f>
        <x:v>015854</x:v>
      </x:c>
      <x:c r="E824" t="str">
        <x:f>Despesas!D788</x:f>
        <x:v>SEGUROS VEÍCULOS</x:v>
      </x:c>
      <x:c r="F824" t="str">
        <x:f>Despesas!E788</x:f>
        <x:v>RANGER/ARGO/PICK-UP/OROCH/HB20S/COURIER/SAVEIRO/TORO/DUSTER OROCH E OROCH</x:v>
      </x:c>
      <x:c r="G824" s="4" t="n">
        <x:f>Despesas!F788</x:f>
        <x:v>46051</x:v>
      </x:c>
      <x:c r="H824" t="str">
        <x:f>Despesas!G788</x:f>
        <x:v>VEICULOS</x:v>
      </x:c>
      <x:c r="I824" t="str">
        <x:f>Despesas!H788</x:f>
        <x:v>6.5 - SEGUROS DE VEICULOS</x:v>
      </x:c>
      <x:c r="J824" s="5" t="n">
        <x:f>Despesas!I788</x:f>
        <x:v>2718.27</x:v>
      </x:c>
      <x:c r="K824" s="5" t="n">
        <x:f>0</x:f>
        <x:v>0</x:v>
      </x:c>
      <x:c r="L824" s="5" t="n">
        <x:f>Despesas!I788</x:f>
        <x:v>2718.27</x:v>
      </x:c>
      <x:c r="M824" s="5" t="n">
        <x:f>-J824</x:f>
        <x:v>-2718.27</x:v>
      </x:c>
    </x:row>
    <x:row r="825">
      <x:c r="A825" t="str">
        <x:f>"Despesa/Custo"</x:f>
        <x:v>Despesa/Custo</x:v>
      </x:c>
      <x:c r="B825" t="str">
        <x:f>Despesas!A789</x:f>
        <x:v>SINDICATO DO TRABALHADORES NAS INDUSTRIAIS DA CONSTRUÇAO EDO MOBILIARIA DE UBERABA</x:v>
      </x:c>
      <x:c r="C825" t="n">
        <x:f>Despesas!B789</x:f>
        <x:v>0</x:v>
      </x:c>
      <x:c r="D825" t="str">
        <x:f>Despesas!C789</x:f>
        <x:v>015856</x:v>
      </x:c>
      <x:c r="E825" t="str">
        <x:f>Despesas!D789</x:f>
        <x:v>SINDICATO</x:v>
      </x:c>
      <x:c r="F825" t="n">
        <x:f>Despesas!E789</x:f>
        <x:v>0</x:v>
      </x:c>
      <x:c r="G825" s="4" t="n">
        <x:f>Despesas!F789</x:f>
        <x:v>46051</x:v>
      </x:c>
      <x:c r="H825" t="str">
        <x:f>Despesas!G789</x:f>
        <x:v>MOSAIC UBERABA CONTRAT0 3 ANOS</x:v>
      </x:c>
      <x:c r="I825" t="str">
        <x:f>Despesas!H789</x:f>
        <x:v>12.8 - SINDICATO</x:v>
      </x:c>
      <x:c r="J825" s="5" t="n">
        <x:f>Despesas!I789</x:f>
        <x:v>425.53</x:v>
      </x:c>
      <x:c r="K825" s="5" t="n">
        <x:f>0</x:f>
        <x:v>0</x:v>
      </x:c>
      <x:c r="L825" s="5" t="n">
        <x:f>Despesas!I789</x:f>
        <x:v>425.53</x:v>
      </x:c>
      <x:c r="M825" s="5" t="n">
        <x:f>-J825</x:f>
        <x:v>-425.53</x:v>
      </x:c>
    </x:row>
    <x:row r="826">
      <x:c r="A826" t="str">
        <x:f>"Despesa/Custo"</x:f>
        <x:v>Despesa/Custo</x:v>
      </x:c>
      <x:c r="B826" t="str">
        <x:f>Despesas!A790</x:f>
        <x:v>FERREIRA NUNES LAVANDERIA LTDA</x:v>
      </x:c>
      <x:c r="C826" t="str">
        <x:f>Despesas!B790</x:f>
        <x:v>69</x:v>
      </x:c>
      <x:c r="D826" t="str">
        <x:f>Despesas!C790</x:f>
        <x:v>015857</x:v>
      </x:c>
      <x:c r="E826" t="str">
        <x:f>Despesas!D790</x:f>
        <x:v>LAVAGEM DE UNIFORMES</x:v>
      </x:c>
      <x:c r="F826" t="n">
        <x:f>Despesas!E790</x:f>
        <x:v>0</x:v>
      </x:c>
      <x:c r="G826" s="4" t="n">
        <x:f>Despesas!F790</x:f>
        <x:v>46051</x:v>
      </x:c>
      <x:c r="H826" t="str">
        <x:f>Despesas!G790</x:f>
        <x:v>ADMINISTRATIVO</x:v>
      </x:c>
      <x:c r="I826" t="str">
        <x:f>Despesas!H790</x:f>
        <x:v>5.2 - LAVANDERIA</x:v>
      </x:c>
      <x:c r="J826" s="5" t="n">
        <x:f>Despesas!I790</x:f>
        <x:v>431</x:v>
      </x:c>
      <x:c r="K826" s="5" t="n">
        <x:f>0</x:f>
        <x:v>0</x:v>
      </x:c>
      <x:c r="L826" s="5" t="n">
        <x:f>Despesas!I790</x:f>
        <x:v>431</x:v>
      </x:c>
      <x:c r="M826" s="5" t="n">
        <x:f>-J826</x:f>
        <x:v>-431</x:v>
      </x:c>
    </x:row>
    <x:row r="827">
      <x:c r="A827" t="str">
        <x:f>"Despesa/Custo"</x:f>
        <x:v>Despesa/Custo</x:v>
      </x:c>
      <x:c r="B827" t="str">
        <x:f>Despesas!A791</x:f>
        <x:v>RESCISOES / FGTS</x:v>
      </x:c>
      <x:c r="C827" t="n">
        <x:f>Despesas!B791</x:f>
        <x:v>0</x:v>
      </x:c>
      <x:c r="D827" t="str">
        <x:f>Despesas!C791</x:f>
        <x:v>015865</x:v>
      </x:c>
      <x:c r="E827" t="str">
        <x:f>Despesas!D791</x:f>
        <x:v>EDINALDO ARRUDA DA ROCHA</x:v>
      </x:c>
      <x:c r="F827" t="str">
        <x:f>Despesas!E791</x:f>
        <x:v>MULTA RESCISÓRIA</x:v>
      </x:c>
      <x:c r="G827" s="4" t="n">
        <x:f>Despesas!F791</x:f>
        <x:v>46051</x:v>
      </x:c>
      <x:c r="H827" t="str">
        <x:f>Despesas!G791</x:f>
        <x:v>VLI PINTURA</x:v>
      </x:c>
      <x:c r="I827" t="str">
        <x:f>Despesas!H791</x:f>
        <x:v>12.4 - MULTA RESCISORIAS FGTS</x:v>
      </x:c>
      <x:c r="J827" s="5" t="n">
        <x:f>Despesas!I791</x:f>
        <x:v>4294.18</x:v>
      </x:c>
      <x:c r="K827" s="5" t="n">
        <x:f>0</x:f>
        <x:v>0</x:v>
      </x:c>
      <x:c r="L827" s="5" t="n">
        <x:f>Despesas!I791</x:f>
        <x:v>4294.18</x:v>
      </x:c>
      <x:c r="M827" s="5" t="n">
        <x:f>-J827</x:f>
        <x:v>-4294.18</x:v>
      </x:c>
    </x:row>
    <x:row r="828">
      <x:c r="A828" t="str">
        <x:f>"Despesa/Custo"</x:f>
        <x:v>Despesa/Custo</x:v>
      </x:c>
      <x:c r="B828" t="str">
        <x:f>Despesas!A792</x:f>
        <x:v>SINDICATO EM MONTAGENS INDUSTRIAIS CEARA</x:v>
      </x:c>
      <x:c r="C828" t="n">
        <x:f>Despesas!B792</x:f>
        <x:v>0</x:v>
      </x:c>
      <x:c r="D828" t="str">
        <x:f>Despesas!C792</x:f>
        <x:v>015866</x:v>
      </x:c>
      <x:c r="E828" t="str">
        <x:f>Despesas!D792</x:f>
        <x:v>SINDICATO</x:v>
      </x:c>
      <x:c r="F828" t="n">
        <x:f>Despesas!E792</x:f>
        <x:v>0</x:v>
      </x:c>
      <x:c r="G828" s="4" t="n">
        <x:f>Despesas!F792</x:f>
        <x:v>46051</x:v>
      </x:c>
      <x:c r="H828" t="str">
        <x:f>Despesas!G792</x:f>
        <x:v>VLI PINTURA</x:v>
      </x:c>
      <x:c r="I828" t="str">
        <x:f>Despesas!H792</x:f>
        <x:v>12.8 - SINDICATO</x:v>
      </x:c>
      <x:c r="J828" s="5" t="n">
        <x:f>Despesas!I792</x:f>
        <x:v>1189.88</x:v>
      </x:c>
      <x:c r="K828" s="5" t="n">
        <x:f>0</x:f>
        <x:v>0</x:v>
      </x:c>
      <x:c r="L828" s="5" t="n">
        <x:f>Despesas!I792</x:f>
        <x:v>1189.88</x:v>
      </x:c>
      <x:c r="M828" s="5" t="n">
        <x:f>-J828</x:f>
        <x:v>-1189.88</x:v>
      </x:c>
    </x:row>
    <x:row r="829">
      <x:c r="A829" t="str">
        <x:f>"Despesa/Custo"</x:f>
        <x:v>Despesa/Custo</x:v>
      </x:c>
      <x:c r="B829" t="str">
        <x:f>Despesas!A793</x:f>
        <x:v>VAN OBRAS</x:v>
      </x:c>
      <x:c r="C829" t="n">
        <x:f>Despesas!B793</x:f>
        <x:v>0</x:v>
      </x:c>
      <x:c r="D829" t="str">
        <x:f>Despesas!C793</x:f>
        <x:v>015867</x:v>
      </x:c>
      <x:c r="E829" t="str">
        <x:f>Despesas!D793</x:f>
        <x:v>JULIO CESAR DE OLIVEIRA QUEIROZ - PIX 416.142.593-72</x:v>
      </x:c>
      <x:c r="F829" t="str">
        <x:f>Despesas!E793</x:f>
        <x:v>TRANSPORTE COLABORADORES 20/12 A 20/01/26 - RESTANTE</x:v>
      </x:c>
      <x:c r="G829" s="4" t="n">
        <x:f>Despesas!F793</x:f>
        <x:v>46051</x:v>
      </x:c>
      <x:c r="H829" t="str">
        <x:f>Despesas!G793</x:f>
        <x:v>VLI PINTURA</x:v>
      </x:c>
      <x:c r="I829" t="str">
        <x:f>Despesas!H793</x:f>
        <x:v>12.7 - TRANSPORTE FUNCIONARIOS</x:v>
      </x:c>
      <x:c r="J829" s="5" t="n">
        <x:f>Despesas!I793</x:f>
        <x:v>2340</x:v>
      </x:c>
      <x:c r="K829" s="5" t="n">
        <x:f>0</x:f>
        <x:v>0</x:v>
      </x:c>
      <x:c r="L829" s="5" t="n">
        <x:f>Despesas!I793</x:f>
        <x:v>2340</x:v>
      </x:c>
      <x:c r="M829" s="5" t="n">
        <x:f>-J829</x:f>
        <x:v>-2340</x:v>
      </x:c>
    </x:row>
    <x:row r="830">
      <x:c r="A830" t="str">
        <x:f>"Despesa/Custo"</x:f>
        <x:v>Despesa/Custo</x:v>
      </x:c>
      <x:c r="B830" t="str">
        <x:f>Despesas!A794</x:f>
        <x:v>PGFN</x:v>
      </x:c>
      <x:c r="C830" t="n">
        <x:f>Despesas!B794</x:f>
        <x:v>0</x:v>
      </x:c>
      <x:c r="D830" t="str">
        <x:f>Despesas!C794</x:f>
        <x:v>015870</x:v>
      </x:c>
      <x:c r="E830" t="str">
        <x:f>Despesas!D794</x:f>
        <x:v>PARCELAMENTO PGFN SISPAR 012544309</x:v>
      </x:c>
      <x:c r="F830" t="n">
        <x:f>Despesas!E794</x:f>
        <x:v>0</x:v>
      </x:c>
      <x:c r="G830" s="4" t="n">
        <x:f>Despesas!F794</x:f>
        <x:v>46051</x:v>
      </x:c>
      <x:c r="H830" t="str">
        <x:f>Despesas!G794</x:f>
        <x:v>IMPOSTOS</x:v>
      </x:c>
      <x:c r="I830" t="str">
        <x:f>Despesas!H794</x:f>
        <x:v>17.1 - PARCELAMENTO</x:v>
      </x:c>
      <x:c r="J830" s="5" t="n">
        <x:f>Despesas!I794</x:f>
        <x:v>1032.52</x:v>
      </x:c>
      <x:c r="K830" s="5" t="n">
        <x:f>0</x:f>
        <x:v>0</x:v>
      </x:c>
      <x:c r="L830" s="5" t="n">
        <x:f>Despesas!I794</x:f>
        <x:v>1032.52</x:v>
      </x:c>
      <x:c r="M830" s="5" t="n">
        <x:f>-J830</x:f>
        <x:v>-1032.52</x:v>
      </x:c>
    </x:row>
    <x:row r="831">
      <x:c r="A831" t="str">
        <x:f>"Despesa/Custo"</x:f>
        <x:v>Despesa/Custo</x:v>
      </x:c>
      <x:c r="B831" t="str">
        <x:f>Despesas!A795</x:f>
        <x:v>PGFN</x:v>
      </x:c>
      <x:c r="C831" t="n">
        <x:f>Despesas!B795</x:f>
        <x:v>0</x:v>
      </x:c>
      <x:c r="D831" t="str">
        <x:f>Despesas!C795</x:f>
        <x:v>015871</x:v>
      </x:c>
      <x:c r="E831" t="str">
        <x:f>Despesas!D795</x:f>
        <x:v>PARCELAMENTO PGFN SISPAR 012544350</x:v>
      </x:c>
      <x:c r="F831" t="n">
        <x:f>Despesas!E795</x:f>
        <x:v>0</x:v>
      </x:c>
      <x:c r="G831" s="4" t="n">
        <x:f>Despesas!F795</x:f>
        <x:v>46051</x:v>
      </x:c>
      <x:c r="H831" t="str">
        <x:f>Despesas!G795</x:f>
        <x:v>IMPOSTOS</x:v>
      </x:c>
      <x:c r="I831" t="str">
        <x:f>Despesas!H795</x:f>
        <x:v>17.1 - PARCELAMENTO</x:v>
      </x:c>
      <x:c r="J831" s="5" t="n">
        <x:f>Despesas!I795</x:f>
        <x:v>4414.63</x:v>
      </x:c>
      <x:c r="K831" s="5" t="n">
        <x:f>0</x:f>
        <x:v>0</x:v>
      </x:c>
      <x:c r="L831" s="5" t="n">
        <x:f>Despesas!I795</x:f>
        <x:v>4414.63</x:v>
      </x:c>
      <x:c r="M831" s="5" t="n">
        <x:f>-J831</x:f>
        <x:v>-4414.63</x:v>
      </x:c>
    </x:row>
    <x:row r="832">
      <x:c r="A832" t="str">
        <x:f>"Despesa/Custo"</x:f>
        <x:v>Despesa/Custo</x:v>
      </x:c>
      <x:c r="B832" t="str">
        <x:f>Despesas!A796</x:f>
        <x:v>PGFN</x:v>
      </x:c>
      <x:c r="C832" t="n">
        <x:f>Despesas!B796</x:f>
        <x:v>0</x:v>
      </x:c>
      <x:c r="D832" t="str">
        <x:f>Despesas!C796</x:f>
        <x:v>015872</x:v>
      </x:c>
      <x:c r="E832" t="str">
        <x:f>Despesas!D796</x:f>
        <x:v>PARCELAMENTO PGFN SISPAR 012544350</x:v>
      </x:c>
      <x:c r="F832" t="n">
        <x:f>Despesas!E796</x:f>
        <x:v>0</x:v>
      </x:c>
      <x:c r="G832" s="4" t="n">
        <x:f>Despesas!F796</x:f>
        <x:v>46051</x:v>
      </x:c>
      <x:c r="H832" t="str">
        <x:f>Despesas!G796</x:f>
        <x:v>IMPOSTOS</x:v>
      </x:c>
      <x:c r="I832" t="str">
        <x:f>Despesas!H796</x:f>
        <x:v>17.1 - PARCELAMENTO</x:v>
      </x:c>
      <x:c r="J832" s="5" t="n">
        <x:f>Despesas!I796</x:f>
        <x:v>4414.63</x:v>
      </x:c>
      <x:c r="K832" s="5" t="n">
        <x:f>0</x:f>
        <x:v>0</x:v>
      </x:c>
      <x:c r="L832" s="5" t="n">
        <x:f>Despesas!I796</x:f>
        <x:v>4414.63</x:v>
      </x:c>
      <x:c r="M832" s="5" t="n">
        <x:f>-J832</x:f>
        <x:v>-4414.63</x:v>
      </x:c>
    </x:row>
    <x:row r="833">
      <x:c r="A833" t="str">
        <x:f>"Despesa/Custo"</x:f>
        <x:v>Despesa/Custo</x:v>
      </x:c>
      <x:c r="B833" t="str">
        <x:f>Despesas!A797</x:f>
        <x:v>RFB</x:v>
      </x:c>
      <x:c r="C833" t="n">
        <x:f>Despesas!B797</x:f>
        <x:v>0</x:v>
      </x:c>
      <x:c r="D833" t="str">
        <x:f>Despesas!C797</x:f>
        <x:v>015873</x:v>
      </x:c>
      <x:c r="E833" t="str">
        <x:f>Despesas!D797</x:f>
        <x:v>PARCELAMENTO RFB 994023382588</x:v>
      </x:c>
      <x:c r="F833" t="n">
        <x:f>Despesas!E797</x:f>
        <x:v>0</x:v>
      </x:c>
      <x:c r="G833" s="4" t="n">
        <x:f>Despesas!F797</x:f>
        <x:v>46051</x:v>
      </x:c>
      <x:c r="H833" t="str">
        <x:f>Despesas!G797</x:f>
        <x:v>IMPOSTOS</x:v>
      </x:c>
      <x:c r="I833" t="str">
        <x:f>Despesas!H797</x:f>
        <x:v>17.1 - PARCELAMENTO</x:v>
      </x:c>
      <x:c r="J833" s="5" t="n">
        <x:f>Despesas!I797</x:f>
        <x:v>18905.26</x:v>
      </x:c>
      <x:c r="K833" s="5" t="n">
        <x:f>0</x:f>
        <x:v>0</x:v>
      </x:c>
      <x:c r="L833" s="5" t="n">
        <x:f>Despesas!I797</x:f>
        <x:v>18905.26</x:v>
      </x:c>
      <x:c r="M833" s="5" t="n">
        <x:f>-J833</x:f>
        <x:v>-18905.26</x:v>
      </x:c>
    </x:row>
    <x:row r="834">
      <x:c r="A834" t="str">
        <x:f>"Despesa/Custo"</x:f>
        <x:v>Despesa/Custo</x:v>
      </x:c>
      <x:c r="B834" t="str">
        <x:f>Despesas!A798</x:f>
        <x:v>ISS</x:v>
      </x:c>
      <x:c r="C834" t="n">
        <x:f>Despesas!B798</x:f>
        <x:v>0</x:v>
      </x:c>
      <x:c r="D834" t="str">
        <x:f>Despesas!C798</x:f>
        <x:v>015874</x:v>
      </x:c>
      <x:c r="E834" t="str">
        <x:f>Despesas!D798</x:f>
        <x:v>ISS (DIVIDA ATIVA AMIGAVEL PARCELADA)  004/048 PROCESSO 87278727</x:v>
      </x:c>
      <x:c r="F834" t="n">
        <x:f>Despesas!E798</x:f>
        <x:v>0</x:v>
      </x:c>
      <x:c r="G834" s="4" t="n">
        <x:f>Despesas!F798</x:f>
        <x:v>46051</x:v>
      </x:c>
      <x:c r="H834" t="str">
        <x:f>Despesas!G798</x:f>
        <x:v>IMPOSTOS</x:v>
      </x:c>
      <x:c r="I834" t="str">
        <x:f>Despesas!H798</x:f>
        <x:v>17.1 - PARCELAMENTO</x:v>
      </x:c>
      <x:c r="J834" s="5" t="n">
        <x:f>Despesas!I798</x:f>
        <x:v>2653.58</x:v>
      </x:c>
      <x:c r="K834" s="5" t="n">
        <x:f>0</x:f>
        <x:v>0</x:v>
      </x:c>
      <x:c r="L834" s="5" t="n">
        <x:f>Despesas!I798</x:f>
        <x:v>2653.58</x:v>
      </x:c>
      <x:c r="M834" s="5" t="n">
        <x:f>-J834</x:f>
        <x:v>-2653.58</x:v>
      </x:c>
    </x:row>
    <x:row r="835">
      <x:c r="A835" t="str">
        <x:f>"Despesa/Custo"</x:f>
        <x:v>Despesa/Custo</x:v>
      </x:c>
      <x:c r="B835" t="str">
        <x:f>Despesas!A799</x:f>
        <x:v>ISS</x:v>
      </x:c>
      <x:c r="C835" t="n">
        <x:f>Despesas!B799</x:f>
        <x:v>0</x:v>
      </x:c>
      <x:c r="D835" t="str">
        <x:f>Despesas!C799</x:f>
        <x:v>015875</x:v>
      </x:c>
      <x:c r="E835" t="str">
        <x:f>Despesas!D799</x:f>
        <x:v>ISS (DIVIDA ATIVA AMIGAVEL PARCELADA)  005/048 PROCESSO 87278727</x:v>
      </x:c>
      <x:c r="F835" t="n">
        <x:f>Despesas!E799</x:f>
        <x:v>0</x:v>
      </x:c>
      <x:c r="G835" s="4" t="n">
        <x:f>Despesas!F799</x:f>
        <x:v>46051</x:v>
      </x:c>
      <x:c r="H835" t="str">
        <x:f>Despesas!G799</x:f>
        <x:v>IMPOSTOS</x:v>
      </x:c>
      <x:c r="I835" t="str">
        <x:f>Despesas!H799</x:f>
        <x:v>17.1 - PARCELAMENTO</x:v>
      </x:c>
      <x:c r="J835" s="5" t="n">
        <x:f>Despesas!I799</x:f>
        <x:v>2627.31</x:v>
      </x:c>
      <x:c r="K835" s="5" t="n">
        <x:f>0</x:f>
        <x:v>0</x:v>
      </x:c>
      <x:c r="L835" s="5" t="n">
        <x:f>Despesas!I799</x:f>
        <x:v>2627.31</x:v>
      </x:c>
      <x:c r="M835" s="5" t="n">
        <x:f>-J835</x:f>
        <x:v>-2627.31</x:v>
      </x:c>
    </x:row>
    <x:row r="836">
      <x:c r="A836" t="str">
        <x:f>"Despesa/Custo"</x:f>
        <x:v>Despesa/Custo</x:v>
      </x:c>
      <x:c r="B836" t="str">
        <x:f>Despesas!A800</x:f>
        <x:v>PREVIDENCIA SOCIAL GPS 3º</x:v>
      </x:c>
      <x:c r="C836" t="n">
        <x:f>Despesas!B800</x:f>
        <x:v>0</x:v>
      </x:c>
      <x:c r="D836" t="str">
        <x:f>Despesas!C800</x:f>
        <x:v>015876</x:v>
      </x:c>
      <x:c r="E836" t="str">
        <x:f>Despesas!D800</x:f>
        <x:v>GPS DESCRIÇÃO 637648862</x:v>
      </x:c>
      <x:c r="F836" t="n">
        <x:f>Despesas!E800</x:f>
        <x:v>0</x:v>
      </x:c>
      <x:c r="G836" s="4" t="n">
        <x:f>Despesas!F800</x:f>
        <x:v>46051</x:v>
      </x:c>
      <x:c r="H836" t="str">
        <x:f>Despesas!G800</x:f>
        <x:v>IMPOSTOS</x:v>
      </x:c>
      <x:c r="I836" t="str">
        <x:f>Despesas!H800</x:f>
        <x:v>17.1 - PARCELAMENTO</x:v>
      </x:c>
      <x:c r="J836" s="5" t="n">
        <x:f>Despesas!I800</x:f>
        <x:v>3249.67</x:v>
      </x:c>
      <x:c r="K836" s="5" t="n">
        <x:f>0</x:f>
        <x:v>0</x:v>
      </x:c>
      <x:c r="L836" s="5" t="n">
        <x:f>Despesas!I800</x:f>
        <x:v>3249.67</x:v>
      </x:c>
      <x:c r="M836" s="5" t="n">
        <x:f>-J836</x:f>
        <x:v>-3249.67</x:v>
      </x:c>
    </x:row>
    <x:row r="837">
      <x:c r="A837" t="str">
        <x:f>"Despesa/Custo"</x:f>
        <x:v>Despesa/Custo</x:v>
      </x:c>
      <x:c r="B837" t="str">
        <x:f>Despesas!A801</x:f>
        <x:v>MERCADO</x:v>
      </x:c>
      <x:c r="C837" t="n">
        <x:f>Despesas!B801</x:f>
        <x:v>0</x:v>
      </x:c>
      <x:c r="D837" t="str">
        <x:f>Despesas!C801</x:f>
        <x:v>015877</x:v>
      </x:c>
      <x:c r="E837" t="str">
        <x:f>Despesas!D801</x:f>
        <x:v>MATERIAIS DE LIMPEZA / HIGIENE</x:v>
      </x:c>
      <x:c r="F837" t="str">
        <x:f>Despesas!E801</x:f>
        <x:v>PAGAMENTO FEITO EM DÉBITO</x:v>
      </x:c>
      <x:c r="G837" s="4" t="n">
        <x:f>Despesas!F801</x:f>
        <x:v>46051</x:v>
      </x:c>
      <x:c r="H837" t="str">
        <x:f>Despesas!G801</x:f>
        <x:v>ADMINISTRATIVO</x:v>
      </x:c>
      <x:c r="I837" t="str">
        <x:f>Despesas!H801</x:f>
        <x:v>8.11 - MATERIAIS DE LIMPEZA / HIGIENE</x:v>
      </x:c>
      <x:c r="J837" s="5" t="n">
        <x:f>Despesas!I801</x:f>
        <x:v>165.31</x:v>
      </x:c>
      <x:c r="K837" s="5" t="n">
        <x:f>0</x:f>
        <x:v>0</x:v>
      </x:c>
      <x:c r="L837" s="5" t="n">
        <x:f>Despesas!I801</x:f>
        <x:v>165.31</x:v>
      </x:c>
      <x:c r="M837" s="5" t="n">
        <x:f>-J837</x:f>
        <x:v>-165.31</x:v>
      </x:c>
    </x:row>
    <x:row r="838">
      <x:c r="A838" t="str">
        <x:f>"Despesa/Custo"</x:f>
        <x:v>Despesa/Custo</x:v>
      </x:c>
      <x:c r="B838" t="str">
        <x:f>Despesas!A802</x:f>
        <x:v>XCELL CELULARES E INFORMATICA LTDA</x:v>
      </x:c>
      <x:c r="C838" t="str">
        <x:f>Despesas!B802</x:f>
        <x:v>251</x:v>
      </x:c>
      <x:c r="D838" t="str">
        <x:f>Despesas!C802</x:f>
        <x:v>015879</x:v>
      </x:c>
      <x:c r="E838" t="str">
        <x:f>Despesas!D802</x:f>
        <x:v>MATERIAIS DE INFORMÁTICA</x:v>
      </x:c>
      <x:c r="F838" t="n">
        <x:f>Despesas!E802</x:f>
        <x:v>0</x:v>
      </x:c>
      <x:c r="G838" s="4" t="n">
        <x:f>Despesas!F802</x:f>
        <x:v>46051</x:v>
      </x:c>
      <x:c r="H838" t="str">
        <x:f>Despesas!G802</x:f>
        <x:v>ADMINISTRATIVO</x:v>
      </x:c>
      <x:c r="I838" t="str">
        <x:f>Despesas!H802</x:f>
        <x:v>11.13 - MATERIAIS DE INFORMATICA / COMPUTADOR</x:v>
      </x:c>
      <x:c r="J838" s="5" t="n">
        <x:f>Despesas!I802</x:f>
        <x:v>130</x:v>
      </x:c>
      <x:c r="K838" s="5" t="n">
        <x:f>0</x:f>
        <x:v>0</x:v>
      </x:c>
      <x:c r="L838" s="5" t="n">
        <x:f>Despesas!I802</x:f>
        <x:v>130</x:v>
      </x:c>
      <x:c r="M838" s="5" t="n">
        <x:f>-J838</x:f>
        <x:v>-130</x:v>
      </x:c>
    </x:row>
    <x:row r="839">
      <x:c r="A839" t="str">
        <x:f>"Despesa/Custo"</x:f>
        <x:v>Despesa/Custo</x:v>
      </x:c>
      <x:c r="B839" t="str">
        <x:f>Despesas!A803</x:f>
        <x:v>QUALI TINTAS</x:v>
      </x:c>
      <x:c r="C839" t="str">
        <x:f>Despesas!B803</x:f>
        <x:v>19813</x:v>
      </x:c>
      <x:c r="D839" t="str">
        <x:f>Despesas!C803</x:f>
        <x:v>015884</x:v>
      </x:c>
      <x:c r="E839" t="str">
        <x:f>Despesas!D803</x:f>
        <x:v>MATERIAIS DE CONSUMO</x:v>
      </x:c>
      <x:c r="F839" t="n">
        <x:f>Despesas!E803</x:f>
        <x:v>0</x:v>
      </x:c>
      <x:c r="G839" s="4" t="n">
        <x:f>Despesas!F803</x:f>
        <x:v>46051</x:v>
      </x:c>
      <x:c r="H839" t="str">
        <x:f>Despesas!G803</x:f>
        <x:v>VLI PINTURA</x:v>
      </x:c>
      <x:c r="I839" t="str">
        <x:f>Despesas!H803</x:f>
        <x:v>8.9 - MATERIAIS DE CONSUMO EM OBRAS</x:v>
      </x:c>
      <x:c r="J839" s="5" t="n">
        <x:f>Despesas!I803</x:f>
        <x:v>1082.5</x:v>
      </x:c>
      <x:c r="K839" s="5" t="n">
        <x:f>0</x:f>
        <x:v>0</x:v>
      </x:c>
      <x:c r="L839" s="5" t="n">
        <x:f>Despesas!I803</x:f>
        <x:v>1082.5</x:v>
      </x:c>
      <x:c r="M839" s="5" t="n">
        <x:f>-J839</x:f>
        <x:v>-1082.5</x:v>
      </x:c>
    </x:row>
    <x:row r="840">
      <x:c r="A840" t="str">
        <x:f>"Despesa/Custo"</x:f>
        <x:v>Despesa/Custo</x:v>
      </x:c>
      <x:c r="B840" t="str">
        <x:f>Despesas!A804</x:f>
        <x:v>QUALI TINTAS</x:v>
      </x:c>
      <x:c r="C840" t="str">
        <x:f>Despesas!B804</x:f>
        <x:v>19813</x:v>
      </x:c>
      <x:c r="D840" t="str">
        <x:f>Despesas!C804</x:f>
        <x:v>015884</x:v>
      </x:c>
      <x:c r="E840" t="str">
        <x:f>Despesas!D804</x:f>
        <x:v>MATERIAIS DE CONSUMO</x:v>
      </x:c>
      <x:c r="F840" t="n">
        <x:f>Despesas!E804</x:f>
        <x:v>0</x:v>
      </x:c>
      <x:c r="G840" s="4" t="n">
        <x:f>Despesas!F804</x:f>
        <x:v>46051</x:v>
      </x:c>
      <x:c r="H840" t="str">
        <x:f>Despesas!G804</x:f>
        <x:v>VLI PINTURA</x:v>
      </x:c>
      <x:c r="I840" t="str">
        <x:f>Despesas!H804</x:f>
        <x:v>8.9 - MATERIAIS DE CONSUMO EM OBRAS</x:v>
      </x:c>
      <x:c r="J840" s="5" t="n">
        <x:f>Despesas!I804</x:f>
        <x:v>1082.5</x:v>
      </x:c>
      <x:c r="K840" s="5" t="n">
        <x:f>0</x:f>
        <x:v>0</x:v>
      </x:c>
      <x:c r="L840" s="5" t="n">
        <x:f>Despesas!I804</x:f>
        <x:v>1082.5</x:v>
      </x:c>
      <x:c r="M840" s="5" t="n">
        <x:f>-J840</x:f>
        <x:v>-1082.5</x:v>
      </x:c>
    </x:row>
    <x:row r="841">
      <x:c r="A841" t="str">
        <x:f>"Despesa/Custo"</x:f>
        <x:v>Despesa/Custo</x:v>
      </x:c>
      <x:c r="B841" t="str">
        <x:f>Despesas!A805</x:f>
        <x:v>G17 AUTO POSTO LTDA</x:v>
      </x:c>
      <x:c r="C841" t="str">
        <x:f>Despesas!B805</x:f>
        <x:v>48</x:v>
      </x:c>
      <x:c r="D841" t="str">
        <x:f>Despesas!C805</x:f>
        <x:v>015885</x:v>
      </x:c>
      <x:c r="E841" t="str">
        <x:f>Despesas!D805</x:f>
        <x:v>COMBUSTÍVEL VEÍCULOS</x:v>
      </x:c>
      <x:c r="F841" t="str">
        <x:f>Despesas!E805</x:f>
        <x:v>REEMBOLSO REINALDO DIAS</x:v>
      </x:c>
      <x:c r="G841" s="4" t="n">
        <x:f>Despesas!F805</x:f>
        <x:v>46051</x:v>
      </x:c>
      <x:c r="H841" t="str">
        <x:f>Despesas!G805</x:f>
        <x:v>ADMINISTRATIVO</x:v>
      </x:c>
      <x:c r="I841" t="str">
        <x:f>Despesas!H805</x:f>
        <x:v>6.4 - COMBUSTIVEL VEICULOS</x:v>
      </x:c>
      <x:c r="J841" s="5" t="n">
        <x:f>Despesas!I805</x:f>
        <x:v>86.3</x:v>
      </x:c>
      <x:c r="K841" s="5" t="n">
        <x:f>0</x:f>
        <x:v>0</x:v>
      </x:c>
      <x:c r="L841" s="5" t="n">
        <x:f>Despesas!I805</x:f>
        <x:v>86.3</x:v>
      </x:c>
      <x:c r="M841" s="5" t="n">
        <x:f>-J841</x:f>
        <x:v>-86.3</x:v>
      </x:c>
    </x:row>
    <x:row r="842">
      <x:c r="A842" t="str">
        <x:f>"Despesa/Custo"</x:f>
        <x:v>Despesa/Custo</x:v>
      </x:c>
      <x:c r="B842" t="str">
        <x:f>Despesas!A806</x:f>
        <x:v>MERCADO LIVRE</x:v>
      </x:c>
      <x:c r="C842" t="str">
        <x:f>Despesas!B806</x:f>
        <x:v>78</x:v>
      </x:c>
      <x:c r="D842" t="str">
        <x:f>Despesas!C806</x:f>
        <x:v>015949</x:v>
      </x:c>
      <x:c r="E842" t="str">
        <x:f>Despesas!D806</x:f>
        <x:v>MANUTENÇÃO EQUIPAMENTOS</x:v>
      </x:c>
      <x:c r="F842" t="n">
        <x:f>Despesas!E806</x:f>
        <x:v>0</x:v>
      </x:c>
      <x:c r="G842" s="4" t="n">
        <x:f>Despesas!F806</x:f>
        <x:v>46051</x:v>
      </x:c>
      <x:c r="H842" t="str">
        <x:f>Despesas!G806</x:f>
        <x:v>VLI PINTURA</x:v>
      </x:c>
      <x:c r="I842" t="str">
        <x:f>Despesas!H806</x:f>
        <x:v>8.14 - MANUTENÇÃO/PEÇAS MAQUINAS E EQUIPAMENTOS</x:v>
      </x:c>
      <x:c r="J842" s="5" t="n">
        <x:f>Despesas!I806</x:f>
        <x:v>350</x:v>
      </x:c>
      <x:c r="K842" s="5" t="n">
        <x:f>0</x:f>
        <x:v>0</x:v>
      </x:c>
      <x:c r="L842" s="5" t="n">
        <x:f>Despesas!I806</x:f>
        <x:v>350</x:v>
      </x:c>
      <x:c r="M842" s="5" t="n">
        <x:f>-J842</x:f>
        <x:v>-350</x:v>
      </x:c>
    </x:row>
    <x:row r="843">
      <x:c r="A843" t="str">
        <x:f>"Despesa/Custo"</x:f>
        <x:v>Despesa/Custo</x:v>
      </x:c>
      <x:c r="B843" t="str">
        <x:f>Despesas!A807</x:f>
        <x:v>MERCADO LIVRE</x:v>
      </x:c>
      <x:c r="C843" t="str">
        <x:f>Despesas!B807</x:f>
        <x:v>77</x:v>
      </x:c>
      <x:c r="D843" t="str">
        <x:f>Despesas!C807</x:f>
        <x:v>015950</x:v>
      </x:c>
      <x:c r="E843" t="str">
        <x:f>Despesas!D807</x:f>
        <x:v>MANUTENÇÃO EQUIPAMENTOS</x:v>
      </x:c>
      <x:c r="F843" t="n">
        <x:f>Despesas!E807</x:f>
        <x:v>0</x:v>
      </x:c>
      <x:c r="G843" s="4" t="n">
        <x:f>Despesas!F807</x:f>
        <x:v>46051</x:v>
      </x:c>
      <x:c r="H843" t="str">
        <x:f>Despesas!G807</x:f>
        <x:v>VLI PINTURA</x:v>
      </x:c>
      <x:c r="I843" t="str">
        <x:f>Despesas!H807</x:f>
        <x:v>8.14 - MANUTENÇÃO/PEÇAS MAQUINAS E EQUIPAMENTOS</x:v>
      </x:c>
      <x:c r="J843" s="5" t="n">
        <x:f>Despesas!I807</x:f>
        <x:v>800</x:v>
      </x:c>
      <x:c r="K843" s="5" t="n">
        <x:f>0</x:f>
        <x:v>0</x:v>
      </x:c>
      <x:c r="L843" s="5" t="n">
        <x:f>Despesas!I807</x:f>
        <x:v>800</x:v>
      </x:c>
      <x:c r="M843" s="5" t="n">
        <x:f>-J843</x:f>
        <x:v>-800</x:v>
      </x:c>
    </x:row>
    <x:row r="844">
      <x:c r="A844" t="str">
        <x:f>"Despesa/Custo"</x:f>
        <x:v>Despesa/Custo</x:v>
      </x:c>
      <x:c r="B844" t="str">
        <x:f>Despesas!A808</x:f>
        <x:v>MERCADO LIVRE</x:v>
      </x:c>
      <x:c r="C844" t="str">
        <x:f>Despesas!B808</x:f>
        <x:v>147352</x:v>
      </x:c>
      <x:c r="D844" t="str">
        <x:f>Despesas!C808</x:f>
        <x:v>015951</x:v>
      </x:c>
      <x:c r="E844" t="str">
        <x:f>Despesas!D808</x:f>
        <x:v>MANUTENÇÃO EQUIPAMENTOS</x:v>
      </x:c>
      <x:c r="F844" t="n">
        <x:f>Despesas!E808</x:f>
        <x:v>0</x:v>
      </x:c>
      <x:c r="G844" s="4" t="n">
        <x:f>Despesas!F808</x:f>
        <x:v>46051</x:v>
      </x:c>
      <x:c r="H844" t="str">
        <x:f>Despesas!G808</x:f>
        <x:v>VLI PINTURA</x:v>
      </x:c>
      <x:c r="I844" t="str">
        <x:f>Despesas!H808</x:f>
        <x:v>8.14 - MANUTENÇÃO/PEÇAS MAQUINAS E EQUIPAMENTOS</x:v>
      </x:c>
      <x:c r="J844" s="5" t="n">
        <x:f>Despesas!I808</x:f>
        <x:v>599.16</x:v>
      </x:c>
      <x:c r="K844" s="5" t="n">
        <x:f>0</x:f>
        <x:v>0</x:v>
      </x:c>
      <x:c r="L844" s="5" t="n">
        <x:f>Despesas!I808</x:f>
        <x:v>599.16</x:v>
      </x:c>
      <x:c r="M844" s="5" t="n">
        <x:f>-J844</x:f>
        <x:v>-599.16</x:v>
      </x:c>
    </x:row>
    <x:row r="845">
      <x:c r="A845" t="str">
        <x:f>"Despesa/Custo"</x:f>
        <x:v>Despesa/Custo</x:v>
      </x:c>
      <x:c r="B845" t="str">
        <x:f>Despesas!A809</x:f>
        <x:v>MERCADO LIVRE</x:v>
      </x:c>
      <x:c r="C845" t="str">
        <x:f>Despesas!B809</x:f>
        <x:v>293793</x:v>
      </x:c>
      <x:c r="D845" t="str">
        <x:f>Despesas!C809</x:f>
        <x:v>015952</x:v>
      </x:c>
      <x:c r="E845" t="str">
        <x:f>Despesas!D809</x:f>
        <x:v>MANUTENÇÃO VEÍCULO - OROCH</x:v>
      </x:c>
      <x:c r="F845" t="n">
        <x:f>Despesas!E809</x:f>
        <x:v>0</x:v>
      </x:c>
      <x:c r="G845" s="4" t="n">
        <x:f>Despesas!F809</x:f>
        <x:v>46051</x:v>
      </x:c>
      <x:c r="H845" t="str">
        <x:f>Despesas!G809</x:f>
        <x:v>EUROCHEM SERRA DO SALITRE</x:v>
      </x:c>
      <x:c r="I845" t="str">
        <x:f>Despesas!H809</x:f>
        <x:v>6.3 - MANUTENÇÃO/PEÇAS  VEICULOS</x:v>
      </x:c>
      <x:c r="J845" s="5" t="n">
        <x:f>Despesas!I809</x:f>
        <x:v>605.89</x:v>
      </x:c>
      <x:c r="K845" s="5" t="n">
        <x:f>0</x:f>
        <x:v>0</x:v>
      </x:c>
      <x:c r="L845" s="5" t="n">
        <x:f>Despesas!I809</x:f>
        <x:v>605.89</x:v>
      </x:c>
      <x:c r="M845" s="5" t="n">
        <x:f>-J845</x:f>
        <x:v>-605.89</x:v>
      </x:c>
    </x:row>
    <x:row r="846">
      <x:c r="A846" t="str">
        <x:f>"Despesa/Custo"</x:f>
        <x:v>Despesa/Custo</x:v>
      </x:c>
      <x:c r="B846" t="str">
        <x:f>Despesas!A810</x:f>
        <x:v>LAVANDERIA SOL NASCENTE LTDA</x:v>
      </x:c>
      <x:c r="C846" t="str">
        <x:f>Despesas!B810</x:f>
        <x:v>2671</x:v>
      </x:c>
      <x:c r="D846" t="str">
        <x:f>Despesas!C810</x:f>
        <x:v>016042</x:v>
      </x:c>
      <x:c r="E846" t="str">
        <x:f>Despesas!D810</x:f>
        <x:v>SOL NASCENTE LAVANDERIA - PIX 08.807.690/0001-05</x:v>
      </x:c>
      <x:c r="F846" t="str">
        <x:f>Despesas!E810</x:f>
        <x:v>HIGIENIZAÇÃO DE EPIS</x:v>
      </x:c>
      <x:c r="G846" s="4" t="n">
        <x:f>Despesas!F810</x:f>
        <x:v>46051</x:v>
      </x:c>
      <x:c r="H846" t="str">
        <x:f>Despesas!G810</x:f>
        <x:v>ANGLO AMERICAN</x:v>
      </x:c>
      <x:c r="I846" t="str">
        <x:f>Despesas!H810</x:f>
        <x:v>5.2 - LAVANDERIA</x:v>
      </x:c>
      <x:c r="J846" s="5" t="n">
        <x:f>Despesas!I810</x:f>
        <x:v>424.5</x:v>
      </x:c>
      <x:c r="K846" s="5" t="n">
        <x:f>0</x:f>
        <x:v>0</x:v>
      </x:c>
      <x:c r="L846" s="5" t="n">
        <x:f>Despesas!I810</x:f>
        <x:v>424.5</x:v>
      </x:c>
      <x:c r="M846" s="5" t="n">
        <x:f>-J846</x:f>
        <x:v>-424.5</x:v>
      </x:c>
    </x:row>
    <x:row r="847">
      <x:c r="A847" t="str">
        <x:f>"Despesa/Custo"</x:f>
        <x:v>Despesa/Custo</x:v>
      </x:c>
      <x:c r="B847" t="str">
        <x:f>Despesas!A811</x:f>
        <x:v>PGFN</x:v>
      </x:c>
      <x:c r="C847" t="n">
        <x:f>Despesas!B811</x:f>
        <x:v>0</x:v>
      </x:c>
      <x:c r="D847" t="str">
        <x:f>Despesas!C811</x:f>
        <x:v>005417</x:v>
      </x:c>
      <x:c r="E847" t="str">
        <x:f>Despesas!D811</x:f>
        <x:v>PGFN 011015050 PIS - CONFINS - CSLL - ISS</x:v>
      </x:c>
      <x:c r="F847" t="str">
        <x:f>Despesas!E811</x:f>
        <x:v>PARCELAMENTO A IDEAL ISOLAMENTO</x:v>
      </x:c>
      <x:c r="G847" s="4" t="n">
        <x:f>Despesas!F811</x:f>
        <x:v>46052</x:v>
      </x:c>
      <x:c r="H847" t="str">
        <x:f>Despesas!G811</x:f>
        <x:v>IMPOSTOS</x:v>
      </x:c>
      <x:c r="I847" t="str">
        <x:f>Despesas!H811</x:f>
        <x:v>17.1 - PARCELAMENTO</x:v>
      </x:c>
      <x:c r="J847" s="5" t="n">
        <x:f>Despesas!I811</x:f>
        <x:v>572.61</x:v>
      </x:c>
      <x:c r="K847" s="5" t="n">
        <x:f>0</x:f>
        <x:v>0</x:v>
      </x:c>
      <x:c r="L847" s="5" t="n">
        <x:f>Despesas!I811</x:f>
        <x:v>572.61</x:v>
      </x:c>
      <x:c r="M847" s="5" t="n">
        <x:f>-J847</x:f>
        <x:v>-572.61</x:v>
      </x:c>
    </x:row>
    <x:row r="848">
      <x:c r="A848" t="str">
        <x:f>"Despesa/Custo"</x:f>
        <x:v>Despesa/Custo</x:v>
      </x:c>
      <x:c r="B848" t="str">
        <x:f>Despesas!A812</x:f>
        <x:v>PGFN</x:v>
      </x:c>
      <x:c r="C848" t="n">
        <x:f>Despesas!B812</x:f>
        <x:v>0</x:v>
      </x:c>
      <x:c r="D848" t="str">
        <x:f>Despesas!C812</x:f>
        <x:v>005418</x:v>
      </x:c>
      <x:c r="E848" t="str">
        <x:f>Despesas!D812</x:f>
        <x:v>PGFN 011015050 PIS - CONFINS - CSLL - ISS</x:v>
      </x:c>
      <x:c r="F848" t="str">
        <x:f>Despesas!E812</x:f>
        <x:v>PARCELAMENTO A IDEAL ISOLAMENTO</x:v>
      </x:c>
      <x:c r="G848" s="4" t="n">
        <x:f>Despesas!F812</x:f>
        <x:v>46052</x:v>
      </x:c>
      <x:c r="H848" t="str">
        <x:f>Despesas!G812</x:f>
        <x:v>IMPOSTOS</x:v>
      </x:c>
      <x:c r="I848" t="str">
        <x:f>Despesas!H812</x:f>
        <x:v>17.1 - PARCELAMENTO</x:v>
      </x:c>
      <x:c r="J848" s="5" t="n">
        <x:f>Despesas!I812</x:f>
        <x:v>572.61</x:v>
      </x:c>
      <x:c r="K848" s="5" t="n">
        <x:f>0</x:f>
        <x:v>0</x:v>
      </x:c>
      <x:c r="L848" s="5" t="n">
        <x:f>Despesas!I812</x:f>
        <x:v>572.61</x:v>
      </x:c>
      <x:c r="M848" s="5" t="n">
        <x:f>-J848</x:f>
        <x:v>-572.61</x:v>
      </x:c>
    </x:row>
    <x:row r="849">
      <x:c r="A849" t="str">
        <x:f>"Despesa/Custo"</x:f>
        <x:v>Despesa/Custo</x:v>
      </x:c>
      <x:c r="B849" t="str">
        <x:f>Despesas!A813</x:f>
        <x:v>PGFN</x:v>
      </x:c>
      <x:c r="C849" t="n">
        <x:f>Despesas!B813</x:f>
        <x:v>0</x:v>
      </x:c>
      <x:c r="D849" t="str">
        <x:f>Despesas!C813</x:f>
        <x:v>005479</x:v>
      </x:c>
      <x:c r="E849" t="str">
        <x:f>Despesas!D813</x:f>
        <x:v>PGFN 011015098</x:v>
      </x:c>
      <x:c r="F849" t="str">
        <x:f>Despesas!E813</x:f>
        <x:v>PARCELAMENTO A IDEAL ANDAIMES</x:v>
      </x:c>
      <x:c r="G849" s="4" t="n">
        <x:f>Despesas!F813</x:f>
        <x:v>46052</x:v>
      </x:c>
      <x:c r="H849" t="str">
        <x:f>Despesas!G813</x:f>
        <x:v>IMPOSTOS</x:v>
      </x:c>
      <x:c r="I849" t="str">
        <x:f>Despesas!H813</x:f>
        <x:v>17.1 - PARCELAMENTO</x:v>
      </x:c>
      <x:c r="J849" s="5" t="n">
        <x:f>Despesas!I813</x:f>
        <x:v>118.97</x:v>
      </x:c>
      <x:c r="K849" s="5" t="n">
        <x:f>0</x:f>
        <x:v>0</x:v>
      </x:c>
      <x:c r="L849" s="5" t="n">
        <x:f>Despesas!I813</x:f>
        <x:v>118.97</x:v>
      </x:c>
      <x:c r="M849" s="5" t="n">
        <x:f>-J849</x:f>
        <x:v>-118.97</x:v>
      </x:c>
    </x:row>
    <x:row r="850">
      <x:c r="A850" t="str">
        <x:f>"Despesa/Custo"</x:f>
        <x:v>Despesa/Custo</x:v>
      </x:c>
      <x:c r="B850" t="str">
        <x:f>Despesas!A814</x:f>
        <x:v>PGFN</x:v>
      </x:c>
      <x:c r="C850" t="n">
        <x:f>Despesas!B814</x:f>
        <x:v>0</x:v>
      </x:c>
      <x:c r="D850" t="str">
        <x:f>Despesas!C814</x:f>
        <x:v>005480</x:v>
      </x:c>
      <x:c r="E850" t="str">
        <x:f>Despesas!D814</x:f>
        <x:v>PGFN 011015098</x:v>
      </x:c>
      <x:c r="F850" t="str">
        <x:f>Despesas!E814</x:f>
        <x:v>PARCELAMENTO A IDEAL ANDAIMES</x:v>
      </x:c>
      <x:c r="G850" s="4" t="n">
        <x:f>Despesas!F814</x:f>
        <x:v>46052</x:v>
      </x:c>
      <x:c r="H850" t="str">
        <x:f>Despesas!G814</x:f>
        <x:v>IMPOSTOS</x:v>
      </x:c>
      <x:c r="I850" t="str">
        <x:f>Despesas!H814</x:f>
        <x:v>17.1 - PARCELAMENTO</x:v>
      </x:c>
      <x:c r="J850" s="5" t="n">
        <x:f>Despesas!I814</x:f>
        <x:v>118.97</x:v>
      </x:c>
      <x:c r="K850" s="5" t="n">
        <x:f>0</x:f>
        <x:v>0</x:v>
      </x:c>
      <x:c r="L850" s="5" t="n">
        <x:f>Despesas!I814</x:f>
        <x:v>118.97</x:v>
      </x:c>
      <x:c r="M850" s="5" t="n">
        <x:f>-J850</x:f>
        <x:v>-118.97</x:v>
      </x:c>
    </x:row>
    <x:row r="851">
      <x:c r="A851" t="str">
        <x:f>"Despesa/Custo"</x:f>
        <x:v>Despesa/Custo</x:v>
      </x:c>
      <x:c r="B851" t="str">
        <x:f>Despesas!A815</x:f>
        <x:v>PGFN</x:v>
      </x:c>
      <x:c r="C851" t="n">
        <x:f>Despesas!B815</x:f>
        <x:v>0</x:v>
      </x:c>
      <x:c r="D851" t="str">
        <x:f>Despesas!C815</x:f>
        <x:v>005516</x:v>
      </x:c>
      <x:c r="E851" t="str">
        <x:f>Despesas!D815</x:f>
        <x:v>DAS PARCSN VERSAO 2.0.0 PIS - CONFINS - INSS - IRPJ</x:v>
      </x:c>
      <x:c r="F851" t="str">
        <x:f>Despesas!E815</x:f>
        <x:v>PARCELAMENTO A IDEAL ANDAIMES</x:v>
      </x:c>
      <x:c r="G851" s="4" t="n">
        <x:f>Despesas!F815</x:f>
        <x:v>46052</x:v>
      </x:c>
      <x:c r="H851" t="str">
        <x:f>Despesas!G815</x:f>
        <x:v>IMPOSTOS</x:v>
      </x:c>
      <x:c r="I851" t="str">
        <x:f>Despesas!H815</x:f>
        <x:v>17.1 - PARCELAMENTO</x:v>
      </x:c>
      <x:c r="J851" s="5" t="n">
        <x:f>Despesas!I815</x:f>
        <x:v>354.86</x:v>
      </x:c>
      <x:c r="K851" s="5" t="n">
        <x:f>0</x:f>
        <x:v>0</x:v>
      </x:c>
      <x:c r="L851" s="5" t="n">
        <x:f>Despesas!I815</x:f>
        <x:v>354.86</x:v>
      </x:c>
      <x:c r="M851" s="5" t="n">
        <x:f>-J851</x:f>
        <x:v>-354.86</x:v>
      </x:c>
    </x:row>
    <x:row r="852">
      <x:c r="A852" t="str">
        <x:f>"Despesa/Custo"</x:f>
        <x:v>Despesa/Custo</x:v>
      </x:c>
      <x:c r="B852" t="str">
        <x:f>Despesas!A816</x:f>
        <x:v>PGFN</x:v>
      </x:c>
      <x:c r="C852" t="n">
        <x:f>Despesas!B816</x:f>
        <x:v>0</x:v>
      </x:c>
      <x:c r="D852" t="str">
        <x:f>Despesas!C816</x:f>
        <x:v>009905</x:v>
      </x:c>
      <x:c r="E852" t="str">
        <x:f>Despesas!D816</x:f>
        <x:v>PARCELAMENTO ENTRADA PGFN 011319029 1-6</x:v>
      </x:c>
      <x:c r="F852" t="str">
        <x:f>Despesas!E816</x:f>
        <x:v>NV AIDEAL SOLUCOES  GUERRA ADVOGADOS</x:v>
      </x:c>
      <x:c r="G852" s="4" t="n">
        <x:f>Despesas!F816</x:f>
        <x:v>46052</x:v>
      </x:c>
      <x:c r="H852" t="str">
        <x:f>Despesas!G816</x:f>
        <x:v>IMPOSTOS</x:v>
      </x:c>
      <x:c r="I852" t="str">
        <x:f>Despesas!H816</x:f>
        <x:v>17.1 - PARCELAMENTO</x:v>
      </x:c>
      <x:c r="J852" s="5" t="n">
        <x:f>Despesas!I816</x:f>
        <x:v>2691.6</x:v>
      </x:c>
      <x:c r="K852" s="5" t="n">
        <x:f>0</x:f>
        <x:v>0</x:v>
      </x:c>
      <x:c r="L852" s="5" t="n">
        <x:f>Despesas!I816</x:f>
        <x:v>2691.6</x:v>
      </x:c>
      <x:c r="M852" s="5" t="n">
        <x:f>-J852</x:f>
        <x:v>-2691.6</x:v>
      </x:c>
    </x:row>
    <x:row r="853">
      <x:c r="A853" t="str">
        <x:f>"Despesa/Custo"</x:f>
        <x:v>Despesa/Custo</x:v>
      </x:c>
      <x:c r="B853" t="str">
        <x:f>Despesas!A817</x:f>
        <x:v>PROMA PROMOCOES LTDA</x:v>
      </x:c>
      <x:c r="C853" t="n">
        <x:f>Despesas!B817</x:f>
        <x:v>0</x:v>
      </x:c>
      <x:c r="D853" t="str">
        <x:f>Despesas!C817</x:f>
        <x:v>015878</x:v>
      </x:c>
      <x:c r="E853" t="str">
        <x:f>Despesas!D817</x:f>
        <x:v>FEIRA DE EVENTO BRASMIN - 2027</x:v>
      </x:c>
      <x:c r="F853" t="str">
        <x:f>Despesas!E817</x:f>
        <x:v>PARCELADO EM 02 X PIX 34.452.893/0001-28</x:v>
      </x:c>
      <x:c r="G853" s="4" t="n">
        <x:f>Despesas!F817</x:f>
        <x:v>46052</x:v>
      </x:c>
      <x:c r="H853" t="str">
        <x:f>Despesas!G817</x:f>
        <x:v>GASTOS COMERCIAIS</x:v>
      </x:c>
      <x:c r="I853" t="str">
        <x:f>Despesas!H817</x:f>
        <x:v>3.19 - SERVIÇO BRINDES E ACESSORIOS E EVENTOS</x:v>
      </x:c>
      <x:c r="J853" s="5" t="n">
        <x:f>Despesas!I817</x:f>
        <x:v>1568</x:v>
      </x:c>
      <x:c r="K853" s="5" t="n">
        <x:f>0</x:f>
        <x:v>0</x:v>
      </x:c>
      <x:c r="L853" s="5" t="n">
        <x:f>Despesas!I817</x:f>
        <x:v>1568</x:v>
      </x:c>
      <x:c r="M853" s="5" t="n">
        <x:f>-J853</x:f>
        <x:v>-1568</x:v>
      </x:c>
    </x:row>
    <x:row r="854">
      <x:c r="A854" t="str">
        <x:f>"Despesa/Custo"</x:f>
        <x:v>Despesa/Custo</x:v>
      </x:c>
      <x:c r="B854" t="str">
        <x:f>Despesas!A818</x:f>
        <x:v>PROMA PROMOCOES LTDA</x:v>
      </x:c>
      <x:c r="C854" t="n">
        <x:f>Despesas!B818</x:f>
        <x:v>0</x:v>
      </x:c>
      <x:c r="D854" t="str">
        <x:f>Despesas!C818</x:f>
        <x:v>015878</x:v>
      </x:c>
      <x:c r="E854" t="str">
        <x:f>Despesas!D818</x:f>
        <x:v>FEIRA DE EVENTO BRASMIN - 2027</x:v>
      </x:c>
      <x:c r="F854" t="str">
        <x:f>Despesas!E818</x:f>
        <x:v>PARCELADO EM 02 X PIX 34.452.893/0001-28</x:v>
      </x:c>
      <x:c r="G854" s="4" t="n">
        <x:f>Despesas!F818</x:f>
        <x:v>46052</x:v>
      </x:c>
      <x:c r="H854" t="str">
        <x:f>Despesas!G818</x:f>
        <x:v>GASTOS COMERCIAIS</x:v>
      </x:c>
      <x:c r="I854" t="str">
        <x:f>Despesas!H818</x:f>
        <x:v>3.19 - SERVIÇO BRINDES E ACESSORIOS E EVENTOS</x:v>
      </x:c>
      <x:c r="J854" s="5" t="n">
        <x:f>Despesas!I818</x:f>
        <x:v>1568</x:v>
      </x:c>
      <x:c r="K854" s="5" t="n">
        <x:f>0</x:f>
        <x:v>0</x:v>
      </x:c>
      <x:c r="L854" s="5" t="n">
        <x:f>Despesas!I818</x:f>
        <x:v>1568</x:v>
      </x:c>
      <x:c r="M854" s="5" t="n">
        <x:f>-J854</x:f>
        <x:v>-1568</x:v>
      </x:c>
    </x:row>
    <x:row r="855">
      <x:c r="A855" t="str">
        <x:f>"Despesa/Custo"</x:f>
        <x:v>Despesa/Custo</x:v>
      </x:c>
      <x:c r="B855" t="str">
        <x:f>Despesas!A819</x:f>
        <x:v>ENCOMENDA DE CATALAO</x:v>
      </x:c>
      <x:c r="C855" t="n">
        <x:f>Despesas!B819</x:f>
        <x:v>0</x:v>
      </x:c>
      <x:c r="D855" t="str">
        <x:f>Despesas!C819</x:f>
        <x:v>015880</x:v>
      </x:c>
      <x:c r="E855" t="str">
        <x:f>Despesas!D819</x:f>
        <x:v>GABRIELLE ELIAS DE FREITAS - PIX (64) 9 9259-1215</x:v>
      </x:c>
      <x:c r="F855" t="n">
        <x:f>Despesas!E819</x:f>
        <x:v>0</x:v>
      </x:c>
      <x:c r="G855" s="4" t="n">
        <x:f>Despesas!F819</x:f>
        <x:v>46052</x:v>
      </x:c>
      <x:c r="H855" t="str">
        <x:f>Despesas!G819</x:f>
        <x:v>FOSFATO CMOC CONTRAT</x:v>
      </x:c>
      <x:c r="I855" t="str">
        <x:f>Despesas!H819</x:f>
        <x:v>10.1 - FRETE MATERIAIS E EQUIPAMENTOS</x:v>
      </x:c>
      <x:c r="J855" s="5" t="n">
        <x:f>Despesas!I819</x:f>
        <x:v>100</x:v>
      </x:c>
      <x:c r="K855" s="5" t="n">
        <x:f>0</x:f>
        <x:v>0</x:v>
      </x:c>
      <x:c r="L855" s="5" t="n">
        <x:f>Despesas!I819</x:f>
        <x:v>100</x:v>
      </x:c>
      <x:c r="M855" s="5" t="n">
        <x:f>-J855</x:f>
        <x:v>-100</x:v>
      </x:c>
    </x:row>
    <x:row r="856">
      <x:c r="A856" t="str">
        <x:f>"Despesa/Custo"</x:f>
        <x:v>Despesa/Custo</x:v>
      </x:c>
      <x:c r="B856" t="str">
        <x:f>Despesas!A820</x:f>
        <x:v>64.258.497 ANNA KARLA DA SILVA MORAES</x:v>
      </x:c>
      <x:c r="C856" t="str">
        <x:f>Despesas!B820</x:f>
        <x:v>1</x:v>
      </x:c>
      <x:c r="D856" t="str">
        <x:f>Despesas!C820</x:f>
        <x:v>015882</x:v>
      </x:c>
      <x:c r="E856" t="str">
        <x:f>Despesas!D820</x:f>
        <x:v>ANNA KARLA DA SILVA MORAES - PIX (62) 9 8241-5229</x:v>
      </x:c>
      <x:c r="F856" t="str">
        <x:f>Despesas!E820</x:f>
        <x:v>DECORAÇÃO DE INTERIORES EM 2 AMBIENTES</x:v>
      </x:c>
      <x:c r="G856" s="4" t="n">
        <x:f>Despesas!F820</x:f>
        <x:v>46052</x:v>
      </x:c>
      <x:c r="H856" t="str">
        <x:f>Despesas!G820</x:f>
        <x:v>ADMINISTRATIVO</x:v>
      </x:c>
      <x:c r="I856" t="str">
        <x:f>Despesas!H820</x:f>
        <x:v>15.5 - PROJETOS</x:v>
      </x:c>
      <x:c r="J856" s="5" t="n">
        <x:f>Despesas!I820</x:f>
        <x:v>750</x:v>
      </x:c>
      <x:c r="K856" s="5" t="n">
        <x:f>0</x:f>
        <x:v>0</x:v>
      </x:c>
      <x:c r="L856" s="5" t="n">
        <x:f>Despesas!I820</x:f>
        <x:v>750</x:v>
      </x:c>
      <x:c r="M856" s="5" t="n">
        <x:f>-J856</x:f>
        <x:v>-750</x:v>
      </x:c>
    </x:row>
    <x:row r="857">
      <x:c r="A857" t="str">
        <x:f>"Despesa/Custo"</x:f>
        <x:v>Despesa/Custo</x:v>
      </x:c>
      <x:c r="B857" t="str">
        <x:f>Despesas!A821</x:f>
        <x:v>INTERNET OBRAS</x:v>
      </x:c>
      <x:c r="C857" t="n">
        <x:f>Despesas!B821</x:f>
        <x:v>0</x:v>
      </x:c>
      <x:c r="D857" t="str">
        <x:f>Despesas!C821</x:f>
        <x:v>015883</x:v>
      </x:c>
      <x:c r="E857" t="str">
        <x:f>Despesas!D821</x:f>
        <x:v>INTERNET AABA</x:v>
      </x:c>
      <x:c r="F857" t="str">
        <x:f>Despesas!E821</x:f>
        <x:v>REEMBOLSO WILLIAM MONTEIRO</x:v>
      </x:c>
      <x:c r="G857" s="4" t="n">
        <x:f>Despesas!F821</x:f>
        <x:v>46052</x:v>
      </x:c>
      <x:c r="H857" t="str">
        <x:f>Despesas!G821</x:f>
        <x:v>ANGLO AMERICAN</x:v>
      </x:c>
      <x:c r="I857" t="str">
        <x:f>Despesas!H821</x:f>
        <x:v>11.14 - INTERNET OBRAS</x:v>
      </x:c>
      <x:c r="J857" s="5" t="n">
        <x:f>Despesas!I821</x:f>
        <x:v>70</x:v>
      </x:c>
      <x:c r="K857" s="5" t="n">
        <x:f>0</x:f>
        <x:v>0</x:v>
      </x:c>
      <x:c r="L857" s="5" t="n">
        <x:f>Despesas!I821</x:f>
        <x:v>70</x:v>
      </x:c>
      <x:c r="M857" s="5" t="n">
        <x:f>-J857</x:f>
        <x:v>-70</x:v>
      </x:c>
    </x:row>
    <x:row r="858">
      <x:c r="A858" t="str">
        <x:f>"Despesa/Custo"</x:f>
        <x:v>Despesa/Custo</x:v>
      </x:c>
      <x:c r="B858" t="str">
        <x:f>Despesas!A822</x:f>
        <x:v>MAGNO</x:v>
      </x:c>
      <x:c r="C858" t="n">
        <x:f>Despesas!B822</x:f>
        <x:v>0</x:v>
      </x:c>
      <x:c r="D858" t="str">
        <x:f>Despesas!C822</x:f>
        <x:v>015887</x:v>
      </x:c>
      <x:c r="E858" t="str">
        <x:f>Despesas!D822</x:f>
        <x:v>DESPESAS REF. 23/01 A 27/01</x:v>
      </x:c>
      <x:c r="F858" t="str">
        <x:f>Despesas!E822</x:f>
        <x:v>REEMBOLSO MAGNO</x:v>
      </x:c>
      <x:c r="G858" s="4" t="n">
        <x:f>Despesas!F822</x:f>
        <x:v>46052</x:v>
      </x:c>
      <x:c r="H858" t="str">
        <x:f>Despesas!G822</x:f>
        <x:v>MOSAIC UBERABA CONTRAT0 3 ANOS</x:v>
      </x:c>
      <x:c r="I858" t="str">
        <x:f>Despesas!H822</x:f>
        <x:v>12.5 - REFEIÇÕES FUNCIONARIOS</x:v>
      </x:c>
      <x:c r="J858" s="5" t="n">
        <x:f>Despesas!I822</x:f>
        <x:v>92</x:v>
      </x:c>
      <x:c r="K858" s="5" t="n">
        <x:f>0</x:f>
        <x:v>0</x:v>
      </x:c>
      <x:c r="L858" s="5" t="n">
        <x:f>Despesas!I822</x:f>
        <x:v>92</x:v>
      </x:c>
      <x:c r="M858" s="5" t="n">
        <x:f>-J858</x:f>
        <x:v>-92</x:v>
      </x:c>
    </x:row>
    <x:row r="859">
      <x:c r="A859" t="str">
        <x:f>"Despesa/Custo"</x:f>
        <x:v>Despesa/Custo</x:v>
      </x:c>
      <x:c r="B859" t="str">
        <x:f>Despesas!A823</x:f>
        <x:v>MAGNO</x:v>
      </x:c>
      <x:c r="C859" t="n">
        <x:f>Despesas!B823</x:f>
        <x:v>0</x:v>
      </x:c>
      <x:c r="D859" t="str">
        <x:f>Despesas!C823</x:f>
        <x:v>015887</x:v>
      </x:c>
      <x:c r="E859" t="str">
        <x:f>Despesas!D823</x:f>
        <x:v>DESPESAS REF. 23/01 A 27/01</x:v>
      </x:c>
      <x:c r="F859" t="str">
        <x:f>Despesas!E823</x:f>
        <x:v>REEMBOLSO MAGNO</x:v>
      </x:c>
      <x:c r="G859" s="4" t="n">
        <x:f>Despesas!F823</x:f>
        <x:v>46052</x:v>
      </x:c>
      <x:c r="H859" t="str">
        <x:f>Despesas!G823</x:f>
        <x:v>MOSAIC UBERABA CONTRAT0 3 ANOS</x:v>
      </x:c>
      <x:c r="I859" t="str">
        <x:f>Despesas!H823</x:f>
        <x:v>3.8 - SERVIÇO MOTOBOY / UBER</x:v>
      </x:c>
      <x:c r="J859" s="5" t="n">
        <x:f>Despesas!I823</x:f>
        <x:v>140</x:v>
      </x:c>
      <x:c r="K859" s="5" t="n">
        <x:f>0</x:f>
        <x:v>0</x:v>
      </x:c>
      <x:c r="L859" s="5" t="n">
        <x:f>Despesas!I823</x:f>
        <x:v>140</x:v>
      </x:c>
      <x:c r="M859" s="5" t="n">
        <x:f>-J859</x:f>
        <x:v>-140</x:v>
      </x:c>
    </x:row>
    <x:row r="860">
      <x:c r="A860" t="str">
        <x:f>"Despesa/Custo"</x:f>
        <x:v>Despesa/Custo</x:v>
      </x:c>
      <x:c r="B860" t="str">
        <x:f>Despesas!A824</x:f>
        <x:v>MAGNO</x:v>
      </x:c>
      <x:c r="C860" t="n">
        <x:f>Despesas!B824</x:f>
        <x:v>0</x:v>
      </x:c>
      <x:c r="D860" t="str">
        <x:f>Despesas!C824</x:f>
        <x:v>015887</x:v>
      </x:c>
      <x:c r="E860" t="str">
        <x:f>Despesas!D824</x:f>
        <x:v>DESPESAS REF. 23/01 A 27/01</x:v>
      </x:c>
      <x:c r="F860" t="str">
        <x:f>Despesas!E824</x:f>
        <x:v>REEMBOLSO MAGNO</x:v>
      </x:c>
      <x:c r="G860" s="4" t="n">
        <x:f>Despesas!F824</x:f>
        <x:v>46052</x:v>
      </x:c>
      <x:c r="H860" t="str">
        <x:f>Despesas!G824</x:f>
        <x:v>MOSAIC UBERABA CONTRAT0 3 ANOS</x:v>
      </x:c>
      <x:c r="I860" t="str">
        <x:f>Despesas!H824</x:f>
        <x:v>8.9 - MATERIAIS DE CONSUMO EM OBRAS</x:v>
      </x:c>
      <x:c r="J860" s="5" t="n">
        <x:f>Despesas!I824</x:f>
        <x:v>152</x:v>
      </x:c>
      <x:c r="K860" s="5" t="n">
        <x:f>0</x:f>
        <x:v>0</x:v>
      </x:c>
      <x:c r="L860" s="5" t="n">
        <x:f>Despesas!I824</x:f>
        <x:v>152</x:v>
      </x:c>
      <x:c r="M860" s="5" t="n">
        <x:f>-J860</x:f>
        <x:v>-152</x:v>
      </x:c>
    </x:row>
    <x:row r="861">
      <x:c r="A861" t="str">
        <x:f>"Despesa/Custo"</x:f>
        <x:v>Despesa/Custo</x:v>
      </x:c>
      <x:c r="B861" t="str">
        <x:f>Despesas!A825</x:f>
        <x:v>MAGNO</x:v>
      </x:c>
      <x:c r="C861" t="n">
        <x:f>Despesas!B825</x:f>
        <x:v>0</x:v>
      </x:c>
      <x:c r="D861" t="str">
        <x:f>Despesas!C825</x:f>
        <x:v>015887</x:v>
      </x:c>
      <x:c r="E861" t="str">
        <x:f>Despesas!D825</x:f>
        <x:v>DESPESAS REF. 23/01 A 27/01</x:v>
      </x:c>
      <x:c r="F861" t="str">
        <x:f>Despesas!E825</x:f>
        <x:v>REEMBOLSO MAGNO</x:v>
      </x:c>
      <x:c r="G861" s="4" t="n">
        <x:f>Despesas!F825</x:f>
        <x:v>46052</x:v>
      </x:c>
      <x:c r="H861" t="str">
        <x:f>Despesas!G825</x:f>
        <x:v>MOSAIC UBERABA CONTRAT0 3 ANOS</x:v>
      </x:c>
      <x:c r="I861" t="str">
        <x:f>Despesas!H825</x:f>
        <x:v>6.4 - COMBUSTIVEL VEICULOS</x:v>
      </x:c>
      <x:c r="J861" s="5" t="n">
        <x:f>Despesas!I825</x:f>
        <x:v>390.48</x:v>
      </x:c>
      <x:c r="K861" s="5" t="n">
        <x:f>0</x:f>
        <x:v>0</x:v>
      </x:c>
      <x:c r="L861" s="5" t="n">
        <x:f>Despesas!I825</x:f>
        <x:v>390.48</x:v>
      </x:c>
      <x:c r="M861" s="5" t="n">
        <x:f>-J861</x:f>
        <x:v>-390.48</x:v>
      </x:c>
    </x:row>
    <x:row r="862">
      <x:c r="A862" t="str">
        <x:f>"Despesa/Custo"</x:f>
        <x:v>Despesa/Custo</x:v>
      </x:c>
      <x:c r="B862" t="str">
        <x:f>Despesas!A826</x:f>
        <x:v>DESPESAS DE VIAGEM</x:v>
      </x:c>
      <x:c r="C862" t="n">
        <x:f>Despesas!B826</x:f>
        <x:v>0</x:v>
      </x:c>
      <x:c r="D862" t="str">
        <x:f>Despesas!C826</x:f>
        <x:v>015888</x:v>
      </x:c>
      <x:c r="E862" t="str">
        <x:f>Despesas!D826</x:f>
        <x:v>PASSAGEM FUNCIONÁRIO WISLEY NAZARÉ</x:v>
      </x:c>
      <x:c r="F862" t="n">
        <x:f>Despesas!E826</x:f>
        <x:v>0</x:v>
      </x:c>
      <x:c r="G862" s="4" t="n">
        <x:f>Despesas!F826</x:f>
        <x:v>46052</x:v>
      </x:c>
      <x:c r="H862" t="str">
        <x:f>Despesas!G826</x:f>
        <x:v>CONTRATO 02 ANOS MINERAÇÃO SERRA VERDE</x:v>
      </x:c>
      <x:c r="I862" t="str">
        <x:f>Despesas!H826</x:f>
        <x:v>12.9 - PASSAGENS FUNCIONARIOS</x:v>
      </x:c>
      <x:c r="J862" s="5" t="n">
        <x:f>Despesas!I826</x:f>
        <x:v>600</x:v>
      </x:c>
      <x:c r="K862" s="5" t="n">
        <x:f>0</x:f>
        <x:v>0</x:v>
      </x:c>
      <x:c r="L862" s="5" t="n">
        <x:f>Despesas!I826</x:f>
        <x:v>600</x:v>
      </x:c>
      <x:c r="M862" s="5" t="n">
        <x:f>-J862</x:f>
        <x:v>-600</x:v>
      </x:c>
    </x:row>
    <x:row r="863">
      <x:c r="A863" t="str">
        <x:f>"Despesa/Custo"</x:f>
        <x:v>Despesa/Custo</x:v>
      </x:c>
      <x:c r="B863" t="str">
        <x:f>Despesas!A827</x:f>
        <x:v>XCELL CELULARES E INFORMATICA LTDA</x:v>
      </x:c>
      <x:c r="C863" t="str">
        <x:f>Despesas!B827</x:f>
        <x:v>252</x:v>
      </x:c>
      <x:c r="D863" t="str">
        <x:f>Despesas!C827</x:f>
        <x:v>015902</x:v>
      </x:c>
      <x:c r="E863" t="str">
        <x:f>Despesas!D827</x:f>
        <x:v>MATERIAIS DE INFORMÁTICA</x:v>
      </x:c>
      <x:c r="F863" t="n">
        <x:f>Despesas!E827</x:f>
        <x:v>0</x:v>
      </x:c>
      <x:c r="G863" s="4" t="n">
        <x:f>Despesas!F827</x:f>
        <x:v>46052</x:v>
      </x:c>
      <x:c r="H863" t="str">
        <x:f>Despesas!G827</x:f>
        <x:v>ADMINISTRATIVO</x:v>
      </x:c>
      <x:c r="I863" t="str">
        <x:f>Despesas!H827</x:f>
        <x:v>11.13 - MATERIAIS DE INFORMATICA / COMPUTADOR</x:v>
      </x:c>
      <x:c r="J863" s="5" t="n">
        <x:f>Despesas!I827</x:f>
        <x:v>140</x:v>
      </x:c>
      <x:c r="K863" s="5" t="n">
        <x:f>0</x:f>
        <x:v>0</x:v>
      </x:c>
      <x:c r="L863" s="5" t="n">
        <x:f>Despesas!I827</x:f>
        <x:v>140</x:v>
      </x:c>
      <x:c r="M863" s="5" t="n">
        <x:f>-J863</x:f>
        <x:v>-140</x:v>
      </x:c>
    </x:row>
    <x:row r="864">
      <x:c r="A864" t="str">
        <x:f>"Despesa/Custo"</x:f>
        <x:v>Despesa/Custo</x:v>
      </x:c>
      <x:c r="B864" t="str">
        <x:f>Despesas!A828</x:f>
        <x:v>55.324.724 GABRIEL VINICIUS ABREU FERREIRA</x:v>
      </x:c>
      <x:c r="C864" t="n">
        <x:f>Despesas!B828</x:f>
        <x:v>0</x:v>
      </x:c>
      <x:c r="D864" t="str">
        <x:f>Despesas!C828</x:f>
        <x:v>015903</x:v>
      </x:c>
      <x:c r="E864" t="str">
        <x:f>Despesas!D828</x:f>
        <x:v>GABRIEL VINICIUS AB - PIX 55.324.724/0001-82</x:v>
      </x:c>
      <x:c r="F864" t="str">
        <x:f>Despesas!E828</x:f>
        <x:v>LEVAR MATERIAL NA TRANSPORTADORA</x:v>
      </x:c>
      <x:c r="G864" s="4" t="n">
        <x:f>Despesas!F828</x:f>
        <x:v>46052</x:v>
      </x:c>
      <x:c r="H864" t="str">
        <x:f>Despesas!G828</x:f>
        <x:v>ADMINISTRATIVO</x:v>
      </x:c>
      <x:c r="I864" t="str">
        <x:f>Despesas!H828</x:f>
        <x:v>3.8 - SERVIÇO MOTOBOY / UBER</x:v>
      </x:c>
      <x:c r="J864" s="5" t="n">
        <x:f>Despesas!I828</x:f>
        <x:v>160</x:v>
      </x:c>
      <x:c r="K864" s="5" t="n">
        <x:f>0</x:f>
        <x:v>0</x:v>
      </x:c>
      <x:c r="L864" s="5" t="n">
        <x:f>Despesas!I828</x:f>
        <x:v>160</x:v>
      </x:c>
      <x:c r="M864" s="5" t="n">
        <x:f>-J864</x:f>
        <x:v>-160</x:v>
      </x:c>
    </x:row>
    <x:row r="865">
      <x:c r="A865" t="str">
        <x:f>"Despesa/Custo"</x:f>
        <x:v>Despesa/Custo</x:v>
      </x:c>
      <x:c r="B865" t="str">
        <x:f>Despesas!A829</x:f>
        <x:v>UBER OBRAS</x:v>
      </x:c>
      <x:c r="C865" t="n">
        <x:f>Despesas!B829</x:f>
        <x:v>0</x:v>
      </x:c>
      <x:c r="D865" t="str">
        <x:f>Despesas!C829</x:f>
        <x:v>015904</x:v>
      </x:c>
      <x:c r="E865" t="str">
        <x:f>Despesas!D829</x:f>
        <x:v>UBER DO BRASIL TECNOLOGIA LTDA - PIX 3f7cde38-80f4-44d8-a4f3-be9badbbc87b</x:v>
      </x:c>
      <x:c r="F865" t="str">
        <x:f>Despesas!E829</x:f>
        <x:v>TRAZER CARREGADOR NOTEBOOK</x:v>
      </x:c>
      <x:c r="G865" s="4" t="n">
        <x:f>Despesas!F829</x:f>
        <x:v>46052</x:v>
      </x:c>
      <x:c r="H865" t="str">
        <x:f>Despesas!G829</x:f>
        <x:v>ADMINISTRATIVO</x:v>
      </x:c>
      <x:c r="I865" t="str">
        <x:f>Despesas!H829</x:f>
        <x:v>10.1 - FRETE MATERIAIS E EQUIPAMENTOS</x:v>
      </x:c>
      <x:c r="J865" s="5" t="n">
        <x:f>Despesas!I829</x:f>
        <x:v>17.93</x:v>
      </x:c>
      <x:c r="K865" s="5" t="n">
        <x:f>0</x:f>
        <x:v>0</x:v>
      </x:c>
      <x:c r="L865" s="5" t="n">
        <x:f>Despesas!I829</x:f>
        <x:v>17.93</x:v>
      </x:c>
      <x:c r="M865" s="5" t="n">
        <x:f>-J865</x:f>
        <x:v>-17.93</x:v>
      </x:c>
    </x:row>
    <x:row r="866">
      <x:c r="A866" t="str">
        <x:f>"Despesa/Custo"</x:f>
        <x:v>Despesa/Custo</x:v>
      </x:c>
      <x:c r="B866" t="str">
        <x:f>Despesas!A830</x:f>
        <x:v>JUCEG</x:v>
      </x:c>
      <x:c r="C866" t="n">
        <x:f>Despesas!B830</x:f>
        <x:v>0</x:v>
      </x:c>
      <x:c r="D866" t="str">
        <x:f>Despesas!C830</x:f>
        <x:v>015905</x:v>
      </x:c>
      <x:c r="E866" t="str">
        <x:f>Despesas!D830</x:f>
        <x:v>GUIA JUCEG</x:v>
      </x:c>
      <x:c r="F866" t="str">
        <x:f>Despesas!E830</x:f>
        <x:v>TAXA DE SERVIÇOS ESTADUAIS</x:v>
      </x:c>
      <x:c r="G866" s="4" t="n">
        <x:f>Despesas!F830</x:f>
        <x:v>46052</x:v>
      </x:c>
      <x:c r="H866" t="str">
        <x:f>Despesas!G830</x:f>
        <x:v>ADMINISTRATIVO</x:v>
      </x:c>
      <x:c r="I866" t="str">
        <x:f>Despesas!H830</x:f>
        <x:v>3.13 - SERVIÇO CARTORIO</x:v>
      </x:c>
      <x:c r="J866" s="5" t="n">
        <x:f>Despesas!I830</x:f>
        <x:v>356</x:v>
      </x:c>
      <x:c r="K866" s="5" t="n">
        <x:f>0</x:f>
        <x:v>0</x:v>
      </x:c>
      <x:c r="L866" s="5" t="n">
        <x:f>Despesas!I830</x:f>
        <x:v>356</x:v>
      </x:c>
      <x:c r="M866" s="5" t="n">
        <x:f>-J866</x:f>
        <x:v>-356</x:v>
      </x:c>
    </x:row>
    <x:row r="867">
      <x:c r="A867" t="str">
        <x:f>"Despesa/Custo"</x:f>
        <x:v>Despesa/Custo</x:v>
      </x:c>
      <x:c r="B867" t="str">
        <x:f>Despesas!A831</x:f>
        <x:v>SOFTEN SISTEMAS DE INFORMATICA LTDA</x:v>
      </x:c>
      <x:c r="C867" t="str">
        <x:f>Despesas!B831</x:f>
        <x:v>533824</x:v>
      </x:c>
      <x:c r="D867" t="str">
        <x:f>Despesas!C831</x:f>
        <x:v>015909</x:v>
      </x:c>
      <x:c r="E867" t="str">
        <x:f>Despesas!D831</x:f>
        <x:v>LICENCA DE USO MENSAL DO SOFTWARE E SUPORTE TECNICO REF. 01/2026</x:v>
      </x:c>
      <x:c r="F867" t="str">
        <x:f>Despesas!E831</x:f>
        <x:v>VENCIMENTO ORIGINAL DO BOLETO 20/02/26</x:v>
      </x:c>
      <x:c r="G867" s="4" t="n">
        <x:f>Despesas!F831</x:f>
        <x:v>46052</x:v>
      </x:c>
      <x:c r="H867" t="str">
        <x:f>Despesas!G831</x:f>
        <x:v>ADMINISTRATIVO</x:v>
      </x:c>
      <x:c r="I867" t="str">
        <x:f>Despesas!H831</x:f>
        <x:v>11.8 - SISTEMA / SERVIDOR</x:v>
      </x:c>
      <x:c r="J867" s="5" t="n">
        <x:f>Despesas!I831</x:f>
        <x:v>195.9</x:v>
      </x:c>
      <x:c r="K867" s="5" t="n">
        <x:f>0</x:f>
        <x:v>0</x:v>
      </x:c>
      <x:c r="L867" s="5" t="n">
        <x:f>Despesas!I831</x:f>
        <x:v>195.9</x:v>
      </x:c>
      <x:c r="M867" s="5" t="n">
        <x:f>-J867</x:f>
        <x:v>-195.9</x:v>
      </x:c>
    </x:row>
    <x:row r="868">
      <x:c r="A868" t="str">
        <x:f>"Despesa/Custo"</x:f>
        <x:v>Despesa/Custo</x:v>
      </x:c>
      <x:c r="B868" t="str">
        <x:f>Despesas!A832</x:f>
        <x:v>INDUSTRIA E COMERCIO DE MOVEIS NOBRE LTDA - EPP</x:v>
      </x:c>
      <x:c r="C868" t="str">
        <x:f>Despesas!B832</x:f>
        <x:v>10953</x:v>
      </x:c>
      <x:c r="D868" t="str">
        <x:f>Despesas!C832</x:f>
        <x:v>015916</x:v>
      </x:c>
      <x:c r="E868" t="str">
        <x:f>Despesas!D832</x:f>
        <x:v>MATERIAIS DE ESCRITÓRIO</x:v>
      </x:c>
      <x:c r="F868" t="str">
        <x:f>Despesas!E832</x:f>
        <x:v>VENCIMENTO ORIGINAL DOS BOLETOS 02/03 02/04 E 02/05/26</x:v>
      </x:c>
      <x:c r="G868" s="4" t="n">
        <x:f>Despesas!F832</x:f>
        <x:v>46052</x:v>
      </x:c>
      <x:c r="H868" t="str">
        <x:f>Despesas!G832</x:f>
        <x:v>ADMINISTRATIVO</x:v>
      </x:c>
      <x:c r="I868" t="str">
        <x:f>Despesas!H832</x:f>
        <x:v>8.10 - MATERIAS DE ESCRITORIO</x:v>
      </x:c>
      <x:c r="J868" s="5" t="n">
        <x:f>Despesas!I832</x:f>
        <x:v>351.23</x:v>
      </x:c>
      <x:c r="K868" s="5" t="n">
        <x:f>0</x:f>
        <x:v>0</x:v>
      </x:c>
      <x:c r="L868" s="5" t="n">
        <x:f>Despesas!I832</x:f>
        <x:v>351.23</x:v>
      </x:c>
      <x:c r="M868" s="5" t="n">
        <x:f>-J868</x:f>
        <x:v>-351.23</x:v>
      </x:c>
    </x:row>
    <x:row r="869">
      <x:c r="A869" t="str">
        <x:f>"Despesa/Custo"</x:f>
        <x:v>Despesa/Custo</x:v>
      </x:c>
      <x:c r="B869" t="str">
        <x:f>Despesas!A833</x:f>
        <x:v>INDUSTRIA E COMERCIO DE MOVEIS NOBRE LTDA - EPP</x:v>
      </x:c>
      <x:c r="C869" t="str">
        <x:f>Despesas!B833</x:f>
        <x:v>10953</x:v>
      </x:c>
      <x:c r="D869" t="str">
        <x:f>Despesas!C833</x:f>
        <x:v>015916</x:v>
      </x:c>
      <x:c r="E869" t="str">
        <x:f>Despesas!D833</x:f>
        <x:v>MATERIAIS DE ESCRITÓRIO</x:v>
      </x:c>
      <x:c r="F869" t="str">
        <x:f>Despesas!E833</x:f>
        <x:v>VENCIMENTO ORIGINAL DOS BOLETOS 02/03 02/04 E 02/05/26</x:v>
      </x:c>
      <x:c r="G869" s="4" t="n">
        <x:f>Despesas!F833</x:f>
        <x:v>46052</x:v>
      </x:c>
      <x:c r="H869" t="str">
        <x:f>Despesas!G833</x:f>
        <x:v>ADMINISTRATIVO</x:v>
      </x:c>
      <x:c r="I869" t="str">
        <x:f>Despesas!H833</x:f>
        <x:v>8.10 - MATERIAS DE ESCRITORIO</x:v>
      </x:c>
      <x:c r="J869" s="5" t="n">
        <x:f>Despesas!I833</x:f>
        <x:v>314.09</x:v>
      </x:c>
      <x:c r="K869" s="5" t="n">
        <x:f>0</x:f>
        <x:v>0</x:v>
      </x:c>
      <x:c r="L869" s="5" t="n">
        <x:f>Despesas!I833</x:f>
        <x:v>314.09</x:v>
      </x:c>
      <x:c r="M869" s="5" t="n">
        <x:f>-J869</x:f>
        <x:v>-314.09</x:v>
      </x:c>
    </x:row>
    <x:row r="870">
      <x:c r="A870" t="str">
        <x:f>"Despesa/Custo"</x:f>
        <x:v>Despesa/Custo</x:v>
      </x:c>
      <x:c r="B870" t="str">
        <x:f>Despesas!A834</x:f>
        <x:v>INDUSTRIA E COMERCIO DE MOVEIS NOBRE LTDA - EPP</x:v>
      </x:c>
      <x:c r="C870" t="str">
        <x:f>Despesas!B834</x:f>
        <x:v>10953</x:v>
      </x:c>
      <x:c r="D870" t="str">
        <x:f>Despesas!C834</x:f>
        <x:v>015916</x:v>
      </x:c>
      <x:c r="E870" t="str">
        <x:f>Despesas!D834</x:f>
        <x:v>MATERIAIS DE ESCRITÓRIO</x:v>
      </x:c>
      <x:c r="F870" t="str">
        <x:f>Despesas!E834</x:f>
        <x:v>VENCIMENTO ORIGINAL DOS BOLETOS 02/03 02/04 E 02/05/26</x:v>
      </x:c>
      <x:c r="G870" s="4" t="n">
        <x:f>Despesas!F834</x:f>
        <x:v>46052</x:v>
      </x:c>
      <x:c r="H870" t="str">
        <x:f>Despesas!G834</x:f>
        <x:v>ADMINISTRATIVO</x:v>
      </x:c>
      <x:c r="I870" t="str">
        <x:f>Despesas!H834</x:f>
        <x:v>8.10 - MATERIAS DE ESCRITORIO</x:v>
      </x:c>
      <x:c r="J870" s="5" t="n">
        <x:f>Despesas!I834</x:f>
        <x:v>314.07</x:v>
      </x:c>
      <x:c r="K870" s="5" t="n">
        <x:f>0</x:f>
        <x:v>0</x:v>
      </x:c>
      <x:c r="L870" s="5" t="n">
        <x:f>Despesas!I834</x:f>
        <x:v>314.07</x:v>
      </x:c>
      <x:c r="M870" s="5" t="n">
        <x:f>-J870</x:f>
        <x:v>-314.07</x:v>
      </x:c>
    </x:row>
    <x:row r="871">
      <x:c r="A871" t="str">
        <x:f>"Despesa/Custo"</x:f>
        <x:v>Despesa/Custo</x:v>
      </x:c>
      <x:c r="B871" t="str">
        <x:f>Despesas!A835</x:f>
        <x:v>POSTO MAIS LTDA</x:v>
      </x:c>
      <x:c r="C871" t="str">
        <x:f>Despesas!B835</x:f>
        <x:v>660</x:v>
      </x:c>
      <x:c r="D871" t="str">
        <x:f>Despesas!C835</x:f>
        <x:v>015918</x:v>
      </x:c>
      <x:c r="E871" t="str">
        <x:f>Despesas!D835</x:f>
        <x:v>COMBUSTÍVEL VEÍCULOS</x:v>
      </x:c>
      <x:c r="F871" t="str">
        <x:f>Despesas!E835</x:f>
        <x:v>VENCIMENTO ORIGINAL DO BOLETO 20/02/26</x:v>
      </x:c>
      <x:c r="G871" s="4" t="n">
        <x:f>Despesas!F835</x:f>
        <x:v>46052</x:v>
      </x:c>
      <x:c r="H871" t="str">
        <x:f>Despesas!G835</x:f>
        <x:v>FOSFATO CMOC CONTRAT</x:v>
      </x:c>
      <x:c r="I871" t="str">
        <x:f>Despesas!H835</x:f>
        <x:v>8.13 - COMBUSTIVEL EQUIPAMENTOS</x:v>
      </x:c>
      <x:c r="J871" s="5" t="n">
        <x:f>Despesas!I835</x:f>
        <x:v>25.642612</x:v>
      </x:c>
      <x:c r="K871" s="5" t="n">
        <x:f>0</x:f>
        <x:v>0</x:v>
      </x:c>
      <x:c r="L871" s="5" t="n">
        <x:f>Despesas!I835</x:f>
        <x:v>25.642612</x:v>
      </x:c>
      <x:c r="M871" s="5" t="n">
        <x:f>-J871</x:f>
        <x:v>-25.642612</x:v>
      </x:c>
    </x:row>
    <x:row r="872">
      <x:c r="A872" t="str">
        <x:f>"Despesa/Custo"</x:f>
        <x:v>Despesa/Custo</x:v>
      </x:c>
      <x:c r="B872" t="str">
        <x:f>Despesas!A836</x:f>
        <x:v>POSTO MAIS LTDA</x:v>
      </x:c>
      <x:c r="C872" t="str">
        <x:f>Despesas!B836</x:f>
        <x:v>660</x:v>
      </x:c>
      <x:c r="D872" t="str">
        <x:f>Despesas!C836</x:f>
        <x:v>015918</x:v>
      </x:c>
      <x:c r="E872" t="str">
        <x:f>Despesas!D836</x:f>
        <x:v>COMBUSTÍVEL VEÍCULOS</x:v>
      </x:c>
      <x:c r="F872" t="str">
        <x:f>Despesas!E836</x:f>
        <x:v>VENCIMENTO ORIGINAL DO BOLETO 20/02/26</x:v>
      </x:c>
      <x:c r="G872" s="4" t="n">
        <x:f>Despesas!F836</x:f>
        <x:v>46052</x:v>
      </x:c>
      <x:c r="H872" t="str">
        <x:f>Despesas!G836</x:f>
        <x:v>FOSFATO CMOC CONTRAT</x:v>
      </x:c>
      <x:c r="I872" t="str">
        <x:f>Despesas!H836</x:f>
        <x:v>6.4 - COMBUSTIVEL VEICULOS</x:v>
      </x:c>
      <x:c r="J872" s="5" t="n">
        <x:f>Despesas!I836</x:f>
        <x:v>5701.457387</x:v>
      </x:c>
      <x:c r="K872" s="5" t="n">
        <x:f>0</x:f>
        <x:v>0</x:v>
      </x:c>
      <x:c r="L872" s="5" t="n">
        <x:f>Despesas!I836</x:f>
        <x:v>5701.457387</x:v>
      </x:c>
      <x:c r="M872" s="5" t="n">
        <x:f>-J872</x:f>
        <x:v>-5701.457387</x:v>
      </x:c>
    </x:row>
    <x:row r="873">
      <x:c r="A873" t="str">
        <x:f>"Despesa/Custo"</x:f>
        <x:v>Despesa/Custo</x:v>
      </x:c>
      <x:c r="B873" t="str">
        <x:f>Despesas!A837</x:f>
        <x:v>POSTO MAIS LTDA</x:v>
      </x:c>
      <x:c r="C873" t="str">
        <x:f>Despesas!B837</x:f>
        <x:v>660</x:v>
      </x:c>
      <x:c r="D873" t="str">
        <x:f>Despesas!C837</x:f>
        <x:v>015918</x:v>
      </x:c>
      <x:c r="E873" t="str">
        <x:f>Despesas!D837</x:f>
        <x:v>COMBUSTÍVEL VEÍCULOS</x:v>
      </x:c>
      <x:c r="F873" t="str">
        <x:f>Despesas!E837</x:f>
        <x:v>VENCIMENTO ORIGINAL DO BOLETO 20/02/26</x:v>
      </x:c>
      <x:c r="G873" s="4" t="n">
        <x:f>Despesas!F837</x:f>
        <x:v>46052</x:v>
      </x:c>
      <x:c r="H873" t="str">
        <x:f>Despesas!G837</x:f>
        <x:v>NIOBIO CMOC CONTRATO</x:v>
      </x:c>
      <x:c r="I873" t="str">
        <x:f>Despesas!H837</x:f>
        <x:v>8.13 - COMBUSTIVEL EQUIPAMENTOS</x:v>
      </x:c>
      <x:c r="J873" s="5" t="n">
        <x:f>Despesas!I837</x:f>
        <x:v>5.487387</x:v>
      </x:c>
      <x:c r="K873" s="5" t="n">
        <x:f>0</x:f>
        <x:v>0</x:v>
      </x:c>
      <x:c r="L873" s="5" t="n">
        <x:f>Despesas!I837</x:f>
        <x:v>5.487387</x:v>
      </x:c>
      <x:c r="M873" s="5" t="n">
        <x:f>-J873</x:f>
        <x:v>-5.487387</x:v>
      </x:c>
    </x:row>
    <x:row r="874">
      <x:c r="A874" t="str">
        <x:f>"Despesa/Custo"</x:f>
        <x:v>Despesa/Custo</x:v>
      </x:c>
      <x:c r="B874" t="str">
        <x:f>Despesas!A838</x:f>
        <x:v>POSTO MAIS LTDA</x:v>
      </x:c>
      <x:c r="C874" t="str">
        <x:f>Despesas!B838</x:f>
        <x:v>660</x:v>
      </x:c>
      <x:c r="D874" t="str">
        <x:f>Despesas!C838</x:f>
        <x:v>015918</x:v>
      </x:c>
      <x:c r="E874" t="str">
        <x:f>Despesas!D838</x:f>
        <x:v>COMBUSTÍVEL VEÍCULOS</x:v>
      </x:c>
      <x:c r="F874" t="str">
        <x:f>Despesas!E838</x:f>
        <x:v>VENCIMENTO ORIGINAL DO BOLETO 20/02/26</x:v>
      </x:c>
      <x:c r="G874" s="4" t="n">
        <x:f>Despesas!F838</x:f>
        <x:v>46052</x:v>
      </x:c>
      <x:c r="H874" t="str">
        <x:f>Despesas!G838</x:f>
        <x:v>NIOBIO CMOC CONTRATO</x:v>
      </x:c>
      <x:c r="I874" t="str">
        <x:f>Despesas!H838</x:f>
        <x:v>6.4 - COMBUSTIVEL VEICULOS</x:v>
      </x:c>
      <x:c r="J874" s="5" t="n">
        <x:f>Despesas!I838</x:f>
        <x:v>1220.082613</x:v>
      </x:c>
      <x:c r="K874" s="5" t="n">
        <x:f>0</x:f>
        <x:v>0</x:v>
      </x:c>
      <x:c r="L874" s="5" t="n">
        <x:f>Despesas!I838</x:f>
        <x:v>1220.082613</x:v>
      </x:c>
      <x:c r="M874" s="5" t="n">
        <x:f>-J874</x:f>
        <x:v>-1220.082613</x:v>
      </x:c>
    </x:row>
    <x:row r="875">
      <x:c r="A875" t="str">
        <x:f>"Despesa/Custo"</x:f>
        <x:v>Despesa/Custo</x:v>
      </x:c>
      <x:c r="B875" t="str">
        <x:f>Despesas!A839</x:f>
        <x:v>PROTEGE DISTRIBUIDORA DE EPI EPC E SINALIZACAO LTDA</x:v>
      </x:c>
      <x:c r="C875" t="str">
        <x:f>Despesas!B839</x:f>
        <x:v>1255</x:v>
      </x:c>
      <x:c r="D875" t="str">
        <x:f>Despesas!C839</x:f>
        <x:v>015923</x:v>
      </x:c>
      <x:c r="E875" t="str">
        <x:f>Despesas!D839</x:f>
        <x:v>EPIS</x:v>
      </x:c>
      <x:c r="F875" t="n">
        <x:f>Despesas!E839</x:f>
        <x:v>0</x:v>
      </x:c>
      <x:c r="G875" s="4" t="n">
        <x:f>Despesas!F839</x:f>
        <x:v>46052</x:v>
      </x:c>
      <x:c r="H875" t="str">
        <x:f>Despesas!G839</x:f>
        <x:v>ANGLO AMERICAN</x:v>
      </x:c>
      <x:c r="I875" t="str">
        <x:f>Despesas!H839</x:f>
        <x:v>13.1 - EPIS</x:v>
      </x:c>
      <x:c r="J875" s="5" t="n">
        <x:f>Despesas!I839</x:f>
        <x:v>189</x:v>
      </x:c>
      <x:c r="K875" s="5" t="n">
        <x:f>0</x:f>
        <x:v>0</x:v>
      </x:c>
      <x:c r="L875" s="5" t="n">
        <x:f>Despesas!I839</x:f>
        <x:v>189</x:v>
      </x:c>
      <x:c r="M875" s="5" t="n">
        <x:f>-J875</x:f>
        <x:v>-189</x:v>
      </x:c>
    </x:row>
    <x:row r="876">
      <x:c r="A876" t="str">
        <x:f>"Despesa/Custo"</x:f>
        <x:v>Despesa/Custo</x:v>
      </x:c>
      <x:c r="B876" t="str">
        <x:f>Despesas!A840</x:f>
        <x:v>G17 AUTO POSTO LTDA</x:v>
      </x:c>
      <x:c r="C876" t="str">
        <x:f>Despesas!B840</x:f>
        <x:v>49</x:v>
      </x:c>
      <x:c r="D876" t="str">
        <x:f>Despesas!C840</x:f>
        <x:v>015924</x:v>
      </x:c>
      <x:c r="E876" t="str">
        <x:f>Despesas!D840</x:f>
        <x:v>COMBUSTÍVEL VEÍCULOS</x:v>
      </x:c>
      <x:c r="F876" t="n">
        <x:f>Despesas!E840</x:f>
        <x:v>0</x:v>
      </x:c>
      <x:c r="G876" s="4" t="n">
        <x:f>Despesas!F840</x:f>
        <x:v>46052</x:v>
      </x:c>
      <x:c r="H876" t="str">
        <x:f>Despesas!G840</x:f>
        <x:v>ADMINISTRATIVO</x:v>
      </x:c>
      <x:c r="I876" t="str">
        <x:f>Despesas!H840</x:f>
        <x:v>6.4 - COMBUSTIVEL VEICULOS</x:v>
      </x:c>
      <x:c r="J876" s="5" t="n">
        <x:f>Despesas!I840</x:f>
        <x:v>233.21</x:v>
      </x:c>
      <x:c r="K876" s="5" t="n">
        <x:f>0</x:f>
        <x:v>0</x:v>
      </x:c>
      <x:c r="L876" s="5" t="n">
        <x:f>Despesas!I840</x:f>
        <x:v>233.21</x:v>
      </x:c>
      <x:c r="M876" s="5" t="n">
        <x:f>-J876</x:f>
        <x:v>-233.21</x:v>
      </x:c>
    </x:row>
    <x:row r="877">
      <x:c r="A877" t="str">
        <x:f>"Despesa/Custo"</x:f>
        <x:v>Despesa/Custo</x:v>
      </x:c>
      <x:c r="B877" t="str">
        <x:f>Despesas!A841</x:f>
        <x:v>M R EQUIPAMENTOS COMBATE A INCENDIO LTDA</x:v>
      </x:c>
      <x:c r="C877" t="str">
        <x:f>Despesas!B841</x:f>
        <x:v>4828</x:v>
      </x:c>
      <x:c r="D877" t="str">
        <x:f>Despesas!C841</x:f>
        <x:v>015954</x:v>
      </x:c>
      <x:c r="E877" t="str">
        <x:f>Despesas!D841</x:f>
        <x:v>ANTONIO MOREIRA FONTINELE (85) 98738-3839</x:v>
      </x:c>
      <x:c r="F877" t="str">
        <x:f>Despesas!E841</x:f>
        <x:v>RECARGA E MANUTENÇÃO EXTINTORES</x:v>
      </x:c>
      <x:c r="G877" s="4" t="n">
        <x:f>Despesas!F841</x:f>
        <x:v>46052</x:v>
      </x:c>
      <x:c r="H877" t="str">
        <x:f>Despesas!G841</x:f>
        <x:v>VLI PINTURA</x:v>
      </x:c>
      <x:c r="I877" t="str">
        <x:f>Despesas!H841</x:f>
        <x:v>8.14 - MANUTENÇÃO/PEÇAS MAQUINAS E EQUIPAMENTOS</x:v>
      </x:c>
      <x:c r="J877" s="5" t="n">
        <x:f>Despesas!I841</x:f>
        <x:v>250</x:v>
      </x:c>
      <x:c r="K877" s="5" t="n">
        <x:f>0</x:f>
        <x:v>0</x:v>
      </x:c>
      <x:c r="L877" s="5" t="n">
        <x:f>Despesas!I841</x:f>
        <x:v>250</x:v>
      </x:c>
      <x:c r="M877" s="5" t="n">
        <x:f>-J877</x:f>
        <x:v>-250</x:v>
      </x:c>
    </x:row>
    <x:row r="878">
      <x:c r="A878" t="str">
        <x:f>"Despesa/Custo"</x:f>
        <x:v>Despesa/Custo</x:v>
      </x:c>
      <x:c r="B878" t="str">
        <x:f>Despesas!A842</x:f>
        <x:v>IMPOSTO A IDEAL ISOLAMENTO</x:v>
      </x:c>
      <x:c r="C878" t="n">
        <x:f>Despesas!B842</x:f>
        <x:v>0</x:v>
      </x:c>
      <x:c r="D878" t="str">
        <x:f>Despesas!C842</x:f>
        <x:v>016009</x:v>
      </x:c>
      <x:c r="E878" t="str">
        <x:f>Despesas!D842</x:f>
        <x:v>IMPOSTOS DEBITADOS EM CONTA CAIXA ECONOMICA</x:v>
      </x:c>
      <x:c r="F878" t="n">
        <x:f>Despesas!E842</x:f>
        <x:v>0</x:v>
      </x:c>
      <x:c r="G878" s="4" t="n">
        <x:f>Despesas!F842</x:f>
        <x:v>46052</x:v>
      </x:c>
      <x:c r="H878" t="str">
        <x:f>Despesas!G842</x:f>
        <x:v>IMPOSTOS</x:v>
      </x:c>
      <x:c r="I878" t="str">
        <x:f>Despesas!H842</x:f>
        <x:v>17.1 - PARCELAMENTO</x:v>
      </x:c>
      <x:c r="J878" s="5" t="n">
        <x:f>Despesas!I842</x:f>
        <x:v>21227.86</x:v>
      </x:c>
      <x:c r="K878" s="5" t="n">
        <x:f>0</x:f>
        <x:v>0</x:v>
      </x:c>
      <x:c r="L878" s="5" t="n">
        <x:f>Despesas!I842</x:f>
        <x:v>21227.86</x:v>
      </x:c>
      <x:c r="M878" s="5" t="n">
        <x:f>-J878</x:f>
        <x:v>-21227.86</x:v>
      </x:c>
    </x:row>
    <x:row r="879">
      <x:c r="A879" t="str">
        <x:f>"Despesa/Custo"</x:f>
        <x:v>Despesa/Custo</x:v>
      </x:c>
      <x:c r="B879" t="str">
        <x:f>Despesas!A843</x:f>
        <x:v>QUALI TINTAS</x:v>
      </x:c>
      <x:c r="C879" t="str">
        <x:f>Despesas!B843</x:f>
        <x:v>19965</x:v>
      </x:c>
      <x:c r="D879" t="str">
        <x:f>Despesas!C843</x:f>
        <x:v>016013</x:v>
      </x:c>
      <x:c r="E879" t="str">
        <x:f>Despesas!D843</x:f>
        <x:v>TINTAS E SOLVENTES</x:v>
      </x:c>
      <x:c r="F879" t="n">
        <x:f>Despesas!E843</x:f>
        <x:v>0</x:v>
      </x:c>
      <x:c r="G879" s="4" t="n">
        <x:f>Despesas!F843</x:f>
        <x:v>46052</x:v>
      </x:c>
      <x:c r="H879" t="str">
        <x:f>Despesas!G843</x:f>
        <x:v>MOSAIC UBERABA CONTRAT0 3 ANOS</x:v>
      </x:c>
      <x:c r="I879" t="str">
        <x:f>Despesas!H843</x:f>
        <x:v>4.1 - TINTAS E SOLVENTES</x:v>
      </x:c>
      <x:c r="J879" s="5" t="n">
        <x:f>Despesas!I843</x:f>
        <x:v>7610</x:v>
      </x:c>
      <x:c r="K879" s="5" t="n">
        <x:f>0</x:f>
        <x:v>0</x:v>
      </x:c>
      <x:c r="L879" s="5" t="n">
        <x:f>Despesas!I843</x:f>
        <x:v>7610</x:v>
      </x:c>
      <x:c r="M879" s="5" t="n">
        <x:f>-J879</x:f>
        <x:v>-7610</x:v>
      </x:c>
    </x:row>
    <x:row r="880">
      <x:c r="A880" t="str">
        <x:f>"Despesa/Custo"</x:f>
        <x:v>Despesa/Custo</x:v>
      </x:c>
      <x:c r="B880" t="str">
        <x:f>Despesas!A844</x:f>
        <x:v>QUALI TINTAS</x:v>
      </x:c>
      <x:c r="C880" t="str">
        <x:f>Despesas!B844</x:f>
        <x:v>19965</x:v>
      </x:c>
      <x:c r="D880" t="str">
        <x:f>Despesas!C844</x:f>
        <x:v>016013</x:v>
      </x:c>
      <x:c r="E880" t="str">
        <x:f>Despesas!D844</x:f>
        <x:v>TINTAS E SOLVENTES</x:v>
      </x:c>
      <x:c r="F880" t="n">
        <x:f>Despesas!E844</x:f>
        <x:v>0</x:v>
      </x:c>
      <x:c r="G880" s="4" t="n">
        <x:f>Despesas!F844</x:f>
        <x:v>46052</x:v>
      </x:c>
      <x:c r="H880" t="str">
        <x:f>Despesas!G844</x:f>
        <x:v>MOSAIC UBERABA CONTRAT0 3 ANOS</x:v>
      </x:c>
      <x:c r="I880" t="str">
        <x:f>Despesas!H844</x:f>
        <x:v>4.1 - TINTAS E SOLVENTES</x:v>
      </x:c>
      <x:c r="J880" s="5" t="n">
        <x:f>Despesas!I844</x:f>
        <x:v>7610</x:v>
      </x:c>
      <x:c r="K880" s="5" t="n">
        <x:f>0</x:f>
        <x:v>0</x:v>
      </x:c>
      <x:c r="L880" s="5" t="n">
        <x:f>Despesas!I844</x:f>
        <x:v>7610</x:v>
      </x:c>
      <x:c r="M880" s="5" t="n">
        <x:f>-J880</x:f>
        <x:v>-7610</x:v>
      </x:c>
    </x:row>
    <x:row r="881">
      <x:c r="A881" t="str">
        <x:f>"Despesa/Custo"</x:f>
        <x:v>Despesa/Custo</x:v>
      </x:c>
      <x:c r="B881" t="str">
        <x:f>Despesas!A845</x:f>
        <x:v>QUALI TINTAS</x:v>
      </x:c>
      <x:c r="C881" t="str">
        <x:f>Despesas!B845</x:f>
        <x:v>19965</x:v>
      </x:c>
      <x:c r="D881" t="str">
        <x:f>Despesas!C845</x:f>
        <x:v>016013</x:v>
      </x:c>
      <x:c r="E881" t="str">
        <x:f>Despesas!D845</x:f>
        <x:v>TINTAS E SOLVENTES</x:v>
      </x:c>
      <x:c r="F881" t="n">
        <x:f>Despesas!E845</x:f>
        <x:v>0</x:v>
      </x:c>
      <x:c r="G881" s="4" t="n">
        <x:f>Despesas!F845</x:f>
        <x:v>46052</x:v>
      </x:c>
      <x:c r="H881" t="str">
        <x:f>Despesas!G845</x:f>
        <x:v>MOSAIC UBERABA CONTRAT0 3 ANOS</x:v>
      </x:c>
      <x:c r="I881" t="str">
        <x:f>Despesas!H845</x:f>
        <x:v>4.1 - TINTAS E SOLVENTES</x:v>
      </x:c>
      <x:c r="J881" s="5" t="n">
        <x:f>Despesas!I845</x:f>
        <x:v>7610</x:v>
      </x:c>
      <x:c r="K881" s="5" t="n">
        <x:f>0</x:f>
        <x:v>0</x:v>
      </x:c>
      <x:c r="L881" s="5" t="n">
        <x:f>Despesas!I845</x:f>
        <x:v>7610</x:v>
      </x:c>
      <x:c r="M881" s="5" t="n">
        <x:f>-J881</x:f>
        <x:v>-7610</x:v>
      </x:c>
    </x:row>
    <x:row r="882">
      <x:c r="A882" t="str">
        <x:f>"Despesa/Custo"</x:f>
        <x:v>Despesa/Custo</x:v>
      </x:c>
      <x:c r="B882" t="str">
        <x:f>Despesas!A846</x:f>
        <x:v>PGFN</x:v>
      </x:c>
      <x:c r="C882" t="n">
        <x:f>Despesas!B846</x:f>
        <x:v>0</x:v>
      </x:c>
      <x:c r="D882" t="str">
        <x:f>Despesas!C846</x:f>
        <x:v>005517</x:v>
      </x:c>
      <x:c r="E882" t="str">
        <x:f>Despesas!D846</x:f>
        <x:v>DAS PARCSN VERSAO 2.0.0 PIS - CONFINS - INSS - IRPJ</x:v>
      </x:c>
      <x:c r="F882" t="str">
        <x:f>Despesas!E846</x:f>
        <x:v>PARCELAMENTO A IDEAL ANDAIMES</x:v>
      </x:c>
      <x:c r="G882" s="4" t="n">
        <x:f>Despesas!F846</x:f>
        <x:v>46053</x:v>
      </x:c>
      <x:c r="H882" t="str">
        <x:f>Despesas!G846</x:f>
        <x:v>IMPOSTOS</x:v>
      </x:c>
      <x:c r="I882" t="str">
        <x:f>Despesas!H846</x:f>
        <x:v>17.1 - PARCELAMENTO</x:v>
      </x:c>
      <x:c r="J882" s="5" t="n">
        <x:f>Despesas!I846</x:f>
        <x:v>354.86</x:v>
      </x:c>
      <x:c r="K882" s="5" t="n">
        <x:f>0</x:f>
        <x:v>0</x:v>
      </x:c>
      <x:c r="L882" s="5" t="n">
        <x:f>Despesas!I846</x:f>
        <x:v>354.86</x:v>
      </x:c>
      <x:c r="M882" s="5" t="n">
        <x:f>-J882</x:f>
        <x:v>-354.86</x:v>
      </x:c>
    </x:row>
    <x:row r="883">
      <x:c r="A883" t="str">
        <x:f>"Despesa/Custo"</x:f>
        <x:v>Despesa/Custo</x:v>
      </x:c>
      <x:c r="B883" t="str">
        <x:f>Despesas!A847</x:f>
        <x:v>PREVISÃO</x:v>
      </x:c>
      <x:c r="C883" t="n">
        <x:f>Despesas!B847</x:f>
        <x:v>0</x:v>
      </x:c>
      <x:c r="D883" t="n">
        <x:f>Despesas!C847</x:f>
        <x:v>0</x:v>
      </x:c>
      <x:c r="E883" t="n">
        <x:f>Despesas!D847</x:f>
        <x:v>0</x:v>
      </x:c>
      <x:c r="F883" t="n">
        <x:f>Despesas!E847</x:f>
        <x:v>0</x:v>
      </x:c>
      <x:c r="G883" s="4" t="n">
        <x:f>Despesas!F847</x:f>
        <x:v>46023</x:v>
      </x:c>
      <x:c r="H883" t="str">
        <x:f>Despesas!G847</x:f>
        <x:v>FOSFATO CMOC CONTRAT</x:v>
      </x:c>
      <x:c r="I883" t="str">
        <x:f>Despesas!H847</x:f>
        <x:v>12.4 - PREVISÃO FÉRIAS</x:v>
      </x:c>
      <x:c r="J883" s="5" t="n">
        <x:f>Despesas!I847</x:f>
        <x:v>23.731633333333335</x:v>
      </x:c>
      <x:c r="K883" s="5" t="n">
        <x:f>0</x:f>
        <x:v>0</x:v>
      </x:c>
      <x:c r="L883" s="5" t="n">
        <x:f>Despesas!I847</x:f>
        <x:v>23.731633333333335</x:v>
      </x:c>
      <x:c r="M883" s="5" t="n">
        <x:f>-J883</x:f>
        <x:v>-23.731633333333335</x:v>
      </x:c>
    </x:row>
    <x:row r="884">
      <x:c r="A884" t="str">
        <x:f>"Despesa/Custo"</x:f>
        <x:v>Despesa/Custo</x:v>
      </x:c>
      <x:c r="B884" t="str">
        <x:f>Despesas!A848</x:f>
        <x:v>PREVISÃO</x:v>
      </x:c>
      <x:c r="C884" t="n">
        <x:f>Despesas!B848</x:f>
        <x:v>0</x:v>
      </x:c>
      <x:c r="D884" t="n">
        <x:f>Despesas!C848</x:f>
        <x:v>0</x:v>
      </x:c>
      <x:c r="E884" t="n">
        <x:f>Despesas!D848</x:f>
        <x:v>0</x:v>
      </x:c>
      <x:c r="F884" t="n">
        <x:f>Despesas!E848</x:f>
        <x:v>0</x:v>
      </x:c>
      <x:c r="G884" s="4" t="n">
        <x:f>Despesas!F848</x:f>
        <x:v>46023</x:v>
      </x:c>
      <x:c r="H884" t="str">
        <x:f>Despesas!G848</x:f>
        <x:v>ADMINISTRATIVO</x:v>
      </x:c>
      <x:c r="I884" t="str">
        <x:f>Despesas!H848</x:f>
        <x:v>12.4 - PREVISÃO FÉRIAS</x:v>
      </x:c>
      <x:c r="J884" s="5" t="n">
        <x:f>Despesas!I848</x:f>
        <x:v>9002.228025</x:v>
      </x:c>
      <x:c r="K884" s="5" t="n">
        <x:f>0</x:f>
        <x:v>0</x:v>
      </x:c>
      <x:c r="L884" s="5" t="n">
        <x:f>Despesas!I848</x:f>
        <x:v>9002.228025</x:v>
      </x:c>
      <x:c r="M884" s="5" t="n">
        <x:f>-J884</x:f>
        <x:v>-9002.228025</x:v>
      </x:c>
    </x:row>
    <x:row r="885">
      <x:c r="A885" t="str">
        <x:f>"Despesa/Custo"</x:f>
        <x:v>Despesa/Custo</x:v>
      </x:c>
      <x:c r="B885" t="str">
        <x:f>Despesas!A849</x:f>
        <x:v>PREVISÃO</x:v>
      </x:c>
      <x:c r="C885" t="n">
        <x:f>Despesas!B849</x:f>
        <x:v>0</x:v>
      </x:c>
      <x:c r="D885" t="n">
        <x:f>Despesas!C849</x:f>
        <x:v>0</x:v>
      </x:c>
      <x:c r="E885" t="n">
        <x:f>Despesas!D849</x:f>
        <x:v>0</x:v>
      </x:c>
      <x:c r="F885" t="n">
        <x:f>Despesas!E849</x:f>
        <x:v>0</x:v>
      </x:c>
      <x:c r="G885" s="4" t="n">
        <x:f>Despesas!F849</x:f>
        <x:v>46023</x:v>
      </x:c>
      <x:c r="H885" t="str">
        <x:f>Despesas!G849</x:f>
        <x:v>SERENA 10 TORRES 2025</x:v>
      </x:c>
      <x:c r="I885" t="str">
        <x:f>Despesas!H849</x:f>
        <x:v>12.4 - PREVISÃO FÉRIAS</x:v>
      </x:c>
      <x:c r="J885" s="5" t="n">
        <x:f>Despesas!I849</x:f>
        <x:v>5779.184716666666</x:v>
      </x:c>
      <x:c r="K885" s="5" t="n">
        <x:f>0</x:f>
        <x:v>0</x:v>
      </x:c>
      <x:c r="L885" s="5" t="n">
        <x:f>Despesas!I849</x:f>
        <x:v>5779.184716666666</x:v>
      </x:c>
      <x:c r="M885" s="5" t="n">
        <x:f>-J885</x:f>
        <x:v>-5779.184716666666</x:v>
      </x:c>
    </x:row>
    <x:row r="886">
      <x:c r="A886" t="str">
        <x:f>"Despesa/Custo"</x:f>
        <x:v>Despesa/Custo</x:v>
      </x:c>
      <x:c r="B886" t="str">
        <x:f>Despesas!A850</x:f>
        <x:v>PREVISÃO</x:v>
      </x:c>
      <x:c r="C886" t="n">
        <x:f>Despesas!B850</x:f>
        <x:v>0</x:v>
      </x:c>
      <x:c r="D886" t="n">
        <x:f>Despesas!C850</x:f>
        <x:v>0</x:v>
      </x:c>
      <x:c r="E886" t="n">
        <x:f>Despesas!D850</x:f>
        <x:v>0</x:v>
      </x:c>
      <x:c r="F886" t="n">
        <x:f>Despesas!E850</x:f>
        <x:v>0</x:v>
      </x:c>
      <x:c r="G886" s="4" t="n">
        <x:f>Despesas!F850</x:f>
        <x:v>46023</x:v>
      </x:c>
      <x:c r="H886" t="str">
        <x:f>Despesas!G850</x:f>
        <x:v>VLI PINTURA</x:v>
      </x:c>
      <x:c r="I886" t="str">
        <x:f>Despesas!H850</x:f>
        <x:v>12.4 - PREVISÃO FÉRIAS</x:v>
      </x:c>
      <x:c r="J886" s="5" t="n">
        <x:f>Despesas!I850</x:f>
        <x:v>9276.905166666666</x:v>
      </x:c>
      <x:c r="K886" s="5" t="n">
        <x:f>0</x:f>
        <x:v>0</x:v>
      </x:c>
      <x:c r="L886" s="5" t="n">
        <x:f>Despesas!I850</x:f>
        <x:v>9276.905166666666</x:v>
      </x:c>
      <x:c r="M886" s="5" t="n">
        <x:f>-J886</x:f>
        <x:v>-9276.905166666666</x:v>
      </x:c>
    </x:row>
    <x:row r="887">
      <x:c r="A887" t="str">
        <x:f>"Despesa/Custo"</x:f>
        <x:v>Despesa/Custo</x:v>
      </x:c>
      <x:c r="B887" t="str">
        <x:f>Despesas!A851</x:f>
        <x:v>PREVISÃO</x:v>
      </x:c>
      <x:c r="C887" t="n">
        <x:f>Despesas!B851</x:f>
        <x:v>0</x:v>
      </x:c>
      <x:c r="D887" t="n">
        <x:f>Despesas!C851</x:f>
        <x:v>0</x:v>
      </x:c>
      <x:c r="E887" t="n">
        <x:f>Despesas!D851</x:f>
        <x:v>0</x:v>
      </x:c>
      <x:c r="F887" t="n">
        <x:f>Despesas!E851</x:f>
        <x:v>0</x:v>
      </x:c>
      <x:c r="G887" s="4" t="n">
        <x:f>Despesas!F851</x:f>
        <x:v>46023</x:v>
      </x:c>
      <x:c r="H887" t="str">
        <x:f>Despesas!G851</x:f>
        <x:v>MOSAIC UBERABA CONTRAT0 3 ANOS</x:v>
      </x:c>
      <x:c r="I887" t="str">
        <x:f>Despesas!H851</x:f>
        <x:v>12.4 - PREVISÃO FÉRIAS</x:v>
      </x:c>
      <x:c r="J887" s="5" t="n">
        <x:f>Despesas!I851</x:f>
        <x:v>4161.7163</x:v>
      </x:c>
      <x:c r="K887" s="5" t="n">
        <x:f>0</x:f>
        <x:v>0</x:v>
      </x:c>
      <x:c r="L887" s="5" t="n">
        <x:f>Despesas!I851</x:f>
        <x:v>4161.7163</x:v>
      </x:c>
      <x:c r="M887" s="5" t="n">
        <x:f>-J887</x:f>
        <x:v>-4161.7163</x:v>
      </x:c>
    </x:row>
    <x:row r="888">
      <x:c r="A888" t="str">
        <x:f>"Despesa/Custo"</x:f>
        <x:v>Despesa/Custo</x:v>
      </x:c>
      <x:c r="B888" t="str">
        <x:f>Despesas!A852</x:f>
        <x:v>PREVISÃO</x:v>
      </x:c>
      <x:c r="C888" t="n">
        <x:f>Despesas!B852</x:f>
        <x:v>0</x:v>
      </x:c>
      <x:c r="D888" t="n">
        <x:f>Despesas!C852</x:f>
        <x:v>0</x:v>
      </x:c>
      <x:c r="E888" t="n">
        <x:f>Despesas!D852</x:f>
        <x:v>0</x:v>
      </x:c>
      <x:c r="F888" t="n">
        <x:f>Despesas!E852</x:f>
        <x:v>0</x:v>
      </x:c>
      <x:c r="G888" s="4" t="n">
        <x:f>Despesas!F852</x:f>
        <x:v>46023</x:v>
      </x:c>
      <x:c r="H888" t="str">
        <x:f>Despesas!G852</x:f>
        <x:v>ANGLO AMERICAN</x:v>
      </x:c>
      <x:c r="I888" t="str">
        <x:f>Despesas!H852</x:f>
        <x:v>12.4 - PREVISÃO FÉRIAS</x:v>
      </x:c>
      <x:c r="J888" s="5" t="n">
        <x:f>Despesas!I852</x:f>
        <x:v>3855.1712500000003</x:v>
      </x:c>
      <x:c r="K888" s="5" t="n">
        <x:f>0</x:f>
        <x:v>0</x:v>
      </x:c>
      <x:c r="L888" s="5" t="n">
        <x:f>Despesas!I852</x:f>
        <x:v>3855.1712500000003</x:v>
      </x:c>
      <x:c r="M888" s="5" t="n">
        <x:f>-J888</x:f>
        <x:v>-3855.1712500000003</x:v>
      </x:c>
    </x:row>
    <x:row r="889">
      <x:c r="A889" t="str">
        <x:f>"Despesa/Custo"</x:f>
        <x:v>Despesa/Custo</x:v>
      </x:c>
      <x:c r="B889" t="str">
        <x:f>Despesas!A853</x:f>
        <x:v>PREVISÃO</x:v>
      </x:c>
      <x:c r="C889" t="n">
        <x:f>Despesas!B853</x:f>
        <x:v>0</x:v>
      </x:c>
      <x:c r="D889" t="n">
        <x:f>Despesas!C853</x:f>
        <x:v>0</x:v>
      </x:c>
      <x:c r="E889" t="n">
        <x:f>Despesas!D853</x:f>
        <x:v>0</x:v>
      </x:c>
      <x:c r="F889" t="n">
        <x:f>Despesas!E853</x:f>
        <x:v>0</x:v>
      </x:c>
      <x:c r="G889" s="4" t="n">
        <x:f>Despesas!F853</x:f>
        <x:v>46023</x:v>
      </x:c>
      <x:c r="H889" t="str">
        <x:f>Despesas!G853</x:f>
        <x:v>EUROCHEM SERRA DO SALITRE</x:v>
      </x:c>
      <x:c r="I889" t="str">
        <x:f>Despesas!H853</x:f>
        <x:v>12.4 - PREVISÃO FÉRIAS</x:v>
      </x:c>
      <x:c r="J889" s="5" t="n">
        <x:f>Despesas!I853</x:f>
        <x:v>3314.0618583333335</x:v>
      </x:c>
      <x:c r="K889" s="5" t="n">
        <x:f>0</x:f>
        <x:v>0</x:v>
      </x:c>
      <x:c r="L889" s="5" t="n">
        <x:f>Despesas!I853</x:f>
        <x:v>3314.0618583333335</x:v>
      </x:c>
      <x:c r="M889" s="5" t="n">
        <x:f>-J889</x:f>
        <x:v>-3314.0618583333335</x:v>
      </x:c>
    </x:row>
    <x:row r="890">
      <x:c r="A890" t="str">
        <x:f>"Despesa/Custo"</x:f>
        <x:v>Despesa/Custo</x:v>
      </x:c>
      <x:c r="B890" t="str">
        <x:f>Despesas!A854</x:f>
        <x:v>PREVISÃO</x:v>
      </x:c>
      <x:c r="C890" t="n">
        <x:f>Despesas!B854</x:f>
        <x:v>0</x:v>
      </x:c>
      <x:c r="D890" t="n">
        <x:f>Despesas!C854</x:f>
        <x:v>0</x:v>
      </x:c>
      <x:c r="E890" t="n">
        <x:f>Despesas!D854</x:f>
        <x:v>0</x:v>
      </x:c>
      <x:c r="F890" t="n">
        <x:f>Despesas!E854</x:f>
        <x:v>0</x:v>
      </x:c>
      <x:c r="G890" s="4" t="n">
        <x:f>Despesas!F854</x:f>
        <x:v>46023</x:v>
      </x:c>
      <x:c r="H890" t="str">
        <x:f>Despesas!G854</x:f>
        <x:v>FOSFATO CMOC CONTRAT</x:v>
      </x:c>
      <x:c r="I890" t="str">
        <x:f>Despesas!H854</x:f>
        <x:v>12.4 - PREVISÃO FÉRIAS</x:v>
      </x:c>
      <x:c r="J890" s="5" t="n">
        <x:f>Despesas!I854</x:f>
        <x:v>8044.036175</x:v>
      </x:c>
      <x:c r="K890" s="5" t="n">
        <x:f>0</x:f>
        <x:v>0</x:v>
      </x:c>
      <x:c r="L890" s="5" t="n">
        <x:f>Despesas!I854</x:f>
        <x:v>8044.036175</x:v>
      </x:c>
      <x:c r="M890" s="5" t="n">
        <x:f>-J890</x:f>
        <x:v>-8044.036175</x:v>
      </x:c>
    </x:row>
    <x:row r="891">
      <x:c r="A891" t="str">
        <x:f>"Despesa/Custo"</x:f>
        <x:v>Despesa/Custo</x:v>
      </x:c>
      <x:c r="B891" t="str">
        <x:f>Despesas!A855</x:f>
        <x:v>PREVISÃO</x:v>
      </x:c>
      <x:c r="C891" t="n">
        <x:f>Despesas!B855</x:f>
        <x:v>0</x:v>
      </x:c>
      <x:c r="D891" t="n">
        <x:f>Despesas!C855</x:f>
        <x:v>0</x:v>
      </x:c>
      <x:c r="E891" t="n">
        <x:f>Despesas!D855</x:f>
        <x:v>0</x:v>
      </x:c>
      <x:c r="F891" t="n">
        <x:f>Despesas!E855</x:f>
        <x:v>0</x:v>
      </x:c>
      <x:c r="G891" s="4" t="n">
        <x:f>Despesas!F855</x:f>
        <x:v>46023</x:v>
      </x:c>
      <x:c r="H891" t="str">
        <x:f>Despesas!G855</x:f>
        <x:v>NIOBIO CMOC CONTRATO</x:v>
      </x:c>
      <x:c r="I891" t="str">
        <x:f>Despesas!H855</x:f>
        <x:v>12.4 - PREVISÃO FÉRIAS</x:v>
      </x:c>
      <x:c r="J891" s="5" t="n">
        <x:f>Despesas!I855</x:f>
        <x:v>4782.058225</x:v>
      </x:c>
      <x:c r="K891" s="5" t="n">
        <x:f>0</x:f>
        <x:v>0</x:v>
      </x:c>
      <x:c r="L891" s="5" t="n">
        <x:f>Despesas!I855</x:f>
        <x:v>4782.058225</x:v>
      </x:c>
      <x:c r="M891" s="5" t="n">
        <x:f>-J891</x:f>
        <x:v>-4782.058225</x:v>
      </x:c>
    </x:row>
    <x:row r="892">
      <x:c r="A892" t="str">
        <x:f>"Despesa/Custo"</x:f>
        <x:v>Despesa/Custo</x:v>
      </x:c>
      <x:c r="B892" t="str">
        <x:f>Despesas!A856</x:f>
        <x:v>PREVISÃO</x:v>
      </x:c>
      <x:c r="C892" t="n">
        <x:f>Despesas!B856</x:f>
        <x:v>0</x:v>
      </x:c>
      <x:c r="D892" t="n">
        <x:f>Despesas!C856</x:f>
        <x:v>0</x:v>
      </x:c>
      <x:c r="E892" t="n">
        <x:f>Despesas!D856</x:f>
        <x:v>0</x:v>
      </x:c>
      <x:c r="F892" t="n">
        <x:f>Despesas!E856</x:f>
        <x:v>0</x:v>
      </x:c>
      <x:c r="G892" s="4" t="n">
        <x:f>Despesas!F856</x:f>
        <x:v>46023</x:v>
      </x:c>
      <x:c r="H892" t="str">
        <x:f>Despesas!G856</x:f>
        <x:v>CONDUTOS UG 1 - ELETROBRAS</x:v>
      </x:c>
      <x:c r="I892" t="str">
        <x:f>Despesas!H856</x:f>
        <x:v>12.4 - PREVISÃO FÉRIAS</x:v>
      </x:c>
      <x:c r="J892" s="5" t="n">
        <x:f>Despesas!I856</x:f>
        <x:v>1014.1981499999999</x:v>
      </x:c>
      <x:c r="K892" s="5" t="n">
        <x:f>0</x:f>
        <x:v>0</x:v>
      </x:c>
      <x:c r="L892" s="5" t="n">
        <x:f>Despesas!I856</x:f>
        <x:v>1014.1981499999999</x:v>
      </x:c>
      <x:c r="M892" s="5" t="n">
        <x:f>-J892</x:f>
        <x:v>-1014.1981499999999</x:v>
      </x:c>
    </x:row>
    <x:row r="893">
      <x:c r="A893" t="str">
        <x:f>"Despesa/Custo"</x:f>
        <x:v>Despesa/Custo</x:v>
      </x:c>
      <x:c r="B893" t="str">
        <x:f>Despesas!A857</x:f>
        <x:v>PREVISÃO</x:v>
      </x:c>
      <x:c r="C893" t="n">
        <x:f>Despesas!B857</x:f>
        <x:v>0</x:v>
      </x:c>
      <x:c r="D893" t="n">
        <x:f>Despesas!C857</x:f>
        <x:v>0</x:v>
      </x:c>
      <x:c r="E893" t="n">
        <x:f>Despesas!D857</x:f>
        <x:v>0</x:v>
      </x:c>
      <x:c r="F893" t="n">
        <x:f>Despesas!E857</x:f>
        <x:v>0</x:v>
      </x:c>
      <x:c r="G893" s="4" t="n">
        <x:f>Despesas!F857</x:f>
        <x:v>46023</x:v>
      </x:c>
      <x:c r="H893" t="str">
        <x:f>Despesas!G857</x:f>
        <x:v>SERENA 10 TORRES 2025</x:v>
      </x:c>
      <x:c r="I893" t="str">
        <x:f>Despesas!H857</x:f>
        <x:v>12.4 - PREVISÃO FÉRIAS</x:v>
      </x:c>
      <x:c r="J893" s="5" t="n">
        <x:f>Despesas!I857</x:f>
        <x:v>974.0598583333334</x:v>
      </x:c>
      <x:c r="K893" s="5" t="n">
        <x:f>0</x:f>
        <x:v>0</x:v>
      </x:c>
      <x:c r="L893" s="5" t="n">
        <x:f>Despesas!I857</x:f>
        <x:v>974.0598583333334</x:v>
      </x:c>
      <x:c r="M893" s="5" t="n">
        <x:f>-J893</x:f>
        <x:v>-974.0598583333334</x:v>
      </x:c>
    </x:row>
    <x:row r="894">
      <x:c r="A894" t="str">
        <x:f>"Despesa/Custo"</x:f>
        <x:v>Despesa/Custo</x:v>
      </x:c>
      <x:c r="B894" t="str">
        <x:f>Despesas!A858</x:f>
        <x:v>PREVISÃO</x:v>
      </x:c>
      <x:c r="C894" t="n">
        <x:f>Despesas!B858</x:f>
        <x:v>0</x:v>
      </x:c>
      <x:c r="D894" t="n">
        <x:f>Despesas!C858</x:f>
        <x:v>0</x:v>
      </x:c>
      <x:c r="E894" t="n">
        <x:f>Despesas!D858</x:f>
        <x:v>0</x:v>
      </x:c>
      <x:c r="F894" t="n">
        <x:f>Despesas!E858</x:f>
        <x:v>0</x:v>
      </x:c>
      <x:c r="G894" s="4" t="n">
        <x:f>Despesas!F858</x:f>
        <x:v>46023</x:v>
      </x:c>
      <x:c r="H894" t="str">
        <x:f>Despesas!G858</x:f>
        <x:v>CMOC CUBATÃO</x:v>
      </x:c>
      <x:c r="I894" t="str">
        <x:f>Despesas!H858</x:f>
        <x:v>12.4 - PREVISÃO FÉRIAS</x:v>
      </x:c>
      <x:c r="J894" s="5" t="n">
        <x:f>Despesas!I858</x:f>
        <x:v>3083.9430416666664</x:v>
      </x:c>
      <x:c r="K894" s="5" t="n">
        <x:f>0</x:f>
        <x:v>0</x:v>
      </x:c>
      <x:c r="L894" s="5" t="n">
        <x:f>Despesas!I858</x:f>
        <x:v>3083.9430416666664</x:v>
      </x:c>
      <x:c r="M894" s="5" t="n">
        <x:f>-J894</x:f>
        <x:v>-3083.9430416666664</x:v>
      </x:c>
    </x:row>
    <x:row r="895">
      <x:c r="A895" t="str">
        <x:f>"Despesa/Custo"</x:f>
        <x:v>Despesa/Custo</x:v>
      </x:c>
      <x:c r="B895" t="str">
        <x:f>Despesas!A859</x:f>
        <x:v>PREVISÃO</x:v>
      </x:c>
      <x:c r="C895" t="n">
        <x:f>Despesas!B859</x:f>
        <x:v>0</x:v>
      </x:c>
      <x:c r="D895" t="n">
        <x:f>Despesas!C859</x:f>
        <x:v>0</x:v>
      </x:c>
      <x:c r="E895" t="n">
        <x:f>Despesas!D859</x:f>
        <x:v>0</x:v>
      </x:c>
      <x:c r="F895" t="n">
        <x:f>Despesas!E859</x:f>
        <x:v>0</x:v>
      </x:c>
      <x:c r="G895" s="4" t="n">
        <x:f>Despesas!F859</x:f>
        <x:v>46023</x:v>
      </x:c>
      <x:c r="H895" t="str">
        <x:f>Despesas!G859</x:f>
        <x:v>CONTRATO 02 ANOS MINERAÇÃO SERRA VERDE</x:v>
      </x:c>
      <x:c r="I895" t="str">
        <x:f>Despesas!H859</x:f>
        <x:v>12.4 - PREVISÃO FÉRIAS</x:v>
      </x:c>
      <x:c r="J895" s="5" t="n">
        <x:f>Despesas!I859</x:f>
        <x:v>2996.251708333333</x:v>
      </x:c>
      <x:c r="K895" s="5" t="n">
        <x:f>0</x:f>
        <x:v>0</x:v>
      </x:c>
      <x:c r="L895" s="5" t="n">
        <x:f>Despesas!I859</x:f>
        <x:v>2996.251708333333</x:v>
      </x:c>
      <x:c r="M895" s="5" t="n">
        <x:f>-J895</x:f>
        <x:v>-2996.251708333333</x:v>
      </x:c>
    </x:row>
    <x:row r="896">
      <x:c r="A896" t="str">
        <x:f>"Despesa/Custo"</x:f>
        <x:v>Despesa/Custo</x:v>
      </x:c>
      <x:c r="B896" t="str">
        <x:f>Despesas!A860</x:f>
        <x:v>PREVISÃO</x:v>
      </x:c>
      <x:c r="C896" t="n">
        <x:f>Despesas!B860</x:f>
        <x:v>0</x:v>
      </x:c>
      <x:c r="D896" t="n">
        <x:f>Despesas!C860</x:f>
        <x:v>0</x:v>
      </x:c>
      <x:c r="E896" t="n">
        <x:f>Despesas!D860</x:f>
        <x:v>0</x:v>
      </x:c>
      <x:c r="F896" t="n">
        <x:f>Despesas!E860</x:f>
        <x:v>0</x:v>
      </x:c>
      <x:c r="G896" s="4" t="n">
        <x:f>Despesas!F860</x:f>
        <x:v>46023</x:v>
      </x:c>
      <x:c r="H896" t="str">
        <x:f>Despesas!G860</x:f>
        <x:v>ADMINISTRATIVO</x:v>
      </x:c>
      <x:c r="I896" t="str">
        <x:f>Despesas!H860</x:f>
        <x:v>12.4 - PREVISÃO FÉRIAS</x:v>
      </x:c>
      <x:c r="J896" s="5" t="n">
        <x:f>Despesas!I860</x:f>
        <x:v>997.5</x:v>
      </x:c>
      <x:c r="K896" s="5" t="n">
        <x:f>0</x:f>
        <x:v>0</x:v>
      </x:c>
      <x:c r="L896" s="5" t="n">
        <x:f>Despesas!I860</x:f>
        <x:v>997.5</x:v>
      </x:c>
      <x:c r="M896" s="5" t="n">
        <x:f>-J896</x:f>
        <x:v>-997.5</x:v>
      </x:c>
    </x:row>
    <x:row r="897">
      <x:c r="A897" t="str">
        <x:f>"Despesa/Custo"</x:f>
        <x:v>Despesa/Custo</x:v>
      </x:c>
      <x:c r="B897" t="str">
        <x:f>Despesas!A861</x:f>
        <x:v>PREVISÃO</x:v>
      </x:c>
      <x:c r="C897" t="n">
        <x:f>Despesas!B861</x:f>
        <x:v>0</x:v>
      </x:c>
      <x:c r="D897" t="n">
        <x:f>Despesas!C861</x:f>
        <x:v>0</x:v>
      </x:c>
      <x:c r="E897" t="n">
        <x:f>Despesas!D861</x:f>
        <x:v>0</x:v>
      </x:c>
      <x:c r="F897" t="n">
        <x:f>Despesas!E861</x:f>
        <x:v>0</x:v>
      </x:c>
      <x:c r="G897" s="4" t="n">
        <x:f>Despesas!F861</x:f>
        <x:v>46023</x:v>
      </x:c>
      <x:c r="H897" t="str">
        <x:f>Despesas!G861</x:f>
        <x:v>ADMINISTRATIVO</x:v>
      </x:c>
      <x:c r="I897" t="str">
        <x:f>Despesas!H861</x:f>
        <x:v>12.4 - PREVISÃO FÉRIAS</x:v>
      </x:c>
      <x:c r="J897" s="5" t="n">
        <x:f>Despesas!I861</x:f>
        <x:v>332.5</x:v>
      </x:c>
      <x:c r="K897" s="5" t="n">
        <x:f>0</x:f>
        <x:v>0</x:v>
      </x:c>
      <x:c r="L897" s="5" t="n">
        <x:f>Despesas!I861</x:f>
        <x:v>332.5</x:v>
      </x:c>
      <x:c r="M897" s="5" t="n">
        <x:f>-J897</x:f>
        <x:v>-332.5</x:v>
      </x:c>
    </x:row>
    <x:row r="898">
      <x:c r="A898" t="str">
        <x:f>"Despesa/Custo"</x:f>
        <x:v>Despesa/Custo</x:v>
      </x:c>
      <x:c r="B898" t="str">
        <x:f>Despesas!A862</x:f>
        <x:v>PREVISÃO</x:v>
      </x:c>
      <x:c r="C898" t="n">
        <x:f>Despesas!B862</x:f>
        <x:v>0</x:v>
      </x:c>
      <x:c r="D898" t="n">
        <x:f>Despesas!C862</x:f>
        <x:v>0</x:v>
      </x:c>
      <x:c r="E898" t="n">
        <x:f>Despesas!D862</x:f>
        <x:v>0</x:v>
      </x:c>
      <x:c r="F898" t="n">
        <x:f>Despesas!E862</x:f>
        <x:v>0</x:v>
      </x:c>
      <x:c r="G898" s="4" t="n">
        <x:f>Despesas!F862</x:f>
        <x:v>46023</x:v>
      </x:c>
      <x:c r="H898" t="str">
        <x:f>Despesas!G862</x:f>
        <x:v>CONDUTOS UG 1 - ELETROBRAS</x:v>
      </x:c>
      <x:c r="I898" t="str">
        <x:f>Despesas!H862</x:f>
        <x:v>12.4 - PREVISÃO FÉRIAS</x:v>
      </x:c>
      <x:c r="J898" s="5" t="n">
        <x:f>Despesas!I862</x:f>
        <x:v>3.7905</x:v>
      </x:c>
      <x:c r="K898" s="5" t="n">
        <x:f>0</x:f>
        <x:v>0</x:v>
      </x:c>
      <x:c r="L898" s="5" t="n">
        <x:f>Despesas!I862</x:f>
        <x:v>3.7905</x:v>
      </x:c>
      <x:c r="M898" s="5" t="n">
        <x:f>-J898</x:f>
        <x:v>-3.7905</x:v>
      </x:c>
    </x:row>
    <x:row r="899">
      <x:c r="A899" t="str">
        <x:f>"Despesa/Custo"</x:f>
        <x:v>Despesa/Custo</x:v>
      </x:c>
      <x:c r="B899" t="str">
        <x:f>Despesas!A863</x:f>
        <x:v>PREVISÃO</x:v>
      </x:c>
      <x:c r="C899" t="n">
        <x:f>Despesas!B863</x:f>
        <x:v>0</x:v>
      </x:c>
      <x:c r="D899" t="n">
        <x:f>Despesas!C863</x:f>
        <x:v>0</x:v>
      </x:c>
      <x:c r="E899" t="n">
        <x:f>Despesas!D863</x:f>
        <x:v>0</x:v>
      </x:c>
      <x:c r="F899" t="n">
        <x:f>Despesas!E863</x:f>
        <x:v>0</x:v>
      </x:c>
      <x:c r="G899" s="4" t="n">
        <x:f>Despesas!F863</x:f>
        <x:v>46023</x:v>
      </x:c>
      <x:c r="H899" t="str">
        <x:f>Despesas!G863</x:f>
        <x:v>COMPORTAS - PORTO FERREIRA</x:v>
      </x:c>
      <x:c r="I899" t="str">
        <x:f>Despesas!H863</x:f>
        <x:v>12.4 - PREVISÃO FÉRIAS</x:v>
      </x:c>
      <x:c r="J899" s="5" t="n">
        <x:f>Despesas!I863</x:f>
        <x:v>89.5755</x:v>
      </x:c>
      <x:c r="K899" s="5" t="n">
        <x:f>0</x:f>
        <x:v>0</x:v>
      </x:c>
      <x:c r="L899" s="5" t="n">
        <x:f>Despesas!I863</x:f>
        <x:v>89.5755</x:v>
      </x:c>
      <x:c r="M899" s="5" t="n">
        <x:f>-J899</x:f>
        <x:v>-89.5755</x:v>
      </x:c>
    </x:row>
    <x:row r="900">
      <x:c r="A900" t="str">
        <x:f>"Despesa/Custo"</x:f>
        <x:v>Despesa/Custo</x:v>
      </x:c>
      <x:c r="B900" t="str">
        <x:f>Despesas!A864</x:f>
        <x:v>PREVISÃO</x:v>
      </x:c>
      <x:c r="C900" t="n">
        <x:f>Despesas!B864</x:f>
        <x:v>0</x:v>
      </x:c>
      <x:c r="D900" t="n">
        <x:f>Despesas!C864</x:f>
        <x:v>0</x:v>
      </x:c>
      <x:c r="E900" t="n">
        <x:f>Despesas!D864</x:f>
        <x:v>0</x:v>
      </x:c>
      <x:c r="F900" t="n">
        <x:f>Despesas!E864</x:f>
        <x:v>0</x:v>
      </x:c>
      <x:c r="G900" s="4" t="n">
        <x:f>Despesas!F864</x:f>
        <x:v>46023</x:v>
      </x:c>
      <x:c r="H900" t="str">
        <x:f>Despesas!G864</x:f>
        <x:v>ANGLO AMERICAN</x:v>
      </x:c>
      <x:c r="I900" t="str">
        <x:f>Despesas!H864</x:f>
        <x:v>12.4 - PREVISÃO FÉRIAS</x:v>
      </x:c>
      <x:c r="J900" s="5" t="n">
        <x:f>Despesas!I864</x:f>
        <x:v>55.416666666666664</x:v>
      </x:c>
      <x:c r="K900" s="5" t="n">
        <x:f>0</x:f>
        <x:v>0</x:v>
      </x:c>
      <x:c r="L900" s="5" t="n">
        <x:f>Despesas!I864</x:f>
        <x:v>55.416666666666664</x:v>
      </x:c>
      <x:c r="M900" s="5" t="n">
        <x:f>-J900</x:f>
        <x:v>-55.416666666666664</x:v>
      </x:c>
    </x:row>
    <x:row r="901">
      <x:c r="A901" t="str">
        <x:f>"Despesa/Custo"</x:f>
        <x:v>Despesa/Custo</x:v>
      </x:c>
      <x:c r="B901" t="str">
        <x:f>Despesas!A865</x:f>
        <x:v>PREVISÃO</x:v>
      </x:c>
      <x:c r="C901" t="n">
        <x:f>Despesas!B865</x:f>
        <x:v>0</x:v>
      </x:c>
      <x:c r="D901" t="n">
        <x:f>Despesas!C865</x:f>
        <x:v>0</x:v>
      </x:c>
      <x:c r="E901" t="n">
        <x:f>Despesas!D865</x:f>
        <x:v>0</x:v>
      </x:c>
      <x:c r="F901" t="n">
        <x:f>Despesas!E865</x:f>
        <x:v>0</x:v>
      </x:c>
      <x:c r="G901" s="4" t="n">
        <x:f>Despesas!F865</x:f>
        <x:v>46023</x:v>
      </x:c>
      <x:c r="H901" t="str">
        <x:f>Despesas!G865</x:f>
        <x:v>VLI PINTURA</x:v>
      </x:c>
      <x:c r="I901" t="str">
        <x:f>Despesas!H865</x:f>
        <x:v>12.4 - PREVISÃO FÉRIAS</x:v>
      </x:c>
      <x:c r="J901" s="5" t="n">
        <x:f>Despesas!I865</x:f>
        <x:v>370.04035833333336</x:v>
      </x:c>
      <x:c r="K901" s="5" t="n">
        <x:f>0</x:f>
        <x:v>0</x:v>
      </x:c>
      <x:c r="L901" s="5" t="n">
        <x:f>Despesas!I865</x:f>
        <x:v>370.04035833333336</x:v>
      </x:c>
      <x:c r="M901" s="5" t="n">
        <x:f>-J901</x:f>
        <x:v>-370.04035833333336</x:v>
      </x:c>
    </x:row>
    <x:row r="902">
      <x:c r="A902" t="str">
        <x:f>"Despesa/Custo"</x:f>
        <x:v>Despesa/Custo</x:v>
      </x:c>
      <x:c r="B902" t="str">
        <x:f>Despesas!A866</x:f>
        <x:v>PREVISÃO</x:v>
      </x:c>
      <x:c r="C902" t="n">
        <x:f>Despesas!B866</x:f>
        <x:v>0</x:v>
      </x:c>
      <x:c r="D902" t="n">
        <x:f>Despesas!C866</x:f>
        <x:v>0</x:v>
      </x:c>
      <x:c r="E902" t="n">
        <x:f>Despesas!D866</x:f>
        <x:v>0</x:v>
      </x:c>
      <x:c r="F902" t="n">
        <x:f>Despesas!E866</x:f>
        <x:v>0</x:v>
      </x:c>
      <x:c r="G902" s="4" t="n">
        <x:f>Despesas!F866</x:f>
        <x:v>46023</x:v>
      </x:c>
      <x:c r="H902" t="str">
        <x:f>Despesas!G866</x:f>
        <x:v>ADMINISTRATIVO</x:v>
      </x:c>
      <x:c r="I902" t="str">
        <x:f>Despesas!H866</x:f>
        <x:v>12.4 - PREVISÃO FÉRIAS</x:v>
      </x:c>
      <x:c r="J902" s="5" t="n">
        <x:f>Despesas!I866</x:f>
        <x:v>221.66666666666666</x:v>
      </x:c>
      <x:c r="K902" s="5" t="n">
        <x:f>0</x:f>
        <x:v>0</x:v>
      </x:c>
      <x:c r="L902" s="5" t="n">
        <x:f>Despesas!I866</x:f>
        <x:v>221.66666666666666</x:v>
      </x:c>
      <x:c r="M902" s="5" t="n">
        <x:f>-J902</x:f>
        <x:v>-221.66666666666666</x:v>
      </x:c>
    </x:row>
    <x:row r="903">
      <x:c r="A903" t="str">
        <x:f>"Despesa/Custo"</x:f>
        <x:v>Despesa/Custo</x:v>
      </x:c>
      <x:c r="B903" t="str">
        <x:f>Despesas!A867</x:f>
        <x:v>PREVISÃO</x:v>
      </x:c>
      <x:c r="C903" t="n">
        <x:f>Despesas!B867</x:f>
        <x:v>0</x:v>
      </x:c>
      <x:c r="D903" t="n">
        <x:f>Despesas!C867</x:f>
        <x:v>0</x:v>
      </x:c>
      <x:c r="E903" t="n">
        <x:f>Despesas!D867</x:f>
        <x:v>0</x:v>
      </x:c>
      <x:c r="F903" t="n">
        <x:f>Despesas!E867</x:f>
        <x:v>0</x:v>
      </x:c>
      <x:c r="G903" s="4" t="n">
        <x:f>Despesas!F867</x:f>
        <x:v>46023</x:v>
      </x:c>
      <x:c r="H903" t="str">
        <x:f>Despesas!G867</x:f>
        <x:v>MOSAIC UBERABA CONTRAT0 3 ANOS</x:v>
      </x:c>
      <x:c r="I903" t="str">
        <x:f>Despesas!H867</x:f>
        <x:v>12.4 - PREVISÃO FÉRIAS</x:v>
      </x:c>
      <x:c r="J903" s="5" t="n">
        <x:f>Despesas!I867</x:f>
        <x:v>427.8166666666667</x:v>
      </x:c>
      <x:c r="K903" s="5" t="n">
        <x:f>0</x:f>
        <x:v>0</x:v>
      </x:c>
      <x:c r="L903" s="5" t="n">
        <x:f>Despesas!I867</x:f>
        <x:v>427.8166666666667</x:v>
      </x:c>
      <x:c r="M903" s="5" t="n">
        <x:f>-J903</x:f>
        <x:v>-427.8166666666667</x:v>
      </x:c>
    </x:row>
    <x:row r="904">
      <x:c r="A904" t="str">
        <x:f>"Despesa/Custo"</x:f>
        <x:v>Despesa/Custo</x:v>
      </x:c>
      <x:c r="B904" t="str">
        <x:f>Despesas!A868</x:f>
        <x:v>PREVISÃO</x:v>
      </x:c>
      <x:c r="C904" t="n">
        <x:f>Despesas!B868</x:f>
        <x:v>0</x:v>
      </x:c>
      <x:c r="D904" t="n">
        <x:f>Despesas!C868</x:f>
        <x:v>0</x:v>
      </x:c>
      <x:c r="E904" t="n">
        <x:f>Despesas!D868</x:f>
        <x:v>0</x:v>
      </x:c>
      <x:c r="F904" t="n">
        <x:f>Despesas!E868</x:f>
        <x:v>0</x:v>
      </x:c>
      <x:c r="G904" s="4" t="n">
        <x:f>Despesas!F868</x:f>
        <x:v>46023</x:v>
      </x:c>
      <x:c r="H904" t="str">
        <x:f>Despesas!G868</x:f>
        <x:v>FOSFATO CMOC CONTRAT</x:v>
      </x:c>
      <x:c r="I904" t="str">
        <x:f>Despesas!H868</x:f>
        <x:v>12.4 - PREVISÃO FÉRIAS</x:v>
      </x:c>
      <x:c r="J904" s="5" t="n">
        <x:f>Despesas!I868</x:f>
        <x:v>427.8166666666667</x:v>
      </x:c>
      <x:c r="K904" s="5" t="n">
        <x:f>0</x:f>
        <x:v>0</x:v>
      </x:c>
      <x:c r="L904" s="5" t="n">
        <x:f>Despesas!I868</x:f>
        <x:v>427.8166666666667</x:v>
      </x:c>
      <x:c r="M904" s="5" t="n">
        <x:f>-J904</x:f>
        <x:v>-427.8166666666667</x:v>
      </x:c>
    </x:row>
    <x:row r="905">
      <x:c r="A905" t="str">
        <x:f>"Despesa/Custo"</x:f>
        <x:v>Despesa/Custo</x:v>
      </x:c>
      <x:c r="B905" t="str">
        <x:f>Despesas!A869</x:f>
        <x:v>PREVISÃO</x:v>
      </x:c>
      <x:c r="C905" t="n">
        <x:f>Despesas!B869</x:f>
        <x:v>0</x:v>
      </x:c>
      <x:c r="D905" t="n">
        <x:f>Despesas!C869</x:f>
        <x:v>0</x:v>
      </x:c>
      <x:c r="E905" t="n">
        <x:f>Despesas!D869</x:f>
        <x:v>0</x:v>
      </x:c>
      <x:c r="F905" t="n">
        <x:f>Despesas!E869</x:f>
        <x:v>0</x:v>
      </x:c>
      <x:c r="G905" s="4" t="n">
        <x:f>Despesas!F869</x:f>
        <x:v>46023</x:v>
      </x:c>
      <x:c r="H905" t="str">
        <x:f>Despesas!G869</x:f>
        <x:v>ADMINISTRATIVO</x:v>
      </x:c>
      <x:c r="I905" t="str">
        <x:f>Despesas!H869</x:f>
        <x:v>12.4 - PREVISÃO FÉRIAS</x:v>
      </x:c>
      <x:c r="J905" s="5" t="n">
        <x:f>Despesas!I869</x:f>
        <x:v>7.125475000000002</x:v>
      </x:c>
      <x:c r="K905" s="5" t="n">
        <x:f>0</x:f>
        <x:v>0</x:v>
      </x:c>
      <x:c r="L905" s="5" t="n">
        <x:f>Despesas!I869</x:f>
        <x:v>7.125475000000002</x:v>
      </x:c>
      <x:c r="M905" s="5" t="n">
        <x:f>-J905</x:f>
        <x:v>-7.125475000000002</x:v>
      </x:c>
    </x:row>
    <x:row r="906">
      <x:c r="A906" t="str">
        <x:f>"Despesa/Custo"</x:f>
        <x:v>Despesa/Custo</x:v>
      </x:c>
      <x:c r="B906" t="str">
        <x:f>Despesas!A870</x:f>
        <x:v>PREVISÃO</x:v>
      </x:c>
      <x:c r="C906" t="n">
        <x:f>Despesas!B870</x:f>
        <x:v>0</x:v>
      </x:c>
      <x:c r="D906" t="n">
        <x:f>Despesas!C870</x:f>
        <x:v>0</x:v>
      </x:c>
      <x:c r="E906" t="n">
        <x:f>Despesas!D870</x:f>
        <x:v>0</x:v>
      </x:c>
      <x:c r="F906" t="n">
        <x:f>Despesas!E870</x:f>
        <x:v>0</x:v>
      </x:c>
      <x:c r="G906" s="4" t="n">
        <x:f>Despesas!F870</x:f>
        <x:v>46023</x:v>
      </x:c>
      <x:c r="H906" t="str">
        <x:f>Despesas!G870</x:f>
        <x:v>SERENA 10 TORRES 2025</x:v>
      </x:c>
      <x:c r="I906" t="str">
        <x:f>Despesas!H870</x:f>
        <x:v>12.4 - PREVISÃO FÉRIAS</x:v>
      </x:c>
      <x:c r="J906" s="5" t="n">
        <x:f>Despesas!I870</x:f>
        <x:v>277.08333333333337</x:v>
      </x:c>
      <x:c r="K906" s="5" t="n">
        <x:f>0</x:f>
        <x:v>0</x:v>
      </x:c>
      <x:c r="L906" s="5" t="n">
        <x:f>Despesas!I870</x:f>
        <x:v>277.08333333333337</x:v>
      </x:c>
      <x:c r="M906" s="5" t="n">
        <x:f>-J906</x:f>
        <x:v>-277.08333333333337</x:v>
      </x:c>
    </x:row>
    <x:row r="907">
      <x:c r="A907" t="str">
        <x:f>"Despesa/Custo"</x:f>
        <x:v>Despesa/Custo</x:v>
      </x:c>
      <x:c r="B907" t="str">
        <x:f>Despesas!A871</x:f>
        <x:v>PREVISÃO</x:v>
      </x:c>
      <x:c r="C907" t="n">
        <x:f>Despesas!B871</x:f>
        <x:v>0</x:v>
      </x:c>
      <x:c r="D907" t="n">
        <x:f>Despesas!C871</x:f>
        <x:v>0</x:v>
      </x:c>
      <x:c r="E907" t="n">
        <x:f>Despesas!D871</x:f>
        <x:v>0</x:v>
      </x:c>
      <x:c r="F907" t="n">
        <x:f>Despesas!E871</x:f>
        <x:v>0</x:v>
      </x:c>
      <x:c r="G907" s="4" t="n">
        <x:f>Despesas!F871</x:f>
        <x:v>46023</x:v>
      </x:c>
      <x:c r="H907" t="str">
        <x:f>Despesas!G871</x:f>
        <x:v>VLI PINTURA</x:v>
      </x:c>
      <x:c r="I907" t="str">
        <x:f>Despesas!H871</x:f>
        <x:v>12.4 - PREVISÃO FÉRIAS</x:v>
      </x:c>
      <x:c r="J907" s="5" t="n">
        <x:f>Despesas!I871</x:f>
        <x:v>692.607475</x:v>
      </x:c>
      <x:c r="K907" s="5" t="n">
        <x:f>0</x:f>
        <x:v>0</x:v>
      </x:c>
      <x:c r="L907" s="5" t="n">
        <x:f>Despesas!I871</x:f>
        <x:v>692.607475</x:v>
      </x:c>
      <x:c r="M907" s="5" t="n">
        <x:f>-J907</x:f>
        <x:v>-692.607475</x:v>
      </x:c>
    </x:row>
    <x:row r="908">
      <x:c r="A908" t="str">
        <x:f>"Despesa/Custo"</x:f>
        <x:v>Despesa/Custo</x:v>
      </x:c>
      <x:c r="B908" t="str">
        <x:f>Despesas!A872</x:f>
        <x:v>PREVISÃO</x:v>
      </x:c>
      <x:c r="C908" t="n">
        <x:f>Despesas!B872</x:f>
        <x:v>0</x:v>
      </x:c>
      <x:c r="D908" t="n">
        <x:f>Despesas!C872</x:f>
        <x:v>0</x:v>
      </x:c>
      <x:c r="E908" t="n">
        <x:f>Despesas!D872</x:f>
        <x:v>0</x:v>
      </x:c>
      <x:c r="F908" t="n">
        <x:f>Despesas!E872</x:f>
        <x:v>0</x:v>
      </x:c>
      <x:c r="G908" s="4" t="n">
        <x:f>Despesas!F872</x:f>
        <x:v>46023</x:v>
      </x:c>
      <x:c r="H908" t="str">
        <x:f>Despesas!G872</x:f>
        <x:v>ADMINISTRATIVO</x:v>
      </x:c>
      <x:c r="I908" t="str">
        <x:f>Despesas!H872</x:f>
        <x:v>12.4 - PREVISÃO FÉRIAS</x:v>
      </x:c>
      <x:c r="J908" s="5" t="n">
        <x:f>Despesas!I872</x:f>
        <x:v>73.14335</x:v>
      </x:c>
      <x:c r="K908" s="5" t="n">
        <x:f>0</x:f>
        <x:v>0</x:v>
      </x:c>
      <x:c r="L908" s="5" t="n">
        <x:f>Despesas!I872</x:f>
        <x:v>73.14335</x:v>
      </x:c>
      <x:c r="M908" s="5" t="n">
        <x:f>-J908</x:f>
        <x:v>-73.14335</x:v>
      </x:c>
    </x:row>
    <x:row r="909">
      <x:c r="A909" t="str">
        <x:f>"Despesa/Custo"</x:f>
        <x:v>Despesa/Custo</x:v>
      </x:c>
      <x:c r="B909" t="str">
        <x:f>Despesas!A873</x:f>
        <x:v>PREVISÃO</x:v>
      </x:c>
      <x:c r="C909" t="n">
        <x:f>Despesas!B873</x:f>
        <x:v>0</x:v>
      </x:c>
      <x:c r="D909" t="n">
        <x:f>Despesas!C873</x:f>
        <x:v>0</x:v>
      </x:c>
      <x:c r="E909" t="n">
        <x:f>Despesas!D873</x:f>
        <x:v>0</x:v>
      </x:c>
      <x:c r="F909" t="n">
        <x:f>Despesas!E873</x:f>
        <x:v>0</x:v>
      </x:c>
      <x:c r="G909" s="4" t="n">
        <x:f>Despesas!F873</x:f>
        <x:v>46023</x:v>
      </x:c>
      <x:c r="H909" t="str">
        <x:f>Despesas!G873</x:f>
        <x:v>MOSAIC UBERABA CONTRAT0 3 ANOS</x:v>
      </x:c>
      <x:c r="I909" t="str">
        <x:f>Despesas!H873</x:f>
        <x:v>12.4 - PREVISÃO FÉRIAS</x:v>
      </x:c>
      <x:c r="J909" s="5" t="n">
        <x:f>Despesas!I873</x:f>
        <x:v>658.3278333333334</x:v>
      </x:c>
      <x:c r="K909" s="5" t="n">
        <x:f>0</x:f>
        <x:v>0</x:v>
      </x:c>
      <x:c r="L909" s="5" t="n">
        <x:f>Despesas!I873</x:f>
        <x:v>658.3278333333334</x:v>
      </x:c>
      <x:c r="M909" s="5" t="n">
        <x:f>-J909</x:f>
        <x:v>-658.3278333333334</x:v>
      </x:c>
    </x:row>
    <x:row r="910">
      <x:c r="A910" t="str">
        <x:f>"Despesa/Custo"</x:f>
        <x:v>Despesa/Custo</x:v>
      </x:c>
      <x:c r="B910" t="str">
        <x:f>Despesas!A874</x:f>
        <x:v>PREVISÃO</x:v>
      </x:c>
      <x:c r="C910" t="n">
        <x:f>Despesas!B874</x:f>
        <x:v>0</x:v>
      </x:c>
      <x:c r="D910" t="n">
        <x:f>Despesas!C874</x:f>
        <x:v>0</x:v>
      </x:c>
      <x:c r="E910" t="n">
        <x:f>Despesas!D874</x:f>
        <x:v>0</x:v>
      </x:c>
      <x:c r="F910" t="n">
        <x:f>Despesas!E874</x:f>
        <x:v>0</x:v>
      </x:c>
      <x:c r="G910" s="4" t="n">
        <x:f>Despesas!F874</x:f>
        <x:v>46023</x:v>
      </x:c>
      <x:c r="H910" t="str">
        <x:f>Despesas!G874</x:f>
        <x:v>ANGLO AMERICAN</x:v>
      </x:c>
      <x:c r="I910" t="str">
        <x:f>Despesas!H874</x:f>
        <x:v>12.4 - PREVISÃO FÉRIAS</x:v>
      </x:c>
      <x:c r="J910" s="5" t="n">
        <x:f>Despesas!I874</x:f>
        <x:v>58.83033333333333</x:v>
      </x:c>
      <x:c r="K910" s="5" t="n">
        <x:f>0</x:f>
        <x:v>0</x:v>
      </x:c>
      <x:c r="L910" s="5" t="n">
        <x:f>Despesas!I874</x:f>
        <x:v>58.83033333333333</x:v>
      </x:c>
      <x:c r="M910" s="5" t="n">
        <x:f>-J910</x:f>
        <x:v>-58.83033333333333</x:v>
      </x:c>
    </x:row>
    <x:row r="911">
      <x:c r="A911" t="str">
        <x:f>"Despesa/Custo"</x:f>
        <x:v>Despesa/Custo</x:v>
      </x:c>
      <x:c r="B911" t="str">
        <x:f>Despesas!A875</x:f>
        <x:v>PREVISÃO</x:v>
      </x:c>
      <x:c r="C911" t="n">
        <x:f>Despesas!B875</x:f>
        <x:v>0</x:v>
      </x:c>
      <x:c r="D911" t="n">
        <x:f>Despesas!C875</x:f>
        <x:v>0</x:v>
      </x:c>
      <x:c r="E911" t="n">
        <x:f>Despesas!D875</x:f>
        <x:v>0</x:v>
      </x:c>
      <x:c r="F911" t="n">
        <x:f>Despesas!E875</x:f>
        <x:v>0</x:v>
      </x:c>
      <x:c r="G911" s="4" t="n">
        <x:f>Despesas!F875</x:f>
        <x:v>46023</x:v>
      </x:c>
      <x:c r="H911" t="str">
        <x:f>Despesas!G875</x:f>
        <x:v>EUROCHEM SERRA DO SALITRE</x:v>
      </x:c>
      <x:c r="I911" t="str">
        <x:f>Despesas!H875</x:f>
        <x:v>12.4 - PREVISÃO FÉRIAS</x:v>
      </x:c>
      <x:c r="J911" s="5" t="n">
        <x:f>Despesas!I875</x:f>
        <x:v>231.41556666666668</x:v>
      </x:c>
      <x:c r="K911" s="5" t="n">
        <x:f>0</x:f>
        <x:v>0</x:v>
      </x:c>
      <x:c r="L911" s="5" t="n">
        <x:f>Despesas!I875</x:f>
        <x:v>231.41556666666668</x:v>
      </x:c>
      <x:c r="M911" s="5" t="n">
        <x:f>-J911</x:f>
        <x:v>-231.41556666666668</x:v>
      </x:c>
    </x:row>
    <x:row r="912">
      <x:c r="A912" t="str">
        <x:f>"Despesa/Custo"</x:f>
        <x:v>Despesa/Custo</x:v>
      </x:c>
      <x:c r="B912" t="str">
        <x:f>Despesas!A876</x:f>
        <x:v>PREVISÃO</x:v>
      </x:c>
      <x:c r="C912" t="n">
        <x:f>Despesas!B876</x:f>
        <x:v>0</x:v>
      </x:c>
      <x:c r="D912" t="n">
        <x:f>Despesas!C876</x:f>
        <x:v>0</x:v>
      </x:c>
      <x:c r="E912" t="n">
        <x:f>Despesas!D876</x:f>
        <x:v>0</x:v>
      </x:c>
      <x:c r="F912" t="n">
        <x:f>Despesas!E876</x:f>
        <x:v>0</x:v>
      </x:c>
      <x:c r="G912" s="4" t="n">
        <x:f>Despesas!F876</x:f>
        <x:v>46023</x:v>
      </x:c>
      <x:c r="H912" t="str">
        <x:f>Despesas!G876</x:f>
        <x:v>FOSFATO CMOC CONTRAT</x:v>
      </x:c>
      <x:c r="I912" t="str">
        <x:f>Despesas!H876</x:f>
        <x:v>12.4 - PREVISÃO FÉRIAS</x:v>
      </x:c>
      <x:c r="J912" s="5" t="n">
        <x:f>Despesas!I876</x:f>
        <x:v>176.36908333333332</x:v>
      </x:c>
      <x:c r="K912" s="5" t="n">
        <x:f>0</x:f>
        <x:v>0</x:v>
      </x:c>
      <x:c r="L912" s="5" t="n">
        <x:f>Despesas!I876</x:f>
        <x:v>176.36908333333332</x:v>
      </x:c>
      <x:c r="M912" s="5" t="n">
        <x:f>-J912</x:f>
        <x:v>-176.36908333333332</x:v>
      </x:c>
    </x:row>
    <x:row r="913">
      <x:c r="A913" t="str">
        <x:f>"Despesa/Custo"</x:f>
        <x:v>Despesa/Custo</x:v>
      </x:c>
      <x:c r="B913" t="str">
        <x:f>Despesas!A877</x:f>
        <x:v>PREVISÃO</x:v>
      </x:c>
      <x:c r="C913" t="n">
        <x:f>Despesas!B877</x:f>
        <x:v>0</x:v>
      </x:c>
      <x:c r="D913" t="n">
        <x:f>Despesas!C877</x:f>
        <x:v>0</x:v>
      </x:c>
      <x:c r="E913" t="n">
        <x:f>Despesas!D877</x:f>
        <x:v>0</x:v>
      </x:c>
      <x:c r="F913" t="n">
        <x:f>Despesas!E877</x:f>
        <x:v>0</x:v>
      </x:c>
      <x:c r="G913" s="4" t="n">
        <x:f>Despesas!F877</x:f>
        <x:v>46023</x:v>
      </x:c>
      <x:c r="H913" t="str">
        <x:f>Despesas!G877</x:f>
        <x:v>NIOBIO CMOC CONTRATO</x:v>
      </x:c>
      <x:c r="I913" t="str">
        <x:f>Despesas!H877</x:f>
        <x:v>12.4 - PREVISÃO FÉRIAS</x:v>
      </x:c>
      <x:c r="J913" s="5" t="n">
        <x:f>Despesas!I877</x:f>
        <x:v>131.839575</x:v>
      </x:c>
      <x:c r="K913" s="5" t="n">
        <x:f>0</x:f>
        <x:v>0</x:v>
      </x:c>
      <x:c r="L913" s="5" t="n">
        <x:f>Despesas!I877</x:f>
        <x:v>131.839575</x:v>
      </x:c>
      <x:c r="M913" s="5" t="n">
        <x:f>-J913</x:f>
        <x:v>-131.839575</x:v>
      </x:c>
    </x:row>
    <x:row r="914">
      <x:c r="A914" t="str">
        <x:f>"Despesa/Custo"</x:f>
        <x:v>Despesa/Custo</x:v>
      </x:c>
      <x:c r="B914" t="str">
        <x:f>Despesas!A878</x:f>
        <x:v>PREVISÃO</x:v>
      </x:c>
      <x:c r="C914" t="n">
        <x:f>Despesas!B878</x:f>
        <x:v>0</x:v>
      </x:c>
      <x:c r="D914" t="n">
        <x:f>Despesas!C878</x:f>
        <x:v>0</x:v>
      </x:c>
      <x:c r="E914" t="n">
        <x:f>Despesas!D878</x:f>
        <x:v>0</x:v>
      </x:c>
      <x:c r="F914" t="n">
        <x:f>Despesas!E878</x:f>
        <x:v>0</x:v>
      </x:c>
      <x:c r="G914" s="4" t="n">
        <x:f>Despesas!F878</x:f>
        <x:v>46023</x:v>
      </x:c>
      <x:c r="H914" t="str">
        <x:f>Despesas!G878</x:f>
        <x:v>SERENA 10 TORRES 2025</x:v>
      </x:c>
      <x:c r="I914" t="str">
        <x:f>Despesas!H878</x:f>
        <x:v>12.4 - PREVISÃO FÉRIAS</x:v>
      </x:c>
      <x:c r="J914" s="5" t="n">
        <x:f>Despesas!I878</x:f>
        <x:v>278.0897</x:v>
      </x:c>
      <x:c r="K914" s="5" t="n">
        <x:f>0</x:f>
        <x:v>0</x:v>
      </x:c>
      <x:c r="L914" s="5" t="n">
        <x:f>Despesas!I878</x:f>
        <x:v>278.0897</x:v>
      </x:c>
      <x:c r="M914" s="5" t="n">
        <x:f>-J914</x:f>
        <x:v>-278.0897</x:v>
      </x:c>
    </x:row>
    <x:row r="915">
      <x:c r="A915" t="str">
        <x:f>"Despesa/Custo"</x:f>
        <x:v>Despesa/Custo</x:v>
      </x:c>
      <x:c r="B915" t="str">
        <x:f>Despesas!A879</x:f>
        <x:v>PREVISÃO</x:v>
      </x:c>
      <x:c r="C915" t="n">
        <x:f>Despesas!B879</x:f>
        <x:v>0</x:v>
      </x:c>
      <x:c r="D915" t="n">
        <x:f>Despesas!C879</x:f>
        <x:v>0</x:v>
      </x:c>
      <x:c r="E915" t="n">
        <x:f>Despesas!D879</x:f>
        <x:v>0</x:v>
      </x:c>
      <x:c r="F915" t="n">
        <x:f>Despesas!E879</x:f>
        <x:v>0</x:v>
      </x:c>
      <x:c r="G915" s="4" t="n">
        <x:f>Despesas!F879</x:f>
        <x:v>46023</x:v>
      </x:c>
      <x:c r="H915" t="str">
        <x:f>Despesas!G879</x:f>
        <x:v>CMOC CUBATÃO</x:v>
      </x:c>
      <x:c r="I915" t="str">
        <x:f>Despesas!H879</x:f>
        <x:v>12.4 - PREVISÃO FÉRIAS</x:v>
      </x:c>
      <x:c r="J915" s="5" t="n">
        <x:f>Despesas!I879</x:f>
        <x:v>87.29122500000001</x:v>
      </x:c>
      <x:c r="K915" s="5" t="n">
        <x:f>0</x:f>
        <x:v>0</x:v>
      </x:c>
      <x:c r="L915" s="5" t="n">
        <x:f>Despesas!I879</x:f>
        <x:v>87.29122500000001</x:v>
      </x:c>
      <x:c r="M915" s="5" t="n">
        <x:f>-J915</x:f>
        <x:v>-87.29122500000001</x:v>
      </x:c>
    </x:row>
    <x:row r="916">
      <x:c r="A916" t="str">
        <x:f>"Despesa/Custo"</x:f>
        <x:v>Despesa/Custo</x:v>
      </x:c>
      <x:c r="B916" t="str">
        <x:f>Despesas!A880</x:f>
        <x:v>PREVISÃO</x:v>
      </x:c>
      <x:c r="C916" t="n">
        <x:f>Despesas!B880</x:f>
        <x:v>0</x:v>
      </x:c>
      <x:c r="D916" t="n">
        <x:f>Despesas!C880</x:f>
        <x:v>0</x:v>
      </x:c>
      <x:c r="E916" t="n">
        <x:f>Despesas!D880</x:f>
        <x:v>0</x:v>
      </x:c>
      <x:c r="F916" t="n">
        <x:f>Despesas!E880</x:f>
        <x:v>0</x:v>
      </x:c>
      <x:c r="G916" s="4" t="n">
        <x:f>Despesas!F880</x:f>
        <x:v>46023</x:v>
      </x:c>
      <x:c r="H916" t="str">
        <x:f>Despesas!G880</x:f>
        <x:v>MOSAIC UBERABA CONTRAT0 3 ANOS</x:v>
      </x:c>
      <x:c r="I916" t="str">
        <x:f>Despesas!H880</x:f>
        <x:v>12.4 - PREVISÃO FÉRIAS</x:v>
      </x:c>
      <x:c r="J916" s="5" t="n">
        <x:f>Despesas!I880</x:f>
        <x:v>28.737975000000002</x:v>
      </x:c>
      <x:c r="K916" s="5" t="n">
        <x:f>0</x:f>
        <x:v>0</x:v>
      </x:c>
      <x:c r="L916" s="5" t="n">
        <x:f>Despesas!I880</x:f>
        <x:v>28.737975000000002</x:v>
      </x:c>
      <x:c r="M916" s="5" t="n">
        <x:f>-J916</x:f>
        <x:v>-28.737975000000002</x:v>
      </x:c>
    </x:row>
    <x:row r="917">
      <x:c r="A917" t="str">
        <x:f>"Despesa/Custo"</x:f>
        <x:v>Despesa/Custo</x:v>
      </x:c>
      <x:c r="B917" t="str">
        <x:f>Despesas!A881</x:f>
        <x:v>PREVISÃO</x:v>
      </x:c>
      <x:c r="C917" t="n">
        <x:f>Despesas!B881</x:f>
        <x:v>0</x:v>
      </x:c>
      <x:c r="D917" t="n">
        <x:f>Despesas!C881</x:f>
        <x:v>0</x:v>
      </x:c>
      <x:c r="E917" t="n">
        <x:f>Despesas!D881</x:f>
        <x:v>0</x:v>
      </x:c>
      <x:c r="F917" t="n">
        <x:f>Despesas!E881</x:f>
        <x:v>0</x:v>
      </x:c>
      <x:c r="G917" s="4" t="n">
        <x:f>Despesas!F881</x:f>
        <x:v>46023</x:v>
      </x:c>
      <x:c r="H917" t="str">
        <x:f>Despesas!G881</x:f>
        <x:v>VLI PINTURA</x:v>
      </x:c>
      <x:c r="I917" t="str">
        <x:f>Despesas!H881</x:f>
        <x:v>12.4 - PREVISÃO FÉRIAS</x:v>
      </x:c>
      <x:c r="J917" s="5" t="n">
        <x:f>Despesas!I881</x:f>
        <x:v>1883.9865933116666</x:v>
      </x:c>
      <x:c r="K917" s="5" t="n">
        <x:f>0</x:f>
        <x:v>0</x:v>
      </x:c>
      <x:c r="L917" s="5" t="n">
        <x:f>Despesas!I881</x:f>
        <x:v>1883.9865933116666</x:v>
      </x:c>
      <x:c r="M917" s="5" t="n">
        <x:f>-J917</x:f>
        <x:v>-1883.9865933116666</x:v>
      </x:c>
    </x:row>
    <x:row r="918">
      <x:c r="A918" t="str">
        <x:f>"Despesa/Custo"</x:f>
        <x:v>Despesa/Custo</x:v>
      </x:c>
      <x:c r="B918" t="str">
        <x:f>Despesas!A882</x:f>
        <x:v>PREVISÃO</x:v>
      </x:c>
      <x:c r="C918" t="n">
        <x:f>Despesas!B882</x:f>
        <x:v>0</x:v>
      </x:c>
      <x:c r="D918" t="n">
        <x:f>Despesas!C882</x:f>
        <x:v>0</x:v>
      </x:c>
      <x:c r="E918" t="n">
        <x:f>Despesas!D882</x:f>
        <x:v>0</x:v>
      </x:c>
      <x:c r="F918" t="n">
        <x:f>Despesas!E882</x:f>
        <x:v>0</x:v>
      </x:c>
      <x:c r="G918" s="4" t="n">
        <x:f>Despesas!F882</x:f>
        <x:v>46023</x:v>
      </x:c>
      <x:c r="H918" t="str">
        <x:f>Despesas!G882</x:f>
        <x:v>MOSAIC UBERABA CONTRAT0 3 ANOS</x:v>
      </x:c>
      <x:c r="I918" t="str">
        <x:f>Despesas!H882</x:f>
        <x:v>12.4 - PREVISÃO FÉRIAS</x:v>
      </x:c>
      <x:c r="J918" s="5" t="n">
        <x:f>Despesas!I882</x:f>
        <x:v>2823.4515784766663</x:v>
      </x:c>
      <x:c r="K918" s="5" t="n">
        <x:f>0</x:f>
        <x:v>0</x:v>
      </x:c>
      <x:c r="L918" s="5" t="n">
        <x:f>Despesas!I882</x:f>
        <x:v>2823.4515784766663</x:v>
      </x:c>
      <x:c r="M918" s="5" t="n">
        <x:f>-J918</x:f>
        <x:v>-2823.4515784766663</x:v>
      </x:c>
    </x:row>
    <x:row r="919">
      <x:c r="A919" t="str">
        <x:f>"Despesa/Custo"</x:f>
        <x:v>Despesa/Custo</x:v>
      </x:c>
      <x:c r="B919" t="str">
        <x:f>Despesas!A883</x:f>
        <x:v>PREVISÃO</x:v>
      </x:c>
      <x:c r="C919" t="n">
        <x:f>Despesas!B883</x:f>
        <x:v>0</x:v>
      </x:c>
      <x:c r="D919" t="n">
        <x:f>Despesas!C883</x:f>
        <x:v>0</x:v>
      </x:c>
      <x:c r="E919" t="n">
        <x:f>Despesas!D883</x:f>
        <x:v>0</x:v>
      </x:c>
      <x:c r="F919" t="n">
        <x:f>Despesas!E883</x:f>
        <x:v>0</x:v>
      </x:c>
      <x:c r="G919" s="4" t="n">
        <x:f>Despesas!F883</x:f>
        <x:v>46023</x:v>
      </x:c>
      <x:c r="H919" t="str">
        <x:f>Despesas!G883</x:f>
        <x:v>EUROCHEM SERRA DO SALITRE</x:v>
      </x:c>
      <x:c r="I919" t="str">
        <x:f>Despesas!H883</x:f>
        <x:v>12.4 - PREVISÃO FÉRIAS</x:v>
      </x:c>
      <x:c r="J919" s="5" t="n">
        <x:f>Despesas!I883</x:f>
        <x:v>98.0978563775</x:v>
      </x:c>
      <x:c r="K919" s="5" t="n">
        <x:f>0</x:f>
        <x:v>0</x:v>
      </x:c>
      <x:c r="L919" s="5" t="n">
        <x:f>Despesas!I883</x:f>
        <x:v>98.0978563775</x:v>
      </x:c>
      <x:c r="M919" s="5" t="n">
        <x:f>-J919</x:f>
        <x:v>-98.0978563775</x:v>
      </x:c>
    </x:row>
    <x:row r="920">
      <x:c r="A920" t="str">
        <x:f>"Despesa/Custo"</x:f>
        <x:v>Despesa/Custo</x:v>
      </x:c>
      <x:c r="B920" t="str">
        <x:f>Despesas!A884</x:f>
        <x:v>PREVISÃO</x:v>
      </x:c>
      <x:c r="C920" t="n">
        <x:f>Despesas!B884</x:f>
        <x:v>0</x:v>
      </x:c>
      <x:c r="D920" t="n">
        <x:f>Despesas!C884</x:f>
        <x:v>0</x:v>
      </x:c>
      <x:c r="E920" t="n">
        <x:f>Despesas!D884</x:f>
        <x:v>0</x:v>
      </x:c>
      <x:c r="F920" t="n">
        <x:f>Despesas!E884</x:f>
        <x:v>0</x:v>
      </x:c>
      <x:c r="G920" s="4" t="n">
        <x:f>Despesas!F884</x:f>
        <x:v>46023</x:v>
      </x:c>
      <x:c r="H920" t="str">
        <x:f>Despesas!G884</x:f>
        <x:v>CMOC CUBATÃO</x:v>
      </x:c>
      <x:c r="I920" t="str">
        <x:f>Despesas!H884</x:f>
        <x:v>12.4 - PREVISÃO FÉRIAS</x:v>
      </x:c>
      <x:c r="J920" s="5" t="n">
        <x:f>Despesas!I884</x:f>
        <x:v>1682.6705800566667</x:v>
      </x:c>
      <x:c r="K920" s="5" t="n">
        <x:f>0</x:f>
        <x:v>0</x:v>
      </x:c>
      <x:c r="L920" s="5" t="n">
        <x:f>Despesas!I884</x:f>
        <x:v>1682.6705800566667</x:v>
      </x:c>
      <x:c r="M920" s="5" t="n">
        <x:f>-J920</x:f>
        <x:v>-1682.6705800566667</x:v>
      </x:c>
    </x:row>
    <x:row r="921">
      <x:c r="A921" t="str">
        <x:f>"Despesa/Custo"</x:f>
        <x:v>Despesa/Custo</x:v>
      </x:c>
      <x:c r="B921" t="str">
        <x:f>Despesas!A885</x:f>
        <x:v>PREVISÃO</x:v>
      </x:c>
      <x:c r="C921" t="n">
        <x:f>Despesas!B885</x:f>
        <x:v>0</x:v>
      </x:c>
      <x:c r="D921" t="n">
        <x:f>Despesas!C885</x:f>
        <x:v>0</x:v>
      </x:c>
      <x:c r="E921" t="n">
        <x:f>Despesas!D885</x:f>
        <x:v>0</x:v>
      </x:c>
      <x:c r="F921" t="n">
        <x:f>Despesas!E885</x:f>
        <x:v>0</x:v>
      </x:c>
      <x:c r="G921" s="4" t="n">
        <x:f>Despesas!F885</x:f>
        <x:v>46023</x:v>
      </x:c>
      <x:c r="H921" t="str">
        <x:f>Despesas!G885</x:f>
        <x:v>VLI PINTURA</x:v>
      </x:c>
      <x:c r="I921" t="str">
        <x:f>Despesas!H885</x:f>
        <x:v>12.4 - PREVISÃO FÉRIAS</x:v>
      </x:c>
      <x:c r="J921" s="5" t="n">
        <x:f>Despesas!I885</x:f>
        <x:v>116.29987095999999</x:v>
      </x:c>
      <x:c r="K921" s="5" t="n">
        <x:f>0</x:f>
        <x:v>0</x:v>
      </x:c>
      <x:c r="L921" s="5" t="n">
        <x:f>Despesas!I885</x:f>
        <x:v>116.29987095999999</x:v>
      </x:c>
      <x:c r="M921" s="5" t="n">
        <x:f>-J921</x:f>
        <x:v>-116.29987095999999</x:v>
      </x:c>
    </x:row>
    <x:row r="922">
      <x:c r="A922" t="str">
        <x:f>"Despesa/Custo"</x:f>
        <x:v>Despesa/Custo</x:v>
      </x:c>
      <x:c r="B922" t="str">
        <x:f>Despesas!A886</x:f>
        <x:v>PREVISÃO</x:v>
      </x:c>
      <x:c r="C922" t="n">
        <x:f>Despesas!B886</x:f>
        <x:v>0</x:v>
      </x:c>
      <x:c r="D922" t="n">
        <x:f>Despesas!C886</x:f>
        <x:v>0</x:v>
      </x:c>
      <x:c r="E922" t="n">
        <x:f>Despesas!D886</x:f>
        <x:v>0</x:v>
      </x:c>
      <x:c r="F922" t="n">
        <x:f>Despesas!E886</x:f>
        <x:v>0</x:v>
      </x:c>
      <x:c r="G922" s="4" t="n">
        <x:f>Despesas!F886</x:f>
        <x:v>46023</x:v>
      </x:c>
      <x:c r="H922" t="str">
        <x:f>Despesas!G886</x:f>
        <x:v>MOSAIC UBERABA CONTRAT0 3 ANOS</x:v>
      </x:c>
      <x:c r="I922" t="str">
        <x:f>Despesas!H886</x:f>
        <x:v>12.4 - PREVISÃO FÉRIAS</x:v>
      </x:c>
      <x:c r="J922" s="5" t="n">
        <x:f>Despesas!I886</x:f>
        <x:v>174.29373204833334</x:v>
      </x:c>
      <x:c r="K922" s="5" t="n">
        <x:f>0</x:f>
        <x:v>0</x:v>
      </x:c>
      <x:c r="L922" s="5" t="n">
        <x:f>Despesas!I886</x:f>
        <x:v>174.29373204833334</x:v>
      </x:c>
      <x:c r="M922" s="5" t="n">
        <x:f>-J922</x:f>
        <x:v>-174.29373204833334</x:v>
      </x:c>
    </x:row>
    <x:row r="923">
      <x:c r="A923" t="str">
        <x:f>"Despesa/Custo"</x:f>
        <x:v>Despesa/Custo</x:v>
      </x:c>
      <x:c r="B923" t="str">
        <x:f>Despesas!A887</x:f>
        <x:v>PREVISÃO</x:v>
      </x:c>
      <x:c r="C923" t="n">
        <x:f>Despesas!B887</x:f>
        <x:v>0</x:v>
      </x:c>
      <x:c r="D923" t="n">
        <x:f>Despesas!C887</x:f>
        <x:v>0</x:v>
      </x:c>
      <x:c r="E923" t="n">
        <x:f>Despesas!D887</x:f>
        <x:v>0</x:v>
      </x:c>
      <x:c r="F923" t="n">
        <x:f>Despesas!E887</x:f>
        <x:v>0</x:v>
      </x:c>
      <x:c r="G923" s="4" t="n">
        <x:f>Despesas!F887</x:f>
        <x:v>46023</x:v>
      </x:c>
      <x:c r="H923" t="str">
        <x:f>Despesas!G887</x:f>
        <x:v>EUROCHEM SERRA DO SALITRE</x:v>
      </x:c>
      <x:c r="I923" t="str">
        <x:f>Despesas!H887</x:f>
        <x:v>12.4 - PREVISÃO FÉRIAS</x:v>
      </x:c>
      <x:c r="J923" s="5" t="n">
        <x:f>Despesas!I887</x:f>
        <x:v>6.055652481666668</x:v>
      </x:c>
      <x:c r="K923" s="5" t="n">
        <x:f>0</x:f>
        <x:v>0</x:v>
      </x:c>
      <x:c r="L923" s="5" t="n">
        <x:f>Despesas!I887</x:f>
        <x:v>6.055652481666668</x:v>
      </x:c>
      <x:c r="M923" s="5" t="n">
        <x:f>-J923</x:f>
        <x:v>-6.055652481666668</x:v>
      </x:c>
    </x:row>
    <x:row r="924">
      <x:c r="A924" t="str">
        <x:f>"Despesa/Custo"</x:f>
        <x:v>Despesa/Custo</x:v>
      </x:c>
      <x:c r="B924" t="str">
        <x:f>Despesas!A888</x:f>
        <x:v>PREVISÃO</x:v>
      </x:c>
      <x:c r="C924" t="n">
        <x:f>Despesas!B888</x:f>
        <x:v>0</x:v>
      </x:c>
      <x:c r="D924" t="n">
        <x:f>Despesas!C888</x:f>
        <x:v>0</x:v>
      </x:c>
      <x:c r="E924" t="n">
        <x:f>Despesas!D888</x:f>
        <x:v>0</x:v>
      </x:c>
      <x:c r="F924" t="n">
        <x:f>Despesas!E888</x:f>
        <x:v>0</x:v>
      </x:c>
      <x:c r="G924" s="4" t="n">
        <x:f>Despesas!F888</x:f>
        <x:v>46023</x:v>
      </x:c>
      <x:c r="H924" t="str">
        <x:f>Despesas!G888</x:f>
        <x:v>CMOC CUBATÃO</x:v>
      </x:c>
      <x:c r="I924" t="str">
        <x:f>Despesas!H888</x:f>
        <x:v>12.4 - PREVISÃO FÉRIAS</x:v>
      </x:c>
      <x:c r="J924" s="5" t="n">
        <x:f>Despesas!I888</x:f>
        <x:v>103.87248617666667</x:v>
      </x:c>
      <x:c r="K924" s="5" t="n">
        <x:f>0</x:f>
        <x:v>0</x:v>
      </x:c>
      <x:c r="L924" s="5" t="n">
        <x:f>Despesas!I888</x:f>
        <x:v>103.87248617666667</x:v>
      </x:c>
      <x:c r="M924" s="5" t="n">
        <x:f>-J924</x:f>
        <x:v>-103.87248617666667</x:v>
      </x:c>
    </x:row>
    <x:row r="925">
      <x:c r="A925" t="str">
        <x:f>"Despesa/Custo"</x:f>
        <x:v>Despesa/Custo</x:v>
      </x:c>
      <x:c r="B925" t="str">
        <x:f>Despesas!A889</x:f>
        <x:v>PREVISÃO</x:v>
      </x:c>
      <x:c r="C925" t="n">
        <x:f>Despesas!B889</x:f>
        <x:v>0</x:v>
      </x:c>
      <x:c r="D925" t="n">
        <x:f>Despesas!C889</x:f>
        <x:v>0</x:v>
      </x:c>
      <x:c r="E925" t="n">
        <x:f>Despesas!D889</x:f>
        <x:v>0</x:v>
      </x:c>
      <x:c r="F925" t="n">
        <x:f>Despesas!E889</x:f>
        <x:v>0</x:v>
      </x:c>
      <x:c r="G925" s="4" t="n">
        <x:f>Despesas!F889</x:f>
        <x:v>46023</x:v>
      </x:c>
      <x:c r="H925" t="str">
        <x:f>Despesas!G889</x:f>
        <x:v>FOSFATO CMOC CONTRAT</x:v>
      </x:c>
      <x:c r="I925" t="str">
        <x:f>Despesas!H889</x:f>
        <x:v>12.3 - PREVISÃO 13°</x:v>
      </x:c>
      <x:c r="J925" s="5" t="n">
        <x:f>Despesas!I889</x:f>
        <x:v>17.843333333333334</x:v>
      </x:c>
      <x:c r="K925" s="5" t="n">
        <x:f>0</x:f>
        <x:v>0</x:v>
      </x:c>
      <x:c r="L925" s="5" t="n">
        <x:f>Despesas!I889</x:f>
        <x:v>17.843333333333334</x:v>
      </x:c>
      <x:c r="M925" s="5" t="n">
        <x:f>-J925</x:f>
        <x:v>-17.843333333333334</x:v>
      </x:c>
    </x:row>
    <x:row r="926">
      <x:c r="A926" t="str">
        <x:f>"Despesa/Custo"</x:f>
        <x:v>Despesa/Custo</x:v>
      </x:c>
      <x:c r="B926" t="str">
        <x:f>Despesas!A890</x:f>
        <x:v>PREVISÃO</x:v>
      </x:c>
      <x:c r="C926" t="n">
        <x:f>Despesas!B890</x:f>
        <x:v>0</x:v>
      </x:c>
      <x:c r="D926" t="n">
        <x:f>Despesas!C890</x:f>
        <x:v>0</x:v>
      </x:c>
      <x:c r="E926" t="n">
        <x:f>Despesas!D890</x:f>
        <x:v>0</x:v>
      </x:c>
      <x:c r="F926" t="n">
        <x:f>Despesas!E890</x:f>
        <x:v>0</x:v>
      </x:c>
      <x:c r="G926" s="4" t="n">
        <x:f>Despesas!F890</x:f>
        <x:v>46023</x:v>
      </x:c>
      <x:c r="H926" t="str">
        <x:f>Despesas!G890</x:f>
        <x:v>ADMINISTRATIVO</x:v>
      </x:c>
      <x:c r="I926" t="str">
        <x:f>Despesas!H890</x:f>
        <x:v>12.3 - PREVISÃO 13°</x:v>
      </x:c>
      <x:c r="J926" s="5" t="n">
        <x:f>Despesas!I890</x:f>
        <x:v>6768.5925</x:v>
      </x:c>
      <x:c r="K926" s="5" t="n">
        <x:f>0</x:f>
        <x:v>0</x:v>
      </x:c>
      <x:c r="L926" s="5" t="n">
        <x:f>Despesas!I890</x:f>
        <x:v>6768.5925</x:v>
      </x:c>
      <x:c r="M926" s="5" t="n">
        <x:f>-J926</x:f>
        <x:v>-6768.5925</x:v>
      </x:c>
    </x:row>
    <x:row r="927">
      <x:c r="A927" t="str">
        <x:f>"Despesa/Custo"</x:f>
        <x:v>Despesa/Custo</x:v>
      </x:c>
      <x:c r="B927" t="str">
        <x:f>Despesas!A891</x:f>
        <x:v>PREVISÃO</x:v>
      </x:c>
      <x:c r="C927" t="n">
        <x:f>Despesas!B891</x:f>
        <x:v>0</x:v>
      </x:c>
      <x:c r="D927" t="n">
        <x:f>Despesas!C891</x:f>
        <x:v>0</x:v>
      </x:c>
      <x:c r="E927" t="n">
        <x:f>Despesas!D891</x:f>
        <x:v>0</x:v>
      </x:c>
      <x:c r="F927" t="n">
        <x:f>Despesas!E891</x:f>
        <x:v>0</x:v>
      </x:c>
      <x:c r="G927" s="4" t="n">
        <x:f>Despesas!F891</x:f>
        <x:v>46023</x:v>
      </x:c>
      <x:c r="H927" t="str">
        <x:f>Despesas!G891</x:f>
        <x:v>SERENA 10 TORRES 2025</x:v>
      </x:c>
      <x:c r="I927" t="str">
        <x:f>Despesas!H891</x:f>
        <x:v>12.3 - PREVISÃO 13°</x:v>
      </x:c>
      <x:c r="J927" s="5" t="n">
        <x:f>Despesas!I891</x:f>
        <x:v>4345.251666666666</x:v>
      </x:c>
      <x:c r="K927" s="5" t="n">
        <x:f>0</x:f>
        <x:v>0</x:v>
      </x:c>
      <x:c r="L927" s="5" t="n">
        <x:f>Despesas!I891</x:f>
        <x:v>4345.251666666666</x:v>
      </x:c>
      <x:c r="M927" s="5" t="n">
        <x:f>-J927</x:f>
        <x:v>-4345.251666666666</x:v>
      </x:c>
    </x:row>
    <x:row r="928">
      <x:c r="A928" t="str">
        <x:f>"Despesa/Custo"</x:f>
        <x:v>Despesa/Custo</x:v>
      </x:c>
      <x:c r="B928" t="str">
        <x:f>Despesas!A892</x:f>
        <x:v>PREVISÃO</x:v>
      </x:c>
      <x:c r="C928" t="n">
        <x:f>Despesas!B892</x:f>
        <x:v>0</x:v>
      </x:c>
      <x:c r="D928" t="n">
        <x:f>Despesas!C892</x:f>
        <x:v>0</x:v>
      </x:c>
      <x:c r="E928" t="n">
        <x:f>Despesas!D892</x:f>
        <x:v>0</x:v>
      </x:c>
      <x:c r="F928" t="n">
        <x:f>Despesas!E892</x:f>
        <x:v>0</x:v>
      </x:c>
      <x:c r="G928" s="4" t="n">
        <x:f>Despesas!F892</x:f>
        <x:v>46023</x:v>
      </x:c>
      <x:c r="H928" t="str">
        <x:f>Despesas!G892</x:f>
        <x:v>VLI PINTURA</x:v>
      </x:c>
      <x:c r="I928" t="str">
        <x:f>Despesas!H892</x:f>
        <x:v>12.3 - PREVISÃO 13°</x:v>
      </x:c>
      <x:c r="J928" s="5" t="n">
        <x:f>Despesas!I892</x:f>
        <x:v>6975.116666666666</x:v>
      </x:c>
      <x:c r="K928" s="5" t="n">
        <x:f>0</x:f>
        <x:v>0</x:v>
      </x:c>
      <x:c r="L928" s="5" t="n">
        <x:f>Despesas!I892</x:f>
        <x:v>6975.116666666666</x:v>
      </x:c>
      <x:c r="M928" s="5" t="n">
        <x:f>-J928</x:f>
        <x:v>-6975.116666666666</x:v>
      </x:c>
    </x:row>
    <x:row r="929">
      <x:c r="A929" t="str">
        <x:f>"Despesa/Custo"</x:f>
        <x:v>Despesa/Custo</x:v>
      </x:c>
      <x:c r="B929" t="str">
        <x:f>Despesas!A893</x:f>
        <x:v>PREVISÃO</x:v>
      </x:c>
      <x:c r="C929" t="n">
        <x:f>Despesas!B893</x:f>
        <x:v>0</x:v>
      </x:c>
      <x:c r="D929" t="n">
        <x:f>Despesas!C893</x:f>
        <x:v>0</x:v>
      </x:c>
      <x:c r="E929" t="n">
        <x:f>Despesas!D893</x:f>
        <x:v>0</x:v>
      </x:c>
      <x:c r="F929" t="n">
        <x:f>Despesas!E893</x:f>
        <x:v>0</x:v>
      </x:c>
      <x:c r="G929" s="4" t="n">
        <x:f>Despesas!F893</x:f>
        <x:v>46023</x:v>
      </x:c>
      <x:c r="H929" t="str">
        <x:f>Despesas!G893</x:f>
        <x:v>MOSAIC UBERABA CONTRAT0 3 ANOS</x:v>
      </x:c>
      <x:c r="I929" t="str">
        <x:f>Despesas!H893</x:f>
        <x:v>12.3 - PREVISÃO 13°</x:v>
      </x:c>
      <x:c r="J929" s="5" t="n">
        <x:f>Despesas!I893</x:f>
        <x:v>3129.11</x:v>
      </x:c>
      <x:c r="K929" s="5" t="n">
        <x:f>0</x:f>
        <x:v>0</x:v>
      </x:c>
      <x:c r="L929" s="5" t="n">
        <x:f>Despesas!I893</x:f>
        <x:v>3129.11</x:v>
      </x:c>
      <x:c r="M929" s="5" t="n">
        <x:f>-J929</x:f>
        <x:v>-3129.11</x:v>
      </x:c>
    </x:row>
    <x:row r="930">
      <x:c r="A930" t="str">
        <x:f>"Despesa/Custo"</x:f>
        <x:v>Despesa/Custo</x:v>
      </x:c>
      <x:c r="B930" t="str">
        <x:f>Despesas!A894</x:f>
        <x:v>PREVISÃO</x:v>
      </x:c>
      <x:c r="C930" t="n">
        <x:f>Despesas!B894</x:f>
        <x:v>0</x:v>
      </x:c>
      <x:c r="D930" t="n">
        <x:f>Despesas!C894</x:f>
        <x:v>0</x:v>
      </x:c>
      <x:c r="E930" t="n">
        <x:f>Despesas!D894</x:f>
        <x:v>0</x:v>
      </x:c>
      <x:c r="F930" t="n">
        <x:f>Despesas!E894</x:f>
        <x:v>0</x:v>
      </x:c>
      <x:c r="G930" s="4" t="n">
        <x:f>Despesas!F894</x:f>
        <x:v>46023</x:v>
      </x:c>
      <x:c r="H930" t="str">
        <x:f>Despesas!G894</x:f>
        <x:v>ANGLO AMERICAN</x:v>
      </x:c>
      <x:c r="I930" t="str">
        <x:f>Despesas!H894</x:f>
        <x:v>12.3 - PREVISÃO 13°</x:v>
      </x:c>
      <x:c r="J930" s="5" t="n">
        <x:f>Despesas!I894</x:f>
        <x:v>2898.625</x:v>
      </x:c>
      <x:c r="K930" s="5" t="n">
        <x:f>0</x:f>
        <x:v>0</x:v>
      </x:c>
      <x:c r="L930" s="5" t="n">
        <x:f>Despesas!I894</x:f>
        <x:v>2898.625</x:v>
      </x:c>
      <x:c r="M930" s="5" t="n">
        <x:f>-J930</x:f>
        <x:v>-2898.625</x:v>
      </x:c>
    </x:row>
    <x:row r="931">
      <x:c r="A931" t="str">
        <x:f>"Despesa/Custo"</x:f>
        <x:v>Despesa/Custo</x:v>
      </x:c>
      <x:c r="B931" t="str">
        <x:f>Despesas!A895</x:f>
        <x:v>PREVISÃO</x:v>
      </x:c>
      <x:c r="C931" t="n">
        <x:f>Despesas!B895</x:f>
        <x:v>0</x:v>
      </x:c>
      <x:c r="D931" t="n">
        <x:f>Despesas!C895</x:f>
        <x:v>0</x:v>
      </x:c>
      <x:c r="E931" t="n">
        <x:f>Despesas!D895</x:f>
        <x:v>0</x:v>
      </x:c>
      <x:c r="F931" t="n">
        <x:f>Despesas!E895</x:f>
        <x:v>0</x:v>
      </x:c>
      <x:c r="G931" s="4" t="n">
        <x:f>Despesas!F895</x:f>
        <x:v>46023</x:v>
      </x:c>
      <x:c r="H931" t="str">
        <x:f>Despesas!G895</x:f>
        <x:v>EUROCHEM SERRA DO SALITRE</x:v>
      </x:c>
      <x:c r="I931" t="str">
        <x:f>Despesas!H895</x:f>
        <x:v>12.3 - PREVISÃO 13°</x:v>
      </x:c>
      <x:c r="J931" s="5" t="n">
        <x:f>Despesas!I895</x:f>
        <x:v>2491.7758333333336</x:v>
      </x:c>
      <x:c r="K931" s="5" t="n">
        <x:f>0</x:f>
        <x:v>0</x:v>
      </x:c>
      <x:c r="L931" s="5" t="n">
        <x:f>Despesas!I895</x:f>
        <x:v>2491.7758333333336</x:v>
      </x:c>
      <x:c r="M931" s="5" t="n">
        <x:f>-J931</x:f>
        <x:v>-2491.7758333333336</x:v>
      </x:c>
    </x:row>
    <x:row r="932">
      <x:c r="A932" t="str">
        <x:f>"Despesa/Custo"</x:f>
        <x:v>Despesa/Custo</x:v>
      </x:c>
      <x:c r="B932" t="str">
        <x:f>Despesas!A896</x:f>
        <x:v>PREVISÃO</x:v>
      </x:c>
      <x:c r="C932" t="n">
        <x:f>Despesas!B896</x:f>
        <x:v>0</x:v>
      </x:c>
      <x:c r="D932" t="n">
        <x:f>Despesas!C896</x:f>
        <x:v>0</x:v>
      </x:c>
      <x:c r="E932" t="n">
        <x:f>Despesas!D896</x:f>
        <x:v>0</x:v>
      </x:c>
      <x:c r="F932" t="n">
        <x:f>Despesas!E896</x:f>
        <x:v>0</x:v>
      </x:c>
      <x:c r="G932" s="4" t="n">
        <x:f>Despesas!F896</x:f>
        <x:v>46023</x:v>
      </x:c>
      <x:c r="H932" t="str">
        <x:f>Despesas!G896</x:f>
        <x:v>FOSFATO CMOC CONTRAT</x:v>
      </x:c>
      <x:c r="I932" t="str">
        <x:f>Despesas!H896</x:f>
        <x:v>12.3 - PREVISÃO 13°</x:v>
      </x:c>
      <x:c r="J932" s="5" t="n">
        <x:f>Despesas!I896</x:f>
        <x:v>6048.1475</x:v>
      </x:c>
      <x:c r="K932" s="5" t="n">
        <x:f>0</x:f>
        <x:v>0</x:v>
      </x:c>
      <x:c r="L932" s="5" t="n">
        <x:f>Despesas!I896</x:f>
        <x:v>6048.1475</x:v>
      </x:c>
      <x:c r="M932" s="5" t="n">
        <x:f>-J932</x:f>
        <x:v>-6048.1475</x:v>
      </x:c>
    </x:row>
    <x:row r="933">
      <x:c r="A933" t="str">
        <x:f>"Despesa/Custo"</x:f>
        <x:v>Despesa/Custo</x:v>
      </x:c>
      <x:c r="B933" t="str">
        <x:f>Despesas!A897</x:f>
        <x:v>PREVISÃO</x:v>
      </x:c>
      <x:c r="C933" t="n">
        <x:f>Despesas!B897</x:f>
        <x:v>0</x:v>
      </x:c>
      <x:c r="D933" t="n">
        <x:f>Despesas!C897</x:f>
        <x:v>0</x:v>
      </x:c>
      <x:c r="E933" t="n">
        <x:f>Despesas!D897</x:f>
        <x:v>0</x:v>
      </x:c>
      <x:c r="F933" t="n">
        <x:f>Despesas!E897</x:f>
        <x:v>0</x:v>
      </x:c>
      <x:c r="G933" s="4" t="n">
        <x:f>Despesas!F897</x:f>
        <x:v>46023</x:v>
      </x:c>
      <x:c r="H933" t="str">
        <x:f>Despesas!G897</x:f>
        <x:v>NIOBIO CMOC CONTRATO</x:v>
      </x:c>
      <x:c r="I933" t="str">
        <x:f>Despesas!H897</x:f>
        <x:v>12.3 - PREVISÃO 13°</x:v>
      </x:c>
      <x:c r="J933" s="5" t="n">
        <x:f>Despesas!I897</x:f>
        <x:v>3595.5325</x:v>
      </x:c>
      <x:c r="K933" s="5" t="n">
        <x:f>0</x:f>
        <x:v>0</x:v>
      </x:c>
      <x:c r="L933" s="5" t="n">
        <x:f>Despesas!I897</x:f>
        <x:v>3595.5325</x:v>
      </x:c>
      <x:c r="M933" s="5" t="n">
        <x:f>-J933</x:f>
        <x:v>-3595.5325</x:v>
      </x:c>
    </x:row>
    <x:row r="934">
      <x:c r="A934" t="str">
        <x:f>"Despesa/Custo"</x:f>
        <x:v>Despesa/Custo</x:v>
      </x:c>
      <x:c r="B934" t="str">
        <x:f>Despesas!A898</x:f>
        <x:v>PREVISÃO</x:v>
      </x:c>
      <x:c r="C934" t="n">
        <x:f>Despesas!B898</x:f>
        <x:v>0</x:v>
      </x:c>
      <x:c r="D934" t="n">
        <x:f>Despesas!C898</x:f>
        <x:v>0</x:v>
      </x:c>
      <x:c r="E934" t="n">
        <x:f>Despesas!D898</x:f>
        <x:v>0</x:v>
      </x:c>
      <x:c r="F934" t="n">
        <x:f>Despesas!E898</x:f>
        <x:v>0</x:v>
      </x:c>
      <x:c r="G934" s="4" t="n">
        <x:f>Despesas!F898</x:f>
        <x:v>46023</x:v>
      </x:c>
      <x:c r="H934" t="str">
        <x:f>Despesas!G898</x:f>
        <x:v>CONDUTOS UG 1 - ELETROBRAS</x:v>
      </x:c>
      <x:c r="I934" t="str">
        <x:f>Despesas!H898</x:f>
        <x:v>12.3 - PREVISÃO 13°</x:v>
      </x:c>
      <x:c r="J934" s="5" t="n">
        <x:f>Despesas!I898</x:f>
        <x:v>762.555</x:v>
      </x:c>
      <x:c r="K934" s="5" t="n">
        <x:f>0</x:f>
        <x:v>0</x:v>
      </x:c>
      <x:c r="L934" s="5" t="n">
        <x:f>Despesas!I898</x:f>
        <x:v>762.555</x:v>
      </x:c>
      <x:c r="M934" s="5" t="n">
        <x:f>-J934</x:f>
        <x:v>-762.555</x:v>
      </x:c>
    </x:row>
    <x:row r="935">
      <x:c r="A935" t="str">
        <x:f>"Despesa/Custo"</x:f>
        <x:v>Despesa/Custo</x:v>
      </x:c>
      <x:c r="B935" t="str">
        <x:f>Despesas!A899</x:f>
        <x:v>PREVISÃO</x:v>
      </x:c>
      <x:c r="C935" t="n">
        <x:f>Despesas!B899</x:f>
        <x:v>0</x:v>
      </x:c>
      <x:c r="D935" t="n">
        <x:f>Despesas!C899</x:f>
        <x:v>0</x:v>
      </x:c>
      <x:c r="E935" t="n">
        <x:f>Despesas!D899</x:f>
        <x:v>0</x:v>
      </x:c>
      <x:c r="F935" t="n">
        <x:f>Despesas!E899</x:f>
        <x:v>0</x:v>
      </x:c>
      <x:c r="G935" s="4" t="n">
        <x:f>Despesas!F899</x:f>
        <x:v>46023</x:v>
      </x:c>
      <x:c r="H935" t="str">
        <x:f>Despesas!G899</x:f>
        <x:v>SERENA 10 TORRES 2025</x:v>
      </x:c>
      <x:c r="I935" t="str">
        <x:f>Despesas!H899</x:f>
        <x:v>12.3 - PREVISÃO 13°</x:v>
      </x:c>
      <x:c r="J935" s="5" t="n">
        <x:f>Despesas!I899</x:f>
        <x:v>732.3758333333334</x:v>
      </x:c>
      <x:c r="K935" s="5" t="n">
        <x:f>0</x:f>
        <x:v>0</x:v>
      </x:c>
      <x:c r="L935" s="5" t="n">
        <x:f>Despesas!I899</x:f>
        <x:v>732.3758333333334</x:v>
      </x:c>
      <x:c r="M935" s="5" t="n">
        <x:f>-J935</x:f>
        <x:v>-732.3758333333334</x:v>
      </x:c>
    </x:row>
    <x:row r="936">
      <x:c r="A936" t="str">
        <x:f>"Despesa/Custo"</x:f>
        <x:v>Despesa/Custo</x:v>
      </x:c>
      <x:c r="B936" t="str">
        <x:f>Despesas!A900</x:f>
        <x:v>PREVISÃO</x:v>
      </x:c>
      <x:c r="C936" t="n">
        <x:f>Despesas!B900</x:f>
        <x:v>0</x:v>
      </x:c>
      <x:c r="D936" t="n">
        <x:f>Despesas!C900</x:f>
        <x:v>0</x:v>
      </x:c>
      <x:c r="E936" t="n">
        <x:f>Despesas!D900</x:f>
        <x:v>0</x:v>
      </x:c>
      <x:c r="F936" t="n">
        <x:f>Despesas!E900</x:f>
        <x:v>0</x:v>
      </x:c>
      <x:c r="G936" s="4" t="n">
        <x:f>Despesas!F900</x:f>
        <x:v>46023</x:v>
      </x:c>
      <x:c r="H936" t="str">
        <x:f>Despesas!G900</x:f>
        <x:v>CMOC CUBATÃO</x:v>
      </x:c>
      <x:c r="I936" t="str">
        <x:f>Despesas!H900</x:f>
        <x:v>12.3 - PREVISÃO 13°</x:v>
      </x:c>
      <x:c r="J936" s="5" t="n">
        <x:f>Despesas!I900</x:f>
        <x:v>2318.7541666666666</x:v>
      </x:c>
      <x:c r="K936" s="5" t="n">
        <x:f>0</x:f>
        <x:v>0</x:v>
      </x:c>
      <x:c r="L936" s="5" t="n">
        <x:f>Despesas!I900</x:f>
        <x:v>2318.7541666666666</x:v>
      </x:c>
      <x:c r="M936" s="5" t="n">
        <x:f>-J936</x:f>
        <x:v>-2318.7541666666666</x:v>
      </x:c>
    </x:row>
    <x:row r="937">
      <x:c r="A937" t="str">
        <x:f>"Despesa/Custo"</x:f>
        <x:v>Despesa/Custo</x:v>
      </x:c>
      <x:c r="B937" t="str">
        <x:f>Despesas!A901</x:f>
        <x:v>PREVISÃO</x:v>
      </x:c>
      <x:c r="C937" t="n">
        <x:f>Despesas!B901</x:f>
        <x:v>0</x:v>
      </x:c>
      <x:c r="D937" t="n">
        <x:f>Despesas!C901</x:f>
        <x:v>0</x:v>
      </x:c>
      <x:c r="E937" t="n">
        <x:f>Despesas!D901</x:f>
        <x:v>0</x:v>
      </x:c>
      <x:c r="F937" t="n">
        <x:f>Despesas!E901</x:f>
        <x:v>0</x:v>
      </x:c>
      <x:c r="G937" s="4" t="n">
        <x:f>Despesas!F901</x:f>
        <x:v>46023</x:v>
      </x:c>
      <x:c r="H937" t="str">
        <x:f>Despesas!G901</x:f>
        <x:v>CONTRATO 02 ANOS MINERAÇÃO SERRA VERDE</x:v>
      </x:c>
      <x:c r="I937" t="str">
        <x:f>Despesas!H901</x:f>
        <x:v>12.3 - PREVISÃO 13°</x:v>
      </x:c>
      <x:c r="J937" s="5" t="n">
        <x:f>Despesas!I901</x:f>
        <x:v>2252.820833333333</x:v>
      </x:c>
      <x:c r="K937" s="5" t="n">
        <x:f>0</x:f>
        <x:v>0</x:v>
      </x:c>
      <x:c r="L937" s="5" t="n">
        <x:f>Despesas!I901</x:f>
        <x:v>2252.820833333333</x:v>
      </x:c>
      <x:c r="M937" s="5" t="n">
        <x:f>-J937</x:f>
        <x:v>-2252.820833333333</x:v>
      </x:c>
    </x:row>
    <x:row r="938">
      <x:c r="A938" t="str">
        <x:f>"Despesa/Custo"</x:f>
        <x:v>Despesa/Custo</x:v>
      </x:c>
      <x:c r="B938" t="str">
        <x:f>Despesas!A902</x:f>
        <x:v>PREVISÃO</x:v>
      </x:c>
      <x:c r="C938" t="n">
        <x:f>Despesas!B902</x:f>
        <x:v>0</x:v>
      </x:c>
      <x:c r="D938" t="n">
        <x:f>Despesas!C902</x:f>
        <x:v>0</x:v>
      </x:c>
      <x:c r="E938" t="n">
        <x:f>Despesas!D902</x:f>
        <x:v>0</x:v>
      </x:c>
      <x:c r="F938" t="n">
        <x:f>Despesas!E902</x:f>
        <x:v>0</x:v>
      </x:c>
      <x:c r="G938" s="4" t="n">
        <x:f>Despesas!F902</x:f>
        <x:v>46023</x:v>
      </x:c>
      <x:c r="H938" t="str">
        <x:f>Despesas!G902</x:f>
        <x:v>ADMINISTRATIVO</x:v>
      </x:c>
      <x:c r="I938" t="str">
        <x:f>Despesas!H902</x:f>
        <x:v>12.3 - PREVISÃO 13°</x:v>
      </x:c>
      <x:c r="J938" s="5" t="n">
        <x:f>Despesas!I902</x:f>
        <x:v>750</x:v>
      </x:c>
      <x:c r="K938" s="5" t="n">
        <x:f>0</x:f>
        <x:v>0</x:v>
      </x:c>
      <x:c r="L938" s="5" t="n">
        <x:f>Despesas!I902</x:f>
        <x:v>750</x:v>
      </x:c>
      <x:c r="M938" s="5" t="n">
        <x:f>-J938</x:f>
        <x:v>-750</x:v>
      </x:c>
    </x:row>
    <x:row r="939">
      <x:c r="A939" t="str">
        <x:f>"Despesa/Custo"</x:f>
        <x:v>Despesa/Custo</x:v>
      </x:c>
      <x:c r="B939" t="str">
        <x:f>Despesas!A903</x:f>
        <x:v>PREVISÃO</x:v>
      </x:c>
      <x:c r="C939" t="n">
        <x:f>Despesas!B903</x:f>
        <x:v>0</x:v>
      </x:c>
      <x:c r="D939" t="n">
        <x:f>Despesas!C903</x:f>
        <x:v>0</x:v>
      </x:c>
      <x:c r="E939" t="n">
        <x:f>Despesas!D903</x:f>
        <x:v>0</x:v>
      </x:c>
      <x:c r="F939" t="n">
        <x:f>Despesas!E903</x:f>
        <x:v>0</x:v>
      </x:c>
      <x:c r="G939" s="4" t="n">
        <x:f>Despesas!F903</x:f>
        <x:v>46023</x:v>
      </x:c>
      <x:c r="H939" t="str">
        <x:f>Despesas!G903</x:f>
        <x:v>ADMINISTRATIVO</x:v>
      </x:c>
      <x:c r="I939" t="str">
        <x:f>Despesas!H903</x:f>
        <x:v>12.3 - PREVISÃO 13°</x:v>
      </x:c>
      <x:c r="J939" s="5" t="n">
        <x:f>Despesas!I903</x:f>
        <x:v>250</x:v>
      </x:c>
      <x:c r="K939" s="5" t="n">
        <x:f>0</x:f>
        <x:v>0</x:v>
      </x:c>
      <x:c r="L939" s="5" t="n">
        <x:f>Despesas!I903</x:f>
        <x:v>250</x:v>
      </x:c>
      <x:c r="M939" s="5" t="n">
        <x:f>-J939</x:f>
        <x:v>-250</x:v>
      </x:c>
    </x:row>
    <x:row r="940">
      <x:c r="A940" t="str">
        <x:f>"Despesa/Custo"</x:f>
        <x:v>Despesa/Custo</x:v>
      </x:c>
      <x:c r="B940" t="str">
        <x:f>Despesas!A904</x:f>
        <x:v>PREVISÃO</x:v>
      </x:c>
      <x:c r="C940" t="n">
        <x:f>Despesas!B904</x:f>
        <x:v>0</x:v>
      </x:c>
      <x:c r="D940" t="n">
        <x:f>Despesas!C904</x:f>
        <x:v>0</x:v>
      </x:c>
      <x:c r="E940" t="n">
        <x:f>Despesas!D904</x:f>
        <x:v>0</x:v>
      </x:c>
      <x:c r="F940" t="n">
        <x:f>Despesas!E904</x:f>
        <x:v>0</x:v>
      </x:c>
      <x:c r="G940" s="4" t="n">
        <x:f>Despesas!F904</x:f>
        <x:v>46023</x:v>
      </x:c>
      <x:c r="H940" t="str">
        <x:f>Despesas!G904</x:f>
        <x:v>CONDUTOS UG 1 - ELETROBRAS</x:v>
      </x:c>
      <x:c r="I940" t="str">
        <x:f>Despesas!H904</x:f>
        <x:v>12.3 - PREVISÃO 13°</x:v>
      </x:c>
      <x:c r="J940" s="5" t="n">
        <x:f>Despesas!I904</x:f>
        <x:v>2.85</x:v>
      </x:c>
      <x:c r="K940" s="5" t="n">
        <x:f>0</x:f>
        <x:v>0</x:v>
      </x:c>
      <x:c r="L940" s="5" t="n">
        <x:f>Despesas!I904</x:f>
        <x:v>2.85</x:v>
      </x:c>
      <x:c r="M940" s="5" t="n">
        <x:f>-J940</x:f>
        <x:v>-2.85</x:v>
      </x:c>
    </x:row>
    <x:row r="941">
      <x:c r="A941" t="str">
        <x:f>"Despesa/Custo"</x:f>
        <x:v>Despesa/Custo</x:v>
      </x:c>
      <x:c r="B941" t="str">
        <x:f>Despesas!A905</x:f>
        <x:v>PREVISÃO</x:v>
      </x:c>
      <x:c r="C941" t="n">
        <x:f>Despesas!B905</x:f>
        <x:v>0</x:v>
      </x:c>
      <x:c r="D941" t="n">
        <x:f>Despesas!C905</x:f>
        <x:v>0</x:v>
      </x:c>
      <x:c r="E941" t="n">
        <x:f>Despesas!D905</x:f>
        <x:v>0</x:v>
      </x:c>
      <x:c r="F941" t="n">
        <x:f>Despesas!E905</x:f>
        <x:v>0</x:v>
      </x:c>
      <x:c r="G941" s="4" t="n">
        <x:f>Despesas!F905</x:f>
        <x:v>46023</x:v>
      </x:c>
      <x:c r="H941" t="str">
        <x:f>Despesas!G905</x:f>
        <x:v>COMPORTAS - PORTO FERREIRA</x:v>
      </x:c>
      <x:c r="I941" t="str">
        <x:f>Despesas!H905</x:f>
        <x:v>12.3 - PREVISÃO 13°</x:v>
      </x:c>
      <x:c r="J941" s="5" t="n">
        <x:f>Despesas!I905</x:f>
        <x:v>67.35000000000001</x:v>
      </x:c>
      <x:c r="K941" s="5" t="n">
        <x:f>0</x:f>
        <x:v>0</x:v>
      </x:c>
      <x:c r="L941" s="5" t="n">
        <x:f>Despesas!I905</x:f>
        <x:v>67.35000000000001</x:v>
      </x:c>
      <x:c r="M941" s="5" t="n">
        <x:f>-J941</x:f>
        <x:v>-67.35000000000001</x:v>
      </x:c>
    </x:row>
    <x:row r="942">
      <x:c r="A942" t="str">
        <x:f>"Despesa/Custo"</x:f>
        <x:v>Despesa/Custo</x:v>
      </x:c>
      <x:c r="B942" t="str">
        <x:f>Despesas!A906</x:f>
        <x:v>PREVISÃO</x:v>
      </x:c>
      <x:c r="C942" t="n">
        <x:f>Despesas!B906</x:f>
        <x:v>0</x:v>
      </x:c>
      <x:c r="D942" t="n">
        <x:f>Despesas!C906</x:f>
        <x:v>0</x:v>
      </x:c>
      <x:c r="E942" t="n">
        <x:f>Despesas!D906</x:f>
        <x:v>0</x:v>
      </x:c>
      <x:c r="F942" t="n">
        <x:f>Despesas!E906</x:f>
        <x:v>0</x:v>
      </x:c>
      <x:c r="G942" s="4" t="n">
        <x:f>Despesas!F906</x:f>
        <x:v>46023</x:v>
      </x:c>
      <x:c r="H942" t="str">
        <x:f>Despesas!G906</x:f>
        <x:v>ANGLO AMERICAN</x:v>
      </x:c>
      <x:c r="I942" t="str">
        <x:f>Despesas!H906</x:f>
        <x:v>12.3 - PREVISÃO 13°</x:v>
      </x:c>
      <x:c r="J942" s="5" t="n">
        <x:f>Despesas!I906</x:f>
        <x:v>41.666666666666664</x:v>
      </x:c>
      <x:c r="K942" s="5" t="n">
        <x:f>0</x:f>
        <x:v>0</x:v>
      </x:c>
      <x:c r="L942" s="5" t="n">
        <x:f>Despesas!I906</x:f>
        <x:v>41.666666666666664</x:v>
      </x:c>
      <x:c r="M942" s="5" t="n">
        <x:f>-J942</x:f>
        <x:v>-41.666666666666664</x:v>
      </x:c>
    </x:row>
    <x:row r="943">
      <x:c r="A943" t="str">
        <x:f>"Despesa/Custo"</x:f>
        <x:v>Despesa/Custo</x:v>
      </x:c>
      <x:c r="B943" t="str">
        <x:f>Despesas!A907</x:f>
        <x:v>PREVISÃO</x:v>
      </x:c>
      <x:c r="C943" t="n">
        <x:f>Despesas!B907</x:f>
        <x:v>0</x:v>
      </x:c>
      <x:c r="D943" t="n">
        <x:f>Despesas!C907</x:f>
        <x:v>0</x:v>
      </x:c>
      <x:c r="E943" t="n">
        <x:f>Despesas!D907</x:f>
        <x:v>0</x:v>
      </x:c>
      <x:c r="F943" t="n">
        <x:f>Despesas!E907</x:f>
        <x:v>0</x:v>
      </x:c>
      <x:c r="G943" s="4" t="n">
        <x:f>Despesas!F907</x:f>
        <x:v>46023</x:v>
      </x:c>
      <x:c r="H943" t="str">
        <x:f>Despesas!G907</x:f>
        <x:v>VLI PINTURA</x:v>
      </x:c>
      <x:c r="I943" t="str">
        <x:f>Despesas!H907</x:f>
        <x:v>12.3 - PREVISÃO 13°</x:v>
      </x:c>
      <x:c r="J943" s="5" t="n">
        <x:f>Despesas!I907</x:f>
        <x:v>278.22583333333336</x:v>
      </x:c>
      <x:c r="K943" s="5" t="n">
        <x:f>0</x:f>
        <x:v>0</x:v>
      </x:c>
      <x:c r="L943" s="5" t="n">
        <x:f>Despesas!I907</x:f>
        <x:v>278.22583333333336</x:v>
      </x:c>
      <x:c r="M943" s="5" t="n">
        <x:f>-J943</x:f>
        <x:v>-278.22583333333336</x:v>
      </x:c>
    </x:row>
    <x:row r="944">
      <x:c r="A944" t="str">
        <x:f>"Despesa/Custo"</x:f>
        <x:v>Despesa/Custo</x:v>
      </x:c>
      <x:c r="B944" t="str">
        <x:f>Despesas!A908</x:f>
        <x:v>PREVISÃO</x:v>
      </x:c>
      <x:c r="C944" t="n">
        <x:f>Despesas!B908</x:f>
        <x:v>0</x:v>
      </x:c>
      <x:c r="D944" t="n">
        <x:f>Despesas!C908</x:f>
        <x:v>0</x:v>
      </x:c>
      <x:c r="E944" t="n">
        <x:f>Despesas!D908</x:f>
        <x:v>0</x:v>
      </x:c>
      <x:c r="F944" t="n">
        <x:f>Despesas!E908</x:f>
        <x:v>0</x:v>
      </x:c>
      <x:c r="G944" s="4" t="n">
        <x:f>Despesas!F908</x:f>
        <x:v>46023</x:v>
      </x:c>
      <x:c r="H944" t="str">
        <x:f>Despesas!G908</x:f>
        <x:v>ADMINISTRATIVO</x:v>
      </x:c>
      <x:c r="I944" t="str">
        <x:f>Despesas!H908</x:f>
        <x:v>12.3 - PREVISÃO 13°</x:v>
      </x:c>
      <x:c r="J944" s="5" t="n">
        <x:f>Despesas!I908</x:f>
        <x:v>166.66666666666666</x:v>
      </x:c>
      <x:c r="K944" s="5" t="n">
        <x:f>0</x:f>
        <x:v>0</x:v>
      </x:c>
      <x:c r="L944" s="5" t="n">
        <x:f>Despesas!I908</x:f>
        <x:v>166.66666666666666</x:v>
      </x:c>
      <x:c r="M944" s="5" t="n">
        <x:f>-J944</x:f>
        <x:v>-166.66666666666666</x:v>
      </x:c>
    </x:row>
    <x:row r="945">
      <x:c r="A945" t="str">
        <x:f>"Despesa/Custo"</x:f>
        <x:v>Despesa/Custo</x:v>
      </x:c>
      <x:c r="B945" t="str">
        <x:f>Despesas!A909</x:f>
        <x:v>PREVISÃO</x:v>
      </x:c>
      <x:c r="C945" t="n">
        <x:f>Despesas!B909</x:f>
        <x:v>0</x:v>
      </x:c>
      <x:c r="D945" t="n">
        <x:f>Despesas!C909</x:f>
        <x:v>0</x:v>
      </x:c>
      <x:c r="E945" t="n">
        <x:f>Despesas!D909</x:f>
        <x:v>0</x:v>
      </x:c>
      <x:c r="F945" t="n">
        <x:f>Despesas!E909</x:f>
        <x:v>0</x:v>
      </x:c>
      <x:c r="G945" s="4" t="n">
        <x:f>Despesas!F909</x:f>
        <x:v>46023</x:v>
      </x:c>
      <x:c r="H945" t="str">
        <x:f>Despesas!G909</x:f>
        <x:v>MOSAIC UBERABA CONTRAT0 3 ANOS</x:v>
      </x:c>
      <x:c r="I945" t="str">
        <x:f>Despesas!H909</x:f>
        <x:v>12.3 - PREVISÃO 13°</x:v>
      </x:c>
      <x:c r="J945" s="5" t="n">
        <x:f>Despesas!I909</x:f>
        <x:v>321.6666666666667</x:v>
      </x:c>
      <x:c r="K945" s="5" t="n">
        <x:f>0</x:f>
        <x:v>0</x:v>
      </x:c>
      <x:c r="L945" s="5" t="n">
        <x:f>Despesas!I909</x:f>
        <x:v>321.6666666666667</x:v>
      </x:c>
      <x:c r="M945" s="5" t="n">
        <x:f>-J945</x:f>
        <x:v>-321.6666666666667</x:v>
      </x:c>
    </x:row>
    <x:row r="946">
      <x:c r="A946" t="str">
        <x:f>"Despesa/Custo"</x:f>
        <x:v>Despesa/Custo</x:v>
      </x:c>
      <x:c r="B946" t="str">
        <x:f>Despesas!A910</x:f>
        <x:v>PREVISÃO</x:v>
      </x:c>
      <x:c r="C946" t="n">
        <x:f>Despesas!B910</x:f>
        <x:v>0</x:v>
      </x:c>
      <x:c r="D946" t="n">
        <x:f>Despesas!C910</x:f>
        <x:v>0</x:v>
      </x:c>
      <x:c r="E946" t="n">
        <x:f>Despesas!D910</x:f>
        <x:v>0</x:v>
      </x:c>
      <x:c r="F946" t="n">
        <x:f>Despesas!E910</x:f>
        <x:v>0</x:v>
      </x:c>
      <x:c r="G946" s="4" t="n">
        <x:f>Despesas!F910</x:f>
        <x:v>46023</x:v>
      </x:c>
      <x:c r="H946" t="str">
        <x:f>Despesas!G910</x:f>
        <x:v>FOSFATO CMOC CONTRAT</x:v>
      </x:c>
      <x:c r="I946" t="str">
        <x:f>Despesas!H910</x:f>
        <x:v>12.3 - PREVISÃO 13°</x:v>
      </x:c>
      <x:c r="J946" s="5" t="n">
        <x:f>Despesas!I910</x:f>
        <x:v>321.6666666666667</x:v>
      </x:c>
      <x:c r="K946" s="5" t="n">
        <x:f>0</x:f>
        <x:v>0</x:v>
      </x:c>
      <x:c r="L946" s="5" t="n">
        <x:f>Despesas!I910</x:f>
        <x:v>321.6666666666667</x:v>
      </x:c>
      <x:c r="M946" s="5" t="n">
        <x:f>-J946</x:f>
        <x:v>-321.6666666666667</x:v>
      </x:c>
    </x:row>
    <x:row r="947">
      <x:c r="A947" t="str">
        <x:f>"Despesa/Custo"</x:f>
        <x:v>Despesa/Custo</x:v>
      </x:c>
      <x:c r="B947" t="str">
        <x:f>Despesas!A911</x:f>
        <x:v>PREVISÃO</x:v>
      </x:c>
      <x:c r="C947" t="n">
        <x:f>Despesas!B911</x:f>
        <x:v>0</x:v>
      </x:c>
      <x:c r="D947" t="n">
        <x:f>Despesas!C911</x:f>
        <x:v>0</x:v>
      </x:c>
      <x:c r="E947" t="n">
        <x:f>Despesas!D911</x:f>
        <x:v>0</x:v>
      </x:c>
      <x:c r="F947" t="n">
        <x:f>Despesas!E911</x:f>
        <x:v>0</x:v>
      </x:c>
      <x:c r="G947" s="4" t="n">
        <x:f>Despesas!F911</x:f>
        <x:v>46023</x:v>
      </x:c>
      <x:c r="H947" t="str">
        <x:f>Despesas!G911</x:f>
        <x:v>ADMINISTRATIVO</x:v>
      </x:c>
      <x:c r="I947" t="str">
        <x:f>Despesas!H911</x:f>
        <x:v>12.3 - PREVISÃO 13°</x:v>
      </x:c>
      <x:c r="J947" s="5" t="n">
        <x:f>Despesas!I911</x:f>
        <x:v>5.357500000000001</x:v>
      </x:c>
      <x:c r="K947" s="5" t="n">
        <x:f>0</x:f>
        <x:v>0</x:v>
      </x:c>
      <x:c r="L947" s="5" t="n">
        <x:f>Despesas!I911</x:f>
        <x:v>5.357500000000001</x:v>
      </x:c>
      <x:c r="M947" s="5" t="n">
        <x:f>-J947</x:f>
        <x:v>-5.357500000000001</x:v>
      </x:c>
    </x:row>
    <x:row r="948">
      <x:c r="A948" t="str">
        <x:f>"Despesa/Custo"</x:f>
        <x:v>Despesa/Custo</x:v>
      </x:c>
      <x:c r="B948" t="str">
        <x:f>Despesas!A912</x:f>
        <x:v>PREVISÃO</x:v>
      </x:c>
      <x:c r="C948" t="n">
        <x:f>Despesas!B912</x:f>
        <x:v>0</x:v>
      </x:c>
      <x:c r="D948" t="n">
        <x:f>Despesas!C912</x:f>
        <x:v>0</x:v>
      </x:c>
      <x:c r="E948" t="n">
        <x:f>Despesas!D912</x:f>
        <x:v>0</x:v>
      </x:c>
      <x:c r="F948" t="n">
        <x:f>Despesas!E912</x:f>
        <x:v>0</x:v>
      </x:c>
      <x:c r="G948" s="4" t="n">
        <x:f>Despesas!F912</x:f>
        <x:v>46023</x:v>
      </x:c>
      <x:c r="H948" t="str">
        <x:f>Despesas!G912</x:f>
        <x:v>SERENA 10 TORRES 2025</x:v>
      </x:c>
      <x:c r="I948" t="str">
        <x:f>Despesas!H912</x:f>
        <x:v>12.3 - PREVISÃO 13°</x:v>
      </x:c>
      <x:c r="J948" s="5" t="n">
        <x:f>Despesas!I912</x:f>
        <x:v>208.33333333333334</x:v>
      </x:c>
      <x:c r="K948" s="5" t="n">
        <x:f>0</x:f>
        <x:v>0</x:v>
      </x:c>
      <x:c r="L948" s="5" t="n">
        <x:f>Despesas!I912</x:f>
        <x:v>208.33333333333334</x:v>
      </x:c>
      <x:c r="M948" s="5" t="n">
        <x:f>-J948</x:f>
        <x:v>-208.33333333333334</x:v>
      </x:c>
    </x:row>
    <x:row r="949">
      <x:c r="A949" t="str">
        <x:f>"Despesa/Custo"</x:f>
        <x:v>Despesa/Custo</x:v>
      </x:c>
      <x:c r="B949" t="str">
        <x:f>Despesas!A913</x:f>
        <x:v>PREVISÃO</x:v>
      </x:c>
      <x:c r="C949" t="n">
        <x:f>Despesas!B913</x:f>
        <x:v>0</x:v>
      </x:c>
      <x:c r="D949" t="n">
        <x:f>Despesas!C913</x:f>
        <x:v>0</x:v>
      </x:c>
      <x:c r="E949" t="n">
        <x:f>Despesas!D913</x:f>
        <x:v>0</x:v>
      </x:c>
      <x:c r="F949" t="n">
        <x:f>Despesas!E913</x:f>
        <x:v>0</x:v>
      </x:c>
      <x:c r="G949" s="4" t="n">
        <x:f>Despesas!F913</x:f>
        <x:v>46023</x:v>
      </x:c>
      <x:c r="H949" t="str">
        <x:f>Despesas!G913</x:f>
        <x:v>VLI PINTURA</x:v>
      </x:c>
      <x:c r="I949" t="str">
        <x:f>Despesas!H913</x:f>
        <x:v>12.3 - PREVISÃO 13°</x:v>
      </x:c>
      <x:c r="J949" s="5" t="n">
        <x:f>Despesas!I913</x:f>
        <x:v>520.7575</x:v>
      </x:c>
      <x:c r="K949" s="5" t="n">
        <x:f>0</x:f>
        <x:v>0</x:v>
      </x:c>
      <x:c r="L949" s="5" t="n">
        <x:f>Despesas!I913</x:f>
        <x:v>520.7575</x:v>
      </x:c>
      <x:c r="M949" s="5" t="n">
        <x:f>-J949</x:f>
        <x:v>-520.7575</x:v>
      </x:c>
    </x:row>
    <x:row r="950">
      <x:c r="A950" t="str">
        <x:f>"Despesa/Custo"</x:f>
        <x:v>Despesa/Custo</x:v>
      </x:c>
      <x:c r="B950" t="str">
        <x:f>Despesas!A914</x:f>
        <x:v>PREVISÃO</x:v>
      </x:c>
      <x:c r="C950" t="n">
        <x:f>Despesas!B914</x:f>
        <x:v>0</x:v>
      </x:c>
      <x:c r="D950" t="n">
        <x:f>Despesas!C914</x:f>
        <x:v>0</x:v>
      </x:c>
      <x:c r="E950" t="n">
        <x:f>Despesas!D914</x:f>
        <x:v>0</x:v>
      </x:c>
      <x:c r="F950" t="n">
        <x:f>Despesas!E914</x:f>
        <x:v>0</x:v>
      </x:c>
      <x:c r="G950" s="4" t="n">
        <x:f>Despesas!F914</x:f>
        <x:v>46023</x:v>
      </x:c>
      <x:c r="H950" t="str">
        <x:f>Despesas!G914</x:f>
        <x:v>ADMINISTRATIVO</x:v>
      </x:c>
      <x:c r="I950" t="str">
        <x:f>Despesas!H914</x:f>
        <x:v>12.3 - PREVISÃO 13°</x:v>
      </x:c>
      <x:c r="J950" s="5" t="n">
        <x:f>Despesas!I914</x:f>
        <x:v>54.995000000000005</x:v>
      </x:c>
      <x:c r="K950" s="5" t="n">
        <x:f>0</x:f>
        <x:v>0</x:v>
      </x:c>
      <x:c r="L950" s="5" t="n">
        <x:f>Despesas!I914</x:f>
        <x:v>54.995000000000005</x:v>
      </x:c>
      <x:c r="M950" s="5" t="n">
        <x:f>-J950</x:f>
        <x:v>-54.995000000000005</x:v>
      </x:c>
    </x:row>
    <x:row r="951">
      <x:c r="A951" t="str">
        <x:f>"Despesa/Custo"</x:f>
        <x:v>Despesa/Custo</x:v>
      </x:c>
      <x:c r="B951" t="str">
        <x:f>Despesas!A915</x:f>
        <x:v>PREVISÃO</x:v>
      </x:c>
      <x:c r="C951" t="n">
        <x:f>Despesas!B915</x:f>
        <x:v>0</x:v>
      </x:c>
      <x:c r="D951" t="n">
        <x:f>Despesas!C915</x:f>
        <x:v>0</x:v>
      </x:c>
      <x:c r="E951" t="n">
        <x:f>Despesas!D915</x:f>
        <x:v>0</x:v>
      </x:c>
      <x:c r="F951" t="n">
        <x:f>Despesas!E915</x:f>
        <x:v>0</x:v>
      </x:c>
      <x:c r="G951" s="4" t="n">
        <x:f>Despesas!F915</x:f>
        <x:v>46023</x:v>
      </x:c>
      <x:c r="H951" t="str">
        <x:f>Despesas!G915</x:f>
        <x:v>MOSAIC UBERABA CONTRAT0 3 ANOS</x:v>
      </x:c>
      <x:c r="I951" t="str">
        <x:f>Despesas!H915</x:f>
        <x:v>12.3 - PREVISÃO 13°</x:v>
      </x:c>
      <x:c r="J951" s="5" t="n">
        <x:f>Despesas!I915</x:f>
        <x:v>494.98333333333335</x:v>
      </x:c>
      <x:c r="K951" s="5" t="n">
        <x:f>0</x:f>
        <x:v>0</x:v>
      </x:c>
      <x:c r="L951" s="5" t="n">
        <x:f>Despesas!I915</x:f>
        <x:v>494.98333333333335</x:v>
      </x:c>
      <x:c r="M951" s="5" t="n">
        <x:f>-J951</x:f>
        <x:v>-494.98333333333335</x:v>
      </x:c>
    </x:row>
    <x:row r="952">
      <x:c r="A952" t="str">
        <x:f>"Despesa/Custo"</x:f>
        <x:v>Despesa/Custo</x:v>
      </x:c>
      <x:c r="B952" t="str">
        <x:f>Despesas!A916</x:f>
        <x:v>PREVISÃO</x:v>
      </x:c>
      <x:c r="C952" t="n">
        <x:f>Despesas!B916</x:f>
        <x:v>0</x:v>
      </x:c>
      <x:c r="D952" t="n">
        <x:f>Despesas!C916</x:f>
        <x:v>0</x:v>
      </x:c>
      <x:c r="E952" t="n">
        <x:f>Despesas!D916</x:f>
        <x:v>0</x:v>
      </x:c>
      <x:c r="F952" t="n">
        <x:f>Despesas!E916</x:f>
        <x:v>0</x:v>
      </x:c>
      <x:c r="G952" s="4" t="n">
        <x:f>Despesas!F916</x:f>
        <x:v>46023</x:v>
      </x:c>
      <x:c r="H952" t="str">
        <x:f>Despesas!G916</x:f>
        <x:v>ANGLO AMERICAN</x:v>
      </x:c>
      <x:c r="I952" t="str">
        <x:f>Despesas!H916</x:f>
        <x:v>12.3 - PREVISÃO 13°</x:v>
      </x:c>
      <x:c r="J952" s="5" t="n">
        <x:f>Despesas!I916</x:f>
        <x:v>44.23333333333333</x:v>
      </x:c>
      <x:c r="K952" s="5" t="n">
        <x:f>0</x:f>
        <x:v>0</x:v>
      </x:c>
      <x:c r="L952" s="5" t="n">
        <x:f>Despesas!I916</x:f>
        <x:v>44.23333333333333</x:v>
      </x:c>
      <x:c r="M952" s="5" t="n">
        <x:f>-J952</x:f>
        <x:v>-44.23333333333333</x:v>
      </x:c>
    </x:row>
    <x:row r="953">
      <x:c r="A953" t="str">
        <x:f>"Despesa/Custo"</x:f>
        <x:v>Despesa/Custo</x:v>
      </x:c>
      <x:c r="B953" t="str">
        <x:f>Despesas!A917</x:f>
        <x:v>PREVISÃO</x:v>
      </x:c>
      <x:c r="C953" t="n">
        <x:f>Despesas!B917</x:f>
        <x:v>0</x:v>
      </x:c>
      <x:c r="D953" t="n">
        <x:f>Despesas!C917</x:f>
        <x:v>0</x:v>
      </x:c>
      <x:c r="E953" t="n">
        <x:f>Despesas!D917</x:f>
        <x:v>0</x:v>
      </x:c>
      <x:c r="F953" t="n">
        <x:f>Despesas!E917</x:f>
        <x:v>0</x:v>
      </x:c>
      <x:c r="G953" s="4" t="n">
        <x:f>Despesas!F917</x:f>
        <x:v>46023</x:v>
      </x:c>
      <x:c r="H953" t="str">
        <x:f>Despesas!G917</x:f>
        <x:v>EUROCHEM SERRA DO SALITRE</x:v>
      </x:c>
      <x:c r="I953" t="str">
        <x:f>Despesas!H917</x:f>
        <x:v>12.3 - PREVISÃO 13°</x:v>
      </x:c>
      <x:c r="J953" s="5" t="n">
        <x:f>Despesas!I917</x:f>
        <x:v>173.99666666666667</x:v>
      </x:c>
      <x:c r="K953" s="5" t="n">
        <x:f>0</x:f>
        <x:v>0</x:v>
      </x:c>
      <x:c r="L953" s="5" t="n">
        <x:f>Despesas!I917</x:f>
        <x:v>173.99666666666667</x:v>
      </x:c>
      <x:c r="M953" s="5" t="n">
        <x:f>-J953</x:f>
        <x:v>-173.99666666666667</x:v>
      </x:c>
    </x:row>
    <x:row r="954">
      <x:c r="A954" t="str">
        <x:f>"Despesa/Custo"</x:f>
        <x:v>Despesa/Custo</x:v>
      </x:c>
      <x:c r="B954" t="str">
        <x:f>Despesas!A918</x:f>
        <x:v>PREVISÃO</x:v>
      </x:c>
      <x:c r="C954" t="n">
        <x:f>Despesas!B918</x:f>
        <x:v>0</x:v>
      </x:c>
      <x:c r="D954" t="n">
        <x:f>Despesas!C918</x:f>
        <x:v>0</x:v>
      </x:c>
      <x:c r="E954" t="n">
        <x:f>Despesas!D918</x:f>
        <x:v>0</x:v>
      </x:c>
      <x:c r="F954" t="n">
        <x:f>Despesas!E918</x:f>
        <x:v>0</x:v>
      </x:c>
      <x:c r="G954" s="4" t="n">
        <x:f>Despesas!F918</x:f>
        <x:v>46023</x:v>
      </x:c>
      <x:c r="H954" t="str">
        <x:f>Despesas!G918</x:f>
        <x:v>FOSFATO CMOC CONTRAT</x:v>
      </x:c>
      <x:c r="I954" t="str">
        <x:f>Despesas!H918</x:f>
        <x:v>12.3 - PREVISÃO 13°</x:v>
      </x:c>
      <x:c r="J954" s="5" t="n">
        <x:f>Despesas!I918</x:f>
        <x:v>132.60833333333332</x:v>
      </x:c>
      <x:c r="K954" s="5" t="n">
        <x:f>0</x:f>
        <x:v>0</x:v>
      </x:c>
      <x:c r="L954" s="5" t="n">
        <x:f>Despesas!I918</x:f>
        <x:v>132.60833333333332</x:v>
      </x:c>
      <x:c r="M954" s="5" t="n">
        <x:f>-J954</x:f>
        <x:v>-132.60833333333332</x:v>
      </x:c>
    </x:row>
    <x:row r="955">
      <x:c r="A955" t="str">
        <x:f>"Despesa/Custo"</x:f>
        <x:v>Despesa/Custo</x:v>
      </x:c>
      <x:c r="B955" t="str">
        <x:f>Despesas!A919</x:f>
        <x:v>PREVISÃO</x:v>
      </x:c>
      <x:c r="C955" t="n">
        <x:f>Despesas!B919</x:f>
        <x:v>0</x:v>
      </x:c>
      <x:c r="D955" t="n">
        <x:f>Despesas!C919</x:f>
        <x:v>0</x:v>
      </x:c>
      <x:c r="E955" t="n">
        <x:f>Despesas!D919</x:f>
        <x:v>0</x:v>
      </x:c>
      <x:c r="F955" t="n">
        <x:f>Despesas!E919</x:f>
        <x:v>0</x:v>
      </x:c>
      <x:c r="G955" s="4" t="n">
        <x:f>Despesas!F919</x:f>
        <x:v>46023</x:v>
      </x:c>
      <x:c r="H955" t="str">
        <x:f>Despesas!G919</x:f>
        <x:v>NIOBIO CMOC CONTRATO</x:v>
      </x:c>
      <x:c r="I955" t="str">
        <x:f>Despesas!H919</x:f>
        <x:v>12.3 - PREVISÃO 13°</x:v>
      </x:c>
      <x:c r="J955" s="5" t="n">
        <x:f>Despesas!I919</x:f>
        <x:v>99.1275</x:v>
      </x:c>
      <x:c r="K955" s="5" t="n">
        <x:f>0</x:f>
        <x:v>0</x:v>
      </x:c>
      <x:c r="L955" s="5" t="n">
        <x:f>Despesas!I919</x:f>
        <x:v>99.1275</x:v>
      </x:c>
      <x:c r="M955" s="5" t="n">
        <x:f>-J955</x:f>
        <x:v>-99.1275</x:v>
      </x:c>
    </x:row>
    <x:row r="956">
      <x:c r="A956" t="str">
        <x:f>"Despesa/Custo"</x:f>
        <x:v>Despesa/Custo</x:v>
      </x:c>
      <x:c r="B956" t="str">
        <x:f>Despesas!A920</x:f>
        <x:v>PREVISÃO</x:v>
      </x:c>
      <x:c r="C956" t="n">
        <x:f>Despesas!B920</x:f>
        <x:v>0</x:v>
      </x:c>
      <x:c r="D956" t="n">
        <x:f>Despesas!C920</x:f>
        <x:v>0</x:v>
      </x:c>
      <x:c r="E956" t="n">
        <x:f>Despesas!D920</x:f>
        <x:v>0</x:v>
      </x:c>
      <x:c r="F956" t="n">
        <x:f>Despesas!E920</x:f>
        <x:v>0</x:v>
      </x:c>
      <x:c r="G956" s="4" t="n">
        <x:f>Despesas!F920</x:f>
        <x:v>46023</x:v>
      </x:c>
      <x:c r="H956" t="str">
        <x:f>Despesas!G920</x:f>
        <x:v>SERENA 10 TORRES 2025</x:v>
      </x:c>
      <x:c r="I956" t="str">
        <x:f>Despesas!H920</x:f>
        <x:v>12.3 - PREVISÃO 13°</x:v>
      </x:c>
      <x:c r="J956" s="5" t="n">
        <x:f>Despesas!I920</x:f>
        <x:v>209.09</x:v>
      </x:c>
      <x:c r="K956" s="5" t="n">
        <x:f>0</x:f>
        <x:v>0</x:v>
      </x:c>
      <x:c r="L956" s="5" t="n">
        <x:f>Despesas!I920</x:f>
        <x:v>209.09</x:v>
      </x:c>
      <x:c r="M956" s="5" t="n">
        <x:f>-J956</x:f>
        <x:v>-209.09</x:v>
      </x:c>
    </x:row>
    <x:row r="957">
      <x:c r="A957" t="str">
        <x:f>"Despesa/Custo"</x:f>
        <x:v>Despesa/Custo</x:v>
      </x:c>
      <x:c r="B957" t="str">
        <x:f>Despesas!A921</x:f>
        <x:v>PREVISÃO</x:v>
      </x:c>
      <x:c r="C957" t="n">
        <x:f>Despesas!B921</x:f>
        <x:v>0</x:v>
      </x:c>
      <x:c r="D957" t="n">
        <x:f>Despesas!C921</x:f>
        <x:v>0</x:v>
      </x:c>
      <x:c r="E957" t="n">
        <x:f>Despesas!D921</x:f>
        <x:v>0</x:v>
      </x:c>
      <x:c r="F957" t="n">
        <x:f>Despesas!E921</x:f>
        <x:v>0</x:v>
      </x:c>
      <x:c r="G957" s="4" t="n">
        <x:f>Despesas!F921</x:f>
        <x:v>46023</x:v>
      </x:c>
      <x:c r="H957" t="str">
        <x:f>Despesas!G921</x:f>
        <x:v>CMOC CUBATÃO</x:v>
      </x:c>
      <x:c r="I957" t="str">
        <x:f>Despesas!H921</x:f>
        <x:v>12.3 - PREVISÃO 13°</x:v>
      </x:c>
      <x:c r="J957" s="5" t="n">
        <x:f>Despesas!I921</x:f>
        <x:v>65.63250000000001</x:v>
      </x:c>
      <x:c r="K957" s="5" t="n">
        <x:f>0</x:f>
        <x:v>0</x:v>
      </x:c>
      <x:c r="L957" s="5" t="n">
        <x:f>Despesas!I921</x:f>
        <x:v>65.63250000000001</x:v>
      </x:c>
      <x:c r="M957" s="5" t="n">
        <x:f>-J957</x:f>
        <x:v>-65.63250000000001</x:v>
      </x:c>
    </x:row>
    <x:row r="958">
      <x:c r="A958" t="str">
        <x:f>"Despesa/Custo"</x:f>
        <x:v>Despesa/Custo</x:v>
      </x:c>
      <x:c r="B958" t="str">
        <x:f>Despesas!A922</x:f>
        <x:v>PREVISÃO</x:v>
      </x:c>
      <x:c r="C958" t="n">
        <x:f>Despesas!B922</x:f>
        <x:v>0</x:v>
      </x:c>
      <x:c r="D958" t="n">
        <x:f>Despesas!C922</x:f>
        <x:v>0</x:v>
      </x:c>
      <x:c r="E958" t="n">
        <x:f>Despesas!D922</x:f>
        <x:v>0</x:v>
      </x:c>
      <x:c r="F958" t="n">
        <x:f>Despesas!E922</x:f>
        <x:v>0</x:v>
      </x:c>
      <x:c r="G958" s="4" t="n">
        <x:f>Despesas!F922</x:f>
        <x:v>46023</x:v>
      </x:c>
      <x:c r="H958" t="str">
        <x:f>Despesas!G922</x:f>
        <x:v>MOSAIC UBERABA CONTRAT0 3 ANOS</x:v>
      </x:c>
      <x:c r="I958" t="str">
        <x:f>Despesas!H922</x:f>
        <x:v>12.3 - PREVISÃO 13°</x:v>
      </x:c>
      <x:c r="J958" s="5" t="n">
        <x:f>Despesas!I922</x:f>
        <x:v>21.6075</x:v>
      </x:c>
      <x:c r="K958" s="5" t="n">
        <x:f>0</x:f>
        <x:v>0</x:v>
      </x:c>
      <x:c r="L958" s="5" t="n">
        <x:f>Despesas!I922</x:f>
        <x:v>21.6075</x:v>
      </x:c>
      <x:c r="M958" s="5" t="n">
        <x:f>-J958</x:f>
        <x:v>-21.6075</x:v>
      </x:c>
    </x:row>
    <x:row r="959">
      <x:c r="A959" t="str">
        <x:f>"Despesa/Custo"</x:f>
        <x:v>Despesa/Custo</x:v>
      </x:c>
      <x:c r="B959" t="str">
        <x:f>Despesas!A923</x:f>
        <x:v>PREVISÃO</x:v>
      </x:c>
      <x:c r="C959" t="n">
        <x:f>Despesas!B923</x:f>
        <x:v>0</x:v>
      </x:c>
      <x:c r="D959" t="n">
        <x:f>Despesas!C923</x:f>
        <x:v>0</x:v>
      </x:c>
      <x:c r="E959" t="n">
        <x:f>Despesas!D923</x:f>
        <x:v>0</x:v>
      </x:c>
      <x:c r="F959" t="n">
        <x:f>Despesas!E923</x:f>
        <x:v>0</x:v>
      </x:c>
      <x:c r="G959" s="4" t="n">
        <x:f>Despesas!F923</x:f>
        <x:v>46023</x:v>
      </x:c>
      <x:c r="H959" t="str">
        <x:f>Despesas!G923</x:f>
        <x:v>VLI PINTURA</x:v>
      </x:c>
      <x:c r="I959" t="str">
        <x:f>Despesas!H923</x:f>
        <x:v>12.3 - PREVISÃO 13°</x:v>
      </x:c>
      <x:c r="J959" s="5" t="n">
        <x:f>Despesas!I923</x:f>
        <x:v>1416.5312731666666</x:v>
      </x:c>
      <x:c r="K959" s="5" t="n">
        <x:f>0</x:f>
        <x:v>0</x:v>
      </x:c>
      <x:c r="L959" s="5" t="n">
        <x:f>Despesas!I923</x:f>
        <x:v>1416.5312731666666</x:v>
      </x:c>
      <x:c r="M959" s="5" t="n">
        <x:f>-J959</x:f>
        <x:v>-1416.5312731666666</x:v>
      </x:c>
    </x:row>
    <x:row r="960">
      <x:c r="A960" t="str">
        <x:f>"Despesa/Custo"</x:f>
        <x:v>Despesa/Custo</x:v>
      </x:c>
      <x:c r="B960" t="str">
        <x:f>Despesas!A924</x:f>
        <x:v>PREVISÃO</x:v>
      </x:c>
      <x:c r="C960" t="n">
        <x:f>Despesas!B924</x:f>
        <x:v>0</x:v>
      </x:c>
      <x:c r="D960" t="n">
        <x:f>Despesas!C924</x:f>
        <x:v>0</x:v>
      </x:c>
      <x:c r="E960" t="n">
        <x:f>Despesas!D924</x:f>
        <x:v>0</x:v>
      </x:c>
      <x:c r="F960" t="n">
        <x:f>Despesas!E924</x:f>
        <x:v>0</x:v>
      </x:c>
      <x:c r="G960" s="4" t="n">
        <x:f>Despesas!F924</x:f>
        <x:v>46023</x:v>
      </x:c>
      <x:c r="H960" t="str">
        <x:f>Despesas!G924</x:f>
        <x:v>MOSAIC UBERABA CONTRAT0 3 ANOS</x:v>
      </x:c>
      <x:c r="I960" t="str">
        <x:f>Despesas!H924</x:f>
        <x:v>12.3 - PREVISÃO 13°</x:v>
      </x:c>
      <x:c r="J960" s="5" t="n">
        <x:f>Despesas!I924</x:f>
        <x:v>2122.8959236666665</x:v>
      </x:c>
      <x:c r="K960" s="5" t="n">
        <x:f>0</x:f>
        <x:v>0</x:v>
      </x:c>
      <x:c r="L960" s="5" t="n">
        <x:f>Despesas!I924</x:f>
        <x:v>2122.8959236666665</x:v>
      </x:c>
      <x:c r="M960" s="5" t="n">
        <x:f>-J960</x:f>
        <x:v>-2122.8959236666665</x:v>
      </x:c>
    </x:row>
    <x:row r="961">
      <x:c r="A961" t="str">
        <x:f>"Despesa/Custo"</x:f>
        <x:v>Despesa/Custo</x:v>
      </x:c>
      <x:c r="B961" t="str">
        <x:f>Despesas!A925</x:f>
        <x:v>PREVISÃO</x:v>
      </x:c>
      <x:c r="C961" t="n">
        <x:f>Despesas!B925</x:f>
        <x:v>0</x:v>
      </x:c>
      <x:c r="D961" t="n">
        <x:f>Despesas!C925</x:f>
        <x:v>0</x:v>
      </x:c>
      <x:c r="E961" t="n">
        <x:f>Despesas!D925</x:f>
        <x:v>0</x:v>
      </x:c>
      <x:c r="F961" t="n">
        <x:f>Despesas!E925</x:f>
        <x:v>0</x:v>
      </x:c>
      <x:c r="G961" s="4" t="n">
        <x:f>Despesas!F925</x:f>
        <x:v>46023</x:v>
      </x:c>
      <x:c r="H961" t="str">
        <x:f>Despesas!G925</x:f>
        <x:v>EUROCHEM SERRA DO SALITRE</x:v>
      </x:c>
      <x:c r="I961" t="str">
        <x:f>Despesas!H925</x:f>
        <x:v>12.3 - PREVISÃO 13°</x:v>
      </x:c>
      <x:c r="J961" s="5" t="n">
        <x:f>Despesas!I925</x:f>
        <x:v>73.75778675</x:v>
      </x:c>
      <x:c r="K961" s="5" t="n">
        <x:f>0</x:f>
        <x:v>0</x:v>
      </x:c>
      <x:c r="L961" s="5" t="n">
        <x:f>Despesas!I925</x:f>
        <x:v>73.75778675</x:v>
      </x:c>
      <x:c r="M961" s="5" t="n">
        <x:f>-J961</x:f>
        <x:v>-73.75778675</x:v>
      </x:c>
    </x:row>
    <x:row r="962">
      <x:c r="A962" t="str">
        <x:f>"Despesa/Custo"</x:f>
        <x:v>Despesa/Custo</x:v>
      </x:c>
      <x:c r="B962" t="str">
        <x:f>Despesas!A926</x:f>
        <x:v>PREVISÃO</x:v>
      </x:c>
      <x:c r="C962" t="n">
        <x:f>Despesas!B926</x:f>
        <x:v>0</x:v>
      </x:c>
      <x:c r="D962" t="n">
        <x:f>Despesas!C926</x:f>
        <x:v>0</x:v>
      </x:c>
      <x:c r="E962" t="n">
        <x:f>Despesas!D926</x:f>
        <x:v>0</x:v>
      </x:c>
      <x:c r="F962" t="n">
        <x:f>Despesas!E926</x:f>
        <x:v>0</x:v>
      </x:c>
      <x:c r="G962" s="4" t="n">
        <x:f>Despesas!F926</x:f>
        <x:v>46023</x:v>
      </x:c>
      <x:c r="H962" t="str">
        <x:f>Despesas!G926</x:f>
        <x:v>CMOC CUBATÃO</x:v>
      </x:c>
      <x:c r="I962" t="str">
        <x:f>Despesas!H926</x:f>
        <x:v>12.3 - PREVISÃO 13°</x:v>
      </x:c>
      <x:c r="J962" s="5" t="n">
        <x:f>Despesas!I926</x:f>
        <x:v>1265.1658496666666</x:v>
      </x:c>
      <x:c r="K962" s="5" t="n">
        <x:f>0</x:f>
        <x:v>0</x:v>
      </x:c>
      <x:c r="L962" s="5" t="n">
        <x:f>Despesas!I926</x:f>
        <x:v>1265.1658496666666</x:v>
      </x:c>
      <x:c r="M962" s="5" t="n">
        <x:f>-J962</x:f>
        <x:v>-1265.1658496666666</x:v>
      </x:c>
    </x:row>
    <x:row r="963">
      <x:c r="A963" t="str">
        <x:f>"Despesa/Custo"</x:f>
        <x:v>Despesa/Custo</x:v>
      </x:c>
      <x:c r="B963" t="str">
        <x:f>Despesas!A927</x:f>
        <x:v>PREVISÃO</x:v>
      </x:c>
      <x:c r="C963" t="n">
        <x:f>Despesas!B927</x:f>
        <x:v>0</x:v>
      </x:c>
      <x:c r="D963" t="n">
        <x:f>Despesas!C927</x:f>
        <x:v>0</x:v>
      </x:c>
      <x:c r="E963" t="n">
        <x:f>Despesas!D927</x:f>
        <x:v>0</x:v>
      </x:c>
      <x:c r="F963" t="n">
        <x:f>Despesas!E927</x:f>
        <x:v>0</x:v>
      </x:c>
      <x:c r="G963" s="4" t="n">
        <x:f>Despesas!F927</x:f>
        <x:v>46023</x:v>
      </x:c>
      <x:c r="H963" t="str">
        <x:f>Despesas!G927</x:f>
        <x:v>VLI PINTURA</x:v>
      </x:c>
      <x:c r="I963" t="str">
        <x:f>Despesas!H927</x:f>
        <x:v>12.3 - PREVISÃO 13°</x:v>
      </x:c>
      <x:c r="J963" s="5" t="n">
        <x:f>Despesas!I927</x:f>
        <x:v>87.443512</x:v>
      </x:c>
      <x:c r="K963" s="5" t="n">
        <x:f>0</x:f>
        <x:v>0</x:v>
      </x:c>
      <x:c r="L963" s="5" t="n">
        <x:f>Despesas!I927</x:f>
        <x:v>87.443512</x:v>
      </x:c>
      <x:c r="M963" s="5" t="n">
        <x:f>-J963</x:f>
        <x:v>-87.443512</x:v>
      </x:c>
    </x:row>
    <x:row r="964">
      <x:c r="A964" t="str">
        <x:f>"Despesa/Custo"</x:f>
        <x:v>Despesa/Custo</x:v>
      </x:c>
      <x:c r="B964" t="str">
        <x:f>Despesas!A928</x:f>
        <x:v>PREVISÃO</x:v>
      </x:c>
      <x:c r="C964" t="n">
        <x:f>Despesas!B928</x:f>
        <x:v>0</x:v>
      </x:c>
      <x:c r="D964" t="n">
        <x:f>Despesas!C928</x:f>
        <x:v>0</x:v>
      </x:c>
      <x:c r="E964" t="n">
        <x:f>Despesas!D928</x:f>
        <x:v>0</x:v>
      </x:c>
      <x:c r="F964" t="n">
        <x:f>Despesas!E928</x:f>
        <x:v>0</x:v>
      </x:c>
      <x:c r="G964" s="4" t="n">
        <x:f>Despesas!F928</x:f>
        <x:v>46023</x:v>
      </x:c>
      <x:c r="H964" t="str">
        <x:f>Despesas!G928</x:f>
        <x:v>MOSAIC UBERABA CONTRAT0 3 ANOS</x:v>
      </x:c>
      <x:c r="I964" t="str">
        <x:f>Despesas!H928</x:f>
        <x:v>12.3 - PREVISÃO 13°</x:v>
      </x:c>
      <x:c r="J964" s="5" t="n">
        <x:f>Despesas!I928</x:f>
        <x:v>131.04791883333334</x:v>
      </x:c>
      <x:c r="K964" s="5" t="n">
        <x:f>0</x:f>
        <x:v>0</x:v>
      </x:c>
      <x:c r="L964" s="5" t="n">
        <x:f>Despesas!I928</x:f>
        <x:v>131.04791883333334</x:v>
      </x:c>
      <x:c r="M964" s="5" t="n">
        <x:f>-J964</x:f>
        <x:v>-131.04791883333334</x:v>
      </x:c>
    </x:row>
    <x:row r="965">
      <x:c r="A965" t="str">
        <x:f>"Despesa/Custo"</x:f>
        <x:v>Despesa/Custo</x:v>
      </x:c>
      <x:c r="B965" t="str">
        <x:f>Despesas!A929</x:f>
        <x:v>PREVISÃO</x:v>
      </x:c>
      <x:c r="C965" t="n">
        <x:f>Despesas!B929</x:f>
        <x:v>0</x:v>
      </x:c>
      <x:c r="D965" t="n">
        <x:f>Despesas!C929</x:f>
        <x:v>0</x:v>
      </x:c>
      <x:c r="E965" t="n">
        <x:f>Despesas!D929</x:f>
        <x:v>0</x:v>
      </x:c>
      <x:c r="F965" t="n">
        <x:f>Despesas!E929</x:f>
        <x:v>0</x:v>
      </x:c>
      <x:c r="G965" s="4" t="n">
        <x:f>Despesas!F929</x:f>
        <x:v>46023</x:v>
      </x:c>
      <x:c r="H965" t="str">
        <x:f>Despesas!G929</x:f>
        <x:v>EUROCHEM SERRA DO SALITRE</x:v>
      </x:c>
      <x:c r="I965" t="str">
        <x:f>Despesas!H929</x:f>
        <x:v>12.3 - PREVISÃO 13°</x:v>
      </x:c>
      <x:c r="J965" s="5" t="n">
        <x:f>Despesas!I929</x:f>
        <x:v>4.553122166666667</x:v>
      </x:c>
      <x:c r="K965" s="5" t="n">
        <x:f>0</x:f>
        <x:v>0</x:v>
      </x:c>
      <x:c r="L965" s="5" t="n">
        <x:f>Despesas!I929</x:f>
        <x:v>4.553122166666667</x:v>
      </x:c>
      <x:c r="M965" s="5" t="n">
        <x:f>-J965</x:f>
        <x:v>-4.553122166666667</x:v>
      </x:c>
    </x:row>
    <x:row r="966">
      <x:c r="A966" t="str">
        <x:f>"Despesa/Custo"</x:f>
        <x:v>Despesa/Custo</x:v>
      </x:c>
      <x:c r="B966" t="str">
        <x:f>Despesas!A930</x:f>
        <x:v>PREVISÃO</x:v>
      </x:c>
      <x:c r="C966" t="n">
        <x:f>Despesas!B930</x:f>
        <x:v>0</x:v>
      </x:c>
      <x:c r="D966" t="n">
        <x:f>Despesas!C930</x:f>
        <x:v>0</x:v>
      </x:c>
      <x:c r="E966" t="n">
        <x:f>Despesas!D930</x:f>
        <x:v>0</x:v>
      </x:c>
      <x:c r="F966" t="n">
        <x:f>Despesas!E930</x:f>
        <x:v>0</x:v>
      </x:c>
      <x:c r="G966" s="4" t="n">
        <x:f>Despesas!F930</x:f>
        <x:v>46023</x:v>
      </x:c>
      <x:c r="H966" t="str">
        <x:f>Despesas!G930</x:f>
        <x:v>CMOC CUBATÃO</x:v>
      </x:c>
      <x:c r="I966" t="str">
        <x:f>Despesas!H930</x:f>
        <x:v>12.3 - PREVISÃO 13°</x:v>
      </x:c>
      <x:c r="J966" s="5" t="n">
        <x:f>Despesas!I930</x:f>
        <x:v>78.09961366666667</x:v>
      </x:c>
      <x:c r="K966" s="5" t="n">
        <x:f>0</x:f>
        <x:v>0</x:v>
      </x:c>
      <x:c r="L966" s="5" t="n">
        <x:f>Despesas!I930</x:f>
        <x:v>78.09961366666667</x:v>
      </x:c>
      <x:c r="M966" s="5" t="n">
        <x:f>-J966</x:f>
        <x:v>-78.09961366666667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81e69545c7744a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66999816894531" hidden="0" customWidth="1"/>
    <x:col min="2" max="2" width="13.890000343322754" hidden="0" customWidth="1"/>
    <x:col min="3" max="3" width="15.5600004196167" hidden="0" customWidth="1"/>
    <x:col min="4" max="4" width="15.5600004196167" hidden="0" customWidth="1"/>
    <x:col min="5" max="5" width="15.5600004196167" hidden="0" customWidth="1"/>
  </x:cols>
  <x:sheetData>
    <x:row r="1">
      <x:c r="A1" s="3" t="str">
        <x:v>C. gerencial</x:v>
      </x:c>
      <x:c r="B1" s="3" t="str">
        <x:v>Tipo</x:v>
      </x:c>
      <x:c r="C1" s="3" t="str">
        <x:v>Valor bruto</x:v>
      </x:c>
      <x:c r="D1" s="3" t="str">
        <x:v>Deduções/taxas</x:v>
      </x:c>
      <x:c r="E1" s="3" t="str">
        <x:v>Valor DRE</x:v>
      </x:c>
    </x:row>
    <x:row r="2">
      <x:c r="A2" t="str">
        <x:v>1.1.1 - Recebimento de Clientes - prestação de serviço</x:v>
      </x:c>
      <x:c r="B2" t="str">
        <x:f>IF(SUMIFS(Dados!$J$2:$J$966,Dados!$A$2:$A$966,"Receita",Dados!$I$2:$I$966,A2)&gt;0,"Receita","Despesa/Custo")</x:f>
        <x:v>Receita</x:v>
      </x:c>
      <x:c r="C2" s="5" t="n">
        <x:f>SUMIFS(Dados!$J$2:$J$966,Dados!$I$2:$I$966,A2)</x:f>
        <x:v>3195891.590000001</x:v>
      </x:c>
      <x:c r="D2" s="5" t="n">
        <x:f>SUMIFS(Dados!$K$2:$K$966,Dados!$I$2:$I$966,A2)</x:f>
        <x:v>655419.7122970002</x:v>
      </x:c>
      <x:c r="E2" s="5" t="n">
        <x:f>SUMIFS(Dados!$M$2:$M$966,Dados!$I$2:$I$966,A2)</x:f>
        <x:v>2540471.8777030003</x:v>
      </x:c>
    </x:row>
    <x:row r="3">
      <x:c r="A3" t="str">
        <x:v>1.1.2 - Venda Material</x:v>
      </x:c>
      <x:c r="B3" t="str">
        <x:f>IF(SUMIFS(Dados!$J$2:$J$966,Dados!$A$2:$A$966,"Receita",Dados!$I$2:$I$966,A3)&gt;0,"Receita","Despesa/Custo")</x:f>
        <x:v>Receita</x:v>
      </x:c>
      <x:c r="C3" s="5" t="n">
        <x:f>SUMIFS(Dados!$J$2:$J$966,Dados!$I$2:$I$966,A3)</x:f>
        <x:v>255934.3</x:v>
      </x:c>
      <x:c r="D3" s="5" t="n">
        <x:f>SUMIFS(Dados!$K$2:$K$966,Dados!$I$2:$I$966,A3)</x:f>
        <x:v>67153.83168999999</x:v>
      </x:c>
      <x:c r="E3" s="5" t="n">
        <x:f>SUMIFS(Dados!$M$2:$M$966,Dados!$I$2:$I$966,A3)</x:f>
        <x:v>188780.46830999997</x:v>
      </x:c>
    </x:row>
    <x:row r="4">
      <x:c r="A4" t="str">
        <x:v>1.1.3 - Locação de Equipamentos</x:v>
      </x:c>
      <x:c r="B4" t="str">
        <x:f>IF(SUMIFS(Dados!$J$2:$J$966,Dados!$A$2:$A$966,"Receita",Dados!$I$2:$I$966,A4)&gt;0,"Receita","Despesa/Custo")</x:f>
        <x:v>Receita</x:v>
      </x:c>
      <x:c r="C4" s="5" t="n">
        <x:f>SUMIFS(Dados!$J$2:$J$966,Dados!$I$2:$I$966,A4)</x:f>
        <x:v>104679.33</x:v>
      </x:c>
      <x:c r="D4" s="5" t="n">
        <x:f>SUMIFS(Dados!$K$2:$K$966,Dados!$I$2:$I$966,A4)</x:f>
        <x:v>15523.944639000001</x:v>
      </x:c>
      <x:c r="E4" s="5" t="n">
        <x:f>SUMIFS(Dados!$M$2:$M$966,Dados!$I$2:$I$966,A4)</x:f>
        <x:v>89155.385361</x:v>
      </x:c>
    </x:row>
    <x:row r="5">
      <x:c r="A5" t="str">
        <x:v>10.1 - FRETE MATERIAIS E EQUIPAMENTOS</x:v>
      </x:c>
      <x:c r="B5" t="str">
        <x:f>IF(SUMIFS(Dados!$J$2:$J$966,Dados!$A$2:$A$966,"Receita",Dados!$I$2:$I$966,A5)&gt;0,"Receita","Despesa/Custo")</x:f>
        <x:v>Despesa/Custo</x:v>
      </x:c>
      <x:c r="C5" s="5" t="n">
        <x:f>SUMIFS(Dados!$J$2:$J$966,Dados!$I$2:$I$966,A5)</x:f>
        <x:v>9789.3</x:v>
      </x:c>
      <x:c r="D5" s="5" t="n">
        <x:f>SUMIFS(Dados!$K$2:$K$966,Dados!$I$2:$I$966,A5)</x:f>
        <x:v>0</x:v>
      </x:c>
      <x:c r="E5" s="5" t="n">
        <x:f>SUMIFS(Dados!$M$2:$M$966,Dados!$I$2:$I$966,A5)</x:f>
        <x:v>-9789.3</x:v>
      </x:c>
    </x:row>
    <x:row r="6">
      <x:c r="A6" t="str">
        <x:v>11.10 - CONTABILIDADE</x:v>
      </x:c>
      <x:c r="B6" t="str">
        <x:f>IF(SUMIFS(Dados!$J$2:$J$966,Dados!$A$2:$A$966,"Receita",Dados!$I$2:$I$966,A6)&gt;0,"Receita","Despesa/Custo")</x:f>
        <x:v>Despesa/Custo</x:v>
      </x:c>
      <x:c r="C6" s="5" t="n">
        <x:f>SUMIFS(Dados!$J$2:$J$966,Dados!$I$2:$I$966,A6)</x:f>
        <x:v>18717.239999999998</x:v>
      </x:c>
      <x:c r="D6" s="5" t="n">
        <x:f>SUMIFS(Dados!$K$2:$K$966,Dados!$I$2:$I$966,A6)</x:f>
        <x:v>0</x:v>
      </x:c>
      <x:c r="E6" s="5" t="n">
        <x:f>SUMIFS(Dados!$M$2:$M$966,Dados!$I$2:$I$966,A6)</x:f>
        <x:v>-18717.239999999998</x:v>
      </x:c>
    </x:row>
    <x:row r="7">
      <x:c r="A7" t="str">
        <x:v>11.13 - MATERIAIS DE INFORMATICA / COMPUTADOR</x:v>
      </x:c>
      <x:c r="B7" t="str">
        <x:f>IF(SUMIFS(Dados!$J$2:$J$966,Dados!$A$2:$A$966,"Receita",Dados!$I$2:$I$966,A7)&gt;0,"Receita","Despesa/Custo")</x:f>
        <x:v>Despesa/Custo</x:v>
      </x:c>
      <x:c r="C7" s="5" t="n">
        <x:f>SUMIFS(Dados!$J$2:$J$966,Dados!$I$2:$I$966,A7)</x:f>
        <x:v>793.9</x:v>
      </x:c>
      <x:c r="D7" s="5" t="n">
        <x:f>SUMIFS(Dados!$K$2:$K$966,Dados!$I$2:$I$966,A7)</x:f>
        <x:v>0</x:v>
      </x:c>
      <x:c r="E7" s="5" t="n">
        <x:f>SUMIFS(Dados!$M$2:$M$966,Dados!$I$2:$I$966,A7)</x:f>
        <x:v>-793.9</x:v>
      </x:c>
    </x:row>
    <x:row r="8">
      <x:c r="A8" t="str">
        <x:v>11.14 - INTERNET OBRAS</x:v>
      </x:c>
      <x:c r="B8" t="str">
        <x:f>IF(SUMIFS(Dados!$J$2:$J$966,Dados!$A$2:$A$966,"Receita",Dados!$I$2:$I$966,A8)&gt;0,"Receita","Despesa/Custo")</x:f>
        <x:v>Despesa/Custo</x:v>
      </x:c>
      <x:c r="C8" s="5" t="n">
        <x:f>SUMIFS(Dados!$J$2:$J$966,Dados!$I$2:$I$966,A8)</x:f>
        <x:v>2045.64</x:v>
      </x:c>
      <x:c r="D8" s="5" t="n">
        <x:f>SUMIFS(Dados!$K$2:$K$966,Dados!$I$2:$I$966,A8)</x:f>
        <x:v>0</x:v>
      </x:c>
      <x:c r="E8" s="5" t="n">
        <x:f>SUMIFS(Dados!$M$2:$M$966,Dados!$I$2:$I$966,A8)</x:f>
        <x:v>-2045.64</x:v>
      </x:c>
    </x:row>
    <x:row r="9">
      <x:c r="A9" t="str">
        <x:v>11.15 - TARIFA PREFEITURA</x:v>
      </x:c>
      <x:c r="B9" t="str">
        <x:f>IF(SUMIFS(Dados!$J$2:$J$966,Dados!$A$2:$A$966,"Receita",Dados!$I$2:$I$966,A9)&gt;0,"Receita","Despesa/Custo")</x:f>
        <x:v>Despesa/Custo</x:v>
      </x:c>
      <x:c r="C9" s="5" t="n">
        <x:f>SUMIFS(Dados!$J$2:$J$966,Dados!$I$2:$I$966,A9)</x:f>
        <x:v>120.03</x:v>
      </x:c>
      <x:c r="D9" s="5" t="n">
        <x:f>SUMIFS(Dados!$K$2:$K$966,Dados!$I$2:$I$966,A9)</x:f>
        <x:v>0</x:v>
      </x:c>
      <x:c r="E9" s="5" t="n">
        <x:f>SUMIFS(Dados!$M$2:$M$966,Dados!$I$2:$I$966,A9)</x:f>
        <x:v>-120.03</x:v>
      </x:c>
    </x:row>
    <x:row r="10">
      <x:c r="A10" t="str">
        <x:v>11.17 - SEGURO SEDE ADMINISTRATIVA</x:v>
      </x:c>
      <x:c r="B10" t="str">
        <x:f>IF(SUMIFS(Dados!$J$2:$J$966,Dados!$A$2:$A$966,"Receita",Dados!$I$2:$I$966,A10)&gt;0,"Receita","Despesa/Custo")</x:f>
        <x:v>Despesa/Custo</x:v>
      </x:c>
      <x:c r="C10" s="5" t="n">
        <x:f>SUMIFS(Dados!$J$2:$J$966,Dados!$I$2:$I$966,A10)</x:f>
        <x:v>933.71</x:v>
      </x:c>
      <x:c r="D10" s="5" t="n">
        <x:f>SUMIFS(Dados!$K$2:$K$966,Dados!$I$2:$I$966,A10)</x:f>
        <x:v>0</x:v>
      </x:c>
      <x:c r="E10" s="5" t="n">
        <x:f>SUMIFS(Dados!$M$2:$M$966,Dados!$I$2:$I$966,A10)</x:f>
        <x:v>-933.71</x:v>
      </x:c>
    </x:row>
    <x:row r="11">
      <x:c r="A11" t="str">
        <x:v>11.2 - AGUA ADM</x:v>
      </x:c>
      <x:c r="B11" t="str">
        <x:f>IF(SUMIFS(Dados!$J$2:$J$966,Dados!$A$2:$A$966,"Receita",Dados!$I$2:$I$966,A11)&gt;0,"Receita","Despesa/Custo")</x:f>
        <x:v>Despesa/Custo</x:v>
      </x:c>
      <x:c r="C11" s="5" t="n">
        <x:f>SUMIFS(Dados!$J$2:$J$966,Dados!$I$2:$I$966,A11)</x:f>
        <x:v>639.94</x:v>
      </x:c>
      <x:c r="D11" s="5" t="n">
        <x:f>SUMIFS(Dados!$K$2:$K$966,Dados!$I$2:$I$966,A11)</x:f>
        <x:v>0</x:v>
      </x:c>
      <x:c r="E11" s="5" t="n">
        <x:f>SUMIFS(Dados!$M$2:$M$966,Dados!$I$2:$I$966,A11)</x:f>
        <x:v>-639.94</x:v>
      </x:c>
    </x:row>
    <x:row r="12">
      <x:c r="A12" t="str">
        <x:v>11.3 - ENERGIA ADM</x:v>
      </x:c>
      <x:c r="B12" t="str">
        <x:f>IF(SUMIFS(Dados!$J$2:$J$966,Dados!$A$2:$A$966,"Receita",Dados!$I$2:$I$966,A12)&gt;0,"Receita","Despesa/Custo")</x:f>
        <x:v>Despesa/Custo</x:v>
      </x:c>
      <x:c r="C12" s="5" t="n">
        <x:f>SUMIFS(Dados!$J$2:$J$966,Dados!$I$2:$I$966,A12)</x:f>
        <x:v>1400.8</x:v>
      </x:c>
      <x:c r="D12" s="5" t="n">
        <x:f>SUMIFS(Dados!$K$2:$K$966,Dados!$I$2:$I$966,A12)</x:f>
        <x:v>0</x:v>
      </x:c>
      <x:c r="E12" s="5" t="n">
        <x:f>SUMIFS(Dados!$M$2:$M$966,Dados!$I$2:$I$966,A12)</x:f>
        <x:v>-1400.8</x:v>
      </x:c>
    </x:row>
    <x:row r="13">
      <x:c r="A13" t="str">
        <x:v>11.5 - ALIMENTAÇÃO ADM</x:v>
      </x:c>
      <x:c r="B13" t="str">
        <x:f>IF(SUMIFS(Dados!$J$2:$J$966,Dados!$A$2:$A$966,"Receita",Dados!$I$2:$I$966,A13)&gt;0,"Receita","Despesa/Custo")</x:f>
        <x:v>Despesa/Custo</x:v>
      </x:c>
      <x:c r="C13" s="5" t="n">
        <x:f>SUMIFS(Dados!$J$2:$J$966,Dados!$I$2:$I$966,A13)</x:f>
        <x:v>3004.14</x:v>
      </x:c>
      <x:c r="D13" s="5" t="n">
        <x:f>SUMIFS(Dados!$K$2:$K$966,Dados!$I$2:$I$966,A13)</x:f>
        <x:v>0</x:v>
      </x:c>
      <x:c r="E13" s="5" t="n">
        <x:f>SUMIFS(Dados!$M$2:$M$966,Dados!$I$2:$I$966,A13)</x:f>
        <x:v>-3004.14</x:v>
      </x:c>
    </x:row>
    <x:row r="14">
      <x:c r="A14" t="str">
        <x:v>11.6 - INTERNET / TELEFONE ADM</x:v>
      </x:c>
      <x:c r="B14" t="str">
        <x:f>IF(SUMIFS(Dados!$J$2:$J$966,Dados!$A$2:$A$966,"Receita",Dados!$I$2:$I$966,A14)&gt;0,"Receita","Despesa/Custo")</x:f>
        <x:v>Despesa/Custo</x:v>
      </x:c>
      <x:c r="C14" s="5" t="n">
        <x:f>SUMIFS(Dados!$J$2:$J$966,Dados!$I$2:$I$966,A14)</x:f>
        <x:v>1747.9299999999998</x:v>
      </x:c>
      <x:c r="D14" s="5" t="n">
        <x:f>SUMIFS(Dados!$K$2:$K$966,Dados!$I$2:$I$966,A14)</x:f>
        <x:v>0</x:v>
      </x:c>
      <x:c r="E14" s="5" t="n">
        <x:f>SUMIFS(Dados!$M$2:$M$966,Dados!$I$2:$I$966,A14)</x:f>
        <x:v>-1747.9299999999998</x:v>
      </x:c>
    </x:row>
    <x:row r="15">
      <x:c r="A15" t="str">
        <x:v>11.7 - FINANCIAMENTO</x:v>
      </x:c>
      <x:c r="B15" t="str">
        <x:f>IF(SUMIFS(Dados!$J$2:$J$966,Dados!$A$2:$A$966,"Receita",Dados!$I$2:$I$966,A15)&gt;0,"Receita","Despesa/Custo")</x:f>
        <x:v>Despesa/Custo</x:v>
      </x:c>
      <x:c r="C15" s="5" t="n">
        <x:f>SUMIFS(Dados!$J$2:$J$966,Dados!$I$2:$I$966,A15)</x:f>
        <x:v>12505.27</x:v>
      </x:c>
      <x:c r="D15" s="5" t="n">
        <x:f>SUMIFS(Dados!$K$2:$K$966,Dados!$I$2:$I$966,A15)</x:f>
        <x:v>0</x:v>
      </x:c>
      <x:c r="E15" s="5" t="n">
        <x:f>SUMIFS(Dados!$M$2:$M$966,Dados!$I$2:$I$966,A15)</x:f>
        <x:v>-12505.27</x:v>
      </x:c>
    </x:row>
    <x:row r="16">
      <x:c r="A16" t="str">
        <x:v>11.8 - SISTEMA / SERVIDOR</x:v>
      </x:c>
      <x:c r="B16" t="str">
        <x:f>IF(SUMIFS(Dados!$J$2:$J$966,Dados!$A$2:$A$966,"Receita",Dados!$I$2:$I$966,A16)&gt;0,"Receita","Despesa/Custo")</x:f>
        <x:v>Despesa/Custo</x:v>
      </x:c>
      <x:c r="C16" s="5" t="n">
        <x:f>SUMIFS(Dados!$J$2:$J$966,Dados!$I$2:$I$966,A16)</x:f>
        <x:v>5881.93</x:v>
      </x:c>
      <x:c r="D16" s="5" t="n">
        <x:f>SUMIFS(Dados!$K$2:$K$966,Dados!$I$2:$I$966,A16)</x:f>
        <x:v>0</x:v>
      </x:c>
      <x:c r="E16" s="5" t="n">
        <x:f>SUMIFS(Dados!$M$2:$M$966,Dados!$I$2:$I$966,A16)</x:f>
        <x:v>-5881.93</x:v>
      </x:c>
    </x:row>
    <x:row r="17">
      <x:c r="A17" t="str">
        <x:v>11.9 - PAGAMENTOS EMPRESTIMOS</x:v>
      </x:c>
      <x:c r="B17" t="str">
        <x:f>IF(SUMIFS(Dados!$J$2:$J$966,Dados!$A$2:$A$966,"Receita",Dados!$I$2:$I$966,A17)&gt;0,"Receita","Despesa/Custo")</x:f>
        <x:v>Despesa/Custo</x:v>
      </x:c>
      <x:c r="C17" s="5" t="n">
        <x:f>SUMIFS(Dados!$J$2:$J$966,Dados!$I$2:$I$966,A17)</x:f>
        <x:v>36078.78</x:v>
      </x:c>
      <x:c r="D17" s="5" t="n">
        <x:f>SUMIFS(Dados!$K$2:$K$966,Dados!$I$2:$I$966,A17)</x:f>
        <x:v>0</x:v>
      </x:c>
      <x:c r="E17" s="5" t="n">
        <x:f>SUMIFS(Dados!$M$2:$M$966,Dados!$I$2:$I$966,A17)</x:f>
        <x:v>-36078.78</x:v>
      </x:c>
    </x:row>
    <x:row r="18">
      <x:c r="A18" t="str">
        <x:v>12.1 - SALARIO</x:v>
      </x:c>
      <x:c r="B18" t="str">
        <x:f>IF(SUMIFS(Dados!$J$2:$J$966,Dados!$A$2:$A$966,"Receita",Dados!$I$2:$I$966,A18)&gt;0,"Receita","Despesa/Custo")</x:f>
        <x:v>Despesa/Custo</x:v>
      </x:c>
      <x:c r="C18" s="5" t="n">
        <x:f>SUMIFS(Dados!$J$2:$J$966,Dados!$I$2:$I$966,A18)</x:f>
        <x:v>620961.7299990001</x:v>
      </x:c>
      <x:c r="D18" s="5" t="n">
        <x:f>SUMIFS(Dados!$K$2:$K$966,Dados!$I$2:$I$966,A18)</x:f>
        <x:v>0</x:v>
      </x:c>
      <x:c r="E18" s="5" t="n">
        <x:f>SUMIFS(Dados!$M$2:$M$966,Dados!$I$2:$I$966,A18)</x:f>
        <x:v>-620961.7299990001</x:v>
      </x:c>
    </x:row>
    <x:row r="19">
      <x:c r="A19" t="str">
        <x:v>12.10 - PLANO DE SAUDE</x:v>
      </x:c>
      <x:c r="B19" t="str">
        <x:f>IF(SUMIFS(Dados!$J$2:$J$966,Dados!$A$2:$A$966,"Receita",Dados!$I$2:$I$966,A19)&gt;0,"Receita","Despesa/Custo")</x:f>
        <x:v>Despesa/Custo</x:v>
      </x:c>
      <x:c r="C19" s="5" t="n">
        <x:f>SUMIFS(Dados!$J$2:$J$966,Dados!$I$2:$I$966,A19)</x:f>
        <x:v>20571.929999999997</x:v>
      </x:c>
      <x:c r="D19" s="5" t="n">
        <x:f>SUMIFS(Dados!$K$2:$K$966,Dados!$I$2:$I$966,A19)</x:f>
        <x:v>0</x:v>
      </x:c>
      <x:c r="E19" s="5" t="n">
        <x:f>SUMIFS(Dados!$M$2:$M$966,Dados!$I$2:$I$966,A19)</x:f>
        <x:v>-20571.929999999997</x:v>
      </x:c>
    </x:row>
    <x:row r="20">
      <x:c r="A20" t="str">
        <x:v>12.11 - ASSISTENCIA MEDICA ADM</x:v>
      </x:c>
      <x:c r="B20" t="str">
        <x:f>IF(SUMIFS(Dados!$J$2:$J$966,Dados!$A$2:$A$966,"Receita",Dados!$I$2:$I$966,A20)&gt;0,"Receita","Despesa/Custo")</x:f>
        <x:v>Despesa/Custo</x:v>
      </x:c>
      <x:c r="C20" s="5" t="n">
        <x:f>SUMIFS(Dados!$J$2:$J$966,Dados!$I$2:$I$966,A20)</x:f>
        <x:v>4573.8</x:v>
      </x:c>
      <x:c r="D20" s="5" t="n">
        <x:f>SUMIFS(Dados!$K$2:$K$966,Dados!$I$2:$I$966,A20)</x:f>
        <x:v>0</x:v>
      </x:c>
      <x:c r="E20" s="5" t="n">
        <x:f>SUMIFS(Dados!$M$2:$M$966,Dados!$I$2:$I$966,A20)</x:f>
        <x:v>-4573.8</x:v>
      </x:c>
    </x:row>
    <x:row r="21">
      <x:c r="A21" t="str">
        <x:v>12.12 - SEGUROS DE VIDA</x:v>
      </x:c>
      <x:c r="B21" t="str">
        <x:f>IF(SUMIFS(Dados!$J$2:$J$966,Dados!$A$2:$A$966,"Receita",Dados!$I$2:$I$966,A21)&gt;0,"Receita","Despesa/Custo")</x:f>
        <x:v>Despesa/Custo</x:v>
      </x:c>
      <x:c r="C21" s="5" t="n">
        <x:f>SUMIFS(Dados!$J$2:$J$966,Dados!$I$2:$I$966,A21)</x:f>
        <x:v>13971.11</x:v>
      </x:c>
      <x:c r="D21" s="5" t="n">
        <x:f>SUMIFS(Dados!$K$2:$K$966,Dados!$I$2:$I$966,A21)</x:f>
        <x:v>0</x:v>
      </x:c>
      <x:c r="E21" s="5" t="n">
        <x:f>SUMIFS(Dados!$M$2:$M$966,Dados!$I$2:$I$966,A21)</x:f>
        <x:v>-13971.11</x:v>
      </x:c>
    </x:row>
    <x:row r="22">
      <x:c r="A22" t="str">
        <x:v>12.13 - VALE ALIMENTAÇÃO</x:v>
      </x:c>
      <x:c r="B22" t="str">
        <x:f>IF(SUMIFS(Dados!$J$2:$J$966,Dados!$A$2:$A$966,"Receita",Dados!$I$2:$I$966,A22)&gt;0,"Receita","Despesa/Custo")</x:f>
        <x:v>Despesa/Custo</x:v>
      </x:c>
      <x:c r="C22" s="5" t="n">
        <x:f>SUMIFS(Dados!$J$2:$J$966,Dados!$I$2:$I$966,A22)</x:f>
        <x:v>80558.88</x:v>
      </x:c>
      <x:c r="D22" s="5" t="n">
        <x:f>SUMIFS(Dados!$K$2:$K$966,Dados!$I$2:$I$966,A22)</x:f>
        <x:v>0</x:v>
      </x:c>
      <x:c r="E22" s="5" t="n">
        <x:f>SUMIFS(Dados!$M$2:$M$966,Dados!$I$2:$I$966,A22)</x:f>
        <x:v>-80558.88</x:v>
      </x:c>
    </x:row>
    <x:row r="23">
      <x:c r="A23" t="str">
        <x:v>12.14 - FGTS FUNCIONARIOS</x:v>
      </x:c>
      <x:c r="B23" t="str">
        <x:f>IF(SUMIFS(Dados!$J$2:$J$966,Dados!$A$2:$A$966,"Receita",Dados!$I$2:$I$966,A23)&gt;0,"Receita","Despesa/Custo")</x:f>
        <x:v>Despesa/Custo</x:v>
      </x:c>
      <x:c r="C23" s="5" t="n">
        <x:f>SUMIFS(Dados!$J$2:$J$966,Dados!$I$2:$I$966,A23)</x:f>
        <x:v>52411.42</x:v>
      </x:c>
      <x:c r="D23" s="5" t="n">
        <x:f>SUMIFS(Dados!$K$2:$K$966,Dados!$I$2:$I$966,A23)</x:f>
        <x:v>0</x:v>
      </x:c>
      <x:c r="E23" s="5" t="n">
        <x:f>SUMIFS(Dados!$M$2:$M$966,Dados!$I$2:$I$966,A23)</x:f>
        <x:v>-52411.42</x:v>
      </x:c>
    </x:row>
    <x:row r="24">
      <x:c r="A24" t="str">
        <x:v>12.15 - DCTFWEB</x:v>
      </x:c>
      <x:c r="B24" t="str">
        <x:f>IF(SUMIFS(Dados!$J$2:$J$966,Dados!$A$2:$A$966,"Receita",Dados!$I$2:$I$966,A24)&gt;0,"Receita","Despesa/Custo")</x:f>
        <x:v>Despesa/Custo</x:v>
      </x:c>
      <x:c r="C24" s="5" t="n">
        <x:f>SUMIFS(Dados!$J$2:$J$966,Dados!$I$2:$I$966,A24)</x:f>
        <x:v>241417.92000100002</x:v>
      </x:c>
      <x:c r="D24" s="5" t="n">
        <x:f>SUMIFS(Dados!$K$2:$K$966,Dados!$I$2:$I$966,A24)</x:f>
        <x:v>0</x:v>
      </x:c>
      <x:c r="E24" s="5" t="n">
        <x:f>SUMIFS(Dados!$M$2:$M$966,Dados!$I$2:$I$966,A24)</x:f>
        <x:v>-241417.92000100002</x:v>
      </x:c>
    </x:row>
    <x:row r="25">
      <x:c r="A25" t="str">
        <x:v>12.17 - BONIFICAÇOES</x:v>
      </x:c>
      <x:c r="B25" t="str">
        <x:f>IF(SUMIFS(Dados!$J$2:$J$966,Dados!$A$2:$A$966,"Receita",Dados!$I$2:$I$966,A25)&gt;0,"Receita","Despesa/Custo")</x:f>
        <x:v>Despesa/Custo</x:v>
      </x:c>
      <x:c r="C25" s="5" t="n">
        <x:f>SUMIFS(Dados!$J$2:$J$966,Dados!$I$2:$I$966,A25)</x:f>
        <x:v>41000</x:v>
      </x:c>
      <x:c r="D25" s="5" t="n">
        <x:f>SUMIFS(Dados!$K$2:$K$966,Dados!$I$2:$I$966,A25)</x:f>
        <x:v>0</x:v>
      </x:c>
      <x:c r="E25" s="5" t="n">
        <x:f>SUMIFS(Dados!$M$2:$M$966,Dados!$I$2:$I$966,A25)</x:f>
        <x:v>-41000</x:v>
      </x:c>
    </x:row>
    <x:row r="26">
      <x:c r="A26" t="str">
        <x:v>12.3 - PREVISÃO 13°</x:v>
      </x:c>
      <x:c r="B26" t="str">
        <x:f>IF(SUMIFS(Dados!$J$2:$J$966,Dados!$A$2:$A$966,"Receita",Dados!$I$2:$I$966,A26)&gt;0,"Receita","Despesa/Custo")</x:f>
        <x:v>Despesa/Custo</x:v>
      </x:c>
      <x:c r="C26" s="5" t="n">
        <x:f>SUMIFS(Dados!$J$2:$J$966,Dados!$I$2:$I$966,A26)</x:f>
        <x:v>51746.810833249954</x:v>
      </x:c>
      <x:c r="D26" s="5" t="n">
        <x:f>SUMIFS(Dados!$K$2:$K$966,Dados!$I$2:$I$966,A26)</x:f>
        <x:v>0</x:v>
      </x:c>
      <x:c r="E26" s="5" t="n">
        <x:f>SUMIFS(Dados!$M$2:$M$966,Dados!$I$2:$I$966,A26)</x:f>
        <x:v>-51746.810833249954</x:v>
      </x:c>
    </x:row>
    <x:row r="27">
      <x:c r="A27" t="str">
        <x:v>12.4 - MULTA RESCISORIAS FGTS</x:v>
      </x:c>
      <x:c r="B27" t="str">
        <x:f>IF(SUMIFS(Dados!$J$2:$J$966,Dados!$A$2:$A$966,"Receita",Dados!$I$2:$I$966,A27)&gt;0,"Receita","Despesa/Custo")</x:f>
        <x:v>Despesa/Custo</x:v>
      </x:c>
      <x:c r="C27" s="5" t="n">
        <x:f>SUMIFS(Dados!$J$2:$J$966,Dados!$I$2:$I$966,A27)</x:f>
        <x:v>39399.89</x:v>
      </x:c>
      <x:c r="D27" s="5" t="n">
        <x:f>SUMIFS(Dados!$K$2:$K$966,Dados!$I$2:$I$966,A27)</x:f>
        <x:v>0</x:v>
      </x:c>
      <x:c r="E27" s="5" t="n">
        <x:f>SUMIFS(Dados!$M$2:$M$966,Dados!$I$2:$I$966,A27)</x:f>
        <x:v>-39399.89</x:v>
      </x:c>
    </x:row>
    <x:row r="28">
      <x:c r="A28" t="str">
        <x:v>12.4 - PREVISÃO FÉRIAS</x:v>
      </x:c>
      <x:c r="B28" t="str">
        <x:f>IF(SUMIFS(Dados!$J$2:$J$966,Dados!$A$2:$A$966,"Receita",Dados!$I$2:$I$966,A28)&gt;0,"Receita","Despesa/Custo")</x:f>
        <x:v>Despesa/Custo</x:v>
      </x:c>
      <x:c r="C28" s="5" t="n">
        <x:f>SUMIFS(Dados!$J$2:$J$966,Dados!$I$2:$I$966,A28)</x:f>
        <x:v>68823.2584082225</x:v>
      </x:c>
      <x:c r="D28" s="5" t="n">
        <x:f>SUMIFS(Dados!$K$2:$K$966,Dados!$I$2:$I$966,A28)</x:f>
        <x:v>0</x:v>
      </x:c>
      <x:c r="E28" s="5" t="n">
        <x:f>SUMIFS(Dados!$M$2:$M$966,Dados!$I$2:$I$966,A28)</x:f>
        <x:v>-68823.2584082225</x:v>
      </x:c>
    </x:row>
    <x:row r="29">
      <x:c r="A29" t="str">
        <x:v>12.5 - REFEIÇÕES FUNCIONARIOS</x:v>
      </x:c>
      <x:c r="B29" t="str">
        <x:f>IF(SUMIFS(Dados!$J$2:$J$966,Dados!$A$2:$A$966,"Receita",Dados!$I$2:$I$966,A29)&gt;0,"Receita","Despesa/Custo")</x:f>
        <x:v>Despesa/Custo</x:v>
      </x:c>
      <x:c r="C29" s="5" t="n">
        <x:f>SUMIFS(Dados!$J$2:$J$966,Dados!$I$2:$I$966,A29)</x:f>
        <x:v>96984.69999699997</x:v>
      </x:c>
      <x:c r="D29" s="5" t="n">
        <x:f>SUMIFS(Dados!$K$2:$K$966,Dados!$I$2:$I$966,A29)</x:f>
        <x:v>0</x:v>
      </x:c>
      <x:c r="E29" s="5" t="n">
        <x:f>SUMIFS(Dados!$M$2:$M$966,Dados!$I$2:$I$966,A29)</x:f>
        <x:v>-96984.69999699997</x:v>
      </x:c>
    </x:row>
    <x:row r="30">
      <x:c r="A30" t="str">
        <x:v>12.7 - TRANSPORTE FUNCIONARIOS</x:v>
      </x:c>
      <x:c r="B30" t="str">
        <x:f>IF(SUMIFS(Dados!$J$2:$J$966,Dados!$A$2:$A$966,"Receita",Dados!$I$2:$I$966,A30)&gt;0,"Receita","Despesa/Custo")</x:f>
        <x:v>Despesa/Custo</x:v>
      </x:c>
      <x:c r="C30" s="5" t="n">
        <x:f>SUMIFS(Dados!$J$2:$J$966,Dados!$I$2:$I$966,A30)</x:f>
        <x:v>81086.01000000001</x:v>
      </x:c>
      <x:c r="D30" s="5" t="n">
        <x:f>SUMIFS(Dados!$K$2:$K$966,Dados!$I$2:$I$966,A30)</x:f>
        <x:v>0</x:v>
      </x:c>
      <x:c r="E30" s="5" t="n">
        <x:f>SUMIFS(Dados!$M$2:$M$966,Dados!$I$2:$I$966,A30)</x:f>
        <x:v>-81086.01000000001</x:v>
      </x:c>
    </x:row>
    <x:row r="31">
      <x:c r="A31" t="str">
        <x:v>12.8 - SINDICATO</x:v>
      </x:c>
      <x:c r="B31" t="str">
        <x:f>IF(SUMIFS(Dados!$J$2:$J$966,Dados!$A$2:$A$966,"Receita",Dados!$I$2:$I$966,A31)&gt;0,"Receita","Despesa/Custo")</x:f>
        <x:v>Despesa/Custo</x:v>
      </x:c>
      <x:c r="C31" s="5" t="n">
        <x:f>SUMIFS(Dados!$J$2:$J$966,Dados!$I$2:$I$966,A31)</x:f>
        <x:v>6906.05</x:v>
      </x:c>
      <x:c r="D31" s="5" t="n">
        <x:f>SUMIFS(Dados!$K$2:$K$966,Dados!$I$2:$I$966,A31)</x:f>
        <x:v>0</x:v>
      </x:c>
      <x:c r="E31" s="5" t="n">
        <x:f>SUMIFS(Dados!$M$2:$M$966,Dados!$I$2:$I$966,A31)</x:f>
        <x:v>-6906.05</x:v>
      </x:c>
    </x:row>
    <x:row r="32">
      <x:c r="A32" t="str">
        <x:v>12.9 - PASSAGENS FUNCIONARIOS</x:v>
      </x:c>
      <x:c r="B32" t="str">
        <x:f>IF(SUMIFS(Dados!$J$2:$J$966,Dados!$A$2:$A$966,"Receita",Dados!$I$2:$I$966,A32)&gt;0,"Receita","Despesa/Custo")</x:f>
        <x:v>Despesa/Custo</x:v>
      </x:c>
      <x:c r="C32" s="5" t="n">
        <x:f>SUMIFS(Dados!$J$2:$J$966,Dados!$I$2:$I$966,A32)</x:f>
        <x:v>34769.71000199999</x:v>
      </x:c>
      <x:c r="D32" s="5" t="n">
        <x:f>SUMIFS(Dados!$K$2:$K$966,Dados!$I$2:$I$966,A32)</x:f>
        <x:v>0</x:v>
      </x:c>
      <x:c r="E32" s="5" t="n">
        <x:f>SUMIFS(Dados!$M$2:$M$966,Dados!$I$2:$I$966,A32)</x:f>
        <x:v>-34769.71000199999</x:v>
      </x:c>
    </x:row>
    <x:row r="33">
      <x:c r="A33" t="str">
        <x:v>13.1 - EPIS</x:v>
      </x:c>
      <x:c r="B33" t="str">
        <x:f>IF(SUMIFS(Dados!$J$2:$J$966,Dados!$A$2:$A$966,"Receita",Dados!$I$2:$I$966,A33)&gt;0,"Receita","Despesa/Custo")</x:f>
        <x:v>Despesa/Custo</x:v>
      </x:c>
      <x:c r="C33" s="5" t="n">
        <x:f>SUMIFS(Dados!$J$2:$J$966,Dados!$I$2:$I$966,A33)</x:f>
        <x:v>28846.609999999997</x:v>
      </x:c>
      <x:c r="D33" s="5" t="n">
        <x:f>SUMIFS(Dados!$K$2:$K$966,Dados!$I$2:$I$966,A33)</x:f>
        <x:v>0</x:v>
      </x:c>
      <x:c r="E33" s="5" t="n">
        <x:f>SUMIFS(Dados!$M$2:$M$966,Dados!$I$2:$I$966,A33)</x:f>
        <x:v>-28846.609999999997</x:v>
      </x:c>
    </x:row>
    <x:row r="34">
      <x:c r="A34" t="str">
        <x:v>13.2 - UNIFORMES</x:v>
      </x:c>
      <x:c r="B34" t="str">
        <x:f>IF(SUMIFS(Dados!$J$2:$J$966,Dados!$A$2:$A$966,"Receita",Dados!$I$2:$I$966,A34)&gt;0,"Receita","Despesa/Custo")</x:f>
        <x:v>Despesa/Custo</x:v>
      </x:c>
      <x:c r="C34" s="5" t="n">
        <x:f>SUMIFS(Dados!$J$2:$J$966,Dados!$I$2:$I$966,A34)</x:f>
        <x:v>470.40000000000003</x:v>
      </x:c>
      <x:c r="D34" s="5" t="n">
        <x:f>SUMIFS(Dados!$K$2:$K$966,Dados!$I$2:$I$966,A34)</x:f>
        <x:v>0</x:v>
      </x:c>
      <x:c r="E34" s="5" t="n">
        <x:f>SUMIFS(Dados!$M$2:$M$966,Dados!$I$2:$I$966,A34)</x:f>
        <x:v>-470.40000000000003</x:v>
      </x:c>
    </x:row>
    <x:row r="35">
      <x:c r="A35" t="str">
        <x:v>14.1 - EXAMES</x:v>
      </x:c>
      <x:c r="B35" t="str">
        <x:f>IF(SUMIFS(Dados!$J$2:$J$966,Dados!$A$2:$A$966,"Receita",Dados!$I$2:$I$966,A35)&gt;0,"Receita","Despesa/Custo")</x:f>
        <x:v>Despesa/Custo</x:v>
      </x:c>
      <x:c r="C35" s="5" t="n">
        <x:f>SUMIFS(Dados!$J$2:$J$966,Dados!$I$2:$I$966,A35)</x:f>
        <x:v>9743.579999</x:v>
      </x:c>
      <x:c r="D35" s="5" t="n">
        <x:f>SUMIFS(Dados!$K$2:$K$966,Dados!$I$2:$I$966,A35)</x:f>
        <x:v>0</x:v>
      </x:c>
      <x:c r="E35" s="5" t="n">
        <x:f>SUMIFS(Dados!$M$2:$M$966,Dados!$I$2:$I$966,A35)</x:f>
        <x:v>-9743.579999</x:v>
      </x:c>
    </x:row>
    <x:row r="36">
      <x:c r="A36" t="str">
        <x:v>14.2 - CURSOS / TREINAMENTOS</x:v>
      </x:c>
      <x:c r="B36" t="str">
        <x:f>IF(SUMIFS(Dados!$J$2:$J$966,Dados!$A$2:$A$966,"Receita",Dados!$I$2:$I$966,A36)&gt;0,"Receita","Despesa/Custo")</x:f>
        <x:v>Despesa/Custo</x:v>
      </x:c>
      <x:c r="C36" s="5" t="n">
        <x:f>SUMIFS(Dados!$J$2:$J$966,Dados!$I$2:$I$966,A36)</x:f>
        <x:v>6537.27</x:v>
      </x:c>
      <x:c r="D36" s="5" t="n">
        <x:f>SUMIFS(Dados!$K$2:$K$966,Dados!$I$2:$I$966,A36)</x:f>
        <x:v>0</x:v>
      </x:c>
      <x:c r="E36" s="5" t="n">
        <x:f>SUMIFS(Dados!$M$2:$M$966,Dados!$I$2:$I$966,A36)</x:f>
        <x:v>-6537.27</x:v>
      </x:c>
    </x:row>
    <x:row r="37">
      <x:c r="A37" t="str">
        <x:v>14.3 - PROGRAMA DE SEGURANÇA DO TRABALHO</x:v>
      </x:c>
      <x:c r="B37" t="str">
        <x:f>IF(SUMIFS(Dados!$J$2:$J$966,Dados!$A$2:$A$966,"Receita",Dados!$I$2:$I$966,A37)&gt;0,"Receita","Despesa/Custo")</x:f>
        <x:v>Despesa/Custo</x:v>
      </x:c>
      <x:c r="C37" s="5" t="n">
        <x:f>SUMIFS(Dados!$J$2:$J$966,Dados!$I$2:$I$966,A37)</x:f>
        <x:v>120</x:v>
      </x:c>
      <x:c r="D37" s="5" t="n">
        <x:f>SUMIFS(Dados!$K$2:$K$966,Dados!$I$2:$I$966,A37)</x:f>
        <x:v>0</x:v>
      </x:c>
      <x:c r="E37" s="5" t="n">
        <x:f>SUMIFS(Dados!$M$2:$M$966,Dados!$I$2:$I$966,A37)</x:f>
        <x:v>-120</x:v>
      </x:c>
    </x:row>
    <x:row r="38">
      <x:c r="A38" t="str">
        <x:v>15.4 - DESPESAS C/ CONSTRUÇÃO ESCRITORIO ADM</x:v>
      </x:c>
      <x:c r="B38" t="str">
        <x:f>IF(SUMIFS(Dados!$J$2:$J$966,Dados!$A$2:$A$966,"Receita",Dados!$I$2:$I$966,A38)&gt;0,"Receita","Despesa/Custo")</x:f>
        <x:v>Despesa/Custo</x:v>
      </x:c>
      <x:c r="C38" s="5" t="n">
        <x:f>SUMIFS(Dados!$J$2:$J$966,Dados!$I$2:$I$966,A38)</x:f>
        <x:v>2495</x:v>
      </x:c>
      <x:c r="D38" s="5" t="n">
        <x:f>SUMIFS(Dados!$K$2:$K$966,Dados!$I$2:$I$966,A38)</x:f>
        <x:v>0</x:v>
      </x:c>
      <x:c r="E38" s="5" t="n">
        <x:f>SUMIFS(Dados!$M$2:$M$966,Dados!$I$2:$I$966,A38)</x:f>
        <x:v>-2495</x:v>
      </x:c>
    </x:row>
    <x:row r="39">
      <x:c r="A39" t="str">
        <x:v>15.5 - PROJETOS</x:v>
      </x:c>
      <x:c r="B39" t="str">
        <x:f>IF(SUMIFS(Dados!$J$2:$J$966,Dados!$A$2:$A$966,"Receita",Dados!$I$2:$I$966,A39)&gt;0,"Receita","Despesa/Custo")</x:f>
        <x:v>Despesa/Custo</x:v>
      </x:c>
      <x:c r="C39" s="5" t="n">
        <x:f>SUMIFS(Dados!$J$2:$J$966,Dados!$I$2:$I$966,A39)</x:f>
        <x:v>750</x:v>
      </x:c>
      <x:c r="D39" s="5" t="n">
        <x:f>SUMIFS(Dados!$K$2:$K$966,Dados!$I$2:$I$966,A39)</x:f>
        <x:v>0</x:v>
      </x:c>
      <x:c r="E39" s="5" t="n">
        <x:f>SUMIFS(Dados!$M$2:$M$966,Dados!$I$2:$I$966,A39)</x:f>
        <x:v>-750</x:v>
      </x:c>
    </x:row>
    <x:row r="40">
      <x:c r="A40" t="str">
        <x:v>15.8 - GASTOS COM INFRAESTRUTURA SEDE</x:v>
      </x:c>
      <x:c r="B40" t="str">
        <x:f>IF(SUMIFS(Dados!$J$2:$J$966,Dados!$A$2:$A$966,"Receita",Dados!$I$2:$I$966,A40)&gt;0,"Receita","Despesa/Custo")</x:f>
        <x:v>Despesa/Custo</x:v>
      </x:c>
      <x:c r="C40" s="5" t="n">
        <x:f>SUMIFS(Dados!$J$2:$J$966,Dados!$I$2:$I$966,A40)</x:f>
        <x:v>1485</x:v>
      </x:c>
      <x:c r="D40" s="5" t="n">
        <x:f>SUMIFS(Dados!$K$2:$K$966,Dados!$I$2:$I$966,A40)</x:f>
        <x:v>0</x:v>
      </x:c>
      <x:c r="E40" s="5" t="n">
        <x:f>SUMIFS(Dados!$M$2:$M$966,Dados!$I$2:$I$966,A40)</x:f>
        <x:v>-1485</x:v>
      </x:c>
    </x:row>
    <x:row r="41">
      <x:c r="A41" t="str">
        <x:v>16.2 - RETIRADAS</x:v>
      </x:c>
      <x:c r="B41" t="str">
        <x:f>IF(SUMIFS(Dados!$J$2:$J$966,Dados!$A$2:$A$966,"Receita",Dados!$I$2:$I$966,A41)&gt;0,"Receita","Despesa/Custo")</x:f>
        <x:v>Despesa/Custo</x:v>
      </x:c>
      <x:c r="C41" s="5" t="n">
        <x:f>SUMIFS(Dados!$J$2:$J$966,Dados!$I$2:$I$966,A41)</x:f>
        <x:v>106224.08</x:v>
      </x:c>
      <x:c r="D41" s="5" t="n">
        <x:f>SUMIFS(Dados!$K$2:$K$966,Dados!$I$2:$I$966,A41)</x:f>
        <x:v>0</x:v>
      </x:c>
      <x:c r="E41" s="5" t="n">
        <x:f>SUMIFS(Dados!$M$2:$M$966,Dados!$I$2:$I$966,A41)</x:f>
        <x:v>-106224.08</x:v>
      </x:c>
    </x:row>
    <x:row r="42">
      <x:c r="A42" t="str">
        <x:v>16.4 - DOAÇÕES BENEFICENTES</x:v>
      </x:c>
      <x:c r="B42" t="str">
        <x:f>IF(SUMIFS(Dados!$J$2:$J$966,Dados!$A$2:$A$966,"Receita",Dados!$I$2:$I$966,A42)&gt;0,"Receita","Despesa/Custo")</x:f>
        <x:v>Despesa/Custo</x:v>
      </x:c>
      <x:c r="C42" s="5" t="n">
        <x:f>SUMIFS(Dados!$J$2:$J$966,Dados!$I$2:$I$966,A42)</x:f>
        <x:v>149.76</x:v>
      </x:c>
      <x:c r="D42" s="5" t="n">
        <x:f>SUMIFS(Dados!$K$2:$K$966,Dados!$I$2:$I$966,A42)</x:f>
        <x:v>0</x:v>
      </x:c>
      <x:c r="E42" s="5" t="n">
        <x:f>SUMIFS(Dados!$M$2:$M$966,Dados!$I$2:$I$966,A42)</x:f>
        <x:v>-149.76</x:v>
      </x:c>
    </x:row>
    <x:row r="43">
      <x:c r="A43" t="str">
        <x:v>17.1 - PARCELAMENTO</x:v>
      </x:c>
      <x:c r="B43" t="str">
        <x:f>IF(SUMIFS(Dados!$J$2:$J$966,Dados!$A$2:$A$966,"Receita",Dados!$I$2:$I$966,A43)&gt;0,"Receita","Despesa/Custo")</x:f>
        <x:v>Despesa/Custo</x:v>
      </x:c>
      <x:c r="C43" s="5" t="n">
        <x:f>SUMIFS(Dados!$J$2:$J$966,Dados!$I$2:$I$966,A43)</x:f>
        <x:v>149455.13</x:v>
      </x:c>
      <x:c r="D43" s="5" t="n">
        <x:f>SUMIFS(Dados!$K$2:$K$966,Dados!$I$2:$I$966,A43)</x:f>
        <x:v>0</x:v>
      </x:c>
      <x:c r="E43" s="5" t="n">
        <x:f>SUMIFS(Dados!$M$2:$M$966,Dados!$I$2:$I$966,A43)</x:f>
        <x:v>-149455.13</x:v>
      </x:c>
    </x:row>
    <x:row r="44">
      <x:c r="A44" t="str">
        <x:v>17.9 - ICMS</x:v>
      </x:c>
      <x:c r="B44" t="str">
        <x:f>IF(SUMIFS(Dados!$J$2:$J$966,Dados!$A$2:$A$966,"Receita",Dados!$I$2:$I$966,A44)&gt;0,"Receita","Despesa/Custo")</x:f>
        <x:v>Despesa/Custo</x:v>
      </x:c>
      <x:c r="C44" s="5" t="n">
        <x:f>SUMIFS(Dados!$J$2:$J$966,Dados!$I$2:$I$966,A44)</x:f>
        <x:v>18234.82</x:v>
      </x:c>
      <x:c r="D44" s="5" t="n">
        <x:f>SUMIFS(Dados!$K$2:$K$966,Dados!$I$2:$I$966,A44)</x:f>
        <x:v>0</x:v>
      </x:c>
      <x:c r="E44" s="5" t="n">
        <x:f>SUMIFS(Dados!$M$2:$M$966,Dados!$I$2:$I$966,A44)</x:f>
        <x:v>-18234.82</x:v>
      </x:c>
    </x:row>
    <x:row r="45">
      <x:c r="A45" t="str">
        <x:v>18.1 - JUROS BANCARIOS</x:v>
      </x:c>
      <x:c r="B45" t="str">
        <x:f>IF(SUMIFS(Dados!$J$2:$J$966,Dados!$A$2:$A$966,"Receita",Dados!$I$2:$I$966,A45)&gt;0,"Receita","Despesa/Custo")</x:f>
        <x:v>Despesa/Custo</x:v>
      </x:c>
      <x:c r="C45" s="5" t="n">
        <x:f>SUMIFS(Dados!$J$2:$J$966,Dados!$I$2:$I$966,A45)</x:f>
        <x:v>3631.45</x:v>
      </x:c>
      <x:c r="D45" s="5" t="n">
        <x:f>SUMIFS(Dados!$K$2:$K$966,Dados!$I$2:$I$966,A45)</x:f>
        <x:v>0</x:v>
      </x:c>
      <x:c r="E45" s="5" t="n">
        <x:f>SUMIFS(Dados!$M$2:$M$966,Dados!$I$2:$I$966,A45)</x:f>
        <x:v>-3631.45</x:v>
      </x:c>
    </x:row>
    <x:row r="46">
      <x:c r="A46" t="str">
        <x:v>18.2 - TARIFAS BANCARIAS</x:v>
      </x:c>
      <x:c r="B46" t="str">
        <x:f>IF(SUMIFS(Dados!$J$2:$J$966,Dados!$A$2:$A$966,"Receita",Dados!$I$2:$I$966,A46)&gt;0,"Receita","Despesa/Custo")</x:f>
        <x:v>Despesa/Custo</x:v>
      </x:c>
      <x:c r="C46" s="5" t="n">
        <x:f>SUMIFS(Dados!$J$2:$J$966,Dados!$I$2:$I$966,A46)</x:f>
        <x:v>2652.1400000000003</x:v>
      </x:c>
      <x:c r="D46" s="5" t="n">
        <x:f>SUMIFS(Dados!$K$2:$K$966,Dados!$I$2:$I$966,A46)</x:f>
        <x:v>0</x:v>
      </x:c>
      <x:c r="E46" s="5" t="n">
        <x:f>SUMIFS(Dados!$M$2:$M$966,Dados!$I$2:$I$966,A46)</x:f>
        <x:v>-2652.1400000000003</x:v>
      </x:c>
    </x:row>
    <x:row r="47">
      <x:c r="A47" t="str">
        <x:v>3.10 - SERVIÇO ART</x:v>
      </x:c>
      <x:c r="B47" t="str">
        <x:f>IF(SUMIFS(Dados!$J$2:$J$966,Dados!$A$2:$A$966,"Receita",Dados!$I$2:$I$966,A47)&gt;0,"Receita","Despesa/Custo")</x:f>
        <x:v>Despesa/Custo</x:v>
      </x:c>
      <x:c r="C47" s="5" t="n">
        <x:f>SUMIFS(Dados!$J$2:$J$966,Dados!$I$2:$I$966,A47)</x:f>
        <x:v>6262.79</x:v>
      </x:c>
      <x:c r="D47" s="5" t="n">
        <x:f>SUMIFS(Dados!$K$2:$K$966,Dados!$I$2:$I$966,A47)</x:f>
        <x:v>0</x:v>
      </x:c>
      <x:c r="E47" s="5" t="n">
        <x:f>SUMIFS(Dados!$M$2:$M$966,Dados!$I$2:$I$966,A47)</x:f>
        <x:v>-6262.79</x:v>
      </x:c>
    </x:row>
    <x:row r="48">
      <x:c r="A48" t="str">
        <x:v>3.13 - SERVIÇO CARTORIO</x:v>
      </x:c>
      <x:c r="B48" t="str">
        <x:f>IF(SUMIFS(Dados!$J$2:$J$966,Dados!$A$2:$A$966,"Receita",Dados!$I$2:$I$966,A48)&gt;0,"Receita","Despesa/Custo")</x:f>
        <x:v>Despesa/Custo</x:v>
      </x:c>
      <x:c r="C48" s="5" t="n">
        <x:f>SUMIFS(Dados!$J$2:$J$966,Dados!$I$2:$I$966,A48)</x:f>
        <x:v>634</x:v>
      </x:c>
      <x:c r="D48" s="5" t="n">
        <x:f>SUMIFS(Dados!$K$2:$K$966,Dados!$I$2:$I$966,A48)</x:f>
        <x:v>0</x:v>
      </x:c>
      <x:c r="E48" s="5" t="n">
        <x:f>SUMIFS(Dados!$M$2:$M$966,Dados!$I$2:$I$966,A48)</x:f>
        <x:v>-634</x:v>
      </x:c>
    </x:row>
    <x:row r="49">
      <x:c r="A49" t="str">
        <x:v>3.14 - SERVIÇO TELEMETRIA / FADIGA</x:v>
      </x:c>
      <x:c r="B49" t="str">
        <x:f>IF(SUMIFS(Dados!$J$2:$J$966,Dados!$A$2:$A$966,"Receita",Dados!$I$2:$I$966,A49)&gt;0,"Receita","Despesa/Custo")</x:f>
        <x:v>Despesa/Custo</x:v>
      </x:c>
      <x:c r="C49" s="5" t="n">
        <x:f>SUMIFS(Dados!$J$2:$J$966,Dados!$I$2:$I$966,A49)</x:f>
        <x:v>2092.43</x:v>
      </x:c>
      <x:c r="D49" s="5" t="n">
        <x:f>SUMIFS(Dados!$K$2:$K$966,Dados!$I$2:$I$966,A49)</x:f>
        <x:v>0</x:v>
      </x:c>
      <x:c r="E49" s="5" t="n">
        <x:f>SUMIFS(Dados!$M$2:$M$966,Dados!$I$2:$I$966,A49)</x:f>
        <x:v>-2092.43</x:v>
      </x:c>
    </x:row>
    <x:row r="50">
      <x:c r="A50" t="str">
        <x:v>3.16 - SERVIÇO PLOTAGEM / ADESIVO / PLACAS / CRACHAS</x:v>
      </x:c>
      <x:c r="B50" t="str">
        <x:f>IF(SUMIFS(Dados!$J$2:$J$966,Dados!$A$2:$A$966,"Receita",Dados!$I$2:$I$966,A50)&gt;0,"Receita","Despesa/Custo")</x:f>
        <x:v>Despesa/Custo</x:v>
      </x:c>
      <x:c r="C50" s="5" t="n">
        <x:f>SUMIFS(Dados!$J$2:$J$966,Dados!$I$2:$I$966,A50)</x:f>
        <x:v>32059.08</x:v>
      </x:c>
      <x:c r="D50" s="5" t="n">
        <x:f>SUMIFS(Dados!$K$2:$K$966,Dados!$I$2:$I$966,A50)</x:f>
        <x:v>0</x:v>
      </x:c>
      <x:c r="E50" s="5" t="n">
        <x:f>SUMIFS(Dados!$M$2:$M$966,Dados!$I$2:$I$966,A50)</x:f>
        <x:v>-32059.08</x:v>
      </x:c>
    </x:row>
    <x:row r="51">
      <x:c r="A51" t="str">
        <x:v>3.18 - SERVIÇO ALVARAS E LICENCIAMENTO</x:v>
      </x:c>
      <x:c r="B51" t="str">
        <x:f>IF(SUMIFS(Dados!$J$2:$J$966,Dados!$A$2:$A$966,"Receita",Dados!$I$2:$I$966,A51)&gt;0,"Receita","Despesa/Custo")</x:f>
        <x:v>Despesa/Custo</x:v>
      </x:c>
      <x:c r="C51" s="5" t="n">
        <x:f>SUMIFS(Dados!$J$2:$J$966,Dados!$I$2:$I$966,A51)</x:f>
        <x:v>826.87</x:v>
      </x:c>
      <x:c r="D51" s="5" t="n">
        <x:f>SUMIFS(Dados!$K$2:$K$966,Dados!$I$2:$I$966,A51)</x:f>
        <x:v>0</x:v>
      </x:c>
      <x:c r="E51" s="5" t="n">
        <x:f>SUMIFS(Dados!$M$2:$M$966,Dados!$I$2:$I$966,A51)</x:f>
        <x:v>-826.87</x:v>
      </x:c>
    </x:row>
    <x:row r="52">
      <x:c r="A52" t="str">
        <x:v>3.19 - SERVIÇO BRINDES E ACESSORIOS E EVENTOS</x:v>
      </x:c>
      <x:c r="B52" t="str">
        <x:f>IF(SUMIFS(Dados!$J$2:$J$966,Dados!$A$2:$A$966,"Receita",Dados!$I$2:$I$966,A52)&gt;0,"Receita","Despesa/Custo")</x:f>
        <x:v>Despesa/Custo</x:v>
      </x:c>
      <x:c r="C52" s="5" t="n">
        <x:f>SUMIFS(Dados!$J$2:$J$966,Dados!$I$2:$I$966,A52)</x:f>
        <x:v>6692</x:v>
      </x:c>
      <x:c r="D52" s="5" t="n">
        <x:f>SUMIFS(Dados!$K$2:$K$966,Dados!$I$2:$I$966,A52)</x:f>
        <x:v>0</x:v>
      </x:c>
      <x:c r="E52" s="5" t="n">
        <x:f>SUMIFS(Dados!$M$2:$M$966,Dados!$I$2:$I$966,A52)</x:f>
        <x:v>-6692</x:v>
      </x:c>
    </x:row>
    <x:row r="53">
      <x:c r="A53" t="str">
        <x:v>3.2 - SERVIÇO ELETRICO</x:v>
      </x:c>
      <x:c r="B53" t="str">
        <x:f>IF(SUMIFS(Dados!$J$2:$J$966,Dados!$A$2:$A$966,"Receita",Dados!$I$2:$I$966,A53)&gt;0,"Receita","Despesa/Custo")</x:f>
        <x:v>Despesa/Custo</x:v>
      </x:c>
      <x:c r="C53" s="5" t="n">
        <x:f>SUMIFS(Dados!$J$2:$J$966,Dados!$I$2:$I$966,A53)</x:f>
        <x:v>700</x:v>
      </x:c>
      <x:c r="D53" s="5" t="n">
        <x:f>SUMIFS(Dados!$K$2:$K$966,Dados!$I$2:$I$966,A53)</x:f>
        <x:v>0</x:v>
      </x:c>
      <x:c r="E53" s="5" t="n">
        <x:f>SUMIFS(Dados!$M$2:$M$966,Dados!$I$2:$I$966,A53)</x:f>
        <x:v>-700</x:v>
      </x:c>
    </x:row>
    <x:row r="54">
      <x:c r="A54" t="str">
        <x:v>3.20 - SERVIÇO MÃO DE OBRA TERCERIZADA</x:v>
      </x:c>
      <x:c r="B54" t="str">
        <x:f>IF(SUMIFS(Dados!$J$2:$J$966,Dados!$A$2:$A$966,"Receita",Dados!$I$2:$I$966,A54)&gt;0,"Receita","Despesa/Custo")</x:f>
        <x:v>Despesa/Custo</x:v>
      </x:c>
      <x:c r="C54" s="5" t="n">
        <x:f>SUMIFS(Dados!$J$2:$J$966,Dados!$I$2:$I$966,A54)</x:f>
        <x:v>29262</x:v>
      </x:c>
      <x:c r="D54" s="5" t="n">
        <x:f>SUMIFS(Dados!$K$2:$K$966,Dados!$I$2:$I$966,A54)</x:f>
        <x:v>0</x:v>
      </x:c>
      <x:c r="E54" s="5" t="n">
        <x:f>SUMIFS(Dados!$M$2:$M$966,Dados!$I$2:$I$966,A54)</x:f>
        <x:v>-29262</x:v>
      </x:c>
    </x:row>
    <x:row r="55">
      <x:c r="A55" t="str">
        <x:v>3.21 - SERVIÇO MARKETING</x:v>
      </x:c>
      <x:c r="B55" t="str">
        <x:f>IF(SUMIFS(Dados!$J$2:$J$966,Dados!$A$2:$A$966,"Receita",Dados!$I$2:$I$966,A55)&gt;0,"Receita","Despesa/Custo")</x:f>
        <x:v>Despesa/Custo</x:v>
      </x:c>
      <x:c r="C55" s="5" t="n">
        <x:f>SUMIFS(Dados!$J$2:$J$966,Dados!$I$2:$I$966,A55)</x:f>
        <x:v>1053.5</x:v>
      </x:c>
      <x:c r="D55" s="5" t="n">
        <x:f>SUMIFS(Dados!$K$2:$K$966,Dados!$I$2:$I$966,A55)</x:f>
        <x:v>0</x:v>
      </x:c>
      <x:c r="E55" s="5" t="n">
        <x:f>SUMIFS(Dados!$M$2:$M$966,Dados!$I$2:$I$966,A55)</x:f>
        <x:v>-1053.5</x:v>
      </x:c>
    </x:row>
    <x:row r="56">
      <x:c r="A56" t="str">
        <x:v>3.3 - SERVIÇOS DE CONSULTORIA</x:v>
      </x:c>
      <x:c r="B56" t="str">
        <x:f>IF(SUMIFS(Dados!$J$2:$J$966,Dados!$A$2:$A$966,"Receita",Dados!$I$2:$I$966,A56)&gt;0,"Receita","Despesa/Custo")</x:f>
        <x:v>Despesa/Custo</x:v>
      </x:c>
      <x:c r="C56" s="5" t="n">
        <x:f>SUMIFS(Dados!$J$2:$J$966,Dados!$I$2:$I$966,A56)</x:f>
        <x:v>7968.6</x:v>
      </x:c>
      <x:c r="D56" s="5" t="n">
        <x:f>SUMIFS(Dados!$K$2:$K$966,Dados!$I$2:$I$966,A56)</x:f>
        <x:v>0</x:v>
      </x:c>
      <x:c r="E56" s="5" t="n">
        <x:f>SUMIFS(Dados!$M$2:$M$966,Dados!$I$2:$I$966,A56)</x:f>
        <x:v>-7968.6</x:v>
      </x:c>
    </x:row>
    <x:row r="57">
      <x:c r="A57" t="str">
        <x:v>3.4 - SERVIÇO SERASA</x:v>
      </x:c>
      <x:c r="B57" t="str">
        <x:f>IF(SUMIFS(Dados!$J$2:$J$966,Dados!$A$2:$A$966,"Receita",Dados!$I$2:$I$966,A57)&gt;0,"Receita","Despesa/Custo")</x:f>
        <x:v>Despesa/Custo</x:v>
      </x:c>
      <x:c r="C57" s="5" t="n">
        <x:f>SUMIFS(Dados!$J$2:$J$966,Dados!$I$2:$I$966,A57)</x:f>
        <x:v>935.91</x:v>
      </x:c>
      <x:c r="D57" s="5" t="n">
        <x:f>SUMIFS(Dados!$K$2:$K$966,Dados!$I$2:$I$966,A57)</x:f>
        <x:v>0</x:v>
      </x:c>
      <x:c r="E57" s="5" t="n">
        <x:f>SUMIFS(Dados!$M$2:$M$966,Dados!$I$2:$I$966,A57)</x:f>
        <x:v>-935.91</x:v>
      </x:c>
    </x:row>
    <x:row r="58">
      <x:c r="A58" t="str">
        <x:v>3.5 - SERVIÇO GOOGLE ADS</x:v>
      </x:c>
      <x:c r="B58" t="str">
        <x:f>IF(SUMIFS(Dados!$J$2:$J$966,Dados!$A$2:$A$966,"Receita",Dados!$I$2:$I$966,A58)&gt;0,"Receita","Despesa/Custo")</x:f>
        <x:v>Despesa/Custo</x:v>
      </x:c>
      <x:c r="C58" s="5" t="n">
        <x:f>SUMIFS(Dados!$J$2:$J$966,Dados!$I$2:$I$966,A58)</x:f>
        <x:v>690</x:v>
      </x:c>
      <x:c r="D58" s="5" t="n">
        <x:f>SUMIFS(Dados!$K$2:$K$966,Dados!$I$2:$I$966,A58)</x:f>
        <x:v>0</x:v>
      </x:c>
      <x:c r="E58" s="5" t="n">
        <x:f>SUMIFS(Dados!$M$2:$M$966,Dados!$I$2:$I$966,A58)</x:f>
        <x:v>-690</x:v>
      </x:c>
    </x:row>
    <x:row r="59">
      <x:c r="A59" t="str">
        <x:v>3.7 - SERVIÇO LIMPEZA ALOJAMENTO/ESCRITORIO</x:v>
      </x:c>
      <x:c r="B59" t="str">
        <x:f>IF(SUMIFS(Dados!$J$2:$J$966,Dados!$A$2:$A$966,"Receita",Dados!$I$2:$I$966,A59)&gt;0,"Receita","Despesa/Custo")</x:f>
        <x:v>Despesa/Custo</x:v>
      </x:c>
      <x:c r="C59" s="5" t="n">
        <x:f>SUMIFS(Dados!$J$2:$J$966,Dados!$I$2:$I$966,A59)</x:f>
        <x:v>1717</x:v>
      </x:c>
      <x:c r="D59" s="5" t="n">
        <x:f>SUMIFS(Dados!$K$2:$K$966,Dados!$I$2:$I$966,A59)</x:f>
        <x:v>0</x:v>
      </x:c>
      <x:c r="E59" s="5" t="n">
        <x:f>SUMIFS(Dados!$M$2:$M$966,Dados!$I$2:$I$966,A59)</x:f>
        <x:v>-1717</x:v>
      </x:c>
    </x:row>
    <x:row r="60">
      <x:c r="A60" t="str">
        <x:v>3.8 - SERVIÇO MOTOBOY / UBER</x:v>
      </x:c>
      <x:c r="B60" t="str">
        <x:f>IF(SUMIFS(Dados!$J$2:$J$966,Dados!$A$2:$A$966,"Receita",Dados!$I$2:$I$966,A60)&gt;0,"Receita","Despesa/Custo")</x:f>
        <x:v>Despesa/Custo</x:v>
      </x:c>
      <x:c r="C60" s="5" t="n">
        <x:f>SUMIFS(Dados!$J$2:$J$966,Dados!$I$2:$I$966,A60)</x:f>
        <x:v>2347</x:v>
      </x:c>
      <x:c r="D60" s="5" t="n">
        <x:f>SUMIFS(Dados!$K$2:$K$966,Dados!$I$2:$I$966,A60)</x:f>
        <x:v>0</x:v>
      </x:c>
      <x:c r="E60" s="5" t="n">
        <x:f>SUMIFS(Dados!$M$2:$M$966,Dados!$I$2:$I$966,A60)</x:f>
        <x:v>-2347</x:v>
      </x:c>
    </x:row>
    <x:row r="61">
      <x:c r="A61" t="str">
        <x:v>3.9 - SERVIÇO GRAFICA / IMPRESSAO</x:v>
      </x:c>
      <x:c r="B61" t="str">
        <x:f>IF(SUMIFS(Dados!$J$2:$J$966,Dados!$A$2:$A$966,"Receita",Dados!$I$2:$I$966,A61)&gt;0,"Receita","Despesa/Custo")</x:f>
        <x:v>Despesa/Custo</x:v>
      </x:c>
      <x:c r="C61" s="5" t="n">
        <x:f>SUMIFS(Dados!$J$2:$J$966,Dados!$I$2:$I$966,A61)</x:f>
        <x:v>2000</x:v>
      </x:c>
      <x:c r="D61" s="5" t="n">
        <x:f>SUMIFS(Dados!$K$2:$K$966,Dados!$I$2:$I$966,A61)</x:f>
        <x:v>0</x:v>
      </x:c>
      <x:c r="E61" s="5" t="n">
        <x:f>SUMIFS(Dados!$M$2:$M$966,Dados!$I$2:$I$966,A61)</x:f>
        <x:v>-2000</x:v>
      </x:c>
    </x:row>
    <x:row r="62">
      <x:c r="A62" t="str">
        <x:v>4.1 - TINTAS E SOLVENTES</x:v>
      </x:c>
      <x:c r="B62" t="str">
        <x:f>IF(SUMIFS(Dados!$J$2:$J$966,Dados!$A$2:$A$966,"Receita",Dados!$I$2:$I$966,A62)&gt;0,"Receita","Despesa/Custo")</x:f>
        <x:v>Despesa/Custo</x:v>
      </x:c>
      <x:c r="C62" s="5" t="n">
        <x:f>SUMIFS(Dados!$J$2:$J$966,Dados!$I$2:$I$966,A62)</x:f>
        <x:v>52088.78</x:v>
      </x:c>
      <x:c r="D62" s="5" t="n">
        <x:f>SUMIFS(Dados!$K$2:$K$966,Dados!$I$2:$I$966,A62)</x:f>
        <x:v>0</x:v>
      </x:c>
      <x:c r="E62" s="5" t="n">
        <x:f>SUMIFS(Dados!$M$2:$M$966,Dados!$I$2:$I$966,A62)</x:f>
        <x:v>-52088.78</x:v>
      </x:c>
    </x:row>
    <x:row r="63">
      <x:c r="A63" t="str">
        <x:v>5.1 - HOTEL FUNCIONARIOS</x:v>
      </x:c>
      <x:c r="B63" t="str">
        <x:f>IF(SUMIFS(Dados!$J$2:$J$966,Dados!$A$2:$A$966,"Receita",Dados!$I$2:$I$966,A63)&gt;0,"Receita","Despesa/Custo")</x:f>
        <x:v>Despesa/Custo</x:v>
      </x:c>
      <x:c r="C63" s="5" t="n">
        <x:f>SUMIFS(Dados!$J$2:$J$966,Dados!$I$2:$I$966,A63)</x:f>
        <x:v>2216</x:v>
      </x:c>
      <x:c r="D63" s="5" t="n">
        <x:f>SUMIFS(Dados!$K$2:$K$966,Dados!$I$2:$I$966,A63)</x:f>
        <x:v>0</x:v>
      </x:c>
      <x:c r="E63" s="5" t="n">
        <x:f>SUMIFS(Dados!$M$2:$M$966,Dados!$I$2:$I$966,A63)</x:f>
        <x:v>-2216</x:v>
      </x:c>
    </x:row>
    <x:row r="64">
      <x:c r="A64" t="str">
        <x:v>5.2 - LAVANDERIA</x:v>
      </x:c>
      <x:c r="B64" t="str">
        <x:f>IF(SUMIFS(Dados!$J$2:$J$966,Dados!$A$2:$A$966,"Receita",Dados!$I$2:$I$966,A64)&gt;0,"Receita","Despesa/Custo")</x:f>
        <x:v>Despesa/Custo</x:v>
      </x:c>
      <x:c r="C64" s="5" t="n">
        <x:f>SUMIFS(Dados!$J$2:$J$966,Dados!$I$2:$I$966,A64)</x:f>
        <x:v>1286.5</x:v>
      </x:c>
      <x:c r="D64" s="5" t="n">
        <x:f>SUMIFS(Dados!$K$2:$K$966,Dados!$I$2:$I$966,A64)</x:f>
        <x:v>0</x:v>
      </x:c>
      <x:c r="E64" s="5" t="n">
        <x:f>SUMIFS(Dados!$M$2:$M$966,Dados!$I$2:$I$966,A64)</x:f>
        <x:v>-1286.5</x:v>
      </x:c>
    </x:row>
    <x:row r="65">
      <x:c r="A65" t="str">
        <x:v>5.3 - ALUGUEL ALOJAMENTO</x:v>
      </x:c>
      <x:c r="B65" t="str">
        <x:f>IF(SUMIFS(Dados!$J$2:$J$966,Dados!$A$2:$A$966,"Receita",Dados!$I$2:$I$966,A65)&gt;0,"Receita","Despesa/Custo")</x:f>
        <x:v>Despesa/Custo</x:v>
      </x:c>
      <x:c r="C65" s="5" t="n">
        <x:f>SUMIFS(Dados!$J$2:$J$966,Dados!$I$2:$I$966,A65)</x:f>
        <x:v>32607.38</x:v>
      </x:c>
      <x:c r="D65" s="5" t="n">
        <x:f>SUMIFS(Dados!$K$2:$K$966,Dados!$I$2:$I$966,A65)</x:f>
        <x:v>0</x:v>
      </x:c>
      <x:c r="E65" s="5" t="n">
        <x:f>SUMIFS(Dados!$M$2:$M$966,Dados!$I$2:$I$966,A65)</x:f>
        <x:v>-32607.38</x:v>
      </x:c>
    </x:row>
    <x:row r="66">
      <x:c r="A66" t="str">
        <x:v>5.4 - AGUA ALOJAMENTO</x:v>
      </x:c>
      <x:c r="B66" t="str">
        <x:f>IF(SUMIFS(Dados!$J$2:$J$966,Dados!$A$2:$A$966,"Receita",Dados!$I$2:$I$966,A66)&gt;0,"Receita","Despesa/Custo")</x:f>
        <x:v>Despesa/Custo</x:v>
      </x:c>
      <x:c r="C66" s="5" t="n">
        <x:f>SUMIFS(Dados!$J$2:$J$966,Dados!$I$2:$I$966,A66)</x:f>
        <x:v>1842.8700000000001</x:v>
      </x:c>
      <x:c r="D66" s="5" t="n">
        <x:f>SUMIFS(Dados!$K$2:$K$966,Dados!$I$2:$I$966,A66)</x:f>
        <x:v>0</x:v>
      </x:c>
      <x:c r="E66" s="5" t="n">
        <x:f>SUMIFS(Dados!$M$2:$M$966,Dados!$I$2:$I$966,A66)</x:f>
        <x:v>-1842.8700000000001</x:v>
      </x:c>
    </x:row>
    <x:row r="67">
      <x:c r="A67" t="str">
        <x:v>5.5 - ENERGIA ALOJAMENTO</x:v>
      </x:c>
      <x:c r="B67" t="str">
        <x:f>IF(SUMIFS(Dados!$J$2:$J$966,Dados!$A$2:$A$966,"Receita",Dados!$I$2:$I$966,A67)&gt;0,"Receita","Despesa/Custo")</x:f>
        <x:v>Despesa/Custo</x:v>
      </x:c>
      <x:c r="C67" s="5" t="n">
        <x:f>SUMIFS(Dados!$J$2:$J$966,Dados!$I$2:$I$966,A67)</x:f>
        <x:v>2873.1499999999996</x:v>
      </x:c>
      <x:c r="D67" s="5" t="n">
        <x:f>SUMIFS(Dados!$K$2:$K$966,Dados!$I$2:$I$966,A67)</x:f>
        <x:v>0</x:v>
      </x:c>
      <x:c r="E67" s="5" t="n">
        <x:f>SUMIFS(Dados!$M$2:$M$966,Dados!$I$2:$I$966,A67)</x:f>
        <x:v>-2873.1499999999996</x:v>
      </x:c>
    </x:row>
    <x:row r="68">
      <x:c r="A68" t="str">
        <x:v>6.1 - IPVA</x:v>
      </x:c>
      <x:c r="B68" t="str">
        <x:f>IF(SUMIFS(Dados!$J$2:$J$966,Dados!$A$2:$A$966,"Receita",Dados!$I$2:$I$966,A68)&gt;0,"Receita","Despesa/Custo")</x:f>
        <x:v>Despesa/Custo</x:v>
      </x:c>
      <x:c r="C68" s="5" t="n">
        <x:f>SUMIFS(Dados!$J$2:$J$966,Dados!$I$2:$I$966,A68)</x:f>
        <x:v>6362.06</x:v>
      </x:c>
      <x:c r="D68" s="5" t="n">
        <x:f>SUMIFS(Dados!$K$2:$K$966,Dados!$I$2:$I$966,A68)</x:f>
        <x:v>0</x:v>
      </x:c>
      <x:c r="E68" s="5" t="n">
        <x:f>SUMIFS(Dados!$M$2:$M$966,Dados!$I$2:$I$966,A68)</x:f>
        <x:v>-6362.06</x:v>
      </x:c>
    </x:row>
    <x:row r="69">
      <x:c r="A69" t="str">
        <x:v>6.10 - SERVIÇO LAVA JATO</x:v>
      </x:c>
      <x:c r="B69" t="str">
        <x:f>IF(SUMIFS(Dados!$J$2:$J$966,Dados!$A$2:$A$966,"Receita",Dados!$I$2:$I$966,A69)&gt;0,"Receita","Despesa/Custo")</x:f>
        <x:v>Despesa/Custo</x:v>
      </x:c>
      <x:c r="C69" s="5" t="n">
        <x:f>SUMIFS(Dados!$J$2:$J$966,Dados!$I$2:$I$966,A69)</x:f>
        <x:v>2420</x:v>
      </x:c>
      <x:c r="D69" s="5" t="n">
        <x:f>SUMIFS(Dados!$K$2:$K$966,Dados!$I$2:$I$966,A69)</x:f>
        <x:v>0</x:v>
      </x:c>
      <x:c r="E69" s="5" t="n">
        <x:f>SUMIFS(Dados!$M$2:$M$966,Dados!$I$2:$I$966,A69)</x:f>
        <x:v>-2420</x:v>
      </x:c>
    </x:row>
    <x:row r="70">
      <x:c r="A70" t="str">
        <x:v>6.2 - MULTAS DE TRANSITO</x:v>
      </x:c>
      <x:c r="B70" t="str">
        <x:f>IF(SUMIFS(Dados!$J$2:$J$966,Dados!$A$2:$A$966,"Receita",Dados!$I$2:$I$966,A70)&gt;0,"Receita","Despesa/Custo")</x:f>
        <x:v>Despesa/Custo</x:v>
      </x:c>
      <x:c r="C70" s="5" t="n">
        <x:f>SUMIFS(Dados!$J$2:$J$966,Dados!$I$2:$I$966,A70)</x:f>
        <x:v>1391.82</x:v>
      </x:c>
      <x:c r="D70" s="5" t="n">
        <x:f>SUMIFS(Dados!$K$2:$K$966,Dados!$I$2:$I$966,A70)</x:f>
        <x:v>0</x:v>
      </x:c>
      <x:c r="E70" s="5" t="n">
        <x:f>SUMIFS(Dados!$M$2:$M$966,Dados!$I$2:$I$966,A70)</x:f>
        <x:v>-1391.82</x:v>
      </x:c>
    </x:row>
    <x:row r="71">
      <x:c r="A71" t="str">
        <x:v>6.3 - MANUTENÇÃO/PEÇAS  VEICULOS</x:v>
      </x:c>
      <x:c r="B71" t="str">
        <x:f>IF(SUMIFS(Dados!$J$2:$J$966,Dados!$A$2:$A$966,"Receita",Dados!$I$2:$I$966,A71)&gt;0,"Receita","Despesa/Custo")</x:f>
        <x:v>Despesa/Custo</x:v>
      </x:c>
      <x:c r="C71" s="5" t="n">
        <x:f>SUMIFS(Dados!$J$2:$J$966,Dados!$I$2:$I$966,A71)</x:f>
        <x:v>22283.749999999996</x:v>
      </x:c>
      <x:c r="D71" s="5" t="n">
        <x:f>SUMIFS(Dados!$K$2:$K$966,Dados!$I$2:$I$966,A71)</x:f>
        <x:v>0</x:v>
      </x:c>
      <x:c r="E71" s="5" t="n">
        <x:f>SUMIFS(Dados!$M$2:$M$966,Dados!$I$2:$I$966,A71)</x:f>
        <x:v>-22283.749999999996</x:v>
      </x:c>
    </x:row>
    <x:row r="72">
      <x:c r="A72" t="str">
        <x:v>6.4 - COMBUSTIVEL VEICULOS</x:v>
      </x:c>
      <x:c r="B72" t="str">
        <x:f>IF(SUMIFS(Dados!$J$2:$J$966,Dados!$A$2:$A$966,"Receita",Dados!$I$2:$I$966,A72)&gt;0,"Receita","Despesa/Custo")</x:f>
        <x:v>Despesa/Custo</x:v>
      </x:c>
      <x:c r="C72" s="5" t="n">
        <x:f>SUMIFS(Dados!$J$2:$J$966,Dados!$I$2:$I$966,A72)</x:f>
        <x:v>35972.33675999999</x:v>
      </x:c>
      <x:c r="D72" s="5" t="n">
        <x:f>SUMIFS(Dados!$K$2:$K$966,Dados!$I$2:$I$966,A72)</x:f>
        <x:v>0</x:v>
      </x:c>
      <x:c r="E72" s="5" t="n">
        <x:f>SUMIFS(Dados!$M$2:$M$966,Dados!$I$2:$I$966,A72)</x:f>
        <x:v>-35972.33675999999</x:v>
      </x:c>
    </x:row>
    <x:row r="73">
      <x:c r="A73" t="str">
        <x:v>6.5 - SEGUROS DE VEICULOS</x:v>
      </x:c>
      <x:c r="B73" t="str">
        <x:f>IF(SUMIFS(Dados!$J$2:$J$966,Dados!$A$2:$A$966,"Receita",Dados!$I$2:$I$966,A73)&gt;0,"Receita","Despesa/Custo")</x:f>
        <x:v>Despesa/Custo</x:v>
      </x:c>
      <x:c r="C73" s="5" t="n">
        <x:f>SUMIFS(Dados!$J$2:$J$966,Dados!$I$2:$I$966,A73)</x:f>
        <x:v>6946.210000000001</x:v>
      </x:c>
      <x:c r="D73" s="5" t="n">
        <x:f>SUMIFS(Dados!$K$2:$K$966,Dados!$I$2:$I$966,A73)</x:f>
        <x:v>0</x:v>
      </x:c>
      <x:c r="E73" s="5" t="n">
        <x:f>SUMIFS(Dados!$M$2:$M$966,Dados!$I$2:$I$966,A73)</x:f>
        <x:v>-6946.210000000001</x:v>
      </x:c>
    </x:row>
    <x:row r="74">
      <x:c r="A74" t="str">
        <x:v>6.6 - PEDAGIOS</x:v>
      </x:c>
      <x:c r="B74" t="str">
        <x:f>IF(SUMIFS(Dados!$J$2:$J$966,Dados!$A$2:$A$966,"Receita",Dados!$I$2:$I$966,A74)&gt;0,"Receita","Despesa/Custo")</x:f>
        <x:v>Despesa/Custo</x:v>
      </x:c>
      <x:c r="C74" s="5" t="n">
        <x:f>SUMIFS(Dados!$J$2:$J$966,Dados!$I$2:$I$966,A74)</x:f>
        <x:v>1288.62</x:v>
      </x:c>
      <x:c r="D74" s="5" t="n">
        <x:f>SUMIFS(Dados!$K$2:$K$966,Dados!$I$2:$I$966,A74)</x:f>
        <x:v>0</x:v>
      </x:c>
      <x:c r="E74" s="5" t="n">
        <x:f>SUMIFS(Dados!$M$2:$M$966,Dados!$I$2:$I$966,A74)</x:f>
        <x:v>-1288.62</x:v>
      </x:c>
    </x:row>
    <x:row r="75">
      <x:c r="A75" t="str">
        <x:v>7.10 - LOCAÇAO RADIOS DE COMUNICAÇÃO</x:v>
      </x:c>
      <x:c r="B75" t="str">
        <x:f>IF(SUMIFS(Dados!$J$2:$J$966,Dados!$A$2:$A$966,"Receita",Dados!$I$2:$I$966,A75)&gt;0,"Receita","Despesa/Custo")</x:f>
        <x:v>Despesa/Custo</x:v>
      </x:c>
      <x:c r="C75" s="5" t="n">
        <x:f>SUMIFS(Dados!$J$2:$J$966,Dados!$I$2:$I$966,A75)</x:f>
        <x:v>3153.54</x:v>
      </x:c>
      <x:c r="D75" s="5" t="n">
        <x:f>SUMIFS(Dados!$K$2:$K$966,Dados!$I$2:$I$966,A75)</x:f>
        <x:v>0</x:v>
      </x:c>
      <x:c r="E75" s="5" t="n">
        <x:f>SUMIFS(Dados!$M$2:$M$966,Dados!$I$2:$I$966,A75)</x:f>
        <x:v>-3153.54</x:v>
      </x:c>
    </x:row>
    <x:row r="76">
      <x:c r="A76" t="str">
        <x:v>7.11 - LOCAÇAO BANHEIRO QUIMICO</x:v>
      </x:c>
      <x:c r="B76" t="str">
        <x:f>IF(SUMIFS(Dados!$J$2:$J$966,Dados!$A$2:$A$966,"Receita",Dados!$I$2:$I$966,A76)&gt;0,"Receita","Despesa/Custo")</x:f>
        <x:v>Despesa/Custo</x:v>
      </x:c>
      <x:c r="C76" s="5" t="n">
        <x:f>SUMIFS(Dados!$J$2:$J$966,Dados!$I$2:$I$966,A76)</x:f>
        <x:v>861.85</x:v>
      </x:c>
      <x:c r="D76" s="5" t="n">
        <x:f>SUMIFS(Dados!$K$2:$K$966,Dados!$I$2:$I$966,A76)</x:f>
        <x:v>0</x:v>
      </x:c>
      <x:c r="E76" s="5" t="n">
        <x:f>SUMIFS(Dados!$M$2:$M$966,Dados!$I$2:$I$966,A76)</x:f>
        <x:v>-861.85</x:v>
      </x:c>
    </x:row>
    <x:row r="77">
      <x:c r="A77" t="str">
        <x:v>7.2 - LOCAÇÃO COMPRESSORES</x:v>
      </x:c>
      <x:c r="B77" t="str">
        <x:f>IF(SUMIFS(Dados!$J$2:$J$966,Dados!$A$2:$A$966,"Receita",Dados!$I$2:$I$966,A77)&gt;0,"Receita","Despesa/Custo")</x:f>
        <x:v>Despesa/Custo</x:v>
      </x:c>
      <x:c r="C77" s="5" t="n">
        <x:f>SUMIFS(Dados!$J$2:$J$966,Dados!$I$2:$I$966,A77)</x:f>
        <x:v>43011.719999999994</x:v>
      </x:c>
      <x:c r="D77" s="5" t="n">
        <x:f>SUMIFS(Dados!$K$2:$K$966,Dados!$I$2:$I$966,A77)</x:f>
        <x:v>0</x:v>
      </x:c>
      <x:c r="E77" s="5" t="n">
        <x:f>SUMIFS(Dados!$M$2:$M$966,Dados!$I$2:$I$966,A77)</x:f>
        <x:v>-43011.719999999994</x:v>
      </x:c>
    </x:row>
    <x:row r="78">
      <x:c r="A78" t="str">
        <x:v>7.4 - LOCAÇÃO EQUIPAMENTOS</x:v>
      </x:c>
      <x:c r="B78" t="str">
        <x:f>IF(SUMIFS(Dados!$J$2:$J$966,Dados!$A$2:$A$966,"Receita",Dados!$I$2:$I$966,A78)&gt;0,"Receita","Despesa/Custo")</x:f>
        <x:v>Despesa/Custo</x:v>
      </x:c>
      <x:c r="C78" s="5" t="n">
        <x:f>SUMIFS(Dados!$J$2:$J$966,Dados!$I$2:$I$966,A78)</x:f>
        <x:v>1477.58</x:v>
      </x:c>
      <x:c r="D78" s="5" t="n">
        <x:f>SUMIFS(Dados!$K$2:$K$966,Dados!$I$2:$I$966,A78)</x:f>
        <x:v>0</x:v>
      </x:c>
      <x:c r="E78" s="5" t="n">
        <x:f>SUMIFS(Dados!$M$2:$M$966,Dados!$I$2:$I$966,A78)</x:f>
        <x:v>-1477.58</x:v>
      </x:c>
    </x:row>
    <x:row r="79">
      <x:c r="A79" t="str">
        <x:v>7.6 - LOCAÇÃO CONTAINER</x:v>
      </x:c>
      <x:c r="B79" t="str">
        <x:f>IF(SUMIFS(Dados!$J$2:$J$966,Dados!$A$2:$A$966,"Receita",Dados!$I$2:$I$966,A79)&gt;0,"Receita","Despesa/Custo")</x:f>
        <x:v>Despesa/Custo</x:v>
      </x:c>
      <x:c r="C79" s="5" t="n">
        <x:f>SUMIFS(Dados!$J$2:$J$966,Dados!$I$2:$I$966,A79)</x:f>
        <x:v>17091.11</x:v>
      </x:c>
      <x:c r="D79" s="5" t="n">
        <x:f>SUMIFS(Dados!$K$2:$K$966,Dados!$I$2:$I$966,A79)</x:f>
        <x:v>0</x:v>
      </x:c>
      <x:c r="E79" s="5" t="n">
        <x:f>SUMIFS(Dados!$M$2:$M$966,Dados!$I$2:$I$966,A79)</x:f>
        <x:v>-17091.11</x:v>
      </x:c>
    </x:row>
    <x:row r="80">
      <x:c r="A80" t="str">
        <x:v>7.7 - LOCAÇÃO ANDAIMES</x:v>
      </x:c>
      <x:c r="B80" t="str">
        <x:f>IF(SUMIFS(Dados!$J$2:$J$966,Dados!$A$2:$A$966,"Receita",Dados!$I$2:$I$966,A80)&gt;0,"Receita","Despesa/Custo")</x:f>
        <x:v>Despesa/Custo</x:v>
      </x:c>
      <x:c r="C80" s="5" t="n">
        <x:f>SUMIFS(Dados!$J$2:$J$966,Dados!$I$2:$I$966,A80)</x:f>
        <x:v>31722.879999999997</x:v>
      </x:c>
      <x:c r="D80" s="5" t="n">
        <x:f>SUMIFS(Dados!$K$2:$K$966,Dados!$I$2:$I$966,A80)</x:f>
        <x:v>0</x:v>
      </x:c>
      <x:c r="E80" s="5" t="n">
        <x:f>SUMIFS(Dados!$M$2:$M$966,Dados!$I$2:$I$966,A80)</x:f>
        <x:v>-31722.879999999997</x:v>
      </x:c>
    </x:row>
    <x:row r="81">
      <x:c r="A81" t="str">
        <x:v>7.8 - LOCAÇAO VEICULOS</x:v>
      </x:c>
      <x:c r="B81" t="str">
        <x:f>IF(SUMIFS(Dados!$J$2:$J$966,Dados!$A$2:$A$966,"Receita",Dados!$I$2:$I$966,A81)&gt;0,"Receita","Despesa/Custo")</x:f>
        <x:v>Despesa/Custo</x:v>
      </x:c>
      <x:c r="C81" s="5" t="n">
        <x:f>SUMIFS(Dados!$J$2:$J$966,Dados!$I$2:$I$966,A81)</x:f>
        <x:v>32086.97</x:v>
      </x:c>
      <x:c r="D81" s="5" t="n">
        <x:f>SUMIFS(Dados!$K$2:$K$966,Dados!$I$2:$I$966,A81)</x:f>
        <x:v>0</x:v>
      </x:c>
      <x:c r="E81" s="5" t="n">
        <x:f>SUMIFS(Dados!$M$2:$M$966,Dados!$I$2:$I$966,A81)</x:f>
        <x:v>-32086.97</x:v>
      </x:c>
    </x:row>
    <x:row r="82">
      <x:c r="A82" t="str">
        <x:v>7.9 - LOCAÇAO CAÇAMBA P/ RESIDUOS</x:v>
      </x:c>
      <x:c r="B82" t="str">
        <x:f>IF(SUMIFS(Dados!$J$2:$J$966,Dados!$A$2:$A$966,"Receita",Dados!$I$2:$I$966,A82)&gt;0,"Receita","Despesa/Custo")</x:f>
        <x:v>Despesa/Custo</x:v>
      </x:c>
      <x:c r="C82" s="5" t="n">
        <x:f>SUMIFS(Dados!$J$2:$J$966,Dados!$I$2:$I$966,A82)</x:f>
        <x:v>3984.97</x:v>
      </x:c>
      <x:c r="D82" s="5" t="n">
        <x:f>SUMIFS(Dados!$K$2:$K$966,Dados!$I$2:$I$966,A82)</x:f>
        <x:v>0</x:v>
      </x:c>
      <x:c r="E82" s="5" t="n">
        <x:f>SUMIFS(Dados!$M$2:$M$966,Dados!$I$2:$I$966,A82)</x:f>
        <x:v>-3984.97</x:v>
      </x:c>
    </x:row>
    <x:row r="83">
      <x:c r="A83" t="str">
        <x:v>8.10 - MATERIAS DE ESCRITORIO</x:v>
      </x:c>
      <x:c r="B83" t="str">
        <x:f>IF(SUMIFS(Dados!$J$2:$J$966,Dados!$A$2:$A$966,"Receita",Dados!$I$2:$I$966,A83)&gt;0,"Receita","Despesa/Custo")</x:f>
        <x:v>Despesa/Custo</x:v>
      </x:c>
      <x:c r="C83" s="5" t="n">
        <x:f>SUMIFS(Dados!$J$2:$J$966,Dados!$I$2:$I$966,A83)</x:f>
        <x:v>1926.28</x:v>
      </x:c>
      <x:c r="D83" s="5" t="n">
        <x:f>SUMIFS(Dados!$K$2:$K$966,Dados!$I$2:$I$966,A83)</x:f>
        <x:v>0</x:v>
      </x:c>
      <x:c r="E83" s="5" t="n">
        <x:f>SUMIFS(Dados!$M$2:$M$966,Dados!$I$2:$I$966,A83)</x:f>
        <x:v>-1926.28</x:v>
      </x:c>
    </x:row>
    <x:row r="84">
      <x:c r="A84" t="str">
        <x:v>8.11 - MATERIAIS DE LIMPEZA / HIGIENE</x:v>
      </x:c>
      <x:c r="B84" t="str">
        <x:f>IF(SUMIFS(Dados!$J$2:$J$966,Dados!$A$2:$A$966,"Receita",Dados!$I$2:$I$966,A84)&gt;0,"Receita","Despesa/Custo")</x:f>
        <x:v>Despesa/Custo</x:v>
      </x:c>
      <x:c r="C84" s="5" t="n">
        <x:f>SUMIFS(Dados!$J$2:$J$966,Dados!$I$2:$I$966,A84)</x:f>
        <x:v>3570.87</x:v>
      </x:c>
      <x:c r="D84" s="5" t="n">
        <x:f>SUMIFS(Dados!$K$2:$K$966,Dados!$I$2:$I$966,A84)</x:f>
        <x:v>0</x:v>
      </x:c>
      <x:c r="E84" s="5" t="n">
        <x:f>SUMIFS(Dados!$M$2:$M$966,Dados!$I$2:$I$966,A84)</x:f>
        <x:v>-3570.87</x:v>
      </x:c>
    </x:row>
    <x:row r="85">
      <x:c r="A85" t="str">
        <x:v>8.13 - COMBUSTIVEL EQUIPAMENTOS</x:v>
      </x:c>
      <x:c r="B85" t="str">
        <x:f>IF(SUMIFS(Dados!$J$2:$J$966,Dados!$A$2:$A$966,"Receita",Dados!$I$2:$I$966,A85)&gt;0,"Receita","Despesa/Custo")</x:f>
        <x:v>Despesa/Custo</x:v>
      </x:c>
      <x:c r="C85" s="5" t="n">
        <x:f>SUMIFS(Dados!$J$2:$J$966,Dados!$I$2:$I$966,A85)</x:f>
        <x:v>6790.643239</x:v>
      </x:c>
      <x:c r="D85" s="5" t="n">
        <x:f>SUMIFS(Dados!$K$2:$K$966,Dados!$I$2:$I$966,A85)</x:f>
        <x:v>0</x:v>
      </x:c>
      <x:c r="E85" s="5" t="n">
        <x:f>SUMIFS(Dados!$M$2:$M$966,Dados!$I$2:$I$966,A85)</x:f>
        <x:v>-6790.643239</x:v>
      </x:c>
    </x:row>
    <x:row r="86">
      <x:c r="A86" t="str">
        <x:v>8.14 - MANUTENÇÃO/PEÇAS MAQUINAS E EQUIPAMENTOS</x:v>
      </x:c>
      <x:c r="B86" t="str">
        <x:f>IF(SUMIFS(Dados!$J$2:$J$966,Dados!$A$2:$A$966,"Receita",Dados!$I$2:$I$966,A86)&gt;0,"Receita","Despesa/Custo")</x:f>
        <x:v>Despesa/Custo</x:v>
      </x:c>
      <x:c r="C86" s="5" t="n">
        <x:f>SUMIFS(Dados!$J$2:$J$966,Dados!$I$2:$I$966,A86)</x:f>
        <x:v>18254.77</x:v>
      </x:c>
      <x:c r="D86" s="5" t="n">
        <x:f>SUMIFS(Dados!$K$2:$K$966,Dados!$I$2:$I$966,A86)</x:f>
        <x:v>0</x:v>
      </x:c>
      <x:c r="E86" s="5" t="n">
        <x:f>SUMIFS(Dados!$M$2:$M$966,Dados!$I$2:$I$966,A86)</x:f>
        <x:v>-18254.77</x:v>
      </x:c>
    </x:row>
    <x:row r="87">
      <x:c r="A87" t="str">
        <x:v>8.5 - MAQUINAS / EQUIPAMENTOS</x:v>
      </x:c>
      <x:c r="B87" t="str">
        <x:f>IF(SUMIFS(Dados!$J$2:$J$966,Dados!$A$2:$A$966,"Receita",Dados!$I$2:$I$966,A87)&gt;0,"Receita","Despesa/Custo")</x:f>
        <x:v>Despesa/Custo</x:v>
      </x:c>
      <x:c r="C87" s="5" t="n">
        <x:f>SUMIFS(Dados!$J$2:$J$966,Dados!$I$2:$I$966,A87)</x:f>
        <x:v>24972.269999999997</x:v>
      </x:c>
      <x:c r="D87" s="5" t="n">
        <x:f>SUMIFS(Dados!$K$2:$K$966,Dados!$I$2:$I$966,A87)</x:f>
        <x:v>0</x:v>
      </x:c>
      <x:c r="E87" s="5" t="n">
        <x:f>SUMIFS(Dados!$M$2:$M$966,Dados!$I$2:$I$966,A87)</x:f>
        <x:v>-24972.269999999997</x:v>
      </x:c>
    </x:row>
    <x:row r="88">
      <x:c r="A88" t="str">
        <x:v>8.6 - MATERIAIS / FERRAMENTAS  MANUAIS</x:v>
      </x:c>
      <x:c r="B88" t="str">
        <x:f>IF(SUMIFS(Dados!$J$2:$J$966,Dados!$A$2:$A$966,"Receita",Dados!$I$2:$I$966,A88)&gt;0,"Receita","Despesa/Custo")</x:f>
        <x:v>Despesa/Custo</x:v>
      </x:c>
      <x:c r="C88" s="5" t="n">
        <x:f>SUMIFS(Dados!$J$2:$J$966,Dados!$I$2:$I$966,A88)</x:f>
        <x:v>1265.2</x:v>
      </x:c>
      <x:c r="D88" s="5" t="n">
        <x:f>SUMIFS(Dados!$K$2:$K$966,Dados!$I$2:$I$966,A88)</x:f>
        <x:v>0</x:v>
      </x:c>
      <x:c r="E88" s="5" t="n">
        <x:f>SUMIFS(Dados!$M$2:$M$966,Dados!$I$2:$I$966,A88)</x:f>
        <x:v>-1265.2</x:v>
      </x:c>
    </x:row>
    <x:row r="89">
      <x:c r="A89" t="str">
        <x:v>8.7 - MANGUEIRAS / CONEXÕES</x:v>
      </x:c>
      <x:c r="B89" t="str">
        <x:f>IF(SUMIFS(Dados!$J$2:$J$966,Dados!$A$2:$A$966,"Receita",Dados!$I$2:$I$966,A89)&gt;0,"Receita","Despesa/Custo")</x:f>
        <x:v>Despesa/Custo</x:v>
      </x:c>
      <x:c r="C89" s="5" t="n">
        <x:f>SUMIFS(Dados!$J$2:$J$966,Dados!$I$2:$I$966,A89)</x:f>
        <x:v>332.64</x:v>
      </x:c>
      <x:c r="D89" s="5" t="n">
        <x:f>SUMIFS(Dados!$K$2:$K$966,Dados!$I$2:$I$966,A89)</x:f>
        <x:v>0</x:v>
      </x:c>
      <x:c r="E89" s="5" t="n">
        <x:f>SUMIFS(Dados!$M$2:$M$966,Dados!$I$2:$I$966,A89)</x:f>
        <x:v>-332.64</x:v>
      </x:c>
    </x:row>
    <x:row r="90">
      <x:c r="A90" t="str">
        <x:v>8.8 - MATERIAL ELETRICO</x:v>
      </x:c>
      <x:c r="B90" t="str">
        <x:f>IF(SUMIFS(Dados!$J$2:$J$966,Dados!$A$2:$A$966,"Receita",Dados!$I$2:$I$966,A90)&gt;0,"Receita","Despesa/Custo")</x:f>
        <x:v>Despesa/Custo</x:v>
      </x:c>
      <x:c r="C90" s="5" t="n">
        <x:f>SUMIFS(Dados!$J$2:$J$966,Dados!$I$2:$I$966,A90)</x:f>
        <x:v>626.77</x:v>
      </x:c>
      <x:c r="D90" s="5" t="n">
        <x:f>SUMIFS(Dados!$K$2:$K$966,Dados!$I$2:$I$966,A90)</x:f>
        <x:v>0</x:v>
      </x:c>
      <x:c r="E90" s="5" t="n">
        <x:f>SUMIFS(Dados!$M$2:$M$966,Dados!$I$2:$I$966,A90)</x:f>
        <x:v>-626.77</x:v>
      </x:c>
    </x:row>
    <x:row r="91">
      <x:c r="A91" t="str">
        <x:v>8.9 - MATERIAIS DE CONSUMO EM OBRAS</x:v>
      </x:c>
      <x:c r="B91" t="str">
        <x:f>IF(SUMIFS(Dados!$J$2:$J$966,Dados!$A$2:$A$966,"Receita",Dados!$I$2:$I$966,A91)&gt;0,"Receita","Despesa/Custo")</x:f>
        <x:v>Despesa/Custo</x:v>
      </x:c>
      <x:c r="C91" s="5" t="n">
        <x:f>SUMIFS(Dados!$J$2:$J$966,Dados!$I$2:$I$966,A91)</x:f>
        <x:v>20822.010000000006</x:v>
      </x:c>
      <x:c r="D91" s="5" t="n">
        <x:f>SUMIFS(Dados!$K$2:$K$966,Dados!$I$2:$I$966,A91)</x:f>
        <x:v>0</x:v>
      </x:c>
      <x:c r="E91" s="5" t="n">
        <x:f>SUMIFS(Dados!$M$2:$M$966,Dados!$I$2:$I$966,A91)</x:f>
        <x:v>-20822.010000000006</x:v>
      </x:c>
    </x:row>
    <x:row r="92">
      <x:c r="A92" t="str">
        <x:v>9.1 - HONORARIOS ADVOCATICIOS</x:v>
      </x:c>
      <x:c r="B92" t="str">
        <x:f>IF(SUMIFS(Dados!$J$2:$J$966,Dados!$A$2:$A$966,"Receita",Dados!$I$2:$I$966,A92)&gt;0,"Receita","Despesa/Custo")</x:f>
        <x:v>Despesa/Custo</x:v>
      </x:c>
      <x:c r="C92" s="5" t="n">
        <x:f>SUMIFS(Dados!$J$2:$J$966,Dados!$I$2:$I$966,A92)</x:f>
        <x:v>6683.1</x:v>
      </x:c>
      <x:c r="D92" s="5" t="n">
        <x:f>SUMIFS(Dados!$K$2:$K$966,Dados!$I$2:$I$966,A92)</x:f>
        <x:v>0</x:v>
      </x:c>
      <x:c r="E92" s="5" t="n">
        <x:f>SUMIFS(Dados!$M$2:$M$966,Dados!$I$2:$I$966,A92)</x:f>
        <x:v>-6683.1</x:v>
      </x:c>
    </x:row>
  </x:sheetData>
  <x:pageMargins left="0.7" right="0.7" top="0.75" bottom="0.75" header="0.3" footer="0.3"/>
  <x:tableParts count="1">
    <x:tablePart xmlns:r="http://schemas.openxmlformats.org/officeDocument/2006/relationships" r:id="Rce3c7874be0449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6.670000076293945" hidden="0" customWidth="1"/>
    <x:col min="3" max="3" width="16.670000076293945" hidden="0" customWidth="1"/>
    <x:col min="4" max="4" width="14.4399995803833" hidden="0" customWidth="1"/>
    <x:col min="5" max="5" width="11.109999656677246" hidden="0" customWidth="1"/>
    <x:col min="6" max="6" width="35.560001373291016" hidden="0" customWidth="1"/>
  </x:cols>
  <x:sheetData>
    <x:row r="1">
      <x:c r="A1" s="3" t="str">
        <x:v>Checagem</x:v>
      </x:c>
      <x:c r="B1" s="3" t="str">
        <x:v>Atual</x:v>
      </x:c>
      <x:c r="C1" s="3" t="str">
        <x:v>Esperado</x:v>
      </x:c>
      <x:c r="D1" s="3" t="str">
        <x:v>Diferença</x:v>
      </x:c>
      <x:c r="E1" s="3" t="str">
        <x:v>Status</x:v>
      </x:c>
      <x:c r="F1" s="3" t="str">
        <x:v>Observações</x:v>
      </x:c>
    </x:row>
    <x:row r="2">
      <x:c r="A2" t="str">
        <x:v>Receita líquida</x:v>
      </x:c>
      <x:c r="B2" s="5" t="n">
        <x:f>SUM(Receitas!Q2:Q37)</x:f>
        <x:v>2818407.731374001</x:v>
      </x:c>
      <x:c r="C2" s="5" t="n">
        <x:f>SUMIF(Dados!$A$2:$A$966,"Receita",Dados!$L$2:$L$966)</x:f>
        <x:v>2818407.731374001</x:v>
      </x:c>
      <x:c r="D2" s="5" t="n">
        <x:f>B2-C2</x:f>
        <x:v>0</x:v>
      </x:c>
      <x:c r="E2" t="str">
        <x:f>IF(ABS(D2)&lt;0.01,"OK","Revisar")</x:f>
        <x:v>OK</x:v>
      </x:c>
      <x:c r="F2" t="str">
        <x:v>Compara Receitas!Q com Dados!L</x:v>
      </x:c>
    </x:row>
    <x:row r="3">
      <x:c r="A3" t="str">
        <x:v>Despesas</x:v>
      </x:c>
      <x:c r="B3" s="5" t="n">
        <x:f>SUM(Despesas!I2:I930)</x:f>
        <x:v>2363092.899238473</x:v>
      </x:c>
      <x:c r="C3" s="5" t="n">
        <x:f>-SUMIF(Dados!$A$2:$A$966,"Despesa/Custo",Dados!$M$2:$M$966)</x:f>
        <x:v>2363092.899238473</x:v>
      </x:c>
      <x:c r="D3" s="5" t="n">
        <x:f>B3-C3</x:f>
        <x:v>0</x:v>
      </x:c>
      <x:c r="E3" t="str">
        <x:f>IF(ABS(D3)&lt;0.01,"OK","Revisar")</x:f>
        <x:v>OK</x:v>
      </x:c>
      <x:c r="F3" t="str">
        <x:v>Compara Despesas!I com Dados!M invertido</x:v>
      </x:c>
    </x:row>
    <x:row r="4">
      <x:c r="A4" t="str">
        <x:v>Resultado</x:v>
      </x:c>
      <x:c r="B4" s="5" t="n">
        <x:f>'Resumo DRE'!B10</x:f>
        <x:v>455314.8321355283</x:v>
      </x:c>
      <x:c r="C4" s="5" t="n">
        <x:f>SUM(Dados!M2:M966)</x:f>
        <x:v>455314.832135529</x:v>
      </x:c>
      <x:c r="D4" s="5" t="n">
        <x:f>B4-C4</x:f>
        <x:v>-6.984919309616089e-10</x:v>
      </x:c>
      <x:c r="E4" t="str">
        <x:f>IF(ABS(D4)&lt;0.01,"OK","Revisar")</x:f>
        <x:v>OK</x:v>
      </x:c>
      <x:c r="F4" t="str">
        <x:v>Compara resumo com base consolidada</x:v>
      </x:c>
    </x:row>
    <x:row r="5">
      <x:c r="A5" t="str">
        <x:v>Total de linhas</x:v>
      </x:c>
      <x:c r="B5" s="12" t="n">
        <x:f>COUNTA(Dados!A2:A966)</x:f>
        <x:v>965</x:v>
      </x:c>
      <x:c r="C5" s="12" t="n">
        <x:f>COUNTA(Receitas!A2:A37)+COUNTA(Despesas!A2:A930)</x:f>
        <x:v>965</x:v>
      </x:c>
      <x:c r="D5" s="12" t="n">
        <x:f>B5-C5</x:f>
        <x:v>0</x:v>
      </x:c>
      <x:c r="E5" t="str">
        <x:f>IF(D5=0,"OK","Revisar")</x:f>
        <x:v>OK</x:v>
      </x:c>
      <x:c r="F5" t="str">
        <x:v>Receitas + Despesas = Dados</x:v>
      </x:c>
    </x:row>
  </x:sheetData>
  <x:pageMargins left="0.7" right="0.7" top="0.75" bottom="0.75" header="0.3" footer="0.3"/>
  <x:tableParts count="1">
    <x:tablePart xmlns:r="http://schemas.openxmlformats.org/officeDocument/2006/relationships" r:id="Rafd911cc39024f55"/>
  </x:tableParts>
</x:worksheet>
</file>