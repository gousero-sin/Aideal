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slicers/slicer2.xml" ContentType="application/vnd.ms-excel.slicer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6.xml" ContentType="application/vnd.openxmlformats-officedocument.themeOverrid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/>
  <mc:AlternateContent xmlns:mc="http://schemas.openxmlformats.org/markup-compatibility/2006">
    <mc:Choice Requires="x15">
      <x15ac:absPath xmlns:x15ac="http://schemas.microsoft.com/office/spreadsheetml/2010/11/ac" url="Z:\ANTIGO\ADMINISTRATIVO - FINANCEIRO\RELATORIOS\RELATORIOS SMART BOSS\"/>
    </mc:Choice>
  </mc:AlternateContent>
  <xr:revisionPtr revIDLastSave="0" documentId="13_ncr:1_{25050904-A0E0-4F3B-B111-A10D61C453AE}" xr6:coauthVersionLast="47" xr6:coauthVersionMax="47" xr10:uidLastSave="{00000000-0000-0000-0000-000000000000}"/>
  <bookViews>
    <workbookView xWindow="-108" yWindow="-108" windowWidth="23256" windowHeight="12456" tabRatio="657" firstSheet="1" activeTab="1" xr2:uid="{00000000-000D-0000-FFFF-FFFF00000000}"/>
  </bookViews>
  <sheets>
    <sheet name="Painel" sheetId="28" state="hidden" r:id="rId1"/>
    <sheet name="DRE" sheetId="21" r:id="rId2"/>
    <sheet name="BD_FLUXO" sheetId="20" r:id="rId3"/>
    <sheet name="PLANO_CONTAS" sheetId="18" state="hidden" r:id="rId4"/>
    <sheet name="APOIO" sheetId="25" state="hidden" r:id="rId5"/>
  </sheets>
  <definedNames>
    <definedName name="_xlnm._FilterDatabase" localSheetId="2" hidden="1">BD_FLUXO!#REF!</definedName>
    <definedName name="_xlnm._FilterDatabase" localSheetId="1" hidden="1">DRE!$A$5:$AI$185</definedName>
    <definedName name="_xlnm._FilterDatabase" localSheetId="3" hidden="1">PLANO_CONTAS!$A$1:$D$75</definedName>
    <definedName name="SegmentaçãodeDados_Ano">#N/A</definedName>
    <definedName name="SegmentaçãodeDados_Centro_de_Custo___Obra">#N/A</definedName>
    <definedName name="SegmentaçãodeDados_Conta_Pai">#N/A</definedName>
    <definedName name="SegmentaçãodeDados_Empresa">#N/A</definedName>
    <definedName name="SegmentaçãodeDados_Mês">#N/A</definedName>
  </definedNames>
  <calcPr calcId="191029" calcMode="auto" fullCalcOnLoad="1" forceFullCalc="1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2" i="21" l="1"/>
  <c r="AD41" i="21"/>
  <c r="AB41" i="21"/>
  <c r="Z41" i="21"/>
  <c r="V41" i="21"/>
  <c r="T41" i="21"/>
  <c r="R41" i="21"/>
  <c r="N41" i="21"/>
  <c r="L41" i="21"/>
  <c r="J41" i="21"/>
  <c r="F41" i="21"/>
  <c r="D41" i="21"/>
  <c r="B41" i="21"/>
  <c r="B39" i="21"/>
  <c r="D39" i="21"/>
  <c r="F39" i="21"/>
  <c r="J39" i="21"/>
  <c r="L39" i="21"/>
  <c r="N39" i="21"/>
  <c r="R39" i="21"/>
  <c r="T39" i="21"/>
  <c r="V39" i="21"/>
  <c r="Z39" i="21"/>
  <c r="AB39" i="21"/>
  <c r="AD39" i="21"/>
  <c r="H3898" i="20"/>
  <c r="H3899" i="20"/>
  <c r="H3900" i="20"/>
  <c r="H3901" i="20"/>
  <c r="H3902" i="20"/>
  <c r="H3903" i="20"/>
  <c r="H3904" i="20"/>
  <c r="H3905" i="20"/>
  <c r="H3906" i="20"/>
  <c r="H3907" i="20"/>
  <c r="H3908" i="20"/>
  <c r="H3909" i="20"/>
  <c r="H3910" i="20"/>
  <c r="H3911" i="20"/>
  <c r="H3912" i="20"/>
  <c r="H3913" i="20"/>
  <c r="H3914" i="20"/>
  <c r="H3915" i="20"/>
  <c r="H3916" i="20"/>
  <c r="H3917" i="20"/>
  <c r="H3918" i="20"/>
  <c r="H3919" i="20"/>
  <c r="H3920" i="20"/>
  <c r="H3921" i="20"/>
  <c r="H3922" i="20"/>
  <c r="H3923" i="20"/>
  <c r="H3924" i="20"/>
  <c r="H3925" i="20"/>
  <c r="H3926" i="20"/>
  <c r="H3927" i="20"/>
  <c r="H3928" i="20"/>
  <c r="H3929" i="20"/>
  <c r="H3930" i="20"/>
  <c r="H3931" i="20"/>
  <c r="H3932" i="20"/>
  <c r="H3933" i="20"/>
  <c r="H3934" i="20"/>
  <c r="H3935" i="20"/>
  <c r="H3936" i="20"/>
  <c r="H3937" i="20"/>
  <c r="H3938" i="20"/>
  <c r="H3939" i="20"/>
  <c r="H3940" i="20"/>
  <c r="H3941" i="20"/>
  <c r="H3942" i="20"/>
  <c r="H3943" i="20"/>
  <c r="H3944" i="20"/>
  <c r="H3945" i="20"/>
  <c r="H3946" i="20"/>
  <c r="H3947" i="20"/>
  <c r="H3948" i="20"/>
  <c r="H3949" i="20"/>
  <c r="H3950" i="20"/>
  <c r="H3951" i="20"/>
  <c r="H3952" i="20"/>
  <c r="H3953" i="20"/>
  <c r="H3954" i="20"/>
  <c r="H3955" i="20"/>
  <c r="H3956" i="20"/>
  <c r="H3957" i="20"/>
  <c r="H3958" i="20"/>
  <c r="H3959" i="20"/>
  <c r="H3960" i="20"/>
  <c r="H3961" i="20"/>
  <c r="H3962" i="20"/>
  <c r="H3963" i="20"/>
  <c r="H3964" i="20"/>
  <c r="H3965" i="20"/>
  <c r="H3966" i="20"/>
  <c r="H3967" i="20"/>
  <c r="H3968" i="20"/>
  <c r="H3969" i="20"/>
  <c r="H3970" i="20"/>
  <c r="H3971" i="20"/>
  <c r="H3972" i="20"/>
  <c r="H3973" i="20"/>
  <c r="H3974" i="20"/>
  <c r="H3975" i="20"/>
  <c r="H3976" i="20"/>
  <c r="H3977" i="20"/>
  <c r="H3978" i="20"/>
  <c r="H3979" i="20"/>
  <c r="H3980" i="20"/>
  <c r="H3981" i="20"/>
  <c r="H3982" i="20"/>
  <c r="H3983" i="20"/>
  <c r="H3984" i="20"/>
  <c r="H3985" i="20"/>
  <c r="H3986" i="20"/>
  <c r="H3987" i="20"/>
  <c r="H3988" i="20"/>
  <c r="H3989" i="20"/>
  <c r="H3990" i="20"/>
  <c r="H3991" i="20"/>
  <c r="H3992" i="20"/>
  <c r="H3993" i="20"/>
  <c r="H3994" i="20"/>
  <c r="H3995" i="20"/>
  <c r="H3996" i="20"/>
  <c r="H3997" i="20"/>
  <c r="H3998" i="20"/>
  <c r="H3999" i="20"/>
  <c r="H4000" i="20"/>
  <c r="H4001" i="20"/>
  <c r="H4002" i="20"/>
  <c r="H4003" i="20"/>
  <c r="H4004" i="20"/>
  <c r="H4005" i="20"/>
  <c r="H4006" i="20"/>
  <c r="H4007" i="20"/>
  <c r="H4008" i="20"/>
  <c r="H4009" i="20"/>
  <c r="H4010" i="20"/>
  <c r="H4011" i="20"/>
  <c r="H4012" i="20"/>
  <c r="H4013" i="20"/>
  <c r="H4014" i="20"/>
  <c r="H4015" i="20"/>
  <c r="H4016" i="20"/>
  <c r="H4017" i="20"/>
  <c r="H4018" i="20"/>
  <c r="H4019" i="20"/>
  <c r="H4020" i="20"/>
  <c r="H4021" i="20"/>
  <c r="H4022" i="20"/>
  <c r="H4023" i="20"/>
  <c r="H4024" i="20"/>
  <c r="H4025" i="20"/>
  <c r="H4026" i="20"/>
  <c r="H4027" i="20"/>
  <c r="H4028" i="20"/>
  <c r="H4029" i="20"/>
  <c r="H4030" i="20"/>
  <c r="H4031" i="20"/>
  <c r="H4032" i="20"/>
  <c r="H4033" i="20"/>
  <c r="H4034" i="20"/>
  <c r="H4035" i="20"/>
  <c r="H4036" i="20"/>
  <c r="H4037" i="20"/>
  <c r="H4038" i="20"/>
  <c r="H4039" i="20"/>
  <c r="H4040" i="20"/>
  <c r="H4041" i="20"/>
  <c r="H4042" i="20"/>
  <c r="H4043" i="20"/>
  <c r="H4044" i="20"/>
  <c r="H4045" i="20"/>
  <c r="H4046" i="20"/>
  <c r="H4047" i="20"/>
  <c r="H4048" i="20"/>
  <c r="H4049" i="20"/>
  <c r="H4050" i="20"/>
  <c r="H4051" i="20"/>
  <c r="H4052" i="20"/>
  <c r="H4053" i="20"/>
  <c r="H4054" i="20"/>
  <c r="H4055" i="20"/>
  <c r="H4056" i="20"/>
  <c r="H4057" i="20"/>
  <c r="H4058" i="20"/>
  <c r="H4059" i="20"/>
  <c r="H4060" i="20"/>
  <c r="H4061" i="20"/>
  <c r="H4062" i="20"/>
  <c r="H4063" i="20"/>
  <c r="H4064" i="20"/>
  <c r="H4065" i="20"/>
  <c r="H4066" i="20"/>
  <c r="H4067" i="20"/>
  <c r="H4068" i="20"/>
  <c r="H4069" i="20"/>
  <c r="H4070" i="20"/>
  <c r="H4071" i="20"/>
  <c r="H4072" i="20"/>
  <c r="H4073" i="20"/>
  <c r="H4074" i="20"/>
  <c r="H4075" i="20"/>
  <c r="H4076" i="20"/>
  <c r="H4077" i="20"/>
  <c r="H4078" i="20"/>
  <c r="H4079" i="20"/>
  <c r="H4080" i="20"/>
  <c r="H4081" i="20"/>
  <c r="H4082" i="20"/>
  <c r="H4083" i="20"/>
  <c r="H4084" i="20"/>
  <c r="H4085" i="20"/>
  <c r="H4086" i="20"/>
  <c r="H4087" i="20"/>
  <c r="H4088" i="20"/>
  <c r="H4089" i="20"/>
  <c r="H4090" i="20"/>
  <c r="H4091" i="20"/>
  <c r="H4092" i="20"/>
  <c r="H4093" i="20"/>
  <c r="H4094" i="20"/>
  <c r="H4095" i="20"/>
  <c r="H4096" i="20"/>
  <c r="H4097" i="20"/>
  <c r="H4098" i="20"/>
  <c r="H4099" i="20"/>
  <c r="H4100" i="20"/>
  <c r="H4101" i="20"/>
  <c r="H4102" i="20"/>
  <c r="H4103" i="20"/>
  <c r="H4104" i="20"/>
  <c r="H4105" i="20"/>
  <c r="H4106" i="20"/>
  <c r="H4107" i="20"/>
  <c r="H4108" i="20"/>
  <c r="H4109" i="20"/>
  <c r="H4110" i="20"/>
  <c r="H4111" i="20"/>
  <c r="H4112" i="20"/>
  <c r="H4113" i="20"/>
  <c r="H4114" i="20"/>
  <c r="H4115" i="20"/>
  <c r="H4116" i="20"/>
  <c r="H4117" i="20"/>
  <c r="H4118" i="20"/>
  <c r="H4119" i="20"/>
  <c r="H4120" i="20"/>
  <c r="H4121" i="20"/>
  <c r="H4122" i="20"/>
  <c r="H4123" i="20"/>
  <c r="H4124" i="20"/>
  <c r="H4125" i="20"/>
  <c r="H4126" i="20"/>
  <c r="H4127" i="20"/>
  <c r="H4128" i="20"/>
  <c r="H4129" i="20"/>
  <c r="H4130" i="20"/>
  <c r="H4131" i="20"/>
  <c r="H4132" i="20"/>
  <c r="H4133" i="20"/>
  <c r="H4134" i="20"/>
  <c r="H4135" i="20"/>
  <c r="H4136" i="20"/>
  <c r="H4137" i="20"/>
  <c r="H4138" i="20"/>
  <c r="H4139" i="20"/>
  <c r="H4140" i="20"/>
  <c r="H4141" i="20"/>
  <c r="H4142" i="20"/>
  <c r="H4143" i="20"/>
  <c r="H4144" i="20"/>
  <c r="H4145" i="20"/>
  <c r="H4146" i="20"/>
  <c r="H4147" i="20"/>
  <c r="H4148" i="20"/>
  <c r="H4149" i="20"/>
  <c r="H4150" i="20"/>
  <c r="H4151" i="20"/>
  <c r="H4152" i="20"/>
  <c r="H4153" i="20"/>
  <c r="H4154" i="20"/>
  <c r="H4155" i="20"/>
  <c r="H4156" i="20"/>
  <c r="H4157" i="20"/>
  <c r="H4158" i="20"/>
  <c r="H4159" i="20"/>
  <c r="H4160" i="20"/>
  <c r="H4161" i="20"/>
  <c r="H4162" i="20"/>
  <c r="H4163" i="20"/>
  <c r="H4164" i="20"/>
  <c r="H4165" i="20"/>
  <c r="H4166" i="20"/>
  <c r="H4167" i="20"/>
  <c r="H4168" i="20"/>
  <c r="H4169" i="20"/>
  <c r="H4170" i="20"/>
  <c r="H4171" i="20"/>
  <c r="H4172" i="20"/>
  <c r="H4173" i="20"/>
  <c r="H4174" i="20"/>
  <c r="H4175" i="20"/>
  <c r="H4176" i="20"/>
  <c r="H4177" i="20"/>
  <c r="H4178" i="20"/>
  <c r="H4179" i="20"/>
  <c r="H4180" i="20"/>
  <c r="H4181" i="20"/>
  <c r="H4182" i="20"/>
  <c r="H4183" i="20"/>
  <c r="H4184" i="20"/>
  <c r="H4185" i="20"/>
  <c r="H4186" i="20"/>
  <c r="H4187" i="20"/>
  <c r="H4188" i="20"/>
  <c r="H4189" i="20"/>
  <c r="H4190" i="20"/>
  <c r="H4191" i="20"/>
  <c r="H4192" i="20"/>
  <c r="H4193" i="20"/>
  <c r="H4194" i="20"/>
  <c r="H4195" i="20"/>
  <c r="H4196" i="20"/>
  <c r="H4197" i="20"/>
  <c r="H4198" i="20"/>
  <c r="H4199" i="20"/>
  <c r="H4200" i="20"/>
  <c r="H4201" i="20"/>
  <c r="H4202" i="20"/>
  <c r="H4203" i="20"/>
  <c r="H4204" i="20"/>
  <c r="H4205" i="20"/>
  <c r="H4206" i="20"/>
  <c r="H4207" i="20"/>
  <c r="H4208" i="20"/>
  <c r="H4209" i="20"/>
  <c r="H4210" i="20"/>
  <c r="H4211" i="20"/>
  <c r="H4212" i="20"/>
  <c r="H4213" i="20"/>
  <c r="H4214" i="20"/>
  <c r="H4215" i="20"/>
  <c r="H4216" i="20"/>
  <c r="H4217" i="20"/>
  <c r="H4218" i="20"/>
  <c r="H4219" i="20"/>
  <c r="H4220" i="20"/>
  <c r="H4221" i="20"/>
  <c r="H4222" i="20"/>
  <c r="H4223" i="20"/>
  <c r="H4224" i="20"/>
  <c r="H4225" i="20"/>
  <c r="H4226" i="20"/>
  <c r="H4227" i="20"/>
  <c r="H4228" i="20"/>
  <c r="H4229" i="20"/>
  <c r="H4230" i="20"/>
  <c r="H4231" i="20"/>
  <c r="H4232" i="20"/>
  <c r="H4233" i="20"/>
  <c r="H4234" i="20"/>
  <c r="H4235" i="20"/>
  <c r="H4236" i="20"/>
  <c r="H4237" i="20"/>
  <c r="H4238" i="20"/>
  <c r="H4239" i="20"/>
  <c r="H4240" i="20"/>
  <c r="H4241" i="20"/>
  <c r="H4242" i="20"/>
  <c r="H4243" i="20"/>
  <c r="H4244" i="20"/>
  <c r="H4245" i="20"/>
  <c r="H4246" i="20"/>
  <c r="H4247" i="20"/>
  <c r="H4248" i="20"/>
  <c r="H4249" i="20"/>
  <c r="H4250" i="20"/>
  <c r="H4251" i="20"/>
  <c r="H4252" i="20"/>
  <c r="H4253" i="20"/>
  <c r="H4254" i="20"/>
  <c r="H4255" i="20"/>
  <c r="H4256" i="20"/>
  <c r="H4257" i="20"/>
  <c r="H4258" i="20"/>
  <c r="H4259" i="20"/>
  <c r="H4260" i="20"/>
  <c r="H4261" i="20"/>
  <c r="H4262" i="20"/>
  <c r="H4263" i="20"/>
  <c r="H4264" i="20"/>
  <c r="H4265" i="20"/>
  <c r="H4266" i="20"/>
  <c r="H4267" i="20"/>
  <c r="H4268" i="20"/>
  <c r="H4269" i="20"/>
  <c r="H4270" i="20"/>
  <c r="H4271" i="20"/>
  <c r="H4272" i="20"/>
  <c r="H4273" i="20"/>
  <c r="H4274" i="20"/>
  <c r="H4275" i="20"/>
  <c r="H4276" i="20"/>
  <c r="H4277" i="20"/>
  <c r="H4278" i="20"/>
  <c r="H4279" i="20"/>
  <c r="H4280" i="20"/>
  <c r="H4281" i="20"/>
  <c r="H4282" i="20"/>
  <c r="H4283" i="20"/>
  <c r="H4284" i="20"/>
  <c r="H4285" i="20"/>
  <c r="H4286" i="20"/>
  <c r="H4287" i="20"/>
  <c r="H4288" i="20"/>
  <c r="H4289" i="20"/>
  <c r="H4290" i="20"/>
  <c r="H4291" i="20"/>
  <c r="H4292" i="20"/>
  <c r="H4293" i="20"/>
  <c r="H4294" i="20"/>
  <c r="H4295" i="20"/>
  <c r="H4296" i="20"/>
  <c r="H4297" i="20"/>
  <c r="H4298" i="20"/>
  <c r="H4299" i="20"/>
  <c r="H4300" i="20"/>
  <c r="H4301" i="20"/>
  <c r="H4302" i="20"/>
  <c r="H4303" i="20"/>
  <c r="H4304" i="20"/>
  <c r="H4305" i="20"/>
  <c r="H4306" i="20"/>
  <c r="H4307" i="20"/>
  <c r="H4308" i="20"/>
  <c r="H4309" i="20"/>
  <c r="H4310" i="20"/>
  <c r="H4311" i="20"/>
  <c r="H4312" i="20"/>
  <c r="H4313" i="20"/>
  <c r="H4314" i="20"/>
  <c r="H4315" i="20"/>
  <c r="H4316" i="20"/>
  <c r="H4317" i="20"/>
  <c r="H4318" i="20"/>
  <c r="H4319" i="20"/>
  <c r="H4320" i="20"/>
  <c r="H4321" i="20"/>
  <c r="H4322" i="20"/>
  <c r="H4323" i="20"/>
  <c r="H4324" i="20"/>
  <c r="H4325" i="20"/>
  <c r="H4326" i="20"/>
  <c r="H4327" i="20"/>
  <c r="H4328" i="20"/>
  <c r="H4329" i="20"/>
  <c r="H4330" i="20"/>
  <c r="H4331" i="20"/>
  <c r="H4332" i="20"/>
  <c r="H4333" i="20"/>
  <c r="H4334" i="20"/>
  <c r="H4335" i="20"/>
  <c r="H4336" i="20"/>
  <c r="H4337" i="20"/>
  <c r="H4338" i="20"/>
  <c r="H4339" i="20"/>
  <c r="H4340" i="20"/>
  <c r="H4341" i="20"/>
  <c r="H4342" i="20"/>
  <c r="H4343" i="20"/>
  <c r="H4344" i="20"/>
  <c r="H4345" i="20"/>
  <c r="H4346" i="20"/>
  <c r="H4347" i="20"/>
  <c r="H4348" i="20"/>
  <c r="H4349" i="20"/>
  <c r="H4350" i="20"/>
  <c r="H4351" i="20"/>
  <c r="H4352" i="20"/>
  <c r="H4353" i="20"/>
  <c r="H4354" i="20"/>
  <c r="H4355" i="20"/>
  <c r="H4356" i="20"/>
  <c r="H4357" i="20"/>
  <c r="H4358" i="20"/>
  <c r="H4359" i="20"/>
  <c r="H4360" i="20"/>
  <c r="H4361" i="20"/>
  <c r="H4362" i="20"/>
  <c r="H4363" i="20"/>
  <c r="H4364" i="20"/>
  <c r="H4365" i="20"/>
  <c r="H4366" i="20"/>
  <c r="H4367" i="20"/>
  <c r="H4368" i="20"/>
  <c r="H4369" i="20"/>
  <c r="H4370" i="20"/>
  <c r="H4371" i="20"/>
  <c r="H4372" i="20"/>
  <c r="H4373" i="20"/>
  <c r="H4374" i="20"/>
  <c r="H4375" i="20"/>
  <c r="H4376" i="20"/>
  <c r="H4377" i="20"/>
  <c r="H4378" i="20"/>
  <c r="H4379" i="20"/>
  <c r="H4380" i="20"/>
  <c r="H4381" i="20"/>
  <c r="H4382" i="20"/>
  <c r="H4383" i="20"/>
  <c r="H4384" i="20"/>
  <c r="H4385" i="20"/>
  <c r="H4386" i="20"/>
  <c r="H4387" i="20"/>
  <c r="H4388" i="20"/>
  <c r="H4389" i="20"/>
  <c r="H4390" i="20"/>
  <c r="H4391" i="20"/>
  <c r="H4392" i="20"/>
  <c r="H4393" i="20"/>
  <c r="H4394" i="20"/>
  <c r="H4395" i="20"/>
  <c r="H4396" i="20"/>
  <c r="H4397" i="20"/>
  <c r="H4398" i="20"/>
  <c r="H4399" i="20"/>
  <c r="H4400" i="20"/>
  <c r="H4401" i="20"/>
  <c r="H4402" i="20"/>
  <c r="H4403" i="20"/>
  <c r="H4404" i="20"/>
  <c r="H4405" i="20"/>
  <c r="H4406" i="20"/>
  <c r="H4407" i="20"/>
  <c r="H4408" i="20"/>
  <c r="H4409" i="20"/>
  <c r="H4410" i="20"/>
  <c r="H4411" i="20"/>
  <c r="H4412" i="20"/>
  <c r="H4413" i="20"/>
  <c r="H4414" i="20"/>
  <c r="H4415" i="20"/>
  <c r="H4416" i="20"/>
  <c r="H4417" i="20"/>
  <c r="H4418" i="20"/>
  <c r="H4419" i="20"/>
  <c r="H4420" i="20"/>
  <c r="H4421" i="20"/>
  <c r="H4422" i="20"/>
  <c r="H4423" i="20"/>
  <c r="H4424" i="20"/>
  <c r="H4425" i="20"/>
  <c r="H4426" i="20"/>
  <c r="H4427" i="20"/>
  <c r="H4428" i="20"/>
  <c r="H4429" i="20"/>
  <c r="H4430" i="20"/>
  <c r="H4431" i="20"/>
  <c r="H4432" i="20"/>
  <c r="H4433" i="20"/>
  <c r="H4434" i="20"/>
  <c r="H4435" i="20"/>
  <c r="H4436" i="20"/>
  <c r="H4437" i="20"/>
  <c r="H4438" i="20"/>
  <c r="H4439" i="20"/>
  <c r="H4440" i="20"/>
  <c r="H4441" i="20"/>
  <c r="H4442" i="20"/>
  <c r="H4443" i="20"/>
  <c r="H4444" i="20"/>
  <c r="H4445" i="20"/>
  <c r="H4446" i="20"/>
  <c r="H4447" i="20"/>
  <c r="H4448" i="20"/>
  <c r="H4449" i="20"/>
  <c r="H4450" i="20"/>
  <c r="H4451" i="20"/>
  <c r="H4452" i="20"/>
  <c r="H4453" i="20"/>
  <c r="H4454" i="20"/>
  <c r="H4455" i="20"/>
  <c r="H4456" i="20"/>
  <c r="H4457" i="20"/>
  <c r="H4458" i="20"/>
  <c r="H4459" i="20"/>
  <c r="H4460" i="20"/>
  <c r="H4461" i="20"/>
  <c r="H4462" i="20"/>
  <c r="H4463" i="20"/>
  <c r="H4464" i="20"/>
  <c r="H4465" i="20"/>
  <c r="H4466" i="20"/>
  <c r="H4467" i="20"/>
  <c r="H4468" i="20"/>
  <c r="H4469" i="20"/>
  <c r="H4470" i="20"/>
  <c r="H4471" i="20"/>
  <c r="H4472" i="20"/>
  <c r="H4473" i="20"/>
  <c r="H4474" i="20"/>
  <c r="H4475" i="20"/>
  <c r="H4476" i="20"/>
  <c r="H4477" i="20"/>
  <c r="H4478" i="20"/>
  <c r="H4479" i="20"/>
  <c r="H4480" i="20"/>
  <c r="H4481" i="20"/>
  <c r="H4482" i="20"/>
  <c r="H4483" i="20"/>
  <c r="H4484" i="20"/>
  <c r="H4485" i="20"/>
  <c r="H4486" i="20"/>
  <c r="H4487" i="20"/>
  <c r="H4488" i="20"/>
  <c r="H4489" i="20"/>
  <c r="H4490" i="20"/>
  <c r="H4491" i="20"/>
  <c r="H4492" i="20"/>
  <c r="H4493" i="20"/>
  <c r="H4494" i="20"/>
  <c r="H4495" i="20"/>
  <c r="H4496" i="20"/>
  <c r="H4497" i="20"/>
  <c r="H4498" i="20"/>
  <c r="H4499" i="20"/>
  <c r="H4500" i="20"/>
  <c r="H4501" i="20"/>
  <c r="H4502" i="20"/>
  <c r="H4503" i="20"/>
  <c r="H4504" i="20"/>
  <c r="H4505" i="20"/>
  <c r="H4506" i="20"/>
  <c r="H4507" i="20"/>
  <c r="H4508" i="20"/>
  <c r="H4509" i="20"/>
  <c r="H4510" i="20"/>
  <c r="H4511" i="20"/>
  <c r="H4512" i="20"/>
  <c r="H4513" i="20"/>
  <c r="H4514" i="20"/>
  <c r="H4515" i="20"/>
  <c r="H4516" i="20"/>
  <c r="H4517" i="20"/>
  <c r="H4518" i="20"/>
  <c r="H4519" i="20"/>
  <c r="H4520" i="20"/>
  <c r="H4521" i="20"/>
  <c r="H4522" i="20"/>
  <c r="H4523" i="20"/>
  <c r="H4524" i="20"/>
  <c r="H4525" i="20"/>
  <c r="H4526" i="20"/>
  <c r="H4527" i="20"/>
  <c r="H4528" i="20"/>
  <c r="H4529" i="20"/>
  <c r="H4530" i="20"/>
  <c r="H4531" i="20"/>
  <c r="H4532" i="20"/>
  <c r="H4533" i="20"/>
  <c r="H4534" i="20"/>
  <c r="H4535" i="20"/>
  <c r="H4536" i="20"/>
  <c r="H4537" i="20"/>
  <c r="H4538" i="20"/>
  <c r="H4539" i="20"/>
  <c r="H4540" i="20"/>
  <c r="H4541" i="20"/>
  <c r="H4542" i="20"/>
  <c r="H4543" i="20"/>
  <c r="H4544" i="20"/>
  <c r="H4545" i="20"/>
  <c r="H4546" i="20"/>
  <c r="H4547" i="20"/>
  <c r="H4548" i="20"/>
  <c r="H4549" i="20"/>
  <c r="H4550" i="20"/>
  <c r="H4551" i="20"/>
  <c r="H4552" i="20"/>
  <c r="H4553" i="20"/>
  <c r="H4554" i="20"/>
  <c r="H4555" i="20"/>
  <c r="H4556" i="20"/>
  <c r="H4557" i="20"/>
  <c r="H4558" i="20"/>
  <c r="H4559" i="20"/>
  <c r="H4560" i="20"/>
  <c r="H4561" i="20"/>
  <c r="H4562" i="20"/>
  <c r="H4563" i="20"/>
  <c r="H4564" i="20"/>
  <c r="H4565" i="20"/>
  <c r="H4566" i="20"/>
  <c r="H4567" i="20"/>
  <c r="H4568" i="20"/>
  <c r="H4569" i="20"/>
  <c r="H4570" i="20"/>
  <c r="H4571" i="20"/>
  <c r="H4572" i="20"/>
  <c r="H4573" i="20"/>
  <c r="H4574" i="20"/>
  <c r="H4575" i="20"/>
  <c r="H4576" i="20"/>
  <c r="H4577" i="20"/>
  <c r="H4578" i="20"/>
  <c r="H4579" i="20"/>
  <c r="H4580" i="20"/>
  <c r="H4581" i="20"/>
  <c r="H4582" i="20"/>
  <c r="H4583" i="20"/>
  <c r="H4584" i="20"/>
  <c r="H4585" i="20"/>
  <c r="H4586" i="20"/>
  <c r="H4587" i="20"/>
  <c r="H4588" i="20"/>
  <c r="H4589" i="20"/>
  <c r="H4590" i="20"/>
  <c r="H4591" i="20"/>
  <c r="H4592" i="20"/>
  <c r="H4593" i="20"/>
  <c r="H4594" i="20"/>
  <c r="H4595" i="20"/>
  <c r="H4596" i="20"/>
  <c r="H4597" i="20"/>
  <c r="H4598" i="20"/>
  <c r="H4599" i="20"/>
  <c r="H4600" i="20"/>
  <c r="H4601" i="20"/>
  <c r="H4602" i="20"/>
  <c r="H4603" i="20"/>
  <c r="H4604" i="20"/>
  <c r="H4605" i="20"/>
  <c r="H4606" i="20"/>
  <c r="H4607" i="20"/>
  <c r="H4608" i="20"/>
  <c r="H4609" i="20"/>
  <c r="H4610" i="20"/>
  <c r="H4611" i="20"/>
  <c r="H4612" i="20"/>
  <c r="H4613" i="20"/>
  <c r="H4614" i="20"/>
  <c r="H4615" i="20"/>
  <c r="H4616" i="20"/>
  <c r="H4617" i="20"/>
  <c r="H4618" i="20"/>
  <c r="H4619" i="20"/>
  <c r="H4620" i="20"/>
  <c r="H4621" i="20"/>
  <c r="H4622" i="20"/>
  <c r="H4623" i="20"/>
  <c r="H4624" i="20"/>
  <c r="H4625" i="20"/>
  <c r="H4626" i="20"/>
  <c r="H4627" i="20"/>
  <c r="H4628" i="20"/>
  <c r="H4629" i="20"/>
  <c r="H4630" i="20"/>
  <c r="H4631" i="20"/>
  <c r="H4632" i="20"/>
  <c r="H4633" i="20"/>
  <c r="H4634" i="20"/>
  <c r="H4635" i="20"/>
  <c r="H4636" i="20"/>
  <c r="H4637" i="20"/>
  <c r="H4638" i="20"/>
  <c r="H4639" i="20"/>
  <c r="H4640" i="20"/>
  <c r="H4641" i="20"/>
  <c r="H4642" i="20"/>
  <c r="H4643" i="20"/>
  <c r="H4644" i="20"/>
  <c r="H4645" i="20"/>
  <c r="H4646" i="20"/>
  <c r="H4647" i="20"/>
  <c r="H4648" i="20"/>
  <c r="H4649" i="20"/>
  <c r="H4650" i="20"/>
  <c r="H4651" i="20"/>
  <c r="H4652" i="20"/>
  <c r="H4653" i="20"/>
  <c r="H4654" i="20"/>
  <c r="H4655" i="20"/>
  <c r="H4656" i="20"/>
  <c r="H4657" i="20"/>
  <c r="H4658" i="20"/>
  <c r="H4659" i="20"/>
  <c r="H4660" i="20"/>
  <c r="H4661" i="20"/>
  <c r="H4662" i="20"/>
  <c r="H4663" i="20"/>
  <c r="H4664" i="20"/>
  <c r="H4665" i="20"/>
  <c r="H4666" i="20"/>
  <c r="H4667" i="20"/>
  <c r="H4668" i="20"/>
  <c r="H4669" i="20"/>
  <c r="H4670" i="20"/>
  <c r="H4671" i="20"/>
  <c r="H4672" i="20"/>
  <c r="H4673" i="20"/>
  <c r="H4674" i="20"/>
  <c r="H4675" i="20"/>
  <c r="H4676" i="20"/>
  <c r="H4677" i="20"/>
  <c r="H4678" i="20"/>
  <c r="H4679" i="20"/>
  <c r="H4680" i="20"/>
  <c r="H4681" i="20"/>
  <c r="H4682" i="20"/>
  <c r="H4683" i="20"/>
  <c r="H4684" i="20"/>
  <c r="H4685" i="20"/>
  <c r="H4686" i="20"/>
  <c r="H4687" i="20"/>
  <c r="H4688" i="20"/>
  <c r="H4689" i="20"/>
  <c r="H4690" i="20"/>
  <c r="H4691" i="20"/>
  <c r="H4692" i="20"/>
  <c r="H4693" i="20"/>
  <c r="H4694" i="20"/>
  <c r="H4695" i="20"/>
  <c r="H4696" i="20"/>
  <c r="H4697" i="20"/>
  <c r="H4698" i="20"/>
  <c r="H4699" i="20"/>
  <c r="H4700" i="20"/>
  <c r="H4701" i="20"/>
  <c r="H4702" i="20"/>
  <c r="H4703" i="20"/>
  <c r="H4704" i="20"/>
  <c r="H4705" i="20"/>
  <c r="H4706" i="20"/>
  <c r="H4707" i="20"/>
  <c r="H4708" i="20"/>
  <c r="H4709" i="20"/>
  <c r="H4710" i="20"/>
  <c r="H4711" i="20"/>
  <c r="H4712" i="20"/>
  <c r="H4713" i="20"/>
  <c r="H4714" i="20"/>
  <c r="H4715" i="20"/>
  <c r="H4716" i="20"/>
  <c r="H4717" i="20"/>
  <c r="H4718" i="20"/>
  <c r="H4719" i="20"/>
  <c r="H4720" i="20"/>
  <c r="H4721" i="20"/>
  <c r="H4722" i="20"/>
  <c r="H4723" i="20"/>
  <c r="H4724" i="20"/>
  <c r="H4725" i="20"/>
  <c r="H4726" i="20"/>
  <c r="H4727" i="20"/>
  <c r="H4728" i="20"/>
  <c r="H4729" i="20"/>
  <c r="H4730" i="20"/>
  <c r="H4731" i="20"/>
  <c r="H4732" i="20"/>
  <c r="H4733" i="20"/>
  <c r="H4734" i="20"/>
  <c r="H4735" i="20"/>
  <c r="H4736" i="20"/>
  <c r="H4737" i="20"/>
  <c r="H4738" i="20"/>
  <c r="H4739" i="20"/>
  <c r="H4740" i="20"/>
  <c r="H4741" i="20"/>
  <c r="H4742" i="20"/>
  <c r="H4743" i="20"/>
  <c r="H4744" i="20"/>
  <c r="H4745" i="20"/>
  <c r="H4746" i="20"/>
  <c r="H4747" i="20"/>
  <c r="H4748" i="20"/>
  <c r="H4749" i="20"/>
  <c r="H4750" i="20"/>
  <c r="H4751" i="20"/>
  <c r="H4752" i="20"/>
  <c r="H4753" i="20"/>
  <c r="H4754" i="20"/>
  <c r="H4755" i="20"/>
  <c r="H4756" i="20"/>
  <c r="H4757" i="20"/>
  <c r="H4758" i="20"/>
  <c r="H4759" i="20"/>
  <c r="H4760" i="20"/>
  <c r="H4761" i="20"/>
  <c r="H4762" i="20"/>
  <c r="H4763" i="20"/>
  <c r="H4764" i="20"/>
  <c r="H4765" i="20"/>
  <c r="H4766" i="20"/>
  <c r="H4767" i="20"/>
  <c r="H4768" i="20"/>
  <c r="H4769" i="20"/>
  <c r="H4770" i="20"/>
  <c r="H4771" i="20"/>
  <c r="H4772" i="20"/>
  <c r="H4773" i="20"/>
  <c r="H4774" i="20"/>
  <c r="H4775" i="20"/>
  <c r="H4776" i="20"/>
  <c r="H4777" i="20"/>
  <c r="H4778" i="20"/>
  <c r="H4779" i="20"/>
  <c r="H4780" i="20"/>
  <c r="H4781" i="20"/>
  <c r="H4782" i="20"/>
  <c r="H4783" i="20"/>
  <c r="H4784" i="20"/>
  <c r="H4785" i="20"/>
  <c r="H4786" i="20"/>
  <c r="H4787" i="20"/>
  <c r="H4788" i="20"/>
  <c r="H4789" i="20"/>
  <c r="H4790" i="20"/>
  <c r="H4791" i="20"/>
  <c r="H4792" i="20"/>
  <c r="H4793" i="20"/>
  <c r="H4794" i="20"/>
  <c r="H4795" i="20"/>
  <c r="H4796" i="20"/>
  <c r="H4797" i="20"/>
  <c r="H4798" i="20"/>
  <c r="H4799" i="20"/>
  <c r="H4800" i="20"/>
  <c r="H4801" i="20"/>
  <c r="H4802" i="20"/>
  <c r="H4803" i="20"/>
  <c r="H4804" i="20"/>
  <c r="H4805" i="20"/>
  <c r="H4806" i="20"/>
  <c r="H4807" i="20"/>
  <c r="H4808" i="20"/>
  <c r="H4809" i="20"/>
  <c r="H4810" i="20"/>
  <c r="H4811" i="20"/>
  <c r="H4812" i="20"/>
  <c r="H4813" i="20"/>
  <c r="H4814" i="20"/>
  <c r="H4815" i="20"/>
  <c r="H4816" i="20"/>
  <c r="H4817" i="20"/>
  <c r="H4818" i="20"/>
  <c r="H4819" i="20"/>
  <c r="H4820" i="20"/>
  <c r="H4821" i="20"/>
  <c r="H4822" i="20"/>
  <c r="H4823" i="20"/>
  <c r="H4824" i="20"/>
  <c r="H4825" i="20"/>
  <c r="H4826" i="20"/>
  <c r="H4827" i="20"/>
  <c r="H4828" i="20"/>
  <c r="H4829" i="20"/>
  <c r="H4830" i="20"/>
  <c r="H4831" i="20"/>
  <c r="H4832" i="20"/>
  <c r="H4833" i="20"/>
  <c r="H4834" i="20"/>
  <c r="H4835" i="20"/>
  <c r="H4836" i="20"/>
  <c r="H4837" i="20"/>
  <c r="H4838" i="20"/>
  <c r="H4839" i="20"/>
  <c r="H4840" i="20"/>
  <c r="H4841" i="20"/>
  <c r="H4842" i="20"/>
  <c r="H4843" i="20"/>
  <c r="H4844" i="20"/>
  <c r="H4845" i="20"/>
  <c r="H4846" i="20"/>
  <c r="H4847" i="20"/>
  <c r="H4848" i="20"/>
  <c r="H4849" i="20"/>
  <c r="H4850" i="20"/>
  <c r="H4851" i="20"/>
  <c r="H4852" i="20"/>
  <c r="H4853" i="20"/>
  <c r="H4854" i="20"/>
  <c r="H4855" i="20"/>
  <c r="H4856" i="20"/>
  <c r="H4857" i="20"/>
  <c r="H4858" i="20"/>
  <c r="H4859" i="20"/>
  <c r="H4860" i="20"/>
  <c r="H4861" i="20"/>
  <c r="H4862" i="20"/>
  <c r="H4863" i="20"/>
  <c r="H4864" i="20"/>
  <c r="H4865" i="20"/>
  <c r="H4866" i="20"/>
  <c r="H4867" i="20"/>
  <c r="H4868" i="20"/>
  <c r="H4869" i="20"/>
  <c r="H4870" i="20"/>
  <c r="H4871" i="20"/>
  <c r="H4872" i="20"/>
  <c r="H4873" i="20"/>
  <c r="H4874" i="20"/>
  <c r="H4875" i="20"/>
  <c r="H4876" i="20"/>
  <c r="H4877" i="20"/>
  <c r="H4878" i="20"/>
  <c r="H4879" i="20"/>
  <c r="H4880" i="20"/>
  <c r="H4881" i="20"/>
  <c r="H4882" i="20"/>
  <c r="H4883" i="20"/>
  <c r="H4884" i="20"/>
  <c r="H4885" i="20"/>
  <c r="H4886" i="20"/>
  <c r="H4887" i="20"/>
  <c r="H4888" i="20"/>
  <c r="H4889" i="20"/>
  <c r="H4890" i="20"/>
  <c r="H4891" i="20"/>
  <c r="H4892" i="20"/>
  <c r="H4893" i="20"/>
  <c r="H4894" i="20"/>
  <c r="H4895" i="20"/>
  <c r="H4896" i="20"/>
  <c r="H4897" i="20"/>
  <c r="H4898" i="20"/>
  <c r="H4899" i="20"/>
  <c r="H4900" i="20"/>
  <c r="H4901" i="20"/>
  <c r="H4902" i="20"/>
  <c r="H4903" i="20"/>
  <c r="H4904" i="20"/>
  <c r="H4905" i="20"/>
  <c r="H4906" i="20"/>
  <c r="H4907" i="20"/>
  <c r="H4908" i="20"/>
  <c r="H4909" i="20"/>
  <c r="H4910" i="20"/>
  <c r="H4911" i="20"/>
  <c r="H4912" i="20"/>
  <c r="H4913" i="20"/>
  <c r="H4914" i="20"/>
  <c r="H4915" i="20"/>
  <c r="H4916" i="20"/>
  <c r="H4917" i="20"/>
  <c r="H4918" i="20"/>
  <c r="H4919" i="20"/>
  <c r="H4920" i="20"/>
  <c r="H4921" i="20"/>
  <c r="H4922" i="20"/>
  <c r="H4923" i="20"/>
  <c r="H4924" i="20"/>
  <c r="H4925" i="20"/>
  <c r="H4926" i="20"/>
  <c r="H4927" i="20"/>
  <c r="H4928" i="20"/>
  <c r="H4929" i="20"/>
  <c r="H4930" i="20"/>
  <c r="H4931" i="20"/>
  <c r="H4932" i="20"/>
  <c r="H4933" i="20"/>
  <c r="H4934" i="20"/>
  <c r="H4935" i="20"/>
  <c r="H4936" i="20"/>
  <c r="H4937" i="20"/>
  <c r="H4938" i="20"/>
  <c r="H4939" i="20"/>
  <c r="H4940" i="20"/>
  <c r="H4941" i="20"/>
  <c r="H4942" i="20"/>
  <c r="H4943" i="20"/>
  <c r="H4944" i="20"/>
  <c r="H4945" i="20"/>
  <c r="H4946" i="20"/>
  <c r="H4947" i="20"/>
  <c r="H4948" i="20"/>
  <c r="H4949" i="20"/>
  <c r="H4950" i="20"/>
  <c r="H4951" i="20"/>
  <c r="H4952" i="20"/>
  <c r="H4953" i="20"/>
  <c r="H4954" i="20"/>
  <c r="H4955" i="20"/>
  <c r="H4956" i="20"/>
  <c r="H4957" i="20"/>
  <c r="H4958" i="20"/>
  <c r="H4959" i="20"/>
  <c r="H4960" i="20"/>
  <c r="H4961" i="20"/>
  <c r="H4962" i="20"/>
  <c r="H4963" i="20"/>
  <c r="H4964" i="20"/>
  <c r="I3898" i="20"/>
  <c r="J3898" i="20" s="1"/>
  <c r="I3899" i="20"/>
  <c r="J3899" i="20" s="1"/>
  <c r="I3900" i="20"/>
  <c r="I3901" i="20"/>
  <c r="I3902" i="20"/>
  <c r="I3903" i="20"/>
  <c r="J3903" i="20" s="1"/>
  <c r="I3904" i="20"/>
  <c r="I3905" i="20"/>
  <c r="J3905" i="20" s="1"/>
  <c r="I3906" i="20"/>
  <c r="J3906" i="20" s="1"/>
  <c r="I3907" i="20"/>
  <c r="I3908" i="20"/>
  <c r="I3909" i="20"/>
  <c r="I3910" i="20"/>
  <c r="I3911" i="20"/>
  <c r="J3911" i="20" s="1"/>
  <c r="I3912" i="20"/>
  <c r="I3913" i="20"/>
  <c r="J3913" i="20" s="1"/>
  <c r="I3914" i="20"/>
  <c r="J3914" i="20" s="1"/>
  <c r="I3915" i="20"/>
  <c r="I3916" i="20"/>
  <c r="I3917" i="20"/>
  <c r="I3918" i="20"/>
  <c r="I3919" i="20"/>
  <c r="I3920" i="20"/>
  <c r="J3920" i="20" s="1"/>
  <c r="I3921" i="20"/>
  <c r="J3921" i="20" s="1"/>
  <c r="I3922" i="20"/>
  <c r="J3922" i="20" s="1"/>
  <c r="I3923" i="20"/>
  <c r="I3924" i="20"/>
  <c r="I3925" i="20"/>
  <c r="I3926" i="20"/>
  <c r="I3927" i="20"/>
  <c r="J3927" i="20" s="1"/>
  <c r="I3928" i="20"/>
  <c r="I3929" i="20"/>
  <c r="J3929" i="20" s="1"/>
  <c r="I3930" i="20"/>
  <c r="J3930" i="20" s="1"/>
  <c r="I3931" i="20"/>
  <c r="I3932" i="20"/>
  <c r="I3933" i="20"/>
  <c r="I3934" i="20"/>
  <c r="I3935" i="20"/>
  <c r="J3935" i="20" s="1"/>
  <c r="I3936" i="20"/>
  <c r="I3937" i="20"/>
  <c r="J3937" i="20" s="1"/>
  <c r="I3938" i="20"/>
  <c r="J3938" i="20" s="1"/>
  <c r="I3939" i="20"/>
  <c r="I3940" i="20"/>
  <c r="I3941" i="20"/>
  <c r="I3942" i="20"/>
  <c r="I3943" i="20"/>
  <c r="J3943" i="20" s="1"/>
  <c r="I3944" i="20"/>
  <c r="I3945" i="20"/>
  <c r="J3945" i="20" s="1"/>
  <c r="I3946" i="20"/>
  <c r="J3946" i="20" s="1"/>
  <c r="I3947" i="20"/>
  <c r="I3948" i="20"/>
  <c r="I3949" i="20"/>
  <c r="I3950" i="20"/>
  <c r="I3951" i="20"/>
  <c r="I3952" i="20"/>
  <c r="J3952" i="20" s="1"/>
  <c r="I3953" i="20"/>
  <c r="J3953" i="20" s="1"/>
  <c r="I3954" i="20"/>
  <c r="J3954" i="20" s="1"/>
  <c r="I3955" i="20"/>
  <c r="I3956" i="20"/>
  <c r="I3957" i="20"/>
  <c r="I3958" i="20"/>
  <c r="I3959" i="20"/>
  <c r="J3959" i="20" s="1"/>
  <c r="I3960" i="20"/>
  <c r="I3961" i="20"/>
  <c r="J3961" i="20" s="1"/>
  <c r="I3962" i="20"/>
  <c r="J3962" i="20" s="1"/>
  <c r="I3963" i="20"/>
  <c r="I3964" i="20"/>
  <c r="I3965" i="20"/>
  <c r="I3966" i="20"/>
  <c r="I3967" i="20"/>
  <c r="J3967" i="20" s="1"/>
  <c r="I3968" i="20"/>
  <c r="I3969" i="20"/>
  <c r="J3969" i="20" s="1"/>
  <c r="I3970" i="20"/>
  <c r="J3970" i="20" s="1"/>
  <c r="I3971" i="20"/>
  <c r="I3972" i="20"/>
  <c r="I3973" i="20"/>
  <c r="I3974" i="20"/>
  <c r="I3975" i="20"/>
  <c r="J3975" i="20" s="1"/>
  <c r="I3976" i="20"/>
  <c r="I3977" i="20"/>
  <c r="J3977" i="20" s="1"/>
  <c r="I3978" i="20"/>
  <c r="J3978" i="20" s="1"/>
  <c r="I3979" i="20"/>
  <c r="I3980" i="20"/>
  <c r="I3981" i="20"/>
  <c r="I3982" i="20"/>
  <c r="I3983" i="20"/>
  <c r="I3984" i="20"/>
  <c r="J3984" i="20" s="1"/>
  <c r="I3985" i="20"/>
  <c r="J3985" i="20" s="1"/>
  <c r="I3986" i="20"/>
  <c r="J3986" i="20" s="1"/>
  <c r="I3987" i="20"/>
  <c r="I3988" i="20"/>
  <c r="I3989" i="20"/>
  <c r="I3990" i="20"/>
  <c r="I3991" i="20"/>
  <c r="J3991" i="20" s="1"/>
  <c r="I3992" i="20"/>
  <c r="I3993" i="20"/>
  <c r="J3993" i="20" s="1"/>
  <c r="I3994" i="20"/>
  <c r="J3994" i="20" s="1"/>
  <c r="I3995" i="20"/>
  <c r="I3996" i="20"/>
  <c r="I3997" i="20"/>
  <c r="I3998" i="20"/>
  <c r="I3999" i="20"/>
  <c r="J3999" i="20" s="1"/>
  <c r="I4000" i="20"/>
  <c r="I4001" i="20"/>
  <c r="J4001" i="20" s="1"/>
  <c r="I4002" i="20"/>
  <c r="J4002" i="20" s="1"/>
  <c r="I4003" i="20"/>
  <c r="I4004" i="20"/>
  <c r="I4005" i="20"/>
  <c r="I4006" i="20"/>
  <c r="I4007" i="20"/>
  <c r="J4007" i="20" s="1"/>
  <c r="I4008" i="20"/>
  <c r="I4009" i="20"/>
  <c r="J4009" i="20" s="1"/>
  <c r="I4010" i="20"/>
  <c r="J4010" i="20" s="1"/>
  <c r="I4011" i="20"/>
  <c r="I4012" i="20"/>
  <c r="I4013" i="20"/>
  <c r="I4014" i="20"/>
  <c r="I4015" i="20"/>
  <c r="I4016" i="20"/>
  <c r="J4016" i="20" s="1"/>
  <c r="I4017" i="20"/>
  <c r="J4017" i="20" s="1"/>
  <c r="I4018" i="20"/>
  <c r="J4018" i="20" s="1"/>
  <c r="I4019" i="20"/>
  <c r="I4020" i="20"/>
  <c r="I4021" i="20"/>
  <c r="I4022" i="20"/>
  <c r="I4023" i="20"/>
  <c r="J4023" i="20" s="1"/>
  <c r="I4024" i="20"/>
  <c r="I4025" i="20"/>
  <c r="J4025" i="20" s="1"/>
  <c r="I4026" i="20"/>
  <c r="J4026" i="20" s="1"/>
  <c r="I4027" i="20"/>
  <c r="I4028" i="20"/>
  <c r="I4029" i="20"/>
  <c r="I4030" i="20"/>
  <c r="I4031" i="20"/>
  <c r="J4031" i="20" s="1"/>
  <c r="I4032" i="20"/>
  <c r="I4033" i="20"/>
  <c r="J4033" i="20" s="1"/>
  <c r="I4034" i="20"/>
  <c r="J4034" i="20" s="1"/>
  <c r="I4035" i="20"/>
  <c r="I4036" i="20"/>
  <c r="I4037" i="20"/>
  <c r="I4038" i="20"/>
  <c r="I4039" i="20"/>
  <c r="J4039" i="20" s="1"/>
  <c r="I4040" i="20"/>
  <c r="I4041" i="20"/>
  <c r="J4041" i="20" s="1"/>
  <c r="I4042" i="20"/>
  <c r="J4042" i="20" s="1"/>
  <c r="I4043" i="20"/>
  <c r="I4044" i="20"/>
  <c r="I4045" i="20"/>
  <c r="I4046" i="20"/>
  <c r="I4047" i="20"/>
  <c r="I4048" i="20"/>
  <c r="J4048" i="20" s="1"/>
  <c r="I4049" i="20"/>
  <c r="J4049" i="20" s="1"/>
  <c r="I4050" i="20"/>
  <c r="J4050" i="20" s="1"/>
  <c r="I4051" i="20"/>
  <c r="I4052" i="20"/>
  <c r="I4053" i="20"/>
  <c r="I4054" i="20"/>
  <c r="I4055" i="20"/>
  <c r="J4055" i="20" s="1"/>
  <c r="I4056" i="20"/>
  <c r="I4057" i="20"/>
  <c r="J4057" i="20" s="1"/>
  <c r="I4058" i="20"/>
  <c r="J4058" i="20" s="1"/>
  <c r="I4059" i="20"/>
  <c r="I4060" i="20"/>
  <c r="I4061" i="20"/>
  <c r="I4062" i="20"/>
  <c r="I4063" i="20"/>
  <c r="J4063" i="20" s="1"/>
  <c r="I4064" i="20"/>
  <c r="I4065" i="20"/>
  <c r="J4065" i="20" s="1"/>
  <c r="I4066" i="20"/>
  <c r="J4066" i="20" s="1"/>
  <c r="I4067" i="20"/>
  <c r="I4068" i="20"/>
  <c r="I4069" i="20"/>
  <c r="I4070" i="20"/>
  <c r="I4071" i="20"/>
  <c r="J4071" i="20" s="1"/>
  <c r="I4072" i="20"/>
  <c r="I4073" i="20"/>
  <c r="J4073" i="20" s="1"/>
  <c r="I4074" i="20"/>
  <c r="J4074" i="20" s="1"/>
  <c r="I4075" i="20"/>
  <c r="I4076" i="20"/>
  <c r="I4077" i="20"/>
  <c r="I4078" i="20"/>
  <c r="I4079" i="20"/>
  <c r="I4080" i="20"/>
  <c r="J4080" i="20" s="1"/>
  <c r="I4081" i="20"/>
  <c r="J4081" i="20" s="1"/>
  <c r="I4082" i="20"/>
  <c r="J4082" i="20" s="1"/>
  <c r="I4083" i="20"/>
  <c r="I4084" i="20"/>
  <c r="I4085" i="20"/>
  <c r="I4086" i="20"/>
  <c r="I4087" i="20"/>
  <c r="J4087" i="20" s="1"/>
  <c r="I4088" i="20"/>
  <c r="I4089" i="20"/>
  <c r="J4089" i="20" s="1"/>
  <c r="I4090" i="20"/>
  <c r="J4090" i="20" s="1"/>
  <c r="I4091" i="20"/>
  <c r="I4092" i="20"/>
  <c r="I4093" i="20"/>
  <c r="I4094" i="20"/>
  <c r="I4095" i="20"/>
  <c r="J4095" i="20" s="1"/>
  <c r="I4096" i="20"/>
  <c r="I4097" i="20"/>
  <c r="J4097" i="20" s="1"/>
  <c r="I4098" i="20"/>
  <c r="J4098" i="20" s="1"/>
  <c r="I4099" i="20"/>
  <c r="I4100" i="20"/>
  <c r="I4101" i="20"/>
  <c r="I4102" i="20"/>
  <c r="I4103" i="20"/>
  <c r="J4103" i="20" s="1"/>
  <c r="I4104" i="20"/>
  <c r="I4105" i="20"/>
  <c r="J4105" i="20" s="1"/>
  <c r="I4106" i="20"/>
  <c r="J4106" i="20" s="1"/>
  <c r="I4107" i="20"/>
  <c r="I4108" i="20"/>
  <c r="I4109" i="20"/>
  <c r="I4110" i="20"/>
  <c r="I4111" i="20"/>
  <c r="I4112" i="20"/>
  <c r="J4112" i="20" s="1"/>
  <c r="I4113" i="20"/>
  <c r="J4113" i="20" s="1"/>
  <c r="I4114" i="20"/>
  <c r="J4114" i="20" s="1"/>
  <c r="I4115" i="20"/>
  <c r="I4116" i="20"/>
  <c r="I4117" i="20"/>
  <c r="I4118" i="20"/>
  <c r="I4119" i="20"/>
  <c r="J4119" i="20" s="1"/>
  <c r="I4120" i="20"/>
  <c r="I4121" i="20"/>
  <c r="J4121" i="20" s="1"/>
  <c r="I4122" i="20"/>
  <c r="J4122" i="20" s="1"/>
  <c r="I4123" i="20"/>
  <c r="I4124" i="20"/>
  <c r="I4125" i="20"/>
  <c r="I4126" i="20"/>
  <c r="I4127" i="20"/>
  <c r="J4127" i="20" s="1"/>
  <c r="I4128" i="20"/>
  <c r="I4129" i="20"/>
  <c r="J4129" i="20" s="1"/>
  <c r="I4130" i="20"/>
  <c r="J4130" i="20" s="1"/>
  <c r="I4131" i="20"/>
  <c r="I4132" i="20"/>
  <c r="I4133" i="20"/>
  <c r="I4134" i="20"/>
  <c r="I4135" i="20"/>
  <c r="J4135" i="20" s="1"/>
  <c r="I4136" i="20"/>
  <c r="I4137" i="20"/>
  <c r="J4137" i="20" s="1"/>
  <c r="I4138" i="20"/>
  <c r="J4138" i="20" s="1"/>
  <c r="I4139" i="20"/>
  <c r="I4140" i="20"/>
  <c r="I4141" i="20"/>
  <c r="I4142" i="20"/>
  <c r="I4143" i="20"/>
  <c r="I4144" i="20"/>
  <c r="J4144" i="20" s="1"/>
  <c r="I4145" i="20"/>
  <c r="J4145" i="20" s="1"/>
  <c r="I4146" i="20"/>
  <c r="J4146" i="20" s="1"/>
  <c r="I4147" i="20"/>
  <c r="I4148" i="20"/>
  <c r="I4149" i="20"/>
  <c r="I4150" i="20"/>
  <c r="I4151" i="20"/>
  <c r="J4151" i="20" s="1"/>
  <c r="I4152" i="20"/>
  <c r="I4153" i="20"/>
  <c r="J4153" i="20" s="1"/>
  <c r="I4154" i="20"/>
  <c r="J4154" i="20" s="1"/>
  <c r="I4155" i="20"/>
  <c r="I4156" i="20"/>
  <c r="I4157" i="20"/>
  <c r="I4158" i="20"/>
  <c r="I4159" i="20"/>
  <c r="J4159" i="20" s="1"/>
  <c r="I4160" i="20"/>
  <c r="I4161" i="20"/>
  <c r="J4161" i="20" s="1"/>
  <c r="I4162" i="20"/>
  <c r="J4162" i="20" s="1"/>
  <c r="I4163" i="20"/>
  <c r="I4164" i="20"/>
  <c r="I4165" i="20"/>
  <c r="I4166" i="20"/>
  <c r="I4167" i="20"/>
  <c r="J4167" i="20" s="1"/>
  <c r="I4168" i="20"/>
  <c r="I4169" i="20"/>
  <c r="J4169" i="20" s="1"/>
  <c r="I4170" i="20"/>
  <c r="J4170" i="20" s="1"/>
  <c r="I4171" i="20"/>
  <c r="I4172" i="20"/>
  <c r="I4173" i="20"/>
  <c r="I4174" i="20"/>
  <c r="I4175" i="20"/>
  <c r="I4176" i="20"/>
  <c r="J4176" i="20" s="1"/>
  <c r="I4177" i="20"/>
  <c r="J4177" i="20" s="1"/>
  <c r="I4178" i="20"/>
  <c r="J4178" i="20" s="1"/>
  <c r="I4179" i="20"/>
  <c r="I4180" i="20"/>
  <c r="I4181" i="20"/>
  <c r="I4182" i="20"/>
  <c r="I4183" i="20"/>
  <c r="J4183" i="20" s="1"/>
  <c r="I4184" i="20"/>
  <c r="I4185" i="20"/>
  <c r="J4185" i="20" s="1"/>
  <c r="I4186" i="20"/>
  <c r="J4186" i="20" s="1"/>
  <c r="I4187" i="20"/>
  <c r="I4188" i="20"/>
  <c r="I4189" i="20"/>
  <c r="I4190" i="20"/>
  <c r="I4191" i="20"/>
  <c r="J4191" i="20" s="1"/>
  <c r="I4192" i="20"/>
  <c r="I4193" i="20"/>
  <c r="J4193" i="20" s="1"/>
  <c r="I4194" i="20"/>
  <c r="J4194" i="20" s="1"/>
  <c r="I4195" i="20"/>
  <c r="I4196" i="20"/>
  <c r="I4197" i="20"/>
  <c r="I4198" i="20"/>
  <c r="I4199" i="20"/>
  <c r="J4199" i="20" s="1"/>
  <c r="I4200" i="20"/>
  <c r="I4201" i="20"/>
  <c r="J4201" i="20" s="1"/>
  <c r="I4202" i="20"/>
  <c r="J4202" i="20" s="1"/>
  <c r="I4203" i="20"/>
  <c r="I4204" i="20"/>
  <c r="I4205" i="20"/>
  <c r="I4206" i="20"/>
  <c r="I4207" i="20"/>
  <c r="I4208" i="20"/>
  <c r="J4208" i="20" s="1"/>
  <c r="I4209" i="20"/>
  <c r="J4209" i="20" s="1"/>
  <c r="I4210" i="20"/>
  <c r="J4210" i="20" s="1"/>
  <c r="I4211" i="20"/>
  <c r="I4212" i="20"/>
  <c r="I4213" i="20"/>
  <c r="I4214" i="20"/>
  <c r="I4215" i="20"/>
  <c r="J4215" i="20" s="1"/>
  <c r="I4216" i="20"/>
  <c r="I4217" i="20"/>
  <c r="J4217" i="20" s="1"/>
  <c r="I4218" i="20"/>
  <c r="J4218" i="20" s="1"/>
  <c r="I4219" i="20"/>
  <c r="I4220" i="20"/>
  <c r="I4221" i="20"/>
  <c r="I4222" i="20"/>
  <c r="I4223" i="20"/>
  <c r="J4223" i="20" s="1"/>
  <c r="I4224" i="20"/>
  <c r="I4225" i="20"/>
  <c r="J4225" i="20" s="1"/>
  <c r="I4226" i="20"/>
  <c r="J4226" i="20" s="1"/>
  <c r="I4227" i="20"/>
  <c r="I4228" i="20"/>
  <c r="I4229" i="20"/>
  <c r="I4230" i="20"/>
  <c r="I4231" i="20"/>
  <c r="J4231" i="20" s="1"/>
  <c r="I4232" i="20"/>
  <c r="I4233" i="20"/>
  <c r="J4233" i="20" s="1"/>
  <c r="I4234" i="20"/>
  <c r="J4234" i="20" s="1"/>
  <c r="I4235" i="20"/>
  <c r="I4236" i="20"/>
  <c r="I4237" i="20"/>
  <c r="I4238" i="20"/>
  <c r="I4239" i="20"/>
  <c r="I4240" i="20"/>
  <c r="J4240" i="20" s="1"/>
  <c r="I4241" i="20"/>
  <c r="J4241" i="20" s="1"/>
  <c r="I4242" i="20"/>
  <c r="J4242" i="20" s="1"/>
  <c r="I4243" i="20"/>
  <c r="I4244" i="20"/>
  <c r="I4245" i="20"/>
  <c r="I4246" i="20"/>
  <c r="I4247" i="20"/>
  <c r="J4247" i="20" s="1"/>
  <c r="I4248" i="20"/>
  <c r="I4249" i="20"/>
  <c r="J4249" i="20" s="1"/>
  <c r="I4250" i="20"/>
  <c r="J4250" i="20" s="1"/>
  <c r="I4251" i="20"/>
  <c r="I4252" i="20"/>
  <c r="I4253" i="20"/>
  <c r="I4254" i="20"/>
  <c r="I4255" i="20"/>
  <c r="J4255" i="20" s="1"/>
  <c r="I4256" i="20"/>
  <c r="I4257" i="20"/>
  <c r="J4257" i="20" s="1"/>
  <c r="I4258" i="20"/>
  <c r="J4258" i="20" s="1"/>
  <c r="I4259" i="20"/>
  <c r="I4260" i="20"/>
  <c r="I4261" i="20"/>
  <c r="I4262" i="20"/>
  <c r="I4263" i="20"/>
  <c r="J4263" i="20" s="1"/>
  <c r="I4264" i="20"/>
  <c r="I4265" i="20"/>
  <c r="J4265" i="20" s="1"/>
  <c r="I4266" i="20"/>
  <c r="J4266" i="20" s="1"/>
  <c r="I4267" i="20"/>
  <c r="I4268" i="20"/>
  <c r="I4269" i="20"/>
  <c r="I4270" i="20"/>
  <c r="I4271" i="20"/>
  <c r="I4272" i="20"/>
  <c r="J4272" i="20" s="1"/>
  <c r="I4273" i="20"/>
  <c r="J4273" i="20" s="1"/>
  <c r="I4274" i="20"/>
  <c r="J4274" i="20" s="1"/>
  <c r="I4275" i="20"/>
  <c r="I4276" i="20"/>
  <c r="I4277" i="20"/>
  <c r="I4278" i="20"/>
  <c r="I4279" i="20"/>
  <c r="J4279" i="20" s="1"/>
  <c r="I4280" i="20"/>
  <c r="I4281" i="20"/>
  <c r="J4281" i="20" s="1"/>
  <c r="I4282" i="20"/>
  <c r="J4282" i="20" s="1"/>
  <c r="I4283" i="20"/>
  <c r="I4284" i="20"/>
  <c r="I4285" i="20"/>
  <c r="I4286" i="20"/>
  <c r="I4287" i="20"/>
  <c r="J4287" i="20" s="1"/>
  <c r="I4288" i="20"/>
  <c r="I4289" i="20"/>
  <c r="J4289" i="20" s="1"/>
  <c r="I4290" i="20"/>
  <c r="J4290" i="20" s="1"/>
  <c r="I4291" i="20"/>
  <c r="I4292" i="20"/>
  <c r="I4293" i="20"/>
  <c r="I4294" i="20"/>
  <c r="I4295" i="20"/>
  <c r="J4295" i="20" s="1"/>
  <c r="I4296" i="20"/>
  <c r="I4297" i="20"/>
  <c r="J4297" i="20" s="1"/>
  <c r="I4298" i="20"/>
  <c r="J4298" i="20" s="1"/>
  <c r="I4299" i="20"/>
  <c r="I4300" i="20"/>
  <c r="I4301" i="20"/>
  <c r="I4302" i="20"/>
  <c r="I4303" i="20"/>
  <c r="I4304" i="20"/>
  <c r="J4304" i="20" s="1"/>
  <c r="I4305" i="20"/>
  <c r="J4305" i="20" s="1"/>
  <c r="I4306" i="20"/>
  <c r="J4306" i="20" s="1"/>
  <c r="I4307" i="20"/>
  <c r="I4308" i="20"/>
  <c r="I4309" i="20"/>
  <c r="I4310" i="20"/>
  <c r="I4311" i="20"/>
  <c r="J4311" i="20" s="1"/>
  <c r="I4312" i="20"/>
  <c r="I4313" i="20"/>
  <c r="J4313" i="20" s="1"/>
  <c r="I4314" i="20"/>
  <c r="J4314" i="20" s="1"/>
  <c r="I4315" i="20"/>
  <c r="I4316" i="20"/>
  <c r="I4317" i="20"/>
  <c r="I4318" i="20"/>
  <c r="I4319" i="20"/>
  <c r="J4319" i="20" s="1"/>
  <c r="I4320" i="20"/>
  <c r="I4321" i="20"/>
  <c r="J4321" i="20" s="1"/>
  <c r="I4322" i="20"/>
  <c r="J4322" i="20" s="1"/>
  <c r="I4323" i="20"/>
  <c r="I4324" i="20"/>
  <c r="I4325" i="20"/>
  <c r="I4326" i="20"/>
  <c r="I4327" i="20"/>
  <c r="J4327" i="20" s="1"/>
  <c r="I4328" i="20"/>
  <c r="I4329" i="20"/>
  <c r="J4329" i="20" s="1"/>
  <c r="I4330" i="20"/>
  <c r="J4330" i="20" s="1"/>
  <c r="I4331" i="20"/>
  <c r="I4332" i="20"/>
  <c r="I4333" i="20"/>
  <c r="I4334" i="20"/>
  <c r="I4335" i="20"/>
  <c r="I4336" i="20"/>
  <c r="J4336" i="20" s="1"/>
  <c r="I4337" i="20"/>
  <c r="J4337" i="20" s="1"/>
  <c r="I4338" i="20"/>
  <c r="J4338" i="20" s="1"/>
  <c r="I4339" i="20"/>
  <c r="I4340" i="20"/>
  <c r="I4341" i="20"/>
  <c r="I4342" i="20"/>
  <c r="I4343" i="20"/>
  <c r="J4343" i="20" s="1"/>
  <c r="I4344" i="20"/>
  <c r="I4345" i="20"/>
  <c r="J4345" i="20" s="1"/>
  <c r="I4346" i="20"/>
  <c r="J4346" i="20" s="1"/>
  <c r="I4347" i="20"/>
  <c r="I4348" i="20"/>
  <c r="I4349" i="20"/>
  <c r="I4350" i="20"/>
  <c r="I4351" i="20"/>
  <c r="J4351" i="20" s="1"/>
  <c r="I4352" i="20"/>
  <c r="I4353" i="20"/>
  <c r="J4353" i="20" s="1"/>
  <c r="I4354" i="20"/>
  <c r="J4354" i="20" s="1"/>
  <c r="I4355" i="20"/>
  <c r="I4356" i="20"/>
  <c r="I4357" i="20"/>
  <c r="I4358" i="20"/>
  <c r="I4359" i="20"/>
  <c r="J4359" i="20" s="1"/>
  <c r="I4360" i="20"/>
  <c r="I4361" i="20"/>
  <c r="J4361" i="20" s="1"/>
  <c r="I4362" i="20"/>
  <c r="J4362" i="20" s="1"/>
  <c r="I4363" i="20"/>
  <c r="I4364" i="20"/>
  <c r="I4365" i="20"/>
  <c r="I4366" i="20"/>
  <c r="I4367" i="20"/>
  <c r="I4368" i="20"/>
  <c r="J4368" i="20" s="1"/>
  <c r="I4369" i="20"/>
  <c r="J4369" i="20" s="1"/>
  <c r="I4370" i="20"/>
  <c r="J4370" i="20" s="1"/>
  <c r="I4371" i="20"/>
  <c r="I4372" i="20"/>
  <c r="I4373" i="20"/>
  <c r="I4374" i="20"/>
  <c r="I4375" i="20"/>
  <c r="J4375" i="20" s="1"/>
  <c r="I4376" i="20"/>
  <c r="I4377" i="20"/>
  <c r="J4377" i="20" s="1"/>
  <c r="I4378" i="20"/>
  <c r="J4378" i="20" s="1"/>
  <c r="I4379" i="20"/>
  <c r="I4380" i="20"/>
  <c r="I4381" i="20"/>
  <c r="I4382" i="20"/>
  <c r="I4383" i="20"/>
  <c r="J4383" i="20" s="1"/>
  <c r="I4384" i="20"/>
  <c r="I4385" i="20"/>
  <c r="J4385" i="20" s="1"/>
  <c r="I4386" i="20"/>
  <c r="J4386" i="20" s="1"/>
  <c r="I4387" i="20"/>
  <c r="I4388" i="20"/>
  <c r="I4389" i="20"/>
  <c r="I4390" i="20"/>
  <c r="I4391" i="20"/>
  <c r="J4391" i="20" s="1"/>
  <c r="I4392" i="20"/>
  <c r="I4393" i="20"/>
  <c r="J4393" i="20" s="1"/>
  <c r="I4394" i="20"/>
  <c r="J4394" i="20" s="1"/>
  <c r="I4395" i="20"/>
  <c r="I4396" i="20"/>
  <c r="I4397" i="20"/>
  <c r="I4398" i="20"/>
  <c r="I4399" i="20"/>
  <c r="I4400" i="20"/>
  <c r="J4400" i="20" s="1"/>
  <c r="I4401" i="20"/>
  <c r="J4401" i="20" s="1"/>
  <c r="I4402" i="20"/>
  <c r="J4402" i="20" s="1"/>
  <c r="I4403" i="20"/>
  <c r="I4404" i="20"/>
  <c r="I4405" i="20"/>
  <c r="I4406" i="20"/>
  <c r="I4407" i="20"/>
  <c r="J4407" i="20" s="1"/>
  <c r="I4408" i="20"/>
  <c r="I4409" i="20"/>
  <c r="J4409" i="20" s="1"/>
  <c r="I4410" i="20"/>
  <c r="J4410" i="20" s="1"/>
  <c r="I4411" i="20"/>
  <c r="I4412" i="20"/>
  <c r="I4413" i="20"/>
  <c r="I4414" i="20"/>
  <c r="I4415" i="20"/>
  <c r="J4415" i="20" s="1"/>
  <c r="I4416" i="20"/>
  <c r="I4417" i="20"/>
  <c r="J4417" i="20" s="1"/>
  <c r="I4418" i="20"/>
  <c r="J4418" i="20" s="1"/>
  <c r="I4419" i="20"/>
  <c r="I4420" i="20"/>
  <c r="I4421" i="20"/>
  <c r="I4422" i="20"/>
  <c r="I4423" i="20"/>
  <c r="J4423" i="20" s="1"/>
  <c r="I4424" i="20"/>
  <c r="I4425" i="20"/>
  <c r="J4425" i="20" s="1"/>
  <c r="I4426" i="20"/>
  <c r="J4426" i="20" s="1"/>
  <c r="I4427" i="20"/>
  <c r="I4428" i="20"/>
  <c r="I4429" i="20"/>
  <c r="I4430" i="20"/>
  <c r="I4431" i="20"/>
  <c r="I4432" i="20"/>
  <c r="J4432" i="20" s="1"/>
  <c r="I4433" i="20"/>
  <c r="J4433" i="20" s="1"/>
  <c r="I4434" i="20"/>
  <c r="J4434" i="20" s="1"/>
  <c r="I4435" i="20"/>
  <c r="I4436" i="20"/>
  <c r="I4437" i="20"/>
  <c r="I4438" i="20"/>
  <c r="I4439" i="20"/>
  <c r="J4439" i="20" s="1"/>
  <c r="I4440" i="20"/>
  <c r="I4441" i="20"/>
  <c r="J4441" i="20" s="1"/>
  <c r="I4442" i="20"/>
  <c r="J4442" i="20" s="1"/>
  <c r="I4443" i="20"/>
  <c r="I4444" i="20"/>
  <c r="I4445" i="20"/>
  <c r="I4446" i="20"/>
  <c r="I4447" i="20"/>
  <c r="J4447" i="20" s="1"/>
  <c r="I4448" i="20"/>
  <c r="I4449" i="20"/>
  <c r="J4449" i="20" s="1"/>
  <c r="I4450" i="20"/>
  <c r="J4450" i="20" s="1"/>
  <c r="I4451" i="20"/>
  <c r="I4452" i="20"/>
  <c r="I4453" i="20"/>
  <c r="I4454" i="20"/>
  <c r="I4455" i="20"/>
  <c r="J4455" i="20" s="1"/>
  <c r="I4456" i="20"/>
  <c r="I4457" i="20"/>
  <c r="J4457" i="20" s="1"/>
  <c r="I4458" i="20"/>
  <c r="J4458" i="20" s="1"/>
  <c r="I4459" i="20"/>
  <c r="I4460" i="20"/>
  <c r="I4461" i="20"/>
  <c r="I4462" i="20"/>
  <c r="I4463" i="20"/>
  <c r="I4464" i="20"/>
  <c r="J4464" i="20" s="1"/>
  <c r="I4465" i="20"/>
  <c r="J4465" i="20" s="1"/>
  <c r="I4466" i="20"/>
  <c r="J4466" i="20" s="1"/>
  <c r="I4467" i="20"/>
  <c r="I4468" i="20"/>
  <c r="I4469" i="20"/>
  <c r="I4470" i="20"/>
  <c r="I4471" i="20"/>
  <c r="J4471" i="20" s="1"/>
  <c r="I4472" i="20"/>
  <c r="I4473" i="20"/>
  <c r="J4473" i="20" s="1"/>
  <c r="I4474" i="20"/>
  <c r="J4474" i="20" s="1"/>
  <c r="I4475" i="20"/>
  <c r="I4476" i="20"/>
  <c r="I4477" i="20"/>
  <c r="I4478" i="20"/>
  <c r="I4479" i="20"/>
  <c r="J4479" i="20" s="1"/>
  <c r="I4480" i="20"/>
  <c r="I4481" i="20"/>
  <c r="J4481" i="20" s="1"/>
  <c r="I4482" i="20"/>
  <c r="J4482" i="20" s="1"/>
  <c r="I4483" i="20"/>
  <c r="I4484" i="20"/>
  <c r="I4485" i="20"/>
  <c r="I4486" i="20"/>
  <c r="I4487" i="20"/>
  <c r="J4487" i="20" s="1"/>
  <c r="I4488" i="20"/>
  <c r="I4489" i="20"/>
  <c r="J4489" i="20" s="1"/>
  <c r="I4490" i="20"/>
  <c r="J4490" i="20" s="1"/>
  <c r="I4491" i="20"/>
  <c r="I4492" i="20"/>
  <c r="I4493" i="20"/>
  <c r="I4494" i="20"/>
  <c r="I4495" i="20"/>
  <c r="I4496" i="20"/>
  <c r="J4496" i="20" s="1"/>
  <c r="I4497" i="20"/>
  <c r="J4497" i="20" s="1"/>
  <c r="I4498" i="20"/>
  <c r="J4498" i="20" s="1"/>
  <c r="I4499" i="20"/>
  <c r="I4500" i="20"/>
  <c r="I4501" i="20"/>
  <c r="I4502" i="20"/>
  <c r="I4503" i="20"/>
  <c r="J4503" i="20" s="1"/>
  <c r="I4504" i="20"/>
  <c r="I4505" i="20"/>
  <c r="J4505" i="20" s="1"/>
  <c r="I4506" i="20"/>
  <c r="J4506" i="20" s="1"/>
  <c r="I4507" i="20"/>
  <c r="I4508" i="20"/>
  <c r="I4509" i="20"/>
  <c r="I4510" i="20"/>
  <c r="I4511" i="20"/>
  <c r="J4511" i="20" s="1"/>
  <c r="I4512" i="20"/>
  <c r="I4513" i="20"/>
  <c r="J4513" i="20" s="1"/>
  <c r="I4514" i="20"/>
  <c r="J4514" i="20" s="1"/>
  <c r="I4515" i="20"/>
  <c r="I4516" i="20"/>
  <c r="I4517" i="20"/>
  <c r="I4518" i="20"/>
  <c r="I4519" i="20"/>
  <c r="J4519" i="20" s="1"/>
  <c r="I4520" i="20"/>
  <c r="I4521" i="20"/>
  <c r="I4522" i="20"/>
  <c r="J4522" i="20" s="1"/>
  <c r="I4523" i="20"/>
  <c r="I4524" i="20"/>
  <c r="I4525" i="20"/>
  <c r="I4526" i="20"/>
  <c r="I4527" i="20"/>
  <c r="J4527" i="20" s="1"/>
  <c r="I4528" i="20"/>
  <c r="I4529" i="20"/>
  <c r="I4530" i="20"/>
  <c r="J4530" i="20" s="1"/>
  <c r="I4531" i="20"/>
  <c r="I4532" i="20"/>
  <c r="I4533" i="20"/>
  <c r="I4534" i="20"/>
  <c r="I4535" i="20"/>
  <c r="I4536" i="20"/>
  <c r="J4536" i="20" s="1"/>
  <c r="I4537" i="20"/>
  <c r="I4538" i="20"/>
  <c r="J4538" i="20" s="1"/>
  <c r="I4539" i="20"/>
  <c r="I4540" i="20"/>
  <c r="I4541" i="20"/>
  <c r="I4542" i="20"/>
  <c r="I4543" i="20"/>
  <c r="J4543" i="20" s="1"/>
  <c r="I4544" i="20"/>
  <c r="I4545" i="20"/>
  <c r="J4545" i="20" s="1"/>
  <c r="I4546" i="20"/>
  <c r="J4546" i="20" s="1"/>
  <c r="I4547" i="20"/>
  <c r="I4548" i="20"/>
  <c r="I4549" i="20"/>
  <c r="I4550" i="20"/>
  <c r="I4551" i="20"/>
  <c r="J4551" i="20" s="1"/>
  <c r="I4552" i="20"/>
  <c r="I4553" i="20"/>
  <c r="I4554" i="20"/>
  <c r="J4554" i="20" s="1"/>
  <c r="I4555" i="20"/>
  <c r="J4555" i="20" s="1"/>
  <c r="I4556" i="20"/>
  <c r="I4557" i="20"/>
  <c r="I4558" i="20"/>
  <c r="I4559" i="20"/>
  <c r="J4559" i="20" s="1"/>
  <c r="I4560" i="20"/>
  <c r="I4561" i="20"/>
  <c r="I4562" i="20"/>
  <c r="J4562" i="20" s="1"/>
  <c r="I4563" i="20"/>
  <c r="I4564" i="20"/>
  <c r="I4565" i="20"/>
  <c r="I4566" i="20"/>
  <c r="I4567" i="20"/>
  <c r="J4567" i="20" s="1"/>
  <c r="I4568" i="20"/>
  <c r="I4569" i="20"/>
  <c r="I4570" i="20"/>
  <c r="J4570" i="20" s="1"/>
  <c r="I4571" i="20"/>
  <c r="I4572" i="20"/>
  <c r="I4573" i="20"/>
  <c r="I4574" i="20"/>
  <c r="I4575" i="20"/>
  <c r="I4576" i="20"/>
  <c r="I4577" i="20"/>
  <c r="I4578" i="20"/>
  <c r="I4579" i="20"/>
  <c r="I4580" i="20"/>
  <c r="I4581" i="20"/>
  <c r="I4582" i="20"/>
  <c r="I4583" i="20"/>
  <c r="I4584" i="20"/>
  <c r="I4585" i="20"/>
  <c r="I4586" i="20"/>
  <c r="I4587" i="20"/>
  <c r="I4588" i="20"/>
  <c r="I4589" i="20"/>
  <c r="I4590" i="20"/>
  <c r="I4591" i="20"/>
  <c r="I4592" i="20"/>
  <c r="I4593" i="20"/>
  <c r="I4594" i="20"/>
  <c r="I4595" i="20"/>
  <c r="I4596" i="20"/>
  <c r="I4597" i="20"/>
  <c r="I4598" i="20"/>
  <c r="I4599" i="20"/>
  <c r="I4600" i="20"/>
  <c r="I4601" i="20"/>
  <c r="I4602" i="20"/>
  <c r="I4603" i="20"/>
  <c r="I4604" i="20"/>
  <c r="I4605" i="20"/>
  <c r="I4606" i="20"/>
  <c r="I4607" i="20"/>
  <c r="I4608" i="20"/>
  <c r="I4609" i="20"/>
  <c r="I4610" i="20"/>
  <c r="I4611" i="20"/>
  <c r="I4612" i="20"/>
  <c r="I4613" i="20"/>
  <c r="I4614" i="20"/>
  <c r="I4615" i="20"/>
  <c r="I4616" i="20"/>
  <c r="I4617" i="20"/>
  <c r="I4618" i="20"/>
  <c r="I4619" i="20"/>
  <c r="I4620" i="20"/>
  <c r="I4621" i="20"/>
  <c r="I4622" i="20"/>
  <c r="I4623" i="20"/>
  <c r="I4624" i="20"/>
  <c r="I4625" i="20"/>
  <c r="I4626" i="20"/>
  <c r="I4627" i="20"/>
  <c r="I4628" i="20"/>
  <c r="I4629" i="20"/>
  <c r="I4630" i="20"/>
  <c r="I4631" i="20"/>
  <c r="I4632" i="20"/>
  <c r="I4633" i="20"/>
  <c r="I4634" i="20"/>
  <c r="I4635" i="20"/>
  <c r="I4636" i="20"/>
  <c r="I4637" i="20"/>
  <c r="I4638" i="20"/>
  <c r="I4639" i="20"/>
  <c r="I4640" i="20"/>
  <c r="I4641" i="20"/>
  <c r="I4642" i="20"/>
  <c r="I4643" i="20"/>
  <c r="I4644" i="20"/>
  <c r="I4645" i="20"/>
  <c r="I4646" i="20"/>
  <c r="I4647" i="20"/>
  <c r="I4648" i="20"/>
  <c r="I4649" i="20"/>
  <c r="I4650" i="20"/>
  <c r="I4651" i="20"/>
  <c r="I4652" i="20"/>
  <c r="I4653" i="20"/>
  <c r="I4654" i="20"/>
  <c r="I4655" i="20"/>
  <c r="I4656" i="20"/>
  <c r="I4657" i="20"/>
  <c r="I4658" i="20"/>
  <c r="I4659" i="20"/>
  <c r="I4660" i="20"/>
  <c r="I4661" i="20"/>
  <c r="I4662" i="20"/>
  <c r="I4663" i="20"/>
  <c r="I4664" i="20"/>
  <c r="I4665" i="20"/>
  <c r="I4666" i="20"/>
  <c r="I4667" i="20"/>
  <c r="I4668" i="20"/>
  <c r="I4669" i="20"/>
  <c r="I4670" i="20"/>
  <c r="I4671" i="20"/>
  <c r="I4672" i="20"/>
  <c r="I4673" i="20"/>
  <c r="I4674" i="20"/>
  <c r="I4675" i="20"/>
  <c r="I4676" i="20"/>
  <c r="I4677" i="20"/>
  <c r="I4678" i="20"/>
  <c r="I4679" i="20"/>
  <c r="I4680" i="20"/>
  <c r="I4681" i="20"/>
  <c r="I4682" i="20"/>
  <c r="I4683" i="20"/>
  <c r="I4684" i="20"/>
  <c r="I4685" i="20"/>
  <c r="I4686" i="20"/>
  <c r="I4687" i="20"/>
  <c r="I4688" i="20"/>
  <c r="I4689" i="20"/>
  <c r="I4690" i="20"/>
  <c r="I4691" i="20"/>
  <c r="I4692" i="20"/>
  <c r="I4693" i="20"/>
  <c r="I4694" i="20"/>
  <c r="I4695" i="20"/>
  <c r="I4696" i="20"/>
  <c r="I4697" i="20"/>
  <c r="I4698" i="20"/>
  <c r="I4699" i="20"/>
  <c r="I4700" i="20"/>
  <c r="I4701" i="20"/>
  <c r="I4702" i="20"/>
  <c r="I4703" i="20"/>
  <c r="I4704" i="20"/>
  <c r="I4705" i="20"/>
  <c r="I4706" i="20"/>
  <c r="I4707" i="20"/>
  <c r="I4708" i="20"/>
  <c r="I4709" i="20"/>
  <c r="I4710" i="20"/>
  <c r="I4711" i="20"/>
  <c r="I4712" i="20"/>
  <c r="I4713" i="20"/>
  <c r="I4714" i="20"/>
  <c r="I4715" i="20"/>
  <c r="I4716" i="20"/>
  <c r="I4717" i="20"/>
  <c r="I4718" i="20"/>
  <c r="I4719" i="20"/>
  <c r="I4720" i="20"/>
  <c r="I4721" i="20"/>
  <c r="I4722" i="20"/>
  <c r="I4723" i="20"/>
  <c r="I4724" i="20"/>
  <c r="I4725" i="20"/>
  <c r="I4726" i="20"/>
  <c r="I4727" i="20"/>
  <c r="I4728" i="20"/>
  <c r="I4729" i="20"/>
  <c r="I4730" i="20"/>
  <c r="I4731" i="20"/>
  <c r="I4732" i="20"/>
  <c r="I4733" i="20"/>
  <c r="I4734" i="20"/>
  <c r="I4735" i="20"/>
  <c r="I4736" i="20"/>
  <c r="I4737" i="20"/>
  <c r="I4738" i="20"/>
  <c r="I4739" i="20"/>
  <c r="I4740" i="20"/>
  <c r="I4741" i="20"/>
  <c r="I4742" i="20"/>
  <c r="I4743" i="20"/>
  <c r="I4744" i="20"/>
  <c r="I4745" i="20"/>
  <c r="I4746" i="20"/>
  <c r="I4747" i="20"/>
  <c r="I4748" i="20"/>
  <c r="I4749" i="20"/>
  <c r="I4750" i="20"/>
  <c r="I4751" i="20"/>
  <c r="I4752" i="20"/>
  <c r="I4753" i="20"/>
  <c r="I4754" i="20"/>
  <c r="I4755" i="20"/>
  <c r="I4756" i="20"/>
  <c r="I4757" i="20"/>
  <c r="I4758" i="20"/>
  <c r="I4759" i="20"/>
  <c r="I4760" i="20"/>
  <c r="I4761" i="20"/>
  <c r="I4762" i="20"/>
  <c r="I4763" i="20"/>
  <c r="I4764" i="20"/>
  <c r="I4765" i="20"/>
  <c r="I4766" i="20"/>
  <c r="I4767" i="20"/>
  <c r="I4768" i="20"/>
  <c r="I4769" i="20"/>
  <c r="I4770" i="20"/>
  <c r="I4771" i="20"/>
  <c r="I4772" i="20"/>
  <c r="I4773" i="20"/>
  <c r="I4774" i="20"/>
  <c r="I4775" i="20"/>
  <c r="I4776" i="20"/>
  <c r="I4777" i="20"/>
  <c r="I4778" i="20"/>
  <c r="I4779" i="20"/>
  <c r="I4780" i="20"/>
  <c r="I4781" i="20"/>
  <c r="I4782" i="20"/>
  <c r="I4783" i="20"/>
  <c r="I4784" i="20"/>
  <c r="I4785" i="20"/>
  <c r="I4786" i="20"/>
  <c r="I4787" i="20"/>
  <c r="I4788" i="20"/>
  <c r="I4789" i="20"/>
  <c r="I4790" i="20"/>
  <c r="I4791" i="20"/>
  <c r="I4792" i="20"/>
  <c r="I4793" i="20"/>
  <c r="I4794" i="20"/>
  <c r="I4795" i="20"/>
  <c r="I4796" i="20"/>
  <c r="I4797" i="20"/>
  <c r="I4798" i="20"/>
  <c r="I4799" i="20"/>
  <c r="I4800" i="20"/>
  <c r="I4801" i="20"/>
  <c r="I4802" i="20"/>
  <c r="I4803" i="20"/>
  <c r="I4804" i="20"/>
  <c r="I4805" i="20"/>
  <c r="I4806" i="20"/>
  <c r="I4807" i="20"/>
  <c r="I4808" i="20"/>
  <c r="I4809" i="20"/>
  <c r="I4810" i="20"/>
  <c r="I4811" i="20"/>
  <c r="I4812" i="20"/>
  <c r="I4813" i="20"/>
  <c r="I4814" i="20"/>
  <c r="I4815" i="20"/>
  <c r="I4816" i="20"/>
  <c r="I4817" i="20"/>
  <c r="I4818" i="20"/>
  <c r="I4819" i="20"/>
  <c r="I4820" i="20"/>
  <c r="I4821" i="20"/>
  <c r="I4822" i="20"/>
  <c r="I4823" i="20"/>
  <c r="I4824" i="20"/>
  <c r="I4825" i="20"/>
  <c r="I4826" i="20"/>
  <c r="I4827" i="20"/>
  <c r="I4828" i="20"/>
  <c r="I4829" i="20"/>
  <c r="I4830" i="20"/>
  <c r="I4831" i="20"/>
  <c r="I4832" i="20"/>
  <c r="I4833" i="20"/>
  <c r="I4834" i="20"/>
  <c r="I4835" i="20"/>
  <c r="I4836" i="20"/>
  <c r="I4837" i="20"/>
  <c r="I4838" i="20"/>
  <c r="I4839" i="20"/>
  <c r="I4840" i="20"/>
  <c r="I4841" i="20"/>
  <c r="I4842" i="20"/>
  <c r="I4843" i="20"/>
  <c r="I4844" i="20"/>
  <c r="I4845" i="20"/>
  <c r="I4846" i="20"/>
  <c r="I4847" i="20"/>
  <c r="I4848" i="20"/>
  <c r="I4849" i="20"/>
  <c r="I4850" i="20"/>
  <c r="I4851" i="20"/>
  <c r="I4852" i="20"/>
  <c r="I4853" i="20"/>
  <c r="I4854" i="20"/>
  <c r="I4855" i="20"/>
  <c r="I4856" i="20"/>
  <c r="I4857" i="20"/>
  <c r="I4858" i="20"/>
  <c r="I4859" i="20"/>
  <c r="I4860" i="20"/>
  <c r="I4861" i="20"/>
  <c r="I4862" i="20"/>
  <c r="I4863" i="20"/>
  <c r="I4864" i="20"/>
  <c r="I4865" i="20"/>
  <c r="I4866" i="20"/>
  <c r="I4867" i="20"/>
  <c r="I4868" i="20"/>
  <c r="I4869" i="20"/>
  <c r="I4870" i="20"/>
  <c r="I4871" i="20"/>
  <c r="I4872" i="20"/>
  <c r="I4873" i="20"/>
  <c r="I4874" i="20"/>
  <c r="I4875" i="20"/>
  <c r="I4876" i="20"/>
  <c r="I4877" i="20"/>
  <c r="I4878" i="20"/>
  <c r="I4879" i="20"/>
  <c r="I4880" i="20"/>
  <c r="I4881" i="20"/>
  <c r="I4882" i="20"/>
  <c r="I4883" i="20"/>
  <c r="I4884" i="20"/>
  <c r="I4885" i="20"/>
  <c r="I4886" i="20"/>
  <c r="I4887" i="20"/>
  <c r="I4888" i="20"/>
  <c r="I4889" i="20"/>
  <c r="I4890" i="20"/>
  <c r="I4891" i="20"/>
  <c r="I4892" i="20"/>
  <c r="I4893" i="20"/>
  <c r="I4894" i="20"/>
  <c r="I4895" i="20"/>
  <c r="I4896" i="20"/>
  <c r="I4897" i="20"/>
  <c r="I4898" i="20"/>
  <c r="I4899" i="20"/>
  <c r="I4900" i="20"/>
  <c r="I4901" i="20"/>
  <c r="I4902" i="20"/>
  <c r="I4903" i="20"/>
  <c r="I4904" i="20"/>
  <c r="I4905" i="20"/>
  <c r="I4906" i="20"/>
  <c r="I4907" i="20"/>
  <c r="I4908" i="20"/>
  <c r="I4909" i="20"/>
  <c r="I4910" i="20"/>
  <c r="I4911" i="20"/>
  <c r="I4912" i="20"/>
  <c r="I4913" i="20"/>
  <c r="I4914" i="20"/>
  <c r="I4915" i="20"/>
  <c r="I4916" i="20"/>
  <c r="I4917" i="20"/>
  <c r="I4918" i="20"/>
  <c r="I4919" i="20"/>
  <c r="I4920" i="20"/>
  <c r="I4921" i="20"/>
  <c r="I4922" i="20"/>
  <c r="I4923" i="20"/>
  <c r="I4924" i="20"/>
  <c r="I4925" i="20"/>
  <c r="I4926" i="20"/>
  <c r="I4927" i="20"/>
  <c r="I4928" i="20"/>
  <c r="I4929" i="20"/>
  <c r="I4930" i="20"/>
  <c r="I4931" i="20"/>
  <c r="I4932" i="20"/>
  <c r="I4933" i="20"/>
  <c r="I4934" i="20"/>
  <c r="I4935" i="20"/>
  <c r="I4936" i="20"/>
  <c r="I4937" i="20"/>
  <c r="I4938" i="20"/>
  <c r="I4939" i="20"/>
  <c r="I4940" i="20"/>
  <c r="I4941" i="20"/>
  <c r="I4942" i="20"/>
  <c r="I4943" i="20"/>
  <c r="I4944" i="20"/>
  <c r="I4945" i="20"/>
  <c r="I4946" i="20"/>
  <c r="I4947" i="20"/>
  <c r="I4948" i="20"/>
  <c r="I4949" i="20"/>
  <c r="I4950" i="20"/>
  <c r="I4951" i="20"/>
  <c r="I4952" i="20"/>
  <c r="I4953" i="20"/>
  <c r="I4954" i="20"/>
  <c r="I4955" i="20"/>
  <c r="I4956" i="20"/>
  <c r="I4957" i="20"/>
  <c r="I4958" i="20"/>
  <c r="I4959" i="20"/>
  <c r="I4960" i="20"/>
  <c r="I4961" i="20"/>
  <c r="I4962" i="20"/>
  <c r="I4963" i="20"/>
  <c r="I4964" i="20"/>
  <c r="J3900" i="20"/>
  <c r="J3901" i="20"/>
  <c r="J3902" i="20"/>
  <c r="J3904" i="20"/>
  <c r="J3907" i="20"/>
  <c r="J3908" i="20"/>
  <c r="J3909" i="20"/>
  <c r="J3910" i="20"/>
  <c r="J3912" i="20"/>
  <c r="J3915" i="20"/>
  <c r="J3916" i="20"/>
  <c r="J3917" i="20"/>
  <c r="J3918" i="20"/>
  <c r="J3919" i="20"/>
  <c r="J3923" i="20"/>
  <c r="J3924" i="20"/>
  <c r="J3925" i="20"/>
  <c r="J3926" i="20"/>
  <c r="J3928" i="20"/>
  <c r="J3931" i="20"/>
  <c r="J3932" i="20"/>
  <c r="J3933" i="20"/>
  <c r="J3934" i="20"/>
  <c r="J3936" i="20"/>
  <c r="J3939" i="20"/>
  <c r="J3940" i="20"/>
  <c r="J3941" i="20"/>
  <c r="J3942" i="20"/>
  <c r="J3944" i="20"/>
  <c r="J3947" i="20"/>
  <c r="J3948" i="20"/>
  <c r="J3949" i="20"/>
  <c r="J3950" i="20"/>
  <c r="J3951" i="20"/>
  <c r="J3955" i="20"/>
  <c r="J3956" i="20"/>
  <c r="J3957" i="20"/>
  <c r="J3958" i="20"/>
  <c r="J3960" i="20"/>
  <c r="J3963" i="20"/>
  <c r="J3964" i="20"/>
  <c r="J3965" i="20"/>
  <c r="J3966" i="20"/>
  <c r="J3968" i="20"/>
  <c r="J3971" i="20"/>
  <c r="J3972" i="20"/>
  <c r="J3973" i="20"/>
  <c r="J3974" i="20"/>
  <c r="J3976" i="20"/>
  <c r="J3979" i="20"/>
  <c r="J3980" i="20"/>
  <c r="J3981" i="20"/>
  <c r="J3982" i="20"/>
  <c r="J3983" i="20"/>
  <c r="J3987" i="20"/>
  <c r="J3988" i="20"/>
  <c r="J3989" i="20"/>
  <c r="J3990" i="20"/>
  <c r="J3992" i="20"/>
  <c r="J3995" i="20"/>
  <c r="J3996" i="20"/>
  <c r="J3997" i="20"/>
  <c r="J3998" i="20"/>
  <c r="J4000" i="20"/>
  <c r="J4003" i="20"/>
  <c r="J4004" i="20"/>
  <c r="J4005" i="20"/>
  <c r="J4006" i="20"/>
  <c r="J4008" i="20"/>
  <c r="J4011" i="20"/>
  <c r="J4012" i="20"/>
  <c r="J4013" i="20"/>
  <c r="J4014" i="20"/>
  <c r="J4015" i="20"/>
  <c r="J4019" i="20"/>
  <c r="J4020" i="20"/>
  <c r="J4021" i="20"/>
  <c r="J4022" i="20"/>
  <c r="J4024" i="20"/>
  <c r="J4027" i="20"/>
  <c r="J4028" i="20"/>
  <c r="J4029" i="20"/>
  <c r="J4030" i="20"/>
  <c r="J4032" i="20"/>
  <c r="J4035" i="20"/>
  <c r="J4036" i="20"/>
  <c r="J4037" i="20"/>
  <c r="J4038" i="20"/>
  <c r="J4040" i="20"/>
  <c r="J4043" i="20"/>
  <c r="J4044" i="20"/>
  <c r="J4045" i="20"/>
  <c r="J4046" i="20"/>
  <c r="J4047" i="20"/>
  <c r="J4051" i="20"/>
  <c r="J4052" i="20"/>
  <c r="J4053" i="20"/>
  <c r="J4054" i="20"/>
  <c r="J4056" i="20"/>
  <c r="J4059" i="20"/>
  <c r="J4060" i="20"/>
  <c r="J4061" i="20"/>
  <c r="J4062" i="20"/>
  <c r="J4064" i="20"/>
  <c r="J4067" i="20"/>
  <c r="J4068" i="20"/>
  <c r="J4069" i="20"/>
  <c r="J4070" i="20"/>
  <c r="J4072" i="20"/>
  <c r="J4075" i="20"/>
  <c r="J4076" i="20"/>
  <c r="J4077" i="20"/>
  <c r="J4078" i="20"/>
  <c r="J4079" i="20"/>
  <c r="J4083" i="20"/>
  <c r="J4084" i="20"/>
  <c r="J4085" i="20"/>
  <c r="J4086" i="20"/>
  <c r="J4088" i="20"/>
  <c r="J4091" i="20"/>
  <c r="J4092" i="20"/>
  <c r="J4093" i="20"/>
  <c r="J4094" i="20"/>
  <c r="J4096" i="20"/>
  <c r="J4099" i="20"/>
  <c r="J4100" i="20"/>
  <c r="J4101" i="20"/>
  <c r="J4102" i="20"/>
  <c r="J4104" i="20"/>
  <c r="J4107" i="20"/>
  <c r="J4108" i="20"/>
  <c r="J4109" i="20"/>
  <c r="J4110" i="20"/>
  <c r="J4111" i="20"/>
  <c r="J4115" i="20"/>
  <c r="J4116" i="20"/>
  <c r="J4117" i="20"/>
  <c r="J4118" i="20"/>
  <c r="J4120" i="20"/>
  <c r="J4123" i="20"/>
  <c r="J4124" i="20"/>
  <c r="J4125" i="20"/>
  <c r="J4126" i="20"/>
  <c r="J4128" i="20"/>
  <c r="J4131" i="20"/>
  <c r="J4132" i="20"/>
  <c r="J4133" i="20"/>
  <c r="J4134" i="20"/>
  <c r="J4136" i="20"/>
  <c r="J4139" i="20"/>
  <c r="J4140" i="20"/>
  <c r="J4141" i="20"/>
  <c r="J4142" i="20"/>
  <c r="J4143" i="20"/>
  <c r="J4147" i="20"/>
  <c r="J4148" i="20"/>
  <c r="J4149" i="20"/>
  <c r="J4150" i="20"/>
  <c r="J4152" i="20"/>
  <c r="J4155" i="20"/>
  <c r="J4156" i="20"/>
  <c r="J4157" i="20"/>
  <c r="J4158" i="20"/>
  <c r="J4160" i="20"/>
  <c r="J4163" i="20"/>
  <c r="J4164" i="20"/>
  <c r="J4165" i="20"/>
  <c r="J4166" i="20"/>
  <c r="J4168" i="20"/>
  <c r="J4171" i="20"/>
  <c r="J4172" i="20"/>
  <c r="J4173" i="20"/>
  <c r="J4174" i="20"/>
  <c r="J4175" i="20"/>
  <c r="J4179" i="20"/>
  <c r="J4180" i="20"/>
  <c r="J4181" i="20"/>
  <c r="J4182" i="20"/>
  <c r="J4184" i="20"/>
  <c r="J4187" i="20"/>
  <c r="J4188" i="20"/>
  <c r="J4189" i="20"/>
  <c r="J4190" i="20"/>
  <c r="J4192" i="20"/>
  <c r="J4195" i="20"/>
  <c r="J4196" i="20"/>
  <c r="J4197" i="20"/>
  <c r="J4198" i="20"/>
  <c r="J4200" i="20"/>
  <c r="J4203" i="20"/>
  <c r="J4204" i="20"/>
  <c r="J4205" i="20"/>
  <c r="J4206" i="20"/>
  <c r="J4207" i="20"/>
  <c r="J4211" i="20"/>
  <c r="J4212" i="20"/>
  <c r="J4213" i="20"/>
  <c r="J4214" i="20"/>
  <c r="J4216" i="20"/>
  <c r="J4219" i="20"/>
  <c r="J4220" i="20"/>
  <c r="J4221" i="20"/>
  <c r="J4222" i="20"/>
  <c r="J4224" i="20"/>
  <c r="J4227" i="20"/>
  <c r="J4228" i="20"/>
  <c r="J4229" i="20"/>
  <c r="J4230" i="20"/>
  <c r="J4232" i="20"/>
  <c r="J4235" i="20"/>
  <c r="J4236" i="20"/>
  <c r="J4237" i="20"/>
  <c r="J4238" i="20"/>
  <c r="J4239" i="20"/>
  <c r="J4243" i="20"/>
  <c r="J4244" i="20"/>
  <c r="J4245" i="20"/>
  <c r="J4246" i="20"/>
  <c r="J4248" i="20"/>
  <c r="J4251" i="20"/>
  <c r="J4252" i="20"/>
  <c r="J4253" i="20"/>
  <c r="J4254" i="20"/>
  <c r="J4256" i="20"/>
  <c r="J4259" i="20"/>
  <c r="J4260" i="20"/>
  <c r="J4261" i="20"/>
  <c r="J4262" i="20"/>
  <c r="J4264" i="20"/>
  <c r="J4267" i="20"/>
  <c r="J4268" i="20"/>
  <c r="J4269" i="20"/>
  <c r="J4270" i="20"/>
  <c r="J4271" i="20"/>
  <c r="J4275" i="20"/>
  <c r="J4276" i="20"/>
  <c r="J4277" i="20"/>
  <c r="J4278" i="20"/>
  <c r="J4280" i="20"/>
  <c r="J4283" i="20"/>
  <c r="J4284" i="20"/>
  <c r="J4285" i="20"/>
  <c r="J4286" i="20"/>
  <c r="J4288" i="20"/>
  <c r="J4291" i="20"/>
  <c r="J4292" i="20"/>
  <c r="J4293" i="20"/>
  <c r="J4294" i="20"/>
  <c r="J4296" i="20"/>
  <c r="J4299" i="20"/>
  <c r="J4300" i="20"/>
  <c r="J4301" i="20"/>
  <c r="J4302" i="20"/>
  <c r="J4303" i="20"/>
  <c r="J4307" i="20"/>
  <c r="J4308" i="20"/>
  <c r="J4309" i="20"/>
  <c r="J4310" i="20"/>
  <c r="J4312" i="20"/>
  <c r="J4315" i="20"/>
  <c r="J4316" i="20"/>
  <c r="J4317" i="20"/>
  <c r="J4318" i="20"/>
  <c r="J4320" i="20"/>
  <c r="J4323" i="20"/>
  <c r="J4324" i="20"/>
  <c r="J4325" i="20"/>
  <c r="J4326" i="20"/>
  <c r="J4328" i="20"/>
  <c r="J4331" i="20"/>
  <c r="J4332" i="20"/>
  <c r="J4333" i="20"/>
  <c r="J4334" i="20"/>
  <c r="J4335" i="20"/>
  <c r="J4339" i="20"/>
  <c r="J4340" i="20"/>
  <c r="J4341" i="20"/>
  <c r="J4342" i="20"/>
  <c r="J4344" i="20"/>
  <c r="J4347" i="20"/>
  <c r="J4348" i="20"/>
  <c r="J4349" i="20"/>
  <c r="J4350" i="20"/>
  <c r="J4352" i="20"/>
  <c r="J4355" i="20"/>
  <c r="J4356" i="20"/>
  <c r="J4357" i="20"/>
  <c r="J4358" i="20"/>
  <c r="J4360" i="20"/>
  <c r="J4363" i="20"/>
  <c r="J4364" i="20"/>
  <c r="J4365" i="20"/>
  <c r="J4366" i="20"/>
  <c r="J4367" i="20"/>
  <c r="J4371" i="20"/>
  <c r="J4372" i="20"/>
  <c r="J4373" i="20"/>
  <c r="J4374" i="20"/>
  <c r="J4376" i="20"/>
  <c r="J4379" i="20"/>
  <c r="J4380" i="20"/>
  <c r="J4381" i="20"/>
  <c r="J4382" i="20"/>
  <c r="J4384" i="20"/>
  <c r="J4387" i="20"/>
  <c r="J4388" i="20"/>
  <c r="J4389" i="20"/>
  <c r="J4390" i="20"/>
  <c r="J4392" i="20"/>
  <c r="J4395" i="20"/>
  <c r="J4396" i="20"/>
  <c r="J4397" i="20"/>
  <c r="J4398" i="20"/>
  <c r="J4399" i="20"/>
  <c r="J4403" i="20"/>
  <c r="J4404" i="20"/>
  <c r="J4405" i="20"/>
  <c r="J4406" i="20"/>
  <c r="J4408" i="20"/>
  <c r="J4411" i="20"/>
  <c r="J4412" i="20"/>
  <c r="J4413" i="20"/>
  <c r="J4414" i="20"/>
  <c r="J4416" i="20"/>
  <c r="J4419" i="20"/>
  <c r="J4420" i="20"/>
  <c r="J4421" i="20"/>
  <c r="J4422" i="20"/>
  <c r="J4424" i="20"/>
  <c r="J4427" i="20"/>
  <c r="J4428" i="20"/>
  <c r="J4429" i="20"/>
  <c r="J4430" i="20"/>
  <c r="J4431" i="20"/>
  <c r="J4435" i="20"/>
  <c r="J4436" i="20"/>
  <c r="J4437" i="20"/>
  <c r="J4438" i="20"/>
  <c r="J4440" i="20"/>
  <c r="J4443" i="20"/>
  <c r="J4444" i="20"/>
  <c r="J4445" i="20"/>
  <c r="J4446" i="20"/>
  <c r="J4448" i="20"/>
  <c r="J4451" i="20"/>
  <c r="J4452" i="20"/>
  <c r="J4453" i="20"/>
  <c r="J4454" i="20"/>
  <c r="J4456" i="20"/>
  <c r="J4459" i="20"/>
  <c r="J4460" i="20"/>
  <c r="J4461" i="20"/>
  <c r="J4462" i="20"/>
  <c r="J4463" i="20"/>
  <c r="J4467" i="20"/>
  <c r="J4468" i="20"/>
  <c r="J4469" i="20"/>
  <c r="J4470" i="20"/>
  <c r="J4472" i="20"/>
  <c r="J4475" i="20"/>
  <c r="J4476" i="20"/>
  <c r="J4477" i="20"/>
  <c r="J4478" i="20"/>
  <c r="J4480" i="20"/>
  <c r="J4483" i="20"/>
  <c r="J4484" i="20"/>
  <c r="J4485" i="20"/>
  <c r="J4486" i="20"/>
  <c r="J4488" i="20"/>
  <c r="J4491" i="20"/>
  <c r="J4492" i="20"/>
  <c r="J4493" i="20"/>
  <c r="J4494" i="20"/>
  <c r="J4495" i="20"/>
  <c r="J4499" i="20"/>
  <c r="J4500" i="20"/>
  <c r="J4501" i="20"/>
  <c r="J4502" i="20"/>
  <c r="J4504" i="20"/>
  <c r="J4507" i="20"/>
  <c r="J4508" i="20"/>
  <c r="J4509" i="20"/>
  <c r="J4510" i="20"/>
  <c r="J4512" i="20"/>
  <c r="J4515" i="20"/>
  <c r="J4516" i="20"/>
  <c r="J4517" i="20"/>
  <c r="J4518" i="20"/>
  <c r="J4520" i="20"/>
  <c r="J4521" i="20"/>
  <c r="J4523" i="20"/>
  <c r="J4524" i="20"/>
  <c r="J4525" i="20"/>
  <c r="J4526" i="20"/>
  <c r="J4528" i="20"/>
  <c r="J4529" i="20"/>
  <c r="J4531" i="20"/>
  <c r="J4532" i="20"/>
  <c r="J4533" i="20"/>
  <c r="J4534" i="20"/>
  <c r="J4535" i="20"/>
  <c r="J4537" i="20"/>
  <c r="J4539" i="20"/>
  <c r="J4540" i="20"/>
  <c r="J4541" i="20"/>
  <c r="J4542" i="20"/>
  <c r="J4544" i="20"/>
  <c r="J4547" i="20"/>
  <c r="J4548" i="20"/>
  <c r="J4549" i="20"/>
  <c r="J4550" i="20"/>
  <c r="J4552" i="20"/>
  <c r="J4553" i="20"/>
  <c r="J4556" i="20"/>
  <c r="J4557" i="20"/>
  <c r="J4558" i="20"/>
  <c r="J4560" i="20"/>
  <c r="J4561" i="20"/>
  <c r="J4563" i="20"/>
  <c r="J4564" i="20"/>
  <c r="J4565" i="20"/>
  <c r="J4566" i="20"/>
  <c r="J4568" i="20"/>
  <c r="J4569" i="20"/>
  <c r="J4571" i="20"/>
  <c r="J4572" i="20"/>
  <c r="J4573" i="20"/>
  <c r="J4574" i="20"/>
  <c r="J4575" i="20"/>
  <c r="J4576" i="20"/>
  <c r="J4577" i="20"/>
  <c r="J4578" i="20"/>
  <c r="J4579" i="20"/>
  <c r="J4580" i="20"/>
  <c r="J4581" i="20"/>
  <c r="J4582" i="20"/>
  <c r="J4583" i="20"/>
  <c r="J4584" i="20"/>
  <c r="J4585" i="20"/>
  <c r="J4586" i="20"/>
  <c r="J4587" i="20"/>
  <c r="J4588" i="20"/>
  <c r="J4589" i="20"/>
  <c r="J4590" i="20"/>
  <c r="J4591" i="20"/>
  <c r="J4592" i="20"/>
  <c r="J4593" i="20"/>
  <c r="J4594" i="20"/>
  <c r="J4595" i="20"/>
  <c r="J4596" i="20"/>
  <c r="J4597" i="20"/>
  <c r="J4598" i="20"/>
  <c r="J4599" i="20"/>
  <c r="J4600" i="20"/>
  <c r="J4601" i="20"/>
  <c r="J4602" i="20"/>
  <c r="J4603" i="20"/>
  <c r="J4604" i="20"/>
  <c r="J4605" i="20"/>
  <c r="J4606" i="20"/>
  <c r="J4607" i="20"/>
  <c r="J4608" i="20"/>
  <c r="J4609" i="20"/>
  <c r="J4610" i="20"/>
  <c r="J4611" i="20"/>
  <c r="J4612" i="20"/>
  <c r="J4613" i="20"/>
  <c r="J4614" i="20"/>
  <c r="J4615" i="20"/>
  <c r="J4616" i="20"/>
  <c r="J4617" i="20"/>
  <c r="J4618" i="20"/>
  <c r="J4619" i="20"/>
  <c r="J4620" i="20"/>
  <c r="J4621" i="20"/>
  <c r="J4622" i="20"/>
  <c r="J4623" i="20"/>
  <c r="J4624" i="20"/>
  <c r="J4625" i="20"/>
  <c r="J4626" i="20"/>
  <c r="J4627" i="20"/>
  <c r="J4628" i="20"/>
  <c r="J4629" i="20"/>
  <c r="J4630" i="20"/>
  <c r="J4631" i="20"/>
  <c r="J4632" i="20"/>
  <c r="J4633" i="20"/>
  <c r="J4634" i="20"/>
  <c r="J4635" i="20"/>
  <c r="J4636" i="20"/>
  <c r="J4637" i="20"/>
  <c r="J4638" i="20"/>
  <c r="J4639" i="20"/>
  <c r="J4640" i="20"/>
  <c r="J4641" i="20"/>
  <c r="J4642" i="20"/>
  <c r="J4643" i="20"/>
  <c r="J4644" i="20"/>
  <c r="J4645" i="20"/>
  <c r="J4646" i="20"/>
  <c r="J4647" i="20"/>
  <c r="J4648" i="20"/>
  <c r="J4649" i="20"/>
  <c r="J4650" i="20"/>
  <c r="J4651" i="20"/>
  <c r="J4652" i="20"/>
  <c r="J4653" i="20"/>
  <c r="J4654" i="20"/>
  <c r="J4655" i="20"/>
  <c r="J4656" i="20"/>
  <c r="J4657" i="20"/>
  <c r="J4658" i="20"/>
  <c r="J4659" i="20"/>
  <c r="J4660" i="20"/>
  <c r="J4661" i="20"/>
  <c r="J4662" i="20"/>
  <c r="J4663" i="20"/>
  <c r="J4664" i="20"/>
  <c r="J4665" i="20"/>
  <c r="J4666" i="20"/>
  <c r="J4667" i="20"/>
  <c r="J4668" i="20"/>
  <c r="J4669" i="20"/>
  <c r="J4670" i="20"/>
  <c r="J4671" i="20"/>
  <c r="J4672" i="20"/>
  <c r="J4673" i="20"/>
  <c r="J4674" i="20"/>
  <c r="J4675" i="20"/>
  <c r="J4676" i="20"/>
  <c r="J4677" i="20"/>
  <c r="J4678" i="20"/>
  <c r="J4679" i="20"/>
  <c r="J4680" i="20"/>
  <c r="J4681" i="20"/>
  <c r="J4682" i="20"/>
  <c r="J4683" i="20"/>
  <c r="J4684" i="20"/>
  <c r="J4685" i="20"/>
  <c r="J4686" i="20"/>
  <c r="J4687" i="20"/>
  <c r="J4688" i="20"/>
  <c r="J4689" i="20"/>
  <c r="J4690" i="20"/>
  <c r="J4691" i="20"/>
  <c r="J4692" i="20"/>
  <c r="J4693" i="20"/>
  <c r="J4694" i="20"/>
  <c r="J4695" i="20"/>
  <c r="J4696" i="20"/>
  <c r="J4697" i="20"/>
  <c r="J4698" i="20"/>
  <c r="J4699" i="20"/>
  <c r="J4700" i="20"/>
  <c r="J4701" i="20"/>
  <c r="J4702" i="20"/>
  <c r="J4703" i="20"/>
  <c r="J4704" i="20"/>
  <c r="J4705" i="20"/>
  <c r="J4706" i="20"/>
  <c r="J4707" i="20"/>
  <c r="J4708" i="20"/>
  <c r="J4709" i="20"/>
  <c r="J4710" i="20"/>
  <c r="J4711" i="20"/>
  <c r="J4712" i="20"/>
  <c r="J4713" i="20"/>
  <c r="J4714" i="20"/>
  <c r="J4715" i="20"/>
  <c r="J4716" i="20"/>
  <c r="J4717" i="20"/>
  <c r="J4718" i="20"/>
  <c r="J4719" i="20"/>
  <c r="J4720" i="20"/>
  <c r="J4721" i="20"/>
  <c r="J4722" i="20"/>
  <c r="J4723" i="20"/>
  <c r="J4724" i="20"/>
  <c r="J4725" i="20"/>
  <c r="J4726" i="20"/>
  <c r="J4727" i="20"/>
  <c r="J4728" i="20"/>
  <c r="J4729" i="20"/>
  <c r="J4730" i="20"/>
  <c r="J4731" i="20"/>
  <c r="J4732" i="20"/>
  <c r="J4733" i="20"/>
  <c r="J4734" i="20"/>
  <c r="J4735" i="20"/>
  <c r="J4736" i="20"/>
  <c r="J4737" i="20"/>
  <c r="J4738" i="20"/>
  <c r="J4739" i="20"/>
  <c r="J4740" i="20"/>
  <c r="J4741" i="20"/>
  <c r="J4742" i="20"/>
  <c r="J4743" i="20"/>
  <c r="J4744" i="20"/>
  <c r="J4745" i="20"/>
  <c r="J4746" i="20"/>
  <c r="J4747" i="20"/>
  <c r="J4748" i="20"/>
  <c r="J4749" i="20"/>
  <c r="J4750" i="20"/>
  <c r="J4751" i="20"/>
  <c r="J4752" i="20"/>
  <c r="J4753" i="20"/>
  <c r="J4754" i="20"/>
  <c r="J4755" i="20"/>
  <c r="J4756" i="20"/>
  <c r="J4757" i="20"/>
  <c r="J4758" i="20"/>
  <c r="J4759" i="20"/>
  <c r="J4760" i="20"/>
  <c r="J4761" i="20"/>
  <c r="J4762" i="20"/>
  <c r="J4763" i="20"/>
  <c r="J4764" i="20"/>
  <c r="J4765" i="20"/>
  <c r="J4766" i="20"/>
  <c r="J4767" i="20"/>
  <c r="J4768" i="20"/>
  <c r="J4769" i="20"/>
  <c r="J4770" i="20"/>
  <c r="J4771" i="20"/>
  <c r="J4772" i="20"/>
  <c r="J4773" i="20"/>
  <c r="J4774" i="20"/>
  <c r="J4775" i="20"/>
  <c r="J4776" i="20"/>
  <c r="J4777" i="20"/>
  <c r="J4778" i="20"/>
  <c r="J4779" i="20"/>
  <c r="J4780" i="20"/>
  <c r="J4781" i="20"/>
  <c r="J4782" i="20"/>
  <c r="J4783" i="20"/>
  <c r="J4784" i="20"/>
  <c r="J4785" i="20"/>
  <c r="J4786" i="20"/>
  <c r="J4787" i="20"/>
  <c r="J4788" i="20"/>
  <c r="J4789" i="20"/>
  <c r="J4790" i="20"/>
  <c r="J4791" i="20"/>
  <c r="J4792" i="20"/>
  <c r="J4793" i="20"/>
  <c r="J4794" i="20"/>
  <c r="J4795" i="20"/>
  <c r="J4796" i="20"/>
  <c r="J4797" i="20"/>
  <c r="J4798" i="20"/>
  <c r="J4799" i="20"/>
  <c r="J4800" i="20"/>
  <c r="J4801" i="20"/>
  <c r="J4802" i="20"/>
  <c r="J4803" i="20"/>
  <c r="J4804" i="20"/>
  <c r="J4805" i="20"/>
  <c r="J4806" i="20"/>
  <c r="J4807" i="20"/>
  <c r="J4808" i="20"/>
  <c r="J4809" i="20"/>
  <c r="J4810" i="20"/>
  <c r="J4811" i="20"/>
  <c r="J4812" i="20"/>
  <c r="J4813" i="20"/>
  <c r="J4814" i="20"/>
  <c r="J4815" i="20"/>
  <c r="J4816" i="20"/>
  <c r="J4817" i="20"/>
  <c r="J4818" i="20"/>
  <c r="J4819" i="20"/>
  <c r="J4820" i="20"/>
  <c r="J4821" i="20"/>
  <c r="J4822" i="20"/>
  <c r="J4823" i="20"/>
  <c r="J4824" i="20"/>
  <c r="J4825" i="20"/>
  <c r="J4826" i="20"/>
  <c r="J4827" i="20"/>
  <c r="J4828" i="20"/>
  <c r="J4829" i="20"/>
  <c r="J4830" i="20"/>
  <c r="J4831" i="20"/>
  <c r="J4832" i="20"/>
  <c r="J4833" i="20"/>
  <c r="J4834" i="20"/>
  <c r="J4835" i="20"/>
  <c r="J4836" i="20"/>
  <c r="J4837" i="20"/>
  <c r="J4838" i="20"/>
  <c r="J4839" i="20"/>
  <c r="J4840" i="20"/>
  <c r="J4841" i="20"/>
  <c r="J4842" i="20"/>
  <c r="J4843" i="20"/>
  <c r="J4844" i="20"/>
  <c r="J4845" i="20"/>
  <c r="J4846" i="20"/>
  <c r="J4847" i="20"/>
  <c r="J4848" i="20"/>
  <c r="J4849" i="20"/>
  <c r="J4850" i="20"/>
  <c r="J4851" i="20"/>
  <c r="J4852" i="20"/>
  <c r="J4853" i="20"/>
  <c r="J4854" i="20"/>
  <c r="J4855" i="20"/>
  <c r="J4856" i="20"/>
  <c r="J4857" i="20"/>
  <c r="J4858" i="20"/>
  <c r="J4859" i="20"/>
  <c r="J4860" i="20"/>
  <c r="J4861" i="20"/>
  <c r="J4862" i="20"/>
  <c r="J4863" i="20"/>
  <c r="J4864" i="20"/>
  <c r="J4865" i="20"/>
  <c r="J4866" i="20"/>
  <c r="J4867" i="20"/>
  <c r="J4868" i="20"/>
  <c r="J4869" i="20"/>
  <c r="J4870" i="20"/>
  <c r="J4871" i="20"/>
  <c r="J4872" i="20"/>
  <c r="J4873" i="20"/>
  <c r="J4874" i="20"/>
  <c r="J4875" i="20"/>
  <c r="J4876" i="20"/>
  <c r="J4877" i="20"/>
  <c r="J4878" i="20"/>
  <c r="J4879" i="20"/>
  <c r="J4880" i="20"/>
  <c r="J4881" i="20"/>
  <c r="J4882" i="20"/>
  <c r="J4883" i="20"/>
  <c r="J4884" i="20"/>
  <c r="J4885" i="20"/>
  <c r="J4886" i="20"/>
  <c r="J4887" i="20"/>
  <c r="J4888" i="20"/>
  <c r="J4889" i="20"/>
  <c r="J4890" i="20"/>
  <c r="J4891" i="20"/>
  <c r="J4892" i="20"/>
  <c r="J4893" i="20"/>
  <c r="J4894" i="20"/>
  <c r="J4895" i="20"/>
  <c r="J4896" i="20"/>
  <c r="J4897" i="20"/>
  <c r="J4898" i="20"/>
  <c r="J4899" i="20"/>
  <c r="J4900" i="20"/>
  <c r="J4901" i="20"/>
  <c r="J4902" i="20"/>
  <c r="J4903" i="20"/>
  <c r="J4904" i="20"/>
  <c r="J4905" i="20"/>
  <c r="J4906" i="20"/>
  <c r="J4907" i="20"/>
  <c r="J4908" i="20"/>
  <c r="J4909" i="20"/>
  <c r="J4910" i="20"/>
  <c r="J4911" i="20"/>
  <c r="J4912" i="20"/>
  <c r="J4913" i="20"/>
  <c r="J4914" i="20"/>
  <c r="J4915" i="20"/>
  <c r="J4916" i="20"/>
  <c r="J4917" i="20"/>
  <c r="J4918" i="20"/>
  <c r="J4919" i="20"/>
  <c r="J4920" i="20"/>
  <c r="J4921" i="20"/>
  <c r="J4922" i="20"/>
  <c r="J4923" i="20"/>
  <c r="J4924" i="20"/>
  <c r="J4925" i="20"/>
  <c r="J4926" i="20"/>
  <c r="J4927" i="20"/>
  <c r="J4928" i="20"/>
  <c r="J4929" i="20"/>
  <c r="J4930" i="20"/>
  <c r="J4931" i="20"/>
  <c r="J4932" i="20"/>
  <c r="J4933" i="20"/>
  <c r="J4934" i="20"/>
  <c r="J4935" i="20"/>
  <c r="J4936" i="20"/>
  <c r="J4937" i="20"/>
  <c r="J4938" i="20"/>
  <c r="J4939" i="20"/>
  <c r="J4940" i="20"/>
  <c r="J4941" i="20"/>
  <c r="J4942" i="20"/>
  <c r="J4943" i="20"/>
  <c r="J4944" i="20"/>
  <c r="J4945" i="20"/>
  <c r="J4946" i="20"/>
  <c r="J4947" i="20"/>
  <c r="J4948" i="20"/>
  <c r="J4949" i="20"/>
  <c r="J4950" i="20"/>
  <c r="J4951" i="20"/>
  <c r="J4952" i="20"/>
  <c r="J4953" i="20"/>
  <c r="J4954" i="20"/>
  <c r="J4955" i="20"/>
  <c r="J4956" i="20"/>
  <c r="J4957" i="20"/>
  <c r="J4958" i="20"/>
  <c r="J4959" i="20"/>
  <c r="J4960" i="20"/>
  <c r="J4961" i="20"/>
  <c r="J4962" i="20"/>
  <c r="J4963" i="20"/>
  <c r="J4964" i="20"/>
  <c r="M3898" i="20"/>
  <c r="M3899" i="20"/>
  <c r="M3900" i="20"/>
  <c r="M3901" i="20"/>
  <c r="M3902" i="20"/>
  <c r="M3903" i="20"/>
  <c r="M3904" i="20"/>
  <c r="M3905" i="20"/>
  <c r="M3906" i="20"/>
  <c r="M3907" i="20"/>
  <c r="M3908" i="20"/>
  <c r="M3909" i="20"/>
  <c r="M3910" i="20"/>
  <c r="M3911" i="20"/>
  <c r="M3912" i="20"/>
  <c r="M3913" i="20"/>
  <c r="M3914" i="20"/>
  <c r="M3915" i="20"/>
  <c r="M3916" i="20"/>
  <c r="M3917" i="20"/>
  <c r="M3918" i="20"/>
  <c r="M3919" i="20"/>
  <c r="M3920" i="20"/>
  <c r="M3921" i="20"/>
  <c r="M3922" i="20"/>
  <c r="M3923" i="20"/>
  <c r="M3924" i="20"/>
  <c r="M3925" i="20"/>
  <c r="M3926" i="20"/>
  <c r="M3927" i="20"/>
  <c r="M3928" i="20"/>
  <c r="M3929" i="20"/>
  <c r="M3930" i="20"/>
  <c r="M3931" i="20"/>
  <c r="M3932" i="20"/>
  <c r="M3933" i="20"/>
  <c r="M3934" i="20"/>
  <c r="M3935" i="20"/>
  <c r="M3936" i="20"/>
  <c r="M3937" i="20"/>
  <c r="M3938" i="20"/>
  <c r="M3939" i="20"/>
  <c r="M3940" i="20"/>
  <c r="M3941" i="20"/>
  <c r="M3942" i="20"/>
  <c r="M3943" i="20"/>
  <c r="M3944" i="20"/>
  <c r="M3945" i="20"/>
  <c r="M3946" i="20"/>
  <c r="M3947" i="20"/>
  <c r="M3948" i="20"/>
  <c r="M3949" i="20"/>
  <c r="M3950" i="20"/>
  <c r="M3951" i="20"/>
  <c r="M3952" i="20"/>
  <c r="M3953" i="20"/>
  <c r="M3954" i="20"/>
  <c r="M3955" i="20"/>
  <c r="M3956" i="20"/>
  <c r="M3957" i="20"/>
  <c r="M3958" i="20"/>
  <c r="M3959" i="20"/>
  <c r="M3960" i="20"/>
  <c r="M3961" i="20"/>
  <c r="M3962" i="20"/>
  <c r="M3963" i="20"/>
  <c r="M3964" i="20"/>
  <c r="M3965" i="20"/>
  <c r="M3966" i="20"/>
  <c r="M3967" i="20"/>
  <c r="M3968" i="20"/>
  <c r="M3969" i="20"/>
  <c r="M3970" i="20"/>
  <c r="M3971" i="20"/>
  <c r="M3972" i="20"/>
  <c r="M3973" i="20"/>
  <c r="M3974" i="20"/>
  <c r="M3975" i="20"/>
  <c r="M3976" i="20"/>
  <c r="M3977" i="20"/>
  <c r="M3978" i="20"/>
  <c r="M3979" i="20"/>
  <c r="M3980" i="20"/>
  <c r="M3981" i="20"/>
  <c r="M3982" i="20"/>
  <c r="M3983" i="20"/>
  <c r="M3984" i="20"/>
  <c r="M3985" i="20"/>
  <c r="M3986" i="20"/>
  <c r="M3987" i="20"/>
  <c r="M3988" i="20"/>
  <c r="M3989" i="20"/>
  <c r="M3990" i="20"/>
  <c r="M3991" i="20"/>
  <c r="M3992" i="20"/>
  <c r="M3993" i="20"/>
  <c r="M3994" i="20"/>
  <c r="M3995" i="20"/>
  <c r="M3996" i="20"/>
  <c r="M3997" i="20"/>
  <c r="M3998" i="20"/>
  <c r="M3999" i="20"/>
  <c r="M4000" i="20"/>
  <c r="M4001" i="20"/>
  <c r="M4002" i="20"/>
  <c r="M4003" i="20"/>
  <c r="M4004" i="20"/>
  <c r="M4005" i="20"/>
  <c r="M4006" i="20"/>
  <c r="M4007" i="20"/>
  <c r="M4008" i="20"/>
  <c r="M4009" i="20"/>
  <c r="M4010" i="20"/>
  <c r="M4011" i="20"/>
  <c r="M4012" i="20"/>
  <c r="M4013" i="20"/>
  <c r="M4014" i="20"/>
  <c r="M4015" i="20"/>
  <c r="M4016" i="20"/>
  <c r="M4017" i="20"/>
  <c r="M4018" i="20"/>
  <c r="M4019" i="20"/>
  <c r="M4020" i="20"/>
  <c r="M4021" i="20"/>
  <c r="M4022" i="20"/>
  <c r="M4023" i="20"/>
  <c r="M4024" i="20"/>
  <c r="M4025" i="20"/>
  <c r="M4026" i="20"/>
  <c r="M4027" i="20"/>
  <c r="M4028" i="20"/>
  <c r="M4029" i="20"/>
  <c r="M4030" i="20"/>
  <c r="M4031" i="20"/>
  <c r="M4032" i="20"/>
  <c r="M4033" i="20"/>
  <c r="M4034" i="20"/>
  <c r="M4035" i="20"/>
  <c r="M4036" i="20"/>
  <c r="M4037" i="20"/>
  <c r="M4038" i="20"/>
  <c r="M4039" i="20"/>
  <c r="M4040" i="20"/>
  <c r="M4041" i="20"/>
  <c r="M4042" i="20"/>
  <c r="M4043" i="20"/>
  <c r="M4044" i="20"/>
  <c r="M4045" i="20"/>
  <c r="M4046" i="20"/>
  <c r="M4047" i="20"/>
  <c r="M4048" i="20"/>
  <c r="M4049" i="20"/>
  <c r="M4050" i="20"/>
  <c r="M4051" i="20"/>
  <c r="M4052" i="20"/>
  <c r="M4053" i="20"/>
  <c r="M4054" i="20"/>
  <c r="M4055" i="20"/>
  <c r="M4056" i="20"/>
  <c r="M4057" i="20"/>
  <c r="M4058" i="20"/>
  <c r="M4059" i="20"/>
  <c r="M4060" i="20"/>
  <c r="M4061" i="20"/>
  <c r="M4062" i="20"/>
  <c r="M4063" i="20"/>
  <c r="M4064" i="20"/>
  <c r="M4065" i="20"/>
  <c r="M4066" i="20"/>
  <c r="M4067" i="20"/>
  <c r="M4068" i="20"/>
  <c r="M4069" i="20"/>
  <c r="M4070" i="20"/>
  <c r="M4071" i="20"/>
  <c r="M4072" i="20"/>
  <c r="M4073" i="20"/>
  <c r="M4074" i="20"/>
  <c r="M4075" i="20"/>
  <c r="M4076" i="20"/>
  <c r="M4077" i="20"/>
  <c r="M4078" i="20"/>
  <c r="M4079" i="20"/>
  <c r="M4080" i="20"/>
  <c r="M4081" i="20"/>
  <c r="M4082" i="20"/>
  <c r="M4083" i="20"/>
  <c r="M4084" i="20"/>
  <c r="M4085" i="20"/>
  <c r="M4086" i="20"/>
  <c r="M4087" i="20"/>
  <c r="M4088" i="20"/>
  <c r="M4089" i="20"/>
  <c r="M4090" i="20"/>
  <c r="M4091" i="20"/>
  <c r="M4092" i="20"/>
  <c r="M4093" i="20"/>
  <c r="M4094" i="20"/>
  <c r="M4095" i="20"/>
  <c r="M4096" i="20"/>
  <c r="M4097" i="20"/>
  <c r="M4098" i="20"/>
  <c r="M4099" i="20"/>
  <c r="M4100" i="20"/>
  <c r="M4101" i="20"/>
  <c r="M4102" i="20"/>
  <c r="M4103" i="20"/>
  <c r="M4104" i="20"/>
  <c r="M4105" i="20"/>
  <c r="M4106" i="20"/>
  <c r="M4107" i="20"/>
  <c r="M4108" i="20"/>
  <c r="M4109" i="20"/>
  <c r="M4110" i="20"/>
  <c r="M4111" i="20"/>
  <c r="M4112" i="20"/>
  <c r="M4113" i="20"/>
  <c r="M4114" i="20"/>
  <c r="M4115" i="20"/>
  <c r="M4116" i="20"/>
  <c r="M4117" i="20"/>
  <c r="M4118" i="20"/>
  <c r="M4119" i="20"/>
  <c r="M4120" i="20"/>
  <c r="M4121" i="20"/>
  <c r="M4122" i="20"/>
  <c r="M4123" i="20"/>
  <c r="M4124" i="20"/>
  <c r="M4125" i="20"/>
  <c r="M4126" i="20"/>
  <c r="M4127" i="20"/>
  <c r="M4128" i="20"/>
  <c r="M4129" i="20"/>
  <c r="M4130" i="20"/>
  <c r="M4131" i="20"/>
  <c r="M4132" i="20"/>
  <c r="M4133" i="20"/>
  <c r="M4134" i="20"/>
  <c r="M4135" i="20"/>
  <c r="M4136" i="20"/>
  <c r="M4137" i="20"/>
  <c r="M4138" i="20"/>
  <c r="M4139" i="20"/>
  <c r="M4140" i="20"/>
  <c r="M4141" i="20"/>
  <c r="M4142" i="20"/>
  <c r="M4143" i="20"/>
  <c r="M4144" i="20"/>
  <c r="M4145" i="20"/>
  <c r="M4146" i="20"/>
  <c r="M4147" i="20"/>
  <c r="M4148" i="20"/>
  <c r="M4149" i="20"/>
  <c r="M4150" i="20"/>
  <c r="M4151" i="20"/>
  <c r="M4152" i="20"/>
  <c r="M4153" i="20"/>
  <c r="M4154" i="20"/>
  <c r="M4155" i="20"/>
  <c r="M4156" i="20"/>
  <c r="M4157" i="20"/>
  <c r="M4158" i="20"/>
  <c r="M4159" i="20"/>
  <c r="M4160" i="20"/>
  <c r="M4161" i="20"/>
  <c r="M4162" i="20"/>
  <c r="M4163" i="20"/>
  <c r="M4164" i="20"/>
  <c r="M4165" i="20"/>
  <c r="M4166" i="20"/>
  <c r="M4167" i="20"/>
  <c r="M4168" i="20"/>
  <c r="M4169" i="20"/>
  <c r="M4170" i="20"/>
  <c r="M4171" i="20"/>
  <c r="M4172" i="20"/>
  <c r="M4173" i="20"/>
  <c r="M4174" i="20"/>
  <c r="M4175" i="20"/>
  <c r="M4176" i="20"/>
  <c r="M4177" i="20"/>
  <c r="M4178" i="20"/>
  <c r="M4179" i="20"/>
  <c r="M4180" i="20"/>
  <c r="M4181" i="20"/>
  <c r="M4182" i="20"/>
  <c r="M4183" i="20"/>
  <c r="M4184" i="20"/>
  <c r="M4185" i="20"/>
  <c r="M4186" i="20"/>
  <c r="M4187" i="20"/>
  <c r="M4188" i="20"/>
  <c r="M4189" i="20"/>
  <c r="M4190" i="20"/>
  <c r="M4191" i="20"/>
  <c r="M4192" i="20"/>
  <c r="M4193" i="20"/>
  <c r="M4194" i="20"/>
  <c r="M4195" i="20"/>
  <c r="M4196" i="20"/>
  <c r="M4197" i="20"/>
  <c r="M4198" i="20"/>
  <c r="M4199" i="20"/>
  <c r="M4200" i="20"/>
  <c r="M4201" i="20"/>
  <c r="M4202" i="20"/>
  <c r="M4203" i="20"/>
  <c r="M4204" i="20"/>
  <c r="M4205" i="20"/>
  <c r="M4206" i="20"/>
  <c r="M4207" i="20"/>
  <c r="M4208" i="20"/>
  <c r="M4209" i="20"/>
  <c r="M4210" i="20"/>
  <c r="M4211" i="20"/>
  <c r="M4212" i="20"/>
  <c r="M4213" i="20"/>
  <c r="M4214" i="20"/>
  <c r="M4215" i="20"/>
  <c r="M4216" i="20"/>
  <c r="M4217" i="20"/>
  <c r="M4218" i="20"/>
  <c r="M4219" i="20"/>
  <c r="M4220" i="20"/>
  <c r="M4221" i="20"/>
  <c r="M4222" i="20"/>
  <c r="M4223" i="20"/>
  <c r="M4224" i="20"/>
  <c r="M4225" i="20"/>
  <c r="M4226" i="20"/>
  <c r="M4227" i="20"/>
  <c r="M4228" i="20"/>
  <c r="M4229" i="20"/>
  <c r="M4230" i="20"/>
  <c r="M4231" i="20"/>
  <c r="M4232" i="20"/>
  <c r="M4233" i="20"/>
  <c r="M4234" i="20"/>
  <c r="M4235" i="20"/>
  <c r="M4236" i="20"/>
  <c r="M4237" i="20"/>
  <c r="M4238" i="20"/>
  <c r="M4239" i="20"/>
  <c r="M4240" i="20"/>
  <c r="M4241" i="20"/>
  <c r="M4242" i="20"/>
  <c r="M4243" i="20"/>
  <c r="M4244" i="20"/>
  <c r="M4245" i="20"/>
  <c r="M4246" i="20"/>
  <c r="M4247" i="20"/>
  <c r="M4248" i="20"/>
  <c r="M4249" i="20"/>
  <c r="M4250" i="20"/>
  <c r="M4251" i="20"/>
  <c r="M4252" i="20"/>
  <c r="M4253" i="20"/>
  <c r="M4254" i="20"/>
  <c r="M4255" i="20"/>
  <c r="M4256" i="20"/>
  <c r="M4257" i="20"/>
  <c r="M4258" i="20"/>
  <c r="M4259" i="20"/>
  <c r="M4260" i="20"/>
  <c r="M4261" i="20"/>
  <c r="M4262" i="20"/>
  <c r="M4263" i="20"/>
  <c r="M4264" i="20"/>
  <c r="M4265" i="20"/>
  <c r="M4266" i="20"/>
  <c r="M4267" i="20"/>
  <c r="M4268" i="20"/>
  <c r="M4269" i="20"/>
  <c r="M4270" i="20"/>
  <c r="M4271" i="20"/>
  <c r="M4272" i="20"/>
  <c r="M4273" i="20"/>
  <c r="M4274" i="20"/>
  <c r="M4275" i="20"/>
  <c r="M4276" i="20"/>
  <c r="M4277" i="20"/>
  <c r="M4278" i="20"/>
  <c r="M4279" i="20"/>
  <c r="M4280" i="20"/>
  <c r="M4281" i="20"/>
  <c r="M4282" i="20"/>
  <c r="M4283" i="20"/>
  <c r="M4284" i="20"/>
  <c r="M4285" i="20"/>
  <c r="M4286" i="20"/>
  <c r="M4287" i="20"/>
  <c r="M4288" i="20"/>
  <c r="M4289" i="20"/>
  <c r="M4290" i="20"/>
  <c r="M4291" i="20"/>
  <c r="M4292" i="20"/>
  <c r="M4293" i="20"/>
  <c r="M4294" i="20"/>
  <c r="M4295" i="20"/>
  <c r="M4296" i="20"/>
  <c r="M4297" i="20"/>
  <c r="M4298" i="20"/>
  <c r="M4299" i="20"/>
  <c r="M4300" i="20"/>
  <c r="M4301" i="20"/>
  <c r="M4302" i="20"/>
  <c r="M4303" i="20"/>
  <c r="M4304" i="20"/>
  <c r="M4305" i="20"/>
  <c r="M4306" i="20"/>
  <c r="M4307" i="20"/>
  <c r="M4308" i="20"/>
  <c r="M4309" i="20"/>
  <c r="M4310" i="20"/>
  <c r="M4311" i="20"/>
  <c r="M4312" i="20"/>
  <c r="M4313" i="20"/>
  <c r="M4314" i="20"/>
  <c r="M4315" i="20"/>
  <c r="M4316" i="20"/>
  <c r="M4317" i="20"/>
  <c r="M4318" i="20"/>
  <c r="M4319" i="20"/>
  <c r="M4320" i="20"/>
  <c r="M4321" i="20"/>
  <c r="M4322" i="20"/>
  <c r="M4323" i="20"/>
  <c r="M4324" i="20"/>
  <c r="M4325" i="20"/>
  <c r="M4326" i="20"/>
  <c r="M4327" i="20"/>
  <c r="M4328" i="20"/>
  <c r="M4329" i="20"/>
  <c r="M4330" i="20"/>
  <c r="M4331" i="20"/>
  <c r="M4332" i="20"/>
  <c r="M4333" i="20"/>
  <c r="M4334" i="20"/>
  <c r="M4335" i="20"/>
  <c r="M4336" i="20"/>
  <c r="M4337" i="20"/>
  <c r="M4338" i="20"/>
  <c r="M4339" i="20"/>
  <c r="M4340" i="20"/>
  <c r="M4341" i="20"/>
  <c r="M4342" i="20"/>
  <c r="M4343" i="20"/>
  <c r="M4344" i="20"/>
  <c r="M4345" i="20"/>
  <c r="M4346" i="20"/>
  <c r="M4347" i="20"/>
  <c r="M4348" i="20"/>
  <c r="M4349" i="20"/>
  <c r="M4350" i="20"/>
  <c r="M4351" i="20"/>
  <c r="M4352" i="20"/>
  <c r="M4353" i="20"/>
  <c r="M4354" i="20"/>
  <c r="M4355" i="20"/>
  <c r="M4356" i="20"/>
  <c r="M4357" i="20"/>
  <c r="M4358" i="20"/>
  <c r="M4359" i="20"/>
  <c r="M4360" i="20"/>
  <c r="M4361" i="20"/>
  <c r="M4362" i="20"/>
  <c r="M4363" i="20"/>
  <c r="M4364" i="20"/>
  <c r="M4365" i="20"/>
  <c r="M4366" i="20"/>
  <c r="M4367" i="20"/>
  <c r="M4368" i="20"/>
  <c r="M4369" i="20"/>
  <c r="M4370" i="20"/>
  <c r="M4371" i="20"/>
  <c r="M4372" i="20"/>
  <c r="M4373" i="20"/>
  <c r="M4374" i="20"/>
  <c r="M4375" i="20"/>
  <c r="M4376" i="20"/>
  <c r="M4377" i="20"/>
  <c r="M4378" i="20"/>
  <c r="M4379" i="20"/>
  <c r="M4380" i="20"/>
  <c r="M4381" i="20"/>
  <c r="M4382" i="20"/>
  <c r="M4383" i="20"/>
  <c r="M4384" i="20"/>
  <c r="M4385" i="20"/>
  <c r="M4386" i="20"/>
  <c r="M4387" i="20"/>
  <c r="M4388" i="20"/>
  <c r="M4389" i="20"/>
  <c r="M4390" i="20"/>
  <c r="M4391" i="20"/>
  <c r="M4392" i="20"/>
  <c r="M4393" i="20"/>
  <c r="M4394" i="20"/>
  <c r="M4395" i="20"/>
  <c r="M4396" i="20"/>
  <c r="M4397" i="20"/>
  <c r="M4398" i="20"/>
  <c r="M4399" i="20"/>
  <c r="M4400" i="20"/>
  <c r="M4401" i="20"/>
  <c r="M4402" i="20"/>
  <c r="M4403" i="20"/>
  <c r="M4404" i="20"/>
  <c r="M4405" i="20"/>
  <c r="M4406" i="20"/>
  <c r="M4407" i="20"/>
  <c r="M4408" i="20"/>
  <c r="M4409" i="20"/>
  <c r="M4410" i="20"/>
  <c r="M4411" i="20"/>
  <c r="M4412" i="20"/>
  <c r="M4413" i="20"/>
  <c r="M4414" i="20"/>
  <c r="M4415" i="20"/>
  <c r="M4416" i="20"/>
  <c r="M4417" i="20"/>
  <c r="M4418" i="20"/>
  <c r="M4419" i="20"/>
  <c r="M4420" i="20"/>
  <c r="M4421" i="20"/>
  <c r="M4422" i="20"/>
  <c r="M4423" i="20"/>
  <c r="M4424" i="20"/>
  <c r="M4425" i="20"/>
  <c r="M4426" i="20"/>
  <c r="M4427" i="20"/>
  <c r="M4428" i="20"/>
  <c r="M4429" i="20"/>
  <c r="M4430" i="20"/>
  <c r="M4431" i="20"/>
  <c r="M4432" i="20"/>
  <c r="M4433" i="20"/>
  <c r="M4434" i="20"/>
  <c r="M4435" i="20"/>
  <c r="M4436" i="20"/>
  <c r="M4437" i="20"/>
  <c r="M4438" i="20"/>
  <c r="M4439" i="20"/>
  <c r="M4440" i="20"/>
  <c r="M4441" i="20"/>
  <c r="M4442" i="20"/>
  <c r="M4443" i="20"/>
  <c r="M4444" i="20"/>
  <c r="M4445" i="20"/>
  <c r="M4446" i="20"/>
  <c r="M4447" i="20"/>
  <c r="M4448" i="20"/>
  <c r="M4449" i="20"/>
  <c r="M4450" i="20"/>
  <c r="M4451" i="20"/>
  <c r="M4452" i="20"/>
  <c r="M4453" i="20"/>
  <c r="M4454" i="20"/>
  <c r="M4455" i="20"/>
  <c r="M4456" i="20"/>
  <c r="M4457" i="20"/>
  <c r="M4458" i="20"/>
  <c r="M4459" i="20"/>
  <c r="M4460" i="20"/>
  <c r="M4461" i="20"/>
  <c r="M4462" i="20"/>
  <c r="M4463" i="20"/>
  <c r="M4464" i="20"/>
  <c r="M4465" i="20"/>
  <c r="M4466" i="20"/>
  <c r="M4467" i="20"/>
  <c r="M4468" i="20"/>
  <c r="M4469" i="20"/>
  <c r="M4470" i="20"/>
  <c r="M4471" i="20"/>
  <c r="M4472" i="20"/>
  <c r="M4473" i="20"/>
  <c r="M4474" i="20"/>
  <c r="M4475" i="20"/>
  <c r="M4476" i="20"/>
  <c r="M4477" i="20"/>
  <c r="M4478" i="20"/>
  <c r="M4479" i="20"/>
  <c r="M4480" i="20"/>
  <c r="M4481" i="20"/>
  <c r="M4482" i="20"/>
  <c r="M4483" i="20"/>
  <c r="M4484" i="20"/>
  <c r="M4485" i="20"/>
  <c r="M4486" i="20"/>
  <c r="M4487" i="20"/>
  <c r="M4488" i="20"/>
  <c r="M4489" i="20"/>
  <c r="M4490" i="20"/>
  <c r="M4491" i="20"/>
  <c r="M4492" i="20"/>
  <c r="M4493" i="20"/>
  <c r="M4494" i="20"/>
  <c r="M4495" i="20"/>
  <c r="M4496" i="20"/>
  <c r="M4497" i="20"/>
  <c r="M4498" i="20"/>
  <c r="M4499" i="20"/>
  <c r="M4500" i="20"/>
  <c r="M4501" i="20"/>
  <c r="M4502" i="20"/>
  <c r="M4503" i="20"/>
  <c r="M4504" i="20"/>
  <c r="M4505" i="20"/>
  <c r="M4506" i="20"/>
  <c r="M4507" i="20"/>
  <c r="M4508" i="20"/>
  <c r="M4509" i="20"/>
  <c r="M4510" i="20"/>
  <c r="M4511" i="20"/>
  <c r="M4512" i="20"/>
  <c r="M4513" i="20"/>
  <c r="M4514" i="20"/>
  <c r="M4515" i="20"/>
  <c r="M4516" i="20"/>
  <c r="M4517" i="20"/>
  <c r="M4518" i="20"/>
  <c r="M4519" i="20"/>
  <c r="M4520" i="20"/>
  <c r="M4521" i="20"/>
  <c r="M4522" i="20"/>
  <c r="M4523" i="20"/>
  <c r="M4524" i="20"/>
  <c r="M4525" i="20"/>
  <c r="M4526" i="20"/>
  <c r="M4527" i="20"/>
  <c r="M4528" i="20"/>
  <c r="M4529" i="20"/>
  <c r="M4530" i="20"/>
  <c r="M4531" i="20"/>
  <c r="M4532" i="20"/>
  <c r="M4533" i="20"/>
  <c r="M4534" i="20"/>
  <c r="M4535" i="20"/>
  <c r="M4536" i="20"/>
  <c r="M4537" i="20"/>
  <c r="M4538" i="20"/>
  <c r="M4539" i="20"/>
  <c r="M4540" i="20"/>
  <c r="M4541" i="20"/>
  <c r="M4542" i="20"/>
  <c r="M4543" i="20"/>
  <c r="M4544" i="20"/>
  <c r="M4545" i="20"/>
  <c r="M4546" i="20"/>
  <c r="M4547" i="20"/>
  <c r="M4548" i="20"/>
  <c r="M4549" i="20"/>
  <c r="M4550" i="20"/>
  <c r="M4551" i="20"/>
  <c r="M4552" i="20"/>
  <c r="M4553" i="20"/>
  <c r="M4554" i="20"/>
  <c r="M4555" i="20"/>
  <c r="M4556" i="20"/>
  <c r="M4557" i="20"/>
  <c r="M4558" i="20"/>
  <c r="M4559" i="20"/>
  <c r="M4560" i="20"/>
  <c r="M4561" i="20"/>
  <c r="M4562" i="20"/>
  <c r="M4563" i="20"/>
  <c r="M4564" i="20"/>
  <c r="M4565" i="20"/>
  <c r="M4566" i="20"/>
  <c r="M4567" i="20"/>
  <c r="M4568" i="20"/>
  <c r="M4569" i="20"/>
  <c r="M4570" i="20"/>
  <c r="M4571" i="20"/>
  <c r="M4572" i="20"/>
  <c r="M4573" i="20"/>
  <c r="M4574" i="20"/>
  <c r="M4575" i="20"/>
  <c r="M4576" i="20"/>
  <c r="M4577" i="20"/>
  <c r="M4578" i="20"/>
  <c r="M4579" i="20"/>
  <c r="M4580" i="20"/>
  <c r="M4581" i="20"/>
  <c r="M4582" i="20"/>
  <c r="M4583" i="20"/>
  <c r="M4584" i="20"/>
  <c r="M4585" i="20"/>
  <c r="M4586" i="20"/>
  <c r="M4587" i="20"/>
  <c r="M4588" i="20"/>
  <c r="M4589" i="20"/>
  <c r="M4590" i="20"/>
  <c r="M4591" i="20"/>
  <c r="M4592" i="20"/>
  <c r="M4593" i="20"/>
  <c r="M4594" i="20"/>
  <c r="M4595" i="20"/>
  <c r="M4596" i="20"/>
  <c r="M4597" i="20"/>
  <c r="M4598" i="20"/>
  <c r="M4599" i="20"/>
  <c r="M4600" i="20"/>
  <c r="M4601" i="20"/>
  <c r="M4602" i="20"/>
  <c r="M4603" i="20"/>
  <c r="M4604" i="20"/>
  <c r="M4605" i="20"/>
  <c r="M4606" i="20"/>
  <c r="M4607" i="20"/>
  <c r="M4608" i="20"/>
  <c r="M4609" i="20"/>
  <c r="M4610" i="20"/>
  <c r="M4611" i="20"/>
  <c r="M4612" i="20"/>
  <c r="M4613" i="20"/>
  <c r="M4614" i="20"/>
  <c r="M4615" i="20"/>
  <c r="M4616" i="20"/>
  <c r="M4617" i="20"/>
  <c r="M4618" i="20"/>
  <c r="M4619" i="20"/>
  <c r="M4620" i="20"/>
  <c r="M4621" i="20"/>
  <c r="M4622" i="20"/>
  <c r="M4623" i="20"/>
  <c r="M4624" i="20"/>
  <c r="M4625" i="20"/>
  <c r="M4626" i="20"/>
  <c r="M4627" i="20"/>
  <c r="M4628" i="20"/>
  <c r="M4629" i="20"/>
  <c r="M4630" i="20"/>
  <c r="M4631" i="20"/>
  <c r="M4632" i="20"/>
  <c r="M4633" i="20"/>
  <c r="M4634" i="20"/>
  <c r="M4635" i="20"/>
  <c r="M4636" i="20"/>
  <c r="M4637" i="20"/>
  <c r="M4638" i="20"/>
  <c r="M4639" i="20"/>
  <c r="M4640" i="20"/>
  <c r="M4641" i="20"/>
  <c r="M4642" i="20"/>
  <c r="M4643" i="20"/>
  <c r="M4644" i="20"/>
  <c r="M4645" i="20"/>
  <c r="M4646" i="20"/>
  <c r="M4647" i="20"/>
  <c r="M4648" i="20"/>
  <c r="M4649" i="20"/>
  <c r="M4650" i="20"/>
  <c r="M4651" i="20"/>
  <c r="M4652" i="20"/>
  <c r="M4653" i="20"/>
  <c r="M4654" i="20"/>
  <c r="M4655" i="20"/>
  <c r="M4656" i="20"/>
  <c r="M4657" i="20"/>
  <c r="M4658" i="20"/>
  <c r="M4659" i="20"/>
  <c r="M4660" i="20"/>
  <c r="M4661" i="20"/>
  <c r="M4662" i="20"/>
  <c r="M4663" i="20"/>
  <c r="M4664" i="20"/>
  <c r="M4665" i="20"/>
  <c r="M4666" i="20"/>
  <c r="M4667" i="20"/>
  <c r="M4668" i="20"/>
  <c r="M4669" i="20"/>
  <c r="M4670" i="20"/>
  <c r="M4671" i="20"/>
  <c r="M4672" i="20"/>
  <c r="M4673" i="20"/>
  <c r="M4674" i="20"/>
  <c r="M4675" i="20"/>
  <c r="M4676" i="20"/>
  <c r="M4677" i="20"/>
  <c r="M4678" i="20"/>
  <c r="M4679" i="20"/>
  <c r="M4680" i="20"/>
  <c r="M4681" i="20"/>
  <c r="M4682" i="20"/>
  <c r="M4683" i="20"/>
  <c r="M4684" i="20"/>
  <c r="M4685" i="20"/>
  <c r="M4686" i="20"/>
  <c r="M4687" i="20"/>
  <c r="M4688" i="20"/>
  <c r="M4689" i="20"/>
  <c r="M4690" i="20"/>
  <c r="M4691" i="20"/>
  <c r="M4692" i="20"/>
  <c r="M4693" i="20"/>
  <c r="M4694" i="20"/>
  <c r="M4695" i="20"/>
  <c r="M4696" i="20"/>
  <c r="M4697" i="20"/>
  <c r="M4698" i="20"/>
  <c r="M4699" i="20"/>
  <c r="M4700" i="20"/>
  <c r="M4701" i="20"/>
  <c r="M4702" i="20"/>
  <c r="M4703" i="20"/>
  <c r="M4704" i="20"/>
  <c r="M4705" i="20"/>
  <c r="M4706" i="20"/>
  <c r="M4707" i="20"/>
  <c r="M4708" i="20"/>
  <c r="M4709" i="20"/>
  <c r="M4710" i="20"/>
  <c r="M4711" i="20"/>
  <c r="M4712" i="20"/>
  <c r="M4713" i="20"/>
  <c r="M4714" i="20"/>
  <c r="M4715" i="20"/>
  <c r="M4716" i="20"/>
  <c r="M4717" i="20"/>
  <c r="M4718" i="20"/>
  <c r="M4719" i="20"/>
  <c r="M4720" i="20"/>
  <c r="M4721" i="20"/>
  <c r="M4722" i="20"/>
  <c r="M4723" i="20"/>
  <c r="M4724" i="20"/>
  <c r="M4725" i="20"/>
  <c r="M4726" i="20"/>
  <c r="M4727" i="20"/>
  <c r="M4728" i="20"/>
  <c r="M4729" i="20"/>
  <c r="M4730" i="20"/>
  <c r="M4731" i="20"/>
  <c r="M4732" i="20"/>
  <c r="M4733" i="20"/>
  <c r="M4734" i="20"/>
  <c r="M4735" i="20"/>
  <c r="M4736" i="20"/>
  <c r="M4737" i="20"/>
  <c r="M4738" i="20"/>
  <c r="M4739" i="20"/>
  <c r="M4740" i="20"/>
  <c r="M4741" i="20"/>
  <c r="M4742" i="20"/>
  <c r="M4743" i="20"/>
  <c r="M4744" i="20"/>
  <c r="M4745" i="20"/>
  <c r="M4746" i="20"/>
  <c r="M4747" i="20"/>
  <c r="M4748" i="20"/>
  <c r="M4749" i="20"/>
  <c r="M4750" i="20"/>
  <c r="M4751" i="20"/>
  <c r="M4752" i="20"/>
  <c r="M4753" i="20"/>
  <c r="M4754" i="20"/>
  <c r="M4755" i="20"/>
  <c r="M4756" i="20"/>
  <c r="M4757" i="20"/>
  <c r="M4758" i="20"/>
  <c r="M4759" i="20"/>
  <c r="M4760" i="20"/>
  <c r="M4761" i="20"/>
  <c r="M4762" i="20"/>
  <c r="M4763" i="20"/>
  <c r="M4764" i="20"/>
  <c r="M4765" i="20"/>
  <c r="M4766" i="20"/>
  <c r="M4767" i="20"/>
  <c r="M4768" i="20"/>
  <c r="M4769" i="20"/>
  <c r="M4770" i="20"/>
  <c r="M4771" i="20"/>
  <c r="M4772" i="20"/>
  <c r="M4773" i="20"/>
  <c r="M4774" i="20"/>
  <c r="M4775" i="20"/>
  <c r="M4776" i="20"/>
  <c r="M4777" i="20"/>
  <c r="M4778" i="20"/>
  <c r="M4779" i="20"/>
  <c r="M4780" i="20"/>
  <c r="M4781" i="20"/>
  <c r="M4782" i="20"/>
  <c r="M4783" i="20"/>
  <c r="M4784" i="20"/>
  <c r="M4785" i="20"/>
  <c r="M4786" i="20"/>
  <c r="M4787" i="20"/>
  <c r="M4788" i="20"/>
  <c r="M4789" i="20"/>
  <c r="M4790" i="20"/>
  <c r="M4791" i="20"/>
  <c r="M4792" i="20"/>
  <c r="M4793" i="20"/>
  <c r="M4794" i="20"/>
  <c r="M4795" i="20"/>
  <c r="M4796" i="20"/>
  <c r="M4797" i="20"/>
  <c r="M4798" i="20"/>
  <c r="M4799" i="20"/>
  <c r="M4800" i="20"/>
  <c r="M4801" i="20"/>
  <c r="M4802" i="20"/>
  <c r="M4803" i="20"/>
  <c r="M4804" i="20"/>
  <c r="M4805" i="20"/>
  <c r="M4806" i="20"/>
  <c r="M4807" i="20"/>
  <c r="M4808" i="20"/>
  <c r="M4809" i="20"/>
  <c r="M4810" i="20"/>
  <c r="M4811" i="20"/>
  <c r="M4812" i="20"/>
  <c r="M4813" i="20"/>
  <c r="M4814" i="20"/>
  <c r="M4815" i="20"/>
  <c r="M4816" i="20"/>
  <c r="M4817" i="20"/>
  <c r="M4818" i="20"/>
  <c r="M4819" i="20"/>
  <c r="M4820" i="20"/>
  <c r="M4821" i="20"/>
  <c r="M4822" i="20"/>
  <c r="M4823" i="20"/>
  <c r="M4824" i="20"/>
  <c r="M4825" i="20"/>
  <c r="M4826" i="20"/>
  <c r="M4827" i="20"/>
  <c r="M4828" i="20"/>
  <c r="M4829" i="20"/>
  <c r="M4830" i="20"/>
  <c r="M4831" i="20"/>
  <c r="M4832" i="20"/>
  <c r="M4833" i="20"/>
  <c r="M4834" i="20"/>
  <c r="M4835" i="20"/>
  <c r="M4836" i="20"/>
  <c r="M4837" i="20"/>
  <c r="M4838" i="20"/>
  <c r="M4839" i="20"/>
  <c r="M4840" i="20"/>
  <c r="M4841" i="20"/>
  <c r="M4842" i="20"/>
  <c r="M4843" i="20"/>
  <c r="M4844" i="20"/>
  <c r="M4845" i="20"/>
  <c r="M4846" i="20"/>
  <c r="M4847" i="20"/>
  <c r="M4848" i="20"/>
  <c r="M4849" i="20"/>
  <c r="M4850" i="20"/>
  <c r="M4851" i="20"/>
  <c r="M4852" i="20"/>
  <c r="M4853" i="20"/>
  <c r="M4854" i="20"/>
  <c r="M4855" i="20"/>
  <c r="M4856" i="20"/>
  <c r="M4857" i="20"/>
  <c r="M4858" i="20"/>
  <c r="M4859" i="20"/>
  <c r="M4860" i="20"/>
  <c r="M4861" i="20"/>
  <c r="M4862" i="20"/>
  <c r="M4863" i="20"/>
  <c r="M4864" i="20"/>
  <c r="M4865" i="20"/>
  <c r="M4866" i="20"/>
  <c r="M4867" i="20"/>
  <c r="M4868" i="20"/>
  <c r="M4869" i="20"/>
  <c r="M4870" i="20"/>
  <c r="M4871" i="20"/>
  <c r="M4872" i="20"/>
  <c r="M4873" i="20"/>
  <c r="M4874" i="20"/>
  <c r="M4875" i="20"/>
  <c r="M4876" i="20"/>
  <c r="M4877" i="20"/>
  <c r="M4878" i="20"/>
  <c r="M4879" i="20"/>
  <c r="M4880" i="20"/>
  <c r="M4881" i="20"/>
  <c r="M4882" i="20"/>
  <c r="M4883" i="20"/>
  <c r="M4884" i="20"/>
  <c r="M4885" i="20"/>
  <c r="M4886" i="20"/>
  <c r="M4887" i="20"/>
  <c r="M4888" i="20"/>
  <c r="M4889" i="20"/>
  <c r="M4890" i="20"/>
  <c r="M4891" i="20"/>
  <c r="M4892" i="20"/>
  <c r="M4893" i="20"/>
  <c r="M4894" i="20"/>
  <c r="M4895" i="20"/>
  <c r="M4896" i="20"/>
  <c r="M4897" i="20"/>
  <c r="M4898" i="20"/>
  <c r="M4899" i="20"/>
  <c r="M4900" i="20"/>
  <c r="M4901" i="20"/>
  <c r="M4902" i="20"/>
  <c r="M4903" i="20"/>
  <c r="M4904" i="20"/>
  <c r="M4905" i="20"/>
  <c r="M4906" i="20"/>
  <c r="M4907" i="20"/>
  <c r="M4908" i="20"/>
  <c r="M4909" i="20"/>
  <c r="M4910" i="20"/>
  <c r="M4911" i="20"/>
  <c r="M4912" i="20"/>
  <c r="M4913" i="20"/>
  <c r="M4914" i="20"/>
  <c r="M4915" i="20"/>
  <c r="M4916" i="20"/>
  <c r="M4917" i="20"/>
  <c r="M4918" i="20"/>
  <c r="M4919" i="20"/>
  <c r="M4920" i="20"/>
  <c r="M4921" i="20"/>
  <c r="M4922" i="20"/>
  <c r="M4923" i="20"/>
  <c r="M4924" i="20"/>
  <c r="M4925" i="20"/>
  <c r="M4926" i="20"/>
  <c r="M4927" i="20"/>
  <c r="M4928" i="20"/>
  <c r="M4929" i="20"/>
  <c r="M4930" i="20"/>
  <c r="M4931" i="20"/>
  <c r="M4932" i="20"/>
  <c r="M4933" i="20"/>
  <c r="M4934" i="20"/>
  <c r="M4935" i="20"/>
  <c r="M4936" i="20"/>
  <c r="M4937" i="20"/>
  <c r="M4938" i="20"/>
  <c r="M4939" i="20"/>
  <c r="M4940" i="20"/>
  <c r="M4941" i="20"/>
  <c r="M4942" i="20"/>
  <c r="M4943" i="20"/>
  <c r="M4944" i="20"/>
  <c r="M4945" i="20"/>
  <c r="M4946" i="20"/>
  <c r="M4947" i="20"/>
  <c r="M4948" i="20"/>
  <c r="M4949" i="20"/>
  <c r="M4950" i="20"/>
  <c r="M4951" i="20"/>
  <c r="M4952" i="20"/>
  <c r="M4953" i="20"/>
  <c r="M4954" i="20"/>
  <c r="M4955" i="20"/>
  <c r="M4956" i="20"/>
  <c r="M4957" i="20"/>
  <c r="M4958" i="20"/>
  <c r="M4959" i="20"/>
  <c r="M4960" i="20"/>
  <c r="M4961" i="20"/>
  <c r="M4962" i="20"/>
  <c r="M4963" i="20"/>
  <c r="M4964" i="20"/>
  <c r="N3898" i="20"/>
  <c r="N3899" i="20"/>
  <c r="N3900" i="20"/>
  <c r="N3901" i="20"/>
  <c r="N3902" i="20"/>
  <c r="N3903" i="20"/>
  <c r="N3904" i="20"/>
  <c r="N3905" i="20"/>
  <c r="N3906" i="20"/>
  <c r="N3907" i="20"/>
  <c r="N3908" i="20"/>
  <c r="N3909" i="20"/>
  <c r="N3910" i="20"/>
  <c r="N3911" i="20"/>
  <c r="N3912" i="20"/>
  <c r="N3913" i="20"/>
  <c r="N3914" i="20"/>
  <c r="N3915" i="20"/>
  <c r="N3916" i="20"/>
  <c r="N3917" i="20"/>
  <c r="N3918" i="20"/>
  <c r="N3919" i="20"/>
  <c r="N3920" i="20"/>
  <c r="N3921" i="20"/>
  <c r="N3922" i="20"/>
  <c r="N3923" i="20"/>
  <c r="N3924" i="20"/>
  <c r="N3925" i="20"/>
  <c r="N3926" i="20"/>
  <c r="N3927" i="20"/>
  <c r="N3928" i="20"/>
  <c r="N3929" i="20"/>
  <c r="N3930" i="20"/>
  <c r="N3931" i="20"/>
  <c r="N3932" i="20"/>
  <c r="N3933" i="20"/>
  <c r="N3934" i="20"/>
  <c r="N3935" i="20"/>
  <c r="N3936" i="20"/>
  <c r="N3937" i="20"/>
  <c r="N3938" i="20"/>
  <c r="N3939" i="20"/>
  <c r="N3940" i="20"/>
  <c r="N3941" i="20"/>
  <c r="N3942" i="20"/>
  <c r="N3943" i="20"/>
  <c r="N3944" i="20"/>
  <c r="N3945" i="20"/>
  <c r="N3946" i="20"/>
  <c r="N3947" i="20"/>
  <c r="N3948" i="20"/>
  <c r="N3949" i="20"/>
  <c r="N3950" i="20"/>
  <c r="N3951" i="20"/>
  <c r="N3952" i="20"/>
  <c r="N3953" i="20"/>
  <c r="N3954" i="20"/>
  <c r="N3955" i="20"/>
  <c r="N3956" i="20"/>
  <c r="N3957" i="20"/>
  <c r="N3958" i="20"/>
  <c r="N3959" i="20"/>
  <c r="N3960" i="20"/>
  <c r="N3961" i="20"/>
  <c r="N3962" i="20"/>
  <c r="N3963" i="20"/>
  <c r="N3964" i="20"/>
  <c r="N3965" i="20"/>
  <c r="N3966" i="20"/>
  <c r="N3967" i="20"/>
  <c r="N3968" i="20"/>
  <c r="N3969" i="20"/>
  <c r="N3970" i="20"/>
  <c r="N3971" i="20"/>
  <c r="N3972" i="20"/>
  <c r="N3973" i="20"/>
  <c r="N3974" i="20"/>
  <c r="N3975" i="20"/>
  <c r="N3976" i="20"/>
  <c r="N3977" i="20"/>
  <c r="N3978" i="20"/>
  <c r="N3979" i="20"/>
  <c r="N3980" i="20"/>
  <c r="N3981" i="20"/>
  <c r="N3982" i="20"/>
  <c r="N3983" i="20"/>
  <c r="N3984" i="20"/>
  <c r="N3985" i="20"/>
  <c r="N3986" i="20"/>
  <c r="N3987" i="20"/>
  <c r="N3988" i="20"/>
  <c r="N3989" i="20"/>
  <c r="N3990" i="20"/>
  <c r="N3991" i="20"/>
  <c r="N3992" i="20"/>
  <c r="N3993" i="20"/>
  <c r="N3994" i="20"/>
  <c r="N3995" i="20"/>
  <c r="N3996" i="20"/>
  <c r="N3997" i="20"/>
  <c r="N3998" i="20"/>
  <c r="N3999" i="20"/>
  <c r="N4000" i="20"/>
  <c r="N4001" i="20"/>
  <c r="N4002" i="20"/>
  <c r="N4003" i="20"/>
  <c r="N4004" i="20"/>
  <c r="N4005" i="20"/>
  <c r="N4006" i="20"/>
  <c r="N4007" i="20"/>
  <c r="N4008" i="20"/>
  <c r="N4009" i="20"/>
  <c r="N4010" i="20"/>
  <c r="N4011" i="20"/>
  <c r="N4012" i="20"/>
  <c r="N4013" i="20"/>
  <c r="N4014" i="20"/>
  <c r="N4015" i="20"/>
  <c r="N4016" i="20"/>
  <c r="N4017" i="20"/>
  <c r="N4018" i="20"/>
  <c r="N4019" i="20"/>
  <c r="N4020" i="20"/>
  <c r="N4021" i="20"/>
  <c r="N4022" i="20"/>
  <c r="N4023" i="20"/>
  <c r="N4024" i="20"/>
  <c r="N4025" i="20"/>
  <c r="N4026" i="20"/>
  <c r="N4027" i="20"/>
  <c r="N4028" i="20"/>
  <c r="N4029" i="20"/>
  <c r="N4030" i="20"/>
  <c r="N4031" i="20"/>
  <c r="N4032" i="20"/>
  <c r="N4033" i="20"/>
  <c r="N4034" i="20"/>
  <c r="N4035" i="20"/>
  <c r="N4036" i="20"/>
  <c r="N4037" i="20"/>
  <c r="N4038" i="20"/>
  <c r="N4039" i="20"/>
  <c r="N4040" i="20"/>
  <c r="N4041" i="20"/>
  <c r="N4042" i="20"/>
  <c r="N4043" i="20"/>
  <c r="N4044" i="20"/>
  <c r="N4045" i="20"/>
  <c r="N4046" i="20"/>
  <c r="N4047" i="20"/>
  <c r="N4048" i="20"/>
  <c r="N4049" i="20"/>
  <c r="N4050" i="20"/>
  <c r="N4051" i="20"/>
  <c r="N4052" i="20"/>
  <c r="N4053" i="20"/>
  <c r="N4054" i="20"/>
  <c r="N4055" i="20"/>
  <c r="N4056" i="20"/>
  <c r="N4057" i="20"/>
  <c r="N4058" i="20"/>
  <c r="N4059" i="20"/>
  <c r="N4060" i="20"/>
  <c r="N4061" i="20"/>
  <c r="N4062" i="20"/>
  <c r="N4063" i="20"/>
  <c r="N4064" i="20"/>
  <c r="N4065" i="20"/>
  <c r="N4066" i="20"/>
  <c r="N4067" i="20"/>
  <c r="N4068" i="20"/>
  <c r="N4069" i="20"/>
  <c r="N4070" i="20"/>
  <c r="N4071" i="20"/>
  <c r="N4072" i="20"/>
  <c r="N4073" i="20"/>
  <c r="N4074" i="20"/>
  <c r="N4075" i="20"/>
  <c r="N4076" i="20"/>
  <c r="N4077" i="20"/>
  <c r="N4078" i="20"/>
  <c r="N4079" i="20"/>
  <c r="N4080" i="20"/>
  <c r="N4081" i="20"/>
  <c r="N4082" i="20"/>
  <c r="N4083" i="20"/>
  <c r="N4084" i="20"/>
  <c r="N4085" i="20"/>
  <c r="N4086" i="20"/>
  <c r="N4087" i="20"/>
  <c r="N4088" i="20"/>
  <c r="N4089" i="20"/>
  <c r="N4090" i="20"/>
  <c r="N4091" i="20"/>
  <c r="N4092" i="20"/>
  <c r="N4093" i="20"/>
  <c r="N4094" i="20"/>
  <c r="N4095" i="20"/>
  <c r="N4096" i="20"/>
  <c r="N4097" i="20"/>
  <c r="N4098" i="20"/>
  <c r="N4099" i="20"/>
  <c r="N4100" i="20"/>
  <c r="N4101" i="20"/>
  <c r="N4102" i="20"/>
  <c r="N4103" i="20"/>
  <c r="N4104" i="20"/>
  <c r="N4105" i="20"/>
  <c r="N4106" i="20"/>
  <c r="N4107" i="20"/>
  <c r="N4108" i="20"/>
  <c r="N4109" i="20"/>
  <c r="N4110" i="20"/>
  <c r="N4111" i="20"/>
  <c r="N4112" i="20"/>
  <c r="N4113" i="20"/>
  <c r="N4114" i="20"/>
  <c r="N4115" i="20"/>
  <c r="N4116" i="20"/>
  <c r="N4117" i="20"/>
  <c r="N4118" i="20"/>
  <c r="N4119" i="20"/>
  <c r="N4120" i="20"/>
  <c r="N4121" i="20"/>
  <c r="N4122" i="20"/>
  <c r="N4123" i="20"/>
  <c r="N4124" i="20"/>
  <c r="N4125" i="20"/>
  <c r="N4126" i="20"/>
  <c r="N4127" i="20"/>
  <c r="N4128" i="20"/>
  <c r="N4129" i="20"/>
  <c r="N4130" i="20"/>
  <c r="N4131" i="20"/>
  <c r="N4132" i="20"/>
  <c r="N4133" i="20"/>
  <c r="N4134" i="20"/>
  <c r="N4135" i="20"/>
  <c r="N4136" i="20"/>
  <c r="N4137" i="20"/>
  <c r="N4138" i="20"/>
  <c r="N4139" i="20"/>
  <c r="N4140" i="20"/>
  <c r="N4141" i="20"/>
  <c r="N4142" i="20"/>
  <c r="N4143" i="20"/>
  <c r="N4144" i="20"/>
  <c r="N4145" i="20"/>
  <c r="N4146" i="20"/>
  <c r="N4147" i="20"/>
  <c r="N4148" i="20"/>
  <c r="N4149" i="20"/>
  <c r="N4150" i="20"/>
  <c r="N4151" i="20"/>
  <c r="N4152" i="20"/>
  <c r="N4153" i="20"/>
  <c r="N4154" i="20"/>
  <c r="N4155" i="20"/>
  <c r="N4156" i="20"/>
  <c r="N4157" i="20"/>
  <c r="N4158" i="20"/>
  <c r="N4159" i="20"/>
  <c r="N4160" i="20"/>
  <c r="N4161" i="20"/>
  <c r="N4162" i="20"/>
  <c r="N4163" i="20"/>
  <c r="N4164" i="20"/>
  <c r="N4165" i="20"/>
  <c r="N4166" i="20"/>
  <c r="N4167" i="20"/>
  <c r="N4168" i="20"/>
  <c r="N4169" i="20"/>
  <c r="N4170" i="20"/>
  <c r="N4171" i="20"/>
  <c r="N4172" i="20"/>
  <c r="N4173" i="20"/>
  <c r="N4174" i="20"/>
  <c r="N4175" i="20"/>
  <c r="N4176" i="20"/>
  <c r="N4177" i="20"/>
  <c r="N4178" i="20"/>
  <c r="N4179" i="20"/>
  <c r="N4180" i="20"/>
  <c r="N4181" i="20"/>
  <c r="N4182" i="20"/>
  <c r="N4183" i="20"/>
  <c r="N4184" i="20"/>
  <c r="N4185" i="20"/>
  <c r="N4186" i="20"/>
  <c r="N4187" i="20"/>
  <c r="N4188" i="20"/>
  <c r="N4189" i="20"/>
  <c r="N4190" i="20"/>
  <c r="N4191" i="20"/>
  <c r="N4192" i="20"/>
  <c r="N4193" i="20"/>
  <c r="N4194" i="20"/>
  <c r="N4195" i="20"/>
  <c r="N4196" i="20"/>
  <c r="N4197" i="20"/>
  <c r="N4198" i="20"/>
  <c r="N4199" i="20"/>
  <c r="N4200" i="20"/>
  <c r="N4201" i="20"/>
  <c r="N4202" i="20"/>
  <c r="N4203" i="20"/>
  <c r="N4204" i="20"/>
  <c r="N4205" i="20"/>
  <c r="N4206" i="20"/>
  <c r="N4207" i="20"/>
  <c r="N4208" i="20"/>
  <c r="N4209" i="20"/>
  <c r="N4210" i="20"/>
  <c r="N4211" i="20"/>
  <c r="N4212" i="20"/>
  <c r="N4213" i="20"/>
  <c r="N4214" i="20"/>
  <c r="N4215" i="20"/>
  <c r="N4216" i="20"/>
  <c r="N4217" i="20"/>
  <c r="N4218" i="20"/>
  <c r="N4219" i="20"/>
  <c r="N4220" i="20"/>
  <c r="N4221" i="20"/>
  <c r="N4222" i="20"/>
  <c r="N4223" i="20"/>
  <c r="N4224" i="20"/>
  <c r="N4225" i="20"/>
  <c r="N4226" i="20"/>
  <c r="N4227" i="20"/>
  <c r="N4228" i="20"/>
  <c r="N4229" i="20"/>
  <c r="N4230" i="20"/>
  <c r="N4231" i="20"/>
  <c r="N4232" i="20"/>
  <c r="N4233" i="20"/>
  <c r="N4234" i="20"/>
  <c r="N4235" i="20"/>
  <c r="N4236" i="20"/>
  <c r="N4237" i="20"/>
  <c r="N4238" i="20"/>
  <c r="N4239" i="20"/>
  <c r="N4240" i="20"/>
  <c r="N4241" i="20"/>
  <c r="N4242" i="20"/>
  <c r="N4243" i="20"/>
  <c r="N4244" i="20"/>
  <c r="N4245" i="20"/>
  <c r="N4246" i="20"/>
  <c r="N4247" i="20"/>
  <c r="N4248" i="20"/>
  <c r="N4249" i="20"/>
  <c r="N4250" i="20"/>
  <c r="N4251" i="20"/>
  <c r="N4252" i="20"/>
  <c r="N4253" i="20"/>
  <c r="N4254" i="20"/>
  <c r="N4255" i="20"/>
  <c r="N4256" i="20"/>
  <c r="N4257" i="20"/>
  <c r="N4258" i="20"/>
  <c r="N4259" i="20"/>
  <c r="N4260" i="20"/>
  <c r="N4261" i="20"/>
  <c r="N4262" i="20"/>
  <c r="N4263" i="20"/>
  <c r="N4264" i="20"/>
  <c r="N4265" i="20"/>
  <c r="N4266" i="20"/>
  <c r="N4267" i="20"/>
  <c r="N4268" i="20"/>
  <c r="N4269" i="20"/>
  <c r="N4270" i="20"/>
  <c r="N4271" i="20"/>
  <c r="N4272" i="20"/>
  <c r="N4273" i="20"/>
  <c r="N4274" i="20"/>
  <c r="N4275" i="20"/>
  <c r="N4276" i="20"/>
  <c r="N4277" i="20"/>
  <c r="N4278" i="20"/>
  <c r="N4279" i="20"/>
  <c r="N4280" i="20"/>
  <c r="N4281" i="20"/>
  <c r="N4282" i="20"/>
  <c r="N4283" i="20"/>
  <c r="N4284" i="20"/>
  <c r="N4285" i="20"/>
  <c r="N4286" i="20"/>
  <c r="N4287" i="20"/>
  <c r="N4288" i="20"/>
  <c r="N4289" i="20"/>
  <c r="N4290" i="20"/>
  <c r="N4291" i="20"/>
  <c r="N4292" i="20"/>
  <c r="N4293" i="20"/>
  <c r="N4294" i="20"/>
  <c r="N4295" i="20"/>
  <c r="N4296" i="20"/>
  <c r="N4297" i="20"/>
  <c r="N4298" i="20"/>
  <c r="N4299" i="20"/>
  <c r="N4300" i="20"/>
  <c r="N4301" i="20"/>
  <c r="N4302" i="20"/>
  <c r="N4303" i="20"/>
  <c r="N4304" i="20"/>
  <c r="N4305" i="20"/>
  <c r="N4306" i="20"/>
  <c r="N4307" i="20"/>
  <c r="N4308" i="20"/>
  <c r="N4309" i="20"/>
  <c r="N4310" i="20"/>
  <c r="N4311" i="20"/>
  <c r="N4312" i="20"/>
  <c r="N4313" i="20"/>
  <c r="N4314" i="20"/>
  <c r="N4315" i="20"/>
  <c r="N4316" i="20"/>
  <c r="N4317" i="20"/>
  <c r="N4318" i="20"/>
  <c r="N4319" i="20"/>
  <c r="N4320" i="20"/>
  <c r="N4321" i="20"/>
  <c r="N4322" i="20"/>
  <c r="N4323" i="20"/>
  <c r="N4324" i="20"/>
  <c r="N4325" i="20"/>
  <c r="N4326" i="20"/>
  <c r="N4327" i="20"/>
  <c r="N4328" i="20"/>
  <c r="N4329" i="20"/>
  <c r="N4330" i="20"/>
  <c r="N4331" i="20"/>
  <c r="N4332" i="20"/>
  <c r="N4333" i="20"/>
  <c r="N4334" i="20"/>
  <c r="N4335" i="20"/>
  <c r="N4336" i="20"/>
  <c r="N4337" i="20"/>
  <c r="N4338" i="20"/>
  <c r="N4339" i="20"/>
  <c r="N4340" i="20"/>
  <c r="N4341" i="20"/>
  <c r="N4342" i="20"/>
  <c r="N4343" i="20"/>
  <c r="N4344" i="20"/>
  <c r="N4345" i="20"/>
  <c r="N4346" i="20"/>
  <c r="N4347" i="20"/>
  <c r="N4348" i="20"/>
  <c r="N4349" i="20"/>
  <c r="N4350" i="20"/>
  <c r="N4351" i="20"/>
  <c r="N4352" i="20"/>
  <c r="N4353" i="20"/>
  <c r="N4354" i="20"/>
  <c r="N4355" i="20"/>
  <c r="N4356" i="20"/>
  <c r="N4357" i="20"/>
  <c r="N4358" i="20"/>
  <c r="N4359" i="20"/>
  <c r="N4360" i="20"/>
  <c r="N4361" i="20"/>
  <c r="N4362" i="20"/>
  <c r="N4363" i="20"/>
  <c r="N4364" i="20"/>
  <c r="N4365" i="20"/>
  <c r="N4366" i="20"/>
  <c r="N4367" i="20"/>
  <c r="N4368" i="20"/>
  <c r="N4369" i="20"/>
  <c r="N4370" i="20"/>
  <c r="N4371" i="20"/>
  <c r="N4372" i="20"/>
  <c r="N4373" i="20"/>
  <c r="N4374" i="20"/>
  <c r="N4375" i="20"/>
  <c r="N4376" i="20"/>
  <c r="N4377" i="20"/>
  <c r="N4378" i="20"/>
  <c r="N4379" i="20"/>
  <c r="N4380" i="20"/>
  <c r="N4381" i="20"/>
  <c r="N4382" i="20"/>
  <c r="N4383" i="20"/>
  <c r="N4384" i="20"/>
  <c r="N4385" i="20"/>
  <c r="N4386" i="20"/>
  <c r="N4387" i="20"/>
  <c r="N4388" i="20"/>
  <c r="N4389" i="20"/>
  <c r="N4390" i="20"/>
  <c r="N4391" i="20"/>
  <c r="N4392" i="20"/>
  <c r="N4393" i="20"/>
  <c r="N4394" i="20"/>
  <c r="N4395" i="20"/>
  <c r="N4396" i="20"/>
  <c r="N4397" i="20"/>
  <c r="N4398" i="20"/>
  <c r="N4399" i="20"/>
  <c r="N4400" i="20"/>
  <c r="N4401" i="20"/>
  <c r="N4402" i="20"/>
  <c r="N4403" i="20"/>
  <c r="N4404" i="20"/>
  <c r="N4405" i="20"/>
  <c r="N4406" i="20"/>
  <c r="N4407" i="20"/>
  <c r="N4408" i="20"/>
  <c r="N4409" i="20"/>
  <c r="N4410" i="20"/>
  <c r="N4411" i="20"/>
  <c r="N4412" i="20"/>
  <c r="N4413" i="20"/>
  <c r="N4414" i="20"/>
  <c r="N4415" i="20"/>
  <c r="N4416" i="20"/>
  <c r="N4417" i="20"/>
  <c r="N4418" i="20"/>
  <c r="N4419" i="20"/>
  <c r="N4420" i="20"/>
  <c r="N4421" i="20"/>
  <c r="N4422" i="20"/>
  <c r="N4423" i="20"/>
  <c r="N4424" i="20"/>
  <c r="N4425" i="20"/>
  <c r="N4426" i="20"/>
  <c r="N4427" i="20"/>
  <c r="N4428" i="20"/>
  <c r="N4429" i="20"/>
  <c r="N4430" i="20"/>
  <c r="N4431" i="20"/>
  <c r="N4432" i="20"/>
  <c r="N4433" i="20"/>
  <c r="N4434" i="20"/>
  <c r="N4435" i="20"/>
  <c r="N4436" i="20"/>
  <c r="N4437" i="20"/>
  <c r="N4438" i="20"/>
  <c r="N4439" i="20"/>
  <c r="N4440" i="20"/>
  <c r="N4441" i="20"/>
  <c r="N4442" i="20"/>
  <c r="N4443" i="20"/>
  <c r="N4444" i="20"/>
  <c r="N4445" i="20"/>
  <c r="N4446" i="20"/>
  <c r="N4447" i="20"/>
  <c r="N4448" i="20"/>
  <c r="N4449" i="20"/>
  <c r="N4450" i="20"/>
  <c r="N4451" i="20"/>
  <c r="N4452" i="20"/>
  <c r="N4453" i="20"/>
  <c r="N4454" i="20"/>
  <c r="N4455" i="20"/>
  <c r="N4456" i="20"/>
  <c r="N4457" i="20"/>
  <c r="N4458" i="20"/>
  <c r="N4459" i="20"/>
  <c r="N4460" i="20"/>
  <c r="N4461" i="20"/>
  <c r="N4462" i="20"/>
  <c r="N4463" i="20"/>
  <c r="N4464" i="20"/>
  <c r="N4465" i="20"/>
  <c r="N4466" i="20"/>
  <c r="N4467" i="20"/>
  <c r="N4468" i="20"/>
  <c r="N4469" i="20"/>
  <c r="N4470" i="20"/>
  <c r="N4471" i="20"/>
  <c r="N4472" i="20"/>
  <c r="N4473" i="20"/>
  <c r="N4474" i="20"/>
  <c r="N4475" i="20"/>
  <c r="N4476" i="20"/>
  <c r="N4477" i="20"/>
  <c r="N4478" i="20"/>
  <c r="N4479" i="20"/>
  <c r="N4480" i="20"/>
  <c r="N4481" i="20"/>
  <c r="N4482" i="20"/>
  <c r="N4483" i="20"/>
  <c r="N4484" i="20"/>
  <c r="N4485" i="20"/>
  <c r="N4486" i="20"/>
  <c r="N4487" i="20"/>
  <c r="N4488" i="20"/>
  <c r="N4489" i="20"/>
  <c r="N4490" i="20"/>
  <c r="N4491" i="20"/>
  <c r="N4492" i="20"/>
  <c r="N4493" i="20"/>
  <c r="N4494" i="20"/>
  <c r="N4495" i="20"/>
  <c r="N4496" i="20"/>
  <c r="N4497" i="20"/>
  <c r="N4498" i="20"/>
  <c r="N4499" i="20"/>
  <c r="N4500" i="20"/>
  <c r="N4501" i="20"/>
  <c r="N4502" i="20"/>
  <c r="N4503" i="20"/>
  <c r="N4504" i="20"/>
  <c r="N4505" i="20"/>
  <c r="N4506" i="20"/>
  <c r="N4507" i="20"/>
  <c r="N4508" i="20"/>
  <c r="N4509" i="20"/>
  <c r="N4510" i="20"/>
  <c r="N4511" i="20"/>
  <c r="N4512" i="20"/>
  <c r="N4513" i="20"/>
  <c r="N4514" i="20"/>
  <c r="N4515" i="20"/>
  <c r="N4516" i="20"/>
  <c r="N4517" i="20"/>
  <c r="N4518" i="20"/>
  <c r="N4519" i="20"/>
  <c r="N4520" i="20"/>
  <c r="N4521" i="20"/>
  <c r="N4522" i="20"/>
  <c r="N4523" i="20"/>
  <c r="N4524" i="20"/>
  <c r="N4525" i="20"/>
  <c r="N4526" i="20"/>
  <c r="N4527" i="20"/>
  <c r="N4528" i="20"/>
  <c r="N4529" i="20"/>
  <c r="N4530" i="20"/>
  <c r="N4531" i="20"/>
  <c r="N4532" i="20"/>
  <c r="N4533" i="20"/>
  <c r="N4534" i="20"/>
  <c r="N4535" i="20"/>
  <c r="N4536" i="20"/>
  <c r="N4537" i="20"/>
  <c r="N4538" i="20"/>
  <c r="N4539" i="20"/>
  <c r="N4540" i="20"/>
  <c r="N4541" i="20"/>
  <c r="N4542" i="20"/>
  <c r="N4543" i="20"/>
  <c r="N4544" i="20"/>
  <c r="N4545" i="20"/>
  <c r="N4546" i="20"/>
  <c r="N4547" i="20"/>
  <c r="N4548" i="20"/>
  <c r="N4549" i="20"/>
  <c r="N4550" i="20"/>
  <c r="N4551" i="20"/>
  <c r="N4552" i="20"/>
  <c r="N4553" i="20"/>
  <c r="N4554" i="20"/>
  <c r="N4555" i="20"/>
  <c r="N4556" i="20"/>
  <c r="N4557" i="20"/>
  <c r="N4558" i="20"/>
  <c r="N4559" i="20"/>
  <c r="N4560" i="20"/>
  <c r="N4561" i="20"/>
  <c r="N4562" i="20"/>
  <c r="N4563" i="20"/>
  <c r="N4564" i="20"/>
  <c r="N4565" i="20"/>
  <c r="N4566" i="20"/>
  <c r="N4567" i="20"/>
  <c r="N4568" i="20"/>
  <c r="N4569" i="20"/>
  <c r="N4570" i="20"/>
  <c r="N4571" i="20"/>
  <c r="N4572" i="20"/>
  <c r="N4573" i="20"/>
  <c r="N4574" i="20"/>
  <c r="N4575" i="20"/>
  <c r="N4576" i="20"/>
  <c r="N4577" i="20"/>
  <c r="N4578" i="20"/>
  <c r="N4579" i="20"/>
  <c r="N4580" i="20"/>
  <c r="N4581" i="20"/>
  <c r="N4582" i="20"/>
  <c r="N4583" i="20"/>
  <c r="N4584" i="20"/>
  <c r="N4585" i="20"/>
  <c r="N4586" i="20"/>
  <c r="N4587" i="20"/>
  <c r="N4588" i="20"/>
  <c r="N4589" i="20"/>
  <c r="N4590" i="20"/>
  <c r="N4591" i="20"/>
  <c r="N4592" i="20"/>
  <c r="N4593" i="20"/>
  <c r="N4594" i="20"/>
  <c r="N4595" i="20"/>
  <c r="N4596" i="20"/>
  <c r="N4597" i="20"/>
  <c r="N4598" i="20"/>
  <c r="N4599" i="20"/>
  <c r="N4600" i="20"/>
  <c r="N4601" i="20"/>
  <c r="N4602" i="20"/>
  <c r="N4603" i="20"/>
  <c r="N4604" i="20"/>
  <c r="N4605" i="20"/>
  <c r="N4606" i="20"/>
  <c r="N4607" i="20"/>
  <c r="N4608" i="20"/>
  <c r="N4609" i="20"/>
  <c r="N4610" i="20"/>
  <c r="N4611" i="20"/>
  <c r="N4612" i="20"/>
  <c r="N4613" i="20"/>
  <c r="N4614" i="20"/>
  <c r="N4615" i="20"/>
  <c r="N4616" i="20"/>
  <c r="N4617" i="20"/>
  <c r="N4618" i="20"/>
  <c r="N4619" i="20"/>
  <c r="N4620" i="20"/>
  <c r="N4621" i="20"/>
  <c r="N4622" i="20"/>
  <c r="N4623" i="20"/>
  <c r="N4624" i="20"/>
  <c r="N4625" i="20"/>
  <c r="N4626" i="20"/>
  <c r="N4627" i="20"/>
  <c r="N4628" i="20"/>
  <c r="N4629" i="20"/>
  <c r="N4630" i="20"/>
  <c r="N4631" i="20"/>
  <c r="N4632" i="20"/>
  <c r="N4633" i="20"/>
  <c r="N4634" i="20"/>
  <c r="N4635" i="20"/>
  <c r="N4636" i="20"/>
  <c r="N4637" i="20"/>
  <c r="N4638" i="20"/>
  <c r="N4639" i="20"/>
  <c r="N4640" i="20"/>
  <c r="N4641" i="20"/>
  <c r="N4642" i="20"/>
  <c r="N4643" i="20"/>
  <c r="N4644" i="20"/>
  <c r="N4645" i="20"/>
  <c r="N4646" i="20"/>
  <c r="N4647" i="20"/>
  <c r="N4648" i="20"/>
  <c r="N4649" i="20"/>
  <c r="N4650" i="20"/>
  <c r="N4651" i="20"/>
  <c r="N4652" i="20"/>
  <c r="N4653" i="20"/>
  <c r="N4654" i="20"/>
  <c r="N4655" i="20"/>
  <c r="N4656" i="20"/>
  <c r="N4657" i="20"/>
  <c r="N4658" i="20"/>
  <c r="N4659" i="20"/>
  <c r="N4660" i="20"/>
  <c r="N4661" i="20"/>
  <c r="N4662" i="20"/>
  <c r="N4663" i="20"/>
  <c r="N4664" i="20"/>
  <c r="N4665" i="20"/>
  <c r="N4666" i="20"/>
  <c r="N4667" i="20"/>
  <c r="N4668" i="20"/>
  <c r="N4669" i="20"/>
  <c r="N4670" i="20"/>
  <c r="N4671" i="20"/>
  <c r="N4672" i="20"/>
  <c r="N4673" i="20"/>
  <c r="N4674" i="20"/>
  <c r="N4675" i="20"/>
  <c r="N4676" i="20"/>
  <c r="N4677" i="20"/>
  <c r="N4678" i="20"/>
  <c r="N4679" i="20"/>
  <c r="N4680" i="20"/>
  <c r="N4681" i="20"/>
  <c r="N4682" i="20"/>
  <c r="N4683" i="20"/>
  <c r="N4684" i="20"/>
  <c r="N4685" i="20"/>
  <c r="N4686" i="20"/>
  <c r="N4687" i="20"/>
  <c r="N4688" i="20"/>
  <c r="N4689" i="20"/>
  <c r="N4690" i="20"/>
  <c r="N4691" i="20"/>
  <c r="N4692" i="20"/>
  <c r="N4693" i="20"/>
  <c r="N4694" i="20"/>
  <c r="N4695" i="20"/>
  <c r="N4696" i="20"/>
  <c r="N4697" i="20"/>
  <c r="N4698" i="20"/>
  <c r="N4699" i="20"/>
  <c r="N4700" i="20"/>
  <c r="N4701" i="20"/>
  <c r="N4702" i="20"/>
  <c r="N4703" i="20"/>
  <c r="N4704" i="20"/>
  <c r="N4705" i="20"/>
  <c r="N4706" i="20"/>
  <c r="N4707" i="20"/>
  <c r="N4708" i="20"/>
  <c r="N4709" i="20"/>
  <c r="N4710" i="20"/>
  <c r="N4711" i="20"/>
  <c r="N4712" i="20"/>
  <c r="N4713" i="20"/>
  <c r="N4714" i="20"/>
  <c r="N4715" i="20"/>
  <c r="N4716" i="20"/>
  <c r="N4717" i="20"/>
  <c r="N4718" i="20"/>
  <c r="N4719" i="20"/>
  <c r="N4720" i="20"/>
  <c r="N4721" i="20"/>
  <c r="N4722" i="20"/>
  <c r="N4723" i="20"/>
  <c r="N4724" i="20"/>
  <c r="N4725" i="20"/>
  <c r="N4726" i="20"/>
  <c r="N4727" i="20"/>
  <c r="N4728" i="20"/>
  <c r="N4729" i="20"/>
  <c r="N4730" i="20"/>
  <c r="N4731" i="20"/>
  <c r="N4732" i="20"/>
  <c r="N4733" i="20"/>
  <c r="N4734" i="20"/>
  <c r="N4735" i="20"/>
  <c r="N4736" i="20"/>
  <c r="N4737" i="20"/>
  <c r="N4738" i="20"/>
  <c r="N4739" i="20"/>
  <c r="N4740" i="20"/>
  <c r="N4741" i="20"/>
  <c r="N4742" i="20"/>
  <c r="N4743" i="20"/>
  <c r="N4744" i="20"/>
  <c r="N4745" i="20"/>
  <c r="N4746" i="20"/>
  <c r="N4747" i="20"/>
  <c r="N4748" i="20"/>
  <c r="N4749" i="20"/>
  <c r="N4750" i="20"/>
  <c r="N4751" i="20"/>
  <c r="N4752" i="20"/>
  <c r="N4753" i="20"/>
  <c r="N4754" i="20"/>
  <c r="N4755" i="20"/>
  <c r="N4756" i="20"/>
  <c r="N4757" i="20"/>
  <c r="N4758" i="20"/>
  <c r="N4759" i="20"/>
  <c r="N4760" i="20"/>
  <c r="N4761" i="20"/>
  <c r="N4762" i="20"/>
  <c r="N4763" i="20"/>
  <c r="N4764" i="20"/>
  <c r="N4765" i="20"/>
  <c r="N4766" i="20"/>
  <c r="N4767" i="20"/>
  <c r="N4768" i="20"/>
  <c r="N4769" i="20"/>
  <c r="N4770" i="20"/>
  <c r="N4771" i="20"/>
  <c r="N4772" i="20"/>
  <c r="N4773" i="20"/>
  <c r="N4774" i="20"/>
  <c r="N4775" i="20"/>
  <c r="N4776" i="20"/>
  <c r="N4777" i="20"/>
  <c r="N4778" i="20"/>
  <c r="N4779" i="20"/>
  <c r="N4780" i="20"/>
  <c r="N4781" i="20"/>
  <c r="N4782" i="20"/>
  <c r="N4783" i="20"/>
  <c r="N4784" i="20"/>
  <c r="N4785" i="20"/>
  <c r="N4786" i="20"/>
  <c r="N4787" i="20"/>
  <c r="N4788" i="20"/>
  <c r="N4789" i="20"/>
  <c r="N4790" i="20"/>
  <c r="N4791" i="20"/>
  <c r="N4792" i="20"/>
  <c r="N4793" i="20"/>
  <c r="N4794" i="20"/>
  <c r="N4795" i="20"/>
  <c r="N4796" i="20"/>
  <c r="N4797" i="20"/>
  <c r="N4798" i="20"/>
  <c r="N4799" i="20"/>
  <c r="N4800" i="20"/>
  <c r="N4801" i="20"/>
  <c r="N4802" i="20"/>
  <c r="N4803" i="20"/>
  <c r="N4804" i="20"/>
  <c r="N4805" i="20"/>
  <c r="N4806" i="20"/>
  <c r="N4807" i="20"/>
  <c r="N4808" i="20"/>
  <c r="N4809" i="20"/>
  <c r="N4810" i="20"/>
  <c r="N4811" i="20"/>
  <c r="N4812" i="20"/>
  <c r="N4813" i="20"/>
  <c r="N4814" i="20"/>
  <c r="N4815" i="20"/>
  <c r="N4816" i="20"/>
  <c r="N4817" i="20"/>
  <c r="N4818" i="20"/>
  <c r="N4819" i="20"/>
  <c r="N4820" i="20"/>
  <c r="N4821" i="20"/>
  <c r="N4822" i="20"/>
  <c r="N4823" i="20"/>
  <c r="N4824" i="20"/>
  <c r="N4825" i="20"/>
  <c r="N4826" i="20"/>
  <c r="N4827" i="20"/>
  <c r="N4828" i="20"/>
  <c r="N4829" i="20"/>
  <c r="N4830" i="20"/>
  <c r="N4831" i="20"/>
  <c r="N4832" i="20"/>
  <c r="N4833" i="20"/>
  <c r="N4834" i="20"/>
  <c r="N4835" i="20"/>
  <c r="N4836" i="20"/>
  <c r="N4837" i="20"/>
  <c r="N4838" i="20"/>
  <c r="N4839" i="20"/>
  <c r="N4840" i="20"/>
  <c r="N4841" i="20"/>
  <c r="N4842" i="20"/>
  <c r="N4843" i="20"/>
  <c r="N4844" i="20"/>
  <c r="N4845" i="20"/>
  <c r="N4846" i="20"/>
  <c r="N4847" i="20"/>
  <c r="N4848" i="20"/>
  <c r="N4849" i="20"/>
  <c r="N4850" i="20"/>
  <c r="N4851" i="20"/>
  <c r="N4852" i="20"/>
  <c r="N4853" i="20"/>
  <c r="N4854" i="20"/>
  <c r="N4855" i="20"/>
  <c r="N4856" i="20"/>
  <c r="N4857" i="20"/>
  <c r="N4858" i="20"/>
  <c r="N4859" i="20"/>
  <c r="N4860" i="20"/>
  <c r="N4861" i="20"/>
  <c r="N4862" i="20"/>
  <c r="N4863" i="20"/>
  <c r="N4864" i="20"/>
  <c r="N4865" i="20"/>
  <c r="N4866" i="20"/>
  <c r="N4867" i="20"/>
  <c r="N4868" i="20"/>
  <c r="N4869" i="20"/>
  <c r="N4870" i="20"/>
  <c r="N4871" i="20"/>
  <c r="N4872" i="20"/>
  <c r="N4873" i="20"/>
  <c r="N4874" i="20"/>
  <c r="N4875" i="20"/>
  <c r="N4876" i="20"/>
  <c r="N4877" i="20"/>
  <c r="N4878" i="20"/>
  <c r="N4879" i="20"/>
  <c r="N4880" i="20"/>
  <c r="N4881" i="20"/>
  <c r="N4882" i="20"/>
  <c r="N4883" i="20"/>
  <c r="N4884" i="20"/>
  <c r="N4885" i="20"/>
  <c r="N4886" i="20"/>
  <c r="N4887" i="20"/>
  <c r="N4888" i="20"/>
  <c r="N4889" i="20"/>
  <c r="N4890" i="20"/>
  <c r="N4891" i="20"/>
  <c r="N4892" i="20"/>
  <c r="N4893" i="20"/>
  <c r="N4894" i="20"/>
  <c r="N4895" i="20"/>
  <c r="N4896" i="20"/>
  <c r="N4897" i="20"/>
  <c r="N4898" i="20"/>
  <c r="N4899" i="20"/>
  <c r="N4900" i="20"/>
  <c r="N4901" i="20"/>
  <c r="N4902" i="20"/>
  <c r="N4903" i="20"/>
  <c r="N4904" i="20"/>
  <c r="N4905" i="20"/>
  <c r="N4906" i="20"/>
  <c r="N4907" i="20"/>
  <c r="N4908" i="20"/>
  <c r="N4909" i="20"/>
  <c r="N4910" i="20"/>
  <c r="N4911" i="20"/>
  <c r="N4912" i="20"/>
  <c r="N4913" i="20"/>
  <c r="N4914" i="20"/>
  <c r="N4915" i="20"/>
  <c r="N4916" i="20"/>
  <c r="N4917" i="20"/>
  <c r="N4918" i="20"/>
  <c r="N4919" i="20"/>
  <c r="N4920" i="20"/>
  <c r="N4921" i="20"/>
  <c r="N4922" i="20"/>
  <c r="N4923" i="20"/>
  <c r="N4924" i="20"/>
  <c r="N4925" i="20"/>
  <c r="N4926" i="20"/>
  <c r="N4927" i="20"/>
  <c r="N4928" i="20"/>
  <c r="N4929" i="20"/>
  <c r="N4930" i="20"/>
  <c r="N4931" i="20"/>
  <c r="N4932" i="20"/>
  <c r="N4933" i="20"/>
  <c r="N4934" i="20"/>
  <c r="N4935" i="20"/>
  <c r="N4936" i="20"/>
  <c r="N4937" i="20"/>
  <c r="N4938" i="20"/>
  <c r="N4939" i="20"/>
  <c r="N4940" i="20"/>
  <c r="N4941" i="20"/>
  <c r="N4942" i="20"/>
  <c r="N4943" i="20"/>
  <c r="N4944" i="20"/>
  <c r="N4945" i="20"/>
  <c r="N4946" i="20"/>
  <c r="N4947" i="20"/>
  <c r="N4948" i="20"/>
  <c r="N4949" i="20"/>
  <c r="N4950" i="20"/>
  <c r="N4951" i="20"/>
  <c r="N4952" i="20"/>
  <c r="N4953" i="20"/>
  <c r="N4954" i="20"/>
  <c r="N4955" i="20"/>
  <c r="N4956" i="20"/>
  <c r="N4957" i="20"/>
  <c r="N4958" i="20"/>
  <c r="N4959" i="20"/>
  <c r="N4960" i="20"/>
  <c r="N4961" i="20"/>
  <c r="N4962" i="20"/>
  <c r="N4963" i="20"/>
  <c r="N4964" i="20"/>
  <c r="O3898" i="20"/>
  <c r="O3899" i="20"/>
  <c r="O3900" i="20"/>
  <c r="O3901" i="20"/>
  <c r="O3902" i="20"/>
  <c r="O3903" i="20"/>
  <c r="O3904" i="20"/>
  <c r="O3905" i="20"/>
  <c r="O3906" i="20"/>
  <c r="O3907" i="20"/>
  <c r="O3908" i="20"/>
  <c r="O3909" i="20"/>
  <c r="O3910" i="20"/>
  <c r="O3911" i="20"/>
  <c r="O3912" i="20"/>
  <c r="O3913" i="20"/>
  <c r="O3914" i="20"/>
  <c r="O3915" i="20"/>
  <c r="O3916" i="20"/>
  <c r="O3917" i="20"/>
  <c r="O3918" i="20"/>
  <c r="O3919" i="20"/>
  <c r="O3920" i="20"/>
  <c r="O3921" i="20"/>
  <c r="O3922" i="20"/>
  <c r="O3923" i="20"/>
  <c r="O3924" i="20"/>
  <c r="O3925" i="20"/>
  <c r="O3926" i="20"/>
  <c r="O3927" i="20"/>
  <c r="O3928" i="20"/>
  <c r="O3929" i="20"/>
  <c r="O3930" i="20"/>
  <c r="O3931" i="20"/>
  <c r="O3932" i="20"/>
  <c r="O3933" i="20"/>
  <c r="O3934" i="20"/>
  <c r="O3935" i="20"/>
  <c r="O3936" i="20"/>
  <c r="O3937" i="20"/>
  <c r="O3938" i="20"/>
  <c r="O3939" i="20"/>
  <c r="O3940" i="20"/>
  <c r="O3941" i="20"/>
  <c r="O3942" i="20"/>
  <c r="O3943" i="20"/>
  <c r="O3944" i="20"/>
  <c r="O3945" i="20"/>
  <c r="O3946" i="20"/>
  <c r="O3947" i="20"/>
  <c r="O3948" i="20"/>
  <c r="O3949" i="20"/>
  <c r="O3950" i="20"/>
  <c r="O3951" i="20"/>
  <c r="O3952" i="20"/>
  <c r="O3953" i="20"/>
  <c r="O3954" i="20"/>
  <c r="O3955" i="20"/>
  <c r="O3956" i="20"/>
  <c r="O3957" i="20"/>
  <c r="O3958" i="20"/>
  <c r="O3959" i="20"/>
  <c r="O3960" i="20"/>
  <c r="O3961" i="20"/>
  <c r="O3962" i="20"/>
  <c r="O3963" i="20"/>
  <c r="O3964" i="20"/>
  <c r="O3965" i="20"/>
  <c r="O3966" i="20"/>
  <c r="O3967" i="20"/>
  <c r="O3968" i="20"/>
  <c r="O3969" i="20"/>
  <c r="O3970" i="20"/>
  <c r="O3971" i="20"/>
  <c r="O3972" i="20"/>
  <c r="O3973" i="20"/>
  <c r="O3974" i="20"/>
  <c r="O3975" i="20"/>
  <c r="O3976" i="20"/>
  <c r="O3977" i="20"/>
  <c r="O3978" i="20"/>
  <c r="O3979" i="20"/>
  <c r="O3980" i="20"/>
  <c r="O3981" i="20"/>
  <c r="O3982" i="20"/>
  <c r="O3983" i="20"/>
  <c r="O3984" i="20"/>
  <c r="O3985" i="20"/>
  <c r="O3986" i="20"/>
  <c r="O3987" i="20"/>
  <c r="O3988" i="20"/>
  <c r="O3989" i="20"/>
  <c r="O3990" i="20"/>
  <c r="O3991" i="20"/>
  <c r="O3992" i="20"/>
  <c r="O3993" i="20"/>
  <c r="O3994" i="20"/>
  <c r="O3995" i="20"/>
  <c r="O3996" i="20"/>
  <c r="O3997" i="20"/>
  <c r="O3998" i="20"/>
  <c r="O3999" i="20"/>
  <c r="O4000" i="20"/>
  <c r="O4001" i="20"/>
  <c r="O4002" i="20"/>
  <c r="O4003" i="20"/>
  <c r="O4004" i="20"/>
  <c r="O4005" i="20"/>
  <c r="O4006" i="20"/>
  <c r="O4007" i="20"/>
  <c r="O4008" i="20"/>
  <c r="O4009" i="20"/>
  <c r="O4010" i="20"/>
  <c r="O4011" i="20"/>
  <c r="O4012" i="20"/>
  <c r="O4013" i="20"/>
  <c r="O4014" i="20"/>
  <c r="O4015" i="20"/>
  <c r="O4016" i="20"/>
  <c r="O4017" i="20"/>
  <c r="O4018" i="20"/>
  <c r="O4019" i="20"/>
  <c r="O4020" i="20"/>
  <c r="O4021" i="20"/>
  <c r="O4022" i="20"/>
  <c r="O4023" i="20"/>
  <c r="O4024" i="20"/>
  <c r="O4025" i="20"/>
  <c r="O4026" i="20"/>
  <c r="O4027" i="20"/>
  <c r="O4028" i="20"/>
  <c r="O4029" i="20"/>
  <c r="O4030" i="20"/>
  <c r="O4031" i="20"/>
  <c r="O4032" i="20"/>
  <c r="O4033" i="20"/>
  <c r="O4034" i="20"/>
  <c r="O4035" i="20"/>
  <c r="O4036" i="20"/>
  <c r="O4037" i="20"/>
  <c r="O4038" i="20"/>
  <c r="O4039" i="20"/>
  <c r="O4040" i="20"/>
  <c r="O4041" i="20"/>
  <c r="O4042" i="20"/>
  <c r="O4043" i="20"/>
  <c r="O4044" i="20"/>
  <c r="O4045" i="20"/>
  <c r="O4046" i="20"/>
  <c r="O4047" i="20"/>
  <c r="O4048" i="20"/>
  <c r="O4049" i="20"/>
  <c r="O4050" i="20"/>
  <c r="O4051" i="20"/>
  <c r="O4052" i="20"/>
  <c r="O4053" i="20"/>
  <c r="O4054" i="20"/>
  <c r="O4055" i="20"/>
  <c r="O4056" i="20"/>
  <c r="O4057" i="20"/>
  <c r="O4058" i="20"/>
  <c r="O4059" i="20"/>
  <c r="O4060" i="20"/>
  <c r="O4061" i="20"/>
  <c r="O4062" i="20"/>
  <c r="O4063" i="20"/>
  <c r="O4064" i="20"/>
  <c r="O4065" i="20"/>
  <c r="O4066" i="20"/>
  <c r="O4067" i="20"/>
  <c r="O4068" i="20"/>
  <c r="O4069" i="20"/>
  <c r="O4070" i="20"/>
  <c r="O4071" i="20"/>
  <c r="O4072" i="20"/>
  <c r="O4073" i="20"/>
  <c r="O4074" i="20"/>
  <c r="O4075" i="20"/>
  <c r="O4076" i="20"/>
  <c r="O4077" i="20"/>
  <c r="O4078" i="20"/>
  <c r="O4079" i="20"/>
  <c r="O4080" i="20"/>
  <c r="O4081" i="20"/>
  <c r="O4082" i="20"/>
  <c r="O4083" i="20"/>
  <c r="O4084" i="20"/>
  <c r="O4085" i="20"/>
  <c r="O4086" i="20"/>
  <c r="O4087" i="20"/>
  <c r="O4088" i="20"/>
  <c r="O4089" i="20"/>
  <c r="O4090" i="20"/>
  <c r="O4091" i="20"/>
  <c r="O4092" i="20"/>
  <c r="O4093" i="20"/>
  <c r="O4094" i="20"/>
  <c r="O4095" i="20"/>
  <c r="O4096" i="20"/>
  <c r="O4097" i="20"/>
  <c r="O4098" i="20"/>
  <c r="O4099" i="20"/>
  <c r="O4100" i="20"/>
  <c r="O4101" i="20"/>
  <c r="O4102" i="20"/>
  <c r="O4103" i="20"/>
  <c r="O4104" i="20"/>
  <c r="O4105" i="20"/>
  <c r="O4106" i="20"/>
  <c r="O4107" i="20"/>
  <c r="O4108" i="20"/>
  <c r="O4109" i="20"/>
  <c r="O4110" i="20"/>
  <c r="O4111" i="20"/>
  <c r="O4112" i="20"/>
  <c r="O4113" i="20"/>
  <c r="O4114" i="20"/>
  <c r="O4115" i="20"/>
  <c r="O4116" i="20"/>
  <c r="O4117" i="20"/>
  <c r="O4118" i="20"/>
  <c r="O4119" i="20"/>
  <c r="O4120" i="20"/>
  <c r="O4121" i="20"/>
  <c r="O4122" i="20"/>
  <c r="O4123" i="20"/>
  <c r="O4124" i="20"/>
  <c r="O4125" i="20"/>
  <c r="O4126" i="20"/>
  <c r="O4127" i="20"/>
  <c r="O4128" i="20"/>
  <c r="O4129" i="20"/>
  <c r="O4130" i="20"/>
  <c r="O4131" i="20"/>
  <c r="O4132" i="20"/>
  <c r="O4133" i="20"/>
  <c r="O4134" i="20"/>
  <c r="O4135" i="20"/>
  <c r="O4136" i="20"/>
  <c r="O4137" i="20"/>
  <c r="O4138" i="20"/>
  <c r="O4139" i="20"/>
  <c r="O4140" i="20"/>
  <c r="O4141" i="20"/>
  <c r="O4142" i="20"/>
  <c r="O4143" i="20"/>
  <c r="O4144" i="20"/>
  <c r="O4145" i="20"/>
  <c r="O4146" i="20"/>
  <c r="O4147" i="20"/>
  <c r="O4148" i="20"/>
  <c r="O4149" i="20"/>
  <c r="O4150" i="20"/>
  <c r="O4151" i="20"/>
  <c r="O4152" i="20"/>
  <c r="O4153" i="20"/>
  <c r="O4154" i="20"/>
  <c r="O4155" i="20"/>
  <c r="O4156" i="20"/>
  <c r="O4157" i="20"/>
  <c r="O4158" i="20"/>
  <c r="O4159" i="20"/>
  <c r="O4160" i="20"/>
  <c r="O4161" i="20"/>
  <c r="O4162" i="20"/>
  <c r="O4163" i="20"/>
  <c r="O4164" i="20"/>
  <c r="O4165" i="20"/>
  <c r="O4166" i="20"/>
  <c r="O4167" i="20"/>
  <c r="O4168" i="20"/>
  <c r="O4169" i="20"/>
  <c r="O4170" i="20"/>
  <c r="O4171" i="20"/>
  <c r="O4172" i="20"/>
  <c r="O4173" i="20"/>
  <c r="O4174" i="20"/>
  <c r="O4175" i="20"/>
  <c r="O4176" i="20"/>
  <c r="O4177" i="20"/>
  <c r="O4178" i="20"/>
  <c r="O4179" i="20"/>
  <c r="O4180" i="20"/>
  <c r="O4181" i="20"/>
  <c r="O4182" i="20"/>
  <c r="O4183" i="20"/>
  <c r="O4184" i="20"/>
  <c r="O4185" i="20"/>
  <c r="O4186" i="20"/>
  <c r="O4187" i="20"/>
  <c r="O4188" i="20"/>
  <c r="O4189" i="20"/>
  <c r="O4190" i="20"/>
  <c r="O4191" i="20"/>
  <c r="O4192" i="20"/>
  <c r="O4193" i="20"/>
  <c r="O4194" i="20"/>
  <c r="O4195" i="20"/>
  <c r="O4196" i="20"/>
  <c r="O4197" i="20"/>
  <c r="O4198" i="20"/>
  <c r="O4199" i="20"/>
  <c r="O4200" i="20"/>
  <c r="O4201" i="20"/>
  <c r="O4202" i="20"/>
  <c r="O4203" i="20"/>
  <c r="O4204" i="20"/>
  <c r="O4205" i="20"/>
  <c r="O4206" i="20"/>
  <c r="O4207" i="20"/>
  <c r="O4208" i="20"/>
  <c r="O4209" i="20"/>
  <c r="O4210" i="20"/>
  <c r="O4211" i="20"/>
  <c r="O4212" i="20"/>
  <c r="O4213" i="20"/>
  <c r="O4214" i="20"/>
  <c r="O4215" i="20"/>
  <c r="O4216" i="20"/>
  <c r="O4217" i="20"/>
  <c r="O4218" i="20"/>
  <c r="O4219" i="20"/>
  <c r="O4220" i="20"/>
  <c r="O4221" i="20"/>
  <c r="O4222" i="20"/>
  <c r="O4223" i="20"/>
  <c r="O4224" i="20"/>
  <c r="O4225" i="20"/>
  <c r="O4226" i="20"/>
  <c r="O4227" i="20"/>
  <c r="O4228" i="20"/>
  <c r="O4229" i="20"/>
  <c r="O4230" i="20"/>
  <c r="O4231" i="20"/>
  <c r="O4232" i="20"/>
  <c r="O4233" i="20"/>
  <c r="O4234" i="20"/>
  <c r="O4235" i="20"/>
  <c r="O4236" i="20"/>
  <c r="O4237" i="20"/>
  <c r="O4238" i="20"/>
  <c r="O4239" i="20"/>
  <c r="O4240" i="20"/>
  <c r="O4241" i="20"/>
  <c r="O4242" i="20"/>
  <c r="O4243" i="20"/>
  <c r="O4244" i="20"/>
  <c r="O4245" i="20"/>
  <c r="O4246" i="20"/>
  <c r="O4247" i="20"/>
  <c r="O4248" i="20"/>
  <c r="O4249" i="20"/>
  <c r="O4250" i="20"/>
  <c r="O4251" i="20"/>
  <c r="O4252" i="20"/>
  <c r="O4253" i="20"/>
  <c r="O4254" i="20"/>
  <c r="O4255" i="20"/>
  <c r="O4256" i="20"/>
  <c r="O4257" i="20"/>
  <c r="O4258" i="20"/>
  <c r="O4259" i="20"/>
  <c r="O4260" i="20"/>
  <c r="O4261" i="20"/>
  <c r="O4262" i="20"/>
  <c r="O4263" i="20"/>
  <c r="O4264" i="20"/>
  <c r="O4265" i="20"/>
  <c r="O4266" i="20"/>
  <c r="O4267" i="20"/>
  <c r="O4268" i="20"/>
  <c r="O4269" i="20"/>
  <c r="O4270" i="20"/>
  <c r="O4271" i="20"/>
  <c r="O4272" i="20"/>
  <c r="O4273" i="20"/>
  <c r="O4274" i="20"/>
  <c r="O4275" i="20"/>
  <c r="O4276" i="20"/>
  <c r="O4277" i="20"/>
  <c r="O4278" i="20"/>
  <c r="O4279" i="20"/>
  <c r="O4280" i="20"/>
  <c r="O4281" i="20"/>
  <c r="O4282" i="20"/>
  <c r="O4283" i="20"/>
  <c r="O4284" i="20"/>
  <c r="O4285" i="20"/>
  <c r="O4286" i="20"/>
  <c r="O4287" i="20"/>
  <c r="O4288" i="20"/>
  <c r="O4289" i="20"/>
  <c r="O4290" i="20"/>
  <c r="O4291" i="20"/>
  <c r="O4292" i="20"/>
  <c r="O4293" i="20"/>
  <c r="O4294" i="20"/>
  <c r="O4295" i="20"/>
  <c r="O4296" i="20"/>
  <c r="O4297" i="20"/>
  <c r="O4298" i="20"/>
  <c r="O4299" i="20"/>
  <c r="O4300" i="20"/>
  <c r="O4301" i="20"/>
  <c r="O4302" i="20"/>
  <c r="O4303" i="20"/>
  <c r="O4304" i="20"/>
  <c r="O4305" i="20"/>
  <c r="O4306" i="20"/>
  <c r="O4307" i="20"/>
  <c r="O4308" i="20"/>
  <c r="O4309" i="20"/>
  <c r="O4310" i="20"/>
  <c r="O4311" i="20"/>
  <c r="O4312" i="20"/>
  <c r="O4313" i="20"/>
  <c r="O4314" i="20"/>
  <c r="O4315" i="20"/>
  <c r="O4316" i="20"/>
  <c r="O4317" i="20"/>
  <c r="O4318" i="20"/>
  <c r="O4319" i="20"/>
  <c r="O4320" i="20"/>
  <c r="O4321" i="20"/>
  <c r="O4322" i="20"/>
  <c r="O4323" i="20"/>
  <c r="O4324" i="20"/>
  <c r="O4325" i="20"/>
  <c r="O4326" i="20"/>
  <c r="O4327" i="20"/>
  <c r="O4328" i="20"/>
  <c r="O4329" i="20"/>
  <c r="O4330" i="20"/>
  <c r="O4331" i="20"/>
  <c r="O4332" i="20"/>
  <c r="O4333" i="20"/>
  <c r="O4334" i="20"/>
  <c r="O4335" i="20"/>
  <c r="O4336" i="20"/>
  <c r="O4337" i="20"/>
  <c r="O4338" i="20"/>
  <c r="O4339" i="20"/>
  <c r="O4340" i="20"/>
  <c r="O4341" i="20"/>
  <c r="O4342" i="20"/>
  <c r="O4343" i="20"/>
  <c r="O4344" i="20"/>
  <c r="O4345" i="20"/>
  <c r="O4346" i="20"/>
  <c r="O4347" i="20"/>
  <c r="O4348" i="20"/>
  <c r="O4349" i="20"/>
  <c r="O4350" i="20"/>
  <c r="O4351" i="20"/>
  <c r="O4352" i="20"/>
  <c r="O4353" i="20"/>
  <c r="O4354" i="20"/>
  <c r="O4355" i="20"/>
  <c r="O4356" i="20"/>
  <c r="O4357" i="20"/>
  <c r="O4358" i="20"/>
  <c r="O4359" i="20"/>
  <c r="O4360" i="20"/>
  <c r="O4361" i="20"/>
  <c r="O4362" i="20"/>
  <c r="O4363" i="20"/>
  <c r="O4364" i="20"/>
  <c r="O4365" i="20"/>
  <c r="O4366" i="20"/>
  <c r="O4367" i="20"/>
  <c r="O4368" i="20"/>
  <c r="O4369" i="20"/>
  <c r="O4370" i="20"/>
  <c r="O4371" i="20"/>
  <c r="O4372" i="20"/>
  <c r="O4373" i="20"/>
  <c r="O4374" i="20"/>
  <c r="O4375" i="20"/>
  <c r="O4376" i="20"/>
  <c r="O4377" i="20"/>
  <c r="O4378" i="20"/>
  <c r="O4379" i="20"/>
  <c r="O4380" i="20"/>
  <c r="O4381" i="20"/>
  <c r="O4382" i="20"/>
  <c r="O4383" i="20"/>
  <c r="O4384" i="20"/>
  <c r="O4385" i="20"/>
  <c r="O4386" i="20"/>
  <c r="O4387" i="20"/>
  <c r="O4388" i="20"/>
  <c r="O4389" i="20"/>
  <c r="O4390" i="20"/>
  <c r="O4391" i="20"/>
  <c r="O4392" i="20"/>
  <c r="O4393" i="20"/>
  <c r="O4394" i="20"/>
  <c r="O4395" i="20"/>
  <c r="O4396" i="20"/>
  <c r="O4397" i="20"/>
  <c r="O4398" i="20"/>
  <c r="O4399" i="20"/>
  <c r="O4400" i="20"/>
  <c r="O4401" i="20"/>
  <c r="O4402" i="20"/>
  <c r="O4403" i="20"/>
  <c r="O4404" i="20"/>
  <c r="O4405" i="20"/>
  <c r="O4406" i="20"/>
  <c r="O4407" i="20"/>
  <c r="O4408" i="20"/>
  <c r="O4409" i="20"/>
  <c r="O4410" i="20"/>
  <c r="O4411" i="20"/>
  <c r="O4412" i="20"/>
  <c r="O4413" i="20"/>
  <c r="O4414" i="20"/>
  <c r="O4415" i="20"/>
  <c r="O4416" i="20"/>
  <c r="O4417" i="20"/>
  <c r="O4418" i="20"/>
  <c r="O4419" i="20"/>
  <c r="O4420" i="20"/>
  <c r="O4421" i="20"/>
  <c r="O4422" i="20"/>
  <c r="O4423" i="20"/>
  <c r="O4424" i="20"/>
  <c r="O4425" i="20"/>
  <c r="O4426" i="20"/>
  <c r="O4427" i="20"/>
  <c r="O4428" i="20"/>
  <c r="O4429" i="20"/>
  <c r="O4430" i="20"/>
  <c r="O4431" i="20"/>
  <c r="O4432" i="20"/>
  <c r="O4433" i="20"/>
  <c r="O4434" i="20"/>
  <c r="O4435" i="20"/>
  <c r="O4436" i="20"/>
  <c r="O4437" i="20"/>
  <c r="O4438" i="20"/>
  <c r="O4439" i="20"/>
  <c r="O4440" i="20"/>
  <c r="O4441" i="20"/>
  <c r="O4442" i="20"/>
  <c r="O4443" i="20"/>
  <c r="O4444" i="20"/>
  <c r="O4445" i="20"/>
  <c r="O4446" i="20"/>
  <c r="O4447" i="20"/>
  <c r="O4448" i="20"/>
  <c r="O4449" i="20"/>
  <c r="O4450" i="20"/>
  <c r="O4451" i="20"/>
  <c r="O4452" i="20"/>
  <c r="O4453" i="20"/>
  <c r="O4454" i="20"/>
  <c r="O4455" i="20"/>
  <c r="O4456" i="20"/>
  <c r="O4457" i="20"/>
  <c r="O4458" i="20"/>
  <c r="O4459" i="20"/>
  <c r="O4460" i="20"/>
  <c r="O4461" i="20"/>
  <c r="O4462" i="20"/>
  <c r="O4463" i="20"/>
  <c r="O4464" i="20"/>
  <c r="O4465" i="20"/>
  <c r="O4466" i="20"/>
  <c r="O4467" i="20"/>
  <c r="O4468" i="20"/>
  <c r="O4469" i="20"/>
  <c r="O4470" i="20"/>
  <c r="O4471" i="20"/>
  <c r="O4472" i="20"/>
  <c r="O4473" i="20"/>
  <c r="O4474" i="20"/>
  <c r="O4475" i="20"/>
  <c r="O4476" i="20"/>
  <c r="O4477" i="20"/>
  <c r="O4478" i="20"/>
  <c r="O4479" i="20"/>
  <c r="O4480" i="20"/>
  <c r="O4481" i="20"/>
  <c r="O4482" i="20"/>
  <c r="O4483" i="20"/>
  <c r="O4484" i="20"/>
  <c r="O4485" i="20"/>
  <c r="O4486" i="20"/>
  <c r="O4487" i="20"/>
  <c r="O4488" i="20"/>
  <c r="O4489" i="20"/>
  <c r="O4490" i="20"/>
  <c r="O4491" i="20"/>
  <c r="O4492" i="20"/>
  <c r="O4493" i="20"/>
  <c r="O4494" i="20"/>
  <c r="O4495" i="20"/>
  <c r="O4496" i="20"/>
  <c r="O4497" i="20"/>
  <c r="O4498" i="20"/>
  <c r="O4499" i="20"/>
  <c r="O4500" i="20"/>
  <c r="O4501" i="20"/>
  <c r="O4502" i="20"/>
  <c r="O4503" i="20"/>
  <c r="O4504" i="20"/>
  <c r="O4505" i="20"/>
  <c r="O4506" i="20"/>
  <c r="O4507" i="20"/>
  <c r="O4508" i="20"/>
  <c r="O4509" i="20"/>
  <c r="O4510" i="20"/>
  <c r="O4511" i="20"/>
  <c r="O4512" i="20"/>
  <c r="O4513" i="20"/>
  <c r="O4514" i="20"/>
  <c r="O4515" i="20"/>
  <c r="O4516" i="20"/>
  <c r="O4517" i="20"/>
  <c r="O4518" i="20"/>
  <c r="O4519" i="20"/>
  <c r="O4520" i="20"/>
  <c r="O4521" i="20"/>
  <c r="O4522" i="20"/>
  <c r="O4523" i="20"/>
  <c r="O4524" i="20"/>
  <c r="O4525" i="20"/>
  <c r="O4526" i="20"/>
  <c r="O4527" i="20"/>
  <c r="O4528" i="20"/>
  <c r="O4529" i="20"/>
  <c r="O4530" i="20"/>
  <c r="O4531" i="20"/>
  <c r="O4532" i="20"/>
  <c r="O4533" i="20"/>
  <c r="O4534" i="20"/>
  <c r="O4535" i="20"/>
  <c r="O4536" i="20"/>
  <c r="O4537" i="20"/>
  <c r="O4538" i="20"/>
  <c r="O4539" i="20"/>
  <c r="O4540" i="20"/>
  <c r="O4541" i="20"/>
  <c r="O4542" i="20"/>
  <c r="O4543" i="20"/>
  <c r="O4544" i="20"/>
  <c r="O4545" i="20"/>
  <c r="O4546" i="20"/>
  <c r="O4547" i="20"/>
  <c r="O4548" i="20"/>
  <c r="O4549" i="20"/>
  <c r="O4550" i="20"/>
  <c r="O4551" i="20"/>
  <c r="O4552" i="20"/>
  <c r="O4553" i="20"/>
  <c r="O4554" i="20"/>
  <c r="O4555" i="20"/>
  <c r="O4556" i="20"/>
  <c r="O4557" i="20"/>
  <c r="O4558" i="20"/>
  <c r="O4559" i="20"/>
  <c r="O4560" i="20"/>
  <c r="O4561" i="20"/>
  <c r="O4562" i="20"/>
  <c r="O4563" i="20"/>
  <c r="O4564" i="20"/>
  <c r="O4565" i="20"/>
  <c r="O4566" i="20"/>
  <c r="O4567" i="20"/>
  <c r="O4568" i="20"/>
  <c r="O4569" i="20"/>
  <c r="O4570" i="20"/>
  <c r="O4571" i="20"/>
  <c r="O4572" i="20"/>
  <c r="O4573" i="20"/>
  <c r="O4574" i="20"/>
  <c r="O4575" i="20"/>
  <c r="O4576" i="20"/>
  <c r="O4577" i="20"/>
  <c r="O4578" i="20"/>
  <c r="O4579" i="20"/>
  <c r="O4580" i="20"/>
  <c r="O4581" i="20"/>
  <c r="O4582" i="20"/>
  <c r="O4583" i="20"/>
  <c r="O4584" i="20"/>
  <c r="O4585" i="20"/>
  <c r="O4586" i="20"/>
  <c r="O4587" i="20"/>
  <c r="O4588" i="20"/>
  <c r="O4589" i="20"/>
  <c r="O4590" i="20"/>
  <c r="O4591" i="20"/>
  <c r="O4592" i="20"/>
  <c r="O4593" i="20"/>
  <c r="O4594" i="20"/>
  <c r="O4595" i="20"/>
  <c r="O4596" i="20"/>
  <c r="O4597" i="20"/>
  <c r="O4598" i="20"/>
  <c r="O4599" i="20"/>
  <c r="O4600" i="20"/>
  <c r="O4601" i="20"/>
  <c r="O4602" i="20"/>
  <c r="O4603" i="20"/>
  <c r="O4604" i="20"/>
  <c r="O4605" i="20"/>
  <c r="O4606" i="20"/>
  <c r="O4607" i="20"/>
  <c r="O4608" i="20"/>
  <c r="O4609" i="20"/>
  <c r="O4610" i="20"/>
  <c r="O4611" i="20"/>
  <c r="O4612" i="20"/>
  <c r="O4613" i="20"/>
  <c r="O4614" i="20"/>
  <c r="O4615" i="20"/>
  <c r="O4616" i="20"/>
  <c r="O4617" i="20"/>
  <c r="O4618" i="20"/>
  <c r="O4619" i="20"/>
  <c r="O4620" i="20"/>
  <c r="O4621" i="20"/>
  <c r="O4622" i="20"/>
  <c r="O4623" i="20"/>
  <c r="O4624" i="20"/>
  <c r="O4625" i="20"/>
  <c r="O4626" i="20"/>
  <c r="O4627" i="20"/>
  <c r="O4628" i="20"/>
  <c r="O4629" i="20"/>
  <c r="O4630" i="20"/>
  <c r="O4631" i="20"/>
  <c r="O4632" i="20"/>
  <c r="O4633" i="20"/>
  <c r="O4634" i="20"/>
  <c r="O4635" i="20"/>
  <c r="O4636" i="20"/>
  <c r="O4637" i="20"/>
  <c r="O4638" i="20"/>
  <c r="O4639" i="20"/>
  <c r="O4640" i="20"/>
  <c r="O4641" i="20"/>
  <c r="O4642" i="20"/>
  <c r="O4643" i="20"/>
  <c r="O4644" i="20"/>
  <c r="O4645" i="20"/>
  <c r="O4646" i="20"/>
  <c r="O4647" i="20"/>
  <c r="O4648" i="20"/>
  <c r="O4649" i="20"/>
  <c r="O4650" i="20"/>
  <c r="O4651" i="20"/>
  <c r="O4652" i="20"/>
  <c r="O4653" i="20"/>
  <c r="O4654" i="20"/>
  <c r="O4655" i="20"/>
  <c r="O4656" i="20"/>
  <c r="O4657" i="20"/>
  <c r="O4658" i="20"/>
  <c r="O4659" i="20"/>
  <c r="O4660" i="20"/>
  <c r="O4661" i="20"/>
  <c r="O4662" i="20"/>
  <c r="O4663" i="20"/>
  <c r="O4664" i="20"/>
  <c r="O4665" i="20"/>
  <c r="O4666" i="20"/>
  <c r="O4667" i="20"/>
  <c r="O4668" i="20"/>
  <c r="O4669" i="20"/>
  <c r="O4670" i="20"/>
  <c r="O4671" i="20"/>
  <c r="O4672" i="20"/>
  <c r="O4673" i="20"/>
  <c r="O4674" i="20"/>
  <c r="O4675" i="20"/>
  <c r="O4676" i="20"/>
  <c r="O4677" i="20"/>
  <c r="O4678" i="20"/>
  <c r="O4679" i="20"/>
  <c r="O4680" i="20"/>
  <c r="O4681" i="20"/>
  <c r="O4682" i="20"/>
  <c r="O4683" i="20"/>
  <c r="O4684" i="20"/>
  <c r="O4685" i="20"/>
  <c r="O4686" i="20"/>
  <c r="O4687" i="20"/>
  <c r="O4688" i="20"/>
  <c r="O4689" i="20"/>
  <c r="O4690" i="20"/>
  <c r="O4691" i="20"/>
  <c r="O4692" i="20"/>
  <c r="O4693" i="20"/>
  <c r="O4694" i="20"/>
  <c r="O4695" i="20"/>
  <c r="O4696" i="20"/>
  <c r="O4697" i="20"/>
  <c r="O4698" i="20"/>
  <c r="O4699" i="20"/>
  <c r="O4700" i="20"/>
  <c r="O4701" i="20"/>
  <c r="O4702" i="20"/>
  <c r="O4703" i="20"/>
  <c r="O4704" i="20"/>
  <c r="O4705" i="20"/>
  <c r="O4706" i="20"/>
  <c r="O4707" i="20"/>
  <c r="O4708" i="20"/>
  <c r="O4709" i="20"/>
  <c r="O4710" i="20"/>
  <c r="O4711" i="20"/>
  <c r="O4712" i="20"/>
  <c r="O4713" i="20"/>
  <c r="O4714" i="20"/>
  <c r="O4715" i="20"/>
  <c r="O4716" i="20"/>
  <c r="O4717" i="20"/>
  <c r="O4718" i="20"/>
  <c r="O4719" i="20"/>
  <c r="O4720" i="20"/>
  <c r="O4721" i="20"/>
  <c r="O4722" i="20"/>
  <c r="O4723" i="20"/>
  <c r="O4724" i="20"/>
  <c r="O4725" i="20"/>
  <c r="O4726" i="20"/>
  <c r="O4727" i="20"/>
  <c r="O4728" i="20"/>
  <c r="O4729" i="20"/>
  <c r="O4730" i="20"/>
  <c r="O4731" i="20"/>
  <c r="O4732" i="20"/>
  <c r="O4733" i="20"/>
  <c r="O4734" i="20"/>
  <c r="O4735" i="20"/>
  <c r="O4736" i="20"/>
  <c r="O4737" i="20"/>
  <c r="O4738" i="20"/>
  <c r="O4739" i="20"/>
  <c r="O4740" i="20"/>
  <c r="O4741" i="20"/>
  <c r="O4742" i="20"/>
  <c r="O4743" i="20"/>
  <c r="O4744" i="20"/>
  <c r="O4745" i="20"/>
  <c r="O4746" i="20"/>
  <c r="O4747" i="20"/>
  <c r="O4748" i="20"/>
  <c r="O4749" i="20"/>
  <c r="O4750" i="20"/>
  <c r="O4751" i="20"/>
  <c r="O4752" i="20"/>
  <c r="O4753" i="20"/>
  <c r="O4754" i="20"/>
  <c r="O4755" i="20"/>
  <c r="O4756" i="20"/>
  <c r="O4757" i="20"/>
  <c r="O4758" i="20"/>
  <c r="O4759" i="20"/>
  <c r="O4760" i="20"/>
  <c r="O4761" i="20"/>
  <c r="O4762" i="20"/>
  <c r="O4763" i="20"/>
  <c r="O4764" i="20"/>
  <c r="O4765" i="20"/>
  <c r="O4766" i="20"/>
  <c r="O4767" i="20"/>
  <c r="O4768" i="20"/>
  <c r="O4769" i="20"/>
  <c r="O4770" i="20"/>
  <c r="O4771" i="20"/>
  <c r="O4772" i="20"/>
  <c r="O4773" i="20"/>
  <c r="O4774" i="20"/>
  <c r="O4775" i="20"/>
  <c r="O4776" i="20"/>
  <c r="O4777" i="20"/>
  <c r="O4778" i="20"/>
  <c r="O4779" i="20"/>
  <c r="O4780" i="20"/>
  <c r="O4781" i="20"/>
  <c r="O4782" i="20"/>
  <c r="O4783" i="20"/>
  <c r="O4784" i="20"/>
  <c r="O4785" i="20"/>
  <c r="O4786" i="20"/>
  <c r="O4787" i="20"/>
  <c r="O4788" i="20"/>
  <c r="O4789" i="20"/>
  <c r="O4790" i="20"/>
  <c r="O4791" i="20"/>
  <c r="O4792" i="20"/>
  <c r="O4793" i="20"/>
  <c r="O4794" i="20"/>
  <c r="O4795" i="20"/>
  <c r="O4796" i="20"/>
  <c r="O4797" i="20"/>
  <c r="O4798" i="20"/>
  <c r="O4799" i="20"/>
  <c r="O4800" i="20"/>
  <c r="O4801" i="20"/>
  <c r="O4802" i="20"/>
  <c r="O4803" i="20"/>
  <c r="O4804" i="20"/>
  <c r="O4805" i="20"/>
  <c r="O4806" i="20"/>
  <c r="O4807" i="20"/>
  <c r="O4808" i="20"/>
  <c r="O4809" i="20"/>
  <c r="O4810" i="20"/>
  <c r="O4811" i="20"/>
  <c r="O4812" i="20"/>
  <c r="O4813" i="20"/>
  <c r="O4814" i="20"/>
  <c r="O4815" i="20"/>
  <c r="O4816" i="20"/>
  <c r="O4817" i="20"/>
  <c r="O4818" i="20"/>
  <c r="O4819" i="20"/>
  <c r="O4820" i="20"/>
  <c r="O4821" i="20"/>
  <c r="O4822" i="20"/>
  <c r="O4823" i="20"/>
  <c r="O4824" i="20"/>
  <c r="O4825" i="20"/>
  <c r="O4826" i="20"/>
  <c r="O4827" i="20"/>
  <c r="O4828" i="20"/>
  <c r="O4829" i="20"/>
  <c r="O4830" i="20"/>
  <c r="O4831" i="20"/>
  <c r="O4832" i="20"/>
  <c r="O4833" i="20"/>
  <c r="O4834" i="20"/>
  <c r="O4835" i="20"/>
  <c r="O4836" i="20"/>
  <c r="O4837" i="20"/>
  <c r="O4838" i="20"/>
  <c r="O4839" i="20"/>
  <c r="O4840" i="20"/>
  <c r="O4841" i="20"/>
  <c r="O4842" i="20"/>
  <c r="O4843" i="20"/>
  <c r="O4844" i="20"/>
  <c r="O4845" i="20"/>
  <c r="O4846" i="20"/>
  <c r="O4847" i="20"/>
  <c r="O4848" i="20"/>
  <c r="O4849" i="20"/>
  <c r="O4850" i="20"/>
  <c r="O4851" i="20"/>
  <c r="O4852" i="20"/>
  <c r="O4853" i="20"/>
  <c r="O4854" i="20"/>
  <c r="O4855" i="20"/>
  <c r="O4856" i="20"/>
  <c r="O4857" i="20"/>
  <c r="O4858" i="20"/>
  <c r="O4859" i="20"/>
  <c r="O4860" i="20"/>
  <c r="O4861" i="20"/>
  <c r="O4862" i="20"/>
  <c r="O4863" i="20"/>
  <c r="O4864" i="20"/>
  <c r="O4865" i="20"/>
  <c r="O4866" i="20"/>
  <c r="O4867" i="20"/>
  <c r="O4868" i="20"/>
  <c r="O4869" i="20"/>
  <c r="O4870" i="20"/>
  <c r="O4871" i="20"/>
  <c r="O4872" i="20"/>
  <c r="O4873" i="20"/>
  <c r="O4874" i="20"/>
  <c r="O4875" i="20"/>
  <c r="O4876" i="20"/>
  <c r="O4877" i="20"/>
  <c r="O4878" i="20"/>
  <c r="O4879" i="20"/>
  <c r="O4880" i="20"/>
  <c r="O4881" i="20"/>
  <c r="O4882" i="20"/>
  <c r="O4883" i="20"/>
  <c r="O4884" i="20"/>
  <c r="O4885" i="20"/>
  <c r="O4886" i="20"/>
  <c r="O4887" i="20"/>
  <c r="O4888" i="20"/>
  <c r="O4889" i="20"/>
  <c r="O4890" i="20"/>
  <c r="O4891" i="20"/>
  <c r="O4892" i="20"/>
  <c r="O4893" i="20"/>
  <c r="O4894" i="20"/>
  <c r="O4895" i="20"/>
  <c r="O4896" i="20"/>
  <c r="O4897" i="20"/>
  <c r="O4898" i="20"/>
  <c r="O4899" i="20"/>
  <c r="O4900" i="20"/>
  <c r="O4901" i="20"/>
  <c r="O4902" i="20"/>
  <c r="O4903" i="20"/>
  <c r="O4904" i="20"/>
  <c r="O4905" i="20"/>
  <c r="O4906" i="20"/>
  <c r="O4907" i="20"/>
  <c r="O4908" i="20"/>
  <c r="O4909" i="20"/>
  <c r="O4910" i="20"/>
  <c r="O4911" i="20"/>
  <c r="O4912" i="20"/>
  <c r="O4913" i="20"/>
  <c r="O4914" i="20"/>
  <c r="O4915" i="20"/>
  <c r="O4916" i="20"/>
  <c r="O4917" i="20"/>
  <c r="O4918" i="20"/>
  <c r="O4919" i="20"/>
  <c r="O4920" i="20"/>
  <c r="O4921" i="20"/>
  <c r="O4922" i="20"/>
  <c r="O4923" i="20"/>
  <c r="O4924" i="20"/>
  <c r="O4925" i="20"/>
  <c r="O4926" i="20"/>
  <c r="O4927" i="20"/>
  <c r="O4928" i="20"/>
  <c r="O4929" i="20"/>
  <c r="O4930" i="20"/>
  <c r="O4931" i="20"/>
  <c r="O4932" i="20"/>
  <c r="O4933" i="20"/>
  <c r="O4934" i="20"/>
  <c r="O4935" i="20"/>
  <c r="O4936" i="20"/>
  <c r="O4937" i="20"/>
  <c r="O4938" i="20"/>
  <c r="O4939" i="20"/>
  <c r="O4940" i="20"/>
  <c r="O4941" i="20"/>
  <c r="O4942" i="20"/>
  <c r="O4943" i="20"/>
  <c r="O4944" i="20"/>
  <c r="O4945" i="20"/>
  <c r="O4946" i="20"/>
  <c r="O4947" i="20"/>
  <c r="O4948" i="20"/>
  <c r="O4949" i="20"/>
  <c r="O4950" i="20"/>
  <c r="O4951" i="20"/>
  <c r="O4952" i="20"/>
  <c r="O4953" i="20"/>
  <c r="O4954" i="20"/>
  <c r="O4955" i="20"/>
  <c r="O4956" i="20"/>
  <c r="O4957" i="20"/>
  <c r="O4958" i="20"/>
  <c r="O4959" i="20"/>
  <c r="O4960" i="20"/>
  <c r="O4961" i="20"/>
  <c r="O4962" i="20"/>
  <c r="O4963" i="20"/>
  <c r="O4964" i="20"/>
  <c r="P3898" i="20"/>
  <c r="P3899" i="20"/>
  <c r="P3900" i="20"/>
  <c r="P3901" i="20"/>
  <c r="P3902" i="20"/>
  <c r="P3903" i="20"/>
  <c r="P3904" i="20"/>
  <c r="P3905" i="20"/>
  <c r="P3906" i="20"/>
  <c r="P3907" i="20"/>
  <c r="P3908" i="20"/>
  <c r="P3909" i="20"/>
  <c r="P3910" i="20"/>
  <c r="P3911" i="20"/>
  <c r="P3912" i="20"/>
  <c r="P3913" i="20"/>
  <c r="P3914" i="20"/>
  <c r="P3915" i="20"/>
  <c r="P3916" i="20"/>
  <c r="P3917" i="20"/>
  <c r="P3918" i="20"/>
  <c r="P3919" i="20"/>
  <c r="P3920" i="20"/>
  <c r="P3921" i="20"/>
  <c r="P3922" i="20"/>
  <c r="P3923" i="20"/>
  <c r="P3924" i="20"/>
  <c r="P3925" i="20"/>
  <c r="P3926" i="20"/>
  <c r="P3927" i="20"/>
  <c r="P3928" i="20"/>
  <c r="P3929" i="20"/>
  <c r="P3930" i="20"/>
  <c r="P3931" i="20"/>
  <c r="P3932" i="20"/>
  <c r="P3933" i="20"/>
  <c r="P3934" i="20"/>
  <c r="P3935" i="20"/>
  <c r="P3936" i="20"/>
  <c r="P3937" i="20"/>
  <c r="P3938" i="20"/>
  <c r="P3939" i="20"/>
  <c r="P3940" i="20"/>
  <c r="P3941" i="20"/>
  <c r="P3942" i="20"/>
  <c r="P3943" i="20"/>
  <c r="P3944" i="20"/>
  <c r="P3945" i="20"/>
  <c r="P3946" i="20"/>
  <c r="P3947" i="20"/>
  <c r="P3948" i="20"/>
  <c r="P3949" i="20"/>
  <c r="P3950" i="20"/>
  <c r="P3951" i="20"/>
  <c r="P3952" i="20"/>
  <c r="P3953" i="20"/>
  <c r="P3954" i="20"/>
  <c r="P3955" i="20"/>
  <c r="P3956" i="20"/>
  <c r="P3957" i="20"/>
  <c r="P3958" i="20"/>
  <c r="P3959" i="20"/>
  <c r="P3960" i="20"/>
  <c r="P3961" i="20"/>
  <c r="P3962" i="20"/>
  <c r="P3963" i="20"/>
  <c r="P3964" i="20"/>
  <c r="P3965" i="20"/>
  <c r="P3966" i="20"/>
  <c r="P3967" i="20"/>
  <c r="P3968" i="20"/>
  <c r="P3969" i="20"/>
  <c r="P3970" i="20"/>
  <c r="P3971" i="20"/>
  <c r="P3972" i="20"/>
  <c r="P3973" i="20"/>
  <c r="P3974" i="20"/>
  <c r="P3975" i="20"/>
  <c r="P3976" i="20"/>
  <c r="P3977" i="20"/>
  <c r="P3978" i="20"/>
  <c r="P3979" i="20"/>
  <c r="P3980" i="20"/>
  <c r="P3981" i="20"/>
  <c r="P3982" i="20"/>
  <c r="P3983" i="20"/>
  <c r="P3984" i="20"/>
  <c r="P3985" i="20"/>
  <c r="P3986" i="20"/>
  <c r="P3987" i="20"/>
  <c r="P3988" i="20"/>
  <c r="P3989" i="20"/>
  <c r="P3990" i="20"/>
  <c r="P3991" i="20"/>
  <c r="P3992" i="20"/>
  <c r="P3993" i="20"/>
  <c r="P3994" i="20"/>
  <c r="P3995" i="20"/>
  <c r="P3996" i="20"/>
  <c r="P3997" i="20"/>
  <c r="P3998" i="20"/>
  <c r="P3999" i="20"/>
  <c r="P4000" i="20"/>
  <c r="P4001" i="20"/>
  <c r="P4002" i="20"/>
  <c r="P4003" i="20"/>
  <c r="P4004" i="20"/>
  <c r="P4005" i="20"/>
  <c r="P4006" i="20"/>
  <c r="P4007" i="20"/>
  <c r="P4008" i="20"/>
  <c r="P4009" i="20"/>
  <c r="P4010" i="20"/>
  <c r="P4011" i="20"/>
  <c r="P4012" i="20"/>
  <c r="P4013" i="20"/>
  <c r="P4014" i="20"/>
  <c r="P4015" i="20"/>
  <c r="P4016" i="20"/>
  <c r="P4017" i="20"/>
  <c r="P4018" i="20"/>
  <c r="P4019" i="20"/>
  <c r="P4020" i="20"/>
  <c r="P4021" i="20"/>
  <c r="P4022" i="20"/>
  <c r="P4023" i="20"/>
  <c r="P4024" i="20"/>
  <c r="P4025" i="20"/>
  <c r="P4026" i="20"/>
  <c r="P4027" i="20"/>
  <c r="P4028" i="20"/>
  <c r="P4029" i="20"/>
  <c r="P4030" i="20"/>
  <c r="P4031" i="20"/>
  <c r="P4032" i="20"/>
  <c r="P4033" i="20"/>
  <c r="P4034" i="20"/>
  <c r="P4035" i="20"/>
  <c r="P4036" i="20"/>
  <c r="P4037" i="20"/>
  <c r="P4038" i="20"/>
  <c r="P4039" i="20"/>
  <c r="P4040" i="20"/>
  <c r="P4041" i="20"/>
  <c r="P4042" i="20"/>
  <c r="P4043" i="20"/>
  <c r="P4044" i="20"/>
  <c r="P4045" i="20"/>
  <c r="P4046" i="20"/>
  <c r="P4047" i="20"/>
  <c r="P4048" i="20"/>
  <c r="P4049" i="20"/>
  <c r="P4050" i="20"/>
  <c r="P4051" i="20"/>
  <c r="P4052" i="20"/>
  <c r="P4053" i="20"/>
  <c r="P4054" i="20"/>
  <c r="P4055" i="20"/>
  <c r="P4056" i="20"/>
  <c r="P4057" i="20"/>
  <c r="P4058" i="20"/>
  <c r="P4059" i="20"/>
  <c r="P4060" i="20"/>
  <c r="P4061" i="20"/>
  <c r="P4062" i="20"/>
  <c r="P4063" i="20"/>
  <c r="P4064" i="20"/>
  <c r="P4065" i="20"/>
  <c r="P4066" i="20"/>
  <c r="P4067" i="20"/>
  <c r="P4068" i="20"/>
  <c r="P4069" i="20"/>
  <c r="P4070" i="20"/>
  <c r="P4071" i="20"/>
  <c r="P4072" i="20"/>
  <c r="P4073" i="20"/>
  <c r="P4074" i="20"/>
  <c r="P4075" i="20"/>
  <c r="P4076" i="20"/>
  <c r="P4077" i="20"/>
  <c r="P4078" i="20"/>
  <c r="P4079" i="20"/>
  <c r="P4080" i="20"/>
  <c r="P4081" i="20"/>
  <c r="P4082" i="20"/>
  <c r="P4083" i="20"/>
  <c r="P4084" i="20"/>
  <c r="P4085" i="20"/>
  <c r="P4086" i="20"/>
  <c r="P4087" i="20"/>
  <c r="P4088" i="20"/>
  <c r="P4089" i="20"/>
  <c r="P4090" i="20"/>
  <c r="P4091" i="20"/>
  <c r="P4092" i="20"/>
  <c r="P4093" i="20"/>
  <c r="P4094" i="20"/>
  <c r="P4095" i="20"/>
  <c r="P4096" i="20"/>
  <c r="P4097" i="20"/>
  <c r="P4098" i="20"/>
  <c r="P4099" i="20"/>
  <c r="P4100" i="20"/>
  <c r="P4101" i="20"/>
  <c r="P4102" i="20"/>
  <c r="P4103" i="20"/>
  <c r="P4104" i="20"/>
  <c r="P4105" i="20"/>
  <c r="P4106" i="20"/>
  <c r="P4107" i="20"/>
  <c r="P4108" i="20"/>
  <c r="P4109" i="20"/>
  <c r="P4110" i="20"/>
  <c r="P4111" i="20"/>
  <c r="P4112" i="20"/>
  <c r="P4113" i="20"/>
  <c r="P4114" i="20"/>
  <c r="P4115" i="20"/>
  <c r="P4116" i="20"/>
  <c r="P4117" i="20"/>
  <c r="P4118" i="20"/>
  <c r="P4119" i="20"/>
  <c r="P4120" i="20"/>
  <c r="P4121" i="20"/>
  <c r="P4122" i="20"/>
  <c r="P4123" i="20"/>
  <c r="P4124" i="20"/>
  <c r="P4125" i="20"/>
  <c r="P4126" i="20"/>
  <c r="P4127" i="20"/>
  <c r="P4128" i="20"/>
  <c r="P4129" i="20"/>
  <c r="P4130" i="20"/>
  <c r="P4131" i="20"/>
  <c r="P4132" i="20"/>
  <c r="P4133" i="20"/>
  <c r="P4134" i="20"/>
  <c r="P4135" i="20"/>
  <c r="P4136" i="20"/>
  <c r="P4137" i="20"/>
  <c r="P4138" i="20"/>
  <c r="P4139" i="20"/>
  <c r="P4140" i="20"/>
  <c r="P4141" i="20"/>
  <c r="P4142" i="20"/>
  <c r="P4143" i="20"/>
  <c r="P4144" i="20"/>
  <c r="P4145" i="20"/>
  <c r="P4146" i="20"/>
  <c r="P4147" i="20"/>
  <c r="P4148" i="20"/>
  <c r="P4149" i="20"/>
  <c r="P4150" i="20"/>
  <c r="P4151" i="20"/>
  <c r="P4152" i="20"/>
  <c r="P4153" i="20"/>
  <c r="P4154" i="20"/>
  <c r="P4155" i="20"/>
  <c r="P4156" i="20"/>
  <c r="P4157" i="20"/>
  <c r="P4158" i="20"/>
  <c r="P4159" i="20"/>
  <c r="P4160" i="20"/>
  <c r="P4161" i="20"/>
  <c r="P4162" i="20"/>
  <c r="P4163" i="20"/>
  <c r="P4164" i="20"/>
  <c r="P4165" i="20"/>
  <c r="P4166" i="20"/>
  <c r="P4167" i="20"/>
  <c r="P4168" i="20"/>
  <c r="P4169" i="20"/>
  <c r="P4170" i="20"/>
  <c r="P4171" i="20"/>
  <c r="P4172" i="20"/>
  <c r="P4173" i="20"/>
  <c r="P4174" i="20"/>
  <c r="P4175" i="20"/>
  <c r="P4176" i="20"/>
  <c r="P4177" i="20"/>
  <c r="P4178" i="20"/>
  <c r="P4179" i="20"/>
  <c r="P4180" i="20"/>
  <c r="P4181" i="20"/>
  <c r="P4182" i="20"/>
  <c r="P4183" i="20"/>
  <c r="P4184" i="20"/>
  <c r="P4185" i="20"/>
  <c r="P4186" i="20"/>
  <c r="P4187" i="20"/>
  <c r="P4188" i="20"/>
  <c r="P4189" i="20"/>
  <c r="P4190" i="20"/>
  <c r="P4191" i="20"/>
  <c r="P4192" i="20"/>
  <c r="P4193" i="20"/>
  <c r="P4194" i="20"/>
  <c r="P4195" i="20"/>
  <c r="P4196" i="20"/>
  <c r="P4197" i="20"/>
  <c r="P4198" i="20"/>
  <c r="P4199" i="20"/>
  <c r="P4200" i="20"/>
  <c r="P4201" i="20"/>
  <c r="P4202" i="20"/>
  <c r="P4203" i="20"/>
  <c r="P4204" i="20"/>
  <c r="P4205" i="20"/>
  <c r="P4206" i="20"/>
  <c r="P4207" i="20"/>
  <c r="P4208" i="20"/>
  <c r="P4209" i="20"/>
  <c r="P4210" i="20"/>
  <c r="P4211" i="20"/>
  <c r="P4212" i="20"/>
  <c r="P4213" i="20"/>
  <c r="P4214" i="20"/>
  <c r="P4215" i="20"/>
  <c r="P4216" i="20"/>
  <c r="P4217" i="20"/>
  <c r="P4218" i="20"/>
  <c r="P4219" i="20"/>
  <c r="P4220" i="20"/>
  <c r="P4221" i="20"/>
  <c r="P4222" i="20"/>
  <c r="P4223" i="20"/>
  <c r="P4224" i="20"/>
  <c r="P4225" i="20"/>
  <c r="P4226" i="20"/>
  <c r="P4227" i="20"/>
  <c r="P4228" i="20"/>
  <c r="P4229" i="20"/>
  <c r="P4230" i="20"/>
  <c r="P4231" i="20"/>
  <c r="P4232" i="20"/>
  <c r="P4233" i="20"/>
  <c r="P4234" i="20"/>
  <c r="P4235" i="20"/>
  <c r="P4236" i="20"/>
  <c r="P4237" i="20"/>
  <c r="P4238" i="20"/>
  <c r="P4239" i="20"/>
  <c r="P4240" i="20"/>
  <c r="P4241" i="20"/>
  <c r="P4242" i="20"/>
  <c r="P4243" i="20"/>
  <c r="P4244" i="20"/>
  <c r="P4245" i="20"/>
  <c r="P4246" i="20"/>
  <c r="P4247" i="20"/>
  <c r="P4248" i="20"/>
  <c r="P4249" i="20"/>
  <c r="P4250" i="20"/>
  <c r="P4251" i="20"/>
  <c r="P4252" i="20"/>
  <c r="P4253" i="20"/>
  <c r="P4254" i="20"/>
  <c r="P4255" i="20"/>
  <c r="P4256" i="20"/>
  <c r="P4257" i="20"/>
  <c r="P4258" i="20"/>
  <c r="P4259" i="20"/>
  <c r="P4260" i="20"/>
  <c r="P4261" i="20"/>
  <c r="P4262" i="20"/>
  <c r="P4263" i="20"/>
  <c r="P4264" i="20"/>
  <c r="P4265" i="20"/>
  <c r="P4266" i="20"/>
  <c r="P4267" i="20"/>
  <c r="P4268" i="20"/>
  <c r="P4269" i="20"/>
  <c r="P4270" i="20"/>
  <c r="P4271" i="20"/>
  <c r="P4272" i="20"/>
  <c r="P4273" i="20"/>
  <c r="P4274" i="20"/>
  <c r="P4275" i="20"/>
  <c r="P4276" i="20"/>
  <c r="P4277" i="20"/>
  <c r="P4278" i="20"/>
  <c r="P4279" i="20"/>
  <c r="P4280" i="20"/>
  <c r="P4281" i="20"/>
  <c r="P4282" i="20"/>
  <c r="P4283" i="20"/>
  <c r="P4284" i="20"/>
  <c r="P4285" i="20"/>
  <c r="P4286" i="20"/>
  <c r="P4287" i="20"/>
  <c r="P4288" i="20"/>
  <c r="P4289" i="20"/>
  <c r="P4290" i="20"/>
  <c r="P4291" i="20"/>
  <c r="P4292" i="20"/>
  <c r="P4293" i="20"/>
  <c r="P4294" i="20"/>
  <c r="P4295" i="20"/>
  <c r="P4296" i="20"/>
  <c r="P4297" i="20"/>
  <c r="P4298" i="20"/>
  <c r="P4299" i="20"/>
  <c r="P4300" i="20"/>
  <c r="P4301" i="20"/>
  <c r="P4302" i="20"/>
  <c r="P4303" i="20"/>
  <c r="P4304" i="20"/>
  <c r="P4305" i="20"/>
  <c r="P4306" i="20"/>
  <c r="P4307" i="20"/>
  <c r="P4308" i="20"/>
  <c r="P4309" i="20"/>
  <c r="P4310" i="20"/>
  <c r="P4311" i="20"/>
  <c r="P4312" i="20"/>
  <c r="P4313" i="20"/>
  <c r="P4314" i="20"/>
  <c r="P4315" i="20"/>
  <c r="P4316" i="20"/>
  <c r="P4317" i="20"/>
  <c r="P4318" i="20"/>
  <c r="P4319" i="20"/>
  <c r="P4320" i="20"/>
  <c r="P4321" i="20"/>
  <c r="P4322" i="20"/>
  <c r="P4323" i="20"/>
  <c r="P4324" i="20"/>
  <c r="P4325" i="20"/>
  <c r="P4326" i="20"/>
  <c r="P4327" i="20"/>
  <c r="P4328" i="20"/>
  <c r="P4329" i="20"/>
  <c r="P4330" i="20"/>
  <c r="P4331" i="20"/>
  <c r="P4332" i="20"/>
  <c r="P4333" i="20"/>
  <c r="P4334" i="20"/>
  <c r="P4335" i="20"/>
  <c r="P4336" i="20"/>
  <c r="P4337" i="20"/>
  <c r="P4338" i="20"/>
  <c r="P4339" i="20"/>
  <c r="P4340" i="20"/>
  <c r="P4341" i="20"/>
  <c r="P4342" i="20"/>
  <c r="P4343" i="20"/>
  <c r="P4344" i="20"/>
  <c r="P4345" i="20"/>
  <c r="P4346" i="20"/>
  <c r="P4347" i="20"/>
  <c r="P4348" i="20"/>
  <c r="P4349" i="20"/>
  <c r="P4350" i="20"/>
  <c r="P4351" i="20"/>
  <c r="P4352" i="20"/>
  <c r="P4353" i="20"/>
  <c r="P4354" i="20"/>
  <c r="P4355" i="20"/>
  <c r="P4356" i="20"/>
  <c r="P4357" i="20"/>
  <c r="P4358" i="20"/>
  <c r="P4359" i="20"/>
  <c r="P4360" i="20"/>
  <c r="P4361" i="20"/>
  <c r="P4362" i="20"/>
  <c r="P4363" i="20"/>
  <c r="P4364" i="20"/>
  <c r="P4365" i="20"/>
  <c r="P4366" i="20"/>
  <c r="P4367" i="20"/>
  <c r="P4368" i="20"/>
  <c r="P4369" i="20"/>
  <c r="P4370" i="20"/>
  <c r="P4371" i="20"/>
  <c r="P4372" i="20"/>
  <c r="P4373" i="20"/>
  <c r="P4374" i="20"/>
  <c r="P4375" i="20"/>
  <c r="P4376" i="20"/>
  <c r="P4377" i="20"/>
  <c r="P4378" i="20"/>
  <c r="P4379" i="20"/>
  <c r="P4380" i="20"/>
  <c r="P4381" i="20"/>
  <c r="P4382" i="20"/>
  <c r="P4383" i="20"/>
  <c r="P4384" i="20"/>
  <c r="P4385" i="20"/>
  <c r="P4386" i="20"/>
  <c r="P4387" i="20"/>
  <c r="P4388" i="20"/>
  <c r="P4389" i="20"/>
  <c r="P4390" i="20"/>
  <c r="P4391" i="20"/>
  <c r="P4392" i="20"/>
  <c r="P4393" i="20"/>
  <c r="P4394" i="20"/>
  <c r="P4395" i="20"/>
  <c r="P4396" i="20"/>
  <c r="P4397" i="20"/>
  <c r="P4398" i="20"/>
  <c r="P4399" i="20"/>
  <c r="P4400" i="20"/>
  <c r="P4401" i="20"/>
  <c r="P4402" i="20"/>
  <c r="P4403" i="20"/>
  <c r="P4404" i="20"/>
  <c r="P4405" i="20"/>
  <c r="P4406" i="20"/>
  <c r="P4407" i="20"/>
  <c r="P4408" i="20"/>
  <c r="P4409" i="20"/>
  <c r="P4410" i="20"/>
  <c r="P4411" i="20"/>
  <c r="P4412" i="20"/>
  <c r="P4413" i="20"/>
  <c r="P4414" i="20"/>
  <c r="P4415" i="20"/>
  <c r="P4416" i="20"/>
  <c r="P4417" i="20"/>
  <c r="P4418" i="20"/>
  <c r="P4419" i="20"/>
  <c r="P4420" i="20"/>
  <c r="P4421" i="20"/>
  <c r="P4422" i="20"/>
  <c r="P4423" i="20"/>
  <c r="P4424" i="20"/>
  <c r="P4425" i="20"/>
  <c r="P4426" i="20"/>
  <c r="P4427" i="20"/>
  <c r="P4428" i="20"/>
  <c r="P4429" i="20"/>
  <c r="P4430" i="20"/>
  <c r="P4431" i="20"/>
  <c r="P4432" i="20"/>
  <c r="P4433" i="20"/>
  <c r="P4434" i="20"/>
  <c r="P4435" i="20"/>
  <c r="P4436" i="20"/>
  <c r="P4437" i="20"/>
  <c r="P4438" i="20"/>
  <c r="P4439" i="20"/>
  <c r="P4440" i="20"/>
  <c r="P4441" i="20"/>
  <c r="P4442" i="20"/>
  <c r="P4443" i="20"/>
  <c r="P4444" i="20"/>
  <c r="P4445" i="20"/>
  <c r="P4446" i="20"/>
  <c r="P4447" i="20"/>
  <c r="P4448" i="20"/>
  <c r="P4449" i="20"/>
  <c r="P4450" i="20"/>
  <c r="P4451" i="20"/>
  <c r="P4452" i="20"/>
  <c r="P4453" i="20"/>
  <c r="P4454" i="20"/>
  <c r="P4455" i="20"/>
  <c r="P4456" i="20"/>
  <c r="P4457" i="20"/>
  <c r="P4458" i="20"/>
  <c r="P4459" i="20"/>
  <c r="P4460" i="20"/>
  <c r="P4461" i="20"/>
  <c r="P4462" i="20"/>
  <c r="P4463" i="20"/>
  <c r="P4464" i="20"/>
  <c r="P4465" i="20"/>
  <c r="P4466" i="20"/>
  <c r="P4467" i="20"/>
  <c r="P4468" i="20"/>
  <c r="P4469" i="20"/>
  <c r="P4470" i="20"/>
  <c r="P4471" i="20"/>
  <c r="P4472" i="20"/>
  <c r="P4473" i="20"/>
  <c r="P4474" i="20"/>
  <c r="P4475" i="20"/>
  <c r="P4476" i="20"/>
  <c r="P4477" i="20"/>
  <c r="P4478" i="20"/>
  <c r="P4479" i="20"/>
  <c r="P4480" i="20"/>
  <c r="P4481" i="20"/>
  <c r="P4482" i="20"/>
  <c r="P4483" i="20"/>
  <c r="P4484" i="20"/>
  <c r="P4485" i="20"/>
  <c r="P4486" i="20"/>
  <c r="P4487" i="20"/>
  <c r="P4488" i="20"/>
  <c r="P4489" i="20"/>
  <c r="P4490" i="20"/>
  <c r="P4491" i="20"/>
  <c r="P4492" i="20"/>
  <c r="P4493" i="20"/>
  <c r="P4494" i="20"/>
  <c r="P4495" i="20"/>
  <c r="P4496" i="20"/>
  <c r="P4497" i="20"/>
  <c r="P4498" i="20"/>
  <c r="P4499" i="20"/>
  <c r="P4500" i="20"/>
  <c r="P4501" i="20"/>
  <c r="P4502" i="20"/>
  <c r="P4503" i="20"/>
  <c r="P4504" i="20"/>
  <c r="P4505" i="20"/>
  <c r="P4506" i="20"/>
  <c r="P4507" i="20"/>
  <c r="P4508" i="20"/>
  <c r="P4509" i="20"/>
  <c r="P4510" i="20"/>
  <c r="P4511" i="20"/>
  <c r="P4512" i="20"/>
  <c r="P4513" i="20"/>
  <c r="P4514" i="20"/>
  <c r="P4515" i="20"/>
  <c r="P4516" i="20"/>
  <c r="P4517" i="20"/>
  <c r="P4518" i="20"/>
  <c r="P4519" i="20"/>
  <c r="P4520" i="20"/>
  <c r="P4521" i="20"/>
  <c r="P4522" i="20"/>
  <c r="P4523" i="20"/>
  <c r="P4524" i="20"/>
  <c r="P4525" i="20"/>
  <c r="P4526" i="20"/>
  <c r="P4527" i="20"/>
  <c r="P4528" i="20"/>
  <c r="P4529" i="20"/>
  <c r="P4530" i="20"/>
  <c r="P4531" i="20"/>
  <c r="P4532" i="20"/>
  <c r="P4533" i="20"/>
  <c r="P4534" i="20"/>
  <c r="P4535" i="20"/>
  <c r="P4536" i="20"/>
  <c r="P4537" i="20"/>
  <c r="P4538" i="20"/>
  <c r="P4539" i="20"/>
  <c r="P4540" i="20"/>
  <c r="P4541" i="20"/>
  <c r="P4542" i="20"/>
  <c r="P4543" i="20"/>
  <c r="P4544" i="20"/>
  <c r="P4545" i="20"/>
  <c r="P4546" i="20"/>
  <c r="P4547" i="20"/>
  <c r="P4548" i="20"/>
  <c r="P4549" i="20"/>
  <c r="P4550" i="20"/>
  <c r="P4551" i="20"/>
  <c r="P4552" i="20"/>
  <c r="P4553" i="20"/>
  <c r="P4554" i="20"/>
  <c r="P4555" i="20"/>
  <c r="P4556" i="20"/>
  <c r="P4557" i="20"/>
  <c r="P4558" i="20"/>
  <c r="P4559" i="20"/>
  <c r="P4560" i="20"/>
  <c r="P4561" i="20"/>
  <c r="P4562" i="20"/>
  <c r="P4563" i="20"/>
  <c r="P4564" i="20"/>
  <c r="P4565" i="20"/>
  <c r="P4566" i="20"/>
  <c r="P4567" i="20"/>
  <c r="P4568" i="20"/>
  <c r="P4569" i="20"/>
  <c r="P4570" i="20"/>
  <c r="P4571" i="20"/>
  <c r="P4572" i="20"/>
  <c r="P4573" i="20"/>
  <c r="P4574" i="20"/>
  <c r="P4575" i="20"/>
  <c r="P4576" i="20"/>
  <c r="P4577" i="20"/>
  <c r="P4578" i="20"/>
  <c r="P4579" i="20"/>
  <c r="P4580" i="20"/>
  <c r="P4581" i="20"/>
  <c r="P4582" i="20"/>
  <c r="P4583" i="20"/>
  <c r="P4584" i="20"/>
  <c r="P4585" i="20"/>
  <c r="P4586" i="20"/>
  <c r="P4587" i="20"/>
  <c r="P4588" i="20"/>
  <c r="P4589" i="20"/>
  <c r="P4590" i="20"/>
  <c r="P4591" i="20"/>
  <c r="P4592" i="20"/>
  <c r="P4593" i="20"/>
  <c r="P4594" i="20"/>
  <c r="P4595" i="20"/>
  <c r="P4596" i="20"/>
  <c r="P4597" i="20"/>
  <c r="P4598" i="20"/>
  <c r="P4599" i="20"/>
  <c r="P4600" i="20"/>
  <c r="P4601" i="20"/>
  <c r="P4602" i="20"/>
  <c r="P4603" i="20"/>
  <c r="P4604" i="20"/>
  <c r="P4605" i="20"/>
  <c r="P4606" i="20"/>
  <c r="P4607" i="20"/>
  <c r="P4608" i="20"/>
  <c r="P4609" i="20"/>
  <c r="P4610" i="20"/>
  <c r="P4611" i="20"/>
  <c r="P4612" i="20"/>
  <c r="P4613" i="20"/>
  <c r="P4614" i="20"/>
  <c r="P4615" i="20"/>
  <c r="P4616" i="20"/>
  <c r="P4617" i="20"/>
  <c r="P4618" i="20"/>
  <c r="P4619" i="20"/>
  <c r="P4620" i="20"/>
  <c r="P4621" i="20"/>
  <c r="P4622" i="20"/>
  <c r="P4623" i="20"/>
  <c r="P4624" i="20"/>
  <c r="P4625" i="20"/>
  <c r="P4626" i="20"/>
  <c r="P4627" i="20"/>
  <c r="P4628" i="20"/>
  <c r="P4629" i="20"/>
  <c r="P4630" i="20"/>
  <c r="P4631" i="20"/>
  <c r="P4632" i="20"/>
  <c r="P4633" i="20"/>
  <c r="P4634" i="20"/>
  <c r="P4635" i="20"/>
  <c r="P4636" i="20"/>
  <c r="P4637" i="20"/>
  <c r="P4638" i="20"/>
  <c r="P4639" i="20"/>
  <c r="P4640" i="20"/>
  <c r="P4641" i="20"/>
  <c r="P4642" i="20"/>
  <c r="P4643" i="20"/>
  <c r="P4644" i="20"/>
  <c r="P4645" i="20"/>
  <c r="P4646" i="20"/>
  <c r="P4647" i="20"/>
  <c r="P4648" i="20"/>
  <c r="P4649" i="20"/>
  <c r="P4650" i="20"/>
  <c r="P4651" i="20"/>
  <c r="P4652" i="20"/>
  <c r="P4653" i="20"/>
  <c r="P4654" i="20"/>
  <c r="P4655" i="20"/>
  <c r="P4656" i="20"/>
  <c r="P4657" i="20"/>
  <c r="P4658" i="20"/>
  <c r="P4659" i="20"/>
  <c r="P4660" i="20"/>
  <c r="P4661" i="20"/>
  <c r="P4662" i="20"/>
  <c r="P4663" i="20"/>
  <c r="P4664" i="20"/>
  <c r="P4665" i="20"/>
  <c r="P4666" i="20"/>
  <c r="P4667" i="20"/>
  <c r="P4668" i="20"/>
  <c r="P4669" i="20"/>
  <c r="P4670" i="20"/>
  <c r="P4671" i="20"/>
  <c r="P4672" i="20"/>
  <c r="P4673" i="20"/>
  <c r="P4674" i="20"/>
  <c r="P4675" i="20"/>
  <c r="P4676" i="20"/>
  <c r="P4677" i="20"/>
  <c r="P4678" i="20"/>
  <c r="P4679" i="20"/>
  <c r="P4680" i="20"/>
  <c r="P4681" i="20"/>
  <c r="P4682" i="20"/>
  <c r="P4683" i="20"/>
  <c r="P4684" i="20"/>
  <c r="P4685" i="20"/>
  <c r="P4686" i="20"/>
  <c r="P4687" i="20"/>
  <c r="P4688" i="20"/>
  <c r="P4689" i="20"/>
  <c r="P4690" i="20"/>
  <c r="P4691" i="20"/>
  <c r="P4692" i="20"/>
  <c r="P4693" i="20"/>
  <c r="P4694" i="20"/>
  <c r="P4695" i="20"/>
  <c r="P4696" i="20"/>
  <c r="P4697" i="20"/>
  <c r="P4698" i="20"/>
  <c r="P4699" i="20"/>
  <c r="P4700" i="20"/>
  <c r="P4701" i="20"/>
  <c r="P4702" i="20"/>
  <c r="P4703" i="20"/>
  <c r="P4704" i="20"/>
  <c r="P4705" i="20"/>
  <c r="P4706" i="20"/>
  <c r="P4707" i="20"/>
  <c r="P4708" i="20"/>
  <c r="P4709" i="20"/>
  <c r="P4710" i="20"/>
  <c r="P4711" i="20"/>
  <c r="P4712" i="20"/>
  <c r="P4713" i="20"/>
  <c r="P4714" i="20"/>
  <c r="P4715" i="20"/>
  <c r="P4716" i="20"/>
  <c r="P4717" i="20"/>
  <c r="P4718" i="20"/>
  <c r="P4719" i="20"/>
  <c r="P4720" i="20"/>
  <c r="P4721" i="20"/>
  <c r="P4722" i="20"/>
  <c r="P4723" i="20"/>
  <c r="P4724" i="20"/>
  <c r="P4725" i="20"/>
  <c r="P4726" i="20"/>
  <c r="P4727" i="20"/>
  <c r="P4728" i="20"/>
  <c r="P4729" i="20"/>
  <c r="P4730" i="20"/>
  <c r="P4731" i="20"/>
  <c r="P4732" i="20"/>
  <c r="P4733" i="20"/>
  <c r="P4734" i="20"/>
  <c r="P4735" i="20"/>
  <c r="P4736" i="20"/>
  <c r="P4737" i="20"/>
  <c r="P4738" i="20"/>
  <c r="P4739" i="20"/>
  <c r="P4740" i="20"/>
  <c r="P4741" i="20"/>
  <c r="P4742" i="20"/>
  <c r="P4743" i="20"/>
  <c r="P4744" i="20"/>
  <c r="P4745" i="20"/>
  <c r="P4746" i="20"/>
  <c r="P4747" i="20"/>
  <c r="P4748" i="20"/>
  <c r="P4749" i="20"/>
  <c r="P4750" i="20"/>
  <c r="P4751" i="20"/>
  <c r="P4752" i="20"/>
  <c r="P4753" i="20"/>
  <c r="P4754" i="20"/>
  <c r="P4755" i="20"/>
  <c r="P4756" i="20"/>
  <c r="P4757" i="20"/>
  <c r="P4758" i="20"/>
  <c r="P4759" i="20"/>
  <c r="P4760" i="20"/>
  <c r="P4761" i="20"/>
  <c r="P4762" i="20"/>
  <c r="P4763" i="20"/>
  <c r="P4764" i="20"/>
  <c r="P4765" i="20"/>
  <c r="P4766" i="20"/>
  <c r="P4767" i="20"/>
  <c r="P4768" i="20"/>
  <c r="P4769" i="20"/>
  <c r="P4770" i="20"/>
  <c r="P4771" i="20"/>
  <c r="P4772" i="20"/>
  <c r="P4773" i="20"/>
  <c r="P4774" i="20"/>
  <c r="P4775" i="20"/>
  <c r="P4776" i="20"/>
  <c r="P4777" i="20"/>
  <c r="P4778" i="20"/>
  <c r="P4779" i="20"/>
  <c r="P4780" i="20"/>
  <c r="P4781" i="20"/>
  <c r="P4782" i="20"/>
  <c r="P4783" i="20"/>
  <c r="P4784" i="20"/>
  <c r="P4785" i="20"/>
  <c r="P4786" i="20"/>
  <c r="P4787" i="20"/>
  <c r="P4788" i="20"/>
  <c r="P4789" i="20"/>
  <c r="P4790" i="20"/>
  <c r="P4791" i="20"/>
  <c r="P4792" i="20"/>
  <c r="P4793" i="20"/>
  <c r="P4794" i="20"/>
  <c r="P4795" i="20"/>
  <c r="P4796" i="20"/>
  <c r="P4797" i="20"/>
  <c r="P4798" i="20"/>
  <c r="P4799" i="20"/>
  <c r="P4800" i="20"/>
  <c r="P4801" i="20"/>
  <c r="P4802" i="20"/>
  <c r="P4803" i="20"/>
  <c r="P4804" i="20"/>
  <c r="P4805" i="20"/>
  <c r="P4806" i="20"/>
  <c r="P4807" i="20"/>
  <c r="P4808" i="20"/>
  <c r="P4809" i="20"/>
  <c r="P4810" i="20"/>
  <c r="P4811" i="20"/>
  <c r="P4812" i="20"/>
  <c r="P4813" i="20"/>
  <c r="P4814" i="20"/>
  <c r="P4815" i="20"/>
  <c r="P4816" i="20"/>
  <c r="P4817" i="20"/>
  <c r="P4818" i="20"/>
  <c r="P4819" i="20"/>
  <c r="P4820" i="20"/>
  <c r="P4821" i="20"/>
  <c r="P4822" i="20"/>
  <c r="P4823" i="20"/>
  <c r="P4824" i="20"/>
  <c r="P4825" i="20"/>
  <c r="P4826" i="20"/>
  <c r="P4827" i="20"/>
  <c r="P4828" i="20"/>
  <c r="P4829" i="20"/>
  <c r="P4830" i="20"/>
  <c r="P4831" i="20"/>
  <c r="P4832" i="20"/>
  <c r="P4833" i="20"/>
  <c r="P4834" i="20"/>
  <c r="P4835" i="20"/>
  <c r="P4836" i="20"/>
  <c r="P4837" i="20"/>
  <c r="P4838" i="20"/>
  <c r="P4839" i="20"/>
  <c r="P4840" i="20"/>
  <c r="P4841" i="20"/>
  <c r="P4842" i="20"/>
  <c r="P4843" i="20"/>
  <c r="P4844" i="20"/>
  <c r="P4845" i="20"/>
  <c r="P4846" i="20"/>
  <c r="P4847" i="20"/>
  <c r="P4848" i="20"/>
  <c r="P4849" i="20"/>
  <c r="P4850" i="20"/>
  <c r="P4851" i="20"/>
  <c r="P4852" i="20"/>
  <c r="P4853" i="20"/>
  <c r="P4854" i="20"/>
  <c r="P4855" i="20"/>
  <c r="P4856" i="20"/>
  <c r="P4857" i="20"/>
  <c r="P4858" i="20"/>
  <c r="P4859" i="20"/>
  <c r="P4860" i="20"/>
  <c r="P4861" i="20"/>
  <c r="P4862" i="20"/>
  <c r="P4863" i="20"/>
  <c r="P4864" i="20"/>
  <c r="P4865" i="20"/>
  <c r="P4866" i="20"/>
  <c r="P4867" i="20"/>
  <c r="P4868" i="20"/>
  <c r="P4869" i="20"/>
  <c r="P4870" i="20"/>
  <c r="P4871" i="20"/>
  <c r="P4872" i="20"/>
  <c r="P4873" i="20"/>
  <c r="P4874" i="20"/>
  <c r="P4875" i="20"/>
  <c r="P4876" i="20"/>
  <c r="P4877" i="20"/>
  <c r="P4878" i="20"/>
  <c r="P4879" i="20"/>
  <c r="P4880" i="20"/>
  <c r="P4881" i="20"/>
  <c r="P4882" i="20"/>
  <c r="P4883" i="20"/>
  <c r="P4884" i="20"/>
  <c r="P4885" i="20"/>
  <c r="P4886" i="20"/>
  <c r="P4887" i="20"/>
  <c r="P4888" i="20"/>
  <c r="P4889" i="20"/>
  <c r="P4890" i="20"/>
  <c r="P4891" i="20"/>
  <c r="P4892" i="20"/>
  <c r="P4893" i="20"/>
  <c r="P4894" i="20"/>
  <c r="P4895" i="20"/>
  <c r="P4896" i="20"/>
  <c r="P4897" i="20"/>
  <c r="P4898" i="20"/>
  <c r="P4899" i="20"/>
  <c r="P4900" i="20"/>
  <c r="P4901" i="20"/>
  <c r="P4902" i="20"/>
  <c r="P4903" i="20"/>
  <c r="P4904" i="20"/>
  <c r="P4905" i="20"/>
  <c r="P4906" i="20"/>
  <c r="P4907" i="20"/>
  <c r="P4908" i="20"/>
  <c r="P4909" i="20"/>
  <c r="P4910" i="20"/>
  <c r="P4911" i="20"/>
  <c r="P4912" i="20"/>
  <c r="P4913" i="20"/>
  <c r="P4914" i="20"/>
  <c r="P4915" i="20"/>
  <c r="P4916" i="20"/>
  <c r="P4917" i="20"/>
  <c r="P4918" i="20"/>
  <c r="P4919" i="20"/>
  <c r="P4920" i="20"/>
  <c r="P4921" i="20"/>
  <c r="P4922" i="20"/>
  <c r="P4923" i="20"/>
  <c r="P4924" i="20"/>
  <c r="P4925" i="20"/>
  <c r="P4926" i="20"/>
  <c r="P4927" i="20"/>
  <c r="P4928" i="20"/>
  <c r="P4929" i="20"/>
  <c r="P4930" i="20"/>
  <c r="P4931" i="20"/>
  <c r="P4932" i="20"/>
  <c r="P4933" i="20"/>
  <c r="P4934" i="20"/>
  <c r="P4935" i="20"/>
  <c r="P4936" i="20"/>
  <c r="P4937" i="20"/>
  <c r="P4938" i="20"/>
  <c r="P4939" i="20"/>
  <c r="P4940" i="20"/>
  <c r="P4941" i="20"/>
  <c r="P4942" i="20"/>
  <c r="P4943" i="20"/>
  <c r="P4944" i="20"/>
  <c r="P4945" i="20"/>
  <c r="P4946" i="20"/>
  <c r="P4947" i="20"/>
  <c r="P4948" i="20"/>
  <c r="P4949" i="20"/>
  <c r="P4950" i="20"/>
  <c r="P4951" i="20"/>
  <c r="P4952" i="20"/>
  <c r="P4953" i="20"/>
  <c r="P4954" i="20"/>
  <c r="P4955" i="20"/>
  <c r="P4956" i="20"/>
  <c r="P4957" i="20"/>
  <c r="P4958" i="20"/>
  <c r="P4959" i="20"/>
  <c r="P4960" i="20"/>
  <c r="P4961" i="20"/>
  <c r="P4962" i="20"/>
  <c r="P4963" i="20"/>
  <c r="P4964" i="20"/>
  <c r="Q3898" i="20"/>
  <c r="Q3899" i="20"/>
  <c r="Q3900" i="20"/>
  <c r="Q3901" i="20"/>
  <c r="Q3902" i="20"/>
  <c r="Q3903" i="20"/>
  <c r="Q3904" i="20"/>
  <c r="Q3905" i="20"/>
  <c r="Q3906" i="20"/>
  <c r="Q3907" i="20"/>
  <c r="Q3908" i="20"/>
  <c r="Q3909" i="20"/>
  <c r="Q3910" i="20"/>
  <c r="Q3911" i="20"/>
  <c r="Q3912" i="20"/>
  <c r="Q3913" i="20"/>
  <c r="Q3914" i="20"/>
  <c r="Q3915" i="20"/>
  <c r="Q3916" i="20"/>
  <c r="Q3917" i="20"/>
  <c r="Q3918" i="20"/>
  <c r="Q3919" i="20"/>
  <c r="Q3920" i="20"/>
  <c r="Q3921" i="20"/>
  <c r="Q3922" i="20"/>
  <c r="Q3923" i="20"/>
  <c r="Q3924" i="20"/>
  <c r="Q3925" i="20"/>
  <c r="Q3926" i="20"/>
  <c r="Q3927" i="20"/>
  <c r="Q3928" i="20"/>
  <c r="Q3929" i="20"/>
  <c r="Q3930" i="20"/>
  <c r="Q3931" i="20"/>
  <c r="Q3932" i="20"/>
  <c r="Q3933" i="20"/>
  <c r="Q3934" i="20"/>
  <c r="Q3935" i="20"/>
  <c r="Q3936" i="20"/>
  <c r="Q3937" i="20"/>
  <c r="Q3938" i="20"/>
  <c r="Q3939" i="20"/>
  <c r="Q3940" i="20"/>
  <c r="Q3941" i="20"/>
  <c r="Q3942" i="20"/>
  <c r="Q3943" i="20"/>
  <c r="Q3944" i="20"/>
  <c r="Q3945" i="20"/>
  <c r="Q3946" i="20"/>
  <c r="Q3947" i="20"/>
  <c r="Q3948" i="20"/>
  <c r="Q3949" i="20"/>
  <c r="Q3950" i="20"/>
  <c r="Q3951" i="20"/>
  <c r="Q3952" i="20"/>
  <c r="Q3953" i="20"/>
  <c r="Q3954" i="20"/>
  <c r="Q3955" i="20"/>
  <c r="Q3956" i="20"/>
  <c r="Q3957" i="20"/>
  <c r="Q3958" i="20"/>
  <c r="Q3959" i="20"/>
  <c r="Q3960" i="20"/>
  <c r="Q3961" i="20"/>
  <c r="Q3962" i="20"/>
  <c r="Q3963" i="20"/>
  <c r="Q3964" i="20"/>
  <c r="Q3965" i="20"/>
  <c r="Q3966" i="20"/>
  <c r="Q3967" i="20"/>
  <c r="Q3968" i="20"/>
  <c r="Q3969" i="20"/>
  <c r="Q3970" i="20"/>
  <c r="Q3971" i="20"/>
  <c r="Q3972" i="20"/>
  <c r="Q3973" i="20"/>
  <c r="Q3974" i="20"/>
  <c r="Q3975" i="20"/>
  <c r="Q3976" i="20"/>
  <c r="Q3977" i="20"/>
  <c r="Q3978" i="20"/>
  <c r="Q3979" i="20"/>
  <c r="Q3980" i="20"/>
  <c r="Q3981" i="20"/>
  <c r="Q3982" i="20"/>
  <c r="Q3983" i="20"/>
  <c r="Q3984" i="20"/>
  <c r="Q3985" i="20"/>
  <c r="Q3986" i="20"/>
  <c r="Q3987" i="20"/>
  <c r="Q3988" i="20"/>
  <c r="Q3989" i="20"/>
  <c r="Q3990" i="20"/>
  <c r="Q3991" i="20"/>
  <c r="Q3992" i="20"/>
  <c r="Q3993" i="20"/>
  <c r="Q3994" i="20"/>
  <c r="Q3995" i="20"/>
  <c r="Q3996" i="20"/>
  <c r="Q3997" i="20"/>
  <c r="Q3998" i="20"/>
  <c r="Q3999" i="20"/>
  <c r="Q4000" i="20"/>
  <c r="Q4001" i="20"/>
  <c r="Q4002" i="20"/>
  <c r="Q4003" i="20"/>
  <c r="Q4004" i="20"/>
  <c r="Q4005" i="20"/>
  <c r="Q4006" i="20"/>
  <c r="Q4007" i="20"/>
  <c r="Q4008" i="20"/>
  <c r="Q4009" i="20"/>
  <c r="Q4010" i="20"/>
  <c r="Q4011" i="20"/>
  <c r="Q4012" i="20"/>
  <c r="Q4013" i="20"/>
  <c r="Q4014" i="20"/>
  <c r="Q4015" i="20"/>
  <c r="Q4016" i="20"/>
  <c r="Q4017" i="20"/>
  <c r="Q4018" i="20"/>
  <c r="Q4019" i="20"/>
  <c r="Q4020" i="20"/>
  <c r="Q4021" i="20"/>
  <c r="Q4022" i="20"/>
  <c r="Q4023" i="20"/>
  <c r="Q4024" i="20"/>
  <c r="Q4025" i="20"/>
  <c r="Q4026" i="20"/>
  <c r="Q4027" i="20"/>
  <c r="Q4028" i="20"/>
  <c r="Q4029" i="20"/>
  <c r="Q4030" i="20"/>
  <c r="Q4031" i="20"/>
  <c r="Q4032" i="20"/>
  <c r="Q4033" i="20"/>
  <c r="Q4034" i="20"/>
  <c r="Q4035" i="20"/>
  <c r="Q4036" i="20"/>
  <c r="Q4037" i="20"/>
  <c r="Q4038" i="20"/>
  <c r="Q4039" i="20"/>
  <c r="Q4040" i="20"/>
  <c r="Q4041" i="20"/>
  <c r="Q4042" i="20"/>
  <c r="Q4043" i="20"/>
  <c r="Q4044" i="20"/>
  <c r="Q4045" i="20"/>
  <c r="Q4046" i="20"/>
  <c r="Q4047" i="20"/>
  <c r="Q4048" i="20"/>
  <c r="Q4049" i="20"/>
  <c r="Q4050" i="20"/>
  <c r="Q4051" i="20"/>
  <c r="Q4052" i="20"/>
  <c r="Q4053" i="20"/>
  <c r="Q4054" i="20"/>
  <c r="Q4055" i="20"/>
  <c r="Q4056" i="20"/>
  <c r="Q4057" i="20"/>
  <c r="Q4058" i="20"/>
  <c r="Q4059" i="20"/>
  <c r="Q4060" i="20"/>
  <c r="Q4061" i="20"/>
  <c r="Q4062" i="20"/>
  <c r="Q4063" i="20"/>
  <c r="Q4064" i="20"/>
  <c r="Q4065" i="20"/>
  <c r="Q4066" i="20"/>
  <c r="Q4067" i="20"/>
  <c r="Q4068" i="20"/>
  <c r="Q4069" i="20"/>
  <c r="Q4070" i="20"/>
  <c r="Q4071" i="20"/>
  <c r="Q4072" i="20"/>
  <c r="Q4073" i="20"/>
  <c r="Q4074" i="20"/>
  <c r="Q4075" i="20"/>
  <c r="Q4076" i="20"/>
  <c r="Q4077" i="20"/>
  <c r="Q4078" i="20"/>
  <c r="Q4079" i="20"/>
  <c r="Q4080" i="20"/>
  <c r="Q4081" i="20"/>
  <c r="Q4082" i="20"/>
  <c r="Q4083" i="20"/>
  <c r="Q4084" i="20"/>
  <c r="Q4085" i="20"/>
  <c r="Q4086" i="20"/>
  <c r="Q4087" i="20"/>
  <c r="Q4088" i="20"/>
  <c r="Q4089" i="20"/>
  <c r="Q4090" i="20"/>
  <c r="Q4091" i="20"/>
  <c r="Q4092" i="20"/>
  <c r="Q4093" i="20"/>
  <c r="Q4094" i="20"/>
  <c r="Q4095" i="20"/>
  <c r="Q4096" i="20"/>
  <c r="Q4097" i="20"/>
  <c r="Q4098" i="20"/>
  <c r="Q4099" i="20"/>
  <c r="Q4100" i="20"/>
  <c r="Q4101" i="20"/>
  <c r="Q4102" i="20"/>
  <c r="Q4103" i="20"/>
  <c r="Q4104" i="20"/>
  <c r="Q4105" i="20"/>
  <c r="Q4106" i="20"/>
  <c r="Q4107" i="20"/>
  <c r="Q4108" i="20"/>
  <c r="Q4109" i="20"/>
  <c r="Q4110" i="20"/>
  <c r="Q4111" i="20"/>
  <c r="Q4112" i="20"/>
  <c r="Q4113" i="20"/>
  <c r="Q4114" i="20"/>
  <c r="Q4115" i="20"/>
  <c r="Q4116" i="20"/>
  <c r="Q4117" i="20"/>
  <c r="Q4118" i="20"/>
  <c r="Q4119" i="20"/>
  <c r="Q4120" i="20"/>
  <c r="Q4121" i="20"/>
  <c r="Q4122" i="20"/>
  <c r="Q4123" i="20"/>
  <c r="Q4124" i="20"/>
  <c r="Q4125" i="20"/>
  <c r="Q4126" i="20"/>
  <c r="Q4127" i="20"/>
  <c r="Q4128" i="20"/>
  <c r="Q4129" i="20"/>
  <c r="Q4130" i="20"/>
  <c r="Q4131" i="20"/>
  <c r="Q4132" i="20"/>
  <c r="Q4133" i="20"/>
  <c r="Q4134" i="20"/>
  <c r="Q4135" i="20"/>
  <c r="Q4136" i="20"/>
  <c r="Q4137" i="20"/>
  <c r="Q4138" i="20"/>
  <c r="Q4139" i="20"/>
  <c r="Q4140" i="20"/>
  <c r="Q4141" i="20"/>
  <c r="Q4142" i="20"/>
  <c r="Q4143" i="20"/>
  <c r="Q4144" i="20"/>
  <c r="Q4145" i="20"/>
  <c r="Q4146" i="20"/>
  <c r="Q4147" i="20"/>
  <c r="Q4148" i="20"/>
  <c r="Q4149" i="20"/>
  <c r="Q4150" i="20"/>
  <c r="Q4151" i="20"/>
  <c r="Q4152" i="20"/>
  <c r="Q4153" i="20"/>
  <c r="Q4154" i="20"/>
  <c r="Q4155" i="20"/>
  <c r="Q4156" i="20"/>
  <c r="Q4157" i="20"/>
  <c r="Q4158" i="20"/>
  <c r="Q4159" i="20"/>
  <c r="Q4160" i="20"/>
  <c r="Q4161" i="20"/>
  <c r="Q4162" i="20"/>
  <c r="Q4163" i="20"/>
  <c r="Q4164" i="20"/>
  <c r="Q4165" i="20"/>
  <c r="Q4166" i="20"/>
  <c r="Q4167" i="20"/>
  <c r="Q4168" i="20"/>
  <c r="Q4169" i="20"/>
  <c r="Q4170" i="20"/>
  <c r="Q4171" i="20"/>
  <c r="Q4172" i="20"/>
  <c r="Q4173" i="20"/>
  <c r="Q4174" i="20"/>
  <c r="Q4175" i="20"/>
  <c r="Q4176" i="20"/>
  <c r="Q4177" i="20"/>
  <c r="Q4178" i="20"/>
  <c r="Q4179" i="20"/>
  <c r="Q4180" i="20"/>
  <c r="Q4181" i="20"/>
  <c r="Q4182" i="20"/>
  <c r="Q4183" i="20"/>
  <c r="Q4184" i="20"/>
  <c r="Q4185" i="20"/>
  <c r="Q4186" i="20"/>
  <c r="Q4187" i="20"/>
  <c r="Q4188" i="20"/>
  <c r="Q4189" i="20"/>
  <c r="Q4190" i="20"/>
  <c r="Q4191" i="20"/>
  <c r="Q4192" i="20"/>
  <c r="Q4193" i="20"/>
  <c r="Q4194" i="20"/>
  <c r="Q4195" i="20"/>
  <c r="Q4196" i="20"/>
  <c r="Q4197" i="20"/>
  <c r="Q4198" i="20"/>
  <c r="Q4199" i="20"/>
  <c r="Q4200" i="20"/>
  <c r="Q4201" i="20"/>
  <c r="Q4202" i="20"/>
  <c r="Q4203" i="20"/>
  <c r="Q4204" i="20"/>
  <c r="Q4205" i="20"/>
  <c r="Q4206" i="20"/>
  <c r="Q4207" i="20"/>
  <c r="Q4208" i="20"/>
  <c r="Q4209" i="20"/>
  <c r="Q4210" i="20"/>
  <c r="Q4211" i="20"/>
  <c r="Q4212" i="20"/>
  <c r="Q4213" i="20"/>
  <c r="Q4214" i="20"/>
  <c r="Q4215" i="20"/>
  <c r="Q4216" i="20"/>
  <c r="Q4217" i="20"/>
  <c r="Q4218" i="20"/>
  <c r="Q4219" i="20"/>
  <c r="Q4220" i="20"/>
  <c r="Q4221" i="20"/>
  <c r="Q4222" i="20"/>
  <c r="Q4223" i="20"/>
  <c r="Q4224" i="20"/>
  <c r="Q4225" i="20"/>
  <c r="Q4226" i="20"/>
  <c r="Q4227" i="20"/>
  <c r="Q4228" i="20"/>
  <c r="Q4229" i="20"/>
  <c r="Q4230" i="20"/>
  <c r="Q4231" i="20"/>
  <c r="Q4232" i="20"/>
  <c r="Q4233" i="20"/>
  <c r="Q4234" i="20"/>
  <c r="Q4235" i="20"/>
  <c r="Q4236" i="20"/>
  <c r="Q4237" i="20"/>
  <c r="Q4238" i="20"/>
  <c r="Q4239" i="20"/>
  <c r="Q4240" i="20"/>
  <c r="Q4241" i="20"/>
  <c r="Q4242" i="20"/>
  <c r="Q4243" i="20"/>
  <c r="Q4244" i="20"/>
  <c r="Q4245" i="20"/>
  <c r="Q4246" i="20"/>
  <c r="Q4247" i="20"/>
  <c r="Q4248" i="20"/>
  <c r="Q4249" i="20"/>
  <c r="Q4250" i="20"/>
  <c r="Q4251" i="20"/>
  <c r="Q4252" i="20"/>
  <c r="Q4253" i="20"/>
  <c r="Q4254" i="20"/>
  <c r="Q4255" i="20"/>
  <c r="Q4256" i="20"/>
  <c r="Q4257" i="20"/>
  <c r="Q4258" i="20"/>
  <c r="Q4259" i="20"/>
  <c r="Q4260" i="20"/>
  <c r="Q4261" i="20"/>
  <c r="Q4262" i="20"/>
  <c r="Q4263" i="20"/>
  <c r="Q4264" i="20"/>
  <c r="Q4265" i="20"/>
  <c r="Q4266" i="20"/>
  <c r="Q4267" i="20"/>
  <c r="Q4268" i="20"/>
  <c r="Q4269" i="20"/>
  <c r="Q4270" i="20"/>
  <c r="Q4271" i="20"/>
  <c r="Q4272" i="20"/>
  <c r="Q4273" i="20"/>
  <c r="Q4274" i="20"/>
  <c r="Q4275" i="20"/>
  <c r="Q4276" i="20"/>
  <c r="Q4277" i="20"/>
  <c r="Q4278" i="20"/>
  <c r="Q4279" i="20"/>
  <c r="Q4280" i="20"/>
  <c r="Q4281" i="20"/>
  <c r="Q4282" i="20"/>
  <c r="Q4283" i="20"/>
  <c r="Q4284" i="20"/>
  <c r="Q4285" i="20"/>
  <c r="Q4286" i="20"/>
  <c r="Q4287" i="20"/>
  <c r="Q4288" i="20"/>
  <c r="Q4289" i="20"/>
  <c r="Q4290" i="20"/>
  <c r="Q4291" i="20"/>
  <c r="Q4292" i="20"/>
  <c r="Q4293" i="20"/>
  <c r="Q4294" i="20"/>
  <c r="Q4295" i="20"/>
  <c r="Q4296" i="20"/>
  <c r="Q4297" i="20"/>
  <c r="Q4298" i="20"/>
  <c r="Q4299" i="20"/>
  <c r="Q4300" i="20"/>
  <c r="Q4301" i="20"/>
  <c r="Q4302" i="20"/>
  <c r="Q4303" i="20"/>
  <c r="Q4304" i="20"/>
  <c r="Q4305" i="20"/>
  <c r="Q4306" i="20"/>
  <c r="Q4307" i="20"/>
  <c r="Q4308" i="20"/>
  <c r="Q4309" i="20"/>
  <c r="Q4310" i="20"/>
  <c r="Q4311" i="20"/>
  <c r="Q4312" i="20"/>
  <c r="Q4313" i="20"/>
  <c r="Q4314" i="20"/>
  <c r="Q4315" i="20"/>
  <c r="Q4316" i="20"/>
  <c r="Q4317" i="20"/>
  <c r="Q4318" i="20"/>
  <c r="Q4319" i="20"/>
  <c r="Q4320" i="20"/>
  <c r="Q4321" i="20"/>
  <c r="Q4322" i="20"/>
  <c r="Q4323" i="20"/>
  <c r="Q4324" i="20"/>
  <c r="Q4325" i="20"/>
  <c r="Q4326" i="20"/>
  <c r="Q4327" i="20"/>
  <c r="Q4328" i="20"/>
  <c r="Q4329" i="20"/>
  <c r="Q4330" i="20"/>
  <c r="Q4331" i="20"/>
  <c r="Q4332" i="20"/>
  <c r="Q4333" i="20"/>
  <c r="Q4334" i="20"/>
  <c r="Q4335" i="20"/>
  <c r="Q4336" i="20"/>
  <c r="Q4337" i="20"/>
  <c r="Q4338" i="20"/>
  <c r="Q4339" i="20"/>
  <c r="Q4340" i="20"/>
  <c r="Q4341" i="20"/>
  <c r="Q4342" i="20"/>
  <c r="Q4343" i="20"/>
  <c r="Q4344" i="20"/>
  <c r="Q4345" i="20"/>
  <c r="Q4346" i="20"/>
  <c r="Q4347" i="20"/>
  <c r="Q4348" i="20"/>
  <c r="Q4349" i="20"/>
  <c r="Q4350" i="20"/>
  <c r="Q4351" i="20"/>
  <c r="Q4352" i="20"/>
  <c r="Q4353" i="20"/>
  <c r="Q4354" i="20"/>
  <c r="Q4355" i="20"/>
  <c r="Q4356" i="20"/>
  <c r="Q4357" i="20"/>
  <c r="Q4358" i="20"/>
  <c r="Q4359" i="20"/>
  <c r="Q4360" i="20"/>
  <c r="Q4361" i="20"/>
  <c r="Q4362" i="20"/>
  <c r="Q4363" i="20"/>
  <c r="Q4364" i="20"/>
  <c r="Q4365" i="20"/>
  <c r="Q4366" i="20"/>
  <c r="Q4367" i="20"/>
  <c r="Q4368" i="20"/>
  <c r="Q4369" i="20"/>
  <c r="Q4370" i="20"/>
  <c r="Q4371" i="20"/>
  <c r="Q4372" i="20"/>
  <c r="Q4373" i="20"/>
  <c r="Q4374" i="20"/>
  <c r="Q4375" i="20"/>
  <c r="Q4376" i="20"/>
  <c r="Q4377" i="20"/>
  <c r="Q4378" i="20"/>
  <c r="Q4379" i="20"/>
  <c r="Q4380" i="20"/>
  <c r="Q4381" i="20"/>
  <c r="Q4382" i="20"/>
  <c r="Q4383" i="20"/>
  <c r="Q4384" i="20"/>
  <c r="Q4385" i="20"/>
  <c r="Q4386" i="20"/>
  <c r="Q4387" i="20"/>
  <c r="Q4388" i="20"/>
  <c r="Q4389" i="20"/>
  <c r="Q4390" i="20"/>
  <c r="Q4391" i="20"/>
  <c r="Q4392" i="20"/>
  <c r="Q4393" i="20"/>
  <c r="Q4394" i="20"/>
  <c r="Q4395" i="20"/>
  <c r="Q4396" i="20"/>
  <c r="Q4397" i="20"/>
  <c r="Q4398" i="20"/>
  <c r="Q4399" i="20"/>
  <c r="Q4400" i="20"/>
  <c r="Q4401" i="20"/>
  <c r="Q4402" i="20"/>
  <c r="Q4403" i="20"/>
  <c r="Q4404" i="20"/>
  <c r="Q4405" i="20"/>
  <c r="Q4406" i="20"/>
  <c r="Q4407" i="20"/>
  <c r="Q4408" i="20"/>
  <c r="Q4409" i="20"/>
  <c r="Q4410" i="20"/>
  <c r="Q4411" i="20"/>
  <c r="Q4412" i="20"/>
  <c r="Q4413" i="20"/>
  <c r="Q4414" i="20"/>
  <c r="Q4415" i="20"/>
  <c r="Q4416" i="20"/>
  <c r="Q4417" i="20"/>
  <c r="Q4418" i="20"/>
  <c r="Q4419" i="20"/>
  <c r="Q4420" i="20"/>
  <c r="Q4421" i="20"/>
  <c r="Q4422" i="20"/>
  <c r="Q4423" i="20"/>
  <c r="Q4424" i="20"/>
  <c r="Q4425" i="20"/>
  <c r="Q4426" i="20"/>
  <c r="Q4427" i="20"/>
  <c r="Q4428" i="20"/>
  <c r="Q4429" i="20"/>
  <c r="Q4430" i="20"/>
  <c r="Q4431" i="20"/>
  <c r="Q4432" i="20"/>
  <c r="Q4433" i="20"/>
  <c r="Q4434" i="20"/>
  <c r="Q4435" i="20"/>
  <c r="Q4436" i="20"/>
  <c r="Q4437" i="20"/>
  <c r="Q4438" i="20"/>
  <c r="Q4439" i="20"/>
  <c r="Q4440" i="20"/>
  <c r="Q4441" i="20"/>
  <c r="Q4442" i="20"/>
  <c r="Q4443" i="20"/>
  <c r="Q4444" i="20"/>
  <c r="Q4445" i="20"/>
  <c r="Q4446" i="20"/>
  <c r="Q4447" i="20"/>
  <c r="Q4448" i="20"/>
  <c r="Q4449" i="20"/>
  <c r="Q4450" i="20"/>
  <c r="Q4451" i="20"/>
  <c r="Q4452" i="20"/>
  <c r="Q4453" i="20"/>
  <c r="Q4454" i="20"/>
  <c r="Q4455" i="20"/>
  <c r="Q4456" i="20"/>
  <c r="Q4457" i="20"/>
  <c r="Q4458" i="20"/>
  <c r="Q4459" i="20"/>
  <c r="Q4460" i="20"/>
  <c r="Q4461" i="20"/>
  <c r="Q4462" i="20"/>
  <c r="Q4463" i="20"/>
  <c r="Q4464" i="20"/>
  <c r="Q4465" i="20"/>
  <c r="Q4466" i="20"/>
  <c r="Q4467" i="20"/>
  <c r="Q4468" i="20"/>
  <c r="Q4469" i="20"/>
  <c r="Q4470" i="20"/>
  <c r="Q4471" i="20"/>
  <c r="Q4472" i="20"/>
  <c r="Q4473" i="20"/>
  <c r="Q4474" i="20"/>
  <c r="Q4475" i="20"/>
  <c r="Q4476" i="20"/>
  <c r="Q4477" i="20"/>
  <c r="Q4478" i="20"/>
  <c r="Q4479" i="20"/>
  <c r="Q4480" i="20"/>
  <c r="Q4481" i="20"/>
  <c r="Q4482" i="20"/>
  <c r="Q4483" i="20"/>
  <c r="Q4484" i="20"/>
  <c r="Q4485" i="20"/>
  <c r="Q4486" i="20"/>
  <c r="Q4487" i="20"/>
  <c r="Q4488" i="20"/>
  <c r="Q4489" i="20"/>
  <c r="Q4490" i="20"/>
  <c r="Q4491" i="20"/>
  <c r="Q4492" i="20"/>
  <c r="Q4493" i="20"/>
  <c r="Q4494" i="20"/>
  <c r="Q4495" i="20"/>
  <c r="Q4496" i="20"/>
  <c r="Q4497" i="20"/>
  <c r="Q4498" i="20"/>
  <c r="Q4499" i="20"/>
  <c r="Q4500" i="20"/>
  <c r="Q4501" i="20"/>
  <c r="Q4502" i="20"/>
  <c r="Q4503" i="20"/>
  <c r="Q4504" i="20"/>
  <c r="Q4505" i="20"/>
  <c r="Q4506" i="20"/>
  <c r="Q4507" i="20"/>
  <c r="Q4508" i="20"/>
  <c r="Q4509" i="20"/>
  <c r="Q4510" i="20"/>
  <c r="Q4511" i="20"/>
  <c r="Q4512" i="20"/>
  <c r="Q4513" i="20"/>
  <c r="Q4514" i="20"/>
  <c r="Q4515" i="20"/>
  <c r="Q4516" i="20"/>
  <c r="Q4517" i="20"/>
  <c r="Q4518" i="20"/>
  <c r="Q4519" i="20"/>
  <c r="Q4520" i="20"/>
  <c r="Q4521" i="20"/>
  <c r="Q4522" i="20"/>
  <c r="Q4523" i="20"/>
  <c r="Q4524" i="20"/>
  <c r="Q4525" i="20"/>
  <c r="Q4526" i="20"/>
  <c r="Q4527" i="20"/>
  <c r="Q4528" i="20"/>
  <c r="Q4529" i="20"/>
  <c r="Q4530" i="20"/>
  <c r="Q4531" i="20"/>
  <c r="Q4532" i="20"/>
  <c r="Q4533" i="20"/>
  <c r="Q4534" i="20"/>
  <c r="Q4535" i="20"/>
  <c r="Q4536" i="20"/>
  <c r="Q4537" i="20"/>
  <c r="Q4538" i="20"/>
  <c r="Q4539" i="20"/>
  <c r="Q4540" i="20"/>
  <c r="Q4541" i="20"/>
  <c r="Q4542" i="20"/>
  <c r="Q4543" i="20"/>
  <c r="Q4544" i="20"/>
  <c r="Q4545" i="20"/>
  <c r="Q4546" i="20"/>
  <c r="Q4547" i="20"/>
  <c r="Q4548" i="20"/>
  <c r="Q4549" i="20"/>
  <c r="Q4550" i="20"/>
  <c r="Q4551" i="20"/>
  <c r="Q4552" i="20"/>
  <c r="Q4553" i="20"/>
  <c r="Q4554" i="20"/>
  <c r="Q4555" i="20"/>
  <c r="Q4556" i="20"/>
  <c r="Q4557" i="20"/>
  <c r="Q4558" i="20"/>
  <c r="Q4559" i="20"/>
  <c r="Q4560" i="20"/>
  <c r="Q4561" i="20"/>
  <c r="Q4562" i="20"/>
  <c r="Q4563" i="20"/>
  <c r="Q4564" i="20"/>
  <c r="Q4565" i="20"/>
  <c r="Q4566" i="20"/>
  <c r="Q4567" i="20"/>
  <c r="Q4568" i="20"/>
  <c r="Q4569" i="20"/>
  <c r="Q4570" i="20"/>
  <c r="Q4571" i="20"/>
  <c r="Q4572" i="20"/>
  <c r="Q4573" i="20"/>
  <c r="Q4574" i="20"/>
  <c r="Q4575" i="20"/>
  <c r="Q4576" i="20"/>
  <c r="Q4577" i="20"/>
  <c r="Q4578" i="20"/>
  <c r="Q4579" i="20"/>
  <c r="Q4580" i="20"/>
  <c r="Q4581" i="20"/>
  <c r="Q4582" i="20"/>
  <c r="Q4583" i="20"/>
  <c r="Q4584" i="20"/>
  <c r="Q4585" i="20"/>
  <c r="Q4586" i="20"/>
  <c r="Q4587" i="20"/>
  <c r="Q4588" i="20"/>
  <c r="Q4589" i="20"/>
  <c r="Q4590" i="20"/>
  <c r="Q4591" i="20"/>
  <c r="Q4592" i="20"/>
  <c r="Q4593" i="20"/>
  <c r="Q4594" i="20"/>
  <c r="Q4595" i="20"/>
  <c r="Q4596" i="20"/>
  <c r="Q4597" i="20"/>
  <c r="Q4598" i="20"/>
  <c r="Q4599" i="20"/>
  <c r="Q4600" i="20"/>
  <c r="Q4601" i="20"/>
  <c r="Q4602" i="20"/>
  <c r="Q4603" i="20"/>
  <c r="Q4604" i="20"/>
  <c r="Q4605" i="20"/>
  <c r="Q4606" i="20"/>
  <c r="Q4607" i="20"/>
  <c r="Q4608" i="20"/>
  <c r="Q4609" i="20"/>
  <c r="Q4610" i="20"/>
  <c r="Q4611" i="20"/>
  <c r="Q4612" i="20"/>
  <c r="Q4613" i="20"/>
  <c r="Q4614" i="20"/>
  <c r="Q4615" i="20"/>
  <c r="Q4616" i="20"/>
  <c r="Q4617" i="20"/>
  <c r="Q4618" i="20"/>
  <c r="Q4619" i="20"/>
  <c r="Q4620" i="20"/>
  <c r="Q4621" i="20"/>
  <c r="Q4622" i="20"/>
  <c r="Q4623" i="20"/>
  <c r="Q4624" i="20"/>
  <c r="Q4625" i="20"/>
  <c r="Q4626" i="20"/>
  <c r="Q4627" i="20"/>
  <c r="Q4628" i="20"/>
  <c r="Q4629" i="20"/>
  <c r="Q4630" i="20"/>
  <c r="Q4631" i="20"/>
  <c r="Q4632" i="20"/>
  <c r="Q4633" i="20"/>
  <c r="Q4634" i="20"/>
  <c r="Q4635" i="20"/>
  <c r="Q4636" i="20"/>
  <c r="Q4637" i="20"/>
  <c r="Q4638" i="20"/>
  <c r="Q4639" i="20"/>
  <c r="Q4640" i="20"/>
  <c r="Q4641" i="20"/>
  <c r="Q4642" i="20"/>
  <c r="Q4643" i="20"/>
  <c r="Q4644" i="20"/>
  <c r="Q4645" i="20"/>
  <c r="Q4646" i="20"/>
  <c r="Q4647" i="20"/>
  <c r="Q4648" i="20"/>
  <c r="Q4649" i="20"/>
  <c r="Q4650" i="20"/>
  <c r="Q4651" i="20"/>
  <c r="Q4652" i="20"/>
  <c r="Q4653" i="20"/>
  <c r="Q4654" i="20"/>
  <c r="Q4655" i="20"/>
  <c r="Q4656" i="20"/>
  <c r="Q4657" i="20"/>
  <c r="Q4658" i="20"/>
  <c r="Q4659" i="20"/>
  <c r="Q4660" i="20"/>
  <c r="Q4661" i="20"/>
  <c r="Q4662" i="20"/>
  <c r="Q4663" i="20"/>
  <c r="Q4664" i="20"/>
  <c r="Q4665" i="20"/>
  <c r="Q4666" i="20"/>
  <c r="Q4667" i="20"/>
  <c r="Q4668" i="20"/>
  <c r="Q4669" i="20"/>
  <c r="Q4670" i="20"/>
  <c r="Q4671" i="20"/>
  <c r="Q4672" i="20"/>
  <c r="Q4673" i="20"/>
  <c r="Q4674" i="20"/>
  <c r="Q4675" i="20"/>
  <c r="Q4676" i="20"/>
  <c r="Q4677" i="20"/>
  <c r="Q4678" i="20"/>
  <c r="Q4679" i="20"/>
  <c r="Q4680" i="20"/>
  <c r="Q4681" i="20"/>
  <c r="Q4682" i="20"/>
  <c r="Q4683" i="20"/>
  <c r="Q4684" i="20"/>
  <c r="Q4685" i="20"/>
  <c r="Q4686" i="20"/>
  <c r="Q4687" i="20"/>
  <c r="Q4688" i="20"/>
  <c r="Q4689" i="20"/>
  <c r="Q4690" i="20"/>
  <c r="Q4691" i="20"/>
  <c r="Q4692" i="20"/>
  <c r="Q4693" i="20"/>
  <c r="Q4694" i="20"/>
  <c r="Q4695" i="20"/>
  <c r="Q4696" i="20"/>
  <c r="Q4697" i="20"/>
  <c r="Q4698" i="20"/>
  <c r="Q4699" i="20"/>
  <c r="Q4700" i="20"/>
  <c r="Q4701" i="20"/>
  <c r="Q4702" i="20"/>
  <c r="Q4703" i="20"/>
  <c r="Q4704" i="20"/>
  <c r="Q4705" i="20"/>
  <c r="Q4706" i="20"/>
  <c r="Q4707" i="20"/>
  <c r="Q4708" i="20"/>
  <c r="Q4709" i="20"/>
  <c r="Q4710" i="20"/>
  <c r="Q4711" i="20"/>
  <c r="Q4712" i="20"/>
  <c r="Q4713" i="20"/>
  <c r="Q4714" i="20"/>
  <c r="Q4715" i="20"/>
  <c r="Q4716" i="20"/>
  <c r="Q4717" i="20"/>
  <c r="Q4718" i="20"/>
  <c r="Q4719" i="20"/>
  <c r="Q4720" i="20"/>
  <c r="Q4721" i="20"/>
  <c r="Q4722" i="20"/>
  <c r="Q4723" i="20"/>
  <c r="Q4724" i="20"/>
  <c r="Q4725" i="20"/>
  <c r="Q4726" i="20"/>
  <c r="Q4727" i="20"/>
  <c r="Q4728" i="20"/>
  <c r="Q4729" i="20"/>
  <c r="Q4730" i="20"/>
  <c r="Q4731" i="20"/>
  <c r="Q4732" i="20"/>
  <c r="Q4733" i="20"/>
  <c r="Q4734" i="20"/>
  <c r="Q4735" i="20"/>
  <c r="Q4736" i="20"/>
  <c r="Q4737" i="20"/>
  <c r="Q4738" i="20"/>
  <c r="Q4739" i="20"/>
  <c r="Q4740" i="20"/>
  <c r="Q4741" i="20"/>
  <c r="Q4742" i="20"/>
  <c r="Q4743" i="20"/>
  <c r="Q4744" i="20"/>
  <c r="Q4745" i="20"/>
  <c r="Q4746" i="20"/>
  <c r="Q4747" i="20"/>
  <c r="Q4748" i="20"/>
  <c r="Q4749" i="20"/>
  <c r="Q4750" i="20"/>
  <c r="Q4751" i="20"/>
  <c r="Q4752" i="20"/>
  <c r="Q4753" i="20"/>
  <c r="Q4754" i="20"/>
  <c r="Q4755" i="20"/>
  <c r="Q4756" i="20"/>
  <c r="Q4757" i="20"/>
  <c r="Q4758" i="20"/>
  <c r="Q4759" i="20"/>
  <c r="Q4760" i="20"/>
  <c r="Q4761" i="20"/>
  <c r="Q4762" i="20"/>
  <c r="Q4763" i="20"/>
  <c r="Q4764" i="20"/>
  <c r="Q4765" i="20"/>
  <c r="Q4766" i="20"/>
  <c r="Q4767" i="20"/>
  <c r="Q4768" i="20"/>
  <c r="Q4769" i="20"/>
  <c r="Q4770" i="20"/>
  <c r="Q4771" i="20"/>
  <c r="Q4772" i="20"/>
  <c r="Q4773" i="20"/>
  <c r="Q4774" i="20"/>
  <c r="Q4775" i="20"/>
  <c r="Q4776" i="20"/>
  <c r="Q4777" i="20"/>
  <c r="Q4778" i="20"/>
  <c r="Q4779" i="20"/>
  <c r="Q4780" i="20"/>
  <c r="Q4781" i="20"/>
  <c r="Q4782" i="20"/>
  <c r="Q4783" i="20"/>
  <c r="Q4784" i="20"/>
  <c r="Q4785" i="20"/>
  <c r="Q4786" i="20"/>
  <c r="Q4787" i="20"/>
  <c r="Q4788" i="20"/>
  <c r="Q4789" i="20"/>
  <c r="Q4790" i="20"/>
  <c r="Q4791" i="20"/>
  <c r="Q4792" i="20"/>
  <c r="Q4793" i="20"/>
  <c r="Q4794" i="20"/>
  <c r="Q4795" i="20"/>
  <c r="Q4796" i="20"/>
  <c r="Q4797" i="20"/>
  <c r="Q4798" i="20"/>
  <c r="Q4799" i="20"/>
  <c r="Q4800" i="20"/>
  <c r="Q4801" i="20"/>
  <c r="Q4802" i="20"/>
  <c r="Q4803" i="20"/>
  <c r="Q4804" i="20"/>
  <c r="Q4805" i="20"/>
  <c r="Q4806" i="20"/>
  <c r="Q4807" i="20"/>
  <c r="Q4808" i="20"/>
  <c r="Q4809" i="20"/>
  <c r="Q4810" i="20"/>
  <c r="Q4811" i="20"/>
  <c r="Q4812" i="20"/>
  <c r="Q4813" i="20"/>
  <c r="Q4814" i="20"/>
  <c r="Q4815" i="20"/>
  <c r="Q4816" i="20"/>
  <c r="Q4817" i="20"/>
  <c r="Q4818" i="20"/>
  <c r="Q4819" i="20"/>
  <c r="Q4820" i="20"/>
  <c r="Q4821" i="20"/>
  <c r="Q4822" i="20"/>
  <c r="Q4823" i="20"/>
  <c r="Q4824" i="20"/>
  <c r="Q4825" i="20"/>
  <c r="Q4826" i="20"/>
  <c r="Q4827" i="20"/>
  <c r="Q4828" i="20"/>
  <c r="Q4829" i="20"/>
  <c r="Q4830" i="20"/>
  <c r="Q4831" i="20"/>
  <c r="Q4832" i="20"/>
  <c r="Q4833" i="20"/>
  <c r="Q4834" i="20"/>
  <c r="Q4835" i="20"/>
  <c r="Q4836" i="20"/>
  <c r="Q4837" i="20"/>
  <c r="Q4838" i="20"/>
  <c r="Q4839" i="20"/>
  <c r="Q4840" i="20"/>
  <c r="Q4841" i="20"/>
  <c r="Q4842" i="20"/>
  <c r="Q4843" i="20"/>
  <c r="Q4844" i="20"/>
  <c r="Q4845" i="20"/>
  <c r="Q4846" i="20"/>
  <c r="Q4847" i="20"/>
  <c r="Q4848" i="20"/>
  <c r="Q4849" i="20"/>
  <c r="Q4850" i="20"/>
  <c r="Q4851" i="20"/>
  <c r="Q4852" i="20"/>
  <c r="Q4853" i="20"/>
  <c r="Q4854" i="20"/>
  <c r="Q4855" i="20"/>
  <c r="Q4856" i="20"/>
  <c r="Q4857" i="20"/>
  <c r="Q4858" i="20"/>
  <c r="Q4859" i="20"/>
  <c r="Q4860" i="20"/>
  <c r="Q4861" i="20"/>
  <c r="Q4862" i="20"/>
  <c r="Q4863" i="20"/>
  <c r="Q4864" i="20"/>
  <c r="Q4865" i="20"/>
  <c r="Q4866" i="20"/>
  <c r="Q4867" i="20"/>
  <c r="Q4868" i="20"/>
  <c r="Q4869" i="20"/>
  <c r="Q4870" i="20"/>
  <c r="Q4871" i="20"/>
  <c r="Q4872" i="20"/>
  <c r="Q4873" i="20"/>
  <c r="Q4874" i="20"/>
  <c r="Q4875" i="20"/>
  <c r="Q4876" i="20"/>
  <c r="Q4877" i="20"/>
  <c r="Q4878" i="20"/>
  <c r="Q4879" i="20"/>
  <c r="Q4880" i="20"/>
  <c r="Q4881" i="20"/>
  <c r="Q4882" i="20"/>
  <c r="Q4883" i="20"/>
  <c r="Q4884" i="20"/>
  <c r="Q4885" i="20"/>
  <c r="Q4886" i="20"/>
  <c r="Q4887" i="20"/>
  <c r="Q4888" i="20"/>
  <c r="Q4889" i="20"/>
  <c r="Q4890" i="20"/>
  <c r="Q4891" i="20"/>
  <c r="Q4892" i="20"/>
  <c r="Q4893" i="20"/>
  <c r="Q4894" i="20"/>
  <c r="Q4895" i="20"/>
  <c r="Q4896" i="20"/>
  <c r="Q4897" i="20"/>
  <c r="Q4898" i="20"/>
  <c r="Q4899" i="20"/>
  <c r="Q4900" i="20"/>
  <c r="Q4901" i="20"/>
  <c r="Q4902" i="20"/>
  <c r="Q4903" i="20"/>
  <c r="Q4904" i="20"/>
  <c r="Q4905" i="20"/>
  <c r="Q4906" i="20"/>
  <c r="Q4907" i="20"/>
  <c r="Q4908" i="20"/>
  <c r="Q4909" i="20"/>
  <c r="Q4910" i="20"/>
  <c r="Q4911" i="20"/>
  <c r="Q4912" i="20"/>
  <c r="Q4913" i="20"/>
  <c r="Q4914" i="20"/>
  <c r="Q4915" i="20"/>
  <c r="Q4916" i="20"/>
  <c r="Q4917" i="20"/>
  <c r="Q4918" i="20"/>
  <c r="Q4919" i="20"/>
  <c r="Q4920" i="20"/>
  <c r="Q4921" i="20"/>
  <c r="Q4922" i="20"/>
  <c r="Q4923" i="20"/>
  <c r="Q4924" i="20"/>
  <c r="Q4925" i="20"/>
  <c r="Q4926" i="20"/>
  <c r="Q4927" i="20"/>
  <c r="Q4928" i="20"/>
  <c r="Q4929" i="20"/>
  <c r="Q4930" i="20"/>
  <c r="Q4931" i="20"/>
  <c r="Q4932" i="20"/>
  <c r="Q4933" i="20"/>
  <c r="Q4934" i="20"/>
  <c r="Q4935" i="20"/>
  <c r="Q4936" i="20"/>
  <c r="Q4937" i="20"/>
  <c r="Q4938" i="20"/>
  <c r="Q4939" i="20"/>
  <c r="Q4940" i="20"/>
  <c r="Q4941" i="20"/>
  <c r="Q4942" i="20"/>
  <c r="Q4943" i="20"/>
  <c r="Q4944" i="20"/>
  <c r="Q4945" i="20"/>
  <c r="Q4946" i="20"/>
  <c r="Q4947" i="20"/>
  <c r="Q4948" i="20"/>
  <c r="Q4949" i="20"/>
  <c r="Q4950" i="20"/>
  <c r="Q4951" i="20"/>
  <c r="Q4952" i="20"/>
  <c r="Q4953" i="20"/>
  <c r="Q4954" i="20"/>
  <c r="Q4955" i="20"/>
  <c r="Q4956" i="20"/>
  <c r="Q4957" i="20"/>
  <c r="Q4958" i="20"/>
  <c r="Q4959" i="20"/>
  <c r="Q4960" i="20"/>
  <c r="Q4961" i="20"/>
  <c r="Q4962" i="20"/>
  <c r="Q4963" i="20"/>
  <c r="Q4964" i="20"/>
  <c r="R3898" i="20"/>
  <c r="R3899" i="20"/>
  <c r="R3900" i="20"/>
  <c r="R3901" i="20"/>
  <c r="R3902" i="20"/>
  <c r="R3903" i="20"/>
  <c r="R3904" i="20"/>
  <c r="R3905" i="20"/>
  <c r="R3906" i="20"/>
  <c r="R3907" i="20"/>
  <c r="R3908" i="20"/>
  <c r="R3909" i="20"/>
  <c r="R3910" i="20"/>
  <c r="R3911" i="20"/>
  <c r="R3912" i="20"/>
  <c r="R3913" i="20"/>
  <c r="R3914" i="20"/>
  <c r="R3915" i="20"/>
  <c r="R3916" i="20"/>
  <c r="R3917" i="20"/>
  <c r="R3918" i="20"/>
  <c r="R3919" i="20"/>
  <c r="R3920" i="20"/>
  <c r="R3921" i="20"/>
  <c r="R3922" i="20"/>
  <c r="R3923" i="20"/>
  <c r="R3924" i="20"/>
  <c r="R3925" i="20"/>
  <c r="R3926" i="20"/>
  <c r="R3927" i="20"/>
  <c r="R3928" i="20"/>
  <c r="R3929" i="20"/>
  <c r="R3930" i="20"/>
  <c r="R3931" i="20"/>
  <c r="R3932" i="20"/>
  <c r="R3933" i="20"/>
  <c r="R3934" i="20"/>
  <c r="R3935" i="20"/>
  <c r="R3936" i="20"/>
  <c r="R3937" i="20"/>
  <c r="R3938" i="20"/>
  <c r="R3939" i="20"/>
  <c r="R3940" i="20"/>
  <c r="R3941" i="20"/>
  <c r="R3942" i="20"/>
  <c r="R3943" i="20"/>
  <c r="R3944" i="20"/>
  <c r="R3945" i="20"/>
  <c r="R3946" i="20"/>
  <c r="R3947" i="20"/>
  <c r="R3948" i="20"/>
  <c r="R3949" i="20"/>
  <c r="R3950" i="20"/>
  <c r="R3951" i="20"/>
  <c r="R3952" i="20"/>
  <c r="R3953" i="20"/>
  <c r="R3954" i="20"/>
  <c r="R3955" i="20"/>
  <c r="R3956" i="20"/>
  <c r="R3957" i="20"/>
  <c r="R3958" i="20"/>
  <c r="R3959" i="20"/>
  <c r="R3960" i="20"/>
  <c r="R3961" i="20"/>
  <c r="R3962" i="20"/>
  <c r="R3963" i="20"/>
  <c r="R3964" i="20"/>
  <c r="R3965" i="20"/>
  <c r="R3966" i="20"/>
  <c r="R3967" i="20"/>
  <c r="R3968" i="20"/>
  <c r="R3969" i="20"/>
  <c r="R3970" i="20"/>
  <c r="R3971" i="20"/>
  <c r="R3972" i="20"/>
  <c r="R3973" i="20"/>
  <c r="R3974" i="20"/>
  <c r="R3975" i="20"/>
  <c r="R3976" i="20"/>
  <c r="R3977" i="20"/>
  <c r="R3978" i="20"/>
  <c r="R3979" i="20"/>
  <c r="R3980" i="20"/>
  <c r="R3981" i="20"/>
  <c r="R3982" i="20"/>
  <c r="R3983" i="20"/>
  <c r="R3984" i="20"/>
  <c r="R3985" i="20"/>
  <c r="R3986" i="20"/>
  <c r="R3987" i="20"/>
  <c r="R3988" i="20"/>
  <c r="R3989" i="20"/>
  <c r="R3990" i="20"/>
  <c r="R3991" i="20"/>
  <c r="R3992" i="20"/>
  <c r="R3993" i="20"/>
  <c r="R3994" i="20"/>
  <c r="R3995" i="20"/>
  <c r="R3996" i="20"/>
  <c r="R3997" i="20"/>
  <c r="R3998" i="20"/>
  <c r="R3999" i="20"/>
  <c r="R4000" i="20"/>
  <c r="R4001" i="20"/>
  <c r="R4002" i="20"/>
  <c r="R4003" i="20"/>
  <c r="R4004" i="20"/>
  <c r="R4005" i="20"/>
  <c r="R4006" i="20"/>
  <c r="R4007" i="20"/>
  <c r="R4008" i="20"/>
  <c r="R4009" i="20"/>
  <c r="R4010" i="20"/>
  <c r="R4011" i="20"/>
  <c r="R4012" i="20"/>
  <c r="R4013" i="20"/>
  <c r="R4014" i="20"/>
  <c r="R4015" i="20"/>
  <c r="R4016" i="20"/>
  <c r="R4017" i="20"/>
  <c r="R4018" i="20"/>
  <c r="R4019" i="20"/>
  <c r="R4020" i="20"/>
  <c r="R4021" i="20"/>
  <c r="R4022" i="20"/>
  <c r="R4023" i="20"/>
  <c r="R4024" i="20"/>
  <c r="R4025" i="20"/>
  <c r="R4026" i="20"/>
  <c r="R4027" i="20"/>
  <c r="R4028" i="20"/>
  <c r="R4029" i="20"/>
  <c r="R4030" i="20"/>
  <c r="R4031" i="20"/>
  <c r="R4032" i="20"/>
  <c r="R4033" i="20"/>
  <c r="R4034" i="20"/>
  <c r="R4035" i="20"/>
  <c r="R4036" i="20"/>
  <c r="R4037" i="20"/>
  <c r="R4038" i="20"/>
  <c r="R4039" i="20"/>
  <c r="R4040" i="20"/>
  <c r="R4041" i="20"/>
  <c r="R4042" i="20"/>
  <c r="R4043" i="20"/>
  <c r="R4044" i="20"/>
  <c r="R4045" i="20"/>
  <c r="R4046" i="20"/>
  <c r="R4047" i="20"/>
  <c r="R4048" i="20"/>
  <c r="R4049" i="20"/>
  <c r="R4050" i="20"/>
  <c r="R4051" i="20"/>
  <c r="R4052" i="20"/>
  <c r="R4053" i="20"/>
  <c r="R4054" i="20"/>
  <c r="R4055" i="20"/>
  <c r="R4056" i="20"/>
  <c r="R4057" i="20"/>
  <c r="R4058" i="20"/>
  <c r="R4059" i="20"/>
  <c r="R4060" i="20"/>
  <c r="R4061" i="20"/>
  <c r="R4062" i="20"/>
  <c r="R4063" i="20"/>
  <c r="R4064" i="20"/>
  <c r="R4065" i="20"/>
  <c r="R4066" i="20"/>
  <c r="R4067" i="20"/>
  <c r="R4068" i="20"/>
  <c r="R4069" i="20"/>
  <c r="R4070" i="20"/>
  <c r="R4071" i="20"/>
  <c r="R4072" i="20"/>
  <c r="R4073" i="20"/>
  <c r="R4074" i="20"/>
  <c r="R4075" i="20"/>
  <c r="R4076" i="20"/>
  <c r="R4077" i="20"/>
  <c r="R4078" i="20"/>
  <c r="R4079" i="20"/>
  <c r="R4080" i="20"/>
  <c r="R4081" i="20"/>
  <c r="R4082" i="20"/>
  <c r="R4083" i="20"/>
  <c r="R4084" i="20"/>
  <c r="R4085" i="20"/>
  <c r="R4086" i="20"/>
  <c r="R4087" i="20"/>
  <c r="R4088" i="20"/>
  <c r="R4089" i="20"/>
  <c r="R4090" i="20"/>
  <c r="R4091" i="20"/>
  <c r="R4092" i="20"/>
  <c r="R4093" i="20"/>
  <c r="R4094" i="20"/>
  <c r="R4095" i="20"/>
  <c r="R4096" i="20"/>
  <c r="R4097" i="20"/>
  <c r="R4098" i="20"/>
  <c r="R4099" i="20"/>
  <c r="R4100" i="20"/>
  <c r="R4101" i="20"/>
  <c r="R4102" i="20"/>
  <c r="R4103" i="20"/>
  <c r="R4104" i="20"/>
  <c r="R4105" i="20"/>
  <c r="R4106" i="20"/>
  <c r="R4107" i="20"/>
  <c r="R4108" i="20"/>
  <c r="R4109" i="20"/>
  <c r="R4110" i="20"/>
  <c r="R4111" i="20"/>
  <c r="R4112" i="20"/>
  <c r="R4113" i="20"/>
  <c r="R4114" i="20"/>
  <c r="R4115" i="20"/>
  <c r="R4116" i="20"/>
  <c r="R4117" i="20"/>
  <c r="R4118" i="20"/>
  <c r="R4119" i="20"/>
  <c r="R4120" i="20"/>
  <c r="R4121" i="20"/>
  <c r="R4122" i="20"/>
  <c r="R4123" i="20"/>
  <c r="R4124" i="20"/>
  <c r="R4125" i="20"/>
  <c r="R4126" i="20"/>
  <c r="R4127" i="20"/>
  <c r="R4128" i="20"/>
  <c r="R4129" i="20"/>
  <c r="R4130" i="20"/>
  <c r="R4131" i="20"/>
  <c r="R4132" i="20"/>
  <c r="R4133" i="20"/>
  <c r="R4134" i="20"/>
  <c r="R4135" i="20"/>
  <c r="R4136" i="20"/>
  <c r="R4137" i="20"/>
  <c r="R4138" i="20"/>
  <c r="R4139" i="20"/>
  <c r="R4140" i="20"/>
  <c r="R4141" i="20"/>
  <c r="R4142" i="20"/>
  <c r="R4143" i="20"/>
  <c r="R4144" i="20"/>
  <c r="R4145" i="20"/>
  <c r="R4146" i="20"/>
  <c r="R4147" i="20"/>
  <c r="R4148" i="20"/>
  <c r="R4149" i="20"/>
  <c r="R4150" i="20"/>
  <c r="R4151" i="20"/>
  <c r="R4152" i="20"/>
  <c r="R4153" i="20"/>
  <c r="R4154" i="20"/>
  <c r="R4155" i="20"/>
  <c r="R4156" i="20"/>
  <c r="R4157" i="20"/>
  <c r="R4158" i="20"/>
  <c r="R4159" i="20"/>
  <c r="R4160" i="20"/>
  <c r="R4161" i="20"/>
  <c r="R4162" i="20"/>
  <c r="R4163" i="20"/>
  <c r="R4164" i="20"/>
  <c r="R4165" i="20"/>
  <c r="R4166" i="20"/>
  <c r="R4167" i="20"/>
  <c r="R4168" i="20"/>
  <c r="R4169" i="20"/>
  <c r="R4170" i="20"/>
  <c r="R4171" i="20"/>
  <c r="R4172" i="20"/>
  <c r="R4173" i="20"/>
  <c r="R4174" i="20"/>
  <c r="R4175" i="20"/>
  <c r="R4176" i="20"/>
  <c r="R4177" i="20"/>
  <c r="R4178" i="20"/>
  <c r="R4179" i="20"/>
  <c r="R4180" i="20"/>
  <c r="R4181" i="20"/>
  <c r="R4182" i="20"/>
  <c r="R4183" i="20"/>
  <c r="R4184" i="20"/>
  <c r="R4185" i="20"/>
  <c r="R4186" i="20"/>
  <c r="R4187" i="20"/>
  <c r="R4188" i="20"/>
  <c r="R4189" i="20"/>
  <c r="R4190" i="20"/>
  <c r="R4191" i="20"/>
  <c r="R4192" i="20"/>
  <c r="R4193" i="20"/>
  <c r="R4194" i="20"/>
  <c r="R4195" i="20"/>
  <c r="R4196" i="20"/>
  <c r="R4197" i="20"/>
  <c r="R4198" i="20"/>
  <c r="R4199" i="20"/>
  <c r="R4200" i="20"/>
  <c r="R4201" i="20"/>
  <c r="R4202" i="20"/>
  <c r="R4203" i="20"/>
  <c r="R4204" i="20"/>
  <c r="R4205" i="20"/>
  <c r="R4206" i="20"/>
  <c r="R4207" i="20"/>
  <c r="R4208" i="20"/>
  <c r="R4209" i="20"/>
  <c r="R4210" i="20"/>
  <c r="R4211" i="20"/>
  <c r="R4212" i="20"/>
  <c r="R4213" i="20"/>
  <c r="R4214" i="20"/>
  <c r="R4215" i="20"/>
  <c r="R4216" i="20"/>
  <c r="R4217" i="20"/>
  <c r="R4218" i="20"/>
  <c r="R4219" i="20"/>
  <c r="R4220" i="20"/>
  <c r="R4221" i="20"/>
  <c r="R4222" i="20"/>
  <c r="R4223" i="20"/>
  <c r="R4224" i="20"/>
  <c r="R4225" i="20"/>
  <c r="R4226" i="20"/>
  <c r="R4227" i="20"/>
  <c r="R4228" i="20"/>
  <c r="R4229" i="20"/>
  <c r="R4230" i="20"/>
  <c r="R4231" i="20"/>
  <c r="R4232" i="20"/>
  <c r="R4233" i="20"/>
  <c r="R4234" i="20"/>
  <c r="R4235" i="20"/>
  <c r="R4236" i="20"/>
  <c r="R4237" i="20"/>
  <c r="R4238" i="20"/>
  <c r="R4239" i="20"/>
  <c r="R4240" i="20"/>
  <c r="R4241" i="20"/>
  <c r="R4242" i="20"/>
  <c r="R4243" i="20"/>
  <c r="R4244" i="20"/>
  <c r="R4245" i="20"/>
  <c r="R4246" i="20"/>
  <c r="R4247" i="20"/>
  <c r="R4248" i="20"/>
  <c r="R4249" i="20"/>
  <c r="R4250" i="20"/>
  <c r="R4251" i="20"/>
  <c r="R4252" i="20"/>
  <c r="R4253" i="20"/>
  <c r="R4254" i="20"/>
  <c r="R4255" i="20"/>
  <c r="R4256" i="20"/>
  <c r="R4257" i="20"/>
  <c r="R4258" i="20"/>
  <c r="R4259" i="20"/>
  <c r="R4260" i="20"/>
  <c r="R4261" i="20"/>
  <c r="R4262" i="20"/>
  <c r="R4263" i="20"/>
  <c r="R4264" i="20"/>
  <c r="R4265" i="20"/>
  <c r="R4266" i="20"/>
  <c r="R4267" i="20"/>
  <c r="R4268" i="20"/>
  <c r="R4269" i="20"/>
  <c r="R4270" i="20"/>
  <c r="R4271" i="20"/>
  <c r="R4272" i="20"/>
  <c r="R4273" i="20"/>
  <c r="R4274" i="20"/>
  <c r="R4275" i="20"/>
  <c r="R4276" i="20"/>
  <c r="R4277" i="20"/>
  <c r="R4278" i="20"/>
  <c r="R4279" i="20"/>
  <c r="R4280" i="20"/>
  <c r="R4281" i="20"/>
  <c r="R4282" i="20"/>
  <c r="R4283" i="20"/>
  <c r="R4284" i="20"/>
  <c r="R4285" i="20"/>
  <c r="R4286" i="20"/>
  <c r="R4287" i="20"/>
  <c r="R4288" i="20"/>
  <c r="R4289" i="20"/>
  <c r="R4290" i="20"/>
  <c r="R4291" i="20"/>
  <c r="R4292" i="20"/>
  <c r="R4293" i="20"/>
  <c r="R4294" i="20"/>
  <c r="R4295" i="20"/>
  <c r="R4296" i="20"/>
  <c r="R4297" i="20"/>
  <c r="R4298" i="20"/>
  <c r="R4299" i="20"/>
  <c r="R4300" i="20"/>
  <c r="R4301" i="20"/>
  <c r="R4302" i="20"/>
  <c r="R4303" i="20"/>
  <c r="R4304" i="20"/>
  <c r="R4305" i="20"/>
  <c r="R4306" i="20"/>
  <c r="R4307" i="20"/>
  <c r="R4308" i="20"/>
  <c r="R4309" i="20"/>
  <c r="R4310" i="20"/>
  <c r="R4311" i="20"/>
  <c r="R4312" i="20"/>
  <c r="R4313" i="20"/>
  <c r="R4314" i="20"/>
  <c r="R4315" i="20"/>
  <c r="R4316" i="20"/>
  <c r="R4317" i="20"/>
  <c r="R4318" i="20"/>
  <c r="R4319" i="20"/>
  <c r="R4320" i="20"/>
  <c r="R4321" i="20"/>
  <c r="R4322" i="20"/>
  <c r="R4323" i="20"/>
  <c r="R4324" i="20"/>
  <c r="R4325" i="20"/>
  <c r="R4326" i="20"/>
  <c r="R4327" i="20"/>
  <c r="R4328" i="20"/>
  <c r="R4329" i="20"/>
  <c r="R4330" i="20"/>
  <c r="R4331" i="20"/>
  <c r="R4332" i="20"/>
  <c r="R4333" i="20"/>
  <c r="R4334" i="20"/>
  <c r="R4335" i="20"/>
  <c r="R4336" i="20"/>
  <c r="R4337" i="20"/>
  <c r="R4338" i="20"/>
  <c r="R4339" i="20"/>
  <c r="R4340" i="20"/>
  <c r="R4341" i="20"/>
  <c r="R4342" i="20"/>
  <c r="R4343" i="20"/>
  <c r="R4344" i="20"/>
  <c r="R4345" i="20"/>
  <c r="R4346" i="20"/>
  <c r="R4347" i="20"/>
  <c r="R4348" i="20"/>
  <c r="R4349" i="20"/>
  <c r="R4350" i="20"/>
  <c r="R4351" i="20"/>
  <c r="R4352" i="20"/>
  <c r="R4353" i="20"/>
  <c r="R4354" i="20"/>
  <c r="R4355" i="20"/>
  <c r="R4356" i="20"/>
  <c r="R4357" i="20"/>
  <c r="R4358" i="20"/>
  <c r="R4359" i="20"/>
  <c r="R4360" i="20"/>
  <c r="R4361" i="20"/>
  <c r="R4362" i="20"/>
  <c r="R4363" i="20"/>
  <c r="R4364" i="20"/>
  <c r="R4365" i="20"/>
  <c r="R4366" i="20"/>
  <c r="R4367" i="20"/>
  <c r="R4368" i="20"/>
  <c r="R4369" i="20"/>
  <c r="R4370" i="20"/>
  <c r="R4371" i="20"/>
  <c r="R4372" i="20"/>
  <c r="R4373" i="20"/>
  <c r="R4374" i="20"/>
  <c r="R4375" i="20"/>
  <c r="R4376" i="20"/>
  <c r="R4377" i="20"/>
  <c r="R4378" i="20"/>
  <c r="R4379" i="20"/>
  <c r="R4380" i="20"/>
  <c r="R4381" i="20"/>
  <c r="R4382" i="20"/>
  <c r="R4383" i="20"/>
  <c r="R4384" i="20"/>
  <c r="R4385" i="20"/>
  <c r="R4386" i="20"/>
  <c r="R4387" i="20"/>
  <c r="R4388" i="20"/>
  <c r="R4389" i="20"/>
  <c r="R4390" i="20"/>
  <c r="R4391" i="20"/>
  <c r="R4392" i="20"/>
  <c r="R4393" i="20"/>
  <c r="R4394" i="20"/>
  <c r="R4395" i="20"/>
  <c r="R4396" i="20"/>
  <c r="R4397" i="20"/>
  <c r="R4398" i="20"/>
  <c r="R4399" i="20"/>
  <c r="R4400" i="20"/>
  <c r="R4401" i="20"/>
  <c r="R4402" i="20"/>
  <c r="R4403" i="20"/>
  <c r="R4404" i="20"/>
  <c r="R4405" i="20"/>
  <c r="R4406" i="20"/>
  <c r="R4407" i="20"/>
  <c r="R4408" i="20"/>
  <c r="R4409" i="20"/>
  <c r="R4410" i="20"/>
  <c r="R4411" i="20"/>
  <c r="R4412" i="20"/>
  <c r="R4413" i="20"/>
  <c r="R4414" i="20"/>
  <c r="R4415" i="20"/>
  <c r="R4416" i="20"/>
  <c r="R4417" i="20"/>
  <c r="R4418" i="20"/>
  <c r="R4419" i="20"/>
  <c r="R4420" i="20"/>
  <c r="R4421" i="20"/>
  <c r="R4422" i="20"/>
  <c r="R4423" i="20"/>
  <c r="R4424" i="20"/>
  <c r="R4425" i="20"/>
  <c r="R4426" i="20"/>
  <c r="R4427" i="20"/>
  <c r="R4428" i="20"/>
  <c r="R4429" i="20"/>
  <c r="R4430" i="20"/>
  <c r="R4431" i="20"/>
  <c r="R4432" i="20"/>
  <c r="R4433" i="20"/>
  <c r="R4434" i="20"/>
  <c r="R4435" i="20"/>
  <c r="R4436" i="20"/>
  <c r="R4437" i="20"/>
  <c r="R4438" i="20"/>
  <c r="R4439" i="20"/>
  <c r="R4440" i="20"/>
  <c r="R4441" i="20"/>
  <c r="R4442" i="20"/>
  <c r="R4443" i="20"/>
  <c r="R4444" i="20"/>
  <c r="R4445" i="20"/>
  <c r="R4446" i="20"/>
  <c r="R4447" i="20"/>
  <c r="R4448" i="20"/>
  <c r="R4449" i="20"/>
  <c r="R4450" i="20"/>
  <c r="R4451" i="20"/>
  <c r="R4452" i="20"/>
  <c r="R4453" i="20"/>
  <c r="R4454" i="20"/>
  <c r="R4455" i="20"/>
  <c r="R4456" i="20"/>
  <c r="R4457" i="20"/>
  <c r="R4458" i="20"/>
  <c r="R4459" i="20"/>
  <c r="R4460" i="20"/>
  <c r="R4461" i="20"/>
  <c r="R4462" i="20"/>
  <c r="R4463" i="20"/>
  <c r="R4464" i="20"/>
  <c r="R4465" i="20"/>
  <c r="R4466" i="20"/>
  <c r="R4467" i="20"/>
  <c r="R4468" i="20"/>
  <c r="R4469" i="20"/>
  <c r="R4470" i="20"/>
  <c r="R4471" i="20"/>
  <c r="R4472" i="20"/>
  <c r="R4473" i="20"/>
  <c r="R4474" i="20"/>
  <c r="R4475" i="20"/>
  <c r="R4476" i="20"/>
  <c r="R4477" i="20"/>
  <c r="R4478" i="20"/>
  <c r="R4479" i="20"/>
  <c r="R4480" i="20"/>
  <c r="R4481" i="20"/>
  <c r="R4482" i="20"/>
  <c r="R4483" i="20"/>
  <c r="R4484" i="20"/>
  <c r="R4485" i="20"/>
  <c r="R4486" i="20"/>
  <c r="R4487" i="20"/>
  <c r="R4488" i="20"/>
  <c r="R4489" i="20"/>
  <c r="R4490" i="20"/>
  <c r="R4491" i="20"/>
  <c r="R4492" i="20"/>
  <c r="R4493" i="20"/>
  <c r="R4494" i="20"/>
  <c r="R4495" i="20"/>
  <c r="R4496" i="20"/>
  <c r="R4497" i="20"/>
  <c r="R4498" i="20"/>
  <c r="R4499" i="20"/>
  <c r="R4500" i="20"/>
  <c r="R4501" i="20"/>
  <c r="R4502" i="20"/>
  <c r="R4503" i="20"/>
  <c r="R4504" i="20"/>
  <c r="R4505" i="20"/>
  <c r="R4506" i="20"/>
  <c r="R4507" i="20"/>
  <c r="R4508" i="20"/>
  <c r="R4509" i="20"/>
  <c r="R4510" i="20"/>
  <c r="R4511" i="20"/>
  <c r="R4512" i="20"/>
  <c r="R4513" i="20"/>
  <c r="R4514" i="20"/>
  <c r="R4515" i="20"/>
  <c r="R4516" i="20"/>
  <c r="R4517" i="20"/>
  <c r="R4518" i="20"/>
  <c r="R4519" i="20"/>
  <c r="R4520" i="20"/>
  <c r="R4521" i="20"/>
  <c r="R4522" i="20"/>
  <c r="R4523" i="20"/>
  <c r="R4524" i="20"/>
  <c r="R4525" i="20"/>
  <c r="R4526" i="20"/>
  <c r="R4527" i="20"/>
  <c r="R4528" i="20"/>
  <c r="R4529" i="20"/>
  <c r="R4530" i="20"/>
  <c r="R4531" i="20"/>
  <c r="R4532" i="20"/>
  <c r="R4533" i="20"/>
  <c r="R4534" i="20"/>
  <c r="R4535" i="20"/>
  <c r="R4536" i="20"/>
  <c r="R4537" i="20"/>
  <c r="R4538" i="20"/>
  <c r="R4539" i="20"/>
  <c r="R4540" i="20"/>
  <c r="R4541" i="20"/>
  <c r="R4542" i="20"/>
  <c r="R4543" i="20"/>
  <c r="R4544" i="20"/>
  <c r="R4545" i="20"/>
  <c r="R4546" i="20"/>
  <c r="R4547" i="20"/>
  <c r="R4548" i="20"/>
  <c r="R4549" i="20"/>
  <c r="R4550" i="20"/>
  <c r="R4551" i="20"/>
  <c r="R4552" i="20"/>
  <c r="R4553" i="20"/>
  <c r="R4554" i="20"/>
  <c r="R4555" i="20"/>
  <c r="R4556" i="20"/>
  <c r="R4557" i="20"/>
  <c r="R4558" i="20"/>
  <c r="R4559" i="20"/>
  <c r="R4560" i="20"/>
  <c r="R4561" i="20"/>
  <c r="R4562" i="20"/>
  <c r="R4563" i="20"/>
  <c r="R4564" i="20"/>
  <c r="R4565" i="20"/>
  <c r="R4566" i="20"/>
  <c r="R4567" i="20"/>
  <c r="R4568" i="20"/>
  <c r="R4569" i="20"/>
  <c r="R4570" i="20"/>
  <c r="R4571" i="20"/>
  <c r="R4572" i="20"/>
  <c r="R4573" i="20"/>
  <c r="R4574" i="20"/>
  <c r="R4575" i="20"/>
  <c r="R4576" i="20"/>
  <c r="R4577" i="20"/>
  <c r="R4578" i="20"/>
  <c r="R4579" i="20"/>
  <c r="R4580" i="20"/>
  <c r="R4581" i="20"/>
  <c r="R4582" i="20"/>
  <c r="R4583" i="20"/>
  <c r="R4584" i="20"/>
  <c r="R4585" i="20"/>
  <c r="R4586" i="20"/>
  <c r="R4587" i="20"/>
  <c r="R4588" i="20"/>
  <c r="R4589" i="20"/>
  <c r="R4590" i="20"/>
  <c r="R4591" i="20"/>
  <c r="R4592" i="20"/>
  <c r="R4593" i="20"/>
  <c r="R4594" i="20"/>
  <c r="R4595" i="20"/>
  <c r="R4596" i="20"/>
  <c r="R4597" i="20"/>
  <c r="R4598" i="20"/>
  <c r="R4599" i="20"/>
  <c r="R4600" i="20"/>
  <c r="R4601" i="20"/>
  <c r="R4602" i="20"/>
  <c r="R4603" i="20"/>
  <c r="R4604" i="20"/>
  <c r="R4605" i="20"/>
  <c r="R4606" i="20"/>
  <c r="R4607" i="20"/>
  <c r="R4608" i="20"/>
  <c r="R4609" i="20"/>
  <c r="R4610" i="20"/>
  <c r="R4611" i="20"/>
  <c r="R4612" i="20"/>
  <c r="R4613" i="20"/>
  <c r="R4614" i="20"/>
  <c r="R4615" i="20"/>
  <c r="R4616" i="20"/>
  <c r="R4617" i="20"/>
  <c r="R4618" i="20"/>
  <c r="R4619" i="20"/>
  <c r="R4620" i="20"/>
  <c r="R4621" i="20"/>
  <c r="R4622" i="20"/>
  <c r="R4623" i="20"/>
  <c r="R4624" i="20"/>
  <c r="R4625" i="20"/>
  <c r="R4626" i="20"/>
  <c r="R4627" i="20"/>
  <c r="R4628" i="20"/>
  <c r="R4629" i="20"/>
  <c r="R4630" i="20"/>
  <c r="R4631" i="20"/>
  <c r="R4632" i="20"/>
  <c r="R4633" i="20"/>
  <c r="R4634" i="20"/>
  <c r="R4635" i="20"/>
  <c r="R4636" i="20"/>
  <c r="R4637" i="20"/>
  <c r="R4638" i="20"/>
  <c r="R4639" i="20"/>
  <c r="R4640" i="20"/>
  <c r="R4641" i="20"/>
  <c r="R4642" i="20"/>
  <c r="R4643" i="20"/>
  <c r="R4644" i="20"/>
  <c r="R4645" i="20"/>
  <c r="R4646" i="20"/>
  <c r="R4647" i="20"/>
  <c r="R4648" i="20"/>
  <c r="R4649" i="20"/>
  <c r="R4650" i="20"/>
  <c r="R4651" i="20"/>
  <c r="R4652" i="20"/>
  <c r="R4653" i="20"/>
  <c r="R4654" i="20"/>
  <c r="R4655" i="20"/>
  <c r="R4656" i="20"/>
  <c r="R4657" i="20"/>
  <c r="R4658" i="20"/>
  <c r="R4659" i="20"/>
  <c r="R4660" i="20"/>
  <c r="R4661" i="20"/>
  <c r="R4662" i="20"/>
  <c r="R4663" i="20"/>
  <c r="R4664" i="20"/>
  <c r="R4665" i="20"/>
  <c r="R4666" i="20"/>
  <c r="R4667" i="20"/>
  <c r="R4668" i="20"/>
  <c r="R4669" i="20"/>
  <c r="R4670" i="20"/>
  <c r="R4671" i="20"/>
  <c r="R4672" i="20"/>
  <c r="R4673" i="20"/>
  <c r="R4674" i="20"/>
  <c r="R4675" i="20"/>
  <c r="R4676" i="20"/>
  <c r="R4677" i="20"/>
  <c r="R4678" i="20"/>
  <c r="R4679" i="20"/>
  <c r="R4680" i="20"/>
  <c r="R4681" i="20"/>
  <c r="R4682" i="20"/>
  <c r="R4683" i="20"/>
  <c r="R4684" i="20"/>
  <c r="R4685" i="20"/>
  <c r="R4686" i="20"/>
  <c r="R4687" i="20"/>
  <c r="R4688" i="20"/>
  <c r="R4689" i="20"/>
  <c r="R4690" i="20"/>
  <c r="R4691" i="20"/>
  <c r="R4692" i="20"/>
  <c r="R4693" i="20"/>
  <c r="R4694" i="20"/>
  <c r="R4695" i="20"/>
  <c r="R4696" i="20"/>
  <c r="R4697" i="20"/>
  <c r="R4698" i="20"/>
  <c r="R4699" i="20"/>
  <c r="R4700" i="20"/>
  <c r="R4701" i="20"/>
  <c r="R4702" i="20"/>
  <c r="R4703" i="20"/>
  <c r="R4704" i="20"/>
  <c r="R4705" i="20"/>
  <c r="R4706" i="20"/>
  <c r="R4707" i="20"/>
  <c r="R4708" i="20"/>
  <c r="R4709" i="20"/>
  <c r="R4710" i="20"/>
  <c r="R4711" i="20"/>
  <c r="R4712" i="20"/>
  <c r="R4713" i="20"/>
  <c r="R4714" i="20"/>
  <c r="R4715" i="20"/>
  <c r="R4716" i="20"/>
  <c r="R4717" i="20"/>
  <c r="R4718" i="20"/>
  <c r="R4719" i="20"/>
  <c r="R4720" i="20"/>
  <c r="R4721" i="20"/>
  <c r="R4722" i="20"/>
  <c r="R4723" i="20"/>
  <c r="R4724" i="20"/>
  <c r="R4725" i="20"/>
  <c r="R4726" i="20"/>
  <c r="R4727" i="20"/>
  <c r="R4728" i="20"/>
  <c r="R4729" i="20"/>
  <c r="R4730" i="20"/>
  <c r="R4731" i="20"/>
  <c r="R4732" i="20"/>
  <c r="R4733" i="20"/>
  <c r="R4734" i="20"/>
  <c r="R4735" i="20"/>
  <c r="R4736" i="20"/>
  <c r="R4737" i="20"/>
  <c r="R4738" i="20"/>
  <c r="R4739" i="20"/>
  <c r="R4740" i="20"/>
  <c r="R4741" i="20"/>
  <c r="R4742" i="20"/>
  <c r="R4743" i="20"/>
  <c r="R4744" i="20"/>
  <c r="R4745" i="20"/>
  <c r="R4746" i="20"/>
  <c r="R4747" i="20"/>
  <c r="R4748" i="20"/>
  <c r="R4749" i="20"/>
  <c r="R4750" i="20"/>
  <c r="R4751" i="20"/>
  <c r="R4752" i="20"/>
  <c r="R4753" i="20"/>
  <c r="R4754" i="20"/>
  <c r="R4755" i="20"/>
  <c r="R4756" i="20"/>
  <c r="R4757" i="20"/>
  <c r="R4758" i="20"/>
  <c r="R4759" i="20"/>
  <c r="R4760" i="20"/>
  <c r="R4761" i="20"/>
  <c r="R4762" i="20"/>
  <c r="R4763" i="20"/>
  <c r="R4764" i="20"/>
  <c r="R4765" i="20"/>
  <c r="R4766" i="20"/>
  <c r="R4767" i="20"/>
  <c r="R4768" i="20"/>
  <c r="R4769" i="20"/>
  <c r="R4770" i="20"/>
  <c r="R4771" i="20"/>
  <c r="R4772" i="20"/>
  <c r="R4773" i="20"/>
  <c r="R4774" i="20"/>
  <c r="R4775" i="20"/>
  <c r="R4776" i="20"/>
  <c r="R4777" i="20"/>
  <c r="R4778" i="20"/>
  <c r="R4779" i="20"/>
  <c r="R4780" i="20"/>
  <c r="R4781" i="20"/>
  <c r="R4782" i="20"/>
  <c r="R4783" i="20"/>
  <c r="R4784" i="20"/>
  <c r="R4785" i="20"/>
  <c r="R4786" i="20"/>
  <c r="R4787" i="20"/>
  <c r="R4788" i="20"/>
  <c r="R4789" i="20"/>
  <c r="R4790" i="20"/>
  <c r="R4791" i="20"/>
  <c r="R4792" i="20"/>
  <c r="R4793" i="20"/>
  <c r="R4794" i="20"/>
  <c r="R4795" i="20"/>
  <c r="R4796" i="20"/>
  <c r="R4797" i="20"/>
  <c r="R4798" i="20"/>
  <c r="R4799" i="20"/>
  <c r="R4800" i="20"/>
  <c r="R4801" i="20"/>
  <c r="R4802" i="20"/>
  <c r="R4803" i="20"/>
  <c r="R4804" i="20"/>
  <c r="R4805" i="20"/>
  <c r="R4806" i="20"/>
  <c r="R4807" i="20"/>
  <c r="R4808" i="20"/>
  <c r="R4809" i="20"/>
  <c r="R4810" i="20"/>
  <c r="R4811" i="20"/>
  <c r="R4812" i="20"/>
  <c r="R4813" i="20"/>
  <c r="R4814" i="20"/>
  <c r="R4815" i="20"/>
  <c r="R4816" i="20"/>
  <c r="R4817" i="20"/>
  <c r="R4818" i="20"/>
  <c r="R4819" i="20"/>
  <c r="R4820" i="20"/>
  <c r="R4821" i="20"/>
  <c r="R4822" i="20"/>
  <c r="R4823" i="20"/>
  <c r="R4824" i="20"/>
  <c r="R4825" i="20"/>
  <c r="R4826" i="20"/>
  <c r="R4827" i="20"/>
  <c r="R4828" i="20"/>
  <c r="R4829" i="20"/>
  <c r="R4830" i="20"/>
  <c r="R4831" i="20"/>
  <c r="R4832" i="20"/>
  <c r="R4833" i="20"/>
  <c r="R4834" i="20"/>
  <c r="R4835" i="20"/>
  <c r="R4836" i="20"/>
  <c r="R4837" i="20"/>
  <c r="R4838" i="20"/>
  <c r="R4839" i="20"/>
  <c r="R4840" i="20"/>
  <c r="R4841" i="20"/>
  <c r="R4842" i="20"/>
  <c r="R4843" i="20"/>
  <c r="R4844" i="20"/>
  <c r="R4845" i="20"/>
  <c r="R4846" i="20"/>
  <c r="R4847" i="20"/>
  <c r="R4848" i="20"/>
  <c r="R4849" i="20"/>
  <c r="R4850" i="20"/>
  <c r="R4851" i="20"/>
  <c r="R4852" i="20"/>
  <c r="R4853" i="20"/>
  <c r="R4854" i="20"/>
  <c r="R4855" i="20"/>
  <c r="R4856" i="20"/>
  <c r="R4857" i="20"/>
  <c r="R4858" i="20"/>
  <c r="R4859" i="20"/>
  <c r="R4860" i="20"/>
  <c r="R4861" i="20"/>
  <c r="R4862" i="20"/>
  <c r="R4863" i="20"/>
  <c r="R4864" i="20"/>
  <c r="R4865" i="20"/>
  <c r="R4866" i="20"/>
  <c r="R4867" i="20"/>
  <c r="R4868" i="20"/>
  <c r="R4869" i="20"/>
  <c r="R4870" i="20"/>
  <c r="R4871" i="20"/>
  <c r="R4872" i="20"/>
  <c r="R4873" i="20"/>
  <c r="R4874" i="20"/>
  <c r="R4875" i="20"/>
  <c r="R4876" i="20"/>
  <c r="R4877" i="20"/>
  <c r="R4878" i="20"/>
  <c r="R4879" i="20"/>
  <c r="R4880" i="20"/>
  <c r="R4881" i="20"/>
  <c r="R4882" i="20"/>
  <c r="R4883" i="20"/>
  <c r="R4884" i="20"/>
  <c r="R4885" i="20"/>
  <c r="R4886" i="20"/>
  <c r="R4887" i="20"/>
  <c r="R4888" i="20"/>
  <c r="R4889" i="20"/>
  <c r="R4890" i="20"/>
  <c r="R4891" i="20"/>
  <c r="R4892" i="20"/>
  <c r="R4893" i="20"/>
  <c r="R4894" i="20"/>
  <c r="R4895" i="20"/>
  <c r="R4896" i="20"/>
  <c r="R4897" i="20"/>
  <c r="R4898" i="20"/>
  <c r="R4899" i="20"/>
  <c r="R4900" i="20"/>
  <c r="R4901" i="20"/>
  <c r="R4902" i="20"/>
  <c r="R4903" i="20"/>
  <c r="R4904" i="20"/>
  <c r="R4905" i="20"/>
  <c r="R4906" i="20"/>
  <c r="R4907" i="20"/>
  <c r="R4908" i="20"/>
  <c r="R4909" i="20"/>
  <c r="R4910" i="20"/>
  <c r="R4911" i="20"/>
  <c r="R4912" i="20"/>
  <c r="R4913" i="20"/>
  <c r="R4914" i="20"/>
  <c r="R4915" i="20"/>
  <c r="R4916" i="20"/>
  <c r="R4917" i="20"/>
  <c r="R4918" i="20"/>
  <c r="R4919" i="20"/>
  <c r="R4920" i="20"/>
  <c r="R4921" i="20"/>
  <c r="R4922" i="20"/>
  <c r="R4923" i="20"/>
  <c r="R4924" i="20"/>
  <c r="R4925" i="20"/>
  <c r="R4926" i="20"/>
  <c r="R4927" i="20"/>
  <c r="R4928" i="20"/>
  <c r="R4929" i="20"/>
  <c r="R4930" i="20"/>
  <c r="R4931" i="20"/>
  <c r="R4932" i="20"/>
  <c r="R4933" i="20"/>
  <c r="R4934" i="20"/>
  <c r="R4935" i="20"/>
  <c r="R4936" i="20"/>
  <c r="R4937" i="20"/>
  <c r="R4938" i="20"/>
  <c r="R4939" i="20"/>
  <c r="R4940" i="20"/>
  <c r="R4941" i="20"/>
  <c r="R4942" i="20"/>
  <c r="R4943" i="20"/>
  <c r="R4944" i="20"/>
  <c r="R4945" i="20"/>
  <c r="R4946" i="20"/>
  <c r="R4947" i="20"/>
  <c r="R4948" i="20"/>
  <c r="R4949" i="20"/>
  <c r="R4950" i="20"/>
  <c r="R4951" i="20"/>
  <c r="R4952" i="20"/>
  <c r="R4953" i="20"/>
  <c r="R4954" i="20"/>
  <c r="R4955" i="20"/>
  <c r="R4956" i="20"/>
  <c r="R4957" i="20"/>
  <c r="R4958" i="20"/>
  <c r="R4959" i="20"/>
  <c r="R4960" i="20"/>
  <c r="R4961" i="20"/>
  <c r="R4962" i="20"/>
  <c r="R4963" i="20"/>
  <c r="R4964" i="20"/>
  <c r="H2874" i="20"/>
  <c r="H2875" i="20"/>
  <c r="H2876" i="20"/>
  <c r="H2877" i="20"/>
  <c r="H2878" i="20"/>
  <c r="H2879" i="20"/>
  <c r="H2880" i="20"/>
  <c r="H2881" i="20"/>
  <c r="H2882" i="20"/>
  <c r="H2883" i="20"/>
  <c r="H2884" i="20"/>
  <c r="H2885" i="20"/>
  <c r="H2886" i="20"/>
  <c r="H2887" i="20"/>
  <c r="H2888" i="20"/>
  <c r="H2889" i="20"/>
  <c r="H2890" i="20"/>
  <c r="H2891" i="20"/>
  <c r="H2892" i="20"/>
  <c r="H2893" i="20"/>
  <c r="H2894" i="20"/>
  <c r="H2895" i="20"/>
  <c r="H2896" i="20"/>
  <c r="H2897" i="20"/>
  <c r="H2898" i="20"/>
  <c r="H2899" i="20"/>
  <c r="H2900" i="20"/>
  <c r="H2901" i="20"/>
  <c r="H2902" i="20"/>
  <c r="H2903" i="20"/>
  <c r="H2904" i="20"/>
  <c r="H2905" i="20"/>
  <c r="H2906" i="20"/>
  <c r="H2907" i="20"/>
  <c r="H2908" i="20"/>
  <c r="H2909" i="20"/>
  <c r="H2910" i="20"/>
  <c r="H2911" i="20"/>
  <c r="H2912" i="20"/>
  <c r="H2913" i="20"/>
  <c r="H2914" i="20"/>
  <c r="H2915" i="20"/>
  <c r="H2916" i="20"/>
  <c r="H2917" i="20"/>
  <c r="H2918" i="20"/>
  <c r="H2919" i="20"/>
  <c r="H2920" i="20"/>
  <c r="H2921" i="20"/>
  <c r="H2922" i="20"/>
  <c r="H2923" i="20"/>
  <c r="H2924" i="20"/>
  <c r="H2925" i="20"/>
  <c r="H2926" i="20"/>
  <c r="H2927" i="20"/>
  <c r="H2928" i="20"/>
  <c r="H2929" i="20"/>
  <c r="H2930" i="20"/>
  <c r="H2931" i="20"/>
  <c r="H2932" i="20"/>
  <c r="H2933" i="20"/>
  <c r="H2934" i="20"/>
  <c r="H2935" i="20"/>
  <c r="H2936" i="20"/>
  <c r="H2937" i="20"/>
  <c r="H2938" i="20"/>
  <c r="H2939" i="20"/>
  <c r="H2940" i="20"/>
  <c r="H2941" i="20"/>
  <c r="H2942" i="20"/>
  <c r="H2943" i="20"/>
  <c r="H2944" i="20"/>
  <c r="H2945" i="20"/>
  <c r="H2946" i="20"/>
  <c r="H2947" i="20"/>
  <c r="H2948" i="20"/>
  <c r="H2949" i="20"/>
  <c r="H2950" i="20"/>
  <c r="H2951" i="20"/>
  <c r="H2952" i="20"/>
  <c r="H2953" i="20"/>
  <c r="H2954" i="20"/>
  <c r="H2955" i="20"/>
  <c r="H2956" i="20"/>
  <c r="H2957" i="20"/>
  <c r="H2958" i="20"/>
  <c r="H2959" i="20"/>
  <c r="H2960" i="20"/>
  <c r="H2961" i="20"/>
  <c r="H2962" i="20"/>
  <c r="H2963" i="20"/>
  <c r="H2964" i="20"/>
  <c r="H2965" i="20"/>
  <c r="H2966" i="20"/>
  <c r="H2967" i="20"/>
  <c r="H2968" i="20"/>
  <c r="H2969" i="20"/>
  <c r="H2970" i="20"/>
  <c r="H2971" i="20"/>
  <c r="H2972" i="20"/>
  <c r="H2973" i="20"/>
  <c r="H2974" i="20"/>
  <c r="H2975" i="20"/>
  <c r="H2976" i="20"/>
  <c r="H2977" i="20"/>
  <c r="H2978" i="20"/>
  <c r="H2979" i="20"/>
  <c r="H2980" i="20"/>
  <c r="H2981" i="20"/>
  <c r="H2982" i="20"/>
  <c r="H2983" i="20"/>
  <c r="H2984" i="20"/>
  <c r="H2985" i="20"/>
  <c r="H2986" i="20"/>
  <c r="H2987" i="20"/>
  <c r="H2988" i="20"/>
  <c r="H2989" i="20"/>
  <c r="H2990" i="20"/>
  <c r="H2991" i="20"/>
  <c r="H2992" i="20"/>
  <c r="H2993" i="20"/>
  <c r="H2994" i="20"/>
  <c r="H2995" i="20"/>
  <c r="H2996" i="20"/>
  <c r="H2997" i="20"/>
  <c r="H2998" i="20"/>
  <c r="H2999" i="20"/>
  <c r="H3000" i="20"/>
  <c r="H3001" i="20"/>
  <c r="H3002" i="20"/>
  <c r="H3003" i="20"/>
  <c r="H3004" i="20"/>
  <c r="H3005" i="20"/>
  <c r="H3006" i="20"/>
  <c r="H3007" i="20"/>
  <c r="H3008" i="20"/>
  <c r="H3009" i="20"/>
  <c r="H3010" i="20"/>
  <c r="H3011" i="20"/>
  <c r="H3012" i="20"/>
  <c r="H3013" i="20"/>
  <c r="H3014" i="20"/>
  <c r="H3015" i="20"/>
  <c r="H3016" i="20"/>
  <c r="H3017" i="20"/>
  <c r="H3018" i="20"/>
  <c r="H3019" i="20"/>
  <c r="H3020" i="20"/>
  <c r="H3021" i="20"/>
  <c r="H3022" i="20"/>
  <c r="H3023" i="20"/>
  <c r="H3024" i="20"/>
  <c r="H3025" i="20"/>
  <c r="H3026" i="20"/>
  <c r="H3027" i="20"/>
  <c r="H3028" i="20"/>
  <c r="H3029" i="20"/>
  <c r="H3030" i="20"/>
  <c r="H3031" i="20"/>
  <c r="H3032" i="20"/>
  <c r="H3033" i="20"/>
  <c r="H3034" i="20"/>
  <c r="H3035" i="20"/>
  <c r="H3036" i="20"/>
  <c r="H3037" i="20"/>
  <c r="H3038" i="20"/>
  <c r="H3039" i="20"/>
  <c r="H3040" i="20"/>
  <c r="H3041" i="20"/>
  <c r="H3042" i="20"/>
  <c r="H3043" i="20"/>
  <c r="H3044" i="20"/>
  <c r="H3045" i="20"/>
  <c r="H3046" i="20"/>
  <c r="H3047" i="20"/>
  <c r="H3048" i="20"/>
  <c r="H3049" i="20"/>
  <c r="H3050" i="20"/>
  <c r="H3051" i="20"/>
  <c r="H3052" i="20"/>
  <c r="H3053" i="20"/>
  <c r="H3054" i="20"/>
  <c r="H3055" i="20"/>
  <c r="H3056" i="20"/>
  <c r="H3057" i="20"/>
  <c r="H3058" i="20"/>
  <c r="H3059" i="20"/>
  <c r="H3060" i="20"/>
  <c r="H3061" i="20"/>
  <c r="H3062" i="20"/>
  <c r="H3063" i="20"/>
  <c r="H3064" i="20"/>
  <c r="H3065" i="20"/>
  <c r="H3066" i="20"/>
  <c r="H3067" i="20"/>
  <c r="H3068" i="20"/>
  <c r="H3069" i="20"/>
  <c r="H3070" i="20"/>
  <c r="H3071" i="20"/>
  <c r="H3072" i="20"/>
  <c r="H3073" i="20"/>
  <c r="H3074" i="20"/>
  <c r="H3075" i="20"/>
  <c r="H3076" i="20"/>
  <c r="H3077" i="20"/>
  <c r="H3078" i="20"/>
  <c r="H3079" i="20"/>
  <c r="H3080" i="20"/>
  <c r="H3081" i="20"/>
  <c r="H3082" i="20"/>
  <c r="H3083" i="20"/>
  <c r="H3084" i="20"/>
  <c r="H3085" i="20"/>
  <c r="H3086" i="20"/>
  <c r="H3087" i="20"/>
  <c r="H3088" i="20"/>
  <c r="H3089" i="20"/>
  <c r="H3090" i="20"/>
  <c r="H3091" i="20"/>
  <c r="H3092" i="20"/>
  <c r="H3093" i="20"/>
  <c r="H3094" i="20"/>
  <c r="H3095" i="20"/>
  <c r="H3096" i="20"/>
  <c r="H3097" i="20"/>
  <c r="H3098" i="20"/>
  <c r="H3099" i="20"/>
  <c r="H3100" i="20"/>
  <c r="H3101" i="20"/>
  <c r="H3102" i="20"/>
  <c r="H3103" i="20"/>
  <c r="H3104" i="20"/>
  <c r="H3105" i="20"/>
  <c r="H3106" i="20"/>
  <c r="H3107" i="20"/>
  <c r="H3108" i="20"/>
  <c r="H3109" i="20"/>
  <c r="H3110" i="20"/>
  <c r="H3111" i="20"/>
  <c r="H3112" i="20"/>
  <c r="H3113" i="20"/>
  <c r="H3114" i="20"/>
  <c r="H3115" i="20"/>
  <c r="H3116" i="20"/>
  <c r="H3117" i="20"/>
  <c r="H3118" i="20"/>
  <c r="H3119" i="20"/>
  <c r="H3120" i="20"/>
  <c r="H3121" i="20"/>
  <c r="H3122" i="20"/>
  <c r="H3123" i="20"/>
  <c r="H3124" i="20"/>
  <c r="H3125" i="20"/>
  <c r="H3126" i="20"/>
  <c r="H3127" i="20"/>
  <c r="H3128" i="20"/>
  <c r="H3129" i="20"/>
  <c r="H3130" i="20"/>
  <c r="H3131" i="20"/>
  <c r="H3132" i="20"/>
  <c r="H3133" i="20"/>
  <c r="H3134" i="20"/>
  <c r="H3135" i="20"/>
  <c r="H3136" i="20"/>
  <c r="H3137" i="20"/>
  <c r="H3138" i="20"/>
  <c r="H3139" i="20"/>
  <c r="H3140" i="20"/>
  <c r="H3141" i="20"/>
  <c r="H3142" i="20"/>
  <c r="H3143" i="20"/>
  <c r="H3144" i="20"/>
  <c r="H3145" i="20"/>
  <c r="H3146" i="20"/>
  <c r="H3147" i="20"/>
  <c r="H3148" i="20"/>
  <c r="H3149" i="20"/>
  <c r="H3150" i="20"/>
  <c r="H3151" i="20"/>
  <c r="H3152" i="20"/>
  <c r="H3153" i="20"/>
  <c r="H3154" i="20"/>
  <c r="H3155" i="20"/>
  <c r="H3156" i="20"/>
  <c r="H3157" i="20"/>
  <c r="H3158" i="20"/>
  <c r="H3159" i="20"/>
  <c r="H3160" i="20"/>
  <c r="H3161" i="20"/>
  <c r="H3162" i="20"/>
  <c r="H3163" i="20"/>
  <c r="H3164" i="20"/>
  <c r="H3165" i="20"/>
  <c r="H3166" i="20"/>
  <c r="H3167" i="20"/>
  <c r="H3168" i="20"/>
  <c r="H3169" i="20"/>
  <c r="H3170" i="20"/>
  <c r="H3171" i="20"/>
  <c r="H3172" i="20"/>
  <c r="H3173" i="20"/>
  <c r="H3174" i="20"/>
  <c r="H3175" i="20"/>
  <c r="H3176" i="20"/>
  <c r="H3177" i="20"/>
  <c r="H3178" i="20"/>
  <c r="H3179" i="20"/>
  <c r="H3180" i="20"/>
  <c r="H3181" i="20"/>
  <c r="H3182" i="20"/>
  <c r="H3183" i="20"/>
  <c r="H3184" i="20"/>
  <c r="H3185" i="20"/>
  <c r="H3186" i="20"/>
  <c r="H3187" i="20"/>
  <c r="H3188" i="20"/>
  <c r="H3189" i="20"/>
  <c r="H3190" i="20"/>
  <c r="H3191" i="20"/>
  <c r="H3192" i="20"/>
  <c r="H3193" i="20"/>
  <c r="H3194" i="20"/>
  <c r="H3195" i="20"/>
  <c r="H3196" i="20"/>
  <c r="H3197" i="20"/>
  <c r="H3198" i="20"/>
  <c r="H3199" i="20"/>
  <c r="H3200" i="20"/>
  <c r="H3201" i="20"/>
  <c r="H3202" i="20"/>
  <c r="H3203" i="20"/>
  <c r="H3204" i="20"/>
  <c r="H3205" i="20"/>
  <c r="H3206" i="20"/>
  <c r="H3207" i="20"/>
  <c r="H3208" i="20"/>
  <c r="H3209" i="20"/>
  <c r="H3210" i="20"/>
  <c r="H3211" i="20"/>
  <c r="H3212" i="20"/>
  <c r="H3213" i="20"/>
  <c r="H3214" i="20"/>
  <c r="H3215" i="20"/>
  <c r="H3216" i="20"/>
  <c r="H3217" i="20"/>
  <c r="H3218" i="20"/>
  <c r="H3219" i="20"/>
  <c r="H3220" i="20"/>
  <c r="H3221" i="20"/>
  <c r="H3222" i="20"/>
  <c r="H3223" i="20"/>
  <c r="H3224" i="20"/>
  <c r="H3225" i="20"/>
  <c r="H3226" i="20"/>
  <c r="H3227" i="20"/>
  <c r="H3228" i="20"/>
  <c r="H3229" i="20"/>
  <c r="H3230" i="20"/>
  <c r="H3231" i="20"/>
  <c r="H3232" i="20"/>
  <c r="H3233" i="20"/>
  <c r="H3234" i="20"/>
  <c r="H3235" i="20"/>
  <c r="H3236" i="20"/>
  <c r="H3237" i="20"/>
  <c r="H3238" i="20"/>
  <c r="H3239" i="20"/>
  <c r="H3240" i="20"/>
  <c r="H3241" i="20"/>
  <c r="H3242" i="20"/>
  <c r="H3243" i="20"/>
  <c r="H3244" i="20"/>
  <c r="H3245" i="20"/>
  <c r="H3246" i="20"/>
  <c r="H3247" i="20"/>
  <c r="H3248" i="20"/>
  <c r="H3249" i="20"/>
  <c r="H3250" i="20"/>
  <c r="H3251" i="20"/>
  <c r="H3252" i="20"/>
  <c r="H3253" i="20"/>
  <c r="H3254" i="20"/>
  <c r="H3255" i="20"/>
  <c r="H3256" i="20"/>
  <c r="H3257" i="20"/>
  <c r="H3258" i="20"/>
  <c r="H3259" i="20"/>
  <c r="H3260" i="20"/>
  <c r="H3261" i="20"/>
  <c r="H3262" i="20"/>
  <c r="H3263" i="20"/>
  <c r="H3264" i="20"/>
  <c r="H3265" i="20"/>
  <c r="H3266" i="20"/>
  <c r="H3267" i="20"/>
  <c r="H3268" i="20"/>
  <c r="H3269" i="20"/>
  <c r="H3270" i="20"/>
  <c r="H3271" i="20"/>
  <c r="H3272" i="20"/>
  <c r="H3273" i="20"/>
  <c r="H3274" i="20"/>
  <c r="H3275" i="20"/>
  <c r="H3276" i="20"/>
  <c r="H3277" i="20"/>
  <c r="H3278" i="20"/>
  <c r="H3279" i="20"/>
  <c r="H3280" i="20"/>
  <c r="H3281" i="20"/>
  <c r="H3282" i="20"/>
  <c r="H3283" i="20"/>
  <c r="H3284" i="20"/>
  <c r="H3285" i="20"/>
  <c r="H3286" i="20"/>
  <c r="H3287" i="20"/>
  <c r="H3288" i="20"/>
  <c r="H3289" i="20"/>
  <c r="H3290" i="20"/>
  <c r="H3291" i="20"/>
  <c r="H3292" i="20"/>
  <c r="H3293" i="20"/>
  <c r="H3294" i="20"/>
  <c r="H3295" i="20"/>
  <c r="H3296" i="20"/>
  <c r="H3297" i="20"/>
  <c r="H3298" i="20"/>
  <c r="H3299" i="20"/>
  <c r="H3300" i="20"/>
  <c r="H3301" i="20"/>
  <c r="H3302" i="20"/>
  <c r="H3303" i="20"/>
  <c r="H3304" i="20"/>
  <c r="H3305" i="20"/>
  <c r="H3306" i="20"/>
  <c r="H3307" i="20"/>
  <c r="H3308" i="20"/>
  <c r="H3309" i="20"/>
  <c r="H3310" i="20"/>
  <c r="H3311" i="20"/>
  <c r="H3312" i="20"/>
  <c r="H3313" i="20"/>
  <c r="H3314" i="20"/>
  <c r="H3315" i="20"/>
  <c r="H3316" i="20"/>
  <c r="H3317" i="20"/>
  <c r="H3318" i="20"/>
  <c r="H3319" i="20"/>
  <c r="H3320" i="20"/>
  <c r="H3321" i="20"/>
  <c r="H3322" i="20"/>
  <c r="H3323" i="20"/>
  <c r="H3324" i="20"/>
  <c r="H3325" i="20"/>
  <c r="H3326" i="20"/>
  <c r="H3327" i="20"/>
  <c r="H3328" i="20"/>
  <c r="H3329" i="20"/>
  <c r="H3330" i="20"/>
  <c r="H3331" i="20"/>
  <c r="H3332" i="20"/>
  <c r="H3333" i="20"/>
  <c r="H3334" i="20"/>
  <c r="H3335" i="20"/>
  <c r="H3336" i="20"/>
  <c r="H3337" i="20"/>
  <c r="H3338" i="20"/>
  <c r="H3339" i="20"/>
  <c r="H3340" i="20"/>
  <c r="H3341" i="20"/>
  <c r="H3342" i="20"/>
  <c r="H3343" i="20"/>
  <c r="H3344" i="20"/>
  <c r="H3345" i="20"/>
  <c r="H3346" i="20"/>
  <c r="H3347" i="20"/>
  <c r="H3348" i="20"/>
  <c r="H3349" i="20"/>
  <c r="H3350" i="20"/>
  <c r="H3351" i="20"/>
  <c r="H3352" i="20"/>
  <c r="H3353" i="20"/>
  <c r="H3354" i="20"/>
  <c r="H3355" i="20"/>
  <c r="H3356" i="20"/>
  <c r="H3357" i="20"/>
  <c r="H3358" i="20"/>
  <c r="H3359" i="20"/>
  <c r="H3360" i="20"/>
  <c r="H3361" i="20"/>
  <c r="H3362" i="20"/>
  <c r="H3363" i="20"/>
  <c r="H3364" i="20"/>
  <c r="H3365" i="20"/>
  <c r="H3366" i="20"/>
  <c r="H3367" i="20"/>
  <c r="H3368" i="20"/>
  <c r="H3369" i="20"/>
  <c r="H3370" i="20"/>
  <c r="H3371" i="20"/>
  <c r="H3372" i="20"/>
  <c r="H3373" i="20"/>
  <c r="H3374" i="20"/>
  <c r="H3375" i="20"/>
  <c r="H3376" i="20"/>
  <c r="H3377" i="20"/>
  <c r="H3378" i="20"/>
  <c r="H3379" i="20"/>
  <c r="H3380" i="20"/>
  <c r="H3381" i="20"/>
  <c r="H3382" i="20"/>
  <c r="H3383" i="20"/>
  <c r="H3384" i="20"/>
  <c r="H3385" i="20"/>
  <c r="H3386" i="20"/>
  <c r="H3387" i="20"/>
  <c r="H3388" i="20"/>
  <c r="H3389" i="20"/>
  <c r="H3390" i="20"/>
  <c r="H3391" i="20"/>
  <c r="H3392" i="20"/>
  <c r="H3393" i="20"/>
  <c r="H3394" i="20"/>
  <c r="H3395" i="20"/>
  <c r="H3396" i="20"/>
  <c r="H3397" i="20"/>
  <c r="H3398" i="20"/>
  <c r="H3399" i="20"/>
  <c r="H3400" i="20"/>
  <c r="H3401" i="20"/>
  <c r="H3402" i="20"/>
  <c r="H3403" i="20"/>
  <c r="H3404" i="20"/>
  <c r="H3405" i="20"/>
  <c r="H3406" i="20"/>
  <c r="H3407" i="20"/>
  <c r="H3408" i="20"/>
  <c r="H3409" i="20"/>
  <c r="H3410" i="20"/>
  <c r="H3411" i="20"/>
  <c r="H3412" i="20"/>
  <c r="H3413" i="20"/>
  <c r="H3414" i="20"/>
  <c r="H3415" i="20"/>
  <c r="H3416" i="20"/>
  <c r="H3417" i="20"/>
  <c r="H3418" i="20"/>
  <c r="H3419" i="20"/>
  <c r="H3420" i="20"/>
  <c r="H3421" i="20"/>
  <c r="H3422" i="20"/>
  <c r="H3423" i="20"/>
  <c r="H3424" i="20"/>
  <c r="H3425" i="20"/>
  <c r="H3426" i="20"/>
  <c r="H3427" i="20"/>
  <c r="H3428" i="20"/>
  <c r="H3429" i="20"/>
  <c r="H3430" i="20"/>
  <c r="H3431" i="20"/>
  <c r="H3432" i="20"/>
  <c r="H3433" i="20"/>
  <c r="H3434" i="20"/>
  <c r="H3435" i="20"/>
  <c r="H3436" i="20"/>
  <c r="H3437" i="20"/>
  <c r="H3438" i="20"/>
  <c r="H3439" i="20"/>
  <c r="H3440" i="20"/>
  <c r="H3441" i="20"/>
  <c r="H3442" i="20"/>
  <c r="H3443" i="20"/>
  <c r="H3444" i="20"/>
  <c r="H3445" i="20"/>
  <c r="H3446" i="20"/>
  <c r="H3447" i="20"/>
  <c r="H3448" i="20"/>
  <c r="H3449" i="20"/>
  <c r="H3450" i="20"/>
  <c r="H3451" i="20"/>
  <c r="H3452" i="20"/>
  <c r="H3453" i="20"/>
  <c r="H3454" i="20"/>
  <c r="H3455" i="20"/>
  <c r="H3456" i="20"/>
  <c r="H3457" i="20"/>
  <c r="H3458" i="20"/>
  <c r="H3459" i="20"/>
  <c r="H3460" i="20"/>
  <c r="H3461" i="20"/>
  <c r="H3462" i="20"/>
  <c r="H3463" i="20"/>
  <c r="H3464" i="20"/>
  <c r="H3465" i="20"/>
  <c r="H3466" i="20"/>
  <c r="H3467" i="20"/>
  <c r="H3468" i="20"/>
  <c r="H3469" i="20"/>
  <c r="H3470" i="20"/>
  <c r="H3471" i="20"/>
  <c r="H3472" i="20"/>
  <c r="H3473" i="20"/>
  <c r="H3474" i="20"/>
  <c r="H3475" i="20"/>
  <c r="H3476" i="20"/>
  <c r="H3477" i="20"/>
  <c r="H3478" i="20"/>
  <c r="H3479" i="20"/>
  <c r="H3480" i="20"/>
  <c r="H3481" i="20"/>
  <c r="H3482" i="20"/>
  <c r="H3483" i="20"/>
  <c r="H3484" i="20"/>
  <c r="H3485" i="20"/>
  <c r="H3486" i="20"/>
  <c r="H3487" i="20"/>
  <c r="H3488" i="20"/>
  <c r="H3489" i="20"/>
  <c r="H3490" i="20"/>
  <c r="H3491" i="20"/>
  <c r="H3492" i="20"/>
  <c r="H3493" i="20"/>
  <c r="H3494" i="20"/>
  <c r="H3495" i="20"/>
  <c r="H3496" i="20"/>
  <c r="H3497" i="20"/>
  <c r="H3498" i="20"/>
  <c r="H3499" i="20"/>
  <c r="H3500" i="20"/>
  <c r="H3501" i="20"/>
  <c r="H3502" i="20"/>
  <c r="H3503" i="20"/>
  <c r="H3504" i="20"/>
  <c r="H3505" i="20"/>
  <c r="H3506" i="20"/>
  <c r="H3507" i="20"/>
  <c r="H3508" i="20"/>
  <c r="H3509" i="20"/>
  <c r="H3510" i="20"/>
  <c r="H3511" i="20"/>
  <c r="H3512" i="20"/>
  <c r="H3513" i="20"/>
  <c r="H3514" i="20"/>
  <c r="H3515" i="20"/>
  <c r="H3516" i="20"/>
  <c r="H3517" i="20"/>
  <c r="H3518" i="20"/>
  <c r="H3519" i="20"/>
  <c r="H3520" i="20"/>
  <c r="H3521" i="20"/>
  <c r="H3522" i="20"/>
  <c r="H3523" i="20"/>
  <c r="H3524" i="20"/>
  <c r="H3525" i="20"/>
  <c r="H3526" i="20"/>
  <c r="H3527" i="20"/>
  <c r="H3528" i="20"/>
  <c r="H3529" i="20"/>
  <c r="H3530" i="20"/>
  <c r="H3531" i="20"/>
  <c r="H3532" i="20"/>
  <c r="H3533" i="20"/>
  <c r="H3534" i="20"/>
  <c r="H3535" i="20"/>
  <c r="H3536" i="20"/>
  <c r="H3537" i="20"/>
  <c r="H3538" i="20"/>
  <c r="H3539" i="20"/>
  <c r="H3540" i="20"/>
  <c r="H3541" i="20"/>
  <c r="H3542" i="20"/>
  <c r="H3543" i="20"/>
  <c r="H3544" i="20"/>
  <c r="H3545" i="20"/>
  <c r="H3546" i="20"/>
  <c r="H3547" i="20"/>
  <c r="H3548" i="20"/>
  <c r="H3549" i="20"/>
  <c r="H3550" i="20"/>
  <c r="H3551" i="20"/>
  <c r="H3552" i="20"/>
  <c r="H3553" i="20"/>
  <c r="H3554" i="20"/>
  <c r="H3555" i="20"/>
  <c r="H3556" i="20"/>
  <c r="H3557" i="20"/>
  <c r="H3558" i="20"/>
  <c r="H3559" i="20"/>
  <c r="H3560" i="20"/>
  <c r="H3561" i="20"/>
  <c r="H3562" i="20"/>
  <c r="H3563" i="20"/>
  <c r="H3564" i="20"/>
  <c r="H3565" i="20"/>
  <c r="H3566" i="20"/>
  <c r="H3567" i="20"/>
  <c r="H3568" i="20"/>
  <c r="H3569" i="20"/>
  <c r="H3570" i="20"/>
  <c r="H3571" i="20"/>
  <c r="H3572" i="20"/>
  <c r="H3573" i="20"/>
  <c r="H3574" i="20"/>
  <c r="H3575" i="20"/>
  <c r="H3576" i="20"/>
  <c r="H3577" i="20"/>
  <c r="H3578" i="20"/>
  <c r="H3579" i="20"/>
  <c r="H3580" i="20"/>
  <c r="H3581" i="20"/>
  <c r="H3582" i="20"/>
  <c r="H3583" i="20"/>
  <c r="H3584" i="20"/>
  <c r="H3585" i="20"/>
  <c r="H3586" i="20"/>
  <c r="H3587" i="20"/>
  <c r="H3588" i="20"/>
  <c r="H3589" i="20"/>
  <c r="H3590" i="20"/>
  <c r="H3591" i="20"/>
  <c r="H3592" i="20"/>
  <c r="H3593" i="20"/>
  <c r="H3594" i="20"/>
  <c r="H3595" i="20"/>
  <c r="H3596" i="20"/>
  <c r="H3597" i="20"/>
  <c r="H3598" i="20"/>
  <c r="H3599" i="20"/>
  <c r="H3600" i="20"/>
  <c r="H3601" i="20"/>
  <c r="H3602" i="20"/>
  <c r="H3603" i="20"/>
  <c r="H3604" i="20"/>
  <c r="H3605" i="20"/>
  <c r="H3606" i="20"/>
  <c r="H3607" i="20"/>
  <c r="H3608" i="20"/>
  <c r="H3609" i="20"/>
  <c r="H3610" i="20"/>
  <c r="H3611" i="20"/>
  <c r="H3612" i="20"/>
  <c r="H3613" i="20"/>
  <c r="H3614" i="20"/>
  <c r="H3615" i="20"/>
  <c r="H3616" i="20"/>
  <c r="H3617" i="20"/>
  <c r="H3618" i="20"/>
  <c r="H3619" i="20"/>
  <c r="H3620" i="20"/>
  <c r="H3621" i="20"/>
  <c r="H3622" i="20"/>
  <c r="H3623" i="20"/>
  <c r="H3624" i="20"/>
  <c r="H3625" i="20"/>
  <c r="H3626" i="20"/>
  <c r="H3627" i="20"/>
  <c r="H3628" i="20"/>
  <c r="H3629" i="20"/>
  <c r="H3630" i="20"/>
  <c r="H3631" i="20"/>
  <c r="H3632" i="20"/>
  <c r="H3633" i="20"/>
  <c r="H3634" i="20"/>
  <c r="H3635" i="20"/>
  <c r="H3636" i="20"/>
  <c r="H3637" i="20"/>
  <c r="H3638" i="20"/>
  <c r="H3639" i="20"/>
  <c r="H3640" i="20"/>
  <c r="H3641" i="20"/>
  <c r="H3642" i="20"/>
  <c r="H3643" i="20"/>
  <c r="H3644" i="20"/>
  <c r="H3645" i="20"/>
  <c r="H3646" i="20"/>
  <c r="H3647" i="20"/>
  <c r="H3648" i="20"/>
  <c r="H3649" i="20"/>
  <c r="H3650" i="20"/>
  <c r="H3651" i="20"/>
  <c r="H3652" i="20"/>
  <c r="H3653" i="20"/>
  <c r="H3654" i="20"/>
  <c r="H3655" i="20"/>
  <c r="H3656" i="20"/>
  <c r="H3657" i="20"/>
  <c r="H3658" i="20"/>
  <c r="H3659" i="20"/>
  <c r="H3660" i="20"/>
  <c r="H3661" i="20"/>
  <c r="H3662" i="20"/>
  <c r="H3663" i="20"/>
  <c r="H3664" i="20"/>
  <c r="H3665" i="20"/>
  <c r="H3666" i="20"/>
  <c r="H3667" i="20"/>
  <c r="H3668" i="20"/>
  <c r="H3669" i="20"/>
  <c r="H3670" i="20"/>
  <c r="H3671" i="20"/>
  <c r="H3672" i="20"/>
  <c r="H3673" i="20"/>
  <c r="H3674" i="20"/>
  <c r="H3675" i="20"/>
  <c r="H3676" i="20"/>
  <c r="H3677" i="20"/>
  <c r="H3678" i="20"/>
  <c r="H3679" i="20"/>
  <c r="H3680" i="20"/>
  <c r="H3681" i="20"/>
  <c r="H3682" i="20"/>
  <c r="H3683" i="20"/>
  <c r="H3684" i="20"/>
  <c r="H3685" i="20"/>
  <c r="H3686" i="20"/>
  <c r="H3687" i="20"/>
  <c r="H3688" i="20"/>
  <c r="H3689" i="20"/>
  <c r="H3690" i="20"/>
  <c r="H3691" i="20"/>
  <c r="H3692" i="20"/>
  <c r="H3693" i="20"/>
  <c r="H3694" i="20"/>
  <c r="H3695" i="20"/>
  <c r="H3696" i="20"/>
  <c r="H3697" i="20"/>
  <c r="H3698" i="20"/>
  <c r="H3699" i="20"/>
  <c r="H3700" i="20"/>
  <c r="H3701" i="20"/>
  <c r="H3702" i="20"/>
  <c r="H3703" i="20"/>
  <c r="H3704" i="20"/>
  <c r="H3705" i="20"/>
  <c r="H3706" i="20"/>
  <c r="H3707" i="20"/>
  <c r="H3708" i="20"/>
  <c r="H3709" i="20"/>
  <c r="H3710" i="20"/>
  <c r="H3711" i="20"/>
  <c r="H3712" i="20"/>
  <c r="H3713" i="20"/>
  <c r="H3714" i="20"/>
  <c r="H3715" i="20"/>
  <c r="H3716" i="20"/>
  <c r="H3717" i="20"/>
  <c r="H3718" i="20"/>
  <c r="H3719" i="20"/>
  <c r="H3720" i="20"/>
  <c r="H3721" i="20"/>
  <c r="H3722" i="20"/>
  <c r="H3723" i="20"/>
  <c r="H3724" i="20"/>
  <c r="H3725" i="20"/>
  <c r="H3726" i="20"/>
  <c r="H3727" i="20"/>
  <c r="H3728" i="20"/>
  <c r="H3729" i="20"/>
  <c r="H3730" i="20"/>
  <c r="H3731" i="20"/>
  <c r="H3732" i="20"/>
  <c r="H3733" i="20"/>
  <c r="H3734" i="20"/>
  <c r="H3735" i="20"/>
  <c r="H3736" i="20"/>
  <c r="H3737" i="20"/>
  <c r="H3738" i="20"/>
  <c r="H3739" i="20"/>
  <c r="H3740" i="20"/>
  <c r="H3741" i="20"/>
  <c r="H3742" i="20"/>
  <c r="H3743" i="20"/>
  <c r="H3744" i="20"/>
  <c r="H3745" i="20"/>
  <c r="H3746" i="20"/>
  <c r="H3747" i="20"/>
  <c r="H3748" i="20"/>
  <c r="H3749" i="20"/>
  <c r="H3750" i="20"/>
  <c r="H3751" i="20"/>
  <c r="H3752" i="20"/>
  <c r="H3753" i="20"/>
  <c r="H3754" i="20"/>
  <c r="H3755" i="20"/>
  <c r="H3756" i="20"/>
  <c r="H3757" i="20"/>
  <c r="H3758" i="20"/>
  <c r="H3759" i="20"/>
  <c r="H3760" i="20"/>
  <c r="H3761" i="20"/>
  <c r="H3762" i="20"/>
  <c r="H3763" i="20"/>
  <c r="H3764" i="20"/>
  <c r="H3765" i="20"/>
  <c r="H3766" i="20"/>
  <c r="H3767" i="20"/>
  <c r="H3768" i="20"/>
  <c r="H3769" i="20"/>
  <c r="H3770" i="20"/>
  <c r="H3771" i="20"/>
  <c r="H3772" i="20"/>
  <c r="H3773" i="20"/>
  <c r="H3774" i="20"/>
  <c r="H3775" i="20"/>
  <c r="H3776" i="20"/>
  <c r="H3777" i="20"/>
  <c r="H3778" i="20"/>
  <c r="H3779" i="20"/>
  <c r="H3780" i="20"/>
  <c r="H3781" i="20"/>
  <c r="H3782" i="20"/>
  <c r="H3783" i="20"/>
  <c r="H3784" i="20"/>
  <c r="H3785" i="20"/>
  <c r="H3786" i="20"/>
  <c r="H3787" i="20"/>
  <c r="H3788" i="20"/>
  <c r="H3789" i="20"/>
  <c r="H3790" i="20"/>
  <c r="H3791" i="20"/>
  <c r="H3792" i="20"/>
  <c r="H3793" i="20"/>
  <c r="H3794" i="20"/>
  <c r="H3795" i="20"/>
  <c r="H3796" i="20"/>
  <c r="H3797" i="20"/>
  <c r="H3798" i="20"/>
  <c r="H3799" i="20"/>
  <c r="H3800" i="20"/>
  <c r="H3801" i="20"/>
  <c r="H3802" i="20"/>
  <c r="H3803" i="20"/>
  <c r="H3804" i="20"/>
  <c r="H3805" i="20"/>
  <c r="H3806" i="20"/>
  <c r="H3807" i="20"/>
  <c r="H3808" i="20"/>
  <c r="H3809" i="20"/>
  <c r="H3810" i="20"/>
  <c r="H3811" i="20"/>
  <c r="H3812" i="20"/>
  <c r="H3813" i="20"/>
  <c r="H3814" i="20"/>
  <c r="H3815" i="20"/>
  <c r="H3816" i="20"/>
  <c r="H3817" i="20"/>
  <c r="H3818" i="20"/>
  <c r="H3819" i="20"/>
  <c r="H3820" i="20"/>
  <c r="H3821" i="20"/>
  <c r="H3822" i="20"/>
  <c r="H3823" i="20"/>
  <c r="H3824" i="20"/>
  <c r="H3825" i="20"/>
  <c r="H3826" i="20"/>
  <c r="H3827" i="20"/>
  <c r="H3828" i="20"/>
  <c r="H3829" i="20"/>
  <c r="H3830" i="20"/>
  <c r="H3831" i="20"/>
  <c r="H3832" i="20"/>
  <c r="H3833" i="20"/>
  <c r="H3834" i="20"/>
  <c r="H3835" i="20"/>
  <c r="H3836" i="20"/>
  <c r="H3837" i="20"/>
  <c r="H3838" i="20"/>
  <c r="H3839" i="20"/>
  <c r="H3840" i="20"/>
  <c r="H3841" i="20"/>
  <c r="H3842" i="20"/>
  <c r="H3843" i="20"/>
  <c r="H3844" i="20"/>
  <c r="H3845" i="20"/>
  <c r="H3846" i="20"/>
  <c r="H3847" i="20"/>
  <c r="H3848" i="20"/>
  <c r="H3849" i="20"/>
  <c r="H3850" i="20"/>
  <c r="H3851" i="20"/>
  <c r="H3852" i="20"/>
  <c r="H3853" i="20"/>
  <c r="H3854" i="20"/>
  <c r="H3855" i="20"/>
  <c r="H3856" i="20"/>
  <c r="H3857" i="20"/>
  <c r="H3858" i="20"/>
  <c r="H3859" i="20"/>
  <c r="H3860" i="20"/>
  <c r="H3861" i="20"/>
  <c r="H3862" i="20"/>
  <c r="H3863" i="20"/>
  <c r="H3864" i="20"/>
  <c r="H3865" i="20"/>
  <c r="H3866" i="20"/>
  <c r="H3867" i="20"/>
  <c r="H3868" i="20"/>
  <c r="H3869" i="20"/>
  <c r="H3870" i="20"/>
  <c r="H3871" i="20"/>
  <c r="H3872" i="20"/>
  <c r="H3873" i="20"/>
  <c r="H3874" i="20"/>
  <c r="H3875" i="20"/>
  <c r="H3876" i="20"/>
  <c r="H3877" i="20"/>
  <c r="H3878" i="20"/>
  <c r="H3879" i="20"/>
  <c r="H3880" i="20"/>
  <c r="H3881" i="20"/>
  <c r="H3882" i="20"/>
  <c r="H3883" i="20"/>
  <c r="H3884" i="20"/>
  <c r="H3885" i="20"/>
  <c r="H3886" i="20"/>
  <c r="H3887" i="20"/>
  <c r="H3888" i="20"/>
  <c r="H3889" i="20"/>
  <c r="H3890" i="20"/>
  <c r="H3891" i="20"/>
  <c r="H3892" i="20"/>
  <c r="H3893" i="20"/>
  <c r="H3894" i="20"/>
  <c r="H3895" i="20"/>
  <c r="H3896" i="20"/>
  <c r="H3897" i="20"/>
  <c r="I2874" i="20"/>
  <c r="I2875" i="20"/>
  <c r="I2876" i="20"/>
  <c r="I2877" i="20"/>
  <c r="I2878" i="20"/>
  <c r="I2879" i="20"/>
  <c r="I2880" i="20"/>
  <c r="I2881" i="20"/>
  <c r="I2882" i="20"/>
  <c r="I2883" i="20"/>
  <c r="I2884" i="20"/>
  <c r="I2885" i="20"/>
  <c r="I2886" i="20"/>
  <c r="I2887" i="20"/>
  <c r="I2888" i="20"/>
  <c r="I2889" i="20"/>
  <c r="I2890" i="20"/>
  <c r="I2891" i="20"/>
  <c r="I2892" i="20"/>
  <c r="I2893" i="20"/>
  <c r="I2894" i="20"/>
  <c r="I2895" i="20"/>
  <c r="I2896" i="20"/>
  <c r="I2897" i="20"/>
  <c r="I2898" i="20"/>
  <c r="I2899" i="20"/>
  <c r="I2900" i="20"/>
  <c r="I2901" i="20"/>
  <c r="I2902" i="20"/>
  <c r="I2903" i="20"/>
  <c r="I2904" i="20"/>
  <c r="I2905" i="20"/>
  <c r="I2906" i="20"/>
  <c r="I2907" i="20"/>
  <c r="I2908" i="20"/>
  <c r="I2909" i="20"/>
  <c r="I2910" i="20"/>
  <c r="I2911" i="20"/>
  <c r="I2912" i="20"/>
  <c r="I2913" i="20"/>
  <c r="I2914" i="20"/>
  <c r="I2915" i="20"/>
  <c r="I2916" i="20"/>
  <c r="I2917" i="20"/>
  <c r="I2918" i="20"/>
  <c r="I2919" i="20"/>
  <c r="I2920" i="20"/>
  <c r="I2921" i="20"/>
  <c r="I2922" i="20"/>
  <c r="I2923" i="20"/>
  <c r="I2924" i="20"/>
  <c r="I2925" i="20"/>
  <c r="I2926" i="20"/>
  <c r="I2927" i="20"/>
  <c r="I2928" i="20"/>
  <c r="I2929" i="20"/>
  <c r="I2930" i="20"/>
  <c r="I2931" i="20"/>
  <c r="I2932" i="20"/>
  <c r="I2933" i="20"/>
  <c r="I2934" i="20"/>
  <c r="I2935" i="20"/>
  <c r="I2936" i="20"/>
  <c r="I2937" i="20"/>
  <c r="I2938" i="20"/>
  <c r="I2939" i="20"/>
  <c r="I2940" i="20"/>
  <c r="I2941" i="20"/>
  <c r="I2942" i="20"/>
  <c r="I2943" i="20"/>
  <c r="I2944" i="20"/>
  <c r="I2945" i="20"/>
  <c r="I2946" i="20"/>
  <c r="I2947" i="20"/>
  <c r="I2948" i="20"/>
  <c r="I2949" i="20"/>
  <c r="I2950" i="20"/>
  <c r="I2951" i="20"/>
  <c r="I2952" i="20"/>
  <c r="I2953" i="20"/>
  <c r="I2954" i="20"/>
  <c r="I2955" i="20"/>
  <c r="I2956" i="20"/>
  <c r="I2957" i="20"/>
  <c r="I2958" i="20"/>
  <c r="I2959" i="20"/>
  <c r="I2960" i="20"/>
  <c r="I2961" i="20"/>
  <c r="I2962" i="20"/>
  <c r="I2963" i="20"/>
  <c r="I2964" i="20"/>
  <c r="I2965" i="20"/>
  <c r="I2966" i="20"/>
  <c r="I2967" i="20"/>
  <c r="I2968" i="20"/>
  <c r="I2969" i="20"/>
  <c r="I2970" i="20"/>
  <c r="I2971" i="20"/>
  <c r="I2972" i="20"/>
  <c r="I2973" i="20"/>
  <c r="I2974" i="20"/>
  <c r="I2975" i="20"/>
  <c r="I2976" i="20"/>
  <c r="I2977" i="20"/>
  <c r="I2978" i="20"/>
  <c r="I2979" i="20"/>
  <c r="I2980" i="20"/>
  <c r="I2981" i="20"/>
  <c r="I2982" i="20"/>
  <c r="I2983" i="20"/>
  <c r="I2984" i="20"/>
  <c r="I2985" i="20"/>
  <c r="I2986" i="20"/>
  <c r="I2987" i="20"/>
  <c r="I2988" i="20"/>
  <c r="I2989" i="20"/>
  <c r="I2990" i="20"/>
  <c r="I2991" i="20"/>
  <c r="I2992" i="20"/>
  <c r="I2993" i="20"/>
  <c r="I2994" i="20"/>
  <c r="I2995" i="20"/>
  <c r="I2996" i="20"/>
  <c r="I2997" i="20"/>
  <c r="I2998" i="20"/>
  <c r="I2999" i="20"/>
  <c r="I3000" i="20"/>
  <c r="I3001" i="20"/>
  <c r="I3002" i="20"/>
  <c r="I3003" i="20"/>
  <c r="I3004" i="20"/>
  <c r="I3005" i="20"/>
  <c r="I3006" i="20"/>
  <c r="I3007" i="20"/>
  <c r="I3008" i="20"/>
  <c r="I3009" i="20"/>
  <c r="I3010" i="20"/>
  <c r="I3011" i="20"/>
  <c r="I3012" i="20"/>
  <c r="I3013" i="20"/>
  <c r="I3014" i="20"/>
  <c r="I3015" i="20"/>
  <c r="I3016" i="20"/>
  <c r="I3017" i="20"/>
  <c r="I3018" i="20"/>
  <c r="I3019" i="20"/>
  <c r="I3020" i="20"/>
  <c r="I3021" i="20"/>
  <c r="I3022" i="20"/>
  <c r="I3023" i="20"/>
  <c r="I3024" i="20"/>
  <c r="I3025" i="20"/>
  <c r="I3026" i="20"/>
  <c r="I3027" i="20"/>
  <c r="I3028" i="20"/>
  <c r="I3029" i="20"/>
  <c r="I3030" i="20"/>
  <c r="I3031" i="20"/>
  <c r="I3032" i="20"/>
  <c r="I3033" i="20"/>
  <c r="I3034" i="20"/>
  <c r="I3035" i="20"/>
  <c r="I3036" i="20"/>
  <c r="I3037" i="20"/>
  <c r="I3038" i="20"/>
  <c r="I3039" i="20"/>
  <c r="I3040" i="20"/>
  <c r="I3041" i="20"/>
  <c r="I3042" i="20"/>
  <c r="I3043" i="20"/>
  <c r="I3044" i="20"/>
  <c r="I3045" i="20"/>
  <c r="I3046" i="20"/>
  <c r="I3047" i="20"/>
  <c r="I3048" i="20"/>
  <c r="I3049" i="20"/>
  <c r="I3050" i="20"/>
  <c r="I3051" i="20"/>
  <c r="I3052" i="20"/>
  <c r="I3053" i="20"/>
  <c r="I3054" i="20"/>
  <c r="I3055" i="20"/>
  <c r="I3056" i="20"/>
  <c r="I3057" i="20"/>
  <c r="I3058" i="20"/>
  <c r="I3059" i="20"/>
  <c r="I3060" i="20"/>
  <c r="I3061" i="20"/>
  <c r="I3062" i="20"/>
  <c r="I3063" i="20"/>
  <c r="I3064" i="20"/>
  <c r="I3065" i="20"/>
  <c r="I3066" i="20"/>
  <c r="I3067" i="20"/>
  <c r="I3068" i="20"/>
  <c r="I3069" i="20"/>
  <c r="I3070" i="20"/>
  <c r="I3071" i="20"/>
  <c r="I3072" i="20"/>
  <c r="I3073" i="20"/>
  <c r="I3074" i="20"/>
  <c r="I3075" i="20"/>
  <c r="I3076" i="20"/>
  <c r="I3077" i="20"/>
  <c r="I3078" i="20"/>
  <c r="I3079" i="20"/>
  <c r="I3080" i="20"/>
  <c r="I3081" i="20"/>
  <c r="I3082" i="20"/>
  <c r="I3083" i="20"/>
  <c r="I3084" i="20"/>
  <c r="I3085" i="20"/>
  <c r="I3086" i="20"/>
  <c r="I3087" i="20"/>
  <c r="I3088" i="20"/>
  <c r="I3089" i="20"/>
  <c r="I3090" i="20"/>
  <c r="I3091" i="20"/>
  <c r="I3092" i="20"/>
  <c r="I3093" i="20"/>
  <c r="I3094" i="20"/>
  <c r="I3095" i="20"/>
  <c r="I3096" i="20"/>
  <c r="I3097" i="20"/>
  <c r="I3098" i="20"/>
  <c r="I3099" i="20"/>
  <c r="I3100" i="20"/>
  <c r="I3101" i="20"/>
  <c r="I3102" i="20"/>
  <c r="I3103" i="20"/>
  <c r="I3104" i="20"/>
  <c r="I3105" i="20"/>
  <c r="I3106" i="20"/>
  <c r="I3107" i="20"/>
  <c r="I3108" i="20"/>
  <c r="I3109" i="20"/>
  <c r="I3110" i="20"/>
  <c r="I3111" i="20"/>
  <c r="I3112" i="20"/>
  <c r="I3113" i="20"/>
  <c r="I3114" i="20"/>
  <c r="I3115" i="20"/>
  <c r="I3116" i="20"/>
  <c r="I3117" i="20"/>
  <c r="I3118" i="20"/>
  <c r="I3119" i="20"/>
  <c r="I3120" i="20"/>
  <c r="I3121" i="20"/>
  <c r="I3122" i="20"/>
  <c r="I3123" i="20"/>
  <c r="I3124" i="20"/>
  <c r="I3125" i="20"/>
  <c r="I3126" i="20"/>
  <c r="I3127" i="20"/>
  <c r="I3128" i="20"/>
  <c r="I3129" i="20"/>
  <c r="I3130" i="20"/>
  <c r="I3131" i="20"/>
  <c r="I3132" i="20"/>
  <c r="I3133" i="20"/>
  <c r="I3134" i="20"/>
  <c r="I3135" i="20"/>
  <c r="I3136" i="20"/>
  <c r="I3137" i="20"/>
  <c r="I3138" i="20"/>
  <c r="I3139" i="20"/>
  <c r="I3140" i="20"/>
  <c r="I3141" i="20"/>
  <c r="I3142" i="20"/>
  <c r="I3143" i="20"/>
  <c r="I3144" i="20"/>
  <c r="I3145" i="20"/>
  <c r="I3146" i="20"/>
  <c r="I3147" i="20"/>
  <c r="I3148" i="20"/>
  <c r="I3149" i="20"/>
  <c r="I3150" i="20"/>
  <c r="I3151" i="20"/>
  <c r="I3152" i="20"/>
  <c r="I3153" i="20"/>
  <c r="I3154" i="20"/>
  <c r="I3155" i="20"/>
  <c r="I3156" i="20"/>
  <c r="I3157" i="20"/>
  <c r="I3158" i="20"/>
  <c r="I3159" i="20"/>
  <c r="I3160" i="20"/>
  <c r="I3161" i="20"/>
  <c r="I3162" i="20"/>
  <c r="I3163" i="20"/>
  <c r="I3164" i="20"/>
  <c r="I3165" i="20"/>
  <c r="I3166" i="20"/>
  <c r="I3167" i="20"/>
  <c r="I3168" i="20"/>
  <c r="I3169" i="20"/>
  <c r="I3170" i="20"/>
  <c r="I3171" i="20"/>
  <c r="I3172" i="20"/>
  <c r="I3173" i="20"/>
  <c r="I3174" i="20"/>
  <c r="I3175" i="20"/>
  <c r="I3176" i="20"/>
  <c r="I3177" i="20"/>
  <c r="I3178" i="20"/>
  <c r="I3179" i="20"/>
  <c r="I3180" i="20"/>
  <c r="I3181" i="20"/>
  <c r="I3182" i="20"/>
  <c r="I3183" i="20"/>
  <c r="I3184" i="20"/>
  <c r="I3185" i="20"/>
  <c r="I3186" i="20"/>
  <c r="I3187" i="20"/>
  <c r="I3188" i="20"/>
  <c r="I3189" i="20"/>
  <c r="I3190" i="20"/>
  <c r="I3191" i="20"/>
  <c r="I3192" i="20"/>
  <c r="I3193" i="20"/>
  <c r="I3194" i="20"/>
  <c r="I3195" i="20"/>
  <c r="I3196" i="20"/>
  <c r="I3197" i="20"/>
  <c r="I3198" i="20"/>
  <c r="I3199" i="20"/>
  <c r="I3200" i="20"/>
  <c r="I3201" i="20"/>
  <c r="I3202" i="20"/>
  <c r="I3203" i="20"/>
  <c r="I3204" i="20"/>
  <c r="I3205" i="20"/>
  <c r="I3206" i="20"/>
  <c r="I3207" i="20"/>
  <c r="I3208" i="20"/>
  <c r="I3209" i="20"/>
  <c r="I3210" i="20"/>
  <c r="I3211" i="20"/>
  <c r="I3212" i="20"/>
  <c r="I3213" i="20"/>
  <c r="I3214" i="20"/>
  <c r="I3215" i="20"/>
  <c r="I3216" i="20"/>
  <c r="I3217" i="20"/>
  <c r="I3218" i="20"/>
  <c r="I3219" i="20"/>
  <c r="I3220" i="20"/>
  <c r="I3221" i="20"/>
  <c r="I3222" i="20"/>
  <c r="I3223" i="20"/>
  <c r="I3224" i="20"/>
  <c r="I3225" i="20"/>
  <c r="I3226" i="20"/>
  <c r="I3227" i="20"/>
  <c r="I3228" i="20"/>
  <c r="I3229" i="20"/>
  <c r="I3230" i="20"/>
  <c r="I3231" i="20"/>
  <c r="I3232" i="20"/>
  <c r="I3233" i="20"/>
  <c r="I3234" i="20"/>
  <c r="I3235" i="20"/>
  <c r="I3236" i="20"/>
  <c r="I3237" i="20"/>
  <c r="I3238" i="20"/>
  <c r="I3239" i="20"/>
  <c r="I3240" i="20"/>
  <c r="I3241" i="20"/>
  <c r="I3242" i="20"/>
  <c r="I3243" i="20"/>
  <c r="I3244" i="20"/>
  <c r="I3245" i="20"/>
  <c r="I3246" i="20"/>
  <c r="I3247" i="20"/>
  <c r="I3248" i="20"/>
  <c r="I3249" i="20"/>
  <c r="I3250" i="20"/>
  <c r="I3251" i="20"/>
  <c r="I3252" i="20"/>
  <c r="I3253" i="20"/>
  <c r="I3254" i="20"/>
  <c r="I3255" i="20"/>
  <c r="I3256" i="20"/>
  <c r="I3257" i="20"/>
  <c r="I3258" i="20"/>
  <c r="I3259" i="20"/>
  <c r="I3260" i="20"/>
  <c r="I3261" i="20"/>
  <c r="I3262" i="20"/>
  <c r="I3263" i="20"/>
  <c r="I3264" i="20"/>
  <c r="I3265" i="20"/>
  <c r="I3266" i="20"/>
  <c r="I3267" i="20"/>
  <c r="I3268" i="20"/>
  <c r="I3269" i="20"/>
  <c r="I3270" i="20"/>
  <c r="I3271" i="20"/>
  <c r="I3272" i="20"/>
  <c r="I3273" i="20"/>
  <c r="I3274" i="20"/>
  <c r="I3275" i="20"/>
  <c r="I3276" i="20"/>
  <c r="I3277" i="20"/>
  <c r="I3278" i="20"/>
  <c r="I3279" i="20"/>
  <c r="I3280" i="20"/>
  <c r="I3281" i="20"/>
  <c r="I3282" i="20"/>
  <c r="I3283" i="20"/>
  <c r="I3284" i="20"/>
  <c r="I3285" i="20"/>
  <c r="I3286" i="20"/>
  <c r="I3287" i="20"/>
  <c r="I3288" i="20"/>
  <c r="I3289" i="20"/>
  <c r="I3290" i="20"/>
  <c r="I3291" i="20"/>
  <c r="I3292" i="20"/>
  <c r="I3293" i="20"/>
  <c r="I3294" i="20"/>
  <c r="I3295" i="20"/>
  <c r="I3296" i="20"/>
  <c r="I3297" i="20"/>
  <c r="I3298" i="20"/>
  <c r="I3299" i="20"/>
  <c r="I3300" i="20"/>
  <c r="I3301" i="20"/>
  <c r="I3302" i="20"/>
  <c r="I3303" i="20"/>
  <c r="I3304" i="20"/>
  <c r="I3305" i="20"/>
  <c r="I3306" i="20"/>
  <c r="I3307" i="20"/>
  <c r="I3308" i="20"/>
  <c r="I3309" i="20"/>
  <c r="I3310" i="20"/>
  <c r="I3311" i="20"/>
  <c r="I3312" i="20"/>
  <c r="I3313" i="20"/>
  <c r="I3314" i="20"/>
  <c r="I3315" i="20"/>
  <c r="I3316" i="20"/>
  <c r="I3317" i="20"/>
  <c r="I3318" i="20"/>
  <c r="I3319" i="20"/>
  <c r="I3320" i="20"/>
  <c r="I3321" i="20"/>
  <c r="I3322" i="20"/>
  <c r="I3323" i="20"/>
  <c r="I3324" i="20"/>
  <c r="I3325" i="20"/>
  <c r="I3326" i="20"/>
  <c r="I3327" i="20"/>
  <c r="I3328" i="20"/>
  <c r="I3329" i="20"/>
  <c r="I3330" i="20"/>
  <c r="I3331" i="20"/>
  <c r="I3332" i="20"/>
  <c r="I3333" i="20"/>
  <c r="I3334" i="20"/>
  <c r="I3335" i="20"/>
  <c r="I3336" i="20"/>
  <c r="I3337" i="20"/>
  <c r="I3338" i="20"/>
  <c r="I3339" i="20"/>
  <c r="I3340" i="20"/>
  <c r="I3341" i="20"/>
  <c r="I3342" i="20"/>
  <c r="I3343" i="20"/>
  <c r="I3344" i="20"/>
  <c r="I3345" i="20"/>
  <c r="I3346" i="20"/>
  <c r="I3347" i="20"/>
  <c r="I3348" i="20"/>
  <c r="I3349" i="20"/>
  <c r="I3350" i="20"/>
  <c r="I3351" i="20"/>
  <c r="I3352" i="20"/>
  <c r="I3353" i="20"/>
  <c r="I3354" i="20"/>
  <c r="I3355" i="20"/>
  <c r="I3356" i="20"/>
  <c r="I3357" i="20"/>
  <c r="I3358" i="20"/>
  <c r="I3359" i="20"/>
  <c r="I3360" i="20"/>
  <c r="I3361" i="20"/>
  <c r="I3362" i="20"/>
  <c r="I3363" i="20"/>
  <c r="I3364" i="20"/>
  <c r="I3365" i="20"/>
  <c r="I3366" i="20"/>
  <c r="I3367" i="20"/>
  <c r="I3368" i="20"/>
  <c r="I3369" i="20"/>
  <c r="I3370" i="20"/>
  <c r="I3371" i="20"/>
  <c r="I3372" i="20"/>
  <c r="I3373" i="20"/>
  <c r="I3374" i="20"/>
  <c r="I3375" i="20"/>
  <c r="I3376" i="20"/>
  <c r="I3377" i="20"/>
  <c r="I3378" i="20"/>
  <c r="I3379" i="20"/>
  <c r="I3380" i="20"/>
  <c r="I3381" i="20"/>
  <c r="I3382" i="20"/>
  <c r="I3383" i="20"/>
  <c r="I3384" i="20"/>
  <c r="I3385" i="20"/>
  <c r="I3386" i="20"/>
  <c r="I3387" i="20"/>
  <c r="I3388" i="20"/>
  <c r="I3389" i="20"/>
  <c r="I3390" i="20"/>
  <c r="I3391" i="20"/>
  <c r="I3392" i="20"/>
  <c r="I3393" i="20"/>
  <c r="I3394" i="20"/>
  <c r="I3395" i="20"/>
  <c r="I3396" i="20"/>
  <c r="I3397" i="20"/>
  <c r="I3398" i="20"/>
  <c r="I3399" i="20"/>
  <c r="I3400" i="20"/>
  <c r="I3401" i="20"/>
  <c r="I3402" i="20"/>
  <c r="I3403" i="20"/>
  <c r="I3404" i="20"/>
  <c r="I3405" i="20"/>
  <c r="I3406" i="20"/>
  <c r="I3407" i="20"/>
  <c r="I3408" i="20"/>
  <c r="I3409" i="20"/>
  <c r="I3410" i="20"/>
  <c r="I3411" i="20"/>
  <c r="I3412" i="20"/>
  <c r="I3413" i="20"/>
  <c r="I3414" i="20"/>
  <c r="I3415" i="20"/>
  <c r="I3416" i="20"/>
  <c r="I3417" i="20"/>
  <c r="I3418" i="20"/>
  <c r="I3419" i="20"/>
  <c r="I3420" i="20"/>
  <c r="I3421" i="20"/>
  <c r="I3422" i="20"/>
  <c r="I3423" i="20"/>
  <c r="I3424" i="20"/>
  <c r="I3425" i="20"/>
  <c r="I3426" i="20"/>
  <c r="I3427" i="20"/>
  <c r="I3428" i="20"/>
  <c r="I3429" i="20"/>
  <c r="I3430" i="20"/>
  <c r="I3431" i="20"/>
  <c r="I3432" i="20"/>
  <c r="I3433" i="20"/>
  <c r="I3434" i="20"/>
  <c r="I3435" i="20"/>
  <c r="I3436" i="20"/>
  <c r="I3437" i="20"/>
  <c r="I3438" i="20"/>
  <c r="I3439" i="20"/>
  <c r="I3440" i="20"/>
  <c r="I3441" i="20"/>
  <c r="I3442" i="20"/>
  <c r="I3443" i="20"/>
  <c r="I3444" i="20"/>
  <c r="I3445" i="20"/>
  <c r="I3446" i="20"/>
  <c r="I3447" i="20"/>
  <c r="I3448" i="20"/>
  <c r="I3449" i="20"/>
  <c r="I3450" i="20"/>
  <c r="I3451" i="20"/>
  <c r="I3452" i="20"/>
  <c r="I3453" i="20"/>
  <c r="I3454" i="20"/>
  <c r="I3455" i="20"/>
  <c r="I3456" i="20"/>
  <c r="I3457" i="20"/>
  <c r="I3458" i="20"/>
  <c r="I3459" i="20"/>
  <c r="I3460" i="20"/>
  <c r="I3461" i="20"/>
  <c r="I3462" i="20"/>
  <c r="I3463" i="20"/>
  <c r="I3464" i="20"/>
  <c r="I3465" i="20"/>
  <c r="I3466" i="20"/>
  <c r="I3467" i="20"/>
  <c r="I3468" i="20"/>
  <c r="I3469" i="20"/>
  <c r="I3470" i="20"/>
  <c r="I3471" i="20"/>
  <c r="I3472" i="20"/>
  <c r="I3473" i="20"/>
  <c r="I3474" i="20"/>
  <c r="I3475" i="20"/>
  <c r="I3476" i="20"/>
  <c r="I3477" i="20"/>
  <c r="I3478" i="20"/>
  <c r="I3479" i="20"/>
  <c r="I3480" i="20"/>
  <c r="I3481" i="20"/>
  <c r="I3482" i="20"/>
  <c r="I3483" i="20"/>
  <c r="I3484" i="20"/>
  <c r="I3485" i="20"/>
  <c r="I3486" i="20"/>
  <c r="I3487" i="20"/>
  <c r="I3488" i="20"/>
  <c r="I3489" i="20"/>
  <c r="I3490" i="20"/>
  <c r="I3491" i="20"/>
  <c r="I3492" i="20"/>
  <c r="I3493" i="20"/>
  <c r="I3494" i="20"/>
  <c r="I3495" i="20"/>
  <c r="I3496" i="20"/>
  <c r="I3497" i="20"/>
  <c r="I3498" i="20"/>
  <c r="I3499" i="20"/>
  <c r="I3500" i="20"/>
  <c r="I3501" i="20"/>
  <c r="I3502" i="20"/>
  <c r="I3503" i="20"/>
  <c r="I3504" i="20"/>
  <c r="I3505" i="20"/>
  <c r="I3506" i="20"/>
  <c r="I3507" i="20"/>
  <c r="I3508" i="20"/>
  <c r="I3509" i="20"/>
  <c r="I3510" i="20"/>
  <c r="I3511" i="20"/>
  <c r="I3512" i="20"/>
  <c r="I3513" i="20"/>
  <c r="I3514" i="20"/>
  <c r="I3515" i="20"/>
  <c r="I3516" i="20"/>
  <c r="I3517" i="20"/>
  <c r="I3518" i="20"/>
  <c r="I3519" i="20"/>
  <c r="I3520" i="20"/>
  <c r="I3521" i="20"/>
  <c r="I3522" i="20"/>
  <c r="I3523" i="20"/>
  <c r="I3524" i="20"/>
  <c r="I3525" i="20"/>
  <c r="I3526" i="20"/>
  <c r="I3527" i="20"/>
  <c r="I3528" i="20"/>
  <c r="I3529" i="20"/>
  <c r="I3530" i="20"/>
  <c r="I3531" i="20"/>
  <c r="I3532" i="20"/>
  <c r="I3533" i="20"/>
  <c r="I3534" i="20"/>
  <c r="I3535" i="20"/>
  <c r="I3536" i="20"/>
  <c r="I3537" i="20"/>
  <c r="I3538" i="20"/>
  <c r="I3539" i="20"/>
  <c r="I3540" i="20"/>
  <c r="I3541" i="20"/>
  <c r="I3542" i="20"/>
  <c r="I3543" i="20"/>
  <c r="I3544" i="20"/>
  <c r="I3545" i="20"/>
  <c r="I3546" i="20"/>
  <c r="I3547" i="20"/>
  <c r="I3548" i="20"/>
  <c r="I3549" i="20"/>
  <c r="I3550" i="20"/>
  <c r="I3551" i="20"/>
  <c r="I3552" i="20"/>
  <c r="I3553" i="20"/>
  <c r="I3554" i="20"/>
  <c r="I3555" i="20"/>
  <c r="I3556" i="20"/>
  <c r="I3557" i="20"/>
  <c r="I3558" i="20"/>
  <c r="I3559" i="20"/>
  <c r="I3560" i="20"/>
  <c r="I3561" i="20"/>
  <c r="I3562" i="20"/>
  <c r="I3563" i="20"/>
  <c r="I3564" i="20"/>
  <c r="I3565" i="20"/>
  <c r="I3566" i="20"/>
  <c r="I3567" i="20"/>
  <c r="I3568" i="20"/>
  <c r="I3569" i="20"/>
  <c r="I3570" i="20"/>
  <c r="I3571" i="20"/>
  <c r="I3572" i="20"/>
  <c r="I3573" i="20"/>
  <c r="I3574" i="20"/>
  <c r="I3575" i="20"/>
  <c r="I3576" i="20"/>
  <c r="I3577" i="20"/>
  <c r="I3578" i="20"/>
  <c r="I3579" i="20"/>
  <c r="I3580" i="20"/>
  <c r="I3581" i="20"/>
  <c r="I3582" i="20"/>
  <c r="I3583" i="20"/>
  <c r="I3584" i="20"/>
  <c r="I3585" i="20"/>
  <c r="I3586" i="20"/>
  <c r="I3587" i="20"/>
  <c r="I3588" i="20"/>
  <c r="I3589" i="20"/>
  <c r="I3590" i="20"/>
  <c r="I3591" i="20"/>
  <c r="I3592" i="20"/>
  <c r="I3593" i="20"/>
  <c r="I3594" i="20"/>
  <c r="I3595" i="20"/>
  <c r="I3596" i="20"/>
  <c r="I3597" i="20"/>
  <c r="I3598" i="20"/>
  <c r="I3599" i="20"/>
  <c r="I3600" i="20"/>
  <c r="I3601" i="20"/>
  <c r="I3602" i="20"/>
  <c r="I3603" i="20"/>
  <c r="I3604" i="20"/>
  <c r="I3605" i="20"/>
  <c r="I3606" i="20"/>
  <c r="I3607" i="20"/>
  <c r="I3608" i="20"/>
  <c r="I3609" i="20"/>
  <c r="I3610" i="20"/>
  <c r="I3611" i="20"/>
  <c r="I3612" i="20"/>
  <c r="I3613" i="20"/>
  <c r="I3614" i="20"/>
  <c r="I3615" i="20"/>
  <c r="I3616" i="20"/>
  <c r="I3617" i="20"/>
  <c r="I3618" i="20"/>
  <c r="I3619" i="20"/>
  <c r="I3620" i="20"/>
  <c r="I3621" i="20"/>
  <c r="I3622" i="20"/>
  <c r="I3623" i="20"/>
  <c r="I3624" i="20"/>
  <c r="I3625" i="20"/>
  <c r="I3626" i="20"/>
  <c r="I3627" i="20"/>
  <c r="I3628" i="20"/>
  <c r="I3629" i="20"/>
  <c r="I3630" i="20"/>
  <c r="I3631" i="20"/>
  <c r="I3632" i="20"/>
  <c r="I3633" i="20"/>
  <c r="I3634" i="20"/>
  <c r="I3635" i="20"/>
  <c r="I3636" i="20"/>
  <c r="I3637" i="20"/>
  <c r="I3638" i="20"/>
  <c r="I3639" i="20"/>
  <c r="I3640" i="20"/>
  <c r="I3641" i="20"/>
  <c r="I3642" i="20"/>
  <c r="I3643" i="20"/>
  <c r="I3644" i="20"/>
  <c r="I3645" i="20"/>
  <c r="I3646" i="20"/>
  <c r="I3647" i="20"/>
  <c r="I3648" i="20"/>
  <c r="I3649" i="20"/>
  <c r="I3650" i="20"/>
  <c r="I3651" i="20"/>
  <c r="I3652" i="20"/>
  <c r="I3653" i="20"/>
  <c r="I3654" i="20"/>
  <c r="I3655" i="20"/>
  <c r="I3656" i="20"/>
  <c r="I3657" i="20"/>
  <c r="I3658" i="20"/>
  <c r="I3659" i="20"/>
  <c r="I3660" i="20"/>
  <c r="I3661" i="20"/>
  <c r="I3662" i="20"/>
  <c r="I3663" i="20"/>
  <c r="I3664" i="20"/>
  <c r="I3665" i="20"/>
  <c r="I3666" i="20"/>
  <c r="I3667" i="20"/>
  <c r="I3668" i="20"/>
  <c r="I3669" i="20"/>
  <c r="I3670" i="20"/>
  <c r="I3671" i="20"/>
  <c r="I3672" i="20"/>
  <c r="I3673" i="20"/>
  <c r="I3674" i="20"/>
  <c r="I3675" i="20"/>
  <c r="I3676" i="20"/>
  <c r="I3677" i="20"/>
  <c r="I3678" i="20"/>
  <c r="I3679" i="20"/>
  <c r="I3680" i="20"/>
  <c r="I3681" i="20"/>
  <c r="I3682" i="20"/>
  <c r="I3683" i="20"/>
  <c r="I3684" i="20"/>
  <c r="I3685" i="20"/>
  <c r="I3686" i="20"/>
  <c r="I3687" i="20"/>
  <c r="I3688" i="20"/>
  <c r="I3689" i="20"/>
  <c r="I3690" i="20"/>
  <c r="I3691" i="20"/>
  <c r="I3692" i="20"/>
  <c r="I3693" i="20"/>
  <c r="I3694" i="20"/>
  <c r="I3695" i="20"/>
  <c r="I3696" i="20"/>
  <c r="I3697" i="20"/>
  <c r="I3698" i="20"/>
  <c r="I3699" i="20"/>
  <c r="I3700" i="20"/>
  <c r="I3701" i="20"/>
  <c r="I3702" i="20"/>
  <c r="I3703" i="20"/>
  <c r="I3704" i="20"/>
  <c r="I3705" i="20"/>
  <c r="I3706" i="20"/>
  <c r="I3707" i="20"/>
  <c r="I3708" i="20"/>
  <c r="I3709" i="20"/>
  <c r="I3710" i="20"/>
  <c r="I3711" i="20"/>
  <c r="I3712" i="20"/>
  <c r="I3713" i="20"/>
  <c r="I3714" i="20"/>
  <c r="I3715" i="20"/>
  <c r="I3716" i="20"/>
  <c r="I3717" i="20"/>
  <c r="I3718" i="20"/>
  <c r="I3719" i="20"/>
  <c r="I3720" i="20"/>
  <c r="I3721" i="20"/>
  <c r="I3722" i="20"/>
  <c r="I3723" i="20"/>
  <c r="I3724" i="20"/>
  <c r="I3725" i="20"/>
  <c r="I3726" i="20"/>
  <c r="I3727" i="20"/>
  <c r="I3728" i="20"/>
  <c r="I3729" i="20"/>
  <c r="I3730" i="20"/>
  <c r="I3731" i="20"/>
  <c r="I3732" i="20"/>
  <c r="I3733" i="20"/>
  <c r="I3734" i="20"/>
  <c r="I3735" i="20"/>
  <c r="I3736" i="20"/>
  <c r="I3737" i="20"/>
  <c r="I3738" i="20"/>
  <c r="I3739" i="20"/>
  <c r="I3740" i="20"/>
  <c r="I3741" i="20"/>
  <c r="I3742" i="20"/>
  <c r="I3743" i="20"/>
  <c r="I3744" i="20"/>
  <c r="I3745" i="20"/>
  <c r="I3746" i="20"/>
  <c r="I3747" i="20"/>
  <c r="I3748" i="20"/>
  <c r="I3749" i="20"/>
  <c r="I3750" i="20"/>
  <c r="I3751" i="20"/>
  <c r="I3752" i="20"/>
  <c r="I3753" i="20"/>
  <c r="I3754" i="20"/>
  <c r="I3755" i="20"/>
  <c r="I3756" i="20"/>
  <c r="I3757" i="20"/>
  <c r="I3758" i="20"/>
  <c r="I3759" i="20"/>
  <c r="I3760" i="20"/>
  <c r="I3761" i="20"/>
  <c r="I3762" i="20"/>
  <c r="I3763" i="20"/>
  <c r="I3764" i="20"/>
  <c r="I3765" i="20"/>
  <c r="I3766" i="20"/>
  <c r="I3767" i="20"/>
  <c r="I3768" i="20"/>
  <c r="I3769" i="20"/>
  <c r="I3770" i="20"/>
  <c r="I3771" i="20"/>
  <c r="I3772" i="20"/>
  <c r="I3773" i="20"/>
  <c r="I3774" i="20"/>
  <c r="I3775" i="20"/>
  <c r="I3776" i="20"/>
  <c r="I3777" i="20"/>
  <c r="I3778" i="20"/>
  <c r="I3779" i="20"/>
  <c r="I3780" i="20"/>
  <c r="I3781" i="20"/>
  <c r="I3782" i="20"/>
  <c r="I3783" i="20"/>
  <c r="I3784" i="20"/>
  <c r="I3785" i="20"/>
  <c r="I3786" i="20"/>
  <c r="I3787" i="20"/>
  <c r="I3788" i="20"/>
  <c r="I3789" i="20"/>
  <c r="I3790" i="20"/>
  <c r="I3791" i="20"/>
  <c r="I3792" i="20"/>
  <c r="I3793" i="20"/>
  <c r="I3794" i="20"/>
  <c r="I3795" i="20"/>
  <c r="I3796" i="20"/>
  <c r="I3797" i="20"/>
  <c r="I3798" i="20"/>
  <c r="I3799" i="20"/>
  <c r="I3800" i="20"/>
  <c r="I3801" i="20"/>
  <c r="I3802" i="20"/>
  <c r="I3803" i="20"/>
  <c r="I3804" i="20"/>
  <c r="I3805" i="20"/>
  <c r="I3806" i="20"/>
  <c r="I3807" i="20"/>
  <c r="I3808" i="20"/>
  <c r="I3809" i="20"/>
  <c r="I3810" i="20"/>
  <c r="I3811" i="20"/>
  <c r="I3812" i="20"/>
  <c r="I3813" i="20"/>
  <c r="I3814" i="20"/>
  <c r="I3815" i="20"/>
  <c r="I3816" i="20"/>
  <c r="I3817" i="20"/>
  <c r="I3818" i="20"/>
  <c r="I3819" i="20"/>
  <c r="I3820" i="20"/>
  <c r="I3821" i="20"/>
  <c r="I3822" i="20"/>
  <c r="I3823" i="20"/>
  <c r="I3824" i="20"/>
  <c r="I3825" i="20"/>
  <c r="I3826" i="20"/>
  <c r="I3827" i="20"/>
  <c r="I3828" i="20"/>
  <c r="I3829" i="20"/>
  <c r="I3830" i="20"/>
  <c r="I3831" i="20"/>
  <c r="I3832" i="20"/>
  <c r="I3833" i="20"/>
  <c r="I3834" i="20"/>
  <c r="I3835" i="20"/>
  <c r="I3836" i="20"/>
  <c r="I3837" i="20"/>
  <c r="I3838" i="20"/>
  <c r="I3839" i="20"/>
  <c r="I3840" i="20"/>
  <c r="I3841" i="20"/>
  <c r="I3842" i="20"/>
  <c r="I3843" i="20"/>
  <c r="I3844" i="20"/>
  <c r="I3845" i="20"/>
  <c r="I3846" i="20"/>
  <c r="I3847" i="20"/>
  <c r="I3848" i="20"/>
  <c r="I3849" i="20"/>
  <c r="I3850" i="20"/>
  <c r="I3851" i="20"/>
  <c r="I3852" i="20"/>
  <c r="I3853" i="20"/>
  <c r="I3854" i="20"/>
  <c r="I3855" i="20"/>
  <c r="I3856" i="20"/>
  <c r="I3857" i="20"/>
  <c r="I3858" i="20"/>
  <c r="I3859" i="20"/>
  <c r="I3860" i="20"/>
  <c r="I3861" i="20"/>
  <c r="I3862" i="20"/>
  <c r="I3863" i="20"/>
  <c r="I3864" i="20"/>
  <c r="I3865" i="20"/>
  <c r="I3866" i="20"/>
  <c r="I3867" i="20"/>
  <c r="I3868" i="20"/>
  <c r="I3869" i="20"/>
  <c r="I3870" i="20"/>
  <c r="I3871" i="20"/>
  <c r="I3872" i="20"/>
  <c r="I3873" i="20"/>
  <c r="I3874" i="20"/>
  <c r="I3875" i="20"/>
  <c r="I3876" i="20"/>
  <c r="I3877" i="20"/>
  <c r="I3878" i="20"/>
  <c r="I3879" i="20"/>
  <c r="I3880" i="20"/>
  <c r="I3881" i="20"/>
  <c r="I3882" i="20"/>
  <c r="I3883" i="20"/>
  <c r="I3884" i="20"/>
  <c r="I3885" i="20"/>
  <c r="I3886" i="20"/>
  <c r="I3887" i="20"/>
  <c r="I3888" i="20"/>
  <c r="I3889" i="20"/>
  <c r="I3890" i="20"/>
  <c r="I3891" i="20"/>
  <c r="I3892" i="20"/>
  <c r="I3893" i="20"/>
  <c r="I3894" i="20"/>
  <c r="I3895" i="20"/>
  <c r="I3896" i="20"/>
  <c r="I3897" i="20"/>
  <c r="J2874" i="20"/>
  <c r="J2875" i="20"/>
  <c r="J2876" i="20"/>
  <c r="J2877" i="20"/>
  <c r="J2878" i="20"/>
  <c r="J2879" i="20"/>
  <c r="J2880" i="20"/>
  <c r="J2881" i="20"/>
  <c r="J2882" i="20"/>
  <c r="J2883" i="20"/>
  <c r="J2884" i="20"/>
  <c r="J2885" i="20"/>
  <c r="J2886" i="20"/>
  <c r="J2887" i="20"/>
  <c r="J2888" i="20"/>
  <c r="J2889" i="20"/>
  <c r="J2890" i="20"/>
  <c r="J2891" i="20"/>
  <c r="J2892" i="20"/>
  <c r="J2893" i="20"/>
  <c r="J2894" i="20"/>
  <c r="J2895" i="20"/>
  <c r="J2896" i="20"/>
  <c r="J2897" i="20"/>
  <c r="J2898" i="20"/>
  <c r="J2899" i="20"/>
  <c r="J2900" i="20"/>
  <c r="J2901" i="20"/>
  <c r="J2902" i="20"/>
  <c r="J2903" i="20"/>
  <c r="J2904" i="20"/>
  <c r="J2905" i="20"/>
  <c r="J2906" i="20"/>
  <c r="J2907" i="20"/>
  <c r="J2908" i="20"/>
  <c r="J2909" i="20"/>
  <c r="J2910" i="20"/>
  <c r="J2911" i="20"/>
  <c r="J2912" i="20"/>
  <c r="J2913" i="20"/>
  <c r="J2914" i="20"/>
  <c r="J2915" i="20"/>
  <c r="J2916" i="20"/>
  <c r="J2917" i="20"/>
  <c r="J2918" i="20"/>
  <c r="J2919" i="20"/>
  <c r="J2920" i="20"/>
  <c r="J2921" i="20"/>
  <c r="J2922" i="20"/>
  <c r="J2923" i="20"/>
  <c r="J2924" i="20"/>
  <c r="J2925" i="20"/>
  <c r="J2926" i="20"/>
  <c r="J2927" i="20"/>
  <c r="J2928" i="20"/>
  <c r="J2929" i="20"/>
  <c r="J2930" i="20"/>
  <c r="J2931" i="20"/>
  <c r="J2932" i="20"/>
  <c r="J2933" i="20"/>
  <c r="J2934" i="20"/>
  <c r="J2935" i="20"/>
  <c r="J2936" i="20"/>
  <c r="J2937" i="20"/>
  <c r="J2938" i="20"/>
  <c r="J2939" i="20"/>
  <c r="J2940" i="20"/>
  <c r="J2941" i="20"/>
  <c r="J2942" i="20"/>
  <c r="J2943" i="20"/>
  <c r="J2944" i="20"/>
  <c r="J2945" i="20"/>
  <c r="J2946" i="20"/>
  <c r="J2947" i="20"/>
  <c r="J2948" i="20"/>
  <c r="J2949" i="20"/>
  <c r="J2950" i="20"/>
  <c r="J2951" i="20"/>
  <c r="J2952" i="20"/>
  <c r="J2953" i="20"/>
  <c r="J2954" i="20"/>
  <c r="J2955" i="20"/>
  <c r="J2956" i="20"/>
  <c r="J2957" i="20"/>
  <c r="J2958" i="20"/>
  <c r="J2959" i="20"/>
  <c r="J2960" i="20"/>
  <c r="J2961" i="20"/>
  <c r="J2962" i="20"/>
  <c r="J2963" i="20"/>
  <c r="J2964" i="20"/>
  <c r="J2965" i="20"/>
  <c r="J2966" i="20"/>
  <c r="J2967" i="20"/>
  <c r="J2968" i="20"/>
  <c r="J2969" i="20"/>
  <c r="J2970" i="20"/>
  <c r="J2971" i="20"/>
  <c r="J2972" i="20"/>
  <c r="J2973" i="20"/>
  <c r="J2974" i="20"/>
  <c r="J2975" i="20"/>
  <c r="J2976" i="20"/>
  <c r="J2977" i="20"/>
  <c r="J2978" i="20"/>
  <c r="J2979" i="20"/>
  <c r="J2980" i="20"/>
  <c r="J2981" i="20"/>
  <c r="J2982" i="20"/>
  <c r="J2983" i="20"/>
  <c r="J2984" i="20"/>
  <c r="J2985" i="20"/>
  <c r="J2986" i="20"/>
  <c r="J2987" i="20"/>
  <c r="J2988" i="20"/>
  <c r="J2989" i="20"/>
  <c r="J2990" i="20"/>
  <c r="J2991" i="20"/>
  <c r="J2992" i="20"/>
  <c r="J2993" i="20"/>
  <c r="J2994" i="20"/>
  <c r="J2995" i="20"/>
  <c r="J2996" i="20"/>
  <c r="J2997" i="20"/>
  <c r="J2998" i="20"/>
  <c r="J2999" i="20"/>
  <c r="J3000" i="20"/>
  <c r="J3001" i="20"/>
  <c r="J3002" i="20"/>
  <c r="J3003" i="20"/>
  <c r="J3004" i="20"/>
  <c r="J3005" i="20"/>
  <c r="J3006" i="20"/>
  <c r="J3007" i="20"/>
  <c r="J3008" i="20"/>
  <c r="J3009" i="20"/>
  <c r="J3010" i="20"/>
  <c r="J3011" i="20"/>
  <c r="J3012" i="20"/>
  <c r="J3013" i="20"/>
  <c r="J3014" i="20"/>
  <c r="J3015" i="20"/>
  <c r="J3016" i="20"/>
  <c r="J3017" i="20"/>
  <c r="J3018" i="20"/>
  <c r="J3019" i="20"/>
  <c r="J3020" i="20"/>
  <c r="J3021" i="20"/>
  <c r="J3022" i="20"/>
  <c r="J3023" i="20"/>
  <c r="J3024" i="20"/>
  <c r="J3025" i="20"/>
  <c r="J3026" i="20"/>
  <c r="J3027" i="20"/>
  <c r="J3028" i="20"/>
  <c r="J3029" i="20"/>
  <c r="J3030" i="20"/>
  <c r="J3031" i="20"/>
  <c r="J3032" i="20"/>
  <c r="J3033" i="20"/>
  <c r="J3034" i="20"/>
  <c r="J3035" i="20"/>
  <c r="J3036" i="20"/>
  <c r="J3037" i="20"/>
  <c r="J3038" i="20"/>
  <c r="J3039" i="20"/>
  <c r="J3040" i="20"/>
  <c r="J3041" i="20"/>
  <c r="J3042" i="20"/>
  <c r="J3043" i="20"/>
  <c r="J3044" i="20"/>
  <c r="J3045" i="20"/>
  <c r="J3046" i="20"/>
  <c r="J3047" i="20"/>
  <c r="J3048" i="20"/>
  <c r="J3049" i="20"/>
  <c r="J3050" i="20"/>
  <c r="J3051" i="20"/>
  <c r="J3052" i="20"/>
  <c r="J3053" i="20"/>
  <c r="J3054" i="20"/>
  <c r="J3055" i="20"/>
  <c r="J3056" i="20"/>
  <c r="J3057" i="20"/>
  <c r="J3058" i="20"/>
  <c r="J3059" i="20"/>
  <c r="J3060" i="20"/>
  <c r="J3061" i="20"/>
  <c r="J3062" i="20"/>
  <c r="J3063" i="20"/>
  <c r="J3064" i="20"/>
  <c r="J3065" i="20"/>
  <c r="J3066" i="20"/>
  <c r="J3067" i="20"/>
  <c r="J3068" i="20"/>
  <c r="J3069" i="20"/>
  <c r="J3070" i="20"/>
  <c r="J3071" i="20"/>
  <c r="J3072" i="20"/>
  <c r="J3073" i="20"/>
  <c r="J3074" i="20"/>
  <c r="J3075" i="20"/>
  <c r="J3076" i="20"/>
  <c r="J3077" i="20"/>
  <c r="J3078" i="20"/>
  <c r="J3079" i="20"/>
  <c r="J3080" i="20"/>
  <c r="J3081" i="20"/>
  <c r="J3082" i="20"/>
  <c r="J3083" i="20"/>
  <c r="J3084" i="20"/>
  <c r="J3085" i="20"/>
  <c r="J3086" i="20"/>
  <c r="J3087" i="20"/>
  <c r="J3088" i="20"/>
  <c r="J3089" i="20"/>
  <c r="J3090" i="20"/>
  <c r="J3091" i="20"/>
  <c r="J3092" i="20"/>
  <c r="J3093" i="20"/>
  <c r="J3094" i="20"/>
  <c r="J3095" i="20"/>
  <c r="J3096" i="20"/>
  <c r="J3097" i="20"/>
  <c r="J3098" i="20"/>
  <c r="J3099" i="20"/>
  <c r="J3100" i="20"/>
  <c r="J3101" i="20"/>
  <c r="J3102" i="20"/>
  <c r="J3103" i="20"/>
  <c r="J3104" i="20"/>
  <c r="J3105" i="20"/>
  <c r="J3106" i="20"/>
  <c r="J3107" i="20"/>
  <c r="J3108" i="20"/>
  <c r="J3109" i="20"/>
  <c r="J3110" i="20"/>
  <c r="J3111" i="20"/>
  <c r="J3112" i="20"/>
  <c r="J3113" i="20"/>
  <c r="J3114" i="20"/>
  <c r="J3115" i="20"/>
  <c r="J3116" i="20"/>
  <c r="J3117" i="20"/>
  <c r="J3118" i="20"/>
  <c r="J3119" i="20"/>
  <c r="J3120" i="20"/>
  <c r="J3121" i="20"/>
  <c r="J3122" i="20"/>
  <c r="J3123" i="20"/>
  <c r="J3124" i="20"/>
  <c r="J3125" i="20"/>
  <c r="J3126" i="20"/>
  <c r="J3127" i="20"/>
  <c r="J3128" i="20"/>
  <c r="J3129" i="20"/>
  <c r="J3130" i="20"/>
  <c r="J3131" i="20"/>
  <c r="J3132" i="20"/>
  <c r="J3133" i="20"/>
  <c r="J3134" i="20"/>
  <c r="J3135" i="20"/>
  <c r="J3136" i="20"/>
  <c r="J3137" i="20"/>
  <c r="J3138" i="20"/>
  <c r="J3139" i="20"/>
  <c r="J3140" i="20"/>
  <c r="J3141" i="20"/>
  <c r="J3142" i="20"/>
  <c r="J3143" i="20"/>
  <c r="J3144" i="20"/>
  <c r="J3145" i="20"/>
  <c r="J3146" i="20"/>
  <c r="J3147" i="20"/>
  <c r="J3148" i="20"/>
  <c r="J3149" i="20"/>
  <c r="J3150" i="20"/>
  <c r="J3151" i="20"/>
  <c r="J3152" i="20"/>
  <c r="J3153" i="20"/>
  <c r="J3154" i="20"/>
  <c r="J3155" i="20"/>
  <c r="J3156" i="20"/>
  <c r="J3157" i="20"/>
  <c r="J3158" i="20"/>
  <c r="J3159" i="20"/>
  <c r="J3160" i="20"/>
  <c r="J3161" i="20"/>
  <c r="J3162" i="20"/>
  <c r="J3163" i="20"/>
  <c r="J3164" i="20"/>
  <c r="J3165" i="20"/>
  <c r="J3166" i="20"/>
  <c r="J3167" i="20"/>
  <c r="J3168" i="20"/>
  <c r="J3169" i="20"/>
  <c r="J3170" i="20"/>
  <c r="J3171" i="20"/>
  <c r="J3172" i="20"/>
  <c r="J3173" i="20"/>
  <c r="J3174" i="20"/>
  <c r="J3175" i="20"/>
  <c r="J3176" i="20"/>
  <c r="J3177" i="20"/>
  <c r="J3178" i="20"/>
  <c r="J3179" i="20"/>
  <c r="J3180" i="20"/>
  <c r="J3181" i="20"/>
  <c r="J3182" i="20"/>
  <c r="J3183" i="20"/>
  <c r="J3184" i="20"/>
  <c r="J3185" i="20"/>
  <c r="J3186" i="20"/>
  <c r="J3187" i="20"/>
  <c r="J3188" i="20"/>
  <c r="J3189" i="20"/>
  <c r="J3190" i="20"/>
  <c r="J3191" i="20"/>
  <c r="J3192" i="20"/>
  <c r="J3193" i="20"/>
  <c r="J3194" i="20"/>
  <c r="J3195" i="20"/>
  <c r="J3196" i="20"/>
  <c r="J3197" i="20"/>
  <c r="J3198" i="20"/>
  <c r="J3199" i="20"/>
  <c r="J3200" i="20"/>
  <c r="J3201" i="20"/>
  <c r="J3202" i="20"/>
  <c r="J3203" i="20"/>
  <c r="J3204" i="20"/>
  <c r="J3205" i="20"/>
  <c r="J3206" i="20"/>
  <c r="J3207" i="20"/>
  <c r="J3208" i="20"/>
  <c r="J3209" i="20"/>
  <c r="J3210" i="20"/>
  <c r="J3211" i="20"/>
  <c r="J3212" i="20"/>
  <c r="J3213" i="20"/>
  <c r="J3214" i="20"/>
  <c r="J3215" i="20"/>
  <c r="J3216" i="20"/>
  <c r="J3217" i="20"/>
  <c r="J3218" i="20"/>
  <c r="J3219" i="20"/>
  <c r="J3220" i="20"/>
  <c r="J3221" i="20"/>
  <c r="J3222" i="20"/>
  <c r="J3223" i="20"/>
  <c r="J3224" i="20"/>
  <c r="J3225" i="20"/>
  <c r="J3226" i="20"/>
  <c r="J3227" i="20"/>
  <c r="J3228" i="20"/>
  <c r="J3229" i="20"/>
  <c r="J3230" i="20"/>
  <c r="J3231" i="20"/>
  <c r="J3232" i="20"/>
  <c r="J3233" i="20"/>
  <c r="J3234" i="20"/>
  <c r="J3235" i="20"/>
  <c r="J3236" i="20"/>
  <c r="J3237" i="20"/>
  <c r="J3238" i="20"/>
  <c r="J3239" i="20"/>
  <c r="J3240" i="20"/>
  <c r="J3241" i="20"/>
  <c r="J3242" i="20"/>
  <c r="J3243" i="20"/>
  <c r="J3244" i="20"/>
  <c r="J3245" i="20"/>
  <c r="J3246" i="20"/>
  <c r="J3247" i="20"/>
  <c r="J3248" i="20"/>
  <c r="J3249" i="20"/>
  <c r="J3250" i="20"/>
  <c r="J3251" i="20"/>
  <c r="J3252" i="20"/>
  <c r="J3253" i="20"/>
  <c r="J3254" i="20"/>
  <c r="J3255" i="20"/>
  <c r="J3256" i="20"/>
  <c r="J3257" i="20"/>
  <c r="J3258" i="20"/>
  <c r="J3259" i="20"/>
  <c r="J3260" i="20"/>
  <c r="J3261" i="20"/>
  <c r="J3262" i="20"/>
  <c r="J3263" i="20"/>
  <c r="J3264" i="20"/>
  <c r="J3265" i="20"/>
  <c r="J3266" i="20"/>
  <c r="J3267" i="20"/>
  <c r="J3268" i="20"/>
  <c r="J3269" i="20"/>
  <c r="J3270" i="20"/>
  <c r="J3271" i="20"/>
  <c r="J3272" i="20"/>
  <c r="J3273" i="20"/>
  <c r="J3274" i="20"/>
  <c r="J3275" i="20"/>
  <c r="J3276" i="20"/>
  <c r="J3277" i="20"/>
  <c r="J3278" i="20"/>
  <c r="J3279" i="20"/>
  <c r="J3280" i="20"/>
  <c r="J3281" i="20"/>
  <c r="J3282" i="20"/>
  <c r="J3283" i="20"/>
  <c r="J3284" i="20"/>
  <c r="J3285" i="20"/>
  <c r="J3286" i="20"/>
  <c r="J3287" i="20"/>
  <c r="J3288" i="20"/>
  <c r="J3289" i="20"/>
  <c r="J3290" i="20"/>
  <c r="J3291" i="20"/>
  <c r="J3292" i="20"/>
  <c r="J3293" i="20"/>
  <c r="J3294" i="20"/>
  <c r="J3295" i="20"/>
  <c r="J3296" i="20"/>
  <c r="J3297" i="20"/>
  <c r="J3298" i="20"/>
  <c r="J3299" i="20"/>
  <c r="J3300" i="20"/>
  <c r="J3301" i="20"/>
  <c r="J3302" i="20"/>
  <c r="J3303" i="20"/>
  <c r="J3304" i="20"/>
  <c r="J3305" i="20"/>
  <c r="J3306" i="20"/>
  <c r="J3307" i="20"/>
  <c r="J3308" i="20"/>
  <c r="J3309" i="20"/>
  <c r="J3310" i="20"/>
  <c r="J3311" i="20"/>
  <c r="J3312" i="20"/>
  <c r="J3313" i="20"/>
  <c r="J3314" i="20"/>
  <c r="J3315" i="20"/>
  <c r="J3316" i="20"/>
  <c r="J3317" i="20"/>
  <c r="J3318" i="20"/>
  <c r="J3319" i="20"/>
  <c r="J3320" i="20"/>
  <c r="J3321" i="20"/>
  <c r="J3322" i="20"/>
  <c r="J3323" i="20"/>
  <c r="J3324" i="20"/>
  <c r="J3325" i="20"/>
  <c r="J3326" i="20"/>
  <c r="J3327" i="20"/>
  <c r="J3328" i="20"/>
  <c r="J3329" i="20"/>
  <c r="J3330" i="20"/>
  <c r="J3331" i="20"/>
  <c r="J3332" i="20"/>
  <c r="J3333" i="20"/>
  <c r="J3334" i="20"/>
  <c r="J3335" i="20"/>
  <c r="J3336" i="20"/>
  <c r="J3337" i="20"/>
  <c r="J3338" i="20"/>
  <c r="J3339" i="20"/>
  <c r="J3340" i="20"/>
  <c r="J3341" i="20"/>
  <c r="J3342" i="20"/>
  <c r="J3343" i="20"/>
  <c r="J3344" i="20"/>
  <c r="J3345" i="20"/>
  <c r="J3346" i="20"/>
  <c r="J3347" i="20"/>
  <c r="J3348" i="20"/>
  <c r="J3349" i="20"/>
  <c r="J3350" i="20"/>
  <c r="J3351" i="20"/>
  <c r="J3352" i="20"/>
  <c r="J3353" i="20"/>
  <c r="J3354" i="20"/>
  <c r="J3355" i="20"/>
  <c r="J3356" i="20"/>
  <c r="J3357" i="20"/>
  <c r="J3358" i="20"/>
  <c r="J3359" i="20"/>
  <c r="J3360" i="20"/>
  <c r="J3361" i="20"/>
  <c r="J3362" i="20"/>
  <c r="J3363" i="20"/>
  <c r="J3364" i="20"/>
  <c r="J3365" i="20"/>
  <c r="J3366" i="20"/>
  <c r="J3367" i="20"/>
  <c r="J3368" i="20"/>
  <c r="J3369" i="20"/>
  <c r="J3370" i="20"/>
  <c r="J3371" i="20"/>
  <c r="J3372" i="20"/>
  <c r="J3373" i="20"/>
  <c r="J3374" i="20"/>
  <c r="J3375" i="20"/>
  <c r="J3376" i="20"/>
  <c r="J3377" i="20"/>
  <c r="J3378" i="20"/>
  <c r="J3379" i="20"/>
  <c r="J3380" i="20"/>
  <c r="J3381" i="20"/>
  <c r="J3382" i="20"/>
  <c r="J3383" i="20"/>
  <c r="J3384" i="20"/>
  <c r="J3385" i="20"/>
  <c r="J3386" i="20"/>
  <c r="J3387" i="20"/>
  <c r="J3388" i="20"/>
  <c r="J3389" i="20"/>
  <c r="J3390" i="20"/>
  <c r="J3391" i="20"/>
  <c r="J3392" i="20"/>
  <c r="J3393" i="20"/>
  <c r="J3394" i="20"/>
  <c r="J3395" i="20"/>
  <c r="J3396" i="20"/>
  <c r="J3397" i="20"/>
  <c r="J3398" i="20"/>
  <c r="J3399" i="20"/>
  <c r="J3400" i="20"/>
  <c r="J3401" i="20"/>
  <c r="J3402" i="20"/>
  <c r="J3403" i="20"/>
  <c r="J3404" i="20"/>
  <c r="J3405" i="20"/>
  <c r="J3406" i="20"/>
  <c r="J3407" i="20"/>
  <c r="J3408" i="20"/>
  <c r="J3409" i="20"/>
  <c r="J3410" i="20"/>
  <c r="J3411" i="20"/>
  <c r="J3412" i="20"/>
  <c r="J3413" i="20"/>
  <c r="J3414" i="20"/>
  <c r="J3415" i="20"/>
  <c r="J3416" i="20"/>
  <c r="J3417" i="20"/>
  <c r="J3418" i="20"/>
  <c r="J3419" i="20"/>
  <c r="J3420" i="20"/>
  <c r="J3421" i="20"/>
  <c r="J3422" i="20"/>
  <c r="J3423" i="20"/>
  <c r="J3424" i="20"/>
  <c r="J3425" i="20"/>
  <c r="J3426" i="20"/>
  <c r="J3427" i="20"/>
  <c r="J3428" i="20"/>
  <c r="J3429" i="20"/>
  <c r="J3430" i="20"/>
  <c r="J3431" i="20"/>
  <c r="J3432" i="20"/>
  <c r="J3433" i="20"/>
  <c r="J3434" i="20"/>
  <c r="J3435" i="20"/>
  <c r="J3436" i="20"/>
  <c r="J3437" i="20"/>
  <c r="J3438" i="20"/>
  <c r="J3439" i="20"/>
  <c r="J3440" i="20"/>
  <c r="J3441" i="20"/>
  <c r="J3442" i="20"/>
  <c r="J3443" i="20"/>
  <c r="J3444" i="20"/>
  <c r="J3445" i="20"/>
  <c r="J3446" i="20"/>
  <c r="J3447" i="20"/>
  <c r="J3448" i="20"/>
  <c r="J3449" i="20"/>
  <c r="J3450" i="20"/>
  <c r="J3451" i="20"/>
  <c r="J3452" i="20"/>
  <c r="J3453" i="20"/>
  <c r="J3454" i="20"/>
  <c r="J3455" i="20"/>
  <c r="J3456" i="20"/>
  <c r="J3457" i="20"/>
  <c r="J3458" i="20"/>
  <c r="J3459" i="20"/>
  <c r="J3460" i="20"/>
  <c r="J3461" i="20"/>
  <c r="J3462" i="20"/>
  <c r="J3463" i="20"/>
  <c r="J3464" i="20"/>
  <c r="J3465" i="20"/>
  <c r="J3466" i="20"/>
  <c r="J3467" i="20"/>
  <c r="J3468" i="20"/>
  <c r="J3469" i="20"/>
  <c r="J3470" i="20"/>
  <c r="J3471" i="20"/>
  <c r="J3472" i="20"/>
  <c r="J3473" i="20"/>
  <c r="J3474" i="20"/>
  <c r="J3475" i="20"/>
  <c r="J3476" i="20"/>
  <c r="J3477" i="20"/>
  <c r="J3478" i="20"/>
  <c r="J3479" i="20"/>
  <c r="J3480" i="20"/>
  <c r="J3481" i="20"/>
  <c r="J3482" i="20"/>
  <c r="J3483" i="20"/>
  <c r="J3484" i="20"/>
  <c r="J3485" i="20"/>
  <c r="J3486" i="20"/>
  <c r="J3487" i="20"/>
  <c r="J3488" i="20"/>
  <c r="J3489" i="20"/>
  <c r="J3490" i="20"/>
  <c r="J3491" i="20"/>
  <c r="J3492" i="20"/>
  <c r="J3493" i="20"/>
  <c r="J3494" i="20"/>
  <c r="J3495" i="20"/>
  <c r="J3496" i="20"/>
  <c r="J3497" i="20"/>
  <c r="J3498" i="20"/>
  <c r="J3499" i="20"/>
  <c r="J3500" i="20"/>
  <c r="J3501" i="20"/>
  <c r="J3502" i="20"/>
  <c r="J3503" i="20"/>
  <c r="J3504" i="20"/>
  <c r="J3505" i="20"/>
  <c r="J3506" i="20"/>
  <c r="J3507" i="20"/>
  <c r="J3508" i="20"/>
  <c r="J3509" i="20"/>
  <c r="J3510" i="20"/>
  <c r="J3511" i="20"/>
  <c r="J3512" i="20"/>
  <c r="J3513" i="20"/>
  <c r="J3514" i="20"/>
  <c r="J3515" i="20"/>
  <c r="J3516" i="20"/>
  <c r="J3517" i="20"/>
  <c r="J3518" i="20"/>
  <c r="J3519" i="20"/>
  <c r="J3520" i="20"/>
  <c r="J3521" i="20"/>
  <c r="J3522" i="20"/>
  <c r="J3523" i="20"/>
  <c r="J3524" i="20"/>
  <c r="J3525" i="20"/>
  <c r="J3526" i="20"/>
  <c r="J3527" i="20"/>
  <c r="J3528" i="20"/>
  <c r="J3529" i="20"/>
  <c r="J3530" i="20"/>
  <c r="J3531" i="20"/>
  <c r="J3532" i="20"/>
  <c r="J3533" i="20"/>
  <c r="J3534" i="20"/>
  <c r="J3535" i="20"/>
  <c r="J3536" i="20"/>
  <c r="J3537" i="20"/>
  <c r="J3538" i="20"/>
  <c r="J3539" i="20"/>
  <c r="J3540" i="20"/>
  <c r="J3541" i="20"/>
  <c r="J3542" i="20"/>
  <c r="J3543" i="20"/>
  <c r="J3544" i="20"/>
  <c r="J3545" i="20"/>
  <c r="J3546" i="20"/>
  <c r="J3547" i="20"/>
  <c r="J3548" i="20"/>
  <c r="J3549" i="20"/>
  <c r="J3550" i="20"/>
  <c r="J3551" i="20"/>
  <c r="J3552" i="20"/>
  <c r="J3553" i="20"/>
  <c r="J3554" i="20"/>
  <c r="J3555" i="20"/>
  <c r="J3556" i="20"/>
  <c r="J3557" i="20"/>
  <c r="J3558" i="20"/>
  <c r="J3559" i="20"/>
  <c r="J3560" i="20"/>
  <c r="J3561" i="20"/>
  <c r="J3562" i="20"/>
  <c r="J3563" i="20"/>
  <c r="J3564" i="20"/>
  <c r="J3565" i="20"/>
  <c r="J3566" i="20"/>
  <c r="J3567" i="20"/>
  <c r="J3568" i="20"/>
  <c r="J3569" i="20"/>
  <c r="J3570" i="20"/>
  <c r="J3571" i="20"/>
  <c r="J3572" i="20"/>
  <c r="J3573" i="20"/>
  <c r="J3574" i="20"/>
  <c r="J3575" i="20"/>
  <c r="J3576" i="20"/>
  <c r="J3577" i="20"/>
  <c r="J3578" i="20"/>
  <c r="J3579" i="20"/>
  <c r="J3580" i="20"/>
  <c r="J3581" i="20"/>
  <c r="J3582" i="20"/>
  <c r="J3583" i="20"/>
  <c r="J3584" i="20"/>
  <c r="J3585" i="20"/>
  <c r="J3586" i="20"/>
  <c r="J3587" i="20"/>
  <c r="J3588" i="20"/>
  <c r="J3589" i="20"/>
  <c r="J3590" i="20"/>
  <c r="J3591" i="20"/>
  <c r="J3592" i="20"/>
  <c r="J3593" i="20"/>
  <c r="J3594" i="20"/>
  <c r="J3595" i="20"/>
  <c r="J3596" i="20"/>
  <c r="J3597" i="20"/>
  <c r="J3598" i="20"/>
  <c r="J3599" i="20"/>
  <c r="J3600" i="20"/>
  <c r="J3601" i="20"/>
  <c r="J3602" i="20"/>
  <c r="J3603" i="20"/>
  <c r="J3604" i="20"/>
  <c r="J3605" i="20"/>
  <c r="J3606" i="20"/>
  <c r="J3607" i="20"/>
  <c r="J3608" i="20"/>
  <c r="J3609" i="20"/>
  <c r="J3610" i="20"/>
  <c r="J3611" i="20"/>
  <c r="J3612" i="20"/>
  <c r="J3613" i="20"/>
  <c r="J3614" i="20"/>
  <c r="J3615" i="20"/>
  <c r="J3616" i="20"/>
  <c r="J3617" i="20"/>
  <c r="J3618" i="20"/>
  <c r="J3619" i="20"/>
  <c r="J3620" i="20"/>
  <c r="J3621" i="20"/>
  <c r="J3622" i="20"/>
  <c r="J3623" i="20"/>
  <c r="J3624" i="20"/>
  <c r="J3625" i="20"/>
  <c r="J3626" i="20"/>
  <c r="J3627" i="20"/>
  <c r="J3628" i="20"/>
  <c r="J3629" i="20"/>
  <c r="J3630" i="20"/>
  <c r="J3631" i="20"/>
  <c r="J3632" i="20"/>
  <c r="J3633" i="20"/>
  <c r="J3634" i="20"/>
  <c r="J3635" i="20"/>
  <c r="J3636" i="20"/>
  <c r="J3637" i="20"/>
  <c r="J3638" i="20"/>
  <c r="J3639" i="20"/>
  <c r="J3640" i="20"/>
  <c r="J3641" i="20"/>
  <c r="J3642" i="20"/>
  <c r="J3643" i="20"/>
  <c r="J3644" i="20"/>
  <c r="J3645" i="20"/>
  <c r="J3646" i="20"/>
  <c r="J3647" i="20"/>
  <c r="J3648" i="20"/>
  <c r="J3649" i="20"/>
  <c r="J3650" i="20"/>
  <c r="J3651" i="20"/>
  <c r="J3652" i="20"/>
  <c r="J3653" i="20"/>
  <c r="J3654" i="20"/>
  <c r="J3655" i="20"/>
  <c r="J3656" i="20"/>
  <c r="J3657" i="20"/>
  <c r="J3658" i="20"/>
  <c r="J3659" i="20"/>
  <c r="J3660" i="20"/>
  <c r="J3661" i="20"/>
  <c r="J3662" i="20"/>
  <c r="J3663" i="20"/>
  <c r="J3664" i="20"/>
  <c r="J3665" i="20"/>
  <c r="J3666" i="20"/>
  <c r="J3667" i="20"/>
  <c r="J3668" i="20"/>
  <c r="J3669" i="20"/>
  <c r="J3670" i="20"/>
  <c r="J3671" i="20"/>
  <c r="J3672" i="20"/>
  <c r="J3673" i="20"/>
  <c r="J3674" i="20"/>
  <c r="J3675" i="20"/>
  <c r="J3676" i="20"/>
  <c r="J3677" i="20"/>
  <c r="J3678" i="20"/>
  <c r="J3679" i="20"/>
  <c r="J3680" i="20"/>
  <c r="J3681" i="20"/>
  <c r="J3682" i="20"/>
  <c r="J3683" i="20"/>
  <c r="J3684" i="20"/>
  <c r="J3685" i="20"/>
  <c r="J3686" i="20"/>
  <c r="J3687" i="20"/>
  <c r="J3688" i="20"/>
  <c r="J3689" i="20"/>
  <c r="J3690" i="20"/>
  <c r="J3691" i="20"/>
  <c r="J3692" i="20"/>
  <c r="J3693" i="20"/>
  <c r="J3694" i="20"/>
  <c r="J3695" i="20"/>
  <c r="J3696" i="20"/>
  <c r="J3697" i="20"/>
  <c r="J3698" i="20"/>
  <c r="J3699" i="20"/>
  <c r="J3700" i="20"/>
  <c r="J3701" i="20"/>
  <c r="J3702" i="20"/>
  <c r="J3703" i="20"/>
  <c r="J3704" i="20"/>
  <c r="J3705" i="20"/>
  <c r="J3706" i="20"/>
  <c r="J3707" i="20"/>
  <c r="J3708" i="20"/>
  <c r="J3709" i="20"/>
  <c r="J3710" i="20"/>
  <c r="J3711" i="20"/>
  <c r="J3712" i="20"/>
  <c r="J3713" i="20"/>
  <c r="J3714" i="20"/>
  <c r="J3715" i="20"/>
  <c r="J3716" i="20"/>
  <c r="J3717" i="20"/>
  <c r="J3718" i="20"/>
  <c r="J3719" i="20"/>
  <c r="J3720" i="20"/>
  <c r="J3721" i="20"/>
  <c r="J3722" i="20"/>
  <c r="J3723" i="20"/>
  <c r="J3724" i="20"/>
  <c r="J3725" i="20"/>
  <c r="J3726" i="20"/>
  <c r="J3727" i="20"/>
  <c r="J3728" i="20"/>
  <c r="J3729" i="20"/>
  <c r="J3730" i="20"/>
  <c r="J3731" i="20"/>
  <c r="J3732" i="20"/>
  <c r="J3733" i="20"/>
  <c r="J3734" i="20"/>
  <c r="J3735" i="20"/>
  <c r="J3736" i="20"/>
  <c r="J3737" i="20"/>
  <c r="J3738" i="20"/>
  <c r="J3739" i="20"/>
  <c r="J3740" i="20"/>
  <c r="J3741" i="20"/>
  <c r="J3742" i="20"/>
  <c r="J3743" i="20"/>
  <c r="J3744" i="20"/>
  <c r="J3745" i="20"/>
  <c r="J3746" i="20"/>
  <c r="J3747" i="20"/>
  <c r="J3748" i="20"/>
  <c r="J3749" i="20"/>
  <c r="J3750" i="20"/>
  <c r="J3751" i="20"/>
  <c r="J3752" i="20"/>
  <c r="J3753" i="20"/>
  <c r="J3754" i="20"/>
  <c r="J3755" i="20"/>
  <c r="J3756" i="20"/>
  <c r="J3757" i="20"/>
  <c r="J3758" i="20"/>
  <c r="J3759" i="20"/>
  <c r="J3760" i="20"/>
  <c r="J3761" i="20"/>
  <c r="J3762" i="20"/>
  <c r="J3763" i="20"/>
  <c r="J3764" i="20"/>
  <c r="J3765" i="20"/>
  <c r="J3766" i="20"/>
  <c r="J3767" i="20"/>
  <c r="J3768" i="20"/>
  <c r="J3769" i="20"/>
  <c r="J3770" i="20"/>
  <c r="J3771" i="20"/>
  <c r="J3772" i="20"/>
  <c r="J3773" i="20"/>
  <c r="J3774" i="20"/>
  <c r="J3775" i="20"/>
  <c r="J3776" i="20"/>
  <c r="J3777" i="20"/>
  <c r="J3778" i="20"/>
  <c r="J3779" i="20"/>
  <c r="J3780" i="20"/>
  <c r="J3781" i="20"/>
  <c r="J3782" i="20"/>
  <c r="J3783" i="20"/>
  <c r="J3784" i="20"/>
  <c r="J3785" i="20"/>
  <c r="J3786" i="20"/>
  <c r="J3787" i="20"/>
  <c r="J3788" i="20"/>
  <c r="J3789" i="20"/>
  <c r="J3790" i="20"/>
  <c r="J3791" i="20"/>
  <c r="J3792" i="20"/>
  <c r="J3793" i="20"/>
  <c r="J3794" i="20"/>
  <c r="J3795" i="20"/>
  <c r="J3796" i="20"/>
  <c r="J3797" i="20"/>
  <c r="J3798" i="20"/>
  <c r="J3799" i="20"/>
  <c r="J3800" i="20"/>
  <c r="J3801" i="20"/>
  <c r="J3802" i="20"/>
  <c r="J3803" i="20"/>
  <c r="J3804" i="20"/>
  <c r="J3805" i="20"/>
  <c r="J3806" i="20"/>
  <c r="J3807" i="20"/>
  <c r="J3808" i="20"/>
  <c r="J3809" i="20"/>
  <c r="J3810" i="20"/>
  <c r="J3811" i="20"/>
  <c r="J3812" i="20"/>
  <c r="J3813" i="20"/>
  <c r="J3814" i="20"/>
  <c r="J3815" i="20"/>
  <c r="J3816" i="20"/>
  <c r="J3817" i="20"/>
  <c r="J3818" i="20"/>
  <c r="J3819" i="20"/>
  <c r="J3820" i="20"/>
  <c r="J3821" i="20"/>
  <c r="J3822" i="20"/>
  <c r="J3823" i="20"/>
  <c r="J3824" i="20"/>
  <c r="J3825" i="20"/>
  <c r="J3826" i="20"/>
  <c r="J3827" i="20"/>
  <c r="J3828" i="20"/>
  <c r="J3829" i="20"/>
  <c r="J3830" i="20"/>
  <c r="J3831" i="20"/>
  <c r="J3832" i="20"/>
  <c r="J3833" i="20"/>
  <c r="J3834" i="20"/>
  <c r="J3835" i="20"/>
  <c r="J3836" i="20"/>
  <c r="J3837" i="20"/>
  <c r="J3838" i="20"/>
  <c r="J3839" i="20"/>
  <c r="J3840" i="20"/>
  <c r="J3841" i="20"/>
  <c r="J3842" i="20"/>
  <c r="J3843" i="20"/>
  <c r="J3844" i="20"/>
  <c r="J3845" i="20"/>
  <c r="J3846" i="20"/>
  <c r="J3847" i="20"/>
  <c r="J3848" i="20"/>
  <c r="J3849" i="20"/>
  <c r="J3850" i="20"/>
  <c r="J3851" i="20"/>
  <c r="J3852" i="20"/>
  <c r="J3853" i="20"/>
  <c r="J3854" i="20"/>
  <c r="J3855" i="20"/>
  <c r="J3856" i="20"/>
  <c r="J3857" i="20"/>
  <c r="J3858" i="20"/>
  <c r="J3859" i="20"/>
  <c r="J3860" i="20"/>
  <c r="J3861" i="20"/>
  <c r="J3862" i="20"/>
  <c r="J3863" i="20"/>
  <c r="J3864" i="20"/>
  <c r="J3865" i="20"/>
  <c r="J3866" i="20"/>
  <c r="J3867" i="20"/>
  <c r="J3868" i="20"/>
  <c r="J3869" i="20"/>
  <c r="J3870" i="20"/>
  <c r="J3871" i="20"/>
  <c r="J3872" i="20"/>
  <c r="J3873" i="20"/>
  <c r="J3874" i="20"/>
  <c r="J3875" i="20"/>
  <c r="J3876" i="20"/>
  <c r="J3877" i="20"/>
  <c r="J3878" i="20"/>
  <c r="J3879" i="20"/>
  <c r="J3880" i="20"/>
  <c r="J3881" i="20"/>
  <c r="J3882" i="20"/>
  <c r="J3883" i="20"/>
  <c r="J3884" i="20"/>
  <c r="J3885" i="20"/>
  <c r="J3886" i="20"/>
  <c r="J3887" i="20"/>
  <c r="J3888" i="20"/>
  <c r="J3889" i="20"/>
  <c r="J3890" i="20"/>
  <c r="J3891" i="20"/>
  <c r="J3892" i="20"/>
  <c r="J3893" i="20"/>
  <c r="J3894" i="20"/>
  <c r="J3895" i="20"/>
  <c r="J3896" i="20"/>
  <c r="J3897" i="20"/>
  <c r="M2874" i="20"/>
  <c r="M2875" i="20"/>
  <c r="M2876" i="20"/>
  <c r="M2877" i="20"/>
  <c r="M2878" i="20"/>
  <c r="M2879" i="20"/>
  <c r="M2880" i="20"/>
  <c r="M2881" i="20"/>
  <c r="M2882" i="20"/>
  <c r="M2883" i="20"/>
  <c r="M2884" i="20"/>
  <c r="M2885" i="20"/>
  <c r="M2886" i="20"/>
  <c r="M2887" i="20"/>
  <c r="M2888" i="20"/>
  <c r="M2889" i="20"/>
  <c r="M2890" i="20"/>
  <c r="M2891" i="20"/>
  <c r="M2892" i="20"/>
  <c r="M2893" i="20"/>
  <c r="M2894" i="20"/>
  <c r="M2895" i="20"/>
  <c r="M2896" i="20"/>
  <c r="M2897" i="20"/>
  <c r="M2898" i="20"/>
  <c r="M2899" i="20"/>
  <c r="M2900" i="20"/>
  <c r="M2901" i="20"/>
  <c r="M2902" i="20"/>
  <c r="M2903" i="20"/>
  <c r="M2904" i="20"/>
  <c r="M2905" i="20"/>
  <c r="M2906" i="20"/>
  <c r="M2907" i="20"/>
  <c r="M2908" i="20"/>
  <c r="M2909" i="20"/>
  <c r="M2910" i="20"/>
  <c r="M2911" i="20"/>
  <c r="M2912" i="20"/>
  <c r="M2913" i="20"/>
  <c r="M2914" i="20"/>
  <c r="M2915" i="20"/>
  <c r="M2916" i="20"/>
  <c r="M2917" i="20"/>
  <c r="M2918" i="20"/>
  <c r="M2919" i="20"/>
  <c r="M2920" i="20"/>
  <c r="M2921" i="20"/>
  <c r="M2922" i="20"/>
  <c r="M2923" i="20"/>
  <c r="M2924" i="20"/>
  <c r="M2925" i="20"/>
  <c r="M2926" i="20"/>
  <c r="M2927" i="20"/>
  <c r="M2928" i="20"/>
  <c r="M2929" i="20"/>
  <c r="M2930" i="20"/>
  <c r="M2931" i="20"/>
  <c r="M2932" i="20"/>
  <c r="M2933" i="20"/>
  <c r="M2934" i="20"/>
  <c r="M2935" i="20"/>
  <c r="M2936" i="20"/>
  <c r="M2937" i="20"/>
  <c r="M2938" i="20"/>
  <c r="M2939" i="20"/>
  <c r="M2940" i="20"/>
  <c r="M2941" i="20"/>
  <c r="M2942" i="20"/>
  <c r="M2943" i="20"/>
  <c r="M2944" i="20"/>
  <c r="M2945" i="20"/>
  <c r="M2946" i="20"/>
  <c r="M2947" i="20"/>
  <c r="M2948" i="20"/>
  <c r="M2949" i="20"/>
  <c r="M2950" i="20"/>
  <c r="M2951" i="20"/>
  <c r="M2952" i="20"/>
  <c r="M2953" i="20"/>
  <c r="M2954" i="20"/>
  <c r="M2955" i="20"/>
  <c r="M2956" i="20"/>
  <c r="M2957" i="20"/>
  <c r="M2958" i="20"/>
  <c r="M2959" i="20"/>
  <c r="M2960" i="20"/>
  <c r="M2961" i="20"/>
  <c r="M2962" i="20"/>
  <c r="M2963" i="20"/>
  <c r="M2964" i="20"/>
  <c r="M2965" i="20"/>
  <c r="M2966" i="20"/>
  <c r="M2967" i="20"/>
  <c r="M2968" i="20"/>
  <c r="M2969" i="20"/>
  <c r="M2970" i="20"/>
  <c r="M2971" i="20"/>
  <c r="M2972" i="20"/>
  <c r="M2973" i="20"/>
  <c r="M2974" i="20"/>
  <c r="M2975" i="20"/>
  <c r="M2976" i="20"/>
  <c r="M2977" i="20"/>
  <c r="M2978" i="20"/>
  <c r="M2979" i="20"/>
  <c r="M2980" i="20"/>
  <c r="M2981" i="20"/>
  <c r="M2982" i="20"/>
  <c r="M2983" i="20"/>
  <c r="M2984" i="20"/>
  <c r="M2985" i="20"/>
  <c r="M2986" i="20"/>
  <c r="M2987" i="20"/>
  <c r="M2988" i="20"/>
  <c r="M2989" i="20"/>
  <c r="M2990" i="20"/>
  <c r="M2991" i="20"/>
  <c r="M2992" i="20"/>
  <c r="M2993" i="20"/>
  <c r="M2994" i="20"/>
  <c r="M2995" i="20"/>
  <c r="M2996" i="20"/>
  <c r="M2997" i="20"/>
  <c r="M2998" i="20"/>
  <c r="M2999" i="20"/>
  <c r="M3000" i="20"/>
  <c r="M3001" i="20"/>
  <c r="M3002" i="20"/>
  <c r="M3003" i="20"/>
  <c r="M3004" i="20"/>
  <c r="M3005" i="20"/>
  <c r="M3006" i="20"/>
  <c r="M3007" i="20"/>
  <c r="M3008" i="20"/>
  <c r="M3009" i="20"/>
  <c r="M3010" i="20"/>
  <c r="M3011" i="20"/>
  <c r="M3012" i="20"/>
  <c r="M3013" i="20"/>
  <c r="M3014" i="20"/>
  <c r="M3015" i="20"/>
  <c r="M3016" i="20"/>
  <c r="M3017" i="20"/>
  <c r="M3018" i="20"/>
  <c r="M3019" i="20"/>
  <c r="M3020" i="20"/>
  <c r="M3021" i="20"/>
  <c r="M3022" i="20"/>
  <c r="M3023" i="20"/>
  <c r="M3024" i="20"/>
  <c r="M3025" i="20"/>
  <c r="M3026" i="20"/>
  <c r="M3027" i="20"/>
  <c r="M3028" i="20"/>
  <c r="M3029" i="20"/>
  <c r="M3030" i="20"/>
  <c r="M3031" i="20"/>
  <c r="M3032" i="20"/>
  <c r="M3033" i="20"/>
  <c r="M3034" i="20"/>
  <c r="M3035" i="20"/>
  <c r="M3036" i="20"/>
  <c r="M3037" i="20"/>
  <c r="M3038" i="20"/>
  <c r="M3039" i="20"/>
  <c r="M3040" i="20"/>
  <c r="M3041" i="20"/>
  <c r="M3042" i="20"/>
  <c r="M3043" i="20"/>
  <c r="M3044" i="20"/>
  <c r="M3045" i="20"/>
  <c r="M3046" i="20"/>
  <c r="M3047" i="20"/>
  <c r="M3048" i="20"/>
  <c r="M3049" i="20"/>
  <c r="M3050" i="20"/>
  <c r="M3051" i="20"/>
  <c r="M3052" i="20"/>
  <c r="M3053" i="20"/>
  <c r="M3054" i="20"/>
  <c r="M3055" i="20"/>
  <c r="M3056" i="20"/>
  <c r="M3057" i="20"/>
  <c r="M3058" i="20"/>
  <c r="M3059" i="20"/>
  <c r="M3060" i="20"/>
  <c r="M3061" i="20"/>
  <c r="M3062" i="20"/>
  <c r="M3063" i="20"/>
  <c r="M3064" i="20"/>
  <c r="M3065" i="20"/>
  <c r="M3066" i="20"/>
  <c r="M3067" i="20"/>
  <c r="M3068" i="20"/>
  <c r="M3069" i="20"/>
  <c r="M3070" i="20"/>
  <c r="M3071" i="20"/>
  <c r="M3072" i="20"/>
  <c r="M3073" i="20"/>
  <c r="M3074" i="20"/>
  <c r="M3075" i="20"/>
  <c r="M3076" i="20"/>
  <c r="M3077" i="20"/>
  <c r="M3078" i="20"/>
  <c r="M3079" i="20"/>
  <c r="M3080" i="20"/>
  <c r="M3081" i="20"/>
  <c r="M3082" i="20"/>
  <c r="M3083" i="20"/>
  <c r="M3084" i="20"/>
  <c r="M3085" i="20"/>
  <c r="M3086" i="20"/>
  <c r="M3087" i="20"/>
  <c r="M3088" i="20"/>
  <c r="M3089" i="20"/>
  <c r="M3090" i="20"/>
  <c r="M3091" i="20"/>
  <c r="M3092" i="20"/>
  <c r="M3093" i="20"/>
  <c r="M3094" i="20"/>
  <c r="M3095" i="20"/>
  <c r="M3096" i="20"/>
  <c r="M3097" i="20"/>
  <c r="M3098" i="20"/>
  <c r="M3099" i="20"/>
  <c r="M3100" i="20"/>
  <c r="M3101" i="20"/>
  <c r="M3102" i="20"/>
  <c r="M3103" i="20"/>
  <c r="M3104" i="20"/>
  <c r="M3105" i="20"/>
  <c r="M3106" i="20"/>
  <c r="M3107" i="20"/>
  <c r="M3108" i="20"/>
  <c r="M3109" i="20"/>
  <c r="M3110" i="20"/>
  <c r="M3111" i="20"/>
  <c r="M3112" i="20"/>
  <c r="M3113" i="20"/>
  <c r="M3114" i="20"/>
  <c r="M3115" i="20"/>
  <c r="M3116" i="20"/>
  <c r="M3117" i="20"/>
  <c r="M3118" i="20"/>
  <c r="M3119" i="20"/>
  <c r="M3120" i="20"/>
  <c r="M3121" i="20"/>
  <c r="M3122" i="20"/>
  <c r="M3123" i="20"/>
  <c r="M3124" i="20"/>
  <c r="M3125" i="20"/>
  <c r="M3126" i="20"/>
  <c r="M3127" i="20"/>
  <c r="M3128" i="20"/>
  <c r="M3129" i="20"/>
  <c r="M3130" i="20"/>
  <c r="M3131" i="20"/>
  <c r="M3132" i="20"/>
  <c r="M3133" i="20"/>
  <c r="M3134" i="20"/>
  <c r="M3135" i="20"/>
  <c r="M3136" i="20"/>
  <c r="M3137" i="20"/>
  <c r="M3138" i="20"/>
  <c r="M3139" i="20"/>
  <c r="M3140" i="20"/>
  <c r="M3141" i="20"/>
  <c r="M3142" i="20"/>
  <c r="M3143" i="20"/>
  <c r="M3144" i="20"/>
  <c r="M3145" i="20"/>
  <c r="M3146" i="20"/>
  <c r="M3147" i="20"/>
  <c r="M3148" i="20"/>
  <c r="M3149" i="20"/>
  <c r="M3150" i="20"/>
  <c r="M3151" i="20"/>
  <c r="M3152" i="20"/>
  <c r="M3153" i="20"/>
  <c r="M3154" i="20"/>
  <c r="M3155" i="20"/>
  <c r="M3156" i="20"/>
  <c r="M3157" i="20"/>
  <c r="M3158" i="20"/>
  <c r="M3159" i="20"/>
  <c r="M3160" i="20"/>
  <c r="M3161" i="20"/>
  <c r="M3162" i="20"/>
  <c r="M3163" i="20"/>
  <c r="M3164" i="20"/>
  <c r="M3165" i="20"/>
  <c r="M3166" i="20"/>
  <c r="M3167" i="20"/>
  <c r="M3168" i="20"/>
  <c r="M3169" i="20"/>
  <c r="M3170" i="20"/>
  <c r="M3171" i="20"/>
  <c r="M3172" i="20"/>
  <c r="M3173" i="20"/>
  <c r="M3174" i="20"/>
  <c r="M3175" i="20"/>
  <c r="M3176" i="20"/>
  <c r="M3177" i="20"/>
  <c r="M3178" i="20"/>
  <c r="M3179" i="20"/>
  <c r="M3180" i="20"/>
  <c r="M3181" i="20"/>
  <c r="M3182" i="20"/>
  <c r="M3183" i="20"/>
  <c r="M3184" i="20"/>
  <c r="M3185" i="20"/>
  <c r="M3186" i="20"/>
  <c r="M3187" i="20"/>
  <c r="M3188" i="20"/>
  <c r="M3189" i="20"/>
  <c r="M3190" i="20"/>
  <c r="M3191" i="20"/>
  <c r="M3192" i="20"/>
  <c r="M3193" i="20"/>
  <c r="M3194" i="20"/>
  <c r="M3195" i="20"/>
  <c r="M3196" i="20"/>
  <c r="M3197" i="20"/>
  <c r="M3198" i="20"/>
  <c r="M3199" i="20"/>
  <c r="M3200" i="20"/>
  <c r="M3201" i="20"/>
  <c r="M3202" i="20"/>
  <c r="M3203" i="20"/>
  <c r="M3204" i="20"/>
  <c r="M3205" i="20"/>
  <c r="M3206" i="20"/>
  <c r="M3207" i="20"/>
  <c r="M3208" i="20"/>
  <c r="M3209" i="20"/>
  <c r="M3210" i="20"/>
  <c r="M3211" i="20"/>
  <c r="M3212" i="20"/>
  <c r="M3213" i="20"/>
  <c r="M3214" i="20"/>
  <c r="M3215" i="20"/>
  <c r="M3216" i="20"/>
  <c r="M3217" i="20"/>
  <c r="M3218" i="20"/>
  <c r="M3219" i="20"/>
  <c r="M3220" i="20"/>
  <c r="M3221" i="20"/>
  <c r="M3222" i="20"/>
  <c r="M3223" i="20"/>
  <c r="M3224" i="20"/>
  <c r="M3225" i="20"/>
  <c r="M3226" i="20"/>
  <c r="M3227" i="20"/>
  <c r="M3228" i="20"/>
  <c r="M3229" i="20"/>
  <c r="M3230" i="20"/>
  <c r="M3231" i="20"/>
  <c r="M3232" i="20"/>
  <c r="M3233" i="20"/>
  <c r="M3234" i="20"/>
  <c r="M3235" i="20"/>
  <c r="M3236" i="20"/>
  <c r="M3237" i="20"/>
  <c r="M3238" i="20"/>
  <c r="M3239" i="20"/>
  <c r="M3240" i="20"/>
  <c r="M3241" i="20"/>
  <c r="M3242" i="20"/>
  <c r="M3243" i="20"/>
  <c r="M3244" i="20"/>
  <c r="M3245" i="20"/>
  <c r="M3246" i="20"/>
  <c r="M3247" i="20"/>
  <c r="M3248" i="20"/>
  <c r="M3249" i="20"/>
  <c r="M3250" i="20"/>
  <c r="M3251" i="20"/>
  <c r="M3252" i="20"/>
  <c r="M3253" i="20"/>
  <c r="M3254" i="20"/>
  <c r="M3255" i="20"/>
  <c r="M3256" i="20"/>
  <c r="M3257" i="20"/>
  <c r="M3258" i="20"/>
  <c r="M3259" i="20"/>
  <c r="M3260" i="20"/>
  <c r="M3261" i="20"/>
  <c r="M3262" i="20"/>
  <c r="M3263" i="20"/>
  <c r="M3264" i="20"/>
  <c r="M3265" i="20"/>
  <c r="M3266" i="20"/>
  <c r="M3267" i="20"/>
  <c r="M3268" i="20"/>
  <c r="M3269" i="20"/>
  <c r="M3270" i="20"/>
  <c r="M3271" i="20"/>
  <c r="M3272" i="20"/>
  <c r="M3273" i="20"/>
  <c r="M3274" i="20"/>
  <c r="M3275" i="20"/>
  <c r="M3276" i="20"/>
  <c r="M3277" i="20"/>
  <c r="M3278" i="20"/>
  <c r="M3279" i="20"/>
  <c r="M3280" i="20"/>
  <c r="M3281" i="20"/>
  <c r="M3282" i="20"/>
  <c r="M3283" i="20"/>
  <c r="M3284" i="20"/>
  <c r="M3285" i="20"/>
  <c r="M3286" i="20"/>
  <c r="M3287" i="20"/>
  <c r="M3288" i="20"/>
  <c r="M3289" i="20"/>
  <c r="M3290" i="20"/>
  <c r="M3291" i="20"/>
  <c r="M3292" i="20"/>
  <c r="M3293" i="20"/>
  <c r="M3294" i="20"/>
  <c r="M3295" i="20"/>
  <c r="M3296" i="20"/>
  <c r="M3297" i="20"/>
  <c r="M3298" i="20"/>
  <c r="M3299" i="20"/>
  <c r="M3300" i="20"/>
  <c r="M3301" i="20"/>
  <c r="M3302" i="20"/>
  <c r="M3303" i="20"/>
  <c r="M3304" i="20"/>
  <c r="M3305" i="20"/>
  <c r="M3306" i="20"/>
  <c r="M3307" i="20"/>
  <c r="M3308" i="20"/>
  <c r="M3309" i="20"/>
  <c r="M3310" i="20"/>
  <c r="M3311" i="20"/>
  <c r="M3312" i="20"/>
  <c r="M3313" i="20"/>
  <c r="M3314" i="20"/>
  <c r="M3315" i="20"/>
  <c r="M3316" i="20"/>
  <c r="M3317" i="20"/>
  <c r="M3318" i="20"/>
  <c r="M3319" i="20"/>
  <c r="M3320" i="20"/>
  <c r="M3321" i="20"/>
  <c r="M3322" i="20"/>
  <c r="M3323" i="20"/>
  <c r="M3324" i="20"/>
  <c r="M3325" i="20"/>
  <c r="M3326" i="20"/>
  <c r="M3327" i="20"/>
  <c r="M3328" i="20"/>
  <c r="M3329" i="20"/>
  <c r="M3330" i="20"/>
  <c r="M3331" i="20"/>
  <c r="M3332" i="20"/>
  <c r="M3333" i="20"/>
  <c r="M3334" i="20"/>
  <c r="M3335" i="20"/>
  <c r="M3336" i="20"/>
  <c r="M3337" i="20"/>
  <c r="M3338" i="20"/>
  <c r="M3339" i="20"/>
  <c r="M3340" i="20"/>
  <c r="M3341" i="20"/>
  <c r="M3342" i="20"/>
  <c r="M3343" i="20"/>
  <c r="M3344" i="20"/>
  <c r="M3345" i="20"/>
  <c r="M3346" i="20"/>
  <c r="M3347" i="20"/>
  <c r="M3348" i="20"/>
  <c r="M3349" i="20"/>
  <c r="M3350" i="20"/>
  <c r="M3351" i="20"/>
  <c r="M3352" i="20"/>
  <c r="M3353" i="20"/>
  <c r="M3354" i="20"/>
  <c r="M3355" i="20"/>
  <c r="M3356" i="20"/>
  <c r="M3357" i="20"/>
  <c r="M3358" i="20"/>
  <c r="M3359" i="20"/>
  <c r="M3360" i="20"/>
  <c r="M3361" i="20"/>
  <c r="M3362" i="20"/>
  <c r="M3363" i="20"/>
  <c r="M3364" i="20"/>
  <c r="M3365" i="20"/>
  <c r="M3366" i="20"/>
  <c r="M3367" i="20"/>
  <c r="M3368" i="20"/>
  <c r="M3369" i="20"/>
  <c r="M3370" i="20"/>
  <c r="M3371" i="20"/>
  <c r="M3372" i="20"/>
  <c r="M3373" i="20"/>
  <c r="M3374" i="20"/>
  <c r="M3375" i="20"/>
  <c r="M3376" i="20"/>
  <c r="M3377" i="20"/>
  <c r="M3378" i="20"/>
  <c r="M3379" i="20"/>
  <c r="M3380" i="20"/>
  <c r="M3381" i="20"/>
  <c r="M3382" i="20"/>
  <c r="M3383" i="20"/>
  <c r="M3384" i="20"/>
  <c r="M3385" i="20"/>
  <c r="M3386" i="20"/>
  <c r="M3387" i="20"/>
  <c r="M3388" i="20"/>
  <c r="M3389" i="20"/>
  <c r="M3390" i="20"/>
  <c r="M3391" i="20"/>
  <c r="M3392" i="20"/>
  <c r="M3393" i="20"/>
  <c r="M3394" i="20"/>
  <c r="M3395" i="20"/>
  <c r="M3396" i="20"/>
  <c r="M3397" i="20"/>
  <c r="M3398" i="20"/>
  <c r="M3399" i="20"/>
  <c r="M3400" i="20"/>
  <c r="M3401" i="20"/>
  <c r="M3402" i="20"/>
  <c r="M3403" i="20"/>
  <c r="M3404" i="20"/>
  <c r="M3405" i="20"/>
  <c r="M3406" i="20"/>
  <c r="M3407" i="20"/>
  <c r="M3408" i="20"/>
  <c r="M3409" i="20"/>
  <c r="M3410" i="20"/>
  <c r="M3411" i="20"/>
  <c r="M3412" i="20"/>
  <c r="M3413" i="20"/>
  <c r="M3414" i="20"/>
  <c r="M3415" i="20"/>
  <c r="M3416" i="20"/>
  <c r="M3417" i="20"/>
  <c r="M3418" i="20"/>
  <c r="M3419" i="20"/>
  <c r="M3420" i="20"/>
  <c r="M3421" i="20"/>
  <c r="M3422" i="20"/>
  <c r="M3423" i="20"/>
  <c r="M3424" i="20"/>
  <c r="M3425" i="20"/>
  <c r="M3426" i="20"/>
  <c r="M3427" i="20"/>
  <c r="M3428" i="20"/>
  <c r="M3429" i="20"/>
  <c r="M3430" i="20"/>
  <c r="M3431" i="20"/>
  <c r="M3432" i="20"/>
  <c r="M3433" i="20"/>
  <c r="M3434" i="20"/>
  <c r="M3435" i="20"/>
  <c r="M3436" i="20"/>
  <c r="M3437" i="20"/>
  <c r="M3438" i="20"/>
  <c r="M3439" i="20"/>
  <c r="M3440" i="20"/>
  <c r="M3441" i="20"/>
  <c r="M3442" i="20"/>
  <c r="M3443" i="20"/>
  <c r="M3444" i="20"/>
  <c r="M3445" i="20"/>
  <c r="M3446" i="20"/>
  <c r="M3447" i="20"/>
  <c r="M3448" i="20"/>
  <c r="M3449" i="20"/>
  <c r="M3450" i="20"/>
  <c r="M3451" i="20"/>
  <c r="M3452" i="20"/>
  <c r="M3453" i="20"/>
  <c r="M3454" i="20"/>
  <c r="M3455" i="20"/>
  <c r="M3456" i="20"/>
  <c r="M3457" i="20"/>
  <c r="M3458" i="20"/>
  <c r="M3459" i="20"/>
  <c r="M3460" i="20"/>
  <c r="M3461" i="20"/>
  <c r="M3462" i="20"/>
  <c r="M3463" i="20"/>
  <c r="M3464" i="20"/>
  <c r="M3465" i="20"/>
  <c r="M3466" i="20"/>
  <c r="M3467" i="20"/>
  <c r="M3468" i="20"/>
  <c r="M3469" i="20"/>
  <c r="M3470" i="20"/>
  <c r="M3471" i="20"/>
  <c r="M3472" i="20"/>
  <c r="M3473" i="20"/>
  <c r="M3474" i="20"/>
  <c r="M3475" i="20"/>
  <c r="M3476" i="20"/>
  <c r="M3477" i="20"/>
  <c r="M3478" i="20"/>
  <c r="M3479" i="20"/>
  <c r="M3480" i="20"/>
  <c r="M3481" i="20"/>
  <c r="M3482" i="20"/>
  <c r="M3483" i="20"/>
  <c r="M3484" i="20"/>
  <c r="M3485" i="20"/>
  <c r="M3486" i="20"/>
  <c r="M3487" i="20"/>
  <c r="M3488" i="20"/>
  <c r="M3489" i="20"/>
  <c r="M3490" i="20"/>
  <c r="M3491" i="20"/>
  <c r="M3492" i="20"/>
  <c r="M3493" i="20"/>
  <c r="M3494" i="20"/>
  <c r="M3495" i="20"/>
  <c r="M3496" i="20"/>
  <c r="M3497" i="20"/>
  <c r="M3498" i="20"/>
  <c r="M3499" i="20"/>
  <c r="M3500" i="20"/>
  <c r="M3501" i="20"/>
  <c r="M3502" i="20"/>
  <c r="M3503" i="20"/>
  <c r="M3504" i="20"/>
  <c r="M3505" i="20"/>
  <c r="M3506" i="20"/>
  <c r="M3507" i="20"/>
  <c r="M3508" i="20"/>
  <c r="M3509" i="20"/>
  <c r="M3510" i="20"/>
  <c r="M3511" i="20"/>
  <c r="M3512" i="20"/>
  <c r="M3513" i="20"/>
  <c r="M3514" i="20"/>
  <c r="M3515" i="20"/>
  <c r="M3516" i="20"/>
  <c r="M3517" i="20"/>
  <c r="M3518" i="20"/>
  <c r="M3519" i="20"/>
  <c r="M3520" i="20"/>
  <c r="M3521" i="20"/>
  <c r="M3522" i="20"/>
  <c r="M3523" i="20"/>
  <c r="M3524" i="20"/>
  <c r="M3525" i="20"/>
  <c r="M3526" i="20"/>
  <c r="M3527" i="20"/>
  <c r="M3528" i="20"/>
  <c r="M3529" i="20"/>
  <c r="M3530" i="20"/>
  <c r="M3531" i="20"/>
  <c r="M3532" i="20"/>
  <c r="M3533" i="20"/>
  <c r="M3534" i="20"/>
  <c r="M3535" i="20"/>
  <c r="M3536" i="20"/>
  <c r="M3537" i="20"/>
  <c r="M3538" i="20"/>
  <c r="M3539" i="20"/>
  <c r="M3540" i="20"/>
  <c r="M3541" i="20"/>
  <c r="M3542" i="20"/>
  <c r="M3543" i="20"/>
  <c r="M3544" i="20"/>
  <c r="M3545" i="20"/>
  <c r="M3546" i="20"/>
  <c r="M3547" i="20"/>
  <c r="M3548" i="20"/>
  <c r="M3549" i="20"/>
  <c r="M3550" i="20"/>
  <c r="M3551" i="20"/>
  <c r="M3552" i="20"/>
  <c r="M3553" i="20"/>
  <c r="M3554" i="20"/>
  <c r="M3555" i="20"/>
  <c r="M3556" i="20"/>
  <c r="M3557" i="20"/>
  <c r="M3558" i="20"/>
  <c r="M3559" i="20"/>
  <c r="M3560" i="20"/>
  <c r="M3561" i="20"/>
  <c r="M3562" i="20"/>
  <c r="M3563" i="20"/>
  <c r="M3564" i="20"/>
  <c r="M3565" i="20"/>
  <c r="M3566" i="20"/>
  <c r="M3567" i="20"/>
  <c r="M3568" i="20"/>
  <c r="M3569" i="20"/>
  <c r="M3570" i="20"/>
  <c r="M3571" i="20"/>
  <c r="M3572" i="20"/>
  <c r="M3573" i="20"/>
  <c r="M3574" i="20"/>
  <c r="M3575" i="20"/>
  <c r="M3576" i="20"/>
  <c r="M3577" i="20"/>
  <c r="M3578" i="20"/>
  <c r="M3579" i="20"/>
  <c r="M3580" i="20"/>
  <c r="M3581" i="20"/>
  <c r="M3582" i="20"/>
  <c r="M3583" i="20"/>
  <c r="M3584" i="20"/>
  <c r="M3585" i="20"/>
  <c r="M3586" i="20"/>
  <c r="M3587" i="20"/>
  <c r="M3588" i="20"/>
  <c r="M3589" i="20"/>
  <c r="M3590" i="20"/>
  <c r="M3591" i="20"/>
  <c r="M3592" i="20"/>
  <c r="M3593" i="20"/>
  <c r="M3594" i="20"/>
  <c r="M3595" i="20"/>
  <c r="M3596" i="20"/>
  <c r="M3597" i="20"/>
  <c r="M3598" i="20"/>
  <c r="M3599" i="20"/>
  <c r="M3600" i="20"/>
  <c r="M3601" i="20"/>
  <c r="M3602" i="20"/>
  <c r="M3603" i="20"/>
  <c r="M3604" i="20"/>
  <c r="M3605" i="20"/>
  <c r="M3606" i="20"/>
  <c r="M3607" i="20"/>
  <c r="M3608" i="20"/>
  <c r="M3609" i="20"/>
  <c r="M3610" i="20"/>
  <c r="M3611" i="20"/>
  <c r="M3612" i="20"/>
  <c r="M3613" i="20"/>
  <c r="M3614" i="20"/>
  <c r="M3615" i="20"/>
  <c r="M3616" i="20"/>
  <c r="M3617" i="20"/>
  <c r="M3618" i="20"/>
  <c r="M3619" i="20"/>
  <c r="M3620" i="20"/>
  <c r="M3621" i="20"/>
  <c r="M3622" i="20"/>
  <c r="M3623" i="20"/>
  <c r="M3624" i="20"/>
  <c r="M3625" i="20"/>
  <c r="M3626" i="20"/>
  <c r="M3627" i="20"/>
  <c r="M3628" i="20"/>
  <c r="M3629" i="20"/>
  <c r="M3630" i="20"/>
  <c r="M3631" i="20"/>
  <c r="M3632" i="20"/>
  <c r="M3633" i="20"/>
  <c r="M3634" i="20"/>
  <c r="M3635" i="20"/>
  <c r="M3636" i="20"/>
  <c r="M3637" i="20"/>
  <c r="M3638" i="20"/>
  <c r="M3639" i="20"/>
  <c r="M3640" i="20"/>
  <c r="M3641" i="20"/>
  <c r="M3642" i="20"/>
  <c r="M3643" i="20"/>
  <c r="M3644" i="20"/>
  <c r="M3645" i="20"/>
  <c r="M3646" i="20"/>
  <c r="M3647" i="20"/>
  <c r="M3648" i="20"/>
  <c r="M3649" i="20"/>
  <c r="M3650" i="20"/>
  <c r="M3651" i="20"/>
  <c r="M3652" i="20"/>
  <c r="M3653" i="20"/>
  <c r="M3654" i="20"/>
  <c r="M3655" i="20"/>
  <c r="M3656" i="20"/>
  <c r="M3657" i="20"/>
  <c r="M3658" i="20"/>
  <c r="M3659" i="20"/>
  <c r="M3660" i="20"/>
  <c r="M3661" i="20"/>
  <c r="M3662" i="20"/>
  <c r="M3663" i="20"/>
  <c r="M3664" i="20"/>
  <c r="M3665" i="20"/>
  <c r="M3666" i="20"/>
  <c r="M3667" i="20"/>
  <c r="M3668" i="20"/>
  <c r="M3669" i="20"/>
  <c r="M3670" i="20"/>
  <c r="M3671" i="20"/>
  <c r="M3672" i="20"/>
  <c r="M3673" i="20"/>
  <c r="M3674" i="20"/>
  <c r="M3675" i="20"/>
  <c r="M3676" i="20"/>
  <c r="M3677" i="20"/>
  <c r="M3678" i="20"/>
  <c r="M3679" i="20"/>
  <c r="M3680" i="20"/>
  <c r="M3681" i="20"/>
  <c r="M3682" i="20"/>
  <c r="M3683" i="20"/>
  <c r="M3684" i="20"/>
  <c r="M3685" i="20"/>
  <c r="M3686" i="20"/>
  <c r="M3687" i="20"/>
  <c r="M3688" i="20"/>
  <c r="M3689" i="20"/>
  <c r="M3690" i="20"/>
  <c r="M3691" i="20"/>
  <c r="M3692" i="20"/>
  <c r="M3693" i="20"/>
  <c r="M3694" i="20"/>
  <c r="M3695" i="20"/>
  <c r="M3696" i="20"/>
  <c r="M3697" i="20"/>
  <c r="M3698" i="20"/>
  <c r="M3699" i="20"/>
  <c r="M3700" i="20"/>
  <c r="M3701" i="20"/>
  <c r="M3702" i="20"/>
  <c r="M3703" i="20"/>
  <c r="M3704" i="20"/>
  <c r="M3705" i="20"/>
  <c r="M3706" i="20"/>
  <c r="M3707" i="20"/>
  <c r="M3708" i="20"/>
  <c r="M3709" i="20"/>
  <c r="M3710" i="20"/>
  <c r="M3711" i="20"/>
  <c r="M3712" i="20"/>
  <c r="M3713" i="20"/>
  <c r="M3714" i="20"/>
  <c r="M3715" i="20"/>
  <c r="M3716" i="20"/>
  <c r="M3717" i="20"/>
  <c r="M3718" i="20"/>
  <c r="M3719" i="20"/>
  <c r="M3720" i="20"/>
  <c r="M3721" i="20"/>
  <c r="M3722" i="20"/>
  <c r="M3723" i="20"/>
  <c r="M3724" i="20"/>
  <c r="M3725" i="20"/>
  <c r="M3726" i="20"/>
  <c r="M3727" i="20"/>
  <c r="M3728" i="20"/>
  <c r="M3729" i="20"/>
  <c r="M3730" i="20"/>
  <c r="M3731" i="20"/>
  <c r="M3732" i="20"/>
  <c r="M3733" i="20"/>
  <c r="M3734" i="20"/>
  <c r="M3735" i="20"/>
  <c r="M3736" i="20"/>
  <c r="M3737" i="20"/>
  <c r="M3738" i="20"/>
  <c r="M3739" i="20"/>
  <c r="M3740" i="20"/>
  <c r="M3741" i="20"/>
  <c r="M3742" i="20"/>
  <c r="M3743" i="20"/>
  <c r="M3744" i="20"/>
  <c r="M3745" i="20"/>
  <c r="M3746" i="20"/>
  <c r="M3747" i="20"/>
  <c r="M3748" i="20"/>
  <c r="M3749" i="20"/>
  <c r="M3750" i="20"/>
  <c r="M3751" i="20"/>
  <c r="M3752" i="20"/>
  <c r="M3753" i="20"/>
  <c r="M3754" i="20"/>
  <c r="M3755" i="20"/>
  <c r="M3756" i="20"/>
  <c r="M3757" i="20"/>
  <c r="M3758" i="20"/>
  <c r="M3759" i="20"/>
  <c r="M3760" i="20"/>
  <c r="M3761" i="20"/>
  <c r="M3762" i="20"/>
  <c r="M3763" i="20"/>
  <c r="M3764" i="20"/>
  <c r="M3765" i="20"/>
  <c r="M3766" i="20"/>
  <c r="M3767" i="20"/>
  <c r="M3768" i="20"/>
  <c r="M3769" i="20"/>
  <c r="M3770" i="20"/>
  <c r="M3771" i="20"/>
  <c r="M3772" i="20"/>
  <c r="M3773" i="20"/>
  <c r="M3774" i="20"/>
  <c r="M3775" i="20"/>
  <c r="M3776" i="20"/>
  <c r="M3777" i="20"/>
  <c r="M3778" i="20"/>
  <c r="M3779" i="20"/>
  <c r="M3780" i="20"/>
  <c r="M3781" i="20"/>
  <c r="M3782" i="20"/>
  <c r="M3783" i="20"/>
  <c r="M3784" i="20"/>
  <c r="M3785" i="20"/>
  <c r="M3786" i="20"/>
  <c r="M3787" i="20"/>
  <c r="M3788" i="20"/>
  <c r="M3789" i="20"/>
  <c r="M3790" i="20"/>
  <c r="M3791" i="20"/>
  <c r="M3792" i="20"/>
  <c r="M3793" i="20"/>
  <c r="M3794" i="20"/>
  <c r="M3795" i="20"/>
  <c r="M3796" i="20"/>
  <c r="M3797" i="20"/>
  <c r="M3798" i="20"/>
  <c r="M3799" i="20"/>
  <c r="M3800" i="20"/>
  <c r="M3801" i="20"/>
  <c r="M3802" i="20"/>
  <c r="M3803" i="20"/>
  <c r="M3804" i="20"/>
  <c r="M3805" i="20"/>
  <c r="M3806" i="20"/>
  <c r="M3807" i="20"/>
  <c r="M3808" i="20"/>
  <c r="M3809" i="20"/>
  <c r="M3810" i="20"/>
  <c r="M3811" i="20"/>
  <c r="M3812" i="20"/>
  <c r="M3813" i="20"/>
  <c r="M3814" i="20"/>
  <c r="M3815" i="20"/>
  <c r="M3816" i="20"/>
  <c r="M3817" i="20"/>
  <c r="M3818" i="20"/>
  <c r="M3819" i="20"/>
  <c r="M3820" i="20"/>
  <c r="M3821" i="20"/>
  <c r="M3822" i="20"/>
  <c r="M3823" i="20"/>
  <c r="M3824" i="20"/>
  <c r="M3825" i="20"/>
  <c r="M3826" i="20"/>
  <c r="M3827" i="20"/>
  <c r="M3828" i="20"/>
  <c r="M3829" i="20"/>
  <c r="M3830" i="20"/>
  <c r="M3831" i="20"/>
  <c r="M3832" i="20"/>
  <c r="M3833" i="20"/>
  <c r="M3834" i="20"/>
  <c r="M3835" i="20"/>
  <c r="M3836" i="20"/>
  <c r="M3837" i="20"/>
  <c r="M3838" i="20"/>
  <c r="M3839" i="20"/>
  <c r="M3840" i="20"/>
  <c r="M3841" i="20"/>
  <c r="M3842" i="20"/>
  <c r="M3843" i="20"/>
  <c r="M3844" i="20"/>
  <c r="M3845" i="20"/>
  <c r="M3846" i="20"/>
  <c r="M3847" i="20"/>
  <c r="M3848" i="20"/>
  <c r="M3849" i="20"/>
  <c r="M3850" i="20"/>
  <c r="M3851" i="20"/>
  <c r="M3852" i="20"/>
  <c r="M3853" i="20"/>
  <c r="M3854" i="20"/>
  <c r="M3855" i="20"/>
  <c r="M3856" i="20"/>
  <c r="M3857" i="20"/>
  <c r="M3858" i="20"/>
  <c r="M3859" i="20"/>
  <c r="M3860" i="20"/>
  <c r="M3861" i="20"/>
  <c r="M3862" i="20"/>
  <c r="M3863" i="20"/>
  <c r="M3864" i="20"/>
  <c r="M3865" i="20"/>
  <c r="M3866" i="20"/>
  <c r="M3867" i="20"/>
  <c r="M3868" i="20"/>
  <c r="M3869" i="20"/>
  <c r="M3870" i="20"/>
  <c r="M3871" i="20"/>
  <c r="M3872" i="20"/>
  <c r="M3873" i="20"/>
  <c r="M3874" i="20"/>
  <c r="M3875" i="20"/>
  <c r="M3876" i="20"/>
  <c r="M3877" i="20"/>
  <c r="M3878" i="20"/>
  <c r="M3879" i="20"/>
  <c r="M3880" i="20"/>
  <c r="M3881" i="20"/>
  <c r="M3882" i="20"/>
  <c r="M3883" i="20"/>
  <c r="M3884" i="20"/>
  <c r="M3885" i="20"/>
  <c r="M3886" i="20"/>
  <c r="M3887" i="20"/>
  <c r="M3888" i="20"/>
  <c r="M3889" i="20"/>
  <c r="M3890" i="20"/>
  <c r="M3891" i="20"/>
  <c r="M3892" i="20"/>
  <c r="M3893" i="20"/>
  <c r="M3894" i="20"/>
  <c r="M3895" i="20"/>
  <c r="M3896" i="20"/>
  <c r="M3897" i="20"/>
  <c r="N2874" i="20"/>
  <c r="N2875" i="20"/>
  <c r="N2876" i="20"/>
  <c r="N2877" i="20"/>
  <c r="N2878" i="20"/>
  <c r="N2879" i="20"/>
  <c r="N2880" i="20"/>
  <c r="N2881" i="20"/>
  <c r="N2882" i="20"/>
  <c r="N2883" i="20"/>
  <c r="N2884" i="20"/>
  <c r="N2885" i="20"/>
  <c r="N2886" i="20"/>
  <c r="N2887" i="20"/>
  <c r="N2888" i="20"/>
  <c r="N2889" i="20"/>
  <c r="N2890" i="20"/>
  <c r="N2891" i="20"/>
  <c r="N2892" i="20"/>
  <c r="N2893" i="20"/>
  <c r="N2894" i="20"/>
  <c r="N2895" i="20"/>
  <c r="N2896" i="20"/>
  <c r="N2897" i="20"/>
  <c r="N2898" i="20"/>
  <c r="N2899" i="20"/>
  <c r="N2900" i="20"/>
  <c r="N2901" i="20"/>
  <c r="N2902" i="20"/>
  <c r="N2903" i="20"/>
  <c r="N2904" i="20"/>
  <c r="N2905" i="20"/>
  <c r="N2906" i="20"/>
  <c r="N2907" i="20"/>
  <c r="N2908" i="20"/>
  <c r="N2909" i="20"/>
  <c r="N2910" i="20"/>
  <c r="N2911" i="20"/>
  <c r="N2912" i="20"/>
  <c r="N2913" i="20"/>
  <c r="N2914" i="20"/>
  <c r="N2915" i="20"/>
  <c r="N2916" i="20"/>
  <c r="N2917" i="20"/>
  <c r="N2918" i="20"/>
  <c r="N2919" i="20"/>
  <c r="N2920" i="20"/>
  <c r="N2921" i="20"/>
  <c r="N2922" i="20"/>
  <c r="N2923" i="20"/>
  <c r="N2924" i="20"/>
  <c r="N2925" i="20"/>
  <c r="N2926" i="20"/>
  <c r="N2927" i="20"/>
  <c r="N2928" i="20"/>
  <c r="N2929" i="20"/>
  <c r="N2930" i="20"/>
  <c r="N2931" i="20"/>
  <c r="N2932" i="20"/>
  <c r="N2933" i="20"/>
  <c r="N2934" i="20"/>
  <c r="N2935" i="20"/>
  <c r="N2936" i="20"/>
  <c r="N2937" i="20"/>
  <c r="N2938" i="20"/>
  <c r="N2939" i="20"/>
  <c r="N2940" i="20"/>
  <c r="N2941" i="20"/>
  <c r="N2942" i="20"/>
  <c r="N2943" i="20"/>
  <c r="N2944" i="20"/>
  <c r="N2945" i="20"/>
  <c r="N2946" i="20"/>
  <c r="N2947" i="20"/>
  <c r="N2948" i="20"/>
  <c r="N2949" i="20"/>
  <c r="N2950" i="20"/>
  <c r="N2951" i="20"/>
  <c r="N2952" i="20"/>
  <c r="N2953" i="20"/>
  <c r="N2954" i="20"/>
  <c r="N2955" i="20"/>
  <c r="N2956" i="20"/>
  <c r="N2957" i="20"/>
  <c r="N2958" i="20"/>
  <c r="N2959" i="20"/>
  <c r="N2960" i="20"/>
  <c r="N2961" i="20"/>
  <c r="N2962" i="20"/>
  <c r="N2963" i="20"/>
  <c r="N2964" i="20"/>
  <c r="N2965" i="20"/>
  <c r="N2966" i="20"/>
  <c r="N2967" i="20"/>
  <c r="N2968" i="20"/>
  <c r="N2969" i="20"/>
  <c r="N2970" i="20"/>
  <c r="N2971" i="20"/>
  <c r="N2972" i="20"/>
  <c r="N2973" i="20"/>
  <c r="N2974" i="20"/>
  <c r="N2975" i="20"/>
  <c r="N2976" i="20"/>
  <c r="N2977" i="20"/>
  <c r="N2978" i="20"/>
  <c r="N2979" i="20"/>
  <c r="N2980" i="20"/>
  <c r="N2981" i="20"/>
  <c r="N2982" i="20"/>
  <c r="N2983" i="20"/>
  <c r="N2984" i="20"/>
  <c r="N2985" i="20"/>
  <c r="N2986" i="20"/>
  <c r="N2987" i="20"/>
  <c r="N2988" i="20"/>
  <c r="N2989" i="20"/>
  <c r="N2990" i="20"/>
  <c r="N2991" i="20"/>
  <c r="N2992" i="20"/>
  <c r="N2993" i="20"/>
  <c r="N2994" i="20"/>
  <c r="N2995" i="20"/>
  <c r="N2996" i="20"/>
  <c r="N2997" i="20"/>
  <c r="N2998" i="20"/>
  <c r="N2999" i="20"/>
  <c r="N3000" i="20"/>
  <c r="N3001" i="20"/>
  <c r="N3002" i="20"/>
  <c r="N3003" i="20"/>
  <c r="N3004" i="20"/>
  <c r="N3005" i="20"/>
  <c r="N3006" i="20"/>
  <c r="N3007" i="20"/>
  <c r="N3008" i="20"/>
  <c r="N3009" i="20"/>
  <c r="N3010" i="20"/>
  <c r="N3011" i="20"/>
  <c r="N3012" i="20"/>
  <c r="N3013" i="20"/>
  <c r="N3014" i="20"/>
  <c r="N3015" i="20"/>
  <c r="N3016" i="20"/>
  <c r="N3017" i="20"/>
  <c r="N3018" i="20"/>
  <c r="N3019" i="20"/>
  <c r="N3020" i="20"/>
  <c r="N3021" i="20"/>
  <c r="N3022" i="20"/>
  <c r="N3023" i="20"/>
  <c r="N3024" i="20"/>
  <c r="N3025" i="20"/>
  <c r="N3026" i="20"/>
  <c r="N3027" i="20"/>
  <c r="N3028" i="20"/>
  <c r="N3029" i="20"/>
  <c r="N3030" i="20"/>
  <c r="N3031" i="20"/>
  <c r="N3032" i="20"/>
  <c r="N3033" i="20"/>
  <c r="N3034" i="20"/>
  <c r="N3035" i="20"/>
  <c r="N3036" i="20"/>
  <c r="N3037" i="20"/>
  <c r="N3038" i="20"/>
  <c r="N3039" i="20"/>
  <c r="N3040" i="20"/>
  <c r="N3041" i="20"/>
  <c r="N3042" i="20"/>
  <c r="N3043" i="20"/>
  <c r="N3044" i="20"/>
  <c r="N3045" i="20"/>
  <c r="N3046" i="20"/>
  <c r="N3047" i="20"/>
  <c r="N3048" i="20"/>
  <c r="N3049" i="20"/>
  <c r="N3050" i="20"/>
  <c r="N3051" i="20"/>
  <c r="N3052" i="20"/>
  <c r="N3053" i="20"/>
  <c r="N3054" i="20"/>
  <c r="N3055" i="20"/>
  <c r="N3056" i="20"/>
  <c r="N3057" i="20"/>
  <c r="N3058" i="20"/>
  <c r="N3059" i="20"/>
  <c r="N3060" i="20"/>
  <c r="N3061" i="20"/>
  <c r="N3062" i="20"/>
  <c r="N3063" i="20"/>
  <c r="N3064" i="20"/>
  <c r="N3065" i="20"/>
  <c r="N3066" i="20"/>
  <c r="N3067" i="20"/>
  <c r="N3068" i="20"/>
  <c r="N3069" i="20"/>
  <c r="N3070" i="20"/>
  <c r="N3071" i="20"/>
  <c r="N3072" i="20"/>
  <c r="N3073" i="20"/>
  <c r="N3074" i="20"/>
  <c r="N3075" i="20"/>
  <c r="N3076" i="20"/>
  <c r="N3077" i="20"/>
  <c r="N3078" i="20"/>
  <c r="N3079" i="20"/>
  <c r="N3080" i="20"/>
  <c r="N3081" i="20"/>
  <c r="N3082" i="20"/>
  <c r="N3083" i="20"/>
  <c r="N3084" i="20"/>
  <c r="N3085" i="20"/>
  <c r="N3086" i="20"/>
  <c r="N3087" i="20"/>
  <c r="N3088" i="20"/>
  <c r="N3089" i="20"/>
  <c r="N3090" i="20"/>
  <c r="N3091" i="20"/>
  <c r="N3092" i="20"/>
  <c r="N3093" i="20"/>
  <c r="N3094" i="20"/>
  <c r="N3095" i="20"/>
  <c r="N3096" i="20"/>
  <c r="N3097" i="20"/>
  <c r="N3098" i="20"/>
  <c r="N3099" i="20"/>
  <c r="N3100" i="20"/>
  <c r="N3101" i="20"/>
  <c r="N3102" i="20"/>
  <c r="N3103" i="20"/>
  <c r="N3104" i="20"/>
  <c r="N3105" i="20"/>
  <c r="N3106" i="20"/>
  <c r="N3107" i="20"/>
  <c r="N3108" i="20"/>
  <c r="N3109" i="20"/>
  <c r="N3110" i="20"/>
  <c r="N3111" i="20"/>
  <c r="N3112" i="20"/>
  <c r="N3113" i="20"/>
  <c r="N3114" i="20"/>
  <c r="N3115" i="20"/>
  <c r="N3116" i="20"/>
  <c r="N3117" i="20"/>
  <c r="N3118" i="20"/>
  <c r="N3119" i="20"/>
  <c r="N3120" i="20"/>
  <c r="N3121" i="20"/>
  <c r="N3122" i="20"/>
  <c r="N3123" i="20"/>
  <c r="N3124" i="20"/>
  <c r="N3125" i="20"/>
  <c r="N3126" i="20"/>
  <c r="N3127" i="20"/>
  <c r="N3128" i="20"/>
  <c r="N3129" i="20"/>
  <c r="N3130" i="20"/>
  <c r="N3131" i="20"/>
  <c r="N3132" i="20"/>
  <c r="N3133" i="20"/>
  <c r="N3134" i="20"/>
  <c r="N3135" i="20"/>
  <c r="N3136" i="20"/>
  <c r="N3137" i="20"/>
  <c r="N3138" i="20"/>
  <c r="N3139" i="20"/>
  <c r="N3140" i="20"/>
  <c r="N3141" i="20"/>
  <c r="N3142" i="20"/>
  <c r="N3143" i="20"/>
  <c r="N3144" i="20"/>
  <c r="N3145" i="20"/>
  <c r="N3146" i="20"/>
  <c r="N3147" i="20"/>
  <c r="N3148" i="20"/>
  <c r="N3149" i="20"/>
  <c r="N3150" i="20"/>
  <c r="N3151" i="20"/>
  <c r="N3152" i="20"/>
  <c r="N3153" i="20"/>
  <c r="N3154" i="20"/>
  <c r="N3155" i="20"/>
  <c r="N3156" i="20"/>
  <c r="N3157" i="20"/>
  <c r="N3158" i="20"/>
  <c r="N3159" i="20"/>
  <c r="N3160" i="20"/>
  <c r="N3161" i="20"/>
  <c r="N3162" i="20"/>
  <c r="N3163" i="20"/>
  <c r="N3164" i="20"/>
  <c r="N3165" i="20"/>
  <c r="N3166" i="20"/>
  <c r="N3167" i="20"/>
  <c r="N3168" i="20"/>
  <c r="N3169" i="20"/>
  <c r="N3170" i="20"/>
  <c r="N3171" i="20"/>
  <c r="N3172" i="20"/>
  <c r="N3173" i="20"/>
  <c r="N3174" i="20"/>
  <c r="N3175" i="20"/>
  <c r="N3176" i="20"/>
  <c r="N3177" i="20"/>
  <c r="N3178" i="20"/>
  <c r="N3179" i="20"/>
  <c r="N3180" i="20"/>
  <c r="N3181" i="20"/>
  <c r="N3182" i="20"/>
  <c r="N3183" i="20"/>
  <c r="N3184" i="20"/>
  <c r="N3185" i="20"/>
  <c r="N3186" i="20"/>
  <c r="N3187" i="20"/>
  <c r="N3188" i="20"/>
  <c r="N3189" i="20"/>
  <c r="N3190" i="20"/>
  <c r="N3191" i="20"/>
  <c r="N3192" i="20"/>
  <c r="N3193" i="20"/>
  <c r="N3194" i="20"/>
  <c r="N3195" i="20"/>
  <c r="N3196" i="20"/>
  <c r="N3197" i="20"/>
  <c r="N3198" i="20"/>
  <c r="N3199" i="20"/>
  <c r="N3200" i="20"/>
  <c r="N3201" i="20"/>
  <c r="N3202" i="20"/>
  <c r="N3203" i="20"/>
  <c r="N3204" i="20"/>
  <c r="N3205" i="20"/>
  <c r="N3206" i="20"/>
  <c r="N3207" i="20"/>
  <c r="N3208" i="20"/>
  <c r="N3209" i="20"/>
  <c r="N3210" i="20"/>
  <c r="N3211" i="20"/>
  <c r="N3212" i="20"/>
  <c r="N3213" i="20"/>
  <c r="N3214" i="20"/>
  <c r="N3215" i="20"/>
  <c r="N3216" i="20"/>
  <c r="N3217" i="20"/>
  <c r="N3218" i="20"/>
  <c r="N3219" i="20"/>
  <c r="N3220" i="20"/>
  <c r="N3221" i="20"/>
  <c r="N3222" i="20"/>
  <c r="N3223" i="20"/>
  <c r="N3224" i="20"/>
  <c r="N3225" i="20"/>
  <c r="N3226" i="20"/>
  <c r="N3227" i="20"/>
  <c r="N3228" i="20"/>
  <c r="N3229" i="20"/>
  <c r="N3230" i="20"/>
  <c r="N3231" i="20"/>
  <c r="N3232" i="20"/>
  <c r="N3233" i="20"/>
  <c r="N3234" i="20"/>
  <c r="N3235" i="20"/>
  <c r="N3236" i="20"/>
  <c r="N3237" i="20"/>
  <c r="N3238" i="20"/>
  <c r="N3239" i="20"/>
  <c r="N3240" i="20"/>
  <c r="N3241" i="20"/>
  <c r="N3242" i="20"/>
  <c r="N3243" i="20"/>
  <c r="N3244" i="20"/>
  <c r="N3245" i="20"/>
  <c r="N3246" i="20"/>
  <c r="N3247" i="20"/>
  <c r="N3248" i="20"/>
  <c r="N3249" i="20"/>
  <c r="N3250" i="20"/>
  <c r="N3251" i="20"/>
  <c r="N3252" i="20"/>
  <c r="N3253" i="20"/>
  <c r="N3254" i="20"/>
  <c r="N3255" i="20"/>
  <c r="N3256" i="20"/>
  <c r="N3257" i="20"/>
  <c r="N3258" i="20"/>
  <c r="N3259" i="20"/>
  <c r="N3260" i="20"/>
  <c r="N3261" i="20"/>
  <c r="N3262" i="20"/>
  <c r="N3263" i="20"/>
  <c r="N3264" i="20"/>
  <c r="N3265" i="20"/>
  <c r="N3266" i="20"/>
  <c r="N3267" i="20"/>
  <c r="N3268" i="20"/>
  <c r="N3269" i="20"/>
  <c r="N3270" i="20"/>
  <c r="N3271" i="20"/>
  <c r="N3272" i="20"/>
  <c r="N3273" i="20"/>
  <c r="N3274" i="20"/>
  <c r="N3275" i="20"/>
  <c r="N3276" i="20"/>
  <c r="N3277" i="20"/>
  <c r="N3278" i="20"/>
  <c r="N3279" i="20"/>
  <c r="N3280" i="20"/>
  <c r="N3281" i="20"/>
  <c r="N3282" i="20"/>
  <c r="N3283" i="20"/>
  <c r="N3284" i="20"/>
  <c r="N3285" i="20"/>
  <c r="N3286" i="20"/>
  <c r="N3287" i="20"/>
  <c r="N3288" i="20"/>
  <c r="N3289" i="20"/>
  <c r="N3290" i="20"/>
  <c r="N3291" i="20"/>
  <c r="N3292" i="20"/>
  <c r="N3293" i="20"/>
  <c r="N3294" i="20"/>
  <c r="N3295" i="20"/>
  <c r="N3296" i="20"/>
  <c r="N3297" i="20"/>
  <c r="N3298" i="20"/>
  <c r="N3299" i="20"/>
  <c r="N3300" i="20"/>
  <c r="N3301" i="20"/>
  <c r="N3302" i="20"/>
  <c r="N3303" i="20"/>
  <c r="N3304" i="20"/>
  <c r="N3305" i="20"/>
  <c r="N3306" i="20"/>
  <c r="N3307" i="20"/>
  <c r="N3308" i="20"/>
  <c r="N3309" i="20"/>
  <c r="N3310" i="20"/>
  <c r="N3311" i="20"/>
  <c r="N3312" i="20"/>
  <c r="N3313" i="20"/>
  <c r="N3314" i="20"/>
  <c r="N3315" i="20"/>
  <c r="N3316" i="20"/>
  <c r="N3317" i="20"/>
  <c r="N3318" i="20"/>
  <c r="N3319" i="20"/>
  <c r="N3320" i="20"/>
  <c r="N3321" i="20"/>
  <c r="N3322" i="20"/>
  <c r="N3323" i="20"/>
  <c r="N3324" i="20"/>
  <c r="N3325" i="20"/>
  <c r="N3326" i="20"/>
  <c r="N3327" i="20"/>
  <c r="N3328" i="20"/>
  <c r="N3329" i="20"/>
  <c r="N3330" i="20"/>
  <c r="N3331" i="20"/>
  <c r="N3332" i="20"/>
  <c r="N3333" i="20"/>
  <c r="N3334" i="20"/>
  <c r="N3335" i="20"/>
  <c r="N3336" i="20"/>
  <c r="N3337" i="20"/>
  <c r="N3338" i="20"/>
  <c r="N3339" i="20"/>
  <c r="N3340" i="20"/>
  <c r="N3341" i="20"/>
  <c r="N3342" i="20"/>
  <c r="N3343" i="20"/>
  <c r="N3344" i="20"/>
  <c r="N3345" i="20"/>
  <c r="N3346" i="20"/>
  <c r="N3347" i="20"/>
  <c r="N3348" i="20"/>
  <c r="N3349" i="20"/>
  <c r="N3350" i="20"/>
  <c r="N3351" i="20"/>
  <c r="N3352" i="20"/>
  <c r="N3353" i="20"/>
  <c r="N3354" i="20"/>
  <c r="N3355" i="20"/>
  <c r="N3356" i="20"/>
  <c r="N3357" i="20"/>
  <c r="N3358" i="20"/>
  <c r="N3359" i="20"/>
  <c r="N3360" i="20"/>
  <c r="N3361" i="20"/>
  <c r="N3362" i="20"/>
  <c r="N3363" i="20"/>
  <c r="N3364" i="20"/>
  <c r="N3365" i="20"/>
  <c r="N3366" i="20"/>
  <c r="N3367" i="20"/>
  <c r="N3368" i="20"/>
  <c r="N3369" i="20"/>
  <c r="N3370" i="20"/>
  <c r="N3371" i="20"/>
  <c r="N3372" i="20"/>
  <c r="N3373" i="20"/>
  <c r="N3374" i="20"/>
  <c r="N3375" i="20"/>
  <c r="N3376" i="20"/>
  <c r="N3377" i="20"/>
  <c r="N3378" i="20"/>
  <c r="N3379" i="20"/>
  <c r="N3380" i="20"/>
  <c r="N3381" i="20"/>
  <c r="N3382" i="20"/>
  <c r="N3383" i="20"/>
  <c r="N3384" i="20"/>
  <c r="N3385" i="20"/>
  <c r="N3386" i="20"/>
  <c r="N3387" i="20"/>
  <c r="N3388" i="20"/>
  <c r="N3389" i="20"/>
  <c r="N3390" i="20"/>
  <c r="N3391" i="20"/>
  <c r="N3392" i="20"/>
  <c r="N3393" i="20"/>
  <c r="N3394" i="20"/>
  <c r="N3395" i="20"/>
  <c r="N3396" i="20"/>
  <c r="N3397" i="20"/>
  <c r="N3398" i="20"/>
  <c r="N3399" i="20"/>
  <c r="N3400" i="20"/>
  <c r="N3401" i="20"/>
  <c r="N3402" i="20"/>
  <c r="N3403" i="20"/>
  <c r="N3404" i="20"/>
  <c r="N3405" i="20"/>
  <c r="N3406" i="20"/>
  <c r="N3407" i="20"/>
  <c r="N3408" i="20"/>
  <c r="N3409" i="20"/>
  <c r="N3410" i="20"/>
  <c r="N3411" i="20"/>
  <c r="N3412" i="20"/>
  <c r="N3413" i="20"/>
  <c r="N3414" i="20"/>
  <c r="N3415" i="20"/>
  <c r="N3416" i="20"/>
  <c r="N3417" i="20"/>
  <c r="N3418" i="20"/>
  <c r="N3419" i="20"/>
  <c r="N3420" i="20"/>
  <c r="N3421" i="20"/>
  <c r="N3422" i="20"/>
  <c r="N3423" i="20"/>
  <c r="N3424" i="20"/>
  <c r="N3425" i="20"/>
  <c r="N3426" i="20"/>
  <c r="N3427" i="20"/>
  <c r="N3428" i="20"/>
  <c r="N3429" i="20"/>
  <c r="N3430" i="20"/>
  <c r="N3431" i="20"/>
  <c r="N3432" i="20"/>
  <c r="N3433" i="20"/>
  <c r="N3434" i="20"/>
  <c r="N3435" i="20"/>
  <c r="N3436" i="20"/>
  <c r="N3437" i="20"/>
  <c r="N3438" i="20"/>
  <c r="N3439" i="20"/>
  <c r="N3440" i="20"/>
  <c r="N3441" i="20"/>
  <c r="N3442" i="20"/>
  <c r="N3443" i="20"/>
  <c r="N3444" i="20"/>
  <c r="N3445" i="20"/>
  <c r="N3446" i="20"/>
  <c r="N3447" i="20"/>
  <c r="N3448" i="20"/>
  <c r="N3449" i="20"/>
  <c r="N3450" i="20"/>
  <c r="N3451" i="20"/>
  <c r="N3452" i="20"/>
  <c r="N3453" i="20"/>
  <c r="N3454" i="20"/>
  <c r="N3455" i="20"/>
  <c r="N3456" i="20"/>
  <c r="N3457" i="20"/>
  <c r="N3458" i="20"/>
  <c r="N3459" i="20"/>
  <c r="N3460" i="20"/>
  <c r="N3461" i="20"/>
  <c r="N3462" i="20"/>
  <c r="N3463" i="20"/>
  <c r="N3464" i="20"/>
  <c r="N3465" i="20"/>
  <c r="N3466" i="20"/>
  <c r="N3467" i="20"/>
  <c r="N3468" i="20"/>
  <c r="N3469" i="20"/>
  <c r="N3470" i="20"/>
  <c r="N3471" i="20"/>
  <c r="N3472" i="20"/>
  <c r="N3473" i="20"/>
  <c r="N3474" i="20"/>
  <c r="N3475" i="20"/>
  <c r="N3476" i="20"/>
  <c r="N3477" i="20"/>
  <c r="N3478" i="20"/>
  <c r="N3479" i="20"/>
  <c r="N3480" i="20"/>
  <c r="N3481" i="20"/>
  <c r="N3482" i="20"/>
  <c r="N3483" i="20"/>
  <c r="N3484" i="20"/>
  <c r="N3485" i="20"/>
  <c r="N3486" i="20"/>
  <c r="N3487" i="20"/>
  <c r="N3488" i="20"/>
  <c r="N3489" i="20"/>
  <c r="N3490" i="20"/>
  <c r="N3491" i="20"/>
  <c r="N3492" i="20"/>
  <c r="N3493" i="20"/>
  <c r="N3494" i="20"/>
  <c r="N3495" i="20"/>
  <c r="N3496" i="20"/>
  <c r="N3497" i="20"/>
  <c r="N3498" i="20"/>
  <c r="N3499" i="20"/>
  <c r="N3500" i="20"/>
  <c r="N3501" i="20"/>
  <c r="N3502" i="20"/>
  <c r="N3503" i="20"/>
  <c r="N3504" i="20"/>
  <c r="N3505" i="20"/>
  <c r="N3506" i="20"/>
  <c r="N3507" i="20"/>
  <c r="N3508" i="20"/>
  <c r="N3509" i="20"/>
  <c r="N3510" i="20"/>
  <c r="N3511" i="20"/>
  <c r="N3512" i="20"/>
  <c r="N3513" i="20"/>
  <c r="N3514" i="20"/>
  <c r="N3515" i="20"/>
  <c r="N3516" i="20"/>
  <c r="N3517" i="20"/>
  <c r="N3518" i="20"/>
  <c r="N3519" i="20"/>
  <c r="N3520" i="20"/>
  <c r="N3521" i="20"/>
  <c r="N3522" i="20"/>
  <c r="N3523" i="20"/>
  <c r="N3524" i="20"/>
  <c r="N3525" i="20"/>
  <c r="N3526" i="20"/>
  <c r="N3527" i="20"/>
  <c r="N3528" i="20"/>
  <c r="N3529" i="20"/>
  <c r="N3530" i="20"/>
  <c r="N3531" i="20"/>
  <c r="N3532" i="20"/>
  <c r="N3533" i="20"/>
  <c r="N3534" i="20"/>
  <c r="N3535" i="20"/>
  <c r="N3536" i="20"/>
  <c r="N3537" i="20"/>
  <c r="N3538" i="20"/>
  <c r="N3539" i="20"/>
  <c r="N3540" i="20"/>
  <c r="N3541" i="20"/>
  <c r="N3542" i="20"/>
  <c r="N3543" i="20"/>
  <c r="N3544" i="20"/>
  <c r="N3545" i="20"/>
  <c r="N3546" i="20"/>
  <c r="N3547" i="20"/>
  <c r="N3548" i="20"/>
  <c r="N3549" i="20"/>
  <c r="N3550" i="20"/>
  <c r="N3551" i="20"/>
  <c r="N3552" i="20"/>
  <c r="N3553" i="20"/>
  <c r="N3554" i="20"/>
  <c r="N3555" i="20"/>
  <c r="N3556" i="20"/>
  <c r="N3557" i="20"/>
  <c r="N3558" i="20"/>
  <c r="N3559" i="20"/>
  <c r="N3560" i="20"/>
  <c r="N3561" i="20"/>
  <c r="N3562" i="20"/>
  <c r="N3563" i="20"/>
  <c r="N3564" i="20"/>
  <c r="N3565" i="20"/>
  <c r="N3566" i="20"/>
  <c r="N3567" i="20"/>
  <c r="N3568" i="20"/>
  <c r="N3569" i="20"/>
  <c r="N3570" i="20"/>
  <c r="N3571" i="20"/>
  <c r="N3572" i="20"/>
  <c r="N3573" i="20"/>
  <c r="N3574" i="20"/>
  <c r="N3575" i="20"/>
  <c r="N3576" i="20"/>
  <c r="N3577" i="20"/>
  <c r="N3578" i="20"/>
  <c r="N3579" i="20"/>
  <c r="N3580" i="20"/>
  <c r="N3581" i="20"/>
  <c r="N3582" i="20"/>
  <c r="N3583" i="20"/>
  <c r="N3584" i="20"/>
  <c r="N3585" i="20"/>
  <c r="N3586" i="20"/>
  <c r="N3587" i="20"/>
  <c r="N3588" i="20"/>
  <c r="N3589" i="20"/>
  <c r="N3590" i="20"/>
  <c r="N3591" i="20"/>
  <c r="N3592" i="20"/>
  <c r="N3593" i="20"/>
  <c r="N3594" i="20"/>
  <c r="N3595" i="20"/>
  <c r="N3596" i="20"/>
  <c r="N3597" i="20"/>
  <c r="N3598" i="20"/>
  <c r="N3599" i="20"/>
  <c r="N3600" i="20"/>
  <c r="N3601" i="20"/>
  <c r="N3602" i="20"/>
  <c r="N3603" i="20"/>
  <c r="N3604" i="20"/>
  <c r="N3605" i="20"/>
  <c r="N3606" i="20"/>
  <c r="N3607" i="20"/>
  <c r="N3608" i="20"/>
  <c r="N3609" i="20"/>
  <c r="N3610" i="20"/>
  <c r="N3611" i="20"/>
  <c r="N3612" i="20"/>
  <c r="N3613" i="20"/>
  <c r="N3614" i="20"/>
  <c r="N3615" i="20"/>
  <c r="N3616" i="20"/>
  <c r="N3617" i="20"/>
  <c r="N3618" i="20"/>
  <c r="N3619" i="20"/>
  <c r="N3620" i="20"/>
  <c r="N3621" i="20"/>
  <c r="N3622" i="20"/>
  <c r="N3623" i="20"/>
  <c r="N3624" i="20"/>
  <c r="N3625" i="20"/>
  <c r="N3626" i="20"/>
  <c r="N3627" i="20"/>
  <c r="N3628" i="20"/>
  <c r="N3629" i="20"/>
  <c r="N3630" i="20"/>
  <c r="N3631" i="20"/>
  <c r="N3632" i="20"/>
  <c r="N3633" i="20"/>
  <c r="N3634" i="20"/>
  <c r="N3635" i="20"/>
  <c r="N3636" i="20"/>
  <c r="N3637" i="20"/>
  <c r="N3638" i="20"/>
  <c r="N3639" i="20"/>
  <c r="N3640" i="20"/>
  <c r="N3641" i="20"/>
  <c r="N3642" i="20"/>
  <c r="N3643" i="20"/>
  <c r="N3644" i="20"/>
  <c r="N3645" i="20"/>
  <c r="N3646" i="20"/>
  <c r="N3647" i="20"/>
  <c r="N3648" i="20"/>
  <c r="N3649" i="20"/>
  <c r="N3650" i="20"/>
  <c r="N3651" i="20"/>
  <c r="N3652" i="20"/>
  <c r="N3653" i="20"/>
  <c r="N3654" i="20"/>
  <c r="N3655" i="20"/>
  <c r="N3656" i="20"/>
  <c r="N3657" i="20"/>
  <c r="N3658" i="20"/>
  <c r="N3659" i="20"/>
  <c r="N3660" i="20"/>
  <c r="N3661" i="20"/>
  <c r="N3662" i="20"/>
  <c r="N3663" i="20"/>
  <c r="N3664" i="20"/>
  <c r="N3665" i="20"/>
  <c r="N3666" i="20"/>
  <c r="N3667" i="20"/>
  <c r="N3668" i="20"/>
  <c r="N3669" i="20"/>
  <c r="N3670" i="20"/>
  <c r="N3671" i="20"/>
  <c r="N3672" i="20"/>
  <c r="N3673" i="20"/>
  <c r="N3674" i="20"/>
  <c r="N3675" i="20"/>
  <c r="N3676" i="20"/>
  <c r="N3677" i="20"/>
  <c r="N3678" i="20"/>
  <c r="N3679" i="20"/>
  <c r="N3680" i="20"/>
  <c r="N3681" i="20"/>
  <c r="N3682" i="20"/>
  <c r="N3683" i="20"/>
  <c r="N3684" i="20"/>
  <c r="N3685" i="20"/>
  <c r="N3686" i="20"/>
  <c r="N3687" i="20"/>
  <c r="N3688" i="20"/>
  <c r="N3689" i="20"/>
  <c r="N3690" i="20"/>
  <c r="N3691" i="20"/>
  <c r="N3692" i="20"/>
  <c r="N3693" i="20"/>
  <c r="N3694" i="20"/>
  <c r="N3695" i="20"/>
  <c r="N3696" i="20"/>
  <c r="N3697" i="20"/>
  <c r="N3698" i="20"/>
  <c r="N3699" i="20"/>
  <c r="N3700" i="20"/>
  <c r="N3701" i="20"/>
  <c r="N3702" i="20"/>
  <c r="N3703" i="20"/>
  <c r="N3704" i="20"/>
  <c r="N3705" i="20"/>
  <c r="N3706" i="20"/>
  <c r="N3707" i="20"/>
  <c r="N3708" i="20"/>
  <c r="N3709" i="20"/>
  <c r="N3710" i="20"/>
  <c r="N3711" i="20"/>
  <c r="N3712" i="20"/>
  <c r="N3713" i="20"/>
  <c r="N3714" i="20"/>
  <c r="N3715" i="20"/>
  <c r="N3716" i="20"/>
  <c r="N3717" i="20"/>
  <c r="N3718" i="20"/>
  <c r="N3719" i="20"/>
  <c r="N3720" i="20"/>
  <c r="N3721" i="20"/>
  <c r="N3722" i="20"/>
  <c r="N3723" i="20"/>
  <c r="N3724" i="20"/>
  <c r="N3725" i="20"/>
  <c r="N3726" i="20"/>
  <c r="N3727" i="20"/>
  <c r="N3728" i="20"/>
  <c r="N3729" i="20"/>
  <c r="N3730" i="20"/>
  <c r="N3731" i="20"/>
  <c r="N3732" i="20"/>
  <c r="N3733" i="20"/>
  <c r="N3734" i="20"/>
  <c r="N3735" i="20"/>
  <c r="N3736" i="20"/>
  <c r="N3737" i="20"/>
  <c r="N3738" i="20"/>
  <c r="N3739" i="20"/>
  <c r="N3740" i="20"/>
  <c r="N3741" i="20"/>
  <c r="N3742" i="20"/>
  <c r="N3743" i="20"/>
  <c r="N3744" i="20"/>
  <c r="N3745" i="20"/>
  <c r="N3746" i="20"/>
  <c r="N3747" i="20"/>
  <c r="N3748" i="20"/>
  <c r="N3749" i="20"/>
  <c r="N3750" i="20"/>
  <c r="N3751" i="20"/>
  <c r="N3752" i="20"/>
  <c r="N3753" i="20"/>
  <c r="N3754" i="20"/>
  <c r="N3755" i="20"/>
  <c r="N3756" i="20"/>
  <c r="N3757" i="20"/>
  <c r="N3758" i="20"/>
  <c r="N3759" i="20"/>
  <c r="N3760" i="20"/>
  <c r="N3761" i="20"/>
  <c r="N3762" i="20"/>
  <c r="N3763" i="20"/>
  <c r="N3764" i="20"/>
  <c r="N3765" i="20"/>
  <c r="N3766" i="20"/>
  <c r="N3767" i="20"/>
  <c r="N3768" i="20"/>
  <c r="N3769" i="20"/>
  <c r="N3770" i="20"/>
  <c r="N3771" i="20"/>
  <c r="N3772" i="20"/>
  <c r="N3773" i="20"/>
  <c r="N3774" i="20"/>
  <c r="N3775" i="20"/>
  <c r="N3776" i="20"/>
  <c r="N3777" i="20"/>
  <c r="N3778" i="20"/>
  <c r="N3779" i="20"/>
  <c r="N3780" i="20"/>
  <c r="N3781" i="20"/>
  <c r="N3782" i="20"/>
  <c r="N3783" i="20"/>
  <c r="N3784" i="20"/>
  <c r="N3785" i="20"/>
  <c r="N3786" i="20"/>
  <c r="N3787" i="20"/>
  <c r="N3788" i="20"/>
  <c r="N3789" i="20"/>
  <c r="N3790" i="20"/>
  <c r="N3791" i="20"/>
  <c r="N3792" i="20"/>
  <c r="N3793" i="20"/>
  <c r="N3794" i="20"/>
  <c r="N3795" i="20"/>
  <c r="N3796" i="20"/>
  <c r="N3797" i="20"/>
  <c r="N3798" i="20"/>
  <c r="N3799" i="20"/>
  <c r="N3800" i="20"/>
  <c r="N3801" i="20"/>
  <c r="N3802" i="20"/>
  <c r="N3803" i="20"/>
  <c r="N3804" i="20"/>
  <c r="N3805" i="20"/>
  <c r="N3806" i="20"/>
  <c r="N3807" i="20"/>
  <c r="N3808" i="20"/>
  <c r="N3809" i="20"/>
  <c r="N3810" i="20"/>
  <c r="N3811" i="20"/>
  <c r="N3812" i="20"/>
  <c r="N3813" i="20"/>
  <c r="N3814" i="20"/>
  <c r="N3815" i="20"/>
  <c r="N3816" i="20"/>
  <c r="N3817" i="20"/>
  <c r="N3818" i="20"/>
  <c r="N3819" i="20"/>
  <c r="N3820" i="20"/>
  <c r="N3821" i="20"/>
  <c r="N3822" i="20"/>
  <c r="N3823" i="20"/>
  <c r="N3824" i="20"/>
  <c r="N3825" i="20"/>
  <c r="N3826" i="20"/>
  <c r="N3827" i="20"/>
  <c r="N3828" i="20"/>
  <c r="N3829" i="20"/>
  <c r="N3830" i="20"/>
  <c r="N3831" i="20"/>
  <c r="N3832" i="20"/>
  <c r="N3833" i="20"/>
  <c r="N3834" i="20"/>
  <c r="N3835" i="20"/>
  <c r="N3836" i="20"/>
  <c r="N3837" i="20"/>
  <c r="N3838" i="20"/>
  <c r="N3839" i="20"/>
  <c r="N3840" i="20"/>
  <c r="N3841" i="20"/>
  <c r="N3842" i="20"/>
  <c r="N3843" i="20"/>
  <c r="N3844" i="20"/>
  <c r="N3845" i="20"/>
  <c r="N3846" i="20"/>
  <c r="N3847" i="20"/>
  <c r="N3848" i="20"/>
  <c r="N3849" i="20"/>
  <c r="N3850" i="20"/>
  <c r="N3851" i="20"/>
  <c r="N3852" i="20"/>
  <c r="N3853" i="20"/>
  <c r="N3854" i="20"/>
  <c r="N3855" i="20"/>
  <c r="N3856" i="20"/>
  <c r="N3857" i="20"/>
  <c r="N3858" i="20"/>
  <c r="N3859" i="20"/>
  <c r="N3860" i="20"/>
  <c r="N3861" i="20"/>
  <c r="N3862" i="20"/>
  <c r="N3863" i="20"/>
  <c r="N3864" i="20"/>
  <c r="N3865" i="20"/>
  <c r="N3866" i="20"/>
  <c r="N3867" i="20"/>
  <c r="N3868" i="20"/>
  <c r="N3869" i="20"/>
  <c r="N3870" i="20"/>
  <c r="N3871" i="20"/>
  <c r="N3872" i="20"/>
  <c r="N3873" i="20"/>
  <c r="N3874" i="20"/>
  <c r="N3875" i="20"/>
  <c r="N3876" i="20"/>
  <c r="N3877" i="20"/>
  <c r="N3878" i="20"/>
  <c r="N3879" i="20"/>
  <c r="N3880" i="20"/>
  <c r="N3881" i="20"/>
  <c r="N3882" i="20"/>
  <c r="N3883" i="20"/>
  <c r="N3884" i="20"/>
  <c r="N3885" i="20"/>
  <c r="N3886" i="20"/>
  <c r="N3887" i="20"/>
  <c r="N3888" i="20"/>
  <c r="N3889" i="20"/>
  <c r="N3890" i="20"/>
  <c r="N3891" i="20"/>
  <c r="N3892" i="20"/>
  <c r="N3893" i="20"/>
  <c r="N3894" i="20"/>
  <c r="N3895" i="20"/>
  <c r="N3896" i="20"/>
  <c r="N3897" i="20"/>
  <c r="O2874" i="20"/>
  <c r="O2875" i="20"/>
  <c r="O2876" i="20"/>
  <c r="O2877" i="20"/>
  <c r="O2878" i="20"/>
  <c r="O2879" i="20"/>
  <c r="O2880" i="20"/>
  <c r="O2881" i="20"/>
  <c r="O2882" i="20"/>
  <c r="O2883" i="20"/>
  <c r="O2884" i="20"/>
  <c r="O2885" i="20"/>
  <c r="O2886" i="20"/>
  <c r="O2887" i="20"/>
  <c r="O2888" i="20"/>
  <c r="O2889" i="20"/>
  <c r="O2890" i="20"/>
  <c r="O2891" i="20"/>
  <c r="O2892" i="20"/>
  <c r="O2893" i="20"/>
  <c r="O2894" i="20"/>
  <c r="O2895" i="20"/>
  <c r="O2896" i="20"/>
  <c r="O2897" i="20"/>
  <c r="O2898" i="20"/>
  <c r="O2899" i="20"/>
  <c r="O2900" i="20"/>
  <c r="O2901" i="20"/>
  <c r="O2902" i="20"/>
  <c r="O2903" i="20"/>
  <c r="O2904" i="20"/>
  <c r="O2905" i="20"/>
  <c r="O2906" i="20"/>
  <c r="O2907" i="20"/>
  <c r="O2908" i="20"/>
  <c r="O2909" i="20"/>
  <c r="O2910" i="20"/>
  <c r="O2911" i="20"/>
  <c r="O2912" i="20"/>
  <c r="O2913" i="20"/>
  <c r="O2914" i="20"/>
  <c r="O2915" i="20"/>
  <c r="O2916" i="20"/>
  <c r="O2917" i="20"/>
  <c r="O2918" i="20"/>
  <c r="O2919" i="20"/>
  <c r="O2920" i="20"/>
  <c r="O2921" i="20"/>
  <c r="O2922" i="20"/>
  <c r="O2923" i="20"/>
  <c r="O2924" i="20"/>
  <c r="O2925" i="20"/>
  <c r="O2926" i="20"/>
  <c r="O2927" i="20"/>
  <c r="O2928" i="20"/>
  <c r="O2929" i="20"/>
  <c r="O2930" i="20"/>
  <c r="O2931" i="20"/>
  <c r="O2932" i="20"/>
  <c r="O2933" i="20"/>
  <c r="O2934" i="20"/>
  <c r="O2935" i="20"/>
  <c r="O2936" i="20"/>
  <c r="O2937" i="20"/>
  <c r="O2938" i="20"/>
  <c r="O2939" i="20"/>
  <c r="O2940" i="20"/>
  <c r="O2941" i="20"/>
  <c r="O2942" i="20"/>
  <c r="O2943" i="20"/>
  <c r="O2944" i="20"/>
  <c r="O2945" i="20"/>
  <c r="O2946" i="20"/>
  <c r="O2947" i="20"/>
  <c r="O2948" i="20"/>
  <c r="O2949" i="20"/>
  <c r="O2950" i="20"/>
  <c r="O2951" i="20"/>
  <c r="O2952" i="20"/>
  <c r="O2953" i="20"/>
  <c r="O2954" i="20"/>
  <c r="O2955" i="20"/>
  <c r="O2956" i="20"/>
  <c r="O2957" i="20"/>
  <c r="O2958" i="20"/>
  <c r="O2959" i="20"/>
  <c r="O2960" i="20"/>
  <c r="O2961" i="20"/>
  <c r="O2962" i="20"/>
  <c r="O2963" i="20"/>
  <c r="O2964" i="20"/>
  <c r="O2965" i="20"/>
  <c r="O2966" i="20"/>
  <c r="O2967" i="20"/>
  <c r="O2968" i="20"/>
  <c r="O2969" i="20"/>
  <c r="O2970" i="20"/>
  <c r="O2971" i="20"/>
  <c r="O2972" i="20"/>
  <c r="O2973" i="20"/>
  <c r="O2974" i="20"/>
  <c r="O2975" i="20"/>
  <c r="O2976" i="20"/>
  <c r="O2977" i="20"/>
  <c r="O2978" i="20"/>
  <c r="O2979" i="20"/>
  <c r="O2980" i="20"/>
  <c r="O2981" i="20"/>
  <c r="O2982" i="20"/>
  <c r="O2983" i="20"/>
  <c r="O2984" i="20"/>
  <c r="O2985" i="20"/>
  <c r="O2986" i="20"/>
  <c r="O2987" i="20"/>
  <c r="O2988" i="20"/>
  <c r="O2989" i="20"/>
  <c r="O2990" i="20"/>
  <c r="O2991" i="20"/>
  <c r="O2992" i="20"/>
  <c r="O2993" i="20"/>
  <c r="O2994" i="20"/>
  <c r="O2995" i="20"/>
  <c r="O2996" i="20"/>
  <c r="O2997" i="20"/>
  <c r="O2998" i="20"/>
  <c r="O2999" i="20"/>
  <c r="O3000" i="20"/>
  <c r="O3001" i="20"/>
  <c r="O3002" i="20"/>
  <c r="O3003" i="20"/>
  <c r="O3004" i="20"/>
  <c r="O3005" i="20"/>
  <c r="O3006" i="20"/>
  <c r="O3007" i="20"/>
  <c r="O3008" i="20"/>
  <c r="O3009" i="20"/>
  <c r="O3010" i="20"/>
  <c r="O3011" i="20"/>
  <c r="O3012" i="20"/>
  <c r="O3013" i="20"/>
  <c r="O3014" i="20"/>
  <c r="O3015" i="20"/>
  <c r="O3016" i="20"/>
  <c r="O3017" i="20"/>
  <c r="O3018" i="20"/>
  <c r="O3019" i="20"/>
  <c r="O3020" i="20"/>
  <c r="O3021" i="20"/>
  <c r="O3022" i="20"/>
  <c r="O3023" i="20"/>
  <c r="O3024" i="20"/>
  <c r="O3025" i="20"/>
  <c r="O3026" i="20"/>
  <c r="O3027" i="20"/>
  <c r="O3028" i="20"/>
  <c r="O3029" i="20"/>
  <c r="O3030" i="20"/>
  <c r="O3031" i="20"/>
  <c r="O3032" i="20"/>
  <c r="O3033" i="20"/>
  <c r="O3034" i="20"/>
  <c r="O3035" i="20"/>
  <c r="O3036" i="20"/>
  <c r="O3037" i="20"/>
  <c r="O3038" i="20"/>
  <c r="O3039" i="20"/>
  <c r="O3040" i="20"/>
  <c r="O3041" i="20"/>
  <c r="O3042" i="20"/>
  <c r="O3043" i="20"/>
  <c r="O3044" i="20"/>
  <c r="O3045" i="20"/>
  <c r="O3046" i="20"/>
  <c r="O3047" i="20"/>
  <c r="O3048" i="20"/>
  <c r="O3049" i="20"/>
  <c r="O3050" i="20"/>
  <c r="O3051" i="20"/>
  <c r="O3052" i="20"/>
  <c r="O3053" i="20"/>
  <c r="O3054" i="20"/>
  <c r="O3055" i="20"/>
  <c r="O3056" i="20"/>
  <c r="O3057" i="20"/>
  <c r="O3058" i="20"/>
  <c r="O3059" i="20"/>
  <c r="O3060" i="20"/>
  <c r="O3061" i="20"/>
  <c r="O3062" i="20"/>
  <c r="O3063" i="20"/>
  <c r="O3064" i="20"/>
  <c r="O3065" i="20"/>
  <c r="O3066" i="20"/>
  <c r="O3067" i="20"/>
  <c r="O3068" i="20"/>
  <c r="O3069" i="20"/>
  <c r="O3070" i="20"/>
  <c r="O3071" i="20"/>
  <c r="O3072" i="20"/>
  <c r="O3073" i="20"/>
  <c r="O3074" i="20"/>
  <c r="O3075" i="20"/>
  <c r="O3076" i="20"/>
  <c r="O3077" i="20"/>
  <c r="O3078" i="20"/>
  <c r="O3079" i="20"/>
  <c r="O3080" i="20"/>
  <c r="O3081" i="20"/>
  <c r="O3082" i="20"/>
  <c r="O3083" i="20"/>
  <c r="O3084" i="20"/>
  <c r="O3085" i="20"/>
  <c r="O3086" i="20"/>
  <c r="O3087" i="20"/>
  <c r="O3088" i="20"/>
  <c r="O3089" i="20"/>
  <c r="O3090" i="20"/>
  <c r="O3091" i="20"/>
  <c r="O3092" i="20"/>
  <c r="O3093" i="20"/>
  <c r="O3094" i="20"/>
  <c r="O3095" i="20"/>
  <c r="O3096" i="20"/>
  <c r="O3097" i="20"/>
  <c r="O3098" i="20"/>
  <c r="O3099" i="20"/>
  <c r="O3100" i="20"/>
  <c r="O3101" i="20"/>
  <c r="O3102" i="20"/>
  <c r="O3103" i="20"/>
  <c r="O3104" i="20"/>
  <c r="O3105" i="20"/>
  <c r="O3106" i="20"/>
  <c r="O3107" i="20"/>
  <c r="O3108" i="20"/>
  <c r="O3109" i="20"/>
  <c r="O3110" i="20"/>
  <c r="O3111" i="20"/>
  <c r="O3112" i="20"/>
  <c r="O3113" i="20"/>
  <c r="O3114" i="20"/>
  <c r="O3115" i="20"/>
  <c r="O3116" i="20"/>
  <c r="O3117" i="20"/>
  <c r="O3118" i="20"/>
  <c r="O3119" i="20"/>
  <c r="O3120" i="20"/>
  <c r="O3121" i="20"/>
  <c r="O3122" i="20"/>
  <c r="O3123" i="20"/>
  <c r="O3124" i="20"/>
  <c r="O3125" i="20"/>
  <c r="O3126" i="20"/>
  <c r="O3127" i="20"/>
  <c r="O3128" i="20"/>
  <c r="O3129" i="20"/>
  <c r="O3130" i="20"/>
  <c r="O3131" i="20"/>
  <c r="O3132" i="20"/>
  <c r="O3133" i="20"/>
  <c r="O3134" i="20"/>
  <c r="O3135" i="20"/>
  <c r="O3136" i="20"/>
  <c r="O3137" i="20"/>
  <c r="O3138" i="20"/>
  <c r="O3139" i="20"/>
  <c r="O3140" i="20"/>
  <c r="O3141" i="20"/>
  <c r="O3142" i="20"/>
  <c r="O3143" i="20"/>
  <c r="O3144" i="20"/>
  <c r="O3145" i="20"/>
  <c r="O3146" i="20"/>
  <c r="O3147" i="20"/>
  <c r="O3148" i="20"/>
  <c r="O3149" i="20"/>
  <c r="O3150" i="20"/>
  <c r="O3151" i="20"/>
  <c r="O3152" i="20"/>
  <c r="O3153" i="20"/>
  <c r="O3154" i="20"/>
  <c r="O3155" i="20"/>
  <c r="O3156" i="20"/>
  <c r="O3157" i="20"/>
  <c r="O3158" i="20"/>
  <c r="O3159" i="20"/>
  <c r="O3160" i="20"/>
  <c r="O3161" i="20"/>
  <c r="O3162" i="20"/>
  <c r="O3163" i="20"/>
  <c r="O3164" i="20"/>
  <c r="O3165" i="20"/>
  <c r="O3166" i="20"/>
  <c r="O3167" i="20"/>
  <c r="O3168" i="20"/>
  <c r="O3169" i="20"/>
  <c r="O3170" i="20"/>
  <c r="O3171" i="20"/>
  <c r="O3172" i="20"/>
  <c r="O3173" i="20"/>
  <c r="O3174" i="20"/>
  <c r="O3175" i="20"/>
  <c r="O3176" i="20"/>
  <c r="O3177" i="20"/>
  <c r="O3178" i="20"/>
  <c r="O3179" i="20"/>
  <c r="O3180" i="20"/>
  <c r="O3181" i="20"/>
  <c r="O3182" i="20"/>
  <c r="O3183" i="20"/>
  <c r="O3184" i="20"/>
  <c r="O3185" i="20"/>
  <c r="O3186" i="20"/>
  <c r="O3187" i="20"/>
  <c r="O3188" i="20"/>
  <c r="O3189" i="20"/>
  <c r="O3190" i="20"/>
  <c r="O3191" i="20"/>
  <c r="O3192" i="20"/>
  <c r="O3193" i="20"/>
  <c r="O3194" i="20"/>
  <c r="O3195" i="20"/>
  <c r="O3196" i="20"/>
  <c r="O3197" i="20"/>
  <c r="O3198" i="20"/>
  <c r="O3199" i="20"/>
  <c r="O3200" i="20"/>
  <c r="O3201" i="20"/>
  <c r="O3202" i="20"/>
  <c r="O3203" i="20"/>
  <c r="O3204" i="20"/>
  <c r="O3205" i="20"/>
  <c r="O3206" i="20"/>
  <c r="O3207" i="20"/>
  <c r="O3208" i="20"/>
  <c r="O3209" i="20"/>
  <c r="O3210" i="20"/>
  <c r="O3211" i="20"/>
  <c r="O3212" i="20"/>
  <c r="O3213" i="20"/>
  <c r="O3214" i="20"/>
  <c r="O3215" i="20"/>
  <c r="O3216" i="20"/>
  <c r="O3217" i="20"/>
  <c r="O3218" i="20"/>
  <c r="O3219" i="20"/>
  <c r="O3220" i="20"/>
  <c r="O3221" i="20"/>
  <c r="O3222" i="20"/>
  <c r="O3223" i="20"/>
  <c r="O3224" i="20"/>
  <c r="O3225" i="20"/>
  <c r="O3226" i="20"/>
  <c r="O3227" i="20"/>
  <c r="O3228" i="20"/>
  <c r="O3229" i="20"/>
  <c r="O3230" i="20"/>
  <c r="O3231" i="20"/>
  <c r="O3232" i="20"/>
  <c r="O3233" i="20"/>
  <c r="O3234" i="20"/>
  <c r="O3235" i="20"/>
  <c r="O3236" i="20"/>
  <c r="O3237" i="20"/>
  <c r="O3238" i="20"/>
  <c r="O3239" i="20"/>
  <c r="O3240" i="20"/>
  <c r="O3241" i="20"/>
  <c r="O3242" i="20"/>
  <c r="O3243" i="20"/>
  <c r="O3244" i="20"/>
  <c r="O3245" i="20"/>
  <c r="O3246" i="20"/>
  <c r="O3247" i="20"/>
  <c r="O3248" i="20"/>
  <c r="O3249" i="20"/>
  <c r="O3250" i="20"/>
  <c r="O3251" i="20"/>
  <c r="O3252" i="20"/>
  <c r="O3253" i="20"/>
  <c r="O3254" i="20"/>
  <c r="O3255" i="20"/>
  <c r="O3256" i="20"/>
  <c r="O3257" i="20"/>
  <c r="O3258" i="20"/>
  <c r="O3259" i="20"/>
  <c r="O3260" i="20"/>
  <c r="O3261" i="20"/>
  <c r="O3262" i="20"/>
  <c r="O3263" i="20"/>
  <c r="O3264" i="20"/>
  <c r="O3265" i="20"/>
  <c r="O3266" i="20"/>
  <c r="O3267" i="20"/>
  <c r="O3268" i="20"/>
  <c r="O3269" i="20"/>
  <c r="O3270" i="20"/>
  <c r="O3271" i="20"/>
  <c r="O3272" i="20"/>
  <c r="O3273" i="20"/>
  <c r="O3274" i="20"/>
  <c r="O3275" i="20"/>
  <c r="O3276" i="20"/>
  <c r="O3277" i="20"/>
  <c r="O3278" i="20"/>
  <c r="O3279" i="20"/>
  <c r="O3280" i="20"/>
  <c r="O3281" i="20"/>
  <c r="O3282" i="20"/>
  <c r="O3283" i="20"/>
  <c r="O3284" i="20"/>
  <c r="O3285" i="20"/>
  <c r="O3286" i="20"/>
  <c r="O3287" i="20"/>
  <c r="O3288" i="20"/>
  <c r="O3289" i="20"/>
  <c r="O3290" i="20"/>
  <c r="O3291" i="20"/>
  <c r="O3292" i="20"/>
  <c r="O3293" i="20"/>
  <c r="O3294" i="20"/>
  <c r="O3295" i="20"/>
  <c r="O3296" i="20"/>
  <c r="O3297" i="20"/>
  <c r="O3298" i="20"/>
  <c r="O3299" i="20"/>
  <c r="O3300" i="20"/>
  <c r="O3301" i="20"/>
  <c r="O3302" i="20"/>
  <c r="O3303" i="20"/>
  <c r="O3304" i="20"/>
  <c r="O3305" i="20"/>
  <c r="O3306" i="20"/>
  <c r="O3307" i="20"/>
  <c r="O3308" i="20"/>
  <c r="O3309" i="20"/>
  <c r="O3310" i="20"/>
  <c r="O3311" i="20"/>
  <c r="O3312" i="20"/>
  <c r="O3313" i="20"/>
  <c r="O3314" i="20"/>
  <c r="O3315" i="20"/>
  <c r="O3316" i="20"/>
  <c r="O3317" i="20"/>
  <c r="O3318" i="20"/>
  <c r="O3319" i="20"/>
  <c r="O3320" i="20"/>
  <c r="O3321" i="20"/>
  <c r="O3322" i="20"/>
  <c r="O3323" i="20"/>
  <c r="O3324" i="20"/>
  <c r="O3325" i="20"/>
  <c r="O3326" i="20"/>
  <c r="O3327" i="20"/>
  <c r="O3328" i="20"/>
  <c r="O3329" i="20"/>
  <c r="O3330" i="20"/>
  <c r="O3331" i="20"/>
  <c r="O3332" i="20"/>
  <c r="O3333" i="20"/>
  <c r="O3334" i="20"/>
  <c r="O3335" i="20"/>
  <c r="O3336" i="20"/>
  <c r="O3337" i="20"/>
  <c r="O3338" i="20"/>
  <c r="O3339" i="20"/>
  <c r="O3340" i="20"/>
  <c r="O3341" i="20"/>
  <c r="O3342" i="20"/>
  <c r="O3343" i="20"/>
  <c r="O3344" i="20"/>
  <c r="O3345" i="20"/>
  <c r="O3346" i="20"/>
  <c r="O3347" i="20"/>
  <c r="O3348" i="20"/>
  <c r="O3349" i="20"/>
  <c r="O3350" i="20"/>
  <c r="O3351" i="20"/>
  <c r="O3352" i="20"/>
  <c r="O3353" i="20"/>
  <c r="O3354" i="20"/>
  <c r="O3355" i="20"/>
  <c r="O3356" i="20"/>
  <c r="O3357" i="20"/>
  <c r="O3358" i="20"/>
  <c r="O3359" i="20"/>
  <c r="O3360" i="20"/>
  <c r="O3361" i="20"/>
  <c r="O3362" i="20"/>
  <c r="O3363" i="20"/>
  <c r="O3364" i="20"/>
  <c r="O3365" i="20"/>
  <c r="O3366" i="20"/>
  <c r="O3367" i="20"/>
  <c r="O3368" i="20"/>
  <c r="O3369" i="20"/>
  <c r="O3370" i="20"/>
  <c r="O3371" i="20"/>
  <c r="O3372" i="20"/>
  <c r="O3373" i="20"/>
  <c r="O3374" i="20"/>
  <c r="O3375" i="20"/>
  <c r="O3376" i="20"/>
  <c r="O3377" i="20"/>
  <c r="O3378" i="20"/>
  <c r="O3379" i="20"/>
  <c r="O3380" i="20"/>
  <c r="O3381" i="20"/>
  <c r="O3382" i="20"/>
  <c r="O3383" i="20"/>
  <c r="O3384" i="20"/>
  <c r="O3385" i="20"/>
  <c r="O3386" i="20"/>
  <c r="O3387" i="20"/>
  <c r="O3388" i="20"/>
  <c r="O3389" i="20"/>
  <c r="O3390" i="20"/>
  <c r="O3391" i="20"/>
  <c r="O3392" i="20"/>
  <c r="O3393" i="20"/>
  <c r="O3394" i="20"/>
  <c r="O3395" i="20"/>
  <c r="O3396" i="20"/>
  <c r="O3397" i="20"/>
  <c r="O3398" i="20"/>
  <c r="O3399" i="20"/>
  <c r="O3400" i="20"/>
  <c r="O3401" i="20"/>
  <c r="O3402" i="20"/>
  <c r="O3403" i="20"/>
  <c r="O3404" i="20"/>
  <c r="O3405" i="20"/>
  <c r="O3406" i="20"/>
  <c r="O3407" i="20"/>
  <c r="O3408" i="20"/>
  <c r="O3409" i="20"/>
  <c r="O3410" i="20"/>
  <c r="O3411" i="20"/>
  <c r="O3412" i="20"/>
  <c r="O3413" i="20"/>
  <c r="O3414" i="20"/>
  <c r="O3415" i="20"/>
  <c r="O3416" i="20"/>
  <c r="O3417" i="20"/>
  <c r="O3418" i="20"/>
  <c r="O3419" i="20"/>
  <c r="O3420" i="20"/>
  <c r="O3421" i="20"/>
  <c r="O3422" i="20"/>
  <c r="O3423" i="20"/>
  <c r="O3424" i="20"/>
  <c r="O3425" i="20"/>
  <c r="O3426" i="20"/>
  <c r="O3427" i="20"/>
  <c r="O3428" i="20"/>
  <c r="O3429" i="20"/>
  <c r="O3430" i="20"/>
  <c r="O3431" i="20"/>
  <c r="O3432" i="20"/>
  <c r="O3433" i="20"/>
  <c r="O3434" i="20"/>
  <c r="O3435" i="20"/>
  <c r="O3436" i="20"/>
  <c r="O3437" i="20"/>
  <c r="O3438" i="20"/>
  <c r="O3439" i="20"/>
  <c r="O3440" i="20"/>
  <c r="O3441" i="20"/>
  <c r="O3442" i="20"/>
  <c r="O3443" i="20"/>
  <c r="O3444" i="20"/>
  <c r="O3445" i="20"/>
  <c r="O3446" i="20"/>
  <c r="O3447" i="20"/>
  <c r="O3448" i="20"/>
  <c r="O3449" i="20"/>
  <c r="O3450" i="20"/>
  <c r="O3451" i="20"/>
  <c r="O3452" i="20"/>
  <c r="O3453" i="20"/>
  <c r="O3454" i="20"/>
  <c r="O3455" i="20"/>
  <c r="O3456" i="20"/>
  <c r="O3457" i="20"/>
  <c r="O3458" i="20"/>
  <c r="O3459" i="20"/>
  <c r="O3460" i="20"/>
  <c r="O3461" i="20"/>
  <c r="O3462" i="20"/>
  <c r="O3463" i="20"/>
  <c r="O3464" i="20"/>
  <c r="O3465" i="20"/>
  <c r="O3466" i="20"/>
  <c r="O3467" i="20"/>
  <c r="O3468" i="20"/>
  <c r="O3469" i="20"/>
  <c r="O3470" i="20"/>
  <c r="O3471" i="20"/>
  <c r="O3472" i="20"/>
  <c r="O3473" i="20"/>
  <c r="O3474" i="20"/>
  <c r="O3475" i="20"/>
  <c r="O3476" i="20"/>
  <c r="O3477" i="20"/>
  <c r="O3478" i="20"/>
  <c r="O3479" i="20"/>
  <c r="O3480" i="20"/>
  <c r="O3481" i="20"/>
  <c r="O3482" i="20"/>
  <c r="O3483" i="20"/>
  <c r="O3484" i="20"/>
  <c r="O3485" i="20"/>
  <c r="O3486" i="20"/>
  <c r="O3487" i="20"/>
  <c r="O3488" i="20"/>
  <c r="O3489" i="20"/>
  <c r="O3490" i="20"/>
  <c r="O3491" i="20"/>
  <c r="O3492" i="20"/>
  <c r="O3493" i="20"/>
  <c r="O3494" i="20"/>
  <c r="O3495" i="20"/>
  <c r="O3496" i="20"/>
  <c r="O3497" i="20"/>
  <c r="O3498" i="20"/>
  <c r="O3499" i="20"/>
  <c r="O3500" i="20"/>
  <c r="O3501" i="20"/>
  <c r="O3502" i="20"/>
  <c r="O3503" i="20"/>
  <c r="O3504" i="20"/>
  <c r="O3505" i="20"/>
  <c r="O3506" i="20"/>
  <c r="O3507" i="20"/>
  <c r="O3508" i="20"/>
  <c r="O3509" i="20"/>
  <c r="O3510" i="20"/>
  <c r="O3511" i="20"/>
  <c r="O3512" i="20"/>
  <c r="O3513" i="20"/>
  <c r="O3514" i="20"/>
  <c r="O3515" i="20"/>
  <c r="O3516" i="20"/>
  <c r="O3517" i="20"/>
  <c r="O3518" i="20"/>
  <c r="O3519" i="20"/>
  <c r="O3520" i="20"/>
  <c r="O3521" i="20"/>
  <c r="O3522" i="20"/>
  <c r="O3523" i="20"/>
  <c r="O3524" i="20"/>
  <c r="O3525" i="20"/>
  <c r="O3526" i="20"/>
  <c r="O3527" i="20"/>
  <c r="O3528" i="20"/>
  <c r="O3529" i="20"/>
  <c r="O3530" i="20"/>
  <c r="O3531" i="20"/>
  <c r="O3532" i="20"/>
  <c r="O3533" i="20"/>
  <c r="O3534" i="20"/>
  <c r="O3535" i="20"/>
  <c r="O3536" i="20"/>
  <c r="O3537" i="20"/>
  <c r="O3538" i="20"/>
  <c r="O3539" i="20"/>
  <c r="O3540" i="20"/>
  <c r="O3541" i="20"/>
  <c r="O3542" i="20"/>
  <c r="O3543" i="20"/>
  <c r="O3544" i="20"/>
  <c r="O3545" i="20"/>
  <c r="O3546" i="20"/>
  <c r="O3547" i="20"/>
  <c r="O3548" i="20"/>
  <c r="O3549" i="20"/>
  <c r="O3550" i="20"/>
  <c r="O3551" i="20"/>
  <c r="O3552" i="20"/>
  <c r="O3553" i="20"/>
  <c r="O3554" i="20"/>
  <c r="O3555" i="20"/>
  <c r="O3556" i="20"/>
  <c r="O3557" i="20"/>
  <c r="O3558" i="20"/>
  <c r="O3559" i="20"/>
  <c r="O3560" i="20"/>
  <c r="O3561" i="20"/>
  <c r="O3562" i="20"/>
  <c r="O3563" i="20"/>
  <c r="O3564" i="20"/>
  <c r="O3565" i="20"/>
  <c r="O3566" i="20"/>
  <c r="O3567" i="20"/>
  <c r="O3568" i="20"/>
  <c r="O3569" i="20"/>
  <c r="O3570" i="20"/>
  <c r="O3571" i="20"/>
  <c r="O3572" i="20"/>
  <c r="O3573" i="20"/>
  <c r="O3574" i="20"/>
  <c r="O3575" i="20"/>
  <c r="O3576" i="20"/>
  <c r="O3577" i="20"/>
  <c r="O3578" i="20"/>
  <c r="O3579" i="20"/>
  <c r="O3580" i="20"/>
  <c r="O3581" i="20"/>
  <c r="O3582" i="20"/>
  <c r="O3583" i="20"/>
  <c r="O3584" i="20"/>
  <c r="O3585" i="20"/>
  <c r="O3586" i="20"/>
  <c r="O3587" i="20"/>
  <c r="O3588" i="20"/>
  <c r="O3589" i="20"/>
  <c r="O3590" i="20"/>
  <c r="O3591" i="20"/>
  <c r="O3592" i="20"/>
  <c r="O3593" i="20"/>
  <c r="O3594" i="20"/>
  <c r="O3595" i="20"/>
  <c r="O3596" i="20"/>
  <c r="O3597" i="20"/>
  <c r="O3598" i="20"/>
  <c r="O3599" i="20"/>
  <c r="O3600" i="20"/>
  <c r="O3601" i="20"/>
  <c r="O3602" i="20"/>
  <c r="O3603" i="20"/>
  <c r="O3604" i="20"/>
  <c r="O3605" i="20"/>
  <c r="O3606" i="20"/>
  <c r="O3607" i="20"/>
  <c r="O3608" i="20"/>
  <c r="O3609" i="20"/>
  <c r="O3610" i="20"/>
  <c r="O3611" i="20"/>
  <c r="O3612" i="20"/>
  <c r="O3613" i="20"/>
  <c r="O3614" i="20"/>
  <c r="O3615" i="20"/>
  <c r="O3616" i="20"/>
  <c r="O3617" i="20"/>
  <c r="O3618" i="20"/>
  <c r="O3619" i="20"/>
  <c r="O3620" i="20"/>
  <c r="O3621" i="20"/>
  <c r="O3622" i="20"/>
  <c r="O3623" i="20"/>
  <c r="O3624" i="20"/>
  <c r="O3625" i="20"/>
  <c r="O3626" i="20"/>
  <c r="O3627" i="20"/>
  <c r="O3628" i="20"/>
  <c r="O3629" i="20"/>
  <c r="O3630" i="20"/>
  <c r="O3631" i="20"/>
  <c r="O3632" i="20"/>
  <c r="O3633" i="20"/>
  <c r="O3634" i="20"/>
  <c r="O3635" i="20"/>
  <c r="O3636" i="20"/>
  <c r="O3637" i="20"/>
  <c r="O3638" i="20"/>
  <c r="O3639" i="20"/>
  <c r="O3640" i="20"/>
  <c r="O3641" i="20"/>
  <c r="O3642" i="20"/>
  <c r="O3643" i="20"/>
  <c r="O3644" i="20"/>
  <c r="O3645" i="20"/>
  <c r="O3646" i="20"/>
  <c r="O3647" i="20"/>
  <c r="O3648" i="20"/>
  <c r="O3649" i="20"/>
  <c r="O3650" i="20"/>
  <c r="O3651" i="20"/>
  <c r="O3652" i="20"/>
  <c r="O3653" i="20"/>
  <c r="O3654" i="20"/>
  <c r="O3655" i="20"/>
  <c r="O3656" i="20"/>
  <c r="O3657" i="20"/>
  <c r="O3658" i="20"/>
  <c r="O3659" i="20"/>
  <c r="O3660" i="20"/>
  <c r="O3661" i="20"/>
  <c r="O3662" i="20"/>
  <c r="O3663" i="20"/>
  <c r="O3664" i="20"/>
  <c r="O3665" i="20"/>
  <c r="O3666" i="20"/>
  <c r="O3667" i="20"/>
  <c r="O3668" i="20"/>
  <c r="O3669" i="20"/>
  <c r="O3670" i="20"/>
  <c r="O3671" i="20"/>
  <c r="O3672" i="20"/>
  <c r="O3673" i="20"/>
  <c r="O3674" i="20"/>
  <c r="O3675" i="20"/>
  <c r="O3676" i="20"/>
  <c r="O3677" i="20"/>
  <c r="O3678" i="20"/>
  <c r="O3679" i="20"/>
  <c r="O3680" i="20"/>
  <c r="O3681" i="20"/>
  <c r="O3682" i="20"/>
  <c r="O3683" i="20"/>
  <c r="O3684" i="20"/>
  <c r="O3685" i="20"/>
  <c r="O3686" i="20"/>
  <c r="O3687" i="20"/>
  <c r="O3688" i="20"/>
  <c r="O3689" i="20"/>
  <c r="O3690" i="20"/>
  <c r="O3691" i="20"/>
  <c r="O3692" i="20"/>
  <c r="O3693" i="20"/>
  <c r="O3694" i="20"/>
  <c r="O3695" i="20"/>
  <c r="O3696" i="20"/>
  <c r="O3697" i="20"/>
  <c r="O3698" i="20"/>
  <c r="O3699" i="20"/>
  <c r="O3700" i="20"/>
  <c r="O3701" i="20"/>
  <c r="O3702" i="20"/>
  <c r="O3703" i="20"/>
  <c r="O3704" i="20"/>
  <c r="O3705" i="20"/>
  <c r="O3706" i="20"/>
  <c r="O3707" i="20"/>
  <c r="O3708" i="20"/>
  <c r="O3709" i="20"/>
  <c r="O3710" i="20"/>
  <c r="O3711" i="20"/>
  <c r="O3712" i="20"/>
  <c r="O3713" i="20"/>
  <c r="O3714" i="20"/>
  <c r="O3715" i="20"/>
  <c r="O3716" i="20"/>
  <c r="O3717" i="20"/>
  <c r="O3718" i="20"/>
  <c r="O3719" i="20"/>
  <c r="O3720" i="20"/>
  <c r="O3721" i="20"/>
  <c r="O3722" i="20"/>
  <c r="O3723" i="20"/>
  <c r="O3724" i="20"/>
  <c r="O3725" i="20"/>
  <c r="O3726" i="20"/>
  <c r="O3727" i="20"/>
  <c r="O3728" i="20"/>
  <c r="O3729" i="20"/>
  <c r="O3730" i="20"/>
  <c r="O3731" i="20"/>
  <c r="O3732" i="20"/>
  <c r="O3733" i="20"/>
  <c r="O3734" i="20"/>
  <c r="O3735" i="20"/>
  <c r="O3736" i="20"/>
  <c r="O3737" i="20"/>
  <c r="O3738" i="20"/>
  <c r="O3739" i="20"/>
  <c r="O3740" i="20"/>
  <c r="O3741" i="20"/>
  <c r="O3742" i="20"/>
  <c r="O3743" i="20"/>
  <c r="O3744" i="20"/>
  <c r="O3745" i="20"/>
  <c r="O3746" i="20"/>
  <c r="O3747" i="20"/>
  <c r="O3748" i="20"/>
  <c r="O3749" i="20"/>
  <c r="O3750" i="20"/>
  <c r="O3751" i="20"/>
  <c r="O3752" i="20"/>
  <c r="O3753" i="20"/>
  <c r="O3754" i="20"/>
  <c r="O3755" i="20"/>
  <c r="O3756" i="20"/>
  <c r="O3757" i="20"/>
  <c r="O3758" i="20"/>
  <c r="O3759" i="20"/>
  <c r="O3760" i="20"/>
  <c r="O3761" i="20"/>
  <c r="O3762" i="20"/>
  <c r="O3763" i="20"/>
  <c r="O3764" i="20"/>
  <c r="O3765" i="20"/>
  <c r="O3766" i="20"/>
  <c r="O3767" i="20"/>
  <c r="O3768" i="20"/>
  <c r="O3769" i="20"/>
  <c r="O3770" i="20"/>
  <c r="O3771" i="20"/>
  <c r="O3772" i="20"/>
  <c r="O3773" i="20"/>
  <c r="O3774" i="20"/>
  <c r="O3775" i="20"/>
  <c r="O3776" i="20"/>
  <c r="O3777" i="20"/>
  <c r="O3778" i="20"/>
  <c r="O3779" i="20"/>
  <c r="O3780" i="20"/>
  <c r="O3781" i="20"/>
  <c r="O3782" i="20"/>
  <c r="O3783" i="20"/>
  <c r="O3784" i="20"/>
  <c r="O3785" i="20"/>
  <c r="O3786" i="20"/>
  <c r="O3787" i="20"/>
  <c r="O3788" i="20"/>
  <c r="O3789" i="20"/>
  <c r="O3790" i="20"/>
  <c r="O3791" i="20"/>
  <c r="O3792" i="20"/>
  <c r="O3793" i="20"/>
  <c r="O3794" i="20"/>
  <c r="O3795" i="20"/>
  <c r="O3796" i="20"/>
  <c r="O3797" i="20"/>
  <c r="O3798" i="20"/>
  <c r="O3799" i="20"/>
  <c r="O3800" i="20"/>
  <c r="O3801" i="20"/>
  <c r="O3802" i="20"/>
  <c r="O3803" i="20"/>
  <c r="O3804" i="20"/>
  <c r="O3805" i="20"/>
  <c r="O3806" i="20"/>
  <c r="O3807" i="20"/>
  <c r="O3808" i="20"/>
  <c r="O3809" i="20"/>
  <c r="O3810" i="20"/>
  <c r="O3811" i="20"/>
  <c r="O3812" i="20"/>
  <c r="O3813" i="20"/>
  <c r="O3814" i="20"/>
  <c r="O3815" i="20"/>
  <c r="O3816" i="20"/>
  <c r="O3817" i="20"/>
  <c r="O3818" i="20"/>
  <c r="O3819" i="20"/>
  <c r="O3820" i="20"/>
  <c r="O3821" i="20"/>
  <c r="O3822" i="20"/>
  <c r="O3823" i="20"/>
  <c r="O3824" i="20"/>
  <c r="O3825" i="20"/>
  <c r="O3826" i="20"/>
  <c r="O3827" i="20"/>
  <c r="O3828" i="20"/>
  <c r="O3829" i="20"/>
  <c r="O3830" i="20"/>
  <c r="O3831" i="20"/>
  <c r="O3832" i="20"/>
  <c r="O3833" i="20"/>
  <c r="O3834" i="20"/>
  <c r="O3835" i="20"/>
  <c r="O3836" i="20"/>
  <c r="O3837" i="20"/>
  <c r="O3838" i="20"/>
  <c r="O3839" i="20"/>
  <c r="O3840" i="20"/>
  <c r="O3841" i="20"/>
  <c r="O3842" i="20"/>
  <c r="O3843" i="20"/>
  <c r="O3844" i="20"/>
  <c r="O3845" i="20"/>
  <c r="O3846" i="20"/>
  <c r="O3847" i="20"/>
  <c r="O3848" i="20"/>
  <c r="O3849" i="20"/>
  <c r="O3850" i="20"/>
  <c r="O3851" i="20"/>
  <c r="O3852" i="20"/>
  <c r="O3853" i="20"/>
  <c r="O3854" i="20"/>
  <c r="O3855" i="20"/>
  <c r="O3856" i="20"/>
  <c r="O3857" i="20"/>
  <c r="O3858" i="20"/>
  <c r="O3859" i="20"/>
  <c r="O3860" i="20"/>
  <c r="O3861" i="20"/>
  <c r="O3862" i="20"/>
  <c r="O3863" i="20"/>
  <c r="O3864" i="20"/>
  <c r="O3865" i="20"/>
  <c r="O3866" i="20"/>
  <c r="O3867" i="20"/>
  <c r="O3868" i="20"/>
  <c r="O3869" i="20"/>
  <c r="O3870" i="20"/>
  <c r="O3871" i="20"/>
  <c r="O3872" i="20"/>
  <c r="O3873" i="20"/>
  <c r="O3874" i="20"/>
  <c r="O3875" i="20"/>
  <c r="O3876" i="20"/>
  <c r="O3877" i="20"/>
  <c r="O3878" i="20"/>
  <c r="O3879" i="20"/>
  <c r="O3880" i="20"/>
  <c r="O3881" i="20"/>
  <c r="O3882" i="20"/>
  <c r="O3883" i="20"/>
  <c r="O3884" i="20"/>
  <c r="O3885" i="20"/>
  <c r="O3886" i="20"/>
  <c r="O3887" i="20"/>
  <c r="O3888" i="20"/>
  <c r="O3889" i="20"/>
  <c r="O3890" i="20"/>
  <c r="O3891" i="20"/>
  <c r="O3892" i="20"/>
  <c r="O3893" i="20"/>
  <c r="O3894" i="20"/>
  <c r="O3895" i="20"/>
  <c r="O3896" i="20"/>
  <c r="O3897" i="20"/>
  <c r="P2874" i="20"/>
  <c r="P2875" i="20"/>
  <c r="P2876" i="20"/>
  <c r="P2877" i="20"/>
  <c r="P2878" i="20"/>
  <c r="P2879" i="20"/>
  <c r="P2880" i="20"/>
  <c r="P2881" i="20"/>
  <c r="P2882" i="20"/>
  <c r="P2883" i="20"/>
  <c r="P2884" i="20"/>
  <c r="P2885" i="20"/>
  <c r="P2886" i="20"/>
  <c r="P2887" i="20"/>
  <c r="P2888" i="20"/>
  <c r="P2889" i="20"/>
  <c r="P2890" i="20"/>
  <c r="P2891" i="20"/>
  <c r="P2892" i="20"/>
  <c r="P2893" i="20"/>
  <c r="P2894" i="20"/>
  <c r="P2895" i="20"/>
  <c r="P2896" i="20"/>
  <c r="P2897" i="20"/>
  <c r="P2898" i="20"/>
  <c r="P2899" i="20"/>
  <c r="P2900" i="20"/>
  <c r="P2901" i="20"/>
  <c r="P2902" i="20"/>
  <c r="P2903" i="20"/>
  <c r="P2904" i="20"/>
  <c r="P2905" i="20"/>
  <c r="P2906" i="20"/>
  <c r="P2907" i="20"/>
  <c r="P2908" i="20"/>
  <c r="P2909" i="20"/>
  <c r="P2910" i="20"/>
  <c r="P2911" i="20"/>
  <c r="P2912" i="20"/>
  <c r="P2913" i="20"/>
  <c r="P2914" i="20"/>
  <c r="P2915" i="20"/>
  <c r="P2916" i="20"/>
  <c r="P2917" i="20"/>
  <c r="P2918" i="20"/>
  <c r="P2919" i="20"/>
  <c r="P2920" i="20"/>
  <c r="P2921" i="20"/>
  <c r="P2922" i="20"/>
  <c r="P2923" i="20"/>
  <c r="P2924" i="20"/>
  <c r="P2925" i="20"/>
  <c r="P2926" i="20"/>
  <c r="P2927" i="20"/>
  <c r="P2928" i="20"/>
  <c r="P2929" i="20"/>
  <c r="P2930" i="20"/>
  <c r="P2931" i="20"/>
  <c r="P2932" i="20"/>
  <c r="P2933" i="20"/>
  <c r="P2934" i="20"/>
  <c r="P2935" i="20"/>
  <c r="P2936" i="20"/>
  <c r="P2937" i="20"/>
  <c r="P2938" i="20"/>
  <c r="P2939" i="20"/>
  <c r="P2940" i="20"/>
  <c r="P2941" i="20"/>
  <c r="P2942" i="20"/>
  <c r="P2943" i="20"/>
  <c r="P2944" i="20"/>
  <c r="P2945" i="20"/>
  <c r="P2946" i="20"/>
  <c r="P2947" i="20"/>
  <c r="P2948" i="20"/>
  <c r="P2949" i="20"/>
  <c r="P2950" i="20"/>
  <c r="P2951" i="20"/>
  <c r="P2952" i="20"/>
  <c r="P2953" i="20"/>
  <c r="P2954" i="20"/>
  <c r="P2955" i="20"/>
  <c r="P2956" i="20"/>
  <c r="P2957" i="20"/>
  <c r="P2958" i="20"/>
  <c r="P2959" i="20"/>
  <c r="P2960" i="20"/>
  <c r="P2961" i="20"/>
  <c r="P2962" i="20"/>
  <c r="P2963" i="20"/>
  <c r="P2964" i="20"/>
  <c r="P2965" i="20"/>
  <c r="P2966" i="20"/>
  <c r="P2967" i="20"/>
  <c r="P2968" i="20"/>
  <c r="P2969" i="20"/>
  <c r="P2970" i="20"/>
  <c r="P2971" i="20"/>
  <c r="P2972" i="20"/>
  <c r="P2973" i="20"/>
  <c r="P2974" i="20"/>
  <c r="P2975" i="20"/>
  <c r="P2976" i="20"/>
  <c r="P2977" i="20"/>
  <c r="P2978" i="20"/>
  <c r="P2979" i="20"/>
  <c r="P2980" i="20"/>
  <c r="P2981" i="20"/>
  <c r="P2982" i="20"/>
  <c r="P2983" i="20"/>
  <c r="P2984" i="20"/>
  <c r="P2985" i="20"/>
  <c r="P2986" i="20"/>
  <c r="P2987" i="20"/>
  <c r="P2988" i="20"/>
  <c r="P2989" i="20"/>
  <c r="P2990" i="20"/>
  <c r="P2991" i="20"/>
  <c r="P2992" i="20"/>
  <c r="P2993" i="20"/>
  <c r="P2994" i="20"/>
  <c r="P2995" i="20"/>
  <c r="P2996" i="20"/>
  <c r="P2997" i="20"/>
  <c r="P2998" i="20"/>
  <c r="P2999" i="20"/>
  <c r="P3000" i="20"/>
  <c r="P3001" i="20"/>
  <c r="P3002" i="20"/>
  <c r="P3003" i="20"/>
  <c r="P3004" i="20"/>
  <c r="P3005" i="20"/>
  <c r="P3006" i="20"/>
  <c r="P3007" i="20"/>
  <c r="P3008" i="20"/>
  <c r="P3009" i="20"/>
  <c r="P3010" i="20"/>
  <c r="P3011" i="20"/>
  <c r="P3012" i="20"/>
  <c r="P3013" i="20"/>
  <c r="P3014" i="20"/>
  <c r="P3015" i="20"/>
  <c r="P3016" i="20"/>
  <c r="P3017" i="20"/>
  <c r="P3018" i="20"/>
  <c r="P3019" i="20"/>
  <c r="P3020" i="20"/>
  <c r="P3021" i="20"/>
  <c r="P3022" i="20"/>
  <c r="P3023" i="20"/>
  <c r="P3024" i="20"/>
  <c r="P3025" i="20"/>
  <c r="P3026" i="20"/>
  <c r="P3027" i="20"/>
  <c r="P3028" i="20"/>
  <c r="P3029" i="20"/>
  <c r="P3030" i="20"/>
  <c r="P3031" i="20"/>
  <c r="P3032" i="20"/>
  <c r="P3033" i="20"/>
  <c r="P3034" i="20"/>
  <c r="P3035" i="20"/>
  <c r="P3036" i="20"/>
  <c r="P3037" i="20"/>
  <c r="P3038" i="20"/>
  <c r="P3039" i="20"/>
  <c r="P3040" i="20"/>
  <c r="P3041" i="20"/>
  <c r="P3042" i="20"/>
  <c r="P3043" i="20"/>
  <c r="P3044" i="20"/>
  <c r="P3045" i="20"/>
  <c r="P3046" i="20"/>
  <c r="P3047" i="20"/>
  <c r="P3048" i="20"/>
  <c r="P3049" i="20"/>
  <c r="P3050" i="20"/>
  <c r="P3051" i="20"/>
  <c r="P3052" i="20"/>
  <c r="P3053" i="20"/>
  <c r="P3054" i="20"/>
  <c r="P3055" i="20"/>
  <c r="P3056" i="20"/>
  <c r="P3057" i="20"/>
  <c r="P3058" i="20"/>
  <c r="P3059" i="20"/>
  <c r="P3060" i="20"/>
  <c r="P3061" i="20"/>
  <c r="P3062" i="20"/>
  <c r="P3063" i="20"/>
  <c r="P3064" i="20"/>
  <c r="P3065" i="20"/>
  <c r="P3066" i="20"/>
  <c r="P3067" i="20"/>
  <c r="P3068" i="20"/>
  <c r="P3069" i="20"/>
  <c r="P3070" i="20"/>
  <c r="P3071" i="20"/>
  <c r="P3072" i="20"/>
  <c r="P3073" i="20"/>
  <c r="P3074" i="20"/>
  <c r="P3075" i="20"/>
  <c r="P3076" i="20"/>
  <c r="P3077" i="20"/>
  <c r="P3078" i="20"/>
  <c r="P3079" i="20"/>
  <c r="P3080" i="20"/>
  <c r="P3081" i="20"/>
  <c r="P3082" i="20"/>
  <c r="P3083" i="20"/>
  <c r="P3084" i="20"/>
  <c r="P3085" i="20"/>
  <c r="P3086" i="20"/>
  <c r="P3087" i="20"/>
  <c r="P3088" i="20"/>
  <c r="P3089" i="20"/>
  <c r="P3090" i="20"/>
  <c r="P3091" i="20"/>
  <c r="P3092" i="20"/>
  <c r="P3093" i="20"/>
  <c r="P3094" i="20"/>
  <c r="P3095" i="20"/>
  <c r="P3096" i="20"/>
  <c r="P3097" i="20"/>
  <c r="P3098" i="20"/>
  <c r="P3099" i="20"/>
  <c r="P3100" i="20"/>
  <c r="P3101" i="20"/>
  <c r="P3102" i="20"/>
  <c r="P3103" i="20"/>
  <c r="P3104" i="20"/>
  <c r="P3105" i="20"/>
  <c r="P3106" i="20"/>
  <c r="P3107" i="20"/>
  <c r="P3108" i="20"/>
  <c r="P3109" i="20"/>
  <c r="P3110" i="20"/>
  <c r="P3111" i="20"/>
  <c r="P3112" i="20"/>
  <c r="P3113" i="20"/>
  <c r="P3114" i="20"/>
  <c r="P3115" i="20"/>
  <c r="P3116" i="20"/>
  <c r="P3117" i="20"/>
  <c r="P3118" i="20"/>
  <c r="P3119" i="20"/>
  <c r="P3120" i="20"/>
  <c r="P3121" i="20"/>
  <c r="P3122" i="20"/>
  <c r="P3123" i="20"/>
  <c r="P3124" i="20"/>
  <c r="P3125" i="20"/>
  <c r="P3126" i="20"/>
  <c r="P3127" i="20"/>
  <c r="P3128" i="20"/>
  <c r="P3129" i="20"/>
  <c r="P3130" i="20"/>
  <c r="P3131" i="20"/>
  <c r="P3132" i="20"/>
  <c r="P3133" i="20"/>
  <c r="P3134" i="20"/>
  <c r="P3135" i="20"/>
  <c r="P3136" i="20"/>
  <c r="P3137" i="20"/>
  <c r="P3138" i="20"/>
  <c r="P3139" i="20"/>
  <c r="P3140" i="20"/>
  <c r="P3141" i="20"/>
  <c r="P3142" i="20"/>
  <c r="P3143" i="20"/>
  <c r="P3144" i="20"/>
  <c r="P3145" i="20"/>
  <c r="P3146" i="20"/>
  <c r="P3147" i="20"/>
  <c r="P3148" i="20"/>
  <c r="P3149" i="20"/>
  <c r="P3150" i="20"/>
  <c r="P3151" i="20"/>
  <c r="P3152" i="20"/>
  <c r="P3153" i="20"/>
  <c r="P3154" i="20"/>
  <c r="P3155" i="20"/>
  <c r="P3156" i="20"/>
  <c r="P3157" i="20"/>
  <c r="P3158" i="20"/>
  <c r="P3159" i="20"/>
  <c r="P3160" i="20"/>
  <c r="P3161" i="20"/>
  <c r="P3162" i="20"/>
  <c r="P3163" i="20"/>
  <c r="P3164" i="20"/>
  <c r="P3165" i="20"/>
  <c r="P3166" i="20"/>
  <c r="P3167" i="20"/>
  <c r="P3168" i="20"/>
  <c r="P3169" i="20"/>
  <c r="P3170" i="20"/>
  <c r="P3171" i="20"/>
  <c r="P3172" i="20"/>
  <c r="P3173" i="20"/>
  <c r="P3174" i="20"/>
  <c r="P3175" i="20"/>
  <c r="P3176" i="20"/>
  <c r="P3177" i="20"/>
  <c r="P3178" i="20"/>
  <c r="P3179" i="20"/>
  <c r="P3180" i="20"/>
  <c r="P3181" i="20"/>
  <c r="P3182" i="20"/>
  <c r="P3183" i="20"/>
  <c r="P3184" i="20"/>
  <c r="P3185" i="20"/>
  <c r="P3186" i="20"/>
  <c r="P3187" i="20"/>
  <c r="P3188" i="20"/>
  <c r="P3189" i="20"/>
  <c r="P3190" i="20"/>
  <c r="P3191" i="20"/>
  <c r="P3192" i="20"/>
  <c r="P3193" i="20"/>
  <c r="P3194" i="20"/>
  <c r="P3195" i="20"/>
  <c r="P3196" i="20"/>
  <c r="P3197" i="20"/>
  <c r="P3198" i="20"/>
  <c r="P3199" i="20"/>
  <c r="P3200" i="20"/>
  <c r="P3201" i="20"/>
  <c r="P3202" i="20"/>
  <c r="P3203" i="20"/>
  <c r="P3204" i="20"/>
  <c r="P3205" i="20"/>
  <c r="P3206" i="20"/>
  <c r="P3207" i="20"/>
  <c r="P3208" i="20"/>
  <c r="P3209" i="20"/>
  <c r="P3210" i="20"/>
  <c r="P3211" i="20"/>
  <c r="P3212" i="20"/>
  <c r="P3213" i="20"/>
  <c r="P3214" i="20"/>
  <c r="P3215" i="20"/>
  <c r="P3216" i="20"/>
  <c r="P3217" i="20"/>
  <c r="P3218" i="20"/>
  <c r="P3219" i="20"/>
  <c r="P3220" i="20"/>
  <c r="P3221" i="20"/>
  <c r="P3222" i="20"/>
  <c r="P3223" i="20"/>
  <c r="P3224" i="20"/>
  <c r="P3225" i="20"/>
  <c r="P3226" i="20"/>
  <c r="P3227" i="20"/>
  <c r="P3228" i="20"/>
  <c r="P3229" i="20"/>
  <c r="P3230" i="20"/>
  <c r="P3231" i="20"/>
  <c r="P3232" i="20"/>
  <c r="P3233" i="20"/>
  <c r="P3234" i="20"/>
  <c r="P3235" i="20"/>
  <c r="P3236" i="20"/>
  <c r="P3237" i="20"/>
  <c r="P3238" i="20"/>
  <c r="P3239" i="20"/>
  <c r="P3240" i="20"/>
  <c r="P3241" i="20"/>
  <c r="P3242" i="20"/>
  <c r="P3243" i="20"/>
  <c r="P3244" i="20"/>
  <c r="P3245" i="20"/>
  <c r="P3246" i="20"/>
  <c r="P3247" i="20"/>
  <c r="P3248" i="20"/>
  <c r="P3249" i="20"/>
  <c r="P3250" i="20"/>
  <c r="P3251" i="20"/>
  <c r="P3252" i="20"/>
  <c r="P3253" i="20"/>
  <c r="P3254" i="20"/>
  <c r="P3255" i="20"/>
  <c r="P3256" i="20"/>
  <c r="P3257" i="20"/>
  <c r="P3258" i="20"/>
  <c r="P3259" i="20"/>
  <c r="P3260" i="20"/>
  <c r="P3261" i="20"/>
  <c r="P3262" i="20"/>
  <c r="P3263" i="20"/>
  <c r="P3264" i="20"/>
  <c r="P3265" i="20"/>
  <c r="P3266" i="20"/>
  <c r="P3267" i="20"/>
  <c r="P3268" i="20"/>
  <c r="P3269" i="20"/>
  <c r="P3270" i="20"/>
  <c r="P3271" i="20"/>
  <c r="P3272" i="20"/>
  <c r="P3273" i="20"/>
  <c r="P3274" i="20"/>
  <c r="P3275" i="20"/>
  <c r="P3276" i="20"/>
  <c r="P3277" i="20"/>
  <c r="P3278" i="20"/>
  <c r="P3279" i="20"/>
  <c r="P3280" i="20"/>
  <c r="P3281" i="20"/>
  <c r="P3282" i="20"/>
  <c r="P3283" i="20"/>
  <c r="P3284" i="20"/>
  <c r="P3285" i="20"/>
  <c r="P3286" i="20"/>
  <c r="P3287" i="20"/>
  <c r="P3288" i="20"/>
  <c r="P3289" i="20"/>
  <c r="P3290" i="20"/>
  <c r="P3291" i="20"/>
  <c r="P3292" i="20"/>
  <c r="P3293" i="20"/>
  <c r="P3294" i="20"/>
  <c r="P3295" i="20"/>
  <c r="P3296" i="20"/>
  <c r="P3297" i="20"/>
  <c r="P3298" i="20"/>
  <c r="P3299" i="20"/>
  <c r="P3300" i="20"/>
  <c r="P3301" i="20"/>
  <c r="P3302" i="20"/>
  <c r="P3303" i="20"/>
  <c r="P3304" i="20"/>
  <c r="P3305" i="20"/>
  <c r="P3306" i="20"/>
  <c r="P3307" i="20"/>
  <c r="P3308" i="20"/>
  <c r="P3309" i="20"/>
  <c r="P3310" i="20"/>
  <c r="P3311" i="20"/>
  <c r="P3312" i="20"/>
  <c r="P3313" i="20"/>
  <c r="P3314" i="20"/>
  <c r="P3315" i="20"/>
  <c r="P3316" i="20"/>
  <c r="P3317" i="20"/>
  <c r="P3318" i="20"/>
  <c r="P3319" i="20"/>
  <c r="P3320" i="20"/>
  <c r="P3321" i="20"/>
  <c r="P3322" i="20"/>
  <c r="P3323" i="20"/>
  <c r="P3324" i="20"/>
  <c r="P3325" i="20"/>
  <c r="P3326" i="20"/>
  <c r="P3327" i="20"/>
  <c r="P3328" i="20"/>
  <c r="P3329" i="20"/>
  <c r="P3330" i="20"/>
  <c r="P3331" i="20"/>
  <c r="P3332" i="20"/>
  <c r="P3333" i="20"/>
  <c r="P3334" i="20"/>
  <c r="P3335" i="20"/>
  <c r="P3336" i="20"/>
  <c r="P3337" i="20"/>
  <c r="P3338" i="20"/>
  <c r="P3339" i="20"/>
  <c r="P3340" i="20"/>
  <c r="P3341" i="20"/>
  <c r="P3342" i="20"/>
  <c r="P3343" i="20"/>
  <c r="P3344" i="20"/>
  <c r="P3345" i="20"/>
  <c r="P3346" i="20"/>
  <c r="P3347" i="20"/>
  <c r="P3348" i="20"/>
  <c r="P3349" i="20"/>
  <c r="P3350" i="20"/>
  <c r="P3351" i="20"/>
  <c r="P3352" i="20"/>
  <c r="P3353" i="20"/>
  <c r="P3354" i="20"/>
  <c r="P3355" i="20"/>
  <c r="P3356" i="20"/>
  <c r="P3357" i="20"/>
  <c r="P3358" i="20"/>
  <c r="P3359" i="20"/>
  <c r="P3360" i="20"/>
  <c r="P3361" i="20"/>
  <c r="P3362" i="20"/>
  <c r="P3363" i="20"/>
  <c r="P3364" i="20"/>
  <c r="P3365" i="20"/>
  <c r="P3366" i="20"/>
  <c r="P3367" i="20"/>
  <c r="P3368" i="20"/>
  <c r="P3369" i="20"/>
  <c r="P3370" i="20"/>
  <c r="P3371" i="20"/>
  <c r="P3372" i="20"/>
  <c r="P3373" i="20"/>
  <c r="P3374" i="20"/>
  <c r="P3375" i="20"/>
  <c r="P3376" i="20"/>
  <c r="P3377" i="20"/>
  <c r="P3378" i="20"/>
  <c r="P3379" i="20"/>
  <c r="P3380" i="20"/>
  <c r="P3381" i="20"/>
  <c r="P3382" i="20"/>
  <c r="P3383" i="20"/>
  <c r="P3384" i="20"/>
  <c r="P3385" i="20"/>
  <c r="P3386" i="20"/>
  <c r="P3387" i="20"/>
  <c r="P3388" i="20"/>
  <c r="P3389" i="20"/>
  <c r="P3390" i="20"/>
  <c r="P3391" i="20"/>
  <c r="P3392" i="20"/>
  <c r="P3393" i="20"/>
  <c r="P3394" i="20"/>
  <c r="P3395" i="20"/>
  <c r="P3396" i="20"/>
  <c r="P3397" i="20"/>
  <c r="P3398" i="20"/>
  <c r="P3399" i="20"/>
  <c r="P3400" i="20"/>
  <c r="P3401" i="20"/>
  <c r="P3402" i="20"/>
  <c r="P3403" i="20"/>
  <c r="P3404" i="20"/>
  <c r="P3405" i="20"/>
  <c r="P3406" i="20"/>
  <c r="P3407" i="20"/>
  <c r="P3408" i="20"/>
  <c r="P3409" i="20"/>
  <c r="P3410" i="20"/>
  <c r="P3411" i="20"/>
  <c r="P3412" i="20"/>
  <c r="P3413" i="20"/>
  <c r="P3414" i="20"/>
  <c r="P3415" i="20"/>
  <c r="P3416" i="20"/>
  <c r="P3417" i="20"/>
  <c r="P3418" i="20"/>
  <c r="P3419" i="20"/>
  <c r="P3420" i="20"/>
  <c r="P3421" i="20"/>
  <c r="P3422" i="20"/>
  <c r="P3423" i="20"/>
  <c r="P3424" i="20"/>
  <c r="P3425" i="20"/>
  <c r="P3426" i="20"/>
  <c r="P3427" i="20"/>
  <c r="P3428" i="20"/>
  <c r="P3429" i="20"/>
  <c r="P3430" i="20"/>
  <c r="P3431" i="20"/>
  <c r="P3432" i="20"/>
  <c r="P3433" i="20"/>
  <c r="P3434" i="20"/>
  <c r="P3435" i="20"/>
  <c r="P3436" i="20"/>
  <c r="P3437" i="20"/>
  <c r="P3438" i="20"/>
  <c r="P3439" i="20"/>
  <c r="P3440" i="20"/>
  <c r="P3441" i="20"/>
  <c r="P3442" i="20"/>
  <c r="P3443" i="20"/>
  <c r="P3444" i="20"/>
  <c r="P3445" i="20"/>
  <c r="P3446" i="20"/>
  <c r="P3447" i="20"/>
  <c r="P3448" i="20"/>
  <c r="P3449" i="20"/>
  <c r="P3450" i="20"/>
  <c r="P3451" i="20"/>
  <c r="P3452" i="20"/>
  <c r="P3453" i="20"/>
  <c r="P3454" i="20"/>
  <c r="P3455" i="20"/>
  <c r="P3456" i="20"/>
  <c r="P3457" i="20"/>
  <c r="P3458" i="20"/>
  <c r="P3459" i="20"/>
  <c r="P3460" i="20"/>
  <c r="P3461" i="20"/>
  <c r="P3462" i="20"/>
  <c r="P3463" i="20"/>
  <c r="P3464" i="20"/>
  <c r="P3465" i="20"/>
  <c r="P3466" i="20"/>
  <c r="P3467" i="20"/>
  <c r="P3468" i="20"/>
  <c r="P3469" i="20"/>
  <c r="P3470" i="20"/>
  <c r="P3471" i="20"/>
  <c r="P3472" i="20"/>
  <c r="P3473" i="20"/>
  <c r="P3474" i="20"/>
  <c r="P3475" i="20"/>
  <c r="P3476" i="20"/>
  <c r="P3477" i="20"/>
  <c r="P3478" i="20"/>
  <c r="P3479" i="20"/>
  <c r="P3480" i="20"/>
  <c r="P3481" i="20"/>
  <c r="P3482" i="20"/>
  <c r="P3483" i="20"/>
  <c r="P3484" i="20"/>
  <c r="P3485" i="20"/>
  <c r="P3486" i="20"/>
  <c r="P3487" i="20"/>
  <c r="P3488" i="20"/>
  <c r="P3489" i="20"/>
  <c r="P3490" i="20"/>
  <c r="P3491" i="20"/>
  <c r="P3492" i="20"/>
  <c r="P3493" i="20"/>
  <c r="P3494" i="20"/>
  <c r="P3495" i="20"/>
  <c r="P3496" i="20"/>
  <c r="P3497" i="20"/>
  <c r="P3498" i="20"/>
  <c r="P3499" i="20"/>
  <c r="P3500" i="20"/>
  <c r="P3501" i="20"/>
  <c r="P3502" i="20"/>
  <c r="P3503" i="20"/>
  <c r="P3504" i="20"/>
  <c r="P3505" i="20"/>
  <c r="P3506" i="20"/>
  <c r="P3507" i="20"/>
  <c r="P3508" i="20"/>
  <c r="P3509" i="20"/>
  <c r="P3510" i="20"/>
  <c r="P3511" i="20"/>
  <c r="P3512" i="20"/>
  <c r="P3513" i="20"/>
  <c r="P3514" i="20"/>
  <c r="P3515" i="20"/>
  <c r="P3516" i="20"/>
  <c r="P3517" i="20"/>
  <c r="P3518" i="20"/>
  <c r="P3519" i="20"/>
  <c r="P3520" i="20"/>
  <c r="P3521" i="20"/>
  <c r="P3522" i="20"/>
  <c r="P3523" i="20"/>
  <c r="P3524" i="20"/>
  <c r="P3525" i="20"/>
  <c r="P3526" i="20"/>
  <c r="P3527" i="20"/>
  <c r="P3528" i="20"/>
  <c r="P3529" i="20"/>
  <c r="P3530" i="20"/>
  <c r="P3531" i="20"/>
  <c r="P3532" i="20"/>
  <c r="P3533" i="20"/>
  <c r="P3534" i="20"/>
  <c r="P3535" i="20"/>
  <c r="P3536" i="20"/>
  <c r="P3537" i="20"/>
  <c r="P3538" i="20"/>
  <c r="P3539" i="20"/>
  <c r="P3540" i="20"/>
  <c r="P3541" i="20"/>
  <c r="P3542" i="20"/>
  <c r="P3543" i="20"/>
  <c r="P3544" i="20"/>
  <c r="P3545" i="20"/>
  <c r="P3546" i="20"/>
  <c r="P3547" i="20"/>
  <c r="P3548" i="20"/>
  <c r="P3549" i="20"/>
  <c r="P3550" i="20"/>
  <c r="P3551" i="20"/>
  <c r="P3552" i="20"/>
  <c r="P3553" i="20"/>
  <c r="P3554" i="20"/>
  <c r="P3555" i="20"/>
  <c r="P3556" i="20"/>
  <c r="P3557" i="20"/>
  <c r="P3558" i="20"/>
  <c r="P3559" i="20"/>
  <c r="P3560" i="20"/>
  <c r="P3561" i="20"/>
  <c r="P3562" i="20"/>
  <c r="P3563" i="20"/>
  <c r="P3564" i="20"/>
  <c r="P3565" i="20"/>
  <c r="P3566" i="20"/>
  <c r="P3567" i="20"/>
  <c r="P3568" i="20"/>
  <c r="P3569" i="20"/>
  <c r="P3570" i="20"/>
  <c r="P3571" i="20"/>
  <c r="P3572" i="20"/>
  <c r="P3573" i="20"/>
  <c r="P3574" i="20"/>
  <c r="P3575" i="20"/>
  <c r="P3576" i="20"/>
  <c r="P3577" i="20"/>
  <c r="P3578" i="20"/>
  <c r="P3579" i="20"/>
  <c r="P3580" i="20"/>
  <c r="P3581" i="20"/>
  <c r="P3582" i="20"/>
  <c r="P3583" i="20"/>
  <c r="P3584" i="20"/>
  <c r="P3585" i="20"/>
  <c r="P3586" i="20"/>
  <c r="P3587" i="20"/>
  <c r="P3588" i="20"/>
  <c r="P3589" i="20"/>
  <c r="P3590" i="20"/>
  <c r="P3591" i="20"/>
  <c r="P3592" i="20"/>
  <c r="P3593" i="20"/>
  <c r="P3594" i="20"/>
  <c r="P3595" i="20"/>
  <c r="P3596" i="20"/>
  <c r="P3597" i="20"/>
  <c r="P3598" i="20"/>
  <c r="P3599" i="20"/>
  <c r="P3600" i="20"/>
  <c r="P3601" i="20"/>
  <c r="P3602" i="20"/>
  <c r="P3603" i="20"/>
  <c r="P3604" i="20"/>
  <c r="P3605" i="20"/>
  <c r="P3606" i="20"/>
  <c r="P3607" i="20"/>
  <c r="P3608" i="20"/>
  <c r="P3609" i="20"/>
  <c r="P3610" i="20"/>
  <c r="P3611" i="20"/>
  <c r="P3612" i="20"/>
  <c r="P3613" i="20"/>
  <c r="P3614" i="20"/>
  <c r="P3615" i="20"/>
  <c r="P3616" i="20"/>
  <c r="P3617" i="20"/>
  <c r="P3618" i="20"/>
  <c r="P3619" i="20"/>
  <c r="P3620" i="20"/>
  <c r="P3621" i="20"/>
  <c r="P3622" i="20"/>
  <c r="P3623" i="20"/>
  <c r="P3624" i="20"/>
  <c r="P3625" i="20"/>
  <c r="P3626" i="20"/>
  <c r="P3627" i="20"/>
  <c r="P3628" i="20"/>
  <c r="P3629" i="20"/>
  <c r="P3630" i="20"/>
  <c r="P3631" i="20"/>
  <c r="P3632" i="20"/>
  <c r="P3633" i="20"/>
  <c r="P3634" i="20"/>
  <c r="P3635" i="20"/>
  <c r="P3636" i="20"/>
  <c r="P3637" i="20"/>
  <c r="P3638" i="20"/>
  <c r="P3639" i="20"/>
  <c r="P3640" i="20"/>
  <c r="P3641" i="20"/>
  <c r="P3642" i="20"/>
  <c r="P3643" i="20"/>
  <c r="P3644" i="20"/>
  <c r="P3645" i="20"/>
  <c r="P3646" i="20"/>
  <c r="P3647" i="20"/>
  <c r="P3648" i="20"/>
  <c r="P3649" i="20"/>
  <c r="P3650" i="20"/>
  <c r="P3651" i="20"/>
  <c r="P3652" i="20"/>
  <c r="P3653" i="20"/>
  <c r="P3654" i="20"/>
  <c r="P3655" i="20"/>
  <c r="P3656" i="20"/>
  <c r="P3657" i="20"/>
  <c r="P3658" i="20"/>
  <c r="P3659" i="20"/>
  <c r="P3660" i="20"/>
  <c r="P3661" i="20"/>
  <c r="P3662" i="20"/>
  <c r="P3663" i="20"/>
  <c r="P3664" i="20"/>
  <c r="P3665" i="20"/>
  <c r="P3666" i="20"/>
  <c r="P3667" i="20"/>
  <c r="P3668" i="20"/>
  <c r="P3669" i="20"/>
  <c r="P3670" i="20"/>
  <c r="P3671" i="20"/>
  <c r="P3672" i="20"/>
  <c r="P3673" i="20"/>
  <c r="P3674" i="20"/>
  <c r="P3675" i="20"/>
  <c r="P3676" i="20"/>
  <c r="P3677" i="20"/>
  <c r="P3678" i="20"/>
  <c r="P3679" i="20"/>
  <c r="P3680" i="20"/>
  <c r="P3681" i="20"/>
  <c r="P3682" i="20"/>
  <c r="P3683" i="20"/>
  <c r="P3684" i="20"/>
  <c r="P3685" i="20"/>
  <c r="P3686" i="20"/>
  <c r="P3687" i="20"/>
  <c r="P3688" i="20"/>
  <c r="P3689" i="20"/>
  <c r="P3690" i="20"/>
  <c r="P3691" i="20"/>
  <c r="P3692" i="20"/>
  <c r="P3693" i="20"/>
  <c r="P3694" i="20"/>
  <c r="P3695" i="20"/>
  <c r="P3696" i="20"/>
  <c r="P3697" i="20"/>
  <c r="P3698" i="20"/>
  <c r="P3699" i="20"/>
  <c r="P3700" i="20"/>
  <c r="P3701" i="20"/>
  <c r="P3702" i="20"/>
  <c r="P3703" i="20"/>
  <c r="P3704" i="20"/>
  <c r="P3705" i="20"/>
  <c r="P3706" i="20"/>
  <c r="P3707" i="20"/>
  <c r="P3708" i="20"/>
  <c r="P3709" i="20"/>
  <c r="P3710" i="20"/>
  <c r="P3711" i="20"/>
  <c r="P3712" i="20"/>
  <c r="P3713" i="20"/>
  <c r="P3714" i="20"/>
  <c r="P3715" i="20"/>
  <c r="P3716" i="20"/>
  <c r="P3717" i="20"/>
  <c r="P3718" i="20"/>
  <c r="P3719" i="20"/>
  <c r="P3720" i="20"/>
  <c r="P3721" i="20"/>
  <c r="P3722" i="20"/>
  <c r="P3723" i="20"/>
  <c r="P3724" i="20"/>
  <c r="P3725" i="20"/>
  <c r="P3726" i="20"/>
  <c r="P3727" i="20"/>
  <c r="P3728" i="20"/>
  <c r="P3729" i="20"/>
  <c r="P3730" i="20"/>
  <c r="P3731" i="20"/>
  <c r="P3732" i="20"/>
  <c r="P3733" i="20"/>
  <c r="P3734" i="20"/>
  <c r="P3735" i="20"/>
  <c r="P3736" i="20"/>
  <c r="P3737" i="20"/>
  <c r="P3738" i="20"/>
  <c r="P3739" i="20"/>
  <c r="P3740" i="20"/>
  <c r="P3741" i="20"/>
  <c r="P3742" i="20"/>
  <c r="P3743" i="20"/>
  <c r="P3744" i="20"/>
  <c r="P3745" i="20"/>
  <c r="P3746" i="20"/>
  <c r="P3747" i="20"/>
  <c r="P3748" i="20"/>
  <c r="P3749" i="20"/>
  <c r="P3750" i="20"/>
  <c r="P3751" i="20"/>
  <c r="P3752" i="20"/>
  <c r="P3753" i="20"/>
  <c r="P3754" i="20"/>
  <c r="P3755" i="20"/>
  <c r="P3756" i="20"/>
  <c r="P3757" i="20"/>
  <c r="P3758" i="20"/>
  <c r="P3759" i="20"/>
  <c r="P3760" i="20"/>
  <c r="P3761" i="20"/>
  <c r="P3762" i="20"/>
  <c r="P3763" i="20"/>
  <c r="P3764" i="20"/>
  <c r="P3765" i="20"/>
  <c r="P3766" i="20"/>
  <c r="P3767" i="20"/>
  <c r="P3768" i="20"/>
  <c r="P3769" i="20"/>
  <c r="P3770" i="20"/>
  <c r="P3771" i="20"/>
  <c r="P3772" i="20"/>
  <c r="P3773" i="20"/>
  <c r="P3774" i="20"/>
  <c r="P3775" i="20"/>
  <c r="P3776" i="20"/>
  <c r="P3777" i="20"/>
  <c r="P3778" i="20"/>
  <c r="P3779" i="20"/>
  <c r="P3780" i="20"/>
  <c r="P3781" i="20"/>
  <c r="P3782" i="20"/>
  <c r="P3783" i="20"/>
  <c r="P3784" i="20"/>
  <c r="P3785" i="20"/>
  <c r="P3786" i="20"/>
  <c r="P3787" i="20"/>
  <c r="P3788" i="20"/>
  <c r="P3789" i="20"/>
  <c r="P3790" i="20"/>
  <c r="P3791" i="20"/>
  <c r="P3792" i="20"/>
  <c r="P3793" i="20"/>
  <c r="P3794" i="20"/>
  <c r="P3795" i="20"/>
  <c r="P3796" i="20"/>
  <c r="P3797" i="20"/>
  <c r="P3798" i="20"/>
  <c r="P3799" i="20"/>
  <c r="P3800" i="20"/>
  <c r="P3801" i="20"/>
  <c r="P3802" i="20"/>
  <c r="P3803" i="20"/>
  <c r="P3804" i="20"/>
  <c r="P3805" i="20"/>
  <c r="P3806" i="20"/>
  <c r="P3807" i="20"/>
  <c r="P3808" i="20"/>
  <c r="P3809" i="20"/>
  <c r="P3810" i="20"/>
  <c r="P3811" i="20"/>
  <c r="P3812" i="20"/>
  <c r="P3813" i="20"/>
  <c r="P3814" i="20"/>
  <c r="P3815" i="20"/>
  <c r="P3816" i="20"/>
  <c r="P3817" i="20"/>
  <c r="P3818" i="20"/>
  <c r="P3819" i="20"/>
  <c r="P3820" i="20"/>
  <c r="P3821" i="20"/>
  <c r="P3822" i="20"/>
  <c r="P3823" i="20"/>
  <c r="P3824" i="20"/>
  <c r="P3825" i="20"/>
  <c r="P3826" i="20"/>
  <c r="P3827" i="20"/>
  <c r="P3828" i="20"/>
  <c r="P3829" i="20"/>
  <c r="P3830" i="20"/>
  <c r="P3831" i="20"/>
  <c r="P3832" i="20"/>
  <c r="P3833" i="20"/>
  <c r="P3834" i="20"/>
  <c r="P3835" i="20"/>
  <c r="P3836" i="20"/>
  <c r="P3837" i="20"/>
  <c r="P3838" i="20"/>
  <c r="P3839" i="20"/>
  <c r="P3840" i="20"/>
  <c r="P3841" i="20"/>
  <c r="P3842" i="20"/>
  <c r="P3843" i="20"/>
  <c r="P3844" i="20"/>
  <c r="P3845" i="20"/>
  <c r="P3846" i="20"/>
  <c r="P3847" i="20"/>
  <c r="P3848" i="20"/>
  <c r="P3849" i="20"/>
  <c r="P3850" i="20"/>
  <c r="P3851" i="20"/>
  <c r="P3852" i="20"/>
  <c r="P3853" i="20"/>
  <c r="P3854" i="20"/>
  <c r="P3855" i="20"/>
  <c r="P3856" i="20"/>
  <c r="P3857" i="20"/>
  <c r="P3858" i="20"/>
  <c r="P3859" i="20"/>
  <c r="P3860" i="20"/>
  <c r="P3861" i="20"/>
  <c r="P3862" i="20"/>
  <c r="P3863" i="20"/>
  <c r="P3864" i="20"/>
  <c r="P3865" i="20"/>
  <c r="P3866" i="20"/>
  <c r="P3867" i="20"/>
  <c r="P3868" i="20"/>
  <c r="P3869" i="20"/>
  <c r="P3870" i="20"/>
  <c r="P3871" i="20"/>
  <c r="P3872" i="20"/>
  <c r="P3873" i="20"/>
  <c r="P3874" i="20"/>
  <c r="P3875" i="20"/>
  <c r="P3876" i="20"/>
  <c r="P3877" i="20"/>
  <c r="P3878" i="20"/>
  <c r="P3879" i="20"/>
  <c r="P3880" i="20"/>
  <c r="P3881" i="20"/>
  <c r="P3882" i="20"/>
  <c r="P3883" i="20"/>
  <c r="P3884" i="20"/>
  <c r="P3885" i="20"/>
  <c r="P3886" i="20"/>
  <c r="P3887" i="20"/>
  <c r="P3888" i="20"/>
  <c r="P3889" i="20"/>
  <c r="P3890" i="20"/>
  <c r="P3891" i="20"/>
  <c r="P3892" i="20"/>
  <c r="P3893" i="20"/>
  <c r="P3894" i="20"/>
  <c r="P3895" i="20"/>
  <c r="P3896" i="20"/>
  <c r="P3897" i="20"/>
  <c r="Q2874" i="20"/>
  <c r="Q2875" i="20"/>
  <c r="Q2876" i="20"/>
  <c r="Q2877" i="20"/>
  <c r="Q2878" i="20"/>
  <c r="Q2879" i="20"/>
  <c r="Q2880" i="20"/>
  <c r="Q2881" i="20"/>
  <c r="Q2882" i="20"/>
  <c r="Q2883" i="20"/>
  <c r="Q2884" i="20"/>
  <c r="Q2885" i="20"/>
  <c r="Q2886" i="20"/>
  <c r="Q2887" i="20"/>
  <c r="Q2888" i="20"/>
  <c r="Q2889" i="20"/>
  <c r="Q2890" i="20"/>
  <c r="Q2891" i="20"/>
  <c r="Q2892" i="20"/>
  <c r="Q2893" i="20"/>
  <c r="Q2894" i="20"/>
  <c r="Q2895" i="20"/>
  <c r="Q2896" i="20"/>
  <c r="Q2897" i="20"/>
  <c r="Q2898" i="20"/>
  <c r="Q2899" i="20"/>
  <c r="Q2900" i="20"/>
  <c r="Q2901" i="20"/>
  <c r="Q2902" i="20"/>
  <c r="Q2903" i="20"/>
  <c r="Q2904" i="20"/>
  <c r="Q2905" i="20"/>
  <c r="Q2906" i="20"/>
  <c r="Q2907" i="20"/>
  <c r="Q2908" i="20"/>
  <c r="Q2909" i="20"/>
  <c r="Q2910" i="20"/>
  <c r="Q2911" i="20"/>
  <c r="Q2912" i="20"/>
  <c r="Q2913" i="20"/>
  <c r="Q2914" i="20"/>
  <c r="Q2915" i="20"/>
  <c r="Q2916" i="20"/>
  <c r="Q2917" i="20"/>
  <c r="Q2918" i="20"/>
  <c r="Q2919" i="20"/>
  <c r="Q2920" i="20"/>
  <c r="Q2921" i="20"/>
  <c r="Q2922" i="20"/>
  <c r="Q2923" i="20"/>
  <c r="Q2924" i="20"/>
  <c r="Q2925" i="20"/>
  <c r="Q2926" i="20"/>
  <c r="Q2927" i="20"/>
  <c r="Q2928" i="20"/>
  <c r="Q2929" i="20"/>
  <c r="Q2930" i="20"/>
  <c r="Q2931" i="20"/>
  <c r="Q2932" i="20"/>
  <c r="Q2933" i="20"/>
  <c r="Q2934" i="20"/>
  <c r="Q2935" i="20"/>
  <c r="Q2936" i="20"/>
  <c r="Q2937" i="20"/>
  <c r="Q2938" i="20"/>
  <c r="Q2939" i="20"/>
  <c r="Q2940" i="20"/>
  <c r="Q2941" i="20"/>
  <c r="Q2942" i="20"/>
  <c r="Q2943" i="20"/>
  <c r="Q2944" i="20"/>
  <c r="Q2945" i="20"/>
  <c r="Q2946" i="20"/>
  <c r="Q2947" i="20"/>
  <c r="Q2948" i="20"/>
  <c r="Q2949" i="20"/>
  <c r="Q2950" i="20"/>
  <c r="Q2951" i="20"/>
  <c r="Q2952" i="20"/>
  <c r="Q2953" i="20"/>
  <c r="Q2954" i="20"/>
  <c r="Q2955" i="20"/>
  <c r="Q2956" i="20"/>
  <c r="Q2957" i="20"/>
  <c r="Q2958" i="20"/>
  <c r="Q2959" i="20"/>
  <c r="Q2960" i="20"/>
  <c r="Q2961" i="20"/>
  <c r="Q2962" i="20"/>
  <c r="Q2963" i="20"/>
  <c r="Q2964" i="20"/>
  <c r="Q2965" i="20"/>
  <c r="Q2966" i="20"/>
  <c r="Q2967" i="20"/>
  <c r="Q2968" i="20"/>
  <c r="Q2969" i="20"/>
  <c r="Q2970" i="20"/>
  <c r="Q2971" i="20"/>
  <c r="Q2972" i="20"/>
  <c r="Q2973" i="20"/>
  <c r="Q2974" i="20"/>
  <c r="Q2975" i="20"/>
  <c r="Q2976" i="20"/>
  <c r="Q2977" i="20"/>
  <c r="Q2978" i="20"/>
  <c r="Q2979" i="20"/>
  <c r="Q2980" i="20"/>
  <c r="Q2981" i="20"/>
  <c r="Q2982" i="20"/>
  <c r="Q2983" i="20"/>
  <c r="Q2984" i="20"/>
  <c r="Q2985" i="20"/>
  <c r="Q2986" i="20"/>
  <c r="Q2987" i="20"/>
  <c r="Q2988" i="20"/>
  <c r="Q2989" i="20"/>
  <c r="Q2990" i="20"/>
  <c r="Q2991" i="20"/>
  <c r="Q2992" i="20"/>
  <c r="Q2993" i="20"/>
  <c r="Q2994" i="20"/>
  <c r="Q2995" i="20"/>
  <c r="Q2996" i="20"/>
  <c r="Q2997" i="20"/>
  <c r="Q2998" i="20"/>
  <c r="Q2999" i="20"/>
  <c r="Q3000" i="20"/>
  <c r="Q3001" i="20"/>
  <c r="Q3002" i="20"/>
  <c r="Q3003" i="20"/>
  <c r="Q3004" i="20"/>
  <c r="Q3005" i="20"/>
  <c r="Q3006" i="20"/>
  <c r="Q3007" i="20"/>
  <c r="Q3008" i="20"/>
  <c r="Q3009" i="20"/>
  <c r="Q3010" i="20"/>
  <c r="Q3011" i="20"/>
  <c r="Q3012" i="20"/>
  <c r="Q3013" i="20"/>
  <c r="Q3014" i="20"/>
  <c r="Q3015" i="20"/>
  <c r="Q3016" i="20"/>
  <c r="Q3017" i="20"/>
  <c r="Q3018" i="20"/>
  <c r="Q3019" i="20"/>
  <c r="Q3020" i="20"/>
  <c r="Q3021" i="20"/>
  <c r="Q3022" i="20"/>
  <c r="Q3023" i="20"/>
  <c r="Q3024" i="20"/>
  <c r="Q3025" i="20"/>
  <c r="Q3026" i="20"/>
  <c r="Q3027" i="20"/>
  <c r="Q3028" i="20"/>
  <c r="Q3029" i="20"/>
  <c r="Q3030" i="20"/>
  <c r="Q3031" i="20"/>
  <c r="Q3032" i="20"/>
  <c r="Q3033" i="20"/>
  <c r="Q3034" i="20"/>
  <c r="Q3035" i="20"/>
  <c r="Q3036" i="20"/>
  <c r="Q3037" i="20"/>
  <c r="Q3038" i="20"/>
  <c r="Q3039" i="20"/>
  <c r="Q3040" i="20"/>
  <c r="Q3041" i="20"/>
  <c r="Q3042" i="20"/>
  <c r="Q3043" i="20"/>
  <c r="Q3044" i="20"/>
  <c r="Q3045" i="20"/>
  <c r="Q3046" i="20"/>
  <c r="Q3047" i="20"/>
  <c r="Q3048" i="20"/>
  <c r="Q3049" i="20"/>
  <c r="Q3050" i="20"/>
  <c r="Q3051" i="20"/>
  <c r="Q3052" i="20"/>
  <c r="Q3053" i="20"/>
  <c r="Q3054" i="20"/>
  <c r="Q3055" i="20"/>
  <c r="Q3056" i="20"/>
  <c r="Q3057" i="20"/>
  <c r="Q3058" i="20"/>
  <c r="Q3059" i="20"/>
  <c r="Q3060" i="20"/>
  <c r="Q3061" i="20"/>
  <c r="Q3062" i="20"/>
  <c r="Q3063" i="20"/>
  <c r="Q3064" i="20"/>
  <c r="Q3065" i="20"/>
  <c r="Q3066" i="20"/>
  <c r="Q3067" i="20"/>
  <c r="Q3068" i="20"/>
  <c r="Q3069" i="20"/>
  <c r="Q3070" i="20"/>
  <c r="Q3071" i="20"/>
  <c r="Q3072" i="20"/>
  <c r="Q3073" i="20"/>
  <c r="Q3074" i="20"/>
  <c r="Q3075" i="20"/>
  <c r="Q3076" i="20"/>
  <c r="Q3077" i="20"/>
  <c r="Q3078" i="20"/>
  <c r="Q3079" i="20"/>
  <c r="Q3080" i="20"/>
  <c r="Q3081" i="20"/>
  <c r="Q3082" i="20"/>
  <c r="Q3083" i="20"/>
  <c r="Q3084" i="20"/>
  <c r="Q3085" i="20"/>
  <c r="Q3086" i="20"/>
  <c r="Q3087" i="20"/>
  <c r="Q3088" i="20"/>
  <c r="Q3089" i="20"/>
  <c r="Q3090" i="20"/>
  <c r="Q3091" i="20"/>
  <c r="Q3092" i="20"/>
  <c r="Q3093" i="20"/>
  <c r="Q3094" i="20"/>
  <c r="Q3095" i="20"/>
  <c r="Q3096" i="20"/>
  <c r="Q3097" i="20"/>
  <c r="Q3098" i="20"/>
  <c r="Q3099" i="20"/>
  <c r="Q3100" i="20"/>
  <c r="Q3101" i="20"/>
  <c r="Q3102" i="20"/>
  <c r="Q3103" i="20"/>
  <c r="Q3104" i="20"/>
  <c r="Q3105" i="20"/>
  <c r="Q3106" i="20"/>
  <c r="Q3107" i="20"/>
  <c r="Q3108" i="20"/>
  <c r="Q3109" i="20"/>
  <c r="Q3110" i="20"/>
  <c r="Q3111" i="20"/>
  <c r="Q3112" i="20"/>
  <c r="Q3113" i="20"/>
  <c r="Q3114" i="20"/>
  <c r="Q3115" i="20"/>
  <c r="Q3116" i="20"/>
  <c r="Q3117" i="20"/>
  <c r="Q3118" i="20"/>
  <c r="Q3119" i="20"/>
  <c r="Q3120" i="20"/>
  <c r="Q3121" i="20"/>
  <c r="Q3122" i="20"/>
  <c r="Q3123" i="20"/>
  <c r="Q3124" i="20"/>
  <c r="Q3125" i="20"/>
  <c r="Q3126" i="20"/>
  <c r="Q3127" i="20"/>
  <c r="Q3128" i="20"/>
  <c r="Q3129" i="20"/>
  <c r="Q3130" i="20"/>
  <c r="Q3131" i="20"/>
  <c r="Q3132" i="20"/>
  <c r="Q3133" i="20"/>
  <c r="Q3134" i="20"/>
  <c r="Q3135" i="20"/>
  <c r="Q3136" i="20"/>
  <c r="Q3137" i="20"/>
  <c r="Q3138" i="20"/>
  <c r="Q3139" i="20"/>
  <c r="Q3140" i="20"/>
  <c r="Q3141" i="20"/>
  <c r="Q3142" i="20"/>
  <c r="Q3143" i="20"/>
  <c r="Q3144" i="20"/>
  <c r="Q3145" i="20"/>
  <c r="Q3146" i="20"/>
  <c r="Q3147" i="20"/>
  <c r="Q3148" i="20"/>
  <c r="Q3149" i="20"/>
  <c r="Q3150" i="20"/>
  <c r="Q3151" i="20"/>
  <c r="Q3152" i="20"/>
  <c r="Q3153" i="20"/>
  <c r="Q3154" i="20"/>
  <c r="Q3155" i="20"/>
  <c r="Q3156" i="20"/>
  <c r="Q3157" i="20"/>
  <c r="Q3158" i="20"/>
  <c r="Q3159" i="20"/>
  <c r="Q3160" i="20"/>
  <c r="Q3161" i="20"/>
  <c r="Q3162" i="20"/>
  <c r="Q3163" i="20"/>
  <c r="Q3164" i="20"/>
  <c r="Q3165" i="20"/>
  <c r="Q3166" i="20"/>
  <c r="Q3167" i="20"/>
  <c r="Q3168" i="20"/>
  <c r="Q3169" i="20"/>
  <c r="Q3170" i="20"/>
  <c r="Q3171" i="20"/>
  <c r="Q3172" i="20"/>
  <c r="Q3173" i="20"/>
  <c r="Q3174" i="20"/>
  <c r="Q3175" i="20"/>
  <c r="Q3176" i="20"/>
  <c r="Q3177" i="20"/>
  <c r="Q3178" i="20"/>
  <c r="Q3179" i="20"/>
  <c r="Q3180" i="20"/>
  <c r="Q3181" i="20"/>
  <c r="Q3182" i="20"/>
  <c r="Q3183" i="20"/>
  <c r="Q3184" i="20"/>
  <c r="Q3185" i="20"/>
  <c r="Q3186" i="20"/>
  <c r="Q3187" i="20"/>
  <c r="Q3188" i="20"/>
  <c r="Q3189" i="20"/>
  <c r="Q3190" i="20"/>
  <c r="Q3191" i="20"/>
  <c r="Q3192" i="20"/>
  <c r="Q3193" i="20"/>
  <c r="Q3194" i="20"/>
  <c r="Q3195" i="20"/>
  <c r="Q3196" i="20"/>
  <c r="Q3197" i="20"/>
  <c r="Q3198" i="20"/>
  <c r="Q3199" i="20"/>
  <c r="Q3200" i="20"/>
  <c r="Q3201" i="20"/>
  <c r="Q3202" i="20"/>
  <c r="Q3203" i="20"/>
  <c r="Q3204" i="20"/>
  <c r="Q3205" i="20"/>
  <c r="Q3206" i="20"/>
  <c r="Q3207" i="20"/>
  <c r="Q3208" i="20"/>
  <c r="Q3209" i="20"/>
  <c r="Q3210" i="20"/>
  <c r="Q3211" i="20"/>
  <c r="Q3212" i="20"/>
  <c r="Q3213" i="20"/>
  <c r="Q3214" i="20"/>
  <c r="Q3215" i="20"/>
  <c r="Q3216" i="20"/>
  <c r="Q3217" i="20"/>
  <c r="Q3218" i="20"/>
  <c r="Q3219" i="20"/>
  <c r="Q3220" i="20"/>
  <c r="Q3221" i="20"/>
  <c r="Q3222" i="20"/>
  <c r="Q3223" i="20"/>
  <c r="Q3224" i="20"/>
  <c r="Q3225" i="20"/>
  <c r="Q3226" i="20"/>
  <c r="Q3227" i="20"/>
  <c r="Q3228" i="20"/>
  <c r="Q3229" i="20"/>
  <c r="Q3230" i="20"/>
  <c r="Q3231" i="20"/>
  <c r="Q3232" i="20"/>
  <c r="Q3233" i="20"/>
  <c r="Q3234" i="20"/>
  <c r="Q3235" i="20"/>
  <c r="Q3236" i="20"/>
  <c r="Q3237" i="20"/>
  <c r="Q3238" i="20"/>
  <c r="Q3239" i="20"/>
  <c r="Q3240" i="20"/>
  <c r="Q3241" i="20"/>
  <c r="Q3242" i="20"/>
  <c r="Q3243" i="20"/>
  <c r="Q3244" i="20"/>
  <c r="Q3245" i="20"/>
  <c r="Q3246" i="20"/>
  <c r="Q3247" i="20"/>
  <c r="Q3248" i="20"/>
  <c r="Q3249" i="20"/>
  <c r="Q3250" i="20"/>
  <c r="Q3251" i="20"/>
  <c r="Q3252" i="20"/>
  <c r="Q3253" i="20"/>
  <c r="Q3254" i="20"/>
  <c r="Q3255" i="20"/>
  <c r="Q3256" i="20"/>
  <c r="Q3257" i="20"/>
  <c r="Q3258" i="20"/>
  <c r="Q3259" i="20"/>
  <c r="Q3260" i="20"/>
  <c r="Q3261" i="20"/>
  <c r="Q3262" i="20"/>
  <c r="Q3263" i="20"/>
  <c r="Q3264" i="20"/>
  <c r="Q3265" i="20"/>
  <c r="Q3266" i="20"/>
  <c r="Q3267" i="20"/>
  <c r="Q3268" i="20"/>
  <c r="Q3269" i="20"/>
  <c r="Q3270" i="20"/>
  <c r="Q3271" i="20"/>
  <c r="Q3272" i="20"/>
  <c r="Q3273" i="20"/>
  <c r="Q3274" i="20"/>
  <c r="Q3275" i="20"/>
  <c r="Q3276" i="20"/>
  <c r="Q3277" i="20"/>
  <c r="Q3278" i="20"/>
  <c r="Q3279" i="20"/>
  <c r="Q3280" i="20"/>
  <c r="Q3281" i="20"/>
  <c r="Q3282" i="20"/>
  <c r="Q3283" i="20"/>
  <c r="Q3284" i="20"/>
  <c r="Q3285" i="20"/>
  <c r="Q3286" i="20"/>
  <c r="Q3287" i="20"/>
  <c r="Q3288" i="20"/>
  <c r="Q3289" i="20"/>
  <c r="Q3290" i="20"/>
  <c r="Q3291" i="20"/>
  <c r="Q3292" i="20"/>
  <c r="Q3293" i="20"/>
  <c r="Q3294" i="20"/>
  <c r="Q3295" i="20"/>
  <c r="Q3296" i="20"/>
  <c r="Q3297" i="20"/>
  <c r="Q3298" i="20"/>
  <c r="Q3299" i="20"/>
  <c r="Q3300" i="20"/>
  <c r="Q3301" i="20"/>
  <c r="Q3302" i="20"/>
  <c r="Q3303" i="20"/>
  <c r="Q3304" i="20"/>
  <c r="Q3305" i="20"/>
  <c r="Q3306" i="20"/>
  <c r="Q3307" i="20"/>
  <c r="Q3308" i="20"/>
  <c r="Q3309" i="20"/>
  <c r="Q3310" i="20"/>
  <c r="Q3311" i="20"/>
  <c r="Q3312" i="20"/>
  <c r="Q3313" i="20"/>
  <c r="Q3314" i="20"/>
  <c r="Q3315" i="20"/>
  <c r="Q3316" i="20"/>
  <c r="Q3317" i="20"/>
  <c r="Q3318" i="20"/>
  <c r="Q3319" i="20"/>
  <c r="Q3320" i="20"/>
  <c r="Q3321" i="20"/>
  <c r="Q3322" i="20"/>
  <c r="Q3323" i="20"/>
  <c r="Q3324" i="20"/>
  <c r="Q3325" i="20"/>
  <c r="Q3326" i="20"/>
  <c r="Q3327" i="20"/>
  <c r="Q3328" i="20"/>
  <c r="Q3329" i="20"/>
  <c r="Q3330" i="20"/>
  <c r="Q3331" i="20"/>
  <c r="Q3332" i="20"/>
  <c r="Q3333" i="20"/>
  <c r="Q3334" i="20"/>
  <c r="Q3335" i="20"/>
  <c r="Q3336" i="20"/>
  <c r="Q3337" i="20"/>
  <c r="Q3338" i="20"/>
  <c r="Q3339" i="20"/>
  <c r="Q3340" i="20"/>
  <c r="Q3341" i="20"/>
  <c r="Q3342" i="20"/>
  <c r="Q3343" i="20"/>
  <c r="Q3344" i="20"/>
  <c r="Q3345" i="20"/>
  <c r="Q3346" i="20"/>
  <c r="Q3347" i="20"/>
  <c r="Q3348" i="20"/>
  <c r="Q3349" i="20"/>
  <c r="Q3350" i="20"/>
  <c r="Q3351" i="20"/>
  <c r="Q3352" i="20"/>
  <c r="Q3353" i="20"/>
  <c r="Q3354" i="20"/>
  <c r="Q3355" i="20"/>
  <c r="Q3356" i="20"/>
  <c r="Q3357" i="20"/>
  <c r="Q3358" i="20"/>
  <c r="Q3359" i="20"/>
  <c r="Q3360" i="20"/>
  <c r="Q3361" i="20"/>
  <c r="Q3362" i="20"/>
  <c r="Q3363" i="20"/>
  <c r="Q3364" i="20"/>
  <c r="Q3365" i="20"/>
  <c r="Q3366" i="20"/>
  <c r="Q3367" i="20"/>
  <c r="Q3368" i="20"/>
  <c r="Q3369" i="20"/>
  <c r="Q3370" i="20"/>
  <c r="Q3371" i="20"/>
  <c r="Q3372" i="20"/>
  <c r="Q3373" i="20"/>
  <c r="Q3374" i="20"/>
  <c r="Q3375" i="20"/>
  <c r="Q3376" i="20"/>
  <c r="Q3377" i="20"/>
  <c r="Q3378" i="20"/>
  <c r="Q3379" i="20"/>
  <c r="Q3380" i="20"/>
  <c r="Q3381" i="20"/>
  <c r="Q3382" i="20"/>
  <c r="Q3383" i="20"/>
  <c r="Q3384" i="20"/>
  <c r="Q3385" i="20"/>
  <c r="Q3386" i="20"/>
  <c r="Q3387" i="20"/>
  <c r="Q3388" i="20"/>
  <c r="Q3389" i="20"/>
  <c r="Q3390" i="20"/>
  <c r="Q3391" i="20"/>
  <c r="Q3392" i="20"/>
  <c r="Q3393" i="20"/>
  <c r="Q3394" i="20"/>
  <c r="Q3395" i="20"/>
  <c r="Q3396" i="20"/>
  <c r="Q3397" i="20"/>
  <c r="Q3398" i="20"/>
  <c r="Q3399" i="20"/>
  <c r="Q3400" i="20"/>
  <c r="Q3401" i="20"/>
  <c r="Q3402" i="20"/>
  <c r="Q3403" i="20"/>
  <c r="Q3404" i="20"/>
  <c r="Q3405" i="20"/>
  <c r="Q3406" i="20"/>
  <c r="Q3407" i="20"/>
  <c r="Q3408" i="20"/>
  <c r="Q3409" i="20"/>
  <c r="Q3410" i="20"/>
  <c r="Q3411" i="20"/>
  <c r="Q3412" i="20"/>
  <c r="Q3413" i="20"/>
  <c r="Q3414" i="20"/>
  <c r="Q3415" i="20"/>
  <c r="Q3416" i="20"/>
  <c r="Q3417" i="20"/>
  <c r="Q3418" i="20"/>
  <c r="Q3419" i="20"/>
  <c r="Q3420" i="20"/>
  <c r="Q3421" i="20"/>
  <c r="Q3422" i="20"/>
  <c r="Q3423" i="20"/>
  <c r="Q3424" i="20"/>
  <c r="Q3425" i="20"/>
  <c r="Q3426" i="20"/>
  <c r="Q3427" i="20"/>
  <c r="Q3428" i="20"/>
  <c r="Q3429" i="20"/>
  <c r="Q3430" i="20"/>
  <c r="Q3431" i="20"/>
  <c r="Q3432" i="20"/>
  <c r="Q3433" i="20"/>
  <c r="Q3434" i="20"/>
  <c r="Q3435" i="20"/>
  <c r="Q3436" i="20"/>
  <c r="Q3437" i="20"/>
  <c r="Q3438" i="20"/>
  <c r="Q3439" i="20"/>
  <c r="Q3440" i="20"/>
  <c r="Q3441" i="20"/>
  <c r="Q3442" i="20"/>
  <c r="Q3443" i="20"/>
  <c r="Q3444" i="20"/>
  <c r="Q3445" i="20"/>
  <c r="Q3446" i="20"/>
  <c r="Q3447" i="20"/>
  <c r="Q3448" i="20"/>
  <c r="Q3449" i="20"/>
  <c r="Q3450" i="20"/>
  <c r="Q3451" i="20"/>
  <c r="Q3452" i="20"/>
  <c r="Q3453" i="20"/>
  <c r="Q3454" i="20"/>
  <c r="Q3455" i="20"/>
  <c r="Q3456" i="20"/>
  <c r="Q3457" i="20"/>
  <c r="Q3458" i="20"/>
  <c r="Q3459" i="20"/>
  <c r="Q3460" i="20"/>
  <c r="Q3461" i="20"/>
  <c r="Q3462" i="20"/>
  <c r="Q3463" i="20"/>
  <c r="Q3464" i="20"/>
  <c r="Q3465" i="20"/>
  <c r="Q3466" i="20"/>
  <c r="Q3467" i="20"/>
  <c r="Q3468" i="20"/>
  <c r="Q3469" i="20"/>
  <c r="Q3470" i="20"/>
  <c r="Q3471" i="20"/>
  <c r="Q3472" i="20"/>
  <c r="Q3473" i="20"/>
  <c r="Q3474" i="20"/>
  <c r="Q3475" i="20"/>
  <c r="Q3476" i="20"/>
  <c r="Q3477" i="20"/>
  <c r="Q3478" i="20"/>
  <c r="Q3479" i="20"/>
  <c r="Q3480" i="20"/>
  <c r="Q3481" i="20"/>
  <c r="Q3482" i="20"/>
  <c r="Q3483" i="20"/>
  <c r="Q3484" i="20"/>
  <c r="Q3485" i="20"/>
  <c r="Q3486" i="20"/>
  <c r="Q3487" i="20"/>
  <c r="Q3488" i="20"/>
  <c r="Q3489" i="20"/>
  <c r="Q3490" i="20"/>
  <c r="Q3491" i="20"/>
  <c r="Q3492" i="20"/>
  <c r="Q3493" i="20"/>
  <c r="Q3494" i="20"/>
  <c r="Q3495" i="20"/>
  <c r="Q3496" i="20"/>
  <c r="Q3497" i="20"/>
  <c r="Q3498" i="20"/>
  <c r="Q3499" i="20"/>
  <c r="Q3500" i="20"/>
  <c r="Q3501" i="20"/>
  <c r="Q3502" i="20"/>
  <c r="Q3503" i="20"/>
  <c r="Q3504" i="20"/>
  <c r="Q3505" i="20"/>
  <c r="Q3506" i="20"/>
  <c r="Q3507" i="20"/>
  <c r="Q3508" i="20"/>
  <c r="Q3509" i="20"/>
  <c r="Q3510" i="20"/>
  <c r="Q3511" i="20"/>
  <c r="Q3512" i="20"/>
  <c r="Q3513" i="20"/>
  <c r="Q3514" i="20"/>
  <c r="Q3515" i="20"/>
  <c r="Q3516" i="20"/>
  <c r="Q3517" i="20"/>
  <c r="Q3518" i="20"/>
  <c r="Q3519" i="20"/>
  <c r="Q3520" i="20"/>
  <c r="Q3521" i="20"/>
  <c r="Q3522" i="20"/>
  <c r="Q3523" i="20"/>
  <c r="Q3524" i="20"/>
  <c r="Q3525" i="20"/>
  <c r="Q3526" i="20"/>
  <c r="Q3527" i="20"/>
  <c r="Q3528" i="20"/>
  <c r="Q3529" i="20"/>
  <c r="Q3530" i="20"/>
  <c r="Q3531" i="20"/>
  <c r="Q3532" i="20"/>
  <c r="Q3533" i="20"/>
  <c r="Q3534" i="20"/>
  <c r="Q3535" i="20"/>
  <c r="Q3536" i="20"/>
  <c r="Q3537" i="20"/>
  <c r="Q3538" i="20"/>
  <c r="Q3539" i="20"/>
  <c r="Q3540" i="20"/>
  <c r="Q3541" i="20"/>
  <c r="Q3542" i="20"/>
  <c r="Q3543" i="20"/>
  <c r="Q3544" i="20"/>
  <c r="Q3545" i="20"/>
  <c r="Q3546" i="20"/>
  <c r="Q3547" i="20"/>
  <c r="Q3548" i="20"/>
  <c r="Q3549" i="20"/>
  <c r="Q3550" i="20"/>
  <c r="Q3551" i="20"/>
  <c r="Q3552" i="20"/>
  <c r="Q3553" i="20"/>
  <c r="Q3554" i="20"/>
  <c r="Q3555" i="20"/>
  <c r="Q3556" i="20"/>
  <c r="Q3557" i="20"/>
  <c r="Q3558" i="20"/>
  <c r="Q3559" i="20"/>
  <c r="Q3560" i="20"/>
  <c r="Q3561" i="20"/>
  <c r="Q3562" i="20"/>
  <c r="Q3563" i="20"/>
  <c r="Q3564" i="20"/>
  <c r="Q3565" i="20"/>
  <c r="Q3566" i="20"/>
  <c r="Q3567" i="20"/>
  <c r="Q3568" i="20"/>
  <c r="Q3569" i="20"/>
  <c r="Q3570" i="20"/>
  <c r="Q3571" i="20"/>
  <c r="Q3572" i="20"/>
  <c r="Q3573" i="20"/>
  <c r="Q3574" i="20"/>
  <c r="Q3575" i="20"/>
  <c r="Q3576" i="20"/>
  <c r="Q3577" i="20"/>
  <c r="Q3578" i="20"/>
  <c r="Q3579" i="20"/>
  <c r="Q3580" i="20"/>
  <c r="Q3581" i="20"/>
  <c r="Q3582" i="20"/>
  <c r="Q3583" i="20"/>
  <c r="Q3584" i="20"/>
  <c r="Q3585" i="20"/>
  <c r="Q3586" i="20"/>
  <c r="Q3587" i="20"/>
  <c r="Q3588" i="20"/>
  <c r="Q3589" i="20"/>
  <c r="Q3590" i="20"/>
  <c r="Q3591" i="20"/>
  <c r="Q3592" i="20"/>
  <c r="Q3593" i="20"/>
  <c r="Q3594" i="20"/>
  <c r="Q3595" i="20"/>
  <c r="Q3596" i="20"/>
  <c r="Q3597" i="20"/>
  <c r="Q3598" i="20"/>
  <c r="Q3599" i="20"/>
  <c r="Q3600" i="20"/>
  <c r="Q3601" i="20"/>
  <c r="Q3602" i="20"/>
  <c r="Q3603" i="20"/>
  <c r="Q3604" i="20"/>
  <c r="Q3605" i="20"/>
  <c r="Q3606" i="20"/>
  <c r="Q3607" i="20"/>
  <c r="Q3608" i="20"/>
  <c r="Q3609" i="20"/>
  <c r="Q3610" i="20"/>
  <c r="Q3611" i="20"/>
  <c r="Q3612" i="20"/>
  <c r="Q3613" i="20"/>
  <c r="Q3614" i="20"/>
  <c r="Q3615" i="20"/>
  <c r="Q3616" i="20"/>
  <c r="Q3617" i="20"/>
  <c r="Q3618" i="20"/>
  <c r="Q3619" i="20"/>
  <c r="Q3620" i="20"/>
  <c r="Q3621" i="20"/>
  <c r="Q3622" i="20"/>
  <c r="Q3623" i="20"/>
  <c r="Q3624" i="20"/>
  <c r="Q3625" i="20"/>
  <c r="Q3626" i="20"/>
  <c r="Q3627" i="20"/>
  <c r="Q3628" i="20"/>
  <c r="Q3629" i="20"/>
  <c r="Q3630" i="20"/>
  <c r="Q3631" i="20"/>
  <c r="Q3632" i="20"/>
  <c r="Q3633" i="20"/>
  <c r="Q3634" i="20"/>
  <c r="Q3635" i="20"/>
  <c r="Q3636" i="20"/>
  <c r="Q3637" i="20"/>
  <c r="Q3638" i="20"/>
  <c r="Q3639" i="20"/>
  <c r="Q3640" i="20"/>
  <c r="Q3641" i="20"/>
  <c r="Q3642" i="20"/>
  <c r="Q3643" i="20"/>
  <c r="Q3644" i="20"/>
  <c r="Q3645" i="20"/>
  <c r="Q3646" i="20"/>
  <c r="Q3647" i="20"/>
  <c r="Q3648" i="20"/>
  <c r="Q3649" i="20"/>
  <c r="Q3650" i="20"/>
  <c r="Q3651" i="20"/>
  <c r="Q3652" i="20"/>
  <c r="Q3653" i="20"/>
  <c r="Q3654" i="20"/>
  <c r="Q3655" i="20"/>
  <c r="Q3656" i="20"/>
  <c r="Q3657" i="20"/>
  <c r="Q3658" i="20"/>
  <c r="Q3659" i="20"/>
  <c r="Q3660" i="20"/>
  <c r="Q3661" i="20"/>
  <c r="Q3662" i="20"/>
  <c r="Q3663" i="20"/>
  <c r="Q3664" i="20"/>
  <c r="Q3665" i="20"/>
  <c r="Q3666" i="20"/>
  <c r="Q3667" i="20"/>
  <c r="Q3668" i="20"/>
  <c r="Q3669" i="20"/>
  <c r="Q3670" i="20"/>
  <c r="Q3671" i="20"/>
  <c r="Q3672" i="20"/>
  <c r="Q3673" i="20"/>
  <c r="Q3674" i="20"/>
  <c r="Q3675" i="20"/>
  <c r="Q3676" i="20"/>
  <c r="Q3677" i="20"/>
  <c r="Q3678" i="20"/>
  <c r="Q3679" i="20"/>
  <c r="Q3680" i="20"/>
  <c r="Q3681" i="20"/>
  <c r="Q3682" i="20"/>
  <c r="Q3683" i="20"/>
  <c r="Q3684" i="20"/>
  <c r="Q3685" i="20"/>
  <c r="Q3686" i="20"/>
  <c r="Q3687" i="20"/>
  <c r="Q3688" i="20"/>
  <c r="Q3689" i="20"/>
  <c r="Q3690" i="20"/>
  <c r="Q3691" i="20"/>
  <c r="Q3692" i="20"/>
  <c r="Q3693" i="20"/>
  <c r="Q3694" i="20"/>
  <c r="Q3695" i="20"/>
  <c r="Q3696" i="20"/>
  <c r="Q3697" i="20"/>
  <c r="Q3698" i="20"/>
  <c r="Q3699" i="20"/>
  <c r="Q3700" i="20"/>
  <c r="Q3701" i="20"/>
  <c r="Q3702" i="20"/>
  <c r="Q3703" i="20"/>
  <c r="Q3704" i="20"/>
  <c r="Q3705" i="20"/>
  <c r="Q3706" i="20"/>
  <c r="Q3707" i="20"/>
  <c r="Q3708" i="20"/>
  <c r="Q3709" i="20"/>
  <c r="Q3710" i="20"/>
  <c r="Q3711" i="20"/>
  <c r="Q3712" i="20"/>
  <c r="Q3713" i="20"/>
  <c r="Q3714" i="20"/>
  <c r="Q3715" i="20"/>
  <c r="Q3716" i="20"/>
  <c r="Q3717" i="20"/>
  <c r="Q3718" i="20"/>
  <c r="Q3719" i="20"/>
  <c r="Q3720" i="20"/>
  <c r="Q3721" i="20"/>
  <c r="Q3722" i="20"/>
  <c r="Q3723" i="20"/>
  <c r="Q3724" i="20"/>
  <c r="Q3725" i="20"/>
  <c r="Q3726" i="20"/>
  <c r="Q3727" i="20"/>
  <c r="Q3728" i="20"/>
  <c r="Q3729" i="20"/>
  <c r="Q3730" i="20"/>
  <c r="Q3731" i="20"/>
  <c r="Q3732" i="20"/>
  <c r="Q3733" i="20"/>
  <c r="Q3734" i="20"/>
  <c r="Q3735" i="20"/>
  <c r="Q3736" i="20"/>
  <c r="Q3737" i="20"/>
  <c r="Q3738" i="20"/>
  <c r="Q3739" i="20"/>
  <c r="Q3740" i="20"/>
  <c r="Q3741" i="20"/>
  <c r="Q3742" i="20"/>
  <c r="Q3743" i="20"/>
  <c r="Q3744" i="20"/>
  <c r="Q3745" i="20"/>
  <c r="Q3746" i="20"/>
  <c r="Q3747" i="20"/>
  <c r="Q3748" i="20"/>
  <c r="Q3749" i="20"/>
  <c r="Q3750" i="20"/>
  <c r="Q3751" i="20"/>
  <c r="Q3752" i="20"/>
  <c r="Q3753" i="20"/>
  <c r="Q3754" i="20"/>
  <c r="Q3755" i="20"/>
  <c r="Q3756" i="20"/>
  <c r="Q3757" i="20"/>
  <c r="Q3758" i="20"/>
  <c r="Q3759" i="20"/>
  <c r="Q3760" i="20"/>
  <c r="Q3761" i="20"/>
  <c r="Q3762" i="20"/>
  <c r="Q3763" i="20"/>
  <c r="Q3764" i="20"/>
  <c r="Q3765" i="20"/>
  <c r="Q3766" i="20"/>
  <c r="Q3767" i="20"/>
  <c r="Q3768" i="20"/>
  <c r="Q3769" i="20"/>
  <c r="Q3770" i="20"/>
  <c r="Q3771" i="20"/>
  <c r="Q3772" i="20"/>
  <c r="Q3773" i="20"/>
  <c r="Q3774" i="20"/>
  <c r="Q3775" i="20"/>
  <c r="Q3776" i="20"/>
  <c r="Q3777" i="20"/>
  <c r="Q3778" i="20"/>
  <c r="Q3779" i="20"/>
  <c r="Q3780" i="20"/>
  <c r="Q3781" i="20"/>
  <c r="Q3782" i="20"/>
  <c r="Q3783" i="20"/>
  <c r="Q3784" i="20"/>
  <c r="Q3785" i="20"/>
  <c r="Q3786" i="20"/>
  <c r="Q3787" i="20"/>
  <c r="Q3788" i="20"/>
  <c r="Q3789" i="20"/>
  <c r="Q3790" i="20"/>
  <c r="Q3791" i="20"/>
  <c r="Q3792" i="20"/>
  <c r="Q3793" i="20"/>
  <c r="Q3794" i="20"/>
  <c r="Q3795" i="20"/>
  <c r="Q3796" i="20"/>
  <c r="Q3797" i="20"/>
  <c r="Q3798" i="20"/>
  <c r="Q3799" i="20"/>
  <c r="Q3800" i="20"/>
  <c r="Q3801" i="20"/>
  <c r="Q3802" i="20"/>
  <c r="Q3803" i="20"/>
  <c r="Q3804" i="20"/>
  <c r="Q3805" i="20"/>
  <c r="Q3806" i="20"/>
  <c r="Q3807" i="20"/>
  <c r="Q3808" i="20"/>
  <c r="Q3809" i="20"/>
  <c r="Q3810" i="20"/>
  <c r="Q3811" i="20"/>
  <c r="Q3812" i="20"/>
  <c r="Q3813" i="20"/>
  <c r="Q3814" i="20"/>
  <c r="Q3815" i="20"/>
  <c r="Q3816" i="20"/>
  <c r="Q3817" i="20"/>
  <c r="Q3818" i="20"/>
  <c r="Q3819" i="20"/>
  <c r="Q3820" i="20"/>
  <c r="Q3821" i="20"/>
  <c r="Q3822" i="20"/>
  <c r="Q3823" i="20"/>
  <c r="Q3824" i="20"/>
  <c r="Q3825" i="20"/>
  <c r="Q3826" i="20"/>
  <c r="Q3827" i="20"/>
  <c r="Q3828" i="20"/>
  <c r="Q3829" i="20"/>
  <c r="Q3830" i="20"/>
  <c r="Q3831" i="20"/>
  <c r="Q3832" i="20"/>
  <c r="Q3833" i="20"/>
  <c r="Q3834" i="20"/>
  <c r="Q3835" i="20"/>
  <c r="Q3836" i="20"/>
  <c r="Q3837" i="20"/>
  <c r="Q3838" i="20"/>
  <c r="Q3839" i="20"/>
  <c r="Q3840" i="20"/>
  <c r="Q3841" i="20"/>
  <c r="Q3842" i="20"/>
  <c r="Q3843" i="20"/>
  <c r="Q3844" i="20"/>
  <c r="Q3845" i="20"/>
  <c r="Q3846" i="20"/>
  <c r="Q3847" i="20"/>
  <c r="Q3848" i="20"/>
  <c r="Q3849" i="20"/>
  <c r="Q3850" i="20"/>
  <c r="Q3851" i="20"/>
  <c r="Q3852" i="20"/>
  <c r="Q3853" i="20"/>
  <c r="Q3854" i="20"/>
  <c r="Q3855" i="20"/>
  <c r="Q3856" i="20"/>
  <c r="Q3857" i="20"/>
  <c r="Q3858" i="20"/>
  <c r="Q3859" i="20"/>
  <c r="Q3860" i="20"/>
  <c r="Q3861" i="20"/>
  <c r="Q3862" i="20"/>
  <c r="Q3863" i="20"/>
  <c r="Q3864" i="20"/>
  <c r="Q3865" i="20"/>
  <c r="Q3866" i="20"/>
  <c r="Q3867" i="20"/>
  <c r="Q3868" i="20"/>
  <c r="Q3869" i="20"/>
  <c r="Q3870" i="20"/>
  <c r="Q3871" i="20"/>
  <c r="Q3872" i="20"/>
  <c r="Q3873" i="20"/>
  <c r="Q3874" i="20"/>
  <c r="Q3875" i="20"/>
  <c r="Q3876" i="20"/>
  <c r="Q3877" i="20"/>
  <c r="Q3878" i="20"/>
  <c r="Q3879" i="20"/>
  <c r="Q3880" i="20"/>
  <c r="Q3881" i="20"/>
  <c r="Q3882" i="20"/>
  <c r="Q3883" i="20"/>
  <c r="Q3884" i="20"/>
  <c r="Q3885" i="20"/>
  <c r="Q3886" i="20"/>
  <c r="Q3887" i="20"/>
  <c r="Q3888" i="20"/>
  <c r="Q3889" i="20"/>
  <c r="Q3890" i="20"/>
  <c r="Q3891" i="20"/>
  <c r="Q3892" i="20"/>
  <c r="Q3893" i="20"/>
  <c r="Q3894" i="20"/>
  <c r="Q3895" i="20"/>
  <c r="Q3896" i="20"/>
  <c r="Q3897" i="20"/>
  <c r="R2874" i="20"/>
  <c r="R2875" i="20"/>
  <c r="R2876" i="20"/>
  <c r="R2877" i="20"/>
  <c r="R2878" i="20"/>
  <c r="R2879" i="20"/>
  <c r="R2880" i="20"/>
  <c r="R2881" i="20"/>
  <c r="R2882" i="20"/>
  <c r="R2883" i="20"/>
  <c r="R2884" i="20"/>
  <c r="R2885" i="20"/>
  <c r="R2886" i="20"/>
  <c r="R2887" i="20"/>
  <c r="R2888" i="20"/>
  <c r="R2889" i="20"/>
  <c r="R2890" i="20"/>
  <c r="R2891" i="20"/>
  <c r="R2892" i="20"/>
  <c r="R2893" i="20"/>
  <c r="R2894" i="20"/>
  <c r="R2895" i="20"/>
  <c r="R2896" i="20"/>
  <c r="R2897" i="20"/>
  <c r="R2898" i="20"/>
  <c r="R2899" i="20"/>
  <c r="R2900" i="20"/>
  <c r="R2901" i="20"/>
  <c r="R2902" i="20"/>
  <c r="R2903" i="20"/>
  <c r="R2904" i="20"/>
  <c r="R2905" i="20"/>
  <c r="R2906" i="20"/>
  <c r="R2907" i="20"/>
  <c r="R2908" i="20"/>
  <c r="R2909" i="20"/>
  <c r="R2910" i="20"/>
  <c r="R2911" i="20"/>
  <c r="R2912" i="20"/>
  <c r="R2913" i="20"/>
  <c r="R2914" i="20"/>
  <c r="R2915" i="20"/>
  <c r="R2916" i="20"/>
  <c r="R2917" i="20"/>
  <c r="R2918" i="20"/>
  <c r="R2919" i="20"/>
  <c r="R2920" i="20"/>
  <c r="R2921" i="20"/>
  <c r="R2922" i="20"/>
  <c r="R2923" i="20"/>
  <c r="R2924" i="20"/>
  <c r="R2925" i="20"/>
  <c r="R2926" i="20"/>
  <c r="R2927" i="20"/>
  <c r="R2928" i="20"/>
  <c r="R2929" i="20"/>
  <c r="R2930" i="20"/>
  <c r="R2931" i="20"/>
  <c r="R2932" i="20"/>
  <c r="R2933" i="20"/>
  <c r="R2934" i="20"/>
  <c r="R2935" i="20"/>
  <c r="R2936" i="20"/>
  <c r="R2937" i="20"/>
  <c r="R2938" i="20"/>
  <c r="R2939" i="20"/>
  <c r="R2940" i="20"/>
  <c r="R2941" i="20"/>
  <c r="R2942" i="20"/>
  <c r="R2943" i="20"/>
  <c r="R2944" i="20"/>
  <c r="R2945" i="20"/>
  <c r="R2946" i="20"/>
  <c r="R2947" i="20"/>
  <c r="R2948" i="20"/>
  <c r="R2949" i="20"/>
  <c r="R2950" i="20"/>
  <c r="R2951" i="20"/>
  <c r="R2952" i="20"/>
  <c r="R2953" i="20"/>
  <c r="R2954" i="20"/>
  <c r="R2955" i="20"/>
  <c r="R2956" i="20"/>
  <c r="R2957" i="20"/>
  <c r="R2958" i="20"/>
  <c r="R2959" i="20"/>
  <c r="R2960" i="20"/>
  <c r="R2961" i="20"/>
  <c r="R2962" i="20"/>
  <c r="R2963" i="20"/>
  <c r="R2964" i="20"/>
  <c r="R2965" i="20"/>
  <c r="R2966" i="20"/>
  <c r="R2967" i="20"/>
  <c r="R2968" i="20"/>
  <c r="R2969" i="20"/>
  <c r="R2970" i="20"/>
  <c r="R2971" i="20"/>
  <c r="R2972" i="20"/>
  <c r="R2973" i="20"/>
  <c r="R2974" i="20"/>
  <c r="R2975" i="20"/>
  <c r="R2976" i="20"/>
  <c r="R2977" i="20"/>
  <c r="R2978" i="20"/>
  <c r="R2979" i="20"/>
  <c r="R2980" i="20"/>
  <c r="R2981" i="20"/>
  <c r="R2982" i="20"/>
  <c r="R2983" i="20"/>
  <c r="R2984" i="20"/>
  <c r="R2985" i="20"/>
  <c r="R2986" i="20"/>
  <c r="R2987" i="20"/>
  <c r="R2988" i="20"/>
  <c r="R2989" i="20"/>
  <c r="R2990" i="20"/>
  <c r="R2991" i="20"/>
  <c r="R2992" i="20"/>
  <c r="R2993" i="20"/>
  <c r="R2994" i="20"/>
  <c r="R2995" i="20"/>
  <c r="R2996" i="20"/>
  <c r="R2997" i="20"/>
  <c r="R2998" i="20"/>
  <c r="R2999" i="20"/>
  <c r="R3000" i="20"/>
  <c r="R3001" i="20"/>
  <c r="R3002" i="20"/>
  <c r="R3003" i="20"/>
  <c r="R3004" i="20"/>
  <c r="R3005" i="20"/>
  <c r="R3006" i="20"/>
  <c r="R3007" i="20"/>
  <c r="R3008" i="20"/>
  <c r="R3009" i="20"/>
  <c r="R3010" i="20"/>
  <c r="R3011" i="20"/>
  <c r="R3012" i="20"/>
  <c r="R3013" i="20"/>
  <c r="R3014" i="20"/>
  <c r="R3015" i="20"/>
  <c r="R3016" i="20"/>
  <c r="R3017" i="20"/>
  <c r="R3018" i="20"/>
  <c r="R3019" i="20"/>
  <c r="R3020" i="20"/>
  <c r="R3021" i="20"/>
  <c r="R3022" i="20"/>
  <c r="R3023" i="20"/>
  <c r="R3024" i="20"/>
  <c r="R3025" i="20"/>
  <c r="R3026" i="20"/>
  <c r="R3027" i="20"/>
  <c r="R3028" i="20"/>
  <c r="R3029" i="20"/>
  <c r="R3030" i="20"/>
  <c r="R3031" i="20"/>
  <c r="R3032" i="20"/>
  <c r="R3033" i="20"/>
  <c r="R3034" i="20"/>
  <c r="R3035" i="20"/>
  <c r="R3036" i="20"/>
  <c r="R3037" i="20"/>
  <c r="R3038" i="20"/>
  <c r="R3039" i="20"/>
  <c r="R3040" i="20"/>
  <c r="R3041" i="20"/>
  <c r="R3042" i="20"/>
  <c r="R3043" i="20"/>
  <c r="R3044" i="20"/>
  <c r="R3045" i="20"/>
  <c r="R3046" i="20"/>
  <c r="R3047" i="20"/>
  <c r="R3048" i="20"/>
  <c r="R3049" i="20"/>
  <c r="R3050" i="20"/>
  <c r="R3051" i="20"/>
  <c r="R3052" i="20"/>
  <c r="R3053" i="20"/>
  <c r="R3054" i="20"/>
  <c r="R3055" i="20"/>
  <c r="R3056" i="20"/>
  <c r="R3057" i="20"/>
  <c r="R3058" i="20"/>
  <c r="R3059" i="20"/>
  <c r="R3060" i="20"/>
  <c r="R3061" i="20"/>
  <c r="R3062" i="20"/>
  <c r="R3063" i="20"/>
  <c r="R3064" i="20"/>
  <c r="R3065" i="20"/>
  <c r="R3066" i="20"/>
  <c r="R3067" i="20"/>
  <c r="R3068" i="20"/>
  <c r="R3069" i="20"/>
  <c r="R3070" i="20"/>
  <c r="R3071" i="20"/>
  <c r="R3072" i="20"/>
  <c r="R3073" i="20"/>
  <c r="R3074" i="20"/>
  <c r="R3075" i="20"/>
  <c r="R3076" i="20"/>
  <c r="R3077" i="20"/>
  <c r="R3078" i="20"/>
  <c r="R3079" i="20"/>
  <c r="R3080" i="20"/>
  <c r="R3081" i="20"/>
  <c r="R3082" i="20"/>
  <c r="R3083" i="20"/>
  <c r="R3084" i="20"/>
  <c r="R3085" i="20"/>
  <c r="R3086" i="20"/>
  <c r="R3087" i="20"/>
  <c r="R3088" i="20"/>
  <c r="R3089" i="20"/>
  <c r="R3090" i="20"/>
  <c r="R3091" i="20"/>
  <c r="R3092" i="20"/>
  <c r="R3093" i="20"/>
  <c r="R3094" i="20"/>
  <c r="R3095" i="20"/>
  <c r="R3096" i="20"/>
  <c r="R3097" i="20"/>
  <c r="R3098" i="20"/>
  <c r="R3099" i="20"/>
  <c r="R3100" i="20"/>
  <c r="R3101" i="20"/>
  <c r="R3102" i="20"/>
  <c r="R3103" i="20"/>
  <c r="R3104" i="20"/>
  <c r="R3105" i="20"/>
  <c r="R3106" i="20"/>
  <c r="R3107" i="20"/>
  <c r="R3108" i="20"/>
  <c r="R3109" i="20"/>
  <c r="R3110" i="20"/>
  <c r="R3111" i="20"/>
  <c r="R3112" i="20"/>
  <c r="R3113" i="20"/>
  <c r="R3114" i="20"/>
  <c r="R3115" i="20"/>
  <c r="R3116" i="20"/>
  <c r="R3117" i="20"/>
  <c r="R3118" i="20"/>
  <c r="R3119" i="20"/>
  <c r="R3120" i="20"/>
  <c r="R3121" i="20"/>
  <c r="R3122" i="20"/>
  <c r="R3123" i="20"/>
  <c r="R3124" i="20"/>
  <c r="R3125" i="20"/>
  <c r="R3126" i="20"/>
  <c r="R3127" i="20"/>
  <c r="R3128" i="20"/>
  <c r="R3129" i="20"/>
  <c r="R3130" i="20"/>
  <c r="R3131" i="20"/>
  <c r="R3132" i="20"/>
  <c r="R3133" i="20"/>
  <c r="R3134" i="20"/>
  <c r="R3135" i="20"/>
  <c r="R3136" i="20"/>
  <c r="R3137" i="20"/>
  <c r="R3138" i="20"/>
  <c r="R3139" i="20"/>
  <c r="R3140" i="20"/>
  <c r="R3141" i="20"/>
  <c r="R3142" i="20"/>
  <c r="R3143" i="20"/>
  <c r="R3144" i="20"/>
  <c r="R3145" i="20"/>
  <c r="R3146" i="20"/>
  <c r="R3147" i="20"/>
  <c r="R3148" i="20"/>
  <c r="R3149" i="20"/>
  <c r="R3150" i="20"/>
  <c r="R3151" i="20"/>
  <c r="R3152" i="20"/>
  <c r="R3153" i="20"/>
  <c r="R3154" i="20"/>
  <c r="R3155" i="20"/>
  <c r="R3156" i="20"/>
  <c r="R3157" i="20"/>
  <c r="R3158" i="20"/>
  <c r="R3159" i="20"/>
  <c r="R3160" i="20"/>
  <c r="R3161" i="20"/>
  <c r="R3162" i="20"/>
  <c r="R3163" i="20"/>
  <c r="R3164" i="20"/>
  <c r="R3165" i="20"/>
  <c r="R3166" i="20"/>
  <c r="R3167" i="20"/>
  <c r="R3168" i="20"/>
  <c r="R3169" i="20"/>
  <c r="R3170" i="20"/>
  <c r="R3171" i="20"/>
  <c r="R3172" i="20"/>
  <c r="R3173" i="20"/>
  <c r="R3174" i="20"/>
  <c r="R3175" i="20"/>
  <c r="R3176" i="20"/>
  <c r="R3177" i="20"/>
  <c r="R3178" i="20"/>
  <c r="R3179" i="20"/>
  <c r="R3180" i="20"/>
  <c r="R3181" i="20"/>
  <c r="R3182" i="20"/>
  <c r="R3183" i="20"/>
  <c r="R3184" i="20"/>
  <c r="R3185" i="20"/>
  <c r="R3186" i="20"/>
  <c r="R3187" i="20"/>
  <c r="R3188" i="20"/>
  <c r="R3189" i="20"/>
  <c r="R3190" i="20"/>
  <c r="R3191" i="20"/>
  <c r="R3192" i="20"/>
  <c r="R3193" i="20"/>
  <c r="R3194" i="20"/>
  <c r="R3195" i="20"/>
  <c r="R3196" i="20"/>
  <c r="R3197" i="20"/>
  <c r="R3198" i="20"/>
  <c r="R3199" i="20"/>
  <c r="R3200" i="20"/>
  <c r="R3201" i="20"/>
  <c r="R3202" i="20"/>
  <c r="R3203" i="20"/>
  <c r="R3204" i="20"/>
  <c r="R3205" i="20"/>
  <c r="R3206" i="20"/>
  <c r="R3207" i="20"/>
  <c r="R3208" i="20"/>
  <c r="R3209" i="20"/>
  <c r="R3210" i="20"/>
  <c r="R3211" i="20"/>
  <c r="R3212" i="20"/>
  <c r="R3213" i="20"/>
  <c r="R3214" i="20"/>
  <c r="R3215" i="20"/>
  <c r="R3216" i="20"/>
  <c r="R3217" i="20"/>
  <c r="R3218" i="20"/>
  <c r="R3219" i="20"/>
  <c r="R3220" i="20"/>
  <c r="R3221" i="20"/>
  <c r="R3222" i="20"/>
  <c r="R3223" i="20"/>
  <c r="R3224" i="20"/>
  <c r="R3225" i="20"/>
  <c r="R3226" i="20"/>
  <c r="R3227" i="20"/>
  <c r="R3228" i="20"/>
  <c r="R3229" i="20"/>
  <c r="R3230" i="20"/>
  <c r="R3231" i="20"/>
  <c r="R3232" i="20"/>
  <c r="R3233" i="20"/>
  <c r="R3234" i="20"/>
  <c r="R3235" i="20"/>
  <c r="R3236" i="20"/>
  <c r="R3237" i="20"/>
  <c r="R3238" i="20"/>
  <c r="R3239" i="20"/>
  <c r="R3240" i="20"/>
  <c r="R3241" i="20"/>
  <c r="R3242" i="20"/>
  <c r="R3243" i="20"/>
  <c r="R3244" i="20"/>
  <c r="R3245" i="20"/>
  <c r="R3246" i="20"/>
  <c r="R3247" i="20"/>
  <c r="R3248" i="20"/>
  <c r="R3249" i="20"/>
  <c r="R3250" i="20"/>
  <c r="R3251" i="20"/>
  <c r="R3252" i="20"/>
  <c r="R3253" i="20"/>
  <c r="R3254" i="20"/>
  <c r="R3255" i="20"/>
  <c r="R3256" i="20"/>
  <c r="R3257" i="20"/>
  <c r="R3258" i="20"/>
  <c r="R3259" i="20"/>
  <c r="R3260" i="20"/>
  <c r="R3261" i="20"/>
  <c r="R3262" i="20"/>
  <c r="R3263" i="20"/>
  <c r="R3264" i="20"/>
  <c r="R3265" i="20"/>
  <c r="R3266" i="20"/>
  <c r="R3267" i="20"/>
  <c r="R3268" i="20"/>
  <c r="R3269" i="20"/>
  <c r="R3270" i="20"/>
  <c r="R3271" i="20"/>
  <c r="R3272" i="20"/>
  <c r="R3273" i="20"/>
  <c r="R3274" i="20"/>
  <c r="R3275" i="20"/>
  <c r="R3276" i="20"/>
  <c r="R3277" i="20"/>
  <c r="R3278" i="20"/>
  <c r="R3279" i="20"/>
  <c r="R3280" i="20"/>
  <c r="R3281" i="20"/>
  <c r="R3282" i="20"/>
  <c r="R3283" i="20"/>
  <c r="R3284" i="20"/>
  <c r="R3285" i="20"/>
  <c r="R3286" i="20"/>
  <c r="R3287" i="20"/>
  <c r="R3288" i="20"/>
  <c r="R3289" i="20"/>
  <c r="R3290" i="20"/>
  <c r="R3291" i="20"/>
  <c r="R3292" i="20"/>
  <c r="R3293" i="20"/>
  <c r="R3294" i="20"/>
  <c r="R3295" i="20"/>
  <c r="R3296" i="20"/>
  <c r="R3297" i="20"/>
  <c r="R3298" i="20"/>
  <c r="R3299" i="20"/>
  <c r="R3300" i="20"/>
  <c r="R3301" i="20"/>
  <c r="R3302" i="20"/>
  <c r="R3303" i="20"/>
  <c r="R3304" i="20"/>
  <c r="R3305" i="20"/>
  <c r="R3306" i="20"/>
  <c r="R3307" i="20"/>
  <c r="R3308" i="20"/>
  <c r="R3309" i="20"/>
  <c r="R3310" i="20"/>
  <c r="R3311" i="20"/>
  <c r="R3312" i="20"/>
  <c r="R3313" i="20"/>
  <c r="R3314" i="20"/>
  <c r="R3315" i="20"/>
  <c r="R3316" i="20"/>
  <c r="R3317" i="20"/>
  <c r="R3318" i="20"/>
  <c r="R3319" i="20"/>
  <c r="R3320" i="20"/>
  <c r="R3321" i="20"/>
  <c r="R3322" i="20"/>
  <c r="R3323" i="20"/>
  <c r="R3324" i="20"/>
  <c r="R3325" i="20"/>
  <c r="R3326" i="20"/>
  <c r="R3327" i="20"/>
  <c r="R3328" i="20"/>
  <c r="R3329" i="20"/>
  <c r="R3330" i="20"/>
  <c r="R3331" i="20"/>
  <c r="R3332" i="20"/>
  <c r="R3333" i="20"/>
  <c r="R3334" i="20"/>
  <c r="R3335" i="20"/>
  <c r="R3336" i="20"/>
  <c r="R3337" i="20"/>
  <c r="R3338" i="20"/>
  <c r="R3339" i="20"/>
  <c r="R3340" i="20"/>
  <c r="R3341" i="20"/>
  <c r="R3342" i="20"/>
  <c r="R3343" i="20"/>
  <c r="R3344" i="20"/>
  <c r="R3345" i="20"/>
  <c r="R3346" i="20"/>
  <c r="R3347" i="20"/>
  <c r="R3348" i="20"/>
  <c r="R3349" i="20"/>
  <c r="R3350" i="20"/>
  <c r="R3351" i="20"/>
  <c r="R3352" i="20"/>
  <c r="R3353" i="20"/>
  <c r="R3354" i="20"/>
  <c r="R3355" i="20"/>
  <c r="R3356" i="20"/>
  <c r="R3357" i="20"/>
  <c r="R3358" i="20"/>
  <c r="R3359" i="20"/>
  <c r="R3360" i="20"/>
  <c r="R3361" i="20"/>
  <c r="R3362" i="20"/>
  <c r="R3363" i="20"/>
  <c r="R3364" i="20"/>
  <c r="R3365" i="20"/>
  <c r="R3366" i="20"/>
  <c r="R3367" i="20"/>
  <c r="R3368" i="20"/>
  <c r="R3369" i="20"/>
  <c r="R3370" i="20"/>
  <c r="R3371" i="20"/>
  <c r="R3372" i="20"/>
  <c r="R3373" i="20"/>
  <c r="R3374" i="20"/>
  <c r="R3375" i="20"/>
  <c r="R3376" i="20"/>
  <c r="R3377" i="20"/>
  <c r="R3378" i="20"/>
  <c r="R3379" i="20"/>
  <c r="R3380" i="20"/>
  <c r="R3381" i="20"/>
  <c r="R3382" i="20"/>
  <c r="R3383" i="20"/>
  <c r="R3384" i="20"/>
  <c r="R3385" i="20"/>
  <c r="R3386" i="20"/>
  <c r="R3387" i="20"/>
  <c r="R3388" i="20"/>
  <c r="R3389" i="20"/>
  <c r="R3390" i="20"/>
  <c r="R3391" i="20"/>
  <c r="R3392" i="20"/>
  <c r="R3393" i="20"/>
  <c r="R3394" i="20"/>
  <c r="R3395" i="20"/>
  <c r="R3396" i="20"/>
  <c r="R3397" i="20"/>
  <c r="R3398" i="20"/>
  <c r="R3399" i="20"/>
  <c r="R3400" i="20"/>
  <c r="R3401" i="20"/>
  <c r="R3402" i="20"/>
  <c r="R3403" i="20"/>
  <c r="R3404" i="20"/>
  <c r="R3405" i="20"/>
  <c r="R3406" i="20"/>
  <c r="R3407" i="20"/>
  <c r="R3408" i="20"/>
  <c r="R3409" i="20"/>
  <c r="R3410" i="20"/>
  <c r="R3411" i="20"/>
  <c r="R3412" i="20"/>
  <c r="R3413" i="20"/>
  <c r="R3414" i="20"/>
  <c r="R3415" i="20"/>
  <c r="R3416" i="20"/>
  <c r="R3417" i="20"/>
  <c r="R3418" i="20"/>
  <c r="R3419" i="20"/>
  <c r="R3420" i="20"/>
  <c r="R3421" i="20"/>
  <c r="R3422" i="20"/>
  <c r="R3423" i="20"/>
  <c r="R3424" i="20"/>
  <c r="R3425" i="20"/>
  <c r="R3426" i="20"/>
  <c r="R3427" i="20"/>
  <c r="R3428" i="20"/>
  <c r="R3429" i="20"/>
  <c r="R3430" i="20"/>
  <c r="R3431" i="20"/>
  <c r="R3432" i="20"/>
  <c r="R3433" i="20"/>
  <c r="R3434" i="20"/>
  <c r="R3435" i="20"/>
  <c r="R3436" i="20"/>
  <c r="R3437" i="20"/>
  <c r="R3438" i="20"/>
  <c r="R3439" i="20"/>
  <c r="R3440" i="20"/>
  <c r="R3441" i="20"/>
  <c r="R3442" i="20"/>
  <c r="R3443" i="20"/>
  <c r="R3444" i="20"/>
  <c r="R3445" i="20"/>
  <c r="R3446" i="20"/>
  <c r="R3447" i="20"/>
  <c r="R3448" i="20"/>
  <c r="R3449" i="20"/>
  <c r="R3450" i="20"/>
  <c r="R3451" i="20"/>
  <c r="R3452" i="20"/>
  <c r="R3453" i="20"/>
  <c r="R3454" i="20"/>
  <c r="R3455" i="20"/>
  <c r="R3456" i="20"/>
  <c r="R3457" i="20"/>
  <c r="R3458" i="20"/>
  <c r="R3459" i="20"/>
  <c r="R3460" i="20"/>
  <c r="R3461" i="20"/>
  <c r="R3462" i="20"/>
  <c r="R3463" i="20"/>
  <c r="R3464" i="20"/>
  <c r="R3465" i="20"/>
  <c r="R3466" i="20"/>
  <c r="R3467" i="20"/>
  <c r="R3468" i="20"/>
  <c r="R3469" i="20"/>
  <c r="R3470" i="20"/>
  <c r="R3471" i="20"/>
  <c r="R3472" i="20"/>
  <c r="R3473" i="20"/>
  <c r="R3474" i="20"/>
  <c r="R3475" i="20"/>
  <c r="R3476" i="20"/>
  <c r="R3477" i="20"/>
  <c r="R3478" i="20"/>
  <c r="R3479" i="20"/>
  <c r="R3480" i="20"/>
  <c r="R3481" i="20"/>
  <c r="R3482" i="20"/>
  <c r="R3483" i="20"/>
  <c r="R3484" i="20"/>
  <c r="R3485" i="20"/>
  <c r="R3486" i="20"/>
  <c r="R3487" i="20"/>
  <c r="R3488" i="20"/>
  <c r="R3489" i="20"/>
  <c r="R3490" i="20"/>
  <c r="R3491" i="20"/>
  <c r="R3492" i="20"/>
  <c r="R3493" i="20"/>
  <c r="R3494" i="20"/>
  <c r="R3495" i="20"/>
  <c r="R3496" i="20"/>
  <c r="R3497" i="20"/>
  <c r="R3498" i="20"/>
  <c r="R3499" i="20"/>
  <c r="R3500" i="20"/>
  <c r="R3501" i="20"/>
  <c r="R3502" i="20"/>
  <c r="R3503" i="20"/>
  <c r="R3504" i="20"/>
  <c r="R3505" i="20"/>
  <c r="R3506" i="20"/>
  <c r="R3507" i="20"/>
  <c r="R3508" i="20"/>
  <c r="R3509" i="20"/>
  <c r="R3510" i="20"/>
  <c r="R3511" i="20"/>
  <c r="R3512" i="20"/>
  <c r="R3513" i="20"/>
  <c r="R3514" i="20"/>
  <c r="R3515" i="20"/>
  <c r="R3516" i="20"/>
  <c r="R3517" i="20"/>
  <c r="R3518" i="20"/>
  <c r="R3519" i="20"/>
  <c r="R3520" i="20"/>
  <c r="R3521" i="20"/>
  <c r="R3522" i="20"/>
  <c r="R3523" i="20"/>
  <c r="R3524" i="20"/>
  <c r="R3525" i="20"/>
  <c r="R3526" i="20"/>
  <c r="R3527" i="20"/>
  <c r="R3528" i="20"/>
  <c r="R3529" i="20"/>
  <c r="R3530" i="20"/>
  <c r="R3531" i="20"/>
  <c r="R3532" i="20"/>
  <c r="R3533" i="20"/>
  <c r="R3534" i="20"/>
  <c r="R3535" i="20"/>
  <c r="R3536" i="20"/>
  <c r="R3537" i="20"/>
  <c r="R3538" i="20"/>
  <c r="R3539" i="20"/>
  <c r="R3540" i="20"/>
  <c r="R3541" i="20"/>
  <c r="R3542" i="20"/>
  <c r="R3543" i="20"/>
  <c r="R3544" i="20"/>
  <c r="R3545" i="20"/>
  <c r="R3546" i="20"/>
  <c r="R3547" i="20"/>
  <c r="R3548" i="20"/>
  <c r="R3549" i="20"/>
  <c r="R3550" i="20"/>
  <c r="R3551" i="20"/>
  <c r="R3552" i="20"/>
  <c r="R3553" i="20"/>
  <c r="R3554" i="20"/>
  <c r="R3555" i="20"/>
  <c r="R3556" i="20"/>
  <c r="R3557" i="20"/>
  <c r="R3558" i="20"/>
  <c r="R3559" i="20"/>
  <c r="R3560" i="20"/>
  <c r="R3561" i="20"/>
  <c r="R3562" i="20"/>
  <c r="R3563" i="20"/>
  <c r="R3564" i="20"/>
  <c r="R3565" i="20"/>
  <c r="R3566" i="20"/>
  <c r="R3567" i="20"/>
  <c r="R3568" i="20"/>
  <c r="R3569" i="20"/>
  <c r="R3570" i="20"/>
  <c r="R3571" i="20"/>
  <c r="R3572" i="20"/>
  <c r="R3573" i="20"/>
  <c r="R3574" i="20"/>
  <c r="R3575" i="20"/>
  <c r="R3576" i="20"/>
  <c r="R3577" i="20"/>
  <c r="R3578" i="20"/>
  <c r="R3579" i="20"/>
  <c r="R3580" i="20"/>
  <c r="R3581" i="20"/>
  <c r="R3582" i="20"/>
  <c r="R3583" i="20"/>
  <c r="R3584" i="20"/>
  <c r="R3585" i="20"/>
  <c r="R3586" i="20"/>
  <c r="R3587" i="20"/>
  <c r="R3588" i="20"/>
  <c r="R3589" i="20"/>
  <c r="R3590" i="20"/>
  <c r="R3591" i="20"/>
  <c r="R3592" i="20"/>
  <c r="R3593" i="20"/>
  <c r="R3594" i="20"/>
  <c r="R3595" i="20"/>
  <c r="R3596" i="20"/>
  <c r="R3597" i="20"/>
  <c r="R3598" i="20"/>
  <c r="R3599" i="20"/>
  <c r="R3600" i="20"/>
  <c r="R3601" i="20"/>
  <c r="R3602" i="20"/>
  <c r="R3603" i="20"/>
  <c r="R3604" i="20"/>
  <c r="R3605" i="20"/>
  <c r="R3606" i="20"/>
  <c r="R3607" i="20"/>
  <c r="R3608" i="20"/>
  <c r="R3609" i="20"/>
  <c r="R3610" i="20"/>
  <c r="R3611" i="20"/>
  <c r="R3612" i="20"/>
  <c r="R3613" i="20"/>
  <c r="R3614" i="20"/>
  <c r="R3615" i="20"/>
  <c r="R3616" i="20"/>
  <c r="R3617" i="20"/>
  <c r="R3618" i="20"/>
  <c r="R3619" i="20"/>
  <c r="R3620" i="20"/>
  <c r="R3621" i="20"/>
  <c r="R3622" i="20"/>
  <c r="R3623" i="20"/>
  <c r="R3624" i="20"/>
  <c r="R3625" i="20"/>
  <c r="R3626" i="20"/>
  <c r="R3627" i="20"/>
  <c r="R3628" i="20"/>
  <c r="R3629" i="20"/>
  <c r="R3630" i="20"/>
  <c r="R3631" i="20"/>
  <c r="R3632" i="20"/>
  <c r="R3633" i="20"/>
  <c r="R3634" i="20"/>
  <c r="R3635" i="20"/>
  <c r="R3636" i="20"/>
  <c r="R3637" i="20"/>
  <c r="R3638" i="20"/>
  <c r="R3639" i="20"/>
  <c r="R3640" i="20"/>
  <c r="R3641" i="20"/>
  <c r="R3642" i="20"/>
  <c r="R3643" i="20"/>
  <c r="R3644" i="20"/>
  <c r="R3645" i="20"/>
  <c r="R3646" i="20"/>
  <c r="R3647" i="20"/>
  <c r="R3648" i="20"/>
  <c r="R3649" i="20"/>
  <c r="R3650" i="20"/>
  <c r="R3651" i="20"/>
  <c r="R3652" i="20"/>
  <c r="R3653" i="20"/>
  <c r="R3654" i="20"/>
  <c r="R3655" i="20"/>
  <c r="R3656" i="20"/>
  <c r="R3657" i="20"/>
  <c r="R3658" i="20"/>
  <c r="R3659" i="20"/>
  <c r="R3660" i="20"/>
  <c r="R3661" i="20"/>
  <c r="R3662" i="20"/>
  <c r="R3663" i="20"/>
  <c r="R3664" i="20"/>
  <c r="R3665" i="20"/>
  <c r="R3666" i="20"/>
  <c r="R3667" i="20"/>
  <c r="R3668" i="20"/>
  <c r="R3669" i="20"/>
  <c r="R3670" i="20"/>
  <c r="R3671" i="20"/>
  <c r="R3672" i="20"/>
  <c r="R3673" i="20"/>
  <c r="R3674" i="20"/>
  <c r="R3675" i="20"/>
  <c r="R3676" i="20"/>
  <c r="R3677" i="20"/>
  <c r="R3678" i="20"/>
  <c r="R3679" i="20"/>
  <c r="R3680" i="20"/>
  <c r="R3681" i="20"/>
  <c r="R3682" i="20"/>
  <c r="R3683" i="20"/>
  <c r="R3684" i="20"/>
  <c r="R3685" i="20"/>
  <c r="R3686" i="20"/>
  <c r="R3687" i="20"/>
  <c r="R3688" i="20"/>
  <c r="R3689" i="20"/>
  <c r="R3690" i="20"/>
  <c r="R3691" i="20"/>
  <c r="R3692" i="20"/>
  <c r="R3693" i="20"/>
  <c r="R3694" i="20"/>
  <c r="R3695" i="20"/>
  <c r="R3696" i="20"/>
  <c r="R3697" i="20"/>
  <c r="R3698" i="20"/>
  <c r="R3699" i="20"/>
  <c r="R3700" i="20"/>
  <c r="R3701" i="20"/>
  <c r="R3702" i="20"/>
  <c r="R3703" i="20"/>
  <c r="R3704" i="20"/>
  <c r="R3705" i="20"/>
  <c r="R3706" i="20"/>
  <c r="R3707" i="20"/>
  <c r="R3708" i="20"/>
  <c r="R3709" i="20"/>
  <c r="R3710" i="20"/>
  <c r="R3711" i="20"/>
  <c r="R3712" i="20"/>
  <c r="R3713" i="20"/>
  <c r="R3714" i="20"/>
  <c r="R3715" i="20"/>
  <c r="R3716" i="20"/>
  <c r="R3717" i="20"/>
  <c r="R3718" i="20"/>
  <c r="R3719" i="20"/>
  <c r="R3720" i="20"/>
  <c r="R3721" i="20"/>
  <c r="R3722" i="20"/>
  <c r="R3723" i="20"/>
  <c r="R3724" i="20"/>
  <c r="R3725" i="20"/>
  <c r="R3726" i="20"/>
  <c r="R3727" i="20"/>
  <c r="R3728" i="20"/>
  <c r="R3729" i="20"/>
  <c r="R3730" i="20"/>
  <c r="R3731" i="20"/>
  <c r="R3732" i="20"/>
  <c r="R3733" i="20"/>
  <c r="R3734" i="20"/>
  <c r="R3735" i="20"/>
  <c r="R3736" i="20"/>
  <c r="R3737" i="20"/>
  <c r="R3738" i="20"/>
  <c r="R3739" i="20"/>
  <c r="R3740" i="20"/>
  <c r="R3741" i="20"/>
  <c r="R3742" i="20"/>
  <c r="R3743" i="20"/>
  <c r="R3744" i="20"/>
  <c r="R3745" i="20"/>
  <c r="R3746" i="20"/>
  <c r="R3747" i="20"/>
  <c r="R3748" i="20"/>
  <c r="R3749" i="20"/>
  <c r="R3750" i="20"/>
  <c r="R3751" i="20"/>
  <c r="R3752" i="20"/>
  <c r="R3753" i="20"/>
  <c r="R3754" i="20"/>
  <c r="R3755" i="20"/>
  <c r="R3756" i="20"/>
  <c r="R3757" i="20"/>
  <c r="R3758" i="20"/>
  <c r="R3759" i="20"/>
  <c r="R3760" i="20"/>
  <c r="R3761" i="20"/>
  <c r="R3762" i="20"/>
  <c r="R3763" i="20"/>
  <c r="R3764" i="20"/>
  <c r="R3765" i="20"/>
  <c r="R3766" i="20"/>
  <c r="R3767" i="20"/>
  <c r="R3768" i="20"/>
  <c r="R3769" i="20"/>
  <c r="R3770" i="20"/>
  <c r="R3771" i="20"/>
  <c r="R3772" i="20"/>
  <c r="R3773" i="20"/>
  <c r="R3774" i="20"/>
  <c r="R3775" i="20"/>
  <c r="R3776" i="20"/>
  <c r="R3777" i="20"/>
  <c r="R3778" i="20"/>
  <c r="R3779" i="20"/>
  <c r="R3780" i="20"/>
  <c r="R3781" i="20"/>
  <c r="R3782" i="20"/>
  <c r="R3783" i="20"/>
  <c r="R3784" i="20"/>
  <c r="R3785" i="20"/>
  <c r="R3786" i="20"/>
  <c r="R3787" i="20"/>
  <c r="R3788" i="20"/>
  <c r="R3789" i="20"/>
  <c r="R3790" i="20"/>
  <c r="R3791" i="20"/>
  <c r="R3792" i="20"/>
  <c r="R3793" i="20"/>
  <c r="R3794" i="20"/>
  <c r="R3795" i="20"/>
  <c r="R3796" i="20"/>
  <c r="R3797" i="20"/>
  <c r="R3798" i="20"/>
  <c r="R3799" i="20"/>
  <c r="R3800" i="20"/>
  <c r="R3801" i="20"/>
  <c r="R3802" i="20"/>
  <c r="R3803" i="20"/>
  <c r="R3804" i="20"/>
  <c r="R3805" i="20"/>
  <c r="R3806" i="20"/>
  <c r="R3807" i="20"/>
  <c r="R3808" i="20"/>
  <c r="R3809" i="20"/>
  <c r="R3810" i="20"/>
  <c r="R3811" i="20"/>
  <c r="R3812" i="20"/>
  <c r="R3813" i="20"/>
  <c r="R3814" i="20"/>
  <c r="R3815" i="20"/>
  <c r="R3816" i="20"/>
  <c r="R3817" i="20"/>
  <c r="R3818" i="20"/>
  <c r="R3819" i="20"/>
  <c r="R3820" i="20"/>
  <c r="R3821" i="20"/>
  <c r="R3822" i="20"/>
  <c r="R3823" i="20"/>
  <c r="R3824" i="20"/>
  <c r="R3825" i="20"/>
  <c r="R3826" i="20"/>
  <c r="R3827" i="20"/>
  <c r="R3828" i="20"/>
  <c r="R3829" i="20"/>
  <c r="R3830" i="20"/>
  <c r="R3831" i="20"/>
  <c r="R3832" i="20"/>
  <c r="R3833" i="20"/>
  <c r="R3834" i="20"/>
  <c r="R3835" i="20"/>
  <c r="R3836" i="20"/>
  <c r="R3837" i="20"/>
  <c r="R3838" i="20"/>
  <c r="R3839" i="20"/>
  <c r="R3840" i="20"/>
  <c r="R3841" i="20"/>
  <c r="R3842" i="20"/>
  <c r="R3843" i="20"/>
  <c r="R3844" i="20"/>
  <c r="R3845" i="20"/>
  <c r="R3846" i="20"/>
  <c r="R3847" i="20"/>
  <c r="R3848" i="20"/>
  <c r="R3849" i="20"/>
  <c r="R3850" i="20"/>
  <c r="R3851" i="20"/>
  <c r="R3852" i="20"/>
  <c r="R3853" i="20"/>
  <c r="R3854" i="20"/>
  <c r="R3855" i="20"/>
  <c r="R3856" i="20"/>
  <c r="R3857" i="20"/>
  <c r="R3858" i="20"/>
  <c r="R3859" i="20"/>
  <c r="R3860" i="20"/>
  <c r="R3861" i="20"/>
  <c r="R3862" i="20"/>
  <c r="R3863" i="20"/>
  <c r="R3864" i="20"/>
  <c r="R3865" i="20"/>
  <c r="R3866" i="20"/>
  <c r="R3867" i="20"/>
  <c r="R3868" i="20"/>
  <c r="R3869" i="20"/>
  <c r="R3870" i="20"/>
  <c r="R3871" i="20"/>
  <c r="R3872" i="20"/>
  <c r="R3873" i="20"/>
  <c r="R3874" i="20"/>
  <c r="R3875" i="20"/>
  <c r="R3876" i="20"/>
  <c r="R3877" i="20"/>
  <c r="R3878" i="20"/>
  <c r="R3879" i="20"/>
  <c r="R3880" i="20"/>
  <c r="R3881" i="20"/>
  <c r="R3882" i="20"/>
  <c r="R3883" i="20"/>
  <c r="R3884" i="20"/>
  <c r="R3885" i="20"/>
  <c r="R3886" i="20"/>
  <c r="R3887" i="20"/>
  <c r="R3888" i="20"/>
  <c r="R3889" i="20"/>
  <c r="R3890" i="20"/>
  <c r="R3891" i="20"/>
  <c r="R3892" i="20"/>
  <c r="R3893" i="20"/>
  <c r="R3894" i="20"/>
  <c r="R3895" i="20"/>
  <c r="R3896" i="20"/>
  <c r="R3897" i="20"/>
  <c r="AD83" i="21"/>
  <c r="AB83" i="21"/>
  <c r="Z83" i="21"/>
  <c r="V83" i="21"/>
  <c r="T83" i="21"/>
  <c r="R83" i="21"/>
  <c r="N83" i="21"/>
  <c r="L83" i="21"/>
  <c r="J83" i="21"/>
  <c r="F83" i="21"/>
  <c r="D83" i="21"/>
  <c r="B83" i="21"/>
  <c r="H41" i="21" l="1"/>
  <c r="P41" i="21"/>
  <c r="X41" i="21"/>
  <c r="AF41" i="21"/>
  <c r="AH41" i="21"/>
  <c r="AH39" i="21"/>
  <c r="AF39" i="21"/>
  <c r="X39" i="21"/>
  <c r="P39" i="21"/>
  <c r="H39" i="21"/>
  <c r="P83" i="21"/>
  <c r="AF83" i="21"/>
  <c r="X83" i="21"/>
  <c r="H83" i="21"/>
  <c r="AH83" i="21"/>
  <c r="H1884" i="20" l="1"/>
  <c r="H1885" i="20"/>
  <c r="H1886" i="20"/>
  <c r="H1887" i="20"/>
  <c r="H1888" i="20"/>
  <c r="H1889" i="20"/>
  <c r="H1890" i="20"/>
  <c r="H1891" i="20"/>
  <c r="H1892" i="20"/>
  <c r="H1893" i="20"/>
  <c r="H1894" i="20"/>
  <c r="H1895" i="20"/>
  <c r="H1896" i="20"/>
  <c r="H1897" i="20"/>
  <c r="H1898" i="20"/>
  <c r="H1899" i="20"/>
  <c r="H1900" i="20"/>
  <c r="H1901" i="20"/>
  <c r="H1902" i="20"/>
  <c r="H1903" i="20"/>
  <c r="H1904" i="20"/>
  <c r="H1905" i="20"/>
  <c r="H1906" i="20"/>
  <c r="H1907" i="20"/>
  <c r="H1908" i="20"/>
  <c r="H1909" i="20"/>
  <c r="H1910" i="20"/>
  <c r="H1911" i="20"/>
  <c r="H1912" i="20"/>
  <c r="H1913" i="20"/>
  <c r="H1914" i="20"/>
  <c r="H1915" i="20"/>
  <c r="H1916" i="20"/>
  <c r="H1917" i="20"/>
  <c r="H1918" i="20"/>
  <c r="H1919" i="20"/>
  <c r="H1920" i="20"/>
  <c r="H1921" i="20"/>
  <c r="H1922" i="20"/>
  <c r="H1923" i="20"/>
  <c r="H1924" i="20"/>
  <c r="H1925" i="20"/>
  <c r="H1926" i="20"/>
  <c r="H1927" i="20"/>
  <c r="H1928" i="20"/>
  <c r="H1929" i="20"/>
  <c r="H1930" i="20"/>
  <c r="H1931" i="20"/>
  <c r="H1932" i="20"/>
  <c r="H1933" i="20"/>
  <c r="H1934" i="20"/>
  <c r="H1935" i="20"/>
  <c r="H1936" i="20"/>
  <c r="H1937" i="20"/>
  <c r="H1938" i="20"/>
  <c r="H1939" i="20"/>
  <c r="H1940" i="20"/>
  <c r="H1941" i="20"/>
  <c r="H1942" i="20"/>
  <c r="H1943" i="20"/>
  <c r="H1944" i="20"/>
  <c r="H1945" i="20"/>
  <c r="H1946" i="20"/>
  <c r="H1947" i="20"/>
  <c r="H1948" i="20"/>
  <c r="H1949" i="20"/>
  <c r="H1950" i="20"/>
  <c r="H1951" i="20"/>
  <c r="H1952" i="20"/>
  <c r="H1953" i="20"/>
  <c r="H1954" i="20"/>
  <c r="H1955" i="20"/>
  <c r="H1956" i="20"/>
  <c r="H1957" i="20"/>
  <c r="H1958" i="20"/>
  <c r="H1959" i="20"/>
  <c r="H1960" i="20"/>
  <c r="H1961" i="20"/>
  <c r="H1962" i="20"/>
  <c r="H1963" i="20"/>
  <c r="H1964" i="20"/>
  <c r="H1965" i="20"/>
  <c r="H1966" i="20"/>
  <c r="H1967" i="20"/>
  <c r="H1968" i="20"/>
  <c r="H1969" i="20"/>
  <c r="H1970" i="20"/>
  <c r="H1971" i="20"/>
  <c r="H1972" i="20"/>
  <c r="H1973" i="20"/>
  <c r="H1974" i="20"/>
  <c r="H1975" i="20"/>
  <c r="H1976" i="20"/>
  <c r="H1977" i="20"/>
  <c r="H1978" i="20"/>
  <c r="H1979" i="20"/>
  <c r="H1980" i="20"/>
  <c r="H1981" i="20"/>
  <c r="H1982" i="20"/>
  <c r="H1983" i="20"/>
  <c r="H1984" i="20"/>
  <c r="H1985" i="20"/>
  <c r="H1986" i="20"/>
  <c r="H1987" i="20"/>
  <c r="H1988" i="20"/>
  <c r="H1989" i="20"/>
  <c r="H1990" i="20"/>
  <c r="H1991" i="20"/>
  <c r="H1992" i="20"/>
  <c r="H1993" i="20"/>
  <c r="H1994" i="20"/>
  <c r="H1995" i="20"/>
  <c r="H1996" i="20"/>
  <c r="H1997" i="20"/>
  <c r="H1998" i="20"/>
  <c r="H1999" i="20"/>
  <c r="H2000" i="20"/>
  <c r="H2001" i="20"/>
  <c r="H2002" i="20"/>
  <c r="H2003" i="20"/>
  <c r="H2004" i="20"/>
  <c r="H2005" i="20"/>
  <c r="H2006" i="20"/>
  <c r="H2007" i="20"/>
  <c r="H2008" i="20"/>
  <c r="H2009" i="20"/>
  <c r="H2010" i="20"/>
  <c r="H2011" i="20"/>
  <c r="H2012" i="20"/>
  <c r="H2013" i="20"/>
  <c r="H2014" i="20"/>
  <c r="H2015" i="20"/>
  <c r="H2016" i="20"/>
  <c r="H2017" i="20"/>
  <c r="H2018" i="20"/>
  <c r="H2019" i="20"/>
  <c r="H2020" i="20"/>
  <c r="H2021" i="20"/>
  <c r="H2022" i="20"/>
  <c r="H2023" i="20"/>
  <c r="H2024" i="20"/>
  <c r="H2025" i="20"/>
  <c r="H2026" i="20"/>
  <c r="H2027" i="20"/>
  <c r="H2028" i="20"/>
  <c r="H2029" i="20"/>
  <c r="H2030" i="20"/>
  <c r="H2031" i="20"/>
  <c r="H2032" i="20"/>
  <c r="H2033" i="20"/>
  <c r="H2034" i="20"/>
  <c r="H2035" i="20"/>
  <c r="H2036" i="20"/>
  <c r="H2037" i="20"/>
  <c r="H2038" i="20"/>
  <c r="H2039" i="20"/>
  <c r="H2040" i="20"/>
  <c r="H2041" i="20"/>
  <c r="H2042" i="20"/>
  <c r="H2043" i="20"/>
  <c r="H2044" i="20"/>
  <c r="H2045" i="20"/>
  <c r="H2046" i="20"/>
  <c r="H2047" i="20"/>
  <c r="H2048" i="20"/>
  <c r="H2049" i="20"/>
  <c r="H2050" i="20"/>
  <c r="H2051" i="20"/>
  <c r="H2052" i="20"/>
  <c r="H2053" i="20"/>
  <c r="H2054" i="20"/>
  <c r="H2055" i="20"/>
  <c r="H2056" i="20"/>
  <c r="H2057" i="20"/>
  <c r="H2058" i="20"/>
  <c r="H2059" i="20"/>
  <c r="H2060" i="20"/>
  <c r="H2061" i="20"/>
  <c r="H2062" i="20"/>
  <c r="H2063" i="20"/>
  <c r="H2064" i="20"/>
  <c r="H2065" i="20"/>
  <c r="H2066" i="20"/>
  <c r="H2067" i="20"/>
  <c r="H2068" i="20"/>
  <c r="H2069" i="20"/>
  <c r="H2070" i="20"/>
  <c r="H2071" i="20"/>
  <c r="H2072" i="20"/>
  <c r="H2073" i="20"/>
  <c r="H2074" i="20"/>
  <c r="H2075" i="20"/>
  <c r="H2076" i="20"/>
  <c r="H2077" i="20"/>
  <c r="H2078" i="20"/>
  <c r="H2079" i="20"/>
  <c r="H2080" i="20"/>
  <c r="H2081" i="20"/>
  <c r="H2082" i="20"/>
  <c r="H2083" i="20"/>
  <c r="H2084" i="20"/>
  <c r="H2085" i="20"/>
  <c r="H2086" i="20"/>
  <c r="H2087" i="20"/>
  <c r="H2088" i="20"/>
  <c r="H2089" i="20"/>
  <c r="H2090" i="20"/>
  <c r="H2091" i="20"/>
  <c r="H2092" i="20"/>
  <c r="H2093" i="20"/>
  <c r="H2094" i="20"/>
  <c r="H2095" i="20"/>
  <c r="H2096" i="20"/>
  <c r="H2097" i="20"/>
  <c r="H2098" i="20"/>
  <c r="H2099" i="20"/>
  <c r="H2100" i="20"/>
  <c r="H2101" i="20"/>
  <c r="H2102" i="20"/>
  <c r="H2103" i="20"/>
  <c r="H2104" i="20"/>
  <c r="H2105" i="20"/>
  <c r="H2106" i="20"/>
  <c r="H2107" i="20"/>
  <c r="H2108" i="20"/>
  <c r="H2109" i="20"/>
  <c r="H2110" i="20"/>
  <c r="H2111" i="20"/>
  <c r="H2112" i="20"/>
  <c r="H2113" i="20"/>
  <c r="H2114" i="20"/>
  <c r="H2115" i="20"/>
  <c r="H2116" i="20"/>
  <c r="H2117" i="20"/>
  <c r="H2118" i="20"/>
  <c r="H2119" i="20"/>
  <c r="H2120" i="20"/>
  <c r="H2121" i="20"/>
  <c r="H2122" i="20"/>
  <c r="H2123" i="20"/>
  <c r="H2124" i="20"/>
  <c r="H2125" i="20"/>
  <c r="H2126" i="20"/>
  <c r="H2127" i="20"/>
  <c r="H2128" i="20"/>
  <c r="H2129" i="20"/>
  <c r="H2130" i="20"/>
  <c r="H2131" i="20"/>
  <c r="H2132" i="20"/>
  <c r="H2133" i="20"/>
  <c r="H2134" i="20"/>
  <c r="H2135" i="20"/>
  <c r="H2136" i="20"/>
  <c r="H2137" i="20"/>
  <c r="H2138" i="20"/>
  <c r="H2139" i="20"/>
  <c r="H2140" i="20"/>
  <c r="H2141" i="20"/>
  <c r="H2142" i="20"/>
  <c r="H2143" i="20"/>
  <c r="H2144" i="20"/>
  <c r="H2145" i="20"/>
  <c r="H2146" i="20"/>
  <c r="H2147" i="20"/>
  <c r="H2148" i="20"/>
  <c r="H2149" i="20"/>
  <c r="H2150" i="20"/>
  <c r="H2151" i="20"/>
  <c r="H2152" i="20"/>
  <c r="H2153" i="20"/>
  <c r="H2154" i="20"/>
  <c r="H2155" i="20"/>
  <c r="H2156" i="20"/>
  <c r="H2157" i="20"/>
  <c r="H2158" i="20"/>
  <c r="H2159" i="20"/>
  <c r="H2160" i="20"/>
  <c r="H2161" i="20"/>
  <c r="H2162" i="20"/>
  <c r="H2163" i="20"/>
  <c r="H2164" i="20"/>
  <c r="H2165" i="20"/>
  <c r="H2166" i="20"/>
  <c r="H2167" i="20"/>
  <c r="H2168" i="20"/>
  <c r="H2169" i="20"/>
  <c r="H2170" i="20"/>
  <c r="H2171" i="20"/>
  <c r="H2172" i="20"/>
  <c r="H2173" i="20"/>
  <c r="H2174" i="20"/>
  <c r="H2175" i="20"/>
  <c r="H2176" i="20"/>
  <c r="H2177" i="20"/>
  <c r="H2178" i="20"/>
  <c r="H2179" i="20"/>
  <c r="H2180" i="20"/>
  <c r="H2181" i="20"/>
  <c r="H2182" i="20"/>
  <c r="H2183" i="20"/>
  <c r="H2184" i="20"/>
  <c r="H2185" i="20"/>
  <c r="H2186" i="20"/>
  <c r="H2187" i="20"/>
  <c r="H2188" i="20"/>
  <c r="H2189" i="20"/>
  <c r="H2190" i="20"/>
  <c r="H2191" i="20"/>
  <c r="H2192" i="20"/>
  <c r="H2193" i="20"/>
  <c r="H2194" i="20"/>
  <c r="H2195" i="20"/>
  <c r="H2196" i="20"/>
  <c r="H2197" i="20"/>
  <c r="H2198" i="20"/>
  <c r="H2199" i="20"/>
  <c r="H2200" i="20"/>
  <c r="H2201" i="20"/>
  <c r="H2202" i="20"/>
  <c r="H2203" i="20"/>
  <c r="H2204" i="20"/>
  <c r="H2205" i="20"/>
  <c r="H2206" i="20"/>
  <c r="H2207" i="20"/>
  <c r="H2208" i="20"/>
  <c r="H2209" i="20"/>
  <c r="H2210" i="20"/>
  <c r="H2211" i="20"/>
  <c r="H2212" i="20"/>
  <c r="H2213" i="20"/>
  <c r="H2214" i="20"/>
  <c r="H2215" i="20"/>
  <c r="H2216" i="20"/>
  <c r="H2217" i="20"/>
  <c r="H2218" i="20"/>
  <c r="H2219" i="20"/>
  <c r="H2220" i="20"/>
  <c r="H2221" i="20"/>
  <c r="H2222" i="20"/>
  <c r="H2223" i="20"/>
  <c r="H2224" i="20"/>
  <c r="H2225" i="20"/>
  <c r="H2226" i="20"/>
  <c r="H2227" i="20"/>
  <c r="H2228" i="20"/>
  <c r="H2229" i="20"/>
  <c r="H2230" i="20"/>
  <c r="H2231" i="20"/>
  <c r="H2232" i="20"/>
  <c r="H2233" i="20"/>
  <c r="H2234" i="20"/>
  <c r="H2235" i="20"/>
  <c r="H2236" i="20"/>
  <c r="H2237" i="20"/>
  <c r="H2238" i="20"/>
  <c r="H2239" i="20"/>
  <c r="H2240" i="20"/>
  <c r="H2241" i="20"/>
  <c r="H2242" i="20"/>
  <c r="H2243" i="20"/>
  <c r="H2244" i="20"/>
  <c r="H2245" i="20"/>
  <c r="H2246" i="20"/>
  <c r="H2247" i="20"/>
  <c r="H2248" i="20"/>
  <c r="H2249" i="20"/>
  <c r="H2250" i="20"/>
  <c r="H2251" i="20"/>
  <c r="H2252" i="20"/>
  <c r="H2253" i="20"/>
  <c r="H2254" i="20"/>
  <c r="H2255" i="20"/>
  <c r="H2256" i="20"/>
  <c r="H2257" i="20"/>
  <c r="H2258" i="20"/>
  <c r="H2259" i="20"/>
  <c r="H2260" i="20"/>
  <c r="H2261" i="20"/>
  <c r="H2262" i="20"/>
  <c r="H2263" i="20"/>
  <c r="H2264" i="20"/>
  <c r="H2265" i="20"/>
  <c r="H2266" i="20"/>
  <c r="H2267" i="20"/>
  <c r="H2268" i="20"/>
  <c r="H2269" i="20"/>
  <c r="H2270" i="20"/>
  <c r="H2271" i="20"/>
  <c r="H2272" i="20"/>
  <c r="H2273" i="20"/>
  <c r="H2274" i="20"/>
  <c r="H2275" i="20"/>
  <c r="H2276" i="20"/>
  <c r="H2277" i="20"/>
  <c r="H2278" i="20"/>
  <c r="H2279" i="20"/>
  <c r="H2280" i="20"/>
  <c r="H2281" i="20"/>
  <c r="H2282" i="20"/>
  <c r="H2283" i="20"/>
  <c r="H2284" i="20"/>
  <c r="H2285" i="20"/>
  <c r="H2286" i="20"/>
  <c r="H2287" i="20"/>
  <c r="H2288" i="20"/>
  <c r="H2289" i="20"/>
  <c r="H2290" i="20"/>
  <c r="H2291" i="20"/>
  <c r="H2292" i="20"/>
  <c r="H2293" i="20"/>
  <c r="H2294" i="20"/>
  <c r="H2295" i="20"/>
  <c r="H2296" i="20"/>
  <c r="H2297" i="20"/>
  <c r="H2298" i="20"/>
  <c r="H2299" i="20"/>
  <c r="H2300" i="20"/>
  <c r="H2301" i="20"/>
  <c r="H2302" i="20"/>
  <c r="H2303" i="20"/>
  <c r="H2304" i="20"/>
  <c r="H2305" i="20"/>
  <c r="H2306" i="20"/>
  <c r="H2307" i="20"/>
  <c r="H2308" i="20"/>
  <c r="H2309" i="20"/>
  <c r="H2310" i="20"/>
  <c r="H2311" i="20"/>
  <c r="H2312" i="20"/>
  <c r="H2313" i="20"/>
  <c r="H2314" i="20"/>
  <c r="H2315" i="20"/>
  <c r="H2316" i="20"/>
  <c r="H2317" i="20"/>
  <c r="H2318" i="20"/>
  <c r="H2319" i="20"/>
  <c r="H2320" i="20"/>
  <c r="H2321" i="20"/>
  <c r="H2322" i="20"/>
  <c r="H2323" i="20"/>
  <c r="H2324" i="20"/>
  <c r="H2325" i="20"/>
  <c r="H2326" i="20"/>
  <c r="H2327" i="20"/>
  <c r="H2328" i="20"/>
  <c r="H2329" i="20"/>
  <c r="H2330" i="20"/>
  <c r="H2331" i="20"/>
  <c r="H2332" i="20"/>
  <c r="H2333" i="20"/>
  <c r="H2334" i="20"/>
  <c r="H2335" i="20"/>
  <c r="H2336" i="20"/>
  <c r="H2337" i="20"/>
  <c r="H2338" i="20"/>
  <c r="H2339" i="20"/>
  <c r="H2340" i="20"/>
  <c r="H2341" i="20"/>
  <c r="H2342" i="20"/>
  <c r="H2343" i="20"/>
  <c r="H2344" i="20"/>
  <c r="H2345" i="20"/>
  <c r="H2346" i="20"/>
  <c r="H2347" i="20"/>
  <c r="H2348" i="20"/>
  <c r="H2349" i="20"/>
  <c r="H2350" i="20"/>
  <c r="H2351" i="20"/>
  <c r="H2352" i="20"/>
  <c r="H2353" i="20"/>
  <c r="H2354" i="20"/>
  <c r="H2355" i="20"/>
  <c r="H2356" i="20"/>
  <c r="H2357" i="20"/>
  <c r="H2358" i="20"/>
  <c r="H2359" i="20"/>
  <c r="H2360" i="20"/>
  <c r="H2361" i="20"/>
  <c r="H2362" i="20"/>
  <c r="H2363" i="20"/>
  <c r="H2364" i="20"/>
  <c r="H2365" i="20"/>
  <c r="H2366" i="20"/>
  <c r="H2367" i="20"/>
  <c r="H2368" i="20"/>
  <c r="H2369" i="20"/>
  <c r="H2370" i="20"/>
  <c r="H2371" i="20"/>
  <c r="H2372" i="20"/>
  <c r="H2373" i="20"/>
  <c r="H2374" i="20"/>
  <c r="H2375" i="20"/>
  <c r="H2376" i="20"/>
  <c r="H2377" i="20"/>
  <c r="H2378" i="20"/>
  <c r="H2379" i="20"/>
  <c r="H2380" i="20"/>
  <c r="H2381" i="20"/>
  <c r="H2382" i="20"/>
  <c r="H2383" i="20"/>
  <c r="H2384" i="20"/>
  <c r="H2385" i="20"/>
  <c r="H2386" i="20"/>
  <c r="H2387" i="20"/>
  <c r="H2388" i="20"/>
  <c r="H2389" i="20"/>
  <c r="H2390" i="20"/>
  <c r="H2391" i="20"/>
  <c r="H2392" i="20"/>
  <c r="H2393" i="20"/>
  <c r="H2394" i="20"/>
  <c r="H2395" i="20"/>
  <c r="H2396" i="20"/>
  <c r="H2397" i="20"/>
  <c r="H2398" i="20"/>
  <c r="H2399" i="20"/>
  <c r="H2400" i="20"/>
  <c r="H2401" i="20"/>
  <c r="H2402" i="20"/>
  <c r="H2403" i="20"/>
  <c r="H2404" i="20"/>
  <c r="H2405" i="20"/>
  <c r="H2406" i="20"/>
  <c r="H2407" i="20"/>
  <c r="H2408" i="20"/>
  <c r="H2409" i="20"/>
  <c r="H2410" i="20"/>
  <c r="H2411" i="20"/>
  <c r="H2412" i="20"/>
  <c r="H2413" i="20"/>
  <c r="H2414" i="20"/>
  <c r="H2415" i="20"/>
  <c r="H2416" i="20"/>
  <c r="H2417" i="20"/>
  <c r="H2418" i="20"/>
  <c r="H2419" i="20"/>
  <c r="H2420" i="20"/>
  <c r="H2421" i="20"/>
  <c r="H2422" i="20"/>
  <c r="H2423" i="20"/>
  <c r="H2424" i="20"/>
  <c r="H2425" i="20"/>
  <c r="H2426" i="20"/>
  <c r="H2427" i="20"/>
  <c r="H2428" i="20"/>
  <c r="H2429" i="20"/>
  <c r="H2430" i="20"/>
  <c r="H2431" i="20"/>
  <c r="H2432" i="20"/>
  <c r="H2433" i="20"/>
  <c r="H2434" i="20"/>
  <c r="H2435" i="20"/>
  <c r="H2436" i="20"/>
  <c r="H2437" i="20"/>
  <c r="H2438" i="20"/>
  <c r="H2439" i="20"/>
  <c r="H2440" i="20"/>
  <c r="H2441" i="20"/>
  <c r="H2442" i="20"/>
  <c r="H2443" i="20"/>
  <c r="H2444" i="20"/>
  <c r="H2445" i="20"/>
  <c r="H2446" i="20"/>
  <c r="H2447" i="20"/>
  <c r="H2448" i="20"/>
  <c r="H2449" i="20"/>
  <c r="H2450" i="20"/>
  <c r="H2451" i="20"/>
  <c r="H2452" i="20"/>
  <c r="H2453" i="20"/>
  <c r="H2454" i="20"/>
  <c r="H2455" i="20"/>
  <c r="H2456" i="20"/>
  <c r="H2457" i="20"/>
  <c r="H2458" i="20"/>
  <c r="H2459" i="20"/>
  <c r="H2460" i="20"/>
  <c r="H2461" i="20"/>
  <c r="H2462" i="20"/>
  <c r="H2463" i="20"/>
  <c r="H2464" i="20"/>
  <c r="H2465" i="20"/>
  <c r="H2466" i="20"/>
  <c r="H2467" i="20"/>
  <c r="H2468" i="20"/>
  <c r="H2469" i="20"/>
  <c r="H2470" i="20"/>
  <c r="H2471" i="20"/>
  <c r="H2472" i="20"/>
  <c r="H2473" i="20"/>
  <c r="H2474" i="20"/>
  <c r="H2475" i="20"/>
  <c r="H2476" i="20"/>
  <c r="H2477" i="20"/>
  <c r="H2478" i="20"/>
  <c r="H2479" i="20"/>
  <c r="H2480" i="20"/>
  <c r="H2481" i="20"/>
  <c r="H2482" i="20"/>
  <c r="H2483" i="20"/>
  <c r="H2484" i="20"/>
  <c r="H2485" i="20"/>
  <c r="H2486" i="20"/>
  <c r="H2487" i="20"/>
  <c r="H2488" i="20"/>
  <c r="H2489" i="20"/>
  <c r="H2490" i="20"/>
  <c r="H2491" i="20"/>
  <c r="H2492" i="20"/>
  <c r="H2493" i="20"/>
  <c r="H2494" i="20"/>
  <c r="H2495" i="20"/>
  <c r="H2496" i="20"/>
  <c r="H2497" i="20"/>
  <c r="H2498" i="20"/>
  <c r="H2499" i="20"/>
  <c r="H2500" i="20"/>
  <c r="H2501" i="20"/>
  <c r="H2502" i="20"/>
  <c r="H2503" i="20"/>
  <c r="H2504" i="20"/>
  <c r="H2505" i="20"/>
  <c r="H2506" i="20"/>
  <c r="H2507" i="20"/>
  <c r="H2508" i="20"/>
  <c r="H2509" i="20"/>
  <c r="H2510" i="20"/>
  <c r="H2511" i="20"/>
  <c r="H2512" i="20"/>
  <c r="H2513" i="20"/>
  <c r="H2514" i="20"/>
  <c r="H2515" i="20"/>
  <c r="H2516" i="20"/>
  <c r="H2517" i="20"/>
  <c r="H2518" i="20"/>
  <c r="H2519" i="20"/>
  <c r="H2520" i="20"/>
  <c r="H2521" i="20"/>
  <c r="H2522" i="20"/>
  <c r="H2523" i="20"/>
  <c r="H2524" i="20"/>
  <c r="H2525" i="20"/>
  <c r="H2526" i="20"/>
  <c r="H2527" i="20"/>
  <c r="H2528" i="20"/>
  <c r="H2529" i="20"/>
  <c r="H2530" i="20"/>
  <c r="H2531" i="20"/>
  <c r="H2532" i="20"/>
  <c r="H2533" i="20"/>
  <c r="H2534" i="20"/>
  <c r="H2535" i="20"/>
  <c r="H2536" i="20"/>
  <c r="H2537" i="20"/>
  <c r="H2538" i="20"/>
  <c r="H2539" i="20"/>
  <c r="H2540" i="20"/>
  <c r="H2541" i="20"/>
  <c r="H2542" i="20"/>
  <c r="H2543" i="20"/>
  <c r="H2544" i="20"/>
  <c r="H2545" i="20"/>
  <c r="H2546" i="20"/>
  <c r="H2547" i="20"/>
  <c r="H2548" i="20"/>
  <c r="H2549" i="20"/>
  <c r="H2550" i="20"/>
  <c r="H2551" i="20"/>
  <c r="H2552" i="20"/>
  <c r="H2553" i="20"/>
  <c r="H2554" i="20"/>
  <c r="H2555" i="20"/>
  <c r="H2556" i="20"/>
  <c r="H2557" i="20"/>
  <c r="H2558" i="20"/>
  <c r="H2559" i="20"/>
  <c r="H2560" i="20"/>
  <c r="H2561" i="20"/>
  <c r="H2562" i="20"/>
  <c r="H2563" i="20"/>
  <c r="H2564" i="20"/>
  <c r="H2565" i="20"/>
  <c r="H2566" i="20"/>
  <c r="H2567" i="20"/>
  <c r="H2568" i="20"/>
  <c r="H2569" i="20"/>
  <c r="H2570" i="20"/>
  <c r="H2571" i="20"/>
  <c r="H2572" i="20"/>
  <c r="H2573" i="20"/>
  <c r="H2574" i="20"/>
  <c r="H2575" i="20"/>
  <c r="H2576" i="20"/>
  <c r="H2577" i="20"/>
  <c r="H2578" i="20"/>
  <c r="H2579" i="20"/>
  <c r="H2580" i="20"/>
  <c r="H2581" i="20"/>
  <c r="H2582" i="20"/>
  <c r="H2583" i="20"/>
  <c r="H2584" i="20"/>
  <c r="H2585" i="20"/>
  <c r="H2586" i="20"/>
  <c r="H2587" i="20"/>
  <c r="H2588" i="20"/>
  <c r="H2589" i="20"/>
  <c r="H2590" i="20"/>
  <c r="H2591" i="20"/>
  <c r="H2592" i="20"/>
  <c r="H2593" i="20"/>
  <c r="H2594" i="20"/>
  <c r="H2595" i="20"/>
  <c r="H2596" i="20"/>
  <c r="H2597" i="20"/>
  <c r="H2598" i="20"/>
  <c r="H2599" i="20"/>
  <c r="H2600" i="20"/>
  <c r="H2601" i="20"/>
  <c r="H2602" i="20"/>
  <c r="H2603" i="20"/>
  <c r="H2604" i="20"/>
  <c r="H2605" i="20"/>
  <c r="H2606" i="20"/>
  <c r="H2607" i="20"/>
  <c r="H2608" i="20"/>
  <c r="H2609" i="20"/>
  <c r="H2610" i="20"/>
  <c r="H2611" i="20"/>
  <c r="H2612" i="20"/>
  <c r="H2613" i="20"/>
  <c r="H2614" i="20"/>
  <c r="H2615" i="20"/>
  <c r="H2616" i="20"/>
  <c r="H2617" i="20"/>
  <c r="H2618" i="20"/>
  <c r="H2619" i="20"/>
  <c r="H2620" i="20"/>
  <c r="H2621" i="20"/>
  <c r="H2622" i="20"/>
  <c r="H2623" i="20"/>
  <c r="H2624" i="20"/>
  <c r="H2625" i="20"/>
  <c r="H2626" i="20"/>
  <c r="H2627" i="20"/>
  <c r="H2628" i="20"/>
  <c r="H2629" i="20"/>
  <c r="H2630" i="20"/>
  <c r="H2631" i="20"/>
  <c r="H2632" i="20"/>
  <c r="H2633" i="20"/>
  <c r="H2634" i="20"/>
  <c r="H2635" i="20"/>
  <c r="H2636" i="20"/>
  <c r="H2637" i="20"/>
  <c r="H2638" i="20"/>
  <c r="H2639" i="20"/>
  <c r="H2640" i="20"/>
  <c r="H2641" i="20"/>
  <c r="H2642" i="20"/>
  <c r="H2643" i="20"/>
  <c r="H2644" i="20"/>
  <c r="H2645" i="20"/>
  <c r="H2646" i="20"/>
  <c r="H2647" i="20"/>
  <c r="H2648" i="20"/>
  <c r="H2649" i="20"/>
  <c r="H2650" i="20"/>
  <c r="H2651" i="20"/>
  <c r="H2652" i="20"/>
  <c r="H2653" i="20"/>
  <c r="H2654" i="20"/>
  <c r="H2655" i="20"/>
  <c r="H2656" i="20"/>
  <c r="H2657" i="20"/>
  <c r="H2658" i="20"/>
  <c r="H2659" i="20"/>
  <c r="H2660" i="20"/>
  <c r="H2661" i="20"/>
  <c r="H2662" i="20"/>
  <c r="H2663" i="20"/>
  <c r="H2664" i="20"/>
  <c r="H2665" i="20"/>
  <c r="H2666" i="20"/>
  <c r="H2667" i="20"/>
  <c r="H2668" i="20"/>
  <c r="H2669" i="20"/>
  <c r="H2670" i="20"/>
  <c r="H2671" i="20"/>
  <c r="H2672" i="20"/>
  <c r="H2673" i="20"/>
  <c r="H2674" i="20"/>
  <c r="H2675" i="20"/>
  <c r="H2676" i="20"/>
  <c r="H2677" i="20"/>
  <c r="H2678" i="20"/>
  <c r="H2679" i="20"/>
  <c r="H2680" i="20"/>
  <c r="H2681" i="20"/>
  <c r="H2682" i="20"/>
  <c r="H2683" i="20"/>
  <c r="H2684" i="20"/>
  <c r="H2685" i="20"/>
  <c r="H2686" i="20"/>
  <c r="H2687" i="20"/>
  <c r="H2688" i="20"/>
  <c r="H2689" i="20"/>
  <c r="H2690" i="20"/>
  <c r="H2691" i="20"/>
  <c r="H2692" i="20"/>
  <c r="H2693" i="20"/>
  <c r="H2694" i="20"/>
  <c r="H2695" i="20"/>
  <c r="H2696" i="20"/>
  <c r="H2697" i="20"/>
  <c r="H2698" i="20"/>
  <c r="H2699" i="20"/>
  <c r="H2700" i="20"/>
  <c r="H2701" i="20"/>
  <c r="H2702" i="20"/>
  <c r="H2703" i="20"/>
  <c r="H2704" i="20"/>
  <c r="H2705" i="20"/>
  <c r="H2706" i="20"/>
  <c r="H2707" i="20"/>
  <c r="H2708" i="20"/>
  <c r="H2709" i="20"/>
  <c r="H2710" i="20"/>
  <c r="H2711" i="20"/>
  <c r="H2712" i="20"/>
  <c r="H2713" i="20"/>
  <c r="H2714" i="20"/>
  <c r="H2715" i="20"/>
  <c r="H2716" i="20"/>
  <c r="H2717" i="20"/>
  <c r="H2718" i="20"/>
  <c r="H2719" i="20"/>
  <c r="H2720" i="20"/>
  <c r="H2721" i="20"/>
  <c r="H2722" i="20"/>
  <c r="H2723" i="20"/>
  <c r="H2724" i="20"/>
  <c r="H2725" i="20"/>
  <c r="H2726" i="20"/>
  <c r="H2727" i="20"/>
  <c r="H2728" i="20"/>
  <c r="H2729" i="20"/>
  <c r="H2730" i="20"/>
  <c r="H2731" i="20"/>
  <c r="H2732" i="20"/>
  <c r="H2733" i="20"/>
  <c r="H2734" i="20"/>
  <c r="H2735" i="20"/>
  <c r="H2736" i="20"/>
  <c r="H2737" i="20"/>
  <c r="H2738" i="20"/>
  <c r="H2739" i="20"/>
  <c r="H2740" i="20"/>
  <c r="H2741" i="20"/>
  <c r="H2742" i="20"/>
  <c r="H2743" i="20"/>
  <c r="H2744" i="20"/>
  <c r="H2745" i="20"/>
  <c r="H2746" i="20"/>
  <c r="H2747" i="20"/>
  <c r="H2748" i="20"/>
  <c r="H2749" i="20"/>
  <c r="H2750" i="20"/>
  <c r="H2751" i="20"/>
  <c r="H2752" i="20"/>
  <c r="H2753" i="20"/>
  <c r="H2754" i="20"/>
  <c r="H2755" i="20"/>
  <c r="H2756" i="20"/>
  <c r="H2757" i="20"/>
  <c r="H2758" i="20"/>
  <c r="H2759" i="20"/>
  <c r="H2760" i="20"/>
  <c r="H2761" i="20"/>
  <c r="H2762" i="20"/>
  <c r="H2763" i="20"/>
  <c r="H2764" i="20"/>
  <c r="H2765" i="20"/>
  <c r="H2766" i="20"/>
  <c r="H2767" i="20"/>
  <c r="H2768" i="20"/>
  <c r="H2769" i="20"/>
  <c r="H2770" i="20"/>
  <c r="H2771" i="20"/>
  <c r="H2772" i="20"/>
  <c r="H2773" i="20"/>
  <c r="H2774" i="20"/>
  <c r="H2775" i="20"/>
  <c r="H2776" i="20"/>
  <c r="H2777" i="20"/>
  <c r="H2778" i="20"/>
  <c r="H2779" i="20"/>
  <c r="H2780" i="20"/>
  <c r="H2781" i="20"/>
  <c r="H2782" i="20"/>
  <c r="H2783" i="20"/>
  <c r="H2784" i="20"/>
  <c r="H2785" i="20"/>
  <c r="H2786" i="20"/>
  <c r="H2787" i="20"/>
  <c r="H2788" i="20"/>
  <c r="H2789" i="20"/>
  <c r="H2790" i="20"/>
  <c r="H2791" i="20"/>
  <c r="H2792" i="20"/>
  <c r="H2793" i="20"/>
  <c r="H2794" i="20"/>
  <c r="H2795" i="20"/>
  <c r="H2796" i="20"/>
  <c r="H2797" i="20"/>
  <c r="H2798" i="20"/>
  <c r="H2799" i="20"/>
  <c r="H2800" i="20"/>
  <c r="H2801" i="20"/>
  <c r="H2802" i="20"/>
  <c r="H2803" i="20"/>
  <c r="H2804" i="20"/>
  <c r="H2805" i="20"/>
  <c r="H2806" i="20"/>
  <c r="H2807" i="20"/>
  <c r="H2808" i="20"/>
  <c r="H2809" i="20"/>
  <c r="H2810" i="20"/>
  <c r="H2811" i="20"/>
  <c r="H2812" i="20"/>
  <c r="H2813" i="20"/>
  <c r="H2814" i="20"/>
  <c r="H2815" i="20"/>
  <c r="H2816" i="20"/>
  <c r="H2817" i="20"/>
  <c r="H2818" i="20"/>
  <c r="H2819" i="20"/>
  <c r="H2820" i="20"/>
  <c r="H2821" i="20"/>
  <c r="H2822" i="20"/>
  <c r="H2823" i="20"/>
  <c r="H2824" i="20"/>
  <c r="H2825" i="20"/>
  <c r="H2826" i="20"/>
  <c r="H2827" i="20"/>
  <c r="H2828" i="20"/>
  <c r="H2829" i="20"/>
  <c r="H2830" i="20"/>
  <c r="H2831" i="20"/>
  <c r="H2832" i="20"/>
  <c r="H2833" i="20"/>
  <c r="H2834" i="20"/>
  <c r="H2835" i="20"/>
  <c r="H2836" i="20"/>
  <c r="H2837" i="20"/>
  <c r="H2838" i="20"/>
  <c r="H2839" i="20"/>
  <c r="H2840" i="20"/>
  <c r="H2841" i="20"/>
  <c r="H2842" i="20"/>
  <c r="H2843" i="20"/>
  <c r="H2844" i="20"/>
  <c r="H2845" i="20"/>
  <c r="H2846" i="20"/>
  <c r="H2847" i="20"/>
  <c r="H2848" i="20"/>
  <c r="H2849" i="20"/>
  <c r="H2850" i="20"/>
  <c r="H2851" i="20"/>
  <c r="H2852" i="20"/>
  <c r="H2853" i="20"/>
  <c r="H2854" i="20"/>
  <c r="H2855" i="20"/>
  <c r="H2856" i="20"/>
  <c r="H2857" i="20"/>
  <c r="H2858" i="20"/>
  <c r="H2859" i="20"/>
  <c r="H2860" i="20"/>
  <c r="H2861" i="20"/>
  <c r="H2862" i="20"/>
  <c r="H2863" i="20"/>
  <c r="H2864" i="20"/>
  <c r="H2865" i="20"/>
  <c r="H2866" i="20"/>
  <c r="H2867" i="20"/>
  <c r="H2868" i="20"/>
  <c r="H2869" i="20"/>
  <c r="H2870" i="20"/>
  <c r="H2871" i="20"/>
  <c r="H2872" i="20"/>
  <c r="H2873" i="20"/>
  <c r="I1884" i="20"/>
  <c r="J1884" i="20" s="1"/>
  <c r="I1885" i="20"/>
  <c r="I1886" i="20"/>
  <c r="I1887" i="20"/>
  <c r="I1888" i="20"/>
  <c r="I1889" i="20"/>
  <c r="I1890" i="20"/>
  <c r="J1890" i="20" s="1"/>
  <c r="I1891" i="20"/>
  <c r="J1891" i="20" s="1"/>
  <c r="I1892" i="20"/>
  <c r="J1892" i="20" s="1"/>
  <c r="I1893" i="20"/>
  <c r="I1894" i="20"/>
  <c r="J1894" i="20" s="1"/>
  <c r="I1895" i="20"/>
  <c r="I1896" i="20"/>
  <c r="I1897" i="20"/>
  <c r="I1898" i="20"/>
  <c r="I1899" i="20"/>
  <c r="J1899" i="20" s="1"/>
  <c r="I1900" i="20"/>
  <c r="J1900" i="20" s="1"/>
  <c r="I1901" i="20"/>
  <c r="J1901" i="20" s="1"/>
  <c r="I1902" i="20"/>
  <c r="J1902" i="20" s="1"/>
  <c r="I1903" i="20"/>
  <c r="I1904" i="20"/>
  <c r="I1905" i="20"/>
  <c r="J1905" i="20" s="1"/>
  <c r="I1906" i="20"/>
  <c r="J1906" i="20" s="1"/>
  <c r="I1907" i="20"/>
  <c r="J1907" i="20" s="1"/>
  <c r="I1908" i="20"/>
  <c r="J1908" i="20" s="1"/>
  <c r="I1909" i="20"/>
  <c r="I1910" i="20"/>
  <c r="I1911" i="20"/>
  <c r="I1912" i="20"/>
  <c r="I1913" i="20"/>
  <c r="I1914" i="20"/>
  <c r="J1914" i="20" s="1"/>
  <c r="I1915" i="20"/>
  <c r="J1915" i="20" s="1"/>
  <c r="I1916" i="20"/>
  <c r="J1916" i="20" s="1"/>
  <c r="I1917" i="20"/>
  <c r="I1918" i="20"/>
  <c r="J1918" i="20" s="1"/>
  <c r="I1919" i="20"/>
  <c r="I1920" i="20"/>
  <c r="I1921" i="20"/>
  <c r="I1922" i="20"/>
  <c r="J1922" i="20" s="1"/>
  <c r="I1923" i="20"/>
  <c r="J1923" i="20" s="1"/>
  <c r="I1924" i="20"/>
  <c r="J1924" i="20" s="1"/>
  <c r="I1925" i="20"/>
  <c r="I1926" i="20"/>
  <c r="I1927" i="20"/>
  <c r="I1928" i="20"/>
  <c r="I1929" i="20"/>
  <c r="I1930" i="20"/>
  <c r="J1930" i="20" s="1"/>
  <c r="I1931" i="20"/>
  <c r="J1931" i="20" s="1"/>
  <c r="I1932" i="20"/>
  <c r="J1932" i="20" s="1"/>
  <c r="I1933" i="20"/>
  <c r="J1933" i="20" s="1"/>
  <c r="I1934" i="20"/>
  <c r="I1935" i="20"/>
  <c r="I1936" i="20"/>
  <c r="I1937" i="20"/>
  <c r="I1938" i="20"/>
  <c r="I1939" i="20"/>
  <c r="J1939" i="20" s="1"/>
  <c r="I1940" i="20"/>
  <c r="J1940" i="20" s="1"/>
  <c r="I1941" i="20"/>
  <c r="I1942" i="20"/>
  <c r="J1942" i="20" s="1"/>
  <c r="I1943" i="20"/>
  <c r="I1944" i="20"/>
  <c r="I1945" i="20"/>
  <c r="I1946" i="20"/>
  <c r="J1946" i="20" s="1"/>
  <c r="I1947" i="20"/>
  <c r="J1947" i="20" s="1"/>
  <c r="I1948" i="20"/>
  <c r="J1948" i="20" s="1"/>
  <c r="I1949" i="20"/>
  <c r="I1950" i="20"/>
  <c r="J1950" i="20" s="1"/>
  <c r="I1951" i="20"/>
  <c r="I1952" i="20"/>
  <c r="I1953" i="20"/>
  <c r="J1953" i="20" s="1"/>
  <c r="I1954" i="20"/>
  <c r="J1954" i="20" s="1"/>
  <c r="I1955" i="20"/>
  <c r="J1955" i="20" s="1"/>
  <c r="I1956" i="20"/>
  <c r="J1956" i="20" s="1"/>
  <c r="I1957" i="20"/>
  <c r="I1958" i="20"/>
  <c r="J1958" i="20" s="1"/>
  <c r="I1959" i="20"/>
  <c r="I1960" i="20"/>
  <c r="I1961" i="20"/>
  <c r="J1961" i="20" s="1"/>
  <c r="I1962" i="20"/>
  <c r="J1962" i="20" s="1"/>
  <c r="I1963" i="20"/>
  <c r="J1963" i="20" s="1"/>
  <c r="I1964" i="20"/>
  <c r="J1964" i="20" s="1"/>
  <c r="I1965" i="20"/>
  <c r="J1965" i="20" s="1"/>
  <c r="I1966" i="20"/>
  <c r="J1966" i="20" s="1"/>
  <c r="I1967" i="20"/>
  <c r="I1968" i="20"/>
  <c r="I1969" i="20"/>
  <c r="J1969" i="20" s="1"/>
  <c r="I1970" i="20"/>
  <c r="I1971" i="20"/>
  <c r="J1971" i="20" s="1"/>
  <c r="I1972" i="20"/>
  <c r="J1972" i="20" s="1"/>
  <c r="I1973" i="20"/>
  <c r="I1974" i="20"/>
  <c r="J1974" i="20" s="1"/>
  <c r="I1975" i="20"/>
  <c r="I1976" i="20"/>
  <c r="I1977" i="20"/>
  <c r="I1978" i="20"/>
  <c r="J1978" i="20" s="1"/>
  <c r="I1979" i="20"/>
  <c r="J1979" i="20" s="1"/>
  <c r="I1980" i="20"/>
  <c r="J1980" i="20" s="1"/>
  <c r="I1981" i="20"/>
  <c r="I1982" i="20"/>
  <c r="I1983" i="20"/>
  <c r="I1984" i="20"/>
  <c r="I1985" i="20"/>
  <c r="I1986" i="20"/>
  <c r="J1986" i="20" s="1"/>
  <c r="I1987" i="20"/>
  <c r="J1987" i="20" s="1"/>
  <c r="I1988" i="20"/>
  <c r="J1988" i="20" s="1"/>
  <c r="I1989" i="20"/>
  <c r="I1990" i="20"/>
  <c r="I1991" i="20"/>
  <c r="I1992" i="20"/>
  <c r="I1993" i="20"/>
  <c r="J1993" i="20" s="1"/>
  <c r="I1994" i="20"/>
  <c r="I1995" i="20"/>
  <c r="J1995" i="20" s="1"/>
  <c r="I1996" i="20"/>
  <c r="J1996" i="20" s="1"/>
  <c r="I1997" i="20"/>
  <c r="J1997" i="20" s="1"/>
  <c r="I1998" i="20"/>
  <c r="J1998" i="20" s="1"/>
  <c r="I1999" i="20"/>
  <c r="I2000" i="20"/>
  <c r="I2001" i="20"/>
  <c r="I2002" i="20"/>
  <c r="J2002" i="20" s="1"/>
  <c r="I2003" i="20"/>
  <c r="J2003" i="20" s="1"/>
  <c r="I2004" i="20"/>
  <c r="J2004" i="20" s="1"/>
  <c r="I2005" i="20"/>
  <c r="I2006" i="20"/>
  <c r="J2006" i="20" s="1"/>
  <c r="I2007" i="20"/>
  <c r="I2008" i="20"/>
  <c r="I2009" i="20"/>
  <c r="J2009" i="20" s="1"/>
  <c r="I2010" i="20"/>
  <c r="I2011" i="20"/>
  <c r="J2011" i="20" s="1"/>
  <c r="I2012" i="20"/>
  <c r="J2012" i="20" s="1"/>
  <c r="I2013" i="20"/>
  <c r="I2014" i="20"/>
  <c r="J2014" i="20" s="1"/>
  <c r="I2015" i="20"/>
  <c r="I2016" i="20"/>
  <c r="I2017" i="20"/>
  <c r="J2017" i="20" s="1"/>
  <c r="I2018" i="20"/>
  <c r="J2018" i="20" s="1"/>
  <c r="I2019" i="20"/>
  <c r="J2019" i="20" s="1"/>
  <c r="I2020" i="20"/>
  <c r="J2020" i="20" s="1"/>
  <c r="I2021" i="20"/>
  <c r="I2022" i="20"/>
  <c r="I2023" i="20"/>
  <c r="I2024" i="20"/>
  <c r="I2025" i="20"/>
  <c r="I2026" i="20"/>
  <c r="J2026" i="20" s="1"/>
  <c r="I2027" i="20"/>
  <c r="J2027" i="20" s="1"/>
  <c r="I2028" i="20"/>
  <c r="J2028" i="20" s="1"/>
  <c r="I2029" i="20"/>
  <c r="J2029" i="20" s="1"/>
  <c r="I2030" i="20"/>
  <c r="J2030" i="20" s="1"/>
  <c r="I2031" i="20"/>
  <c r="I2032" i="20"/>
  <c r="I2033" i="20"/>
  <c r="I2034" i="20"/>
  <c r="J2034" i="20" s="1"/>
  <c r="I2035" i="20"/>
  <c r="J2035" i="20" s="1"/>
  <c r="I2036" i="20"/>
  <c r="J2036" i="20" s="1"/>
  <c r="I2037" i="20"/>
  <c r="I2038" i="20"/>
  <c r="I2039" i="20"/>
  <c r="I2040" i="20"/>
  <c r="I2041" i="20"/>
  <c r="I2042" i="20"/>
  <c r="J2042" i="20" s="1"/>
  <c r="I2043" i="20"/>
  <c r="J2043" i="20" s="1"/>
  <c r="I2044" i="20"/>
  <c r="J2044" i="20" s="1"/>
  <c r="I2045" i="20"/>
  <c r="I2046" i="20"/>
  <c r="I2047" i="20"/>
  <c r="I2048" i="20"/>
  <c r="I2049" i="20"/>
  <c r="J2049" i="20" s="1"/>
  <c r="I2050" i="20"/>
  <c r="J2050" i="20" s="1"/>
  <c r="I2051" i="20"/>
  <c r="J2051" i="20" s="1"/>
  <c r="I2052" i="20"/>
  <c r="J2052" i="20" s="1"/>
  <c r="I2053" i="20"/>
  <c r="I2054" i="20"/>
  <c r="J2054" i="20" s="1"/>
  <c r="I2055" i="20"/>
  <c r="I2056" i="20"/>
  <c r="I2057" i="20"/>
  <c r="J2057" i="20" s="1"/>
  <c r="I2058" i="20"/>
  <c r="J2058" i="20" s="1"/>
  <c r="I2059" i="20"/>
  <c r="J2059" i="20" s="1"/>
  <c r="I2060" i="20"/>
  <c r="J2060" i="20" s="1"/>
  <c r="I2061" i="20"/>
  <c r="J2061" i="20" s="1"/>
  <c r="I2062" i="20"/>
  <c r="J2062" i="20" s="1"/>
  <c r="I2063" i="20"/>
  <c r="I2064" i="20"/>
  <c r="I2065" i="20"/>
  <c r="J2065" i="20" s="1"/>
  <c r="I2066" i="20"/>
  <c r="I2067" i="20"/>
  <c r="J2067" i="20" s="1"/>
  <c r="I2068" i="20"/>
  <c r="J2068" i="20" s="1"/>
  <c r="I2069" i="20"/>
  <c r="I2070" i="20"/>
  <c r="J2070" i="20" s="1"/>
  <c r="I2071" i="20"/>
  <c r="I2072" i="20"/>
  <c r="I2073" i="20"/>
  <c r="J2073" i="20" s="1"/>
  <c r="I2074" i="20"/>
  <c r="J2074" i="20" s="1"/>
  <c r="I2075" i="20"/>
  <c r="J2075" i="20" s="1"/>
  <c r="I2076" i="20"/>
  <c r="J2076" i="20" s="1"/>
  <c r="I2077" i="20"/>
  <c r="I2078" i="20"/>
  <c r="I2079" i="20"/>
  <c r="I2080" i="20"/>
  <c r="I2081" i="20"/>
  <c r="I2082" i="20"/>
  <c r="J2082" i="20" s="1"/>
  <c r="I2083" i="20"/>
  <c r="J2083" i="20" s="1"/>
  <c r="I2084" i="20"/>
  <c r="J2084" i="20" s="1"/>
  <c r="I2085" i="20"/>
  <c r="I2086" i="20"/>
  <c r="J2086" i="20" s="1"/>
  <c r="I2087" i="20"/>
  <c r="I2088" i="20"/>
  <c r="I2089" i="20"/>
  <c r="I2090" i="20"/>
  <c r="I2091" i="20"/>
  <c r="J2091" i="20" s="1"/>
  <c r="I2092" i="20"/>
  <c r="J2092" i="20" s="1"/>
  <c r="I2093" i="20"/>
  <c r="J2093" i="20" s="1"/>
  <c r="I2094" i="20"/>
  <c r="I2095" i="20"/>
  <c r="I2096" i="20"/>
  <c r="I2097" i="20"/>
  <c r="I2098" i="20"/>
  <c r="J2098" i="20" s="1"/>
  <c r="I2099" i="20"/>
  <c r="J2099" i="20" s="1"/>
  <c r="I2100" i="20"/>
  <c r="J2100" i="20" s="1"/>
  <c r="I2101" i="20"/>
  <c r="I2102" i="20"/>
  <c r="I2103" i="20"/>
  <c r="I2104" i="20"/>
  <c r="I2105" i="20"/>
  <c r="J2105" i="20" s="1"/>
  <c r="I2106" i="20"/>
  <c r="J2106" i="20" s="1"/>
  <c r="I2107" i="20"/>
  <c r="J2107" i="20" s="1"/>
  <c r="I2108" i="20"/>
  <c r="J2108" i="20" s="1"/>
  <c r="I2109" i="20"/>
  <c r="I2110" i="20"/>
  <c r="J2110" i="20" s="1"/>
  <c r="I2111" i="20"/>
  <c r="I2112" i="20"/>
  <c r="I2113" i="20"/>
  <c r="J2113" i="20" s="1"/>
  <c r="I2114" i="20"/>
  <c r="J2114" i="20" s="1"/>
  <c r="I2115" i="20"/>
  <c r="J2115" i="20" s="1"/>
  <c r="I2116" i="20"/>
  <c r="J2116" i="20" s="1"/>
  <c r="I2117" i="20"/>
  <c r="I2118" i="20"/>
  <c r="J2118" i="20" s="1"/>
  <c r="I2119" i="20"/>
  <c r="I2120" i="20"/>
  <c r="I2121" i="20"/>
  <c r="I2122" i="20"/>
  <c r="J2122" i="20" s="1"/>
  <c r="I2123" i="20"/>
  <c r="J2123" i="20" s="1"/>
  <c r="I2124" i="20"/>
  <c r="J2124" i="20" s="1"/>
  <c r="I2125" i="20"/>
  <c r="J2125" i="20" s="1"/>
  <c r="I2126" i="20"/>
  <c r="J2126" i="20" s="1"/>
  <c r="I2127" i="20"/>
  <c r="I2128" i="20"/>
  <c r="I2129" i="20"/>
  <c r="J2129" i="20" s="1"/>
  <c r="I2130" i="20"/>
  <c r="J2130" i="20" s="1"/>
  <c r="I2131" i="20"/>
  <c r="J2131" i="20" s="1"/>
  <c r="I2132" i="20"/>
  <c r="J2132" i="20" s="1"/>
  <c r="I2133" i="20"/>
  <c r="I2134" i="20"/>
  <c r="I2135" i="20"/>
  <c r="I2136" i="20"/>
  <c r="I2137" i="20"/>
  <c r="I2138" i="20"/>
  <c r="J2138" i="20" s="1"/>
  <c r="I2139" i="20"/>
  <c r="J2139" i="20" s="1"/>
  <c r="I2140" i="20"/>
  <c r="J2140" i="20" s="1"/>
  <c r="I2141" i="20"/>
  <c r="I2142" i="20"/>
  <c r="J2142" i="20" s="1"/>
  <c r="I2143" i="20"/>
  <c r="I2144" i="20"/>
  <c r="I2145" i="20"/>
  <c r="I2146" i="20"/>
  <c r="I2147" i="20"/>
  <c r="J2147" i="20" s="1"/>
  <c r="I2148" i="20"/>
  <c r="J2148" i="20" s="1"/>
  <c r="I2149" i="20"/>
  <c r="I2150" i="20"/>
  <c r="J2150" i="20" s="1"/>
  <c r="I2151" i="20"/>
  <c r="I2152" i="20"/>
  <c r="I2153" i="20"/>
  <c r="J2153" i="20" s="1"/>
  <c r="I2154" i="20"/>
  <c r="J2154" i="20" s="1"/>
  <c r="I2155" i="20"/>
  <c r="J2155" i="20" s="1"/>
  <c r="I2156" i="20"/>
  <c r="J2156" i="20" s="1"/>
  <c r="I2157" i="20"/>
  <c r="J2157" i="20" s="1"/>
  <c r="I2158" i="20"/>
  <c r="I2159" i="20"/>
  <c r="I2160" i="20"/>
  <c r="I2161" i="20"/>
  <c r="J2161" i="20" s="1"/>
  <c r="I2162" i="20"/>
  <c r="I2163" i="20"/>
  <c r="J2163" i="20" s="1"/>
  <c r="I2164" i="20"/>
  <c r="J2164" i="20" s="1"/>
  <c r="I2165" i="20"/>
  <c r="I2166" i="20"/>
  <c r="J2166" i="20" s="1"/>
  <c r="I2167" i="20"/>
  <c r="I2168" i="20"/>
  <c r="I2169" i="20"/>
  <c r="J2169" i="20" s="1"/>
  <c r="I2170" i="20"/>
  <c r="J2170" i="20" s="1"/>
  <c r="I2171" i="20"/>
  <c r="J2171" i="20" s="1"/>
  <c r="I2172" i="20"/>
  <c r="J2172" i="20" s="1"/>
  <c r="I2173" i="20"/>
  <c r="I2174" i="20"/>
  <c r="J2174" i="20" s="1"/>
  <c r="I2175" i="20"/>
  <c r="I2176" i="20"/>
  <c r="I2177" i="20"/>
  <c r="I2178" i="20"/>
  <c r="J2178" i="20" s="1"/>
  <c r="I2179" i="20"/>
  <c r="J2179" i="20" s="1"/>
  <c r="I2180" i="20"/>
  <c r="J2180" i="20" s="1"/>
  <c r="I2181" i="20"/>
  <c r="I2182" i="20"/>
  <c r="I2183" i="20"/>
  <c r="I2184" i="20"/>
  <c r="I2185" i="20"/>
  <c r="I2186" i="20"/>
  <c r="I2187" i="20"/>
  <c r="J2187" i="20" s="1"/>
  <c r="I2188" i="20"/>
  <c r="J2188" i="20" s="1"/>
  <c r="I2189" i="20"/>
  <c r="J2189" i="20" s="1"/>
  <c r="I2190" i="20"/>
  <c r="I2191" i="20"/>
  <c r="I2192" i="20"/>
  <c r="I2193" i="20"/>
  <c r="I2194" i="20"/>
  <c r="J2194" i="20" s="1"/>
  <c r="I2195" i="20"/>
  <c r="J2195" i="20" s="1"/>
  <c r="I2196" i="20"/>
  <c r="J2196" i="20" s="1"/>
  <c r="I2197" i="20"/>
  <c r="I2198" i="20"/>
  <c r="J2198" i="20" s="1"/>
  <c r="I2199" i="20"/>
  <c r="I2200" i="20"/>
  <c r="I2201" i="20"/>
  <c r="I2202" i="20"/>
  <c r="J2202" i="20" s="1"/>
  <c r="I2203" i="20"/>
  <c r="J2203" i="20" s="1"/>
  <c r="I2204" i="20"/>
  <c r="J2204" i="20" s="1"/>
  <c r="I2205" i="20"/>
  <c r="I2206" i="20"/>
  <c r="J2206" i="20" s="1"/>
  <c r="I2207" i="20"/>
  <c r="I2208" i="20"/>
  <c r="I2209" i="20"/>
  <c r="J2209" i="20" s="1"/>
  <c r="I2210" i="20"/>
  <c r="J2210" i="20" s="1"/>
  <c r="I2211" i="20"/>
  <c r="J2211" i="20" s="1"/>
  <c r="I2212" i="20"/>
  <c r="J2212" i="20" s="1"/>
  <c r="I2213" i="20"/>
  <c r="I2214" i="20"/>
  <c r="J2214" i="20" s="1"/>
  <c r="I2215" i="20"/>
  <c r="I2216" i="20"/>
  <c r="I2217" i="20"/>
  <c r="J2217" i="20" s="1"/>
  <c r="I2218" i="20"/>
  <c r="J2218" i="20" s="1"/>
  <c r="I2219" i="20"/>
  <c r="J2219" i="20" s="1"/>
  <c r="I2220" i="20"/>
  <c r="J2220" i="20" s="1"/>
  <c r="I2221" i="20"/>
  <c r="J2221" i="20" s="1"/>
  <c r="I2222" i="20"/>
  <c r="J2222" i="20" s="1"/>
  <c r="I2223" i="20"/>
  <c r="I2224" i="20"/>
  <c r="I2225" i="20"/>
  <c r="I2226" i="20"/>
  <c r="J2226" i="20" s="1"/>
  <c r="I2227" i="20"/>
  <c r="J2227" i="20" s="1"/>
  <c r="I2228" i="20"/>
  <c r="J2228" i="20" s="1"/>
  <c r="I2229" i="20"/>
  <c r="I2230" i="20"/>
  <c r="J2230" i="20" s="1"/>
  <c r="I2231" i="20"/>
  <c r="I2232" i="20"/>
  <c r="I2233" i="20"/>
  <c r="I2234" i="20"/>
  <c r="J2234" i="20" s="1"/>
  <c r="I2235" i="20"/>
  <c r="J2235" i="20" s="1"/>
  <c r="I2236" i="20"/>
  <c r="J2236" i="20" s="1"/>
  <c r="I2237" i="20"/>
  <c r="I2238" i="20"/>
  <c r="I2239" i="20"/>
  <c r="I2240" i="20"/>
  <c r="I2241" i="20"/>
  <c r="I2242" i="20"/>
  <c r="I2243" i="20"/>
  <c r="J2243" i="20" s="1"/>
  <c r="I2244" i="20"/>
  <c r="J2244" i="20" s="1"/>
  <c r="I2245" i="20"/>
  <c r="I2246" i="20"/>
  <c r="I2247" i="20"/>
  <c r="I2248" i="20"/>
  <c r="I2249" i="20"/>
  <c r="J2249" i="20" s="1"/>
  <c r="I2250" i="20"/>
  <c r="J2250" i="20" s="1"/>
  <c r="I2251" i="20"/>
  <c r="J2251" i="20" s="1"/>
  <c r="I2252" i="20"/>
  <c r="J2252" i="20" s="1"/>
  <c r="I2253" i="20"/>
  <c r="J2253" i="20" s="1"/>
  <c r="I2254" i="20"/>
  <c r="J2254" i="20" s="1"/>
  <c r="I2255" i="20"/>
  <c r="I2256" i="20"/>
  <c r="I2257" i="20"/>
  <c r="I2258" i="20"/>
  <c r="J2258" i="20" s="1"/>
  <c r="I2259" i="20"/>
  <c r="J2259" i="20" s="1"/>
  <c r="I2260" i="20"/>
  <c r="J2260" i="20" s="1"/>
  <c r="I2261" i="20"/>
  <c r="I2262" i="20"/>
  <c r="J2262" i="20" s="1"/>
  <c r="I2263" i="20"/>
  <c r="I2264" i="20"/>
  <c r="I2265" i="20"/>
  <c r="J2265" i="20" s="1"/>
  <c r="I2266" i="20"/>
  <c r="J2266" i="20" s="1"/>
  <c r="I2267" i="20"/>
  <c r="J2267" i="20" s="1"/>
  <c r="I2268" i="20"/>
  <c r="J2268" i="20" s="1"/>
  <c r="I2269" i="20"/>
  <c r="I2270" i="20"/>
  <c r="J2270" i="20" s="1"/>
  <c r="I2271" i="20"/>
  <c r="I2272" i="20"/>
  <c r="I2273" i="20"/>
  <c r="J2273" i="20" s="1"/>
  <c r="I2274" i="20"/>
  <c r="J2274" i="20" s="1"/>
  <c r="I2275" i="20"/>
  <c r="J2275" i="20" s="1"/>
  <c r="I2276" i="20"/>
  <c r="J2276" i="20" s="1"/>
  <c r="I2277" i="20"/>
  <c r="I2278" i="20"/>
  <c r="I2279" i="20"/>
  <c r="I2280" i="20"/>
  <c r="I2281" i="20"/>
  <c r="I2282" i="20"/>
  <c r="I2283" i="20"/>
  <c r="J2283" i="20" s="1"/>
  <c r="I2284" i="20"/>
  <c r="J2284" i="20" s="1"/>
  <c r="I2285" i="20"/>
  <c r="J2285" i="20" s="1"/>
  <c r="I2286" i="20"/>
  <c r="J2286" i="20" s="1"/>
  <c r="I2287" i="20"/>
  <c r="I2288" i="20"/>
  <c r="I2289" i="20"/>
  <c r="I2290" i="20"/>
  <c r="J2290" i="20" s="1"/>
  <c r="I2291" i="20"/>
  <c r="J2291" i="20" s="1"/>
  <c r="I2292" i="20"/>
  <c r="J2292" i="20" s="1"/>
  <c r="I2293" i="20"/>
  <c r="I2294" i="20"/>
  <c r="I2295" i="20"/>
  <c r="I2296" i="20"/>
  <c r="I2297" i="20"/>
  <c r="I2298" i="20"/>
  <c r="J2298" i="20" s="1"/>
  <c r="I2299" i="20"/>
  <c r="J2299" i="20" s="1"/>
  <c r="I2300" i="20"/>
  <c r="J2300" i="20" s="1"/>
  <c r="I2301" i="20"/>
  <c r="I2302" i="20"/>
  <c r="I2303" i="20"/>
  <c r="I2304" i="20"/>
  <c r="I2305" i="20"/>
  <c r="J2305" i="20" s="1"/>
  <c r="I2306" i="20"/>
  <c r="J2306" i="20" s="1"/>
  <c r="I2307" i="20"/>
  <c r="J2307" i="20" s="1"/>
  <c r="I2308" i="20"/>
  <c r="J2308" i="20" s="1"/>
  <c r="I2309" i="20"/>
  <c r="I2310" i="20"/>
  <c r="J2310" i="20" s="1"/>
  <c r="I2311" i="20"/>
  <c r="I2312" i="20"/>
  <c r="I2313" i="20"/>
  <c r="I2314" i="20"/>
  <c r="J2314" i="20" s="1"/>
  <c r="I2315" i="20"/>
  <c r="J2315" i="20" s="1"/>
  <c r="I2316" i="20"/>
  <c r="J2316" i="20" s="1"/>
  <c r="I2317" i="20"/>
  <c r="J2317" i="20" s="1"/>
  <c r="I2318" i="20"/>
  <c r="J2318" i="20" s="1"/>
  <c r="I2319" i="20"/>
  <c r="I2320" i="20"/>
  <c r="I2321" i="20"/>
  <c r="J2321" i="20" s="1"/>
  <c r="I2322" i="20"/>
  <c r="J2322" i="20" s="1"/>
  <c r="I2323" i="20"/>
  <c r="J2323" i="20" s="1"/>
  <c r="I2324" i="20"/>
  <c r="J2324" i="20" s="1"/>
  <c r="I2325" i="20"/>
  <c r="I2326" i="20"/>
  <c r="J2326" i="20" s="1"/>
  <c r="I2327" i="20"/>
  <c r="I2328" i="20"/>
  <c r="I2329" i="20"/>
  <c r="J2329" i="20" s="1"/>
  <c r="I2330" i="20"/>
  <c r="J2330" i="20" s="1"/>
  <c r="I2331" i="20"/>
  <c r="J2331" i="20" s="1"/>
  <c r="I2332" i="20"/>
  <c r="J2332" i="20" s="1"/>
  <c r="I2333" i="20"/>
  <c r="I2334" i="20"/>
  <c r="I2335" i="20"/>
  <c r="I2336" i="20"/>
  <c r="I2337" i="20"/>
  <c r="I2338" i="20"/>
  <c r="I2339" i="20"/>
  <c r="J2339" i="20" s="1"/>
  <c r="I2340" i="20"/>
  <c r="J2340" i="20" s="1"/>
  <c r="I2341" i="20"/>
  <c r="I2342" i="20"/>
  <c r="J2342" i="20" s="1"/>
  <c r="I2343" i="20"/>
  <c r="I2344" i="20"/>
  <c r="I2345" i="20"/>
  <c r="I2346" i="20"/>
  <c r="J2346" i="20" s="1"/>
  <c r="I2347" i="20"/>
  <c r="J2347" i="20" s="1"/>
  <c r="I2348" i="20"/>
  <c r="J2348" i="20" s="1"/>
  <c r="I2349" i="20"/>
  <c r="J2349" i="20" s="1"/>
  <c r="I2350" i="20"/>
  <c r="I2351" i="20"/>
  <c r="I2352" i="20"/>
  <c r="I2353" i="20"/>
  <c r="I2354" i="20"/>
  <c r="J2354" i="20" s="1"/>
  <c r="I2355" i="20"/>
  <c r="J2355" i="20" s="1"/>
  <c r="I2356" i="20"/>
  <c r="J2356" i="20" s="1"/>
  <c r="I2357" i="20"/>
  <c r="I2358" i="20"/>
  <c r="I2359" i="20"/>
  <c r="I2360" i="20"/>
  <c r="I2361" i="20"/>
  <c r="J2361" i="20" s="1"/>
  <c r="I2362" i="20"/>
  <c r="I2363" i="20"/>
  <c r="J2363" i="20" s="1"/>
  <c r="I2364" i="20"/>
  <c r="J2364" i="20" s="1"/>
  <c r="I2365" i="20"/>
  <c r="I2366" i="20"/>
  <c r="J2366" i="20" s="1"/>
  <c r="I2367" i="20"/>
  <c r="I2368" i="20"/>
  <c r="I2369" i="20"/>
  <c r="I2370" i="20"/>
  <c r="J2370" i="20" s="1"/>
  <c r="I2371" i="20"/>
  <c r="J2371" i="20" s="1"/>
  <c r="I2372" i="20"/>
  <c r="J2372" i="20" s="1"/>
  <c r="I2373" i="20"/>
  <c r="I2374" i="20"/>
  <c r="J2374" i="20" s="1"/>
  <c r="I2375" i="20"/>
  <c r="I2376" i="20"/>
  <c r="I2377" i="20"/>
  <c r="I2378" i="20"/>
  <c r="J2378" i="20" s="1"/>
  <c r="I2379" i="20"/>
  <c r="J2379" i="20" s="1"/>
  <c r="I2380" i="20"/>
  <c r="J2380" i="20" s="1"/>
  <c r="I2381" i="20"/>
  <c r="J2381" i="20" s="1"/>
  <c r="I2382" i="20"/>
  <c r="J2382" i="20" s="1"/>
  <c r="I2383" i="20"/>
  <c r="I2384" i="20"/>
  <c r="I2385" i="20"/>
  <c r="J2385" i="20" s="1"/>
  <c r="I2386" i="20"/>
  <c r="J2386" i="20" s="1"/>
  <c r="I2387" i="20"/>
  <c r="J2387" i="20" s="1"/>
  <c r="I2388" i="20"/>
  <c r="J2388" i="20" s="1"/>
  <c r="I2389" i="20"/>
  <c r="I2390" i="20"/>
  <c r="I2391" i="20"/>
  <c r="I2392" i="20"/>
  <c r="I2393" i="20"/>
  <c r="I2394" i="20"/>
  <c r="J2394" i="20" s="1"/>
  <c r="I2395" i="20"/>
  <c r="J2395" i="20" s="1"/>
  <c r="I2396" i="20"/>
  <c r="J2396" i="20" s="1"/>
  <c r="I2397" i="20"/>
  <c r="I2398" i="20"/>
  <c r="J2398" i="20" s="1"/>
  <c r="I2399" i="20"/>
  <c r="I2400" i="20"/>
  <c r="I2401" i="20"/>
  <c r="I2402" i="20"/>
  <c r="I2403" i="20"/>
  <c r="J2403" i="20" s="1"/>
  <c r="I2404" i="20"/>
  <c r="J2404" i="20" s="1"/>
  <c r="I2405" i="20"/>
  <c r="I2406" i="20"/>
  <c r="J2406" i="20" s="1"/>
  <c r="I2407" i="20"/>
  <c r="I2408" i="20"/>
  <c r="I2409" i="20"/>
  <c r="J2409" i="20" s="1"/>
  <c r="I2410" i="20"/>
  <c r="J2410" i="20" s="1"/>
  <c r="I2411" i="20"/>
  <c r="J2411" i="20" s="1"/>
  <c r="I2412" i="20"/>
  <c r="J2412" i="20" s="1"/>
  <c r="I2413" i="20"/>
  <c r="J2413" i="20" s="1"/>
  <c r="I2414" i="20"/>
  <c r="I2415" i="20"/>
  <c r="I2416" i="20"/>
  <c r="I2417" i="20"/>
  <c r="J2417" i="20" s="1"/>
  <c r="I2418" i="20"/>
  <c r="I2419" i="20"/>
  <c r="J2419" i="20" s="1"/>
  <c r="I2420" i="20"/>
  <c r="J2420" i="20" s="1"/>
  <c r="I2421" i="20"/>
  <c r="I2422" i="20"/>
  <c r="J2422" i="20" s="1"/>
  <c r="I2423" i="20"/>
  <c r="I2424" i="20"/>
  <c r="I2425" i="20"/>
  <c r="I2426" i="20"/>
  <c r="J2426" i="20" s="1"/>
  <c r="I2427" i="20"/>
  <c r="J2427" i="20" s="1"/>
  <c r="I2428" i="20"/>
  <c r="J2428" i="20" s="1"/>
  <c r="I2429" i="20"/>
  <c r="I2430" i="20"/>
  <c r="J2430" i="20" s="1"/>
  <c r="I2431" i="20"/>
  <c r="I2432" i="20"/>
  <c r="I2433" i="20"/>
  <c r="I2434" i="20"/>
  <c r="J2434" i="20" s="1"/>
  <c r="I2435" i="20"/>
  <c r="J2435" i="20" s="1"/>
  <c r="I2436" i="20"/>
  <c r="J2436" i="20" s="1"/>
  <c r="I2437" i="20"/>
  <c r="I2438" i="20"/>
  <c r="I2439" i="20"/>
  <c r="I2440" i="20"/>
  <c r="I2441" i="20"/>
  <c r="I2442" i="20"/>
  <c r="J2442" i="20" s="1"/>
  <c r="I2443" i="20"/>
  <c r="J2443" i="20" s="1"/>
  <c r="I2444" i="20"/>
  <c r="J2444" i="20" s="1"/>
  <c r="I2445" i="20"/>
  <c r="J2445" i="20" s="1"/>
  <c r="I2446" i="20"/>
  <c r="J2446" i="20" s="1"/>
  <c r="I2447" i="20"/>
  <c r="I2448" i="20"/>
  <c r="I2449" i="20"/>
  <c r="I2450" i="20"/>
  <c r="J2450" i="20" s="1"/>
  <c r="I2451" i="20"/>
  <c r="J2451" i="20" s="1"/>
  <c r="I2452" i="20"/>
  <c r="J2452" i="20" s="1"/>
  <c r="I2453" i="20"/>
  <c r="I2454" i="20"/>
  <c r="J2454" i="20" s="1"/>
  <c r="I2455" i="20"/>
  <c r="I2456" i="20"/>
  <c r="I2457" i="20"/>
  <c r="I2458" i="20"/>
  <c r="J2458" i="20" s="1"/>
  <c r="I2459" i="20"/>
  <c r="J2459" i="20" s="1"/>
  <c r="I2460" i="20"/>
  <c r="J2460" i="20" s="1"/>
  <c r="I2461" i="20"/>
  <c r="I2462" i="20"/>
  <c r="J2462" i="20" s="1"/>
  <c r="I2463" i="20"/>
  <c r="I2464" i="20"/>
  <c r="I2465" i="20"/>
  <c r="J2465" i="20" s="1"/>
  <c r="I2466" i="20"/>
  <c r="J2466" i="20" s="1"/>
  <c r="I2467" i="20"/>
  <c r="J2467" i="20" s="1"/>
  <c r="I2468" i="20"/>
  <c r="J2468" i="20" s="1"/>
  <c r="I2469" i="20"/>
  <c r="I2470" i="20"/>
  <c r="J2470" i="20" s="1"/>
  <c r="I2471" i="20"/>
  <c r="I2472" i="20"/>
  <c r="I2473" i="20"/>
  <c r="J2473" i="20" s="1"/>
  <c r="I2474" i="20"/>
  <c r="J2474" i="20" s="1"/>
  <c r="I2475" i="20"/>
  <c r="J2475" i="20" s="1"/>
  <c r="I2476" i="20"/>
  <c r="J2476" i="20" s="1"/>
  <c r="I2477" i="20"/>
  <c r="J2477" i="20" s="1"/>
  <c r="I2478" i="20"/>
  <c r="J2478" i="20" s="1"/>
  <c r="I2479" i="20"/>
  <c r="I2480" i="20"/>
  <c r="I2481" i="20"/>
  <c r="I2482" i="20"/>
  <c r="J2482" i="20" s="1"/>
  <c r="I2483" i="20"/>
  <c r="J2483" i="20" s="1"/>
  <c r="I2484" i="20"/>
  <c r="J2484" i="20" s="1"/>
  <c r="I2485" i="20"/>
  <c r="I2486" i="20"/>
  <c r="J2486" i="20" s="1"/>
  <c r="I2487" i="20"/>
  <c r="I2488" i="20"/>
  <c r="I2489" i="20"/>
  <c r="I2490" i="20"/>
  <c r="J2490" i="20" s="1"/>
  <c r="I2491" i="20"/>
  <c r="J2491" i="20" s="1"/>
  <c r="I2492" i="20"/>
  <c r="J2492" i="20" s="1"/>
  <c r="I2493" i="20"/>
  <c r="I2494" i="20"/>
  <c r="I2495" i="20"/>
  <c r="I2496" i="20"/>
  <c r="I2497" i="20"/>
  <c r="I2498" i="20"/>
  <c r="I2499" i="20"/>
  <c r="J2499" i="20" s="1"/>
  <c r="I2500" i="20"/>
  <c r="J2500" i="20" s="1"/>
  <c r="I2501" i="20"/>
  <c r="I2502" i="20"/>
  <c r="I2503" i="20"/>
  <c r="I2504" i="20"/>
  <c r="I2505" i="20"/>
  <c r="J2505" i="20" s="1"/>
  <c r="I2506" i="20"/>
  <c r="J2506" i="20" s="1"/>
  <c r="I2507" i="20"/>
  <c r="J2507" i="20" s="1"/>
  <c r="I2508" i="20"/>
  <c r="J2508" i="20" s="1"/>
  <c r="I2509" i="20"/>
  <c r="J2509" i="20" s="1"/>
  <c r="I2510" i="20"/>
  <c r="J2510" i="20" s="1"/>
  <c r="I2511" i="20"/>
  <c r="I2512" i="20"/>
  <c r="I2513" i="20"/>
  <c r="I2514" i="20"/>
  <c r="J2514" i="20" s="1"/>
  <c r="I2515" i="20"/>
  <c r="J2515" i="20" s="1"/>
  <c r="I2516" i="20"/>
  <c r="J2516" i="20" s="1"/>
  <c r="I2517" i="20"/>
  <c r="I2518" i="20"/>
  <c r="J2518" i="20" s="1"/>
  <c r="I2519" i="20"/>
  <c r="I2520" i="20"/>
  <c r="I2521" i="20"/>
  <c r="J2521" i="20" s="1"/>
  <c r="I2522" i="20"/>
  <c r="J2522" i="20" s="1"/>
  <c r="I2523" i="20"/>
  <c r="J2523" i="20" s="1"/>
  <c r="I2524" i="20"/>
  <c r="J2524" i="20" s="1"/>
  <c r="I2525" i="20"/>
  <c r="I2526" i="20"/>
  <c r="J2526" i="20" s="1"/>
  <c r="I2527" i="20"/>
  <c r="I2528" i="20"/>
  <c r="I2529" i="20"/>
  <c r="J2529" i="20" s="1"/>
  <c r="I2530" i="20"/>
  <c r="J2530" i="20" s="1"/>
  <c r="I2531" i="20"/>
  <c r="J2531" i="20" s="1"/>
  <c r="I2532" i="20"/>
  <c r="J2532" i="20" s="1"/>
  <c r="I2533" i="20"/>
  <c r="I2534" i="20"/>
  <c r="I2535" i="20"/>
  <c r="I2536" i="20"/>
  <c r="I2537" i="20"/>
  <c r="I2538" i="20"/>
  <c r="I2539" i="20"/>
  <c r="J2539" i="20" s="1"/>
  <c r="I2540" i="20"/>
  <c r="J2540" i="20" s="1"/>
  <c r="I2541" i="20"/>
  <c r="J2541" i="20" s="1"/>
  <c r="I2542" i="20"/>
  <c r="J2542" i="20" s="1"/>
  <c r="I2543" i="20"/>
  <c r="I2544" i="20"/>
  <c r="I2545" i="20"/>
  <c r="I2546" i="20"/>
  <c r="J2546" i="20" s="1"/>
  <c r="I2547" i="20"/>
  <c r="J2547" i="20" s="1"/>
  <c r="I2548" i="20"/>
  <c r="J2548" i="20" s="1"/>
  <c r="I2549" i="20"/>
  <c r="I2550" i="20"/>
  <c r="I2551" i="20"/>
  <c r="I2552" i="20"/>
  <c r="I2553" i="20"/>
  <c r="I2554" i="20"/>
  <c r="J2554" i="20" s="1"/>
  <c r="I2555" i="20"/>
  <c r="J2555" i="20" s="1"/>
  <c r="I2556" i="20"/>
  <c r="J2556" i="20" s="1"/>
  <c r="I2557" i="20"/>
  <c r="I2558" i="20"/>
  <c r="J2558" i="20" s="1"/>
  <c r="I2559" i="20"/>
  <c r="I2560" i="20"/>
  <c r="I2561" i="20"/>
  <c r="J2561" i="20" s="1"/>
  <c r="I2562" i="20"/>
  <c r="J2562" i="20" s="1"/>
  <c r="I2563" i="20"/>
  <c r="J2563" i="20" s="1"/>
  <c r="I2564" i="20"/>
  <c r="J2564" i="20" s="1"/>
  <c r="I2565" i="20"/>
  <c r="I2566" i="20"/>
  <c r="J2566" i="20" s="1"/>
  <c r="I2567" i="20"/>
  <c r="I2568" i="20"/>
  <c r="I2569" i="20"/>
  <c r="I2570" i="20"/>
  <c r="J2570" i="20" s="1"/>
  <c r="I2571" i="20"/>
  <c r="J2571" i="20" s="1"/>
  <c r="I2572" i="20"/>
  <c r="J2572" i="20" s="1"/>
  <c r="I2573" i="20"/>
  <c r="I2574" i="20"/>
  <c r="J2574" i="20" s="1"/>
  <c r="I2575" i="20"/>
  <c r="I2576" i="20"/>
  <c r="I2577" i="20"/>
  <c r="I2578" i="20"/>
  <c r="I2579" i="20"/>
  <c r="J2579" i="20" s="1"/>
  <c r="I2580" i="20"/>
  <c r="J2580" i="20" s="1"/>
  <c r="I2581" i="20"/>
  <c r="I2582" i="20"/>
  <c r="I2583" i="20"/>
  <c r="I2584" i="20"/>
  <c r="I2585" i="20"/>
  <c r="I2586" i="20"/>
  <c r="J2586" i="20" s="1"/>
  <c r="I2587" i="20"/>
  <c r="J2587" i="20" s="1"/>
  <c r="I2588" i="20"/>
  <c r="J2588" i="20" s="1"/>
  <c r="I2589" i="20"/>
  <c r="I2590" i="20"/>
  <c r="I2591" i="20"/>
  <c r="I2592" i="20"/>
  <c r="I2593" i="20"/>
  <c r="J2593" i="20" s="1"/>
  <c r="I2594" i="20"/>
  <c r="J2594" i="20" s="1"/>
  <c r="I2595" i="20"/>
  <c r="J2595" i="20" s="1"/>
  <c r="I2596" i="20"/>
  <c r="J2596" i="20" s="1"/>
  <c r="I2597" i="20"/>
  <c r="I2598" i="20"/>
  <c r="J2598" i="20" s="1"/>
  <c r="I2599" i="20"/>
  <c r="I2600" i="20"/>
  <c r="I2601" i="20"/>
  <c r="I2602" i="20"/>
  <c r="J2602" i="20" s="1"/>
  <c r="I2603" i="20"/>
  <c r="J2603" i="20" s="1"/>
  <c r="I2604" i="20"/>
  <c r="J2604" i="20" s="1"/>
  <c r="I2605" i="20"/>
  <c r="I2606" i="20"/>
  <c r="J2606" i="20" s="1"/>
  <c r="I2607" i="20"/>
  <c r="I2608" i="20"/>
  <c r="I2609" i="20"/>
  <c r="I2610" i="20"/>
  <c r="J2610" i="20" s="1"/>
  <c r="I2611" i="20"/>
  <c r="J2611" i="20" s="1"/>
  <c r="I2612" i="20"/>
  <c r="J2612" i="20" s="1"/>
  <c r="I2613" i="20"/>
  <c r="I2614" i="20"/>
  <c r="J2614" i="20" s="1"/>
  <c r="I2615" i="20"/>
  <c r="I2616" i="20"/>
  <c r="I2617" i="20"/>
  <c r="I2618" i="20"/>
  <c r="J2618" i="20" s="1"/>
  <c r="I2619" i="20"/>
  <c r="J2619" i="20" s="1"/>
  <c r="I2620" i="20"/>
  <c r="J2620" i="20" s="1"/>
  <c r="I2621" i="20"/>
  <c r="I2622" i="20"/>
  <c r="J2622" i="20" s="1"/>
  <c r="I2623" i="20"/>
  <c r="I2624" i="20"/>
  <c r="I2625" i="20"/>
  <c r="I2626" i="20"/>
  <c r="I2627" i="20"/>
  <c r="J2627" i="20" s="1"/>
  <c r="I2628" i="20"/>
  <c r="J2628" i="20" s="1"/>
  <c r="I2629" i="20"/>
  <c r="I2630" i="20"/>
  <c r="I2631" i="20"/>
  <c r="I2632" i="20"/>
  <c r="I2633" i="20"/>
  <c r="I2634" i="20"/>
  <c r="J2634" i="20" s="1"/>
  <c r="I2635" i="20"/>
  <c r="J2635" i="20" s="1"/>
  <c r="I2636" i="20"/>
  <c r="J2636" i="20" s="1"/>
  <c r="I2637" i="20"/>
  <c r="I2638" i="20"/>
  <c r="I2639" i="20"/>
  <c r="I2640" i="20"/>
  <c r="I2641" i="20"/>
  <c r="J2641" i="20" s="1"/>
  <c r="I2642" i="20"/>
  <c r="J2642" i="20" s="1"/>
  <c r="I2643" i="20"/>
  <c r="J2643" i="20" s="1"/>
  <c r="I2644" i="20"/>
  <c r="J2644" i="20" s="1"/>
  <c r="I2645" i="20"/>
  <c r="I2646" i="20"/>
  <c r="J2646" i="20" s="1"/>
  <c r="I2647" i="20"/>
  <c r="I2648" i="20"/>
  <c r="I2649" i="20"/>
  <c r="I2650" i="20"/>
  <c r="I2651" i="20"/>
  <c r="J2651" i="20" s="1"/>
  <c r="I2652" i="20"/>
  <c r="J2652" i="20" s="1"/>
  <c r="I2653" i="20"/>
  <c r="I2654" i="20"/>
  <c r="J2654" i="20" s="1"/>
  <c r="I2655" i="20"/>
  <c r="I2656" i="20"/>
  <c r="I2657" i="20"/>
  <c r="I2658" i="20"/>
  <c r="J2658" i="20" s="1"/>
  <c r="I2659" i="20"/>
  <c r="J2659" i="20" s="1"/>
  <c r="I2660" i="20"/>
  <c r="J2660" i="20" s="1"/>
  <c r="I2661" i="20"/>
  <c r="I2662" i="20"/>
  <c r="J2662" i="20" s="1"/>
  <c r="I2663" i="20"/>
  <c r="I2664" i="20"/>
  <c r="I2665" i="20"/>
  <c r="J2665" i="20" s="1"/>
  <c r="I2666" i="20"/>
  <c r="J2666" i="20" s="1"/>
  <c r="I2667" i="20"/>
  <c r="J2667" i="20" s="1"/>
  <c r="I2668" i="20"/>
  <c r="J2668" i="20" s="1"/>
  <c r="I2669" i="20"/>
  <c r="I2670" i="20"/>
  <c r="I2671" i="20"/>
  <c r="I2672" i="20"/>
  <c r="I2673" i="20"/>
  <c r="I2674" i="20"/>
  <c r="J2674" i="20" s="1"/>
  <c r="I2675" i="20"/>
  <c r="J2675" i="20" s="1"/>
  <c r="I2676" i="20"/>
  <c r="J2676" i="20" s="1"/>
  <c r="I2677" i="20"/>
  <c r="I2678" i="20"/>
  <c r="J2678" i="20" s="1"/>
  <c r="I2679" i="20"/>
  <c r="I2680" i="20"/>
  <c r="I2681" i="20"/>
  <c r="J2681" i="20" s="1"/>
  <c r="I2682" i="20"/>
  <c r="J2682" i="20" s="1"/>
  <c r="I2683" i="20"/>
  <c r="J2683" i="20" s="1"/>
  <c r="I2684" i="20"/>
  <c r="J2684" i="20" s="1"/>
  <c r="I2685" i="20"/>
  <c r="I2686" i="20"/>
  <c r="I2687" i="20"/>
  <c r="I2688" i="20"/>
  <c r="I2689" i="20"/>
  <c r="J2689" i="20" s="1"/>
  <c r="I2690" i="20"/>
  <c r="J2690" i="20" s="1"/>
  <c r="I2691" i="20"/>
  <c r="J2691" i="20" s="1"/>
  <c r="I2692" i="20"/>
  <c r="J2692" i="20" s="1"/>
  <c r="I2693" i="20"/>
  <c r="I2694" i="20"/>
  <c r="J2694" i="20" s="1"/>
  <c r="I2695" i="20"/>
  <c r="I2696" i="20"/>
  <c r="I2697" i="20"/>
  <c r="I2698" i="20"/>
  <c r="J2698" i="20" s="1"/>
  <c r="I2699" i="20"/>
  <c r="J2699" i="20" s="1"/>
  <c r="I2700" i="20"/>
  <c r="J2700" i="20" s="1"/>
  <c r="I2701" i="20"/>
  <c r="I2702" i="20"/>
  <c r="J2702" i="20" s="1"/>
  <c r="I2703" i="20"/>
  <c r="I2704" i="20"/>
  <c r="I2705" i="20"/>
  <c r="I2706" i="20"/>
  <c r="J2706" i="20" s="1"/>
  <c r="I2707" i="20"/>
  <c r="J2707" i="20" s="1"/>
  <c r="I2708" i="20"/>
  <c r="J2708" i="20" s="1"/>
  <c r="I2709" i="20"/>
  <c r="I2710" i="20"/>
  <c r="J2710" i="20" s="1"/>
  <c r="I2711" i="20"/>
  <c r="I2712" i="20"/>
  <c r="I2713" i="20"/>
  <c r="I2714" i="20"/>
  <c r="J2714" i="20" s="1"/>
  <c r="I2715" i="20"/>
  <c r="J2715" i="20" s="1"/>
  <c r="I2716" i="20"/>
  <c r="J2716" i="20" s="1"/>
  <c r="I2717" i="20"/>
  <c r="I2718" i="20"/>
  <c r="I2719" i="20"/>
  <c r="I2720" i="20"/>
  <c r="I2721" i="20"/>
  <c r="J2721" i="20" s="1"/>
  <c r="I2722" i="20"/>
  <c r="J2722" i="20" s="1"/>
  <c r="I2723" i="20"/>
  <c r="J2723" i="20" s="1"/>
  <c r="I2724" i="20"/>
  <c r="J2724" i="20" s="1"/>
  <c r="I2725" i="20"/>
  <c r="I2726" i="20"/>
  <c r="I2727" i="20"/>
  <c r="I2728" i="20"/>
  <c r="I2729" i="20"/>
  <c r="I2730" i="20"/>
  <c r="J2730" i="20" s="1"/>
  <c r="I2731" i="20"/>
  <c r="J2731" i="20" s="1"/>
  <c r="I2732" i="20"/>
  <c r="J2732" i="20" s="1"/>
  <c r="I2733" i="20"/>
  <c r="I2734" i="20"/>
  <c r="J2734" i="20" s="1"/>
  <c r="I2735" i="20"/>
  <c r="I2736" i="20"/>
  <c r="I2737" i="20"/>
  <c r="I2738" i="20"/>
  <c r="J2738" i="20" s="1"/>
  <c r="I2739" i="20"/>
  <c r="J2739" i="20" s="1"/>
  <c r="I2740" i="20"/>
  <c r="J2740" i="20" s="1"/>
  <c r="I2741" i="20"/>
  <c r="I2742" i="20"/>
  <c r="J2742" i="20" s="1"/>
  <c r="I2743" i="20"/>
  <c r="I2744" i="20"/>
  <c r="I2745" i="20"/>
  <c r="I2746" i="20"/>
  <c r="J2746" i="20" s="1"/>
  <c r="I2747" i="20"/>
  <c r="J2747" i="20" s="1"/>
  <c r="I2748" i="20"/>
  <c r="J2748" i="20" s="1"/>
  <c r="I2749" i="20"/>
  <c r="I2750" i="20"/>
  <c r="J2750" i="20" s="1"/>
  <c r="I2751" i="20"/>
  <c r="I2752" i="20"/>
  <c r="I2753" i="20"/>
  <c r="I2754" i="20"/>
  <c r="J2754" i="20" s="1"/>
  <c r="I2755" i="20"/>
  <c r="J2755" i="20" s="1"/>
  <c r="I2756" i="20"/>
  <c r="J2756" i="20" s="1"/>
  <c r="I2757" i="20"/>
  <c r="I2758" i="20"/>
  <c r="J2758" i="20" s="1"/>
  <c r="I2759" i="20"/>
  <c r="I2760" i="20"/>
  <c r="I2761" i="20"/>
  <c r="I2762" i="20"/>
  <c r="J2762" i="20" s="1"/>
  <c r="I2763" i="20"/>
  <c r="J2763" i="20" s="1"/>
  <c r="I2764" i="20"/>
  <c r="J2764" i="20" s="1"/>
  <c r="I2765" i="20"/>
  <c r="I2766" i="20"/>
  <c r="I2767" i="20"/>
  <c r="I2768" i="20"/>
  <c r="I2769" i="20"/>
  <c r="J2769" i="20" s="1"/>
  <c r="I2770" i="20"/>
  <c r="J2770" i="20" s="1"/>
  <c r="I2771" i="20"/>
  <c r="J2771" i="20" s="1"/>
  <c r="I2772" i="20"/>
  <c r="J2772" i="20" s="1"/>
  <c r="I2773" i="20"/>
  <c r="I2774" i="20"/>
  <c r="J2774" i="20" s="1"/>
  <c r="I2775" i="20"/>
  <c r="I2776" i="20"/>
  <c r="I2777" i="20"/>
  <c r="I2778" i="20"/>
  <c r="J2778" i="20" s="1"/>
  <c r="I2779" i="20"/>
  <c r="J2779" i="20" s="1"/>
  <c r="I2780" i="20"/>
  <c r="J2780" i="20" s="1"/>
  <c r="I2781" i="20"/>
  <c r="I2782" i="20"/>
  <c r="J2782" i="20" s="1"/>
  <c r="I2783" i="20"/>
  <c r="I2784" i="20"/>
  <c r="I2785" i="20"/>
  <c r="I2786" i="20"/>
  <c r="I2787" i="20"/>
  <c r="J2787" i="20" s="1"/>
  <c r="I2788" i="20"/>
  <c r="J2788" i="20" s="1"/>
  <c r="I2789" i="20"/>
  <c r="I2790" i="20"/>
  <c r="J2790" i="20" s="1"/>
  <c r="I2791" i="20"/>
  <c r="I2792" i="20"/>
  <c r="I2793" i="20"/>
  <c r="J2793" i="20" s="1"/>
  <c r="I2794" i="20"/>
  <c r="J2794" i="20" s="1"/>
  <c r="I2795" i="20"/>
  <c r="J2795" i="20" s="1"/>
  <c r="I2796" i="20"/>
  <c r="J2796" i="20" s="1"/>
  <c r="I2797" i="20"/>
  <c r="I2798" i="20"/>
  <c r="I2799" i="20"/>
  <c r="I2800" i="20"/>
  <c r="I2801" i="20"/>
  <c r="I2802" i="20"/>
  <c r="J2802" i="20" s="1"/>
  <c r="I2803" i="20"/>
  <c r="J2803" i="20" s="1"/>
  <c r="I2804" i="20"/>
  <c r="J2804" i="20" s="1"/>
  <c r="I2805" i="20"/>
  <c r="I2806" i="20"/>
  <c r="J2806" i="20" s="1"/>
  <c r="I2807" i="20"/>
  <c r="I2808" i="20"/>
  <c r="I2809" i="20"/>
  <c r="J2809" i="20" s="1"/>
  <c r="I2810" i="20"/>
  <c r="I2811" i="20"/>
  <c r="J2811" i="20" s="1"/>
  <c r="I2812" i="20"/>
  <c r="J2812" i="20" s="1"/>
  <c r="I2813" i="20"/>
  <c r="I2814" i="20"/>
  <c r="J2814" i="20" s="1"/>
  <c r="I2815" i="20"/>
  <c r="I2816" i="20"/>
  <c r="I2817" i="20"/>
  <c r="J2817" i="20" s="1"/>
  <c r="I2818" i="20"/>
  <c r="J2818" i="20" s="1"/>
  <c r="I2819" i="20"/>
  <c r="J2819" i="20" s="1"/>
  <c r="I2820" i="20"/>
  <c r="J2820" i="20" s="1"/>
  <c r="I2821" i="20"/>
  <c r="I2822" i="20"/>
  <c r="J2822" i="20" s="1"/>
  <c r="I2823" i="20"/>
  <c r="I2824" i="20"/>
  <c r="I2825" i="20"/>
  <c r="I2826" i="20"/>
  <c r="J2826" i="20" s="1"/>
  <c r="I2827" i="20"/>
  <c r="J2827" i="20" s="1"/>
  <c r="I2828" i="20"/>
  <c r="J2828" i="20" s="1"/>
  <c r="I2829" i="20"/>
  <c r="I2830" i="20"/>
  <c r="J2830" i="20" s="1"/>
  <c r="I2831" i="20"/>
  <c r="I2832" i="20"/>
  <c r="I2833" i="20"/>
  <c r="I2834" i="20"/>
  <c r="J2834" i="20" s="1"/>
  <c r="I2835" i="20"/>
  <c r="J2835" i="20" s="1"/>
  <c r="I2836" i="20"/>
  <c r="J2836" i="20" s="1"/>
  <c r="I2837" i="20"/>
  <c r="I2838" i="20"/>
  <c r="J2838" i="20" s="1"/>
  <c r="I2839" i="20"/>
  <c r="I2840" i="20"/>
  <c r="I2841" i="20"/>
  <c r="J2841" i="20" s="1"/>
  <c r="I2842" i="20"/>
  <c r="J2842" i="20" s="1"/>
  <c r="I2843" i="20"/>
  <c r="J2843" i="20" s="1"/>
  <c r="I2844" i="20"/>
  <c r="J2844" i="20" s="1"/>
  <c r="I2845" i="20"/>
  <c r="I2846" i="20"/>
  <c r="J2846" i="20" s="1"/>
  <c r="I2847" i="20"/>
  <c r="I2848" i="20"/>
  <c r="I2849" i="20"/>
  <c r="J2849" i="20" s="1"/>
  <c r="I2850" i="20"/>
  <c r="J2850" i="20" s="1"/>
  <c r="I2851" i="20"/>
  <c r="J2851" i="20" s="1"/>
  <c r="I2852" i="20"/>
  <c r="J2852" i="20" s="1"/>
  <c r="I2853" i="20"/>
  <c r="I2854" i="20"/>
  <c r="I2855" i="20"/>
  <c r="I2856" i="20"/>
  <c r="I2857" i="20"/>
  <c r="J2857" i="20" s="1"/>
  <c r="I2858" i="20"/>
  <c r="J2858" i="20" s="1"/>
  <c r="I2859" i="20"/>
  <c r="J2859" i="20" s="1"/>
  <c r="I2860" i="20"/>
  <c r="J2860" i="20" s="1"/>
  <c r="I2861" i="20"/>
  <c r="I2862" i="20"/>
  <c r="J2862" i="20" s="1"/>
  <c r="I2863" i="20"/>
  <c r="I2864" i="20"/>
  <c r="I2865" i="20"/>
  <c r="I2866" i="20"/>
  <c r="J2866" i="20" s="1"/>
  <c r="I2867" i="20"/>
  <c r="J2867" i="20" s="1"/>
  <c r="I2868" i="20"/>
  <c r="J2868" i="20" s="1"/>
  <c r="I2869" i="20"/>
  <c r="I2870" i="20"/>
  <c r="J2870" i="20" s="1"/>
  <c r="I2871" i="20"/>
  <c r="I2872" i="20"/>
  <c r="I2873" i="20"/>
  <c r="J1885" i="20"/>
  <c r="J1886" i="20"/>
  <c r="J1887" i="20"/>
  <c r="J1888" i="20"/>
  <c r="J1889" i="20"/>
  <c r="J1893" i="20"/>
  <c r="J1895" i="20"/>
  <c r="J1896" i="20"/>
  <c r="J1897" i="20"/>
  <c r="J1898" i="20"/>
  <c r="J1903" i="20"/>
  <c r="J1904" i="20"/>
  <c r="J1909" i="20"/>
  <c r="J1910" i="20"/>
  <c r="J1911" i="20"/>
  <c r="J1912" i="20"/>
  <c r="J1913" i="20"/>
  <c r="J1917" i="20"/>
  <c r="J1919" i="20"/>
  <c r="J1920" i="20"/>
  <c r="J1921" i="20"/>
  <c r="J1925" i="20"/>
  <c r="J1926" i="20"/>
  <c r="J1927" i="20"/>
  <c r="J1928" i="20"/>
  <c r="J1929" i="20"/>
  <c r="J1934" i="20"/>
  <c r="J1935" i="20"/>
  <c r="J1936" i="20"/>
  <c r="J1937" i="20"/>
  <c r="J1938" i="20"/>
  <c r="J1941" i="20"/>
  <c r="J1943" i="20"/>
  <c r="J1944" i="20"/>
  <c r="J1945" i="20"/>
  <c r="J1949" i="20"/>
  <c r="J1951" i="20"/>
  <c r="J1952" i="20"/>
  <c r="J1957" i="20"/>
  <c r="J1959" i="20"/>
  <c r="J1960" i="20"/>
  <c r="J1967" i="20"/>
  <c r="J1968" i="20"/>
  <c r="J1970" i="20"/>
  <c r="J1973" i="20"/>
  <c r="J1975" i="20"/>
  <c r="J1976" i="20"/>
  <c r="J1977" i="20"/>
  <c r="J1981" i="20"/>
  <c r="J1982" i="20"/>
  <c r="J1983" i="20"/>
  <c r="J1984" i="20"/>
  <c r="J1985" i="20"/>
  <c r="J1989" i="20"/>
  <c r="J1990" i="20"/>
  <c r="J1991" i="20"/>
  <c r="J1992" i="20"/>
  <c r="J1994" i="20"/>
  <c r="J1999" i="20"/>
  <c r="J2000" i="20"/>
  <c r="J2001" i="20"/>
  <c r="J2005" i="20"/>
  <c r="J2007" i="20"/>
  <c r="J2008" i="20"/>
  <c r="J2010" i="20"/>
  <c r="J2013" i="20"/>
  <c r="J2015" i="20"/>
  <c r="J2016" i="20"/>
  <c r="J2021" i="20"/>
  <c r="J2022" i="20"/>
  <c r="J2023" i="20"/>
  <c r="J2024" i="20"/>
  <c r="J2025" i="20"/>
  <c r="J2031" i="20"/>
  <c r="J2032" i="20"/>
  <c r="J2033" i="20"/>
  <c r="J2037" i="20"/>
  <c r="J2038" i="20"/>
  <c r="J2039" i="20"/>
  <c r="J2040" i="20"/>
  <c r="J2041" i="20"/>
  <c r="J2045" i="20"/>
  <c r="J2046" i="20"/>
  <c r="J2047" i="20"/>
  <c r="J2048" i="20"/>
  <c r="J2053" i="20"/>
  <c r="J2055" i="20"/>
  <c r="J2056" i="20"/>
  <c r="J2063" i="20"/>
  <c r="J2064" i="20"/>
  <c r="J2066" i="20"/>
  <c r="J2069" i="20"/>
  <c r="J2071" i="20"/>
  <c r="J2072" i="20"/>
  <c r="J2077" i="20"/>
  <c r="J2078" i="20"/>
  <c r="J2079" i="20"/>
  <c r="J2080" i="20"/>
  <c r="J2081" i="20"/>
  <c r="J2085" i="20"/>
  <c r="J2087" i="20"/>
  <c r="J2088" i="20"/>
  <c r="J2089" i="20"/>
  <c r="J2090" i="20"/>
  <c r="J2094" i="20"/>
  <c r="J2095" i="20"/>
  <c r="J2096" i="20"/>
  <c r="J2097" i="20"/>
  <c r="J2101" i="20"/>
  <c r="J2102" i="20"/>
  <c r="J2103" i="20"/>
  <c r="J2104" i="20"/>
  <c r="J2109" i="20"/>
  <c r="J2111" i="20"/>
  <c r="J2112" i="20"/>
  <c r="J2117" i="20"/>
  <c r="J2119" i="20"/>
  <c r="J2120" i="20"/>
  <c r="J2121" i="20"/>
  <c r="J2127" i="20"/>
  <c r="J2128" i="20"/>
  <c r="J2133" i="20"/>
  <c r="J2134" i="20"/>
  <c r="J2135" i="20"/>
  <c r="J2136" i="20"/>
  <c r="J2137" i="20"/>
  <c r="J2141" i="20"/>
  <c r="J2143" i="20"/>
  <c r="J2144" i="20"/>
  <c r="J2145" i="20"/>
  <c r="J2146" i="20"/>
  <c r="J2149" i="20"/>
  <c r="J2151" i="20"/>
  <c r="J2152" i="20"/>
  <c r="J2158" i="20"/>
  <c r="J2159" i="20"/>
  <c r="J2160" i="20"/>
  <c r="J2162" i="20"/>
  <c r="J2165" i="20"/>
  <c r="J2167" i="20"/>
  <c r="J2168" i="20"/>
  <c r="J2173" i="20"/>
  <c r="J2175" i="20"/>
  <c r="J2176" i="20"/>
  <c r="J2177" i="20"/>
  <c r="J2181" i="20"/>
  <c r="J2182" i="20"/>
  <c r="J2183" i="20"/>
  <c r="J2184" i="20"/>
  <c r="J2185" i="20"/>
  <c r="J2186" i="20"/>
  <c r="J2190" i="20"/>
  <c r="J2191" i="20"/>
  <c r="J2192" i="20"/>
  <c r="J2193" i="20"/>
  <c r="J2197" i="20"/>
  <c r="J2199" i="20"/>
  <c r="J2200" i="20"/>
  <c r="J2201" i="20"/>
  <c r="J2205" i="20"/>
  <c r="J2207" i="20"/>
  <c r="J2208" i="20"/>
  <c r="J2213" i="20"/>
  <c r="J2215" i="20"/>
  <c r="J2216" i="20"/>
  <c r="J2223" i="20"/>
  <c r="J2224" i="20"/>
  <c r="J2225" i="20"/>
  <c r="J2229" i="20"/>
  <c r="J2231" i="20"/>
  <c r="J2232" i="20"/>
  <c r="J2233" i="20"/>
  <c r="J2237" i="20"/>
  <c r="J2238" i="20"/>
  <c r="J2239" i="20"/>
  <c r="J2240" i="20"/>
  <c r="J2241" i="20"/>
  <c r="J2242" i="20"/>
  <c r="J2245" i="20"/>
  <c r="J2246" i="20"/>
  <c r="J2247" i="20"/>
  <c r="J2248" i="20"/>
  <c r="J2255" i="20"/>
  <c r="J2256" i="20"/>
  <c r="J2257" i="20"/>
  <c r="J2261" i="20"/>
  <c r="J2263" i="20"/>
  <c r="J2264" i="20"/>
  <c r="J2269" i="20"/>
  <c r="J2271" i="20"/>
  <c r="J2272" i="20"/>
  <c r="J2277" i="20"/>
  <c r="J2278" i="20"/>
  <c r="J2279" i="20"/>
  <c r="J2280" i="20"/>
  <c r="J2281" i="20"/>
  <c r="J2282" i="20"/>
  <c r="J2287" i="20"/>
  <c r="J2288" i="20"/>
  <c r="J2289" i="20"/>
  <c r="J2293" i="20"/>
  <c r="J2294" i="20"/>
  <c r="J2295" i="20"/>
  <c r="J2296" i="20"/>
  <c r="J2297" i="20"/>
  <c r="J2301" i="20"/>
  <c r="J2302" i="20"/>
  <c r="J2303" i="20"/>
  <c r="J2304" i="20"/>
  <c r="J2309" i="20"/>
  <c r="J2311" i="20"/>
  <c r="J2312" i="20"/>
  <c r="J2313" i="20"/>
  <c r="J2319" i="20"/>
  <c r="J2320" i="20"/>
  <c r="J2325" i="20"/>
  <c r="J2327" i="20"/>
  <c r="J2328" i="20"/>
  <c r="J2333" i="20"/>
  <c r="J2334" i="20"/>
  <c r="J2335" i="20"/>
  <c r="J2336" i="20"/>
  <c r="J2337" i="20"/>
  <c r="J2338" i="20"/>
  <c r="J2341" i="20"/>
  <c r="J2343" i="20"/>
  <c r="J2344" i="20"/>
  <c r="J2345" i="20"/>
  <c r="J2350" i="20"/>
  <c r="J2351" i="20"/>
  <c r="J2352" i="20"/>
  <c r="J2353" i="20"/>
  <c r="J2357" i="20"/>
  <c r="J2358" i="20"/>
  <c r="J2359" i="20"/>
  <c r="J2360" i="20"/>
  <c r="J2362" i="20"/>
  <c r="J2365" i="20"/>
  <c r="J2367" i="20"/>
  <c r="J2368" i="20"/>
  <c r="J2369" i="20"/>
  <c r="J2373" i="20"/>
  <c r="J2375" i="20"/>
  <c r="J2376" i="20"/>
  <c r="J2377" i="20"/>
  <c r="J2383" i="20"/>
  <c r="J2384" i="20"/>
  <c r="J2389" i="20"/>
  <c r="J2390" i="20"/>
  <c r="J2391" i="20"/>
  <c r="J2392" i="20"/>
  <c r="J2393" i="20"/>
  <c r="J2397" i="20"/>
  <c r="J2399" i="20"/>
  <c r="J2400" i="20"/>
  <c r="J2401" i="20"/>
  <c r="J2402" i="20"/>
  <c r="J2405" i="20"/>
  <c r="J2407" i="20"/>
  <c r="J2408" i="20"/>
  <c r="J2414" i="20"/>
  <c r="J2415" i="20"/>
  <c r="J2416" i="20"/>
  <c r="J2418" i="20"/>
  <c r="J2421" i="20"/>
  <c r="J2423" i="20"/>
  <c r="J2424" i="20"/>
  <c r="J2425" i="20"/>
  <c r="J2429" i="20"/>
  <c r="J2431" i="20"/>
  <c r="J2432" i="20"/>
  <c r="J2433" i="20"/>
  <c r="J2437" i="20"/>
  <c r="J2438" i="20"/>
  <c r="J2439" i="20"/>
  <c r="J2440" i="20"/>
  <c r="J2441" i="20"/>
  <c r="J2447" i="20"/>
  <c r="J2448" i="20"/>
  <c r="J2449" i="20"/>
  <c r="J2453" i="20"/>
  <c r="J2455" i="20"/>
  <c r="J2456" i="20"/>
  <c r="J2457" i="20"/>
  <c r="J2461" i="20"/>
  <c r="J2463" i="20"/>
  <c r="J2464" i="20"/>
  <c r="J2469" i="20"/>
  <c r="J2471" i="20"/>
  <c r="J2472" i="20"/>
  <c r="J2479" i="20"/>
  <c r="J2480" i="20"/>
  <c r="J2481" i="20"/>
  <c r="J2485" i="20"/>
  <c r="J2487" i="20"/>
  <c r="J2488" i="20"/>
  <c r="J2489" i="20"/>
  <c r="J2493" i="20"/>
  <c r="J2494" i="20"/>
  <c r="J2495" i="20"/>
  <c r="J2496" i="20"/>
  <c r="J2497" i="20"/>
  <c r="J2498" i="20"/>
  <c r="J2501" i="20"/>
  <c r="J2502" i="20"/>
  <c r="J2503" i="20"/>
  <c r="J2504" i="20"/>
  <c r="J2511" i="20"/>
  <c r="J2512" i="20"/>
  <c r="J2513" i="20"/>
  <c r="J2517" i="20"/>
  <c r="J2519" i="20"/>
  <c r="J2520" i="20"/>
  <c r="J2525" i="20"/>
  <c r="J2527" i="20"/>
  <c r="J2528" i="20"/>
  <c r="J2533" i="20"/>
  <c r="J2534" i="20"/>
  <c r="J2535" i="20"/>
  <c r="J2536" i="20"/>
  <c r="J2537" i="20"/>
  <c r="J2538" i="20"/>
  <c r="J2543" i="20"/>
  <c r="J2544" i="20"/>
  <c r="J2545" i="20"/>
  <c r="J2549" i="20"/>
  <c r="J2550" i="20"/>
  <c r="J2551" i="20"/>
  <c r="J2552" i="20"/>
  <c r="J2553" i="20"/>
  <c r="J2557" i="20"/>
  <c r="J2559" i="20"/>
  <c r="J2560" i="20"/>
  <c r="J2565" i="20"/>
  <c r="J2567" i="20"/>
  <c r="J2568" i="20"/>
  <c r="J2569" i="20"/>
  <c r="J2573" i="20"/>
  <c r="J2575" i="20"/>
  <c r="J2576" i="20"/>
  <c r="J2577" i="20"/>
  <c r="J2578" i="20"/>
  <c r="J2581" i="20"/>
  <c r="J2582" i="20"/>
  <c r="J2583" i="20"/>
  <c r="J2584" i="20"/>
  <c r="J2585" i="20"/>
  <c r="J2589" i="20"/>
  <c r="J2590" i="20"/>
  <c r="J2591" i="20"/>
  <c r="J2592" i="20"/>
  <c r="J2597" i="20"/>
  <c r="J2599" i="20"/>
  <c r="J2600" i="20"/>
  <c r="J2601" i="20"/>
  <c r="J2605" i="20"/>
  <c r="J2607" i="20"/>
  <c r="J2608" i="20"/>
  <c r="J2609" i="20"/>
  <c r="J2613" i="20"/>
  <c r="J2615" i="20"/>
  <c r="J2616" i="20"/>
  <c r="J2617" i="20"/>
  <c r="J2621" i="20"/>
  <c r="J2623" i="20"/>
  <c r="J2624" i="20"/>
  <c r="J2625" i="20"/>
  <c r="J2626" i="20"/>
  <c r="J2629" i="20"/>
  <c r="J2630" i="20"/>
  <c r="J2631" i="20"/>
  <c r="J2632" i="20"/>
  <c r="J2633" i="20"/>
  <c r="J2637" i="20"/>
  <c r="J2638" i="20"/>
  <c r="J2639" i="20"/>
  <c r="J2640" i="20"/>
  <c r="J2645" i="20"/>
  <c r="J2647" i="20"/>
  <c r="J2648" i="20"/>
  <c r="J2649" i="20"/>
  <c r="J2650" i="20"/>
  <c r="J2653" i="20"/>
  <c r="J2655" i="20"/>
  <c r="J2656" i="20"/>
  <c r="J2657" i="20"/>
  <c r="J2661" i="20"/>
  <c r="J2663" i="20"/>
  <c r="J2664" i="20"/>
  <c r="J2669" i="20"/>
  <c r="J2670" i="20"/>
  <c r="J2671" i="20"/>
  <c r="J2672" i="20"/>
  <c r="J2673" i="20"/>
  <c r="J2677" i="20"/>
  <c r="J2679" i="20"/>
  <c r="J2680" i="20"/>
  <c r="J2685" i="20"/>
  <c r="J2686" i="20"/>
  <c r="J2687" i="20"/>
  <c r="J2688" i="20"/>
  <c r="J2693" i="20"/>
  <c r="J2695" i="20"/>
  <c r="J2696" i="20"/>
  <c r="J2697" i="20"/>
  <c r="J2701" i="20"/>
  <c r="J2703" i="20"/>
  <c r="J2704" i="20"/>
  <c r="J2705" i="20"/>
  <c r="J2709" i="20"/>
  <c r="J2711" i="20"/>
  <c r="J2712" i="20"/>
  <c r="J2713" i="20"/>
  <c r="J2717" i="20"/>
  <c r="J2718" i="20"/>
  <c r="J2719" i="20"/>
  <c r="J2720" i="20"/>
  <c r="J2725" i="20"/>
  <c r="J2726" i="20"/>
  <c r="J2727" i="20"/>
  <c r="J2728" i="20"/>
  <c r="J2729" i="20"/>
  <c r="J2733" i="20"/>
  <c r="J2735" i="20"/>
  <c r="J2736" i="20"/>
  <c r="J2737" i="20"/>
  <c r="J2741" i="20"/>
  <c r="J2743" i="20"/>
  <c r="J2744" i="20"/>
  <c r="J2745" i="20"/>
  <c r="J2749" i="20"/>
  <c r="J2751" i="20"/>
  <c r="J2752" i="20"/>
  <c r="J2753" i="20"/>
  <c r="J2757" i="20"/>
  <c r="J2759" i="20"/>
  <c r="J2760" i="20"/>
  <c r="J2761" i="20"/>
  <c r="J2765" i="20"/>
  <c r="J2766" i="20"/>
  <c r="J2767" i="20"/>
  <c r="J2768" i="20"/>
  <c r="J2773" i="20"/>
  <c r="J2775" i="20"/>
  <c r="J2776" i="20"/>
  <c r="J2777" i="20"/>
  <c r="J2781" i="20"/>
  <c r="J2783" i="20"/>
  <c r="J2784" i="20"/>
  <c r="J2785" i="20"/>
  <c r="J2786" i="20"/>
  <c r="J2789" i="20"/>
  <c r="J2791" i="20"/>
  <c r="J2792" i="20"/>
  <c r="J2797" i="20"/>
  <c r="J2798" i="20"/>
  <c r="J2799" i="20"/>
  <c r="J2800" i="20"/>
  <c r="J2801" i="20"/>
  <c r="J2805" i="20"/>
  <c r="J2807" i="20"/>
  <c r="J2808" i="20"/>
  <c r="J2810" i="20"/>
  <c r="J2813" i="20"/>
  <c r="J2815" i="20"/>
  <c r="J2816" i="20"/>
  <c r="J2821" i="20"/>
  <c r="J2823" i="20"/>
  <c r="J2824" i="20"/>
  <c r="J2825" i="20"/>
  <c r="J2829" i="20"/>
  <c r="J2831" i="20"/>
  <c r="J2832" i="20"/>
  <c r="J2833" i="20"/>
  <c r="J2837" i="20"/>
  <c r="J2839" i="20"/>
  <c r="J2840" i="20"/>
  <c r="J2845" i="20"/>
  <c r="J2847" i="20"/>
  <c r="J2848" i="20"/>
  <c r="J2853" i="20"/>
  <c r="J2854" i="20"/>
  <c r="J2855" i="20"/>
  <c r="J2856" i="20"/>
  <c r="J2861" i="20"/>
  <c r="J2863" i="20"/>
  <c r="J2864" i="20"/>
  <c r="J2865" i="20"/>
  <c r="J2869" i="20"/>
  <c r="J2871" i="20"/>
  <c r="J2872" i="20"/>
  <c r="J2873" i="20"/>
  <c r="M1884" i="20"/>
  <c r="M1885" i="20"/>
  <c r="M1886" i="20"/>
  <c r="M1887" i="20"/>
  <c r="M1888" i="20"/>
  <c r="M1889" i="20"/>
  <c r="M1890" i="20"/>
  <c r="M1891" i="20"/>
  <c r="M1892" i="20"/>
  <c r="M1893" i="20"/>
  <c r="M1894" i="20"/>
  <c r="M1895" i="20"/>
  <c r="M1896" i="20"/>
  <c r="M1897" i="20"/>
  <c r="M1898" i="20"/>
  <c r="M1899" i="20"/>
  <c r="M1900" i="20"/>
  <c r="M1901" i="20"/>
  <c r="M1902" i="20"/>
  <c r="M1903" i="20"/>
  <c r="M1904" i="20"/>
  <c r="M1905" i="20"/>
  <c r="M1906" i="20"/>
  <c r="M1907" i="20"/>
  <c r="M1908" i="20"/>
  <c r="M1909" i="20"/>
  <c r="M1910" i="20"/>
  <c r="M1911" i="20"/>
  <c r="M1912" i="20"/>
  <c r="M1913" i="20"/>
  <c r="M1914" i="20"/>
  <c r="M1915" i="20"/>
  <c r="M1916" i="20"/>
  <c r="M1917" i="20"/>
  <c r="M1918" i="20"/>
  <c r="M1919" i="20"/>
  <c r="M1920" i="20"/>
  <c r="M1921" i="20"/>
  <c r="M1922" i="20"/>
  <c r="M1923" i="20"/>
  <c r="M1924" i="20"/>
  <c r="M1925" i="20"/>
  <c r="M1926" i="20"/>
  <c r="M1927" i="20"/>
  <c r="M1928" i="20"/>
  <c r="M1929" i="20"/>
  <c r="M1930" i="20"/>
  <c r="M1931" i="20"/>
  <c r="M1932" i="20"/>
  <c r="M1933" i="20"/>
  <c r="M1934" i="20"/>
  <c r="M1935" i="20"/>
  <c r="M1936" i="20"/>
  <c r="M1937" i="20"/>
  <c r="M1938" i="20"/>
  <c r="M1939" i="20"/>
  <c r="M1940" i="20"/>
  <c r="M1941" i="20"/>
  <c r="M1942" i="20"/>
  <c r="M1943" i="20"/>
  <c r="M1944" i="20"/>
  <c r="M1945" i="20"/>
  <c r="M1946" i="20"/>
  <c r="M1947" i="20"/>
  <c r="M1948" i="20"/>
  <c r="M1949" i="20"/>
  <c r="M1950" i="20"/>
  <c r="M1951" i="20"/>
  <c r="M1952" i="20"/>
  <c r="M1953" i="20"/>
  <c r="M1954" i="20"/>
  <c r="M1955" i="20"/>
  <c r="M1956" i="20"/>
  <c r="M1957" i="20"/>
  <c r="M1958" i="20"/>
  <c r="M1959" i="20"/>
  <c r="M1960" i="20"/>
  <c r="M1961" i="20"/>
  <c r="M1962" i="20"/>
  <c r="M1963" i="20"/>
  <c r="M1964" i="20"/>
  <c r="M1965" i="20"/>
  <c r="M1966" i="20"/>
  <c r="M1967" i="20"/>
  <c r="M1968" i="20"/>
  <c r="M1969" i="20"/>
  <c r="M1970" i="20"/>
  <c r="M1971" i="20"/>
  <c r="M1972" i="20"/>
  <c r="M1973" i="20"/>
  <c r="M1974" i="20"/>
  <c r="M1975" i="20"/>
  <c r="M1976" i="20"/>
  <c r="M1977" i="20"/>
  <c r="M1978" i="20"/>
  <c r="M1979" i="20"/>
  <c r="M1980" i="20"/>
  <c r="M1981" i="20"/>
  <c r="M1982" i="20"/>
  <c r="M1983" i="20"/>
  <c r="M1984" i="20"/>
  <c r="M1985" i="20"/>
  <c r="M1986" i="20"/>
  <c r="M1987" i="20"/>
  <c r="M1988" i="20"/>
  <c r="M1989" i="20"/>
  <c r="M1990" i="20"/>
  <c r="M1991" i="20"/>
  <c r="M1992" i="20"/>
  <c r="M1993" i="20"/>
  <c r="M1994" i="20"/>
  <c r="M1995" i="20"/>
  <c r="M1996" i="20"/>
  <c r="M1997" i="20"/>
  <c r="M1998" i="20"/>
  <c r="M1999" i="20"/>
  <c r="M2000" i="20"/>
  <c r="M2001" i="20"/>
  <c r="M2002" i="20"/>
  <c r="M2003" i="20"/>
  <c r="M2004" i="20"/>
  <c r="M2005" i="20"/>
  <c r="M2006" i="20"/>
  <c r="M2007" i="20"/>
  <c r="M2008" i="20"/>
  <c r="M2009" i="20"/>
  <c r="M2010" i="20"/>
  <c r="M2011" i="20"/>
  <c r="M2012" i="20"/>
  <c r="M2013" i="20"/>
  <c r="M2014" i="20"/>
  <c r="M2015" i="20"/>
  <c r="M2016" i="20"/>
  <c r="M2017" i="20"/>
  <c r="M2018" i="20"/>
  <c r="M2019" i="20"/>
  <c r="M2020" i="20"/>
  <c r="M2021" i="20"/>
  <c r="M2022" i="20"/>
  <c r="M2023" i="20"/>
  <c r="M2024" i="20"/>
  <c r="M2025" i="20"/>
  <c r="M2026" i="20"/>
  <c r="M2027" i="20"/>
  <c r="M2028" i="20"/>
  <c r="M2029" i="20"/>
  <c r="M2030" i="20"/>
  <c r="M2031" i="20"/>
  <c r="M2032" i="20"/>
  <c r="M2033" i="20"/>
  <c r="M2034" i="20"/>
  <c r="M2035" i="20"/>
  <c r="M2036" i="20"/>
  <c r="M2037" i="20"/>
  <c r="M2038" i="20"/>
  <c r="M2039" i="20"/>
  <c r="M2040" i="20"/>
  <c r="M2041" i="20"/>
  <c r="M2042" i="20"/>
  <c r="M2043" i="20"/>
  <c r="M2044" i="20"/>
  <c r="M2045" i="20"/>
  <c r="M2046" i="20"/>
  <c r="M2047" i="20"/>
  <c r="M2048" i="20"/>
  <c r="M2049" i="20"/>
  <c r="M2050" i="20"/>
  <c r="M2051" i="20"/>
  <c r="M2052" i="20"/>
  <c r="M2053" i="20"/>
  <c r="M2054" i="20"/>
  <c r="M2055" i="20"/>
  <c r="M2056" i="20"/>
  <c r="M2057" i="20"/>
  <c r="M2058" i="20"/>
  <c r="M2059" i="20"/>
  <c r="M2060" i="20"/>
  <c r="M2061" i="20"/>
  <c r="M2062" i="20"/>
  <c r="M2063" i="20"/>
  <c r="M2064" i="20"/>
  <c r="M2065" i="20"/>
  <c r="M2066" i="20"/>
  <c r="M2067" i="20"/>
  <c r="M2068" i="20"/>
  <c r="M2069" i="20"/>
  <c r="M2070" i="20"/>
  <c r="M2071" i="20"/>
  <c r="M2072" i="20"/>
  <c r="M2073" i="20"/>
  <c r="M2074" i="20"/>
  <c r="M2075" i="20"/>
  <c r="M2076" i="20"/>
  <c r="M2077" i="20"/>
  <c r="M2078" i="20"/>
  <c r="M2079" i="20"/>
  <c r="M2080" i="20"/>
  <c r="M2081" i="20"/>
  <c r="M2082" i="20"/>
  <c r="M2083" i="20"/>
  <c r="M2084" i="20"/>
  <c r="M2085" i="20"/>
  <c r="M2086" i="20"/>
  <c r="M2087" i="20"/>
  <c r="M2088" i="20"/>
  <c r="M2089" i="20"/>
  <c r="M2090" i="20"/>
  <c r="M2091" i="20"/>
  <c r="M2092" i="20"/>
  <c r="M2093" i="20"/>
  <c r="M2094" i="20"/>
  <c r="M2095" i="20"/>
  <c r="M2096" i="20"/>
  <c r="M2097" i="20"/>
  <c r="M2098" i="20"/>
  <c r="M2099" i="20"/>
  <c r="M2100" i="20"/>
  <c r="M2101" i="20"/>
  <c r="M2102" i="20"/>
  <c r="M2103" i="20"/>
  <c r="M2104" i="20"/>
  <c r="M2105" i="20"/>
  <c r="M2106" i="20"/>
  <c r="M2107" i="20"/>
  <c r="M2108" i="20"/>
  <c r="M2109" i="20"/>
  <c r="M2110" i="20"/>
  <c r="M2111" i="20"/>
  <c r="M2112" i="20"/>
  <c r="M2113" i="20"/>
  <c r="M2114" i="20"/>
  <c r="M2115" i="20"/>
  <c r="M2116" i="20"/>
  <c r="M2117" i="20"/>
  <c r="M2118" i="20"/>
  <c r="M2119" i="20"/>
  <c r="M2120" i="20"/>
  <c r="M2121" i="20"/>
  <c r="M2122" i="20"/>
  <c r="M2123" i="20"/>
  <c r="M2124" i="20"/>
  <c r="M2125" i="20"/>
  <c r="M2126" i="20"/>
  <c r="M2127" i="20"/>
  <c r="M2128" i="20"/>
  <c r="M2129" i="20"/>
  <c r="M2130" i="20"/>
  <c r="M2131" i="20"/>
  <c r="M2132" i="20"/>
  <c r="M2133" i="20"/>
  <c r="M2134" i="20"/>
  <c r="M2135" i="20"/>
  <c r="M2136" i="20"/>
  <c r="M2137" i="20"/>
  <c r="M2138" i="20"/>
  <c r="M2139" i="20"/>
  <c r="M2140" i="20"/>
  <c r="M2141" i="20"/>
  <c r="M2142" i="20"/>
  <c r="M2143" i="20"/>
  <c r="M2144" i="20"/>
  <c r="M2145" i="20"/>
  <c r="M2146" i="20"/>
  <c r="M2147" i="20"/>
  <c r="M2148" i="20"/>
  <c r="M2149" i="20"/>
  <c r="M2150" i="20"/>
  <c r="M2151" i="20"/>
  <c r="M2152" i="20"/>
  <c r="M2153" i="20"/>
  <c r="M2154" i="20"/>
  <c r="M2155" i="20"/>
  <c r="M2156" i="20"/>
  <c r="M2157" i="20"/>
  <c r="M2158" i="20"/>
  <c r="M2159" i="20"/>
  <c r="M2160" i="20"/>
  <c r="M2161" i="20"/>
  <c r="M2162" i="20"/>
  <c r="M2163" i="20"/>
  <c r="M2164" i="20"/>
  <c r="M2165" i="20"/>
  <c r="M2166" i="20"/>
  <c r="M2167" i="20"/>
  <c r="M2168" i="20"/>
  <c r="M2169" i="20"/>
  <c r="M2170" i="20"/>
  <c r="M2171" i="20"/>
  <c r="M2172" i="20"/>
  <c r="M2173" i="20"/>
  <c r="M2174" i="20"/>
  <c r="M2175" i="20"/>
  <c r="M2176" i="20"/>
  <c r="M2177" i="20"/>
  <c r="M2178" i="20"/>
  <c r="M2179" i="20"/>
  <c r="M2180" i="20"/>
  <c r="M2181" i="20"/>
  <c r="M2182" i="20"/>
  <c r="M2183" i="20"/>
  <c r="M2184" i="20"/>
  <c r="M2185" i="20"/>
  <c r="M2186" i="20"/>
  <c r="M2187" i="20"/>
  <c r="M2188" i="20"/>
  <c r="M2189" i="20"/>
  <c r="M2190" i="20"/>
  <c r="M2191" i="20"/>
  <c r="M2192" i="20"/>
  <c r="M2193" i="20"/>
  <c r="M2194" i="20"/>
  <c r="M2195" i="20"/>
  <c r="M2196" i="20"/>
  <c r="M2197" i="20"/>
  <c r="M2198" i="20"/>
  <c r="M2199" i="20"/>
  <c r="M2200" i="20"/>
  <c r="M2201" i="20"/>
  <c r="M2202" i="20"/>
  <c r="M2203" i="20"/>
  <c r="M2204" i="20"/>
  <c r="M2205" i="20"/>
  <c r="M2206" i="20"/>
  <c r="M2207" i="20"/>
  <c r="M2208" i="20"/>
  <c r="M2209" i="20"/>
  <c r="M2210" i="20"/>
  <c r="M2211" i="20"/>
  <c r="M2212" i="20"/>
  <c r="M2213" i="20"/>
  <c r="M2214" i="20"/>
  <c r="M2215" i="20"/>
  <c r="M2216" i="20"/>
  <c r="M2217" i="20"/>
  <c r="M2218" i="20"/>
  <c r="M2219" i="20"/>
  <c r="M2220" i="20"/>
  <c r="M2221" i="20"/>
  <c r="M2222" i="20"/>
  <c r="M2223" i="20"/>
  <c r="M2224" i="20"/>
  <c r="M2225" i="20"/>
  <c r="M2226" i="20"/>
  <c r="M2227" i="20"/>
  <c r="M2228" i="20"/>
  <c r="M2229" i="20"/>
  <c r="M2230" i="20"/>
  <c r="M2231" i="20"/>
  <c r="M2232" i="20"/>
  <c r="M2233" i="20"/>
  <c r="M2234" i="20"/>
  <c r="M2235" i="20"/>
  <c r="M2236" i="20"/>
  <c r="M2237" i="20"/>
  <c r="M2238" i="20"/>
  <c r="M2239" i="20"/>
  <c r="M2240" i="20"/>
  <c r="M2241" i="20"/>
  <c r="M2242" i="20"/>
  <c r="M2243" i="20"/>
  <c r="M2244" i="20"/>
  <c r="M2245" i="20"/>
  <c r="M2246" i="20"/>
  <c r="M2247" i="20"/>
  <c r="M2248" i="20"/>
  <c r="M2249" i="20"/>
  <c r="M2250" i="20"/>
  <c r="M2251" i="20"/>
  <c r="M2252" i="20"/>
  <c r="M2253" i="20"/>
  <c r="M2254" i="20"/>
  <c r="M2255" i="20"/>
  <c r="M2256" i="20"/>
  <c r="M2257" i="20"/>
  <c r="M2258" i="20"/>
  <c r="M2259" i="20"/>
  <c r="M2260" i="20"/>
  <c r="M2261" i="20"/>
  <c r="M2262" i="20"/>
  <c r="M2263" i="20"/>
  <c r="M2264" i="20"/>
  <c r="M2265" i="20"/>
  <c r="M2266" i="20"/>
  <c r="M2267" i="20"/>
  <c r="M2268" i="20"/>
  <c r="M2269" i="20"/>
  <c r="M2270" i="20"/>
  <c r="M2271" i="20"/>
  <c r="M2272" i="20"/>
  <c r="M2273" i="20"/>
  <c r="M2274" i="20"/>
  <c r="M2275" i="20"/>
  <c r="M2276" i="20"/>
  <c r="M2277" i="20"/>
  <c r="M2278" i="20"/>
  <c r="M2279" i="20"/>
  <c r="M2280" i="20"/>
  <c r="M2281" i="20"/>
  <c r="M2282" i="20"/>
  <c r="M2283" i="20"/>
  <c r="M2284" i="20"/>
  <c r="M2285" i="20"/>
  <c r="M2286" i="20"/>
  <c r="M2287" i="20"/>
  <c r="M2288" i="20"/>
  <c r="M2289" i="20"/>
  <c r="M2290" i="20"/>
  <c r="M2291" i="20"/>
  <c r="M2292" i="20"/>
  <c r="M2293" i="20"/>
  <c r="M2294" i="20"/>
  <c r="M2295" i="20"/>
  <c r="M2296" i="20"/>
  <c r="M2297" i="20"/>
  <c r="M2298" i="20"/>
  <c r="M2299" i="20"/>
  <c r="M2300" i="20"/>
  <c r="M2301" i="20"/>
  <c r="M2302" i="20"/>
  <c r="M2303" i="20"/>
  <c r="M2304" i="20"/>
  <c r="M2305" i="20"/>
  <c r="M2306" i="20"/>
  <c r="M2307" i="20"/>
  <c r="M2308" i="20"/>
  <c r="M2309" i="20"/>
  <c r="M2310" i="20"/>
  <c r="M2311" i="20"/>
  <c r="M2312" i="20"/>
  <c r="M2313" i="20"/>
  <c r="M2314" i="20"/>
  <c r="M2315" i="20"/>
  <c r="M2316" i="20"/>
  <c r="M2317" i="20"/>
  <c r="M2318" i="20"/>
  <c r="M2319" i="20"/>
  <c r="M2320" i="20"/>
  <c r="M2321" i="20"/>
  <c r="M2322" i="20"/>
  <c r="M2323" i="20"/>
  <c r="M2324" i="20"/>
  <c r="M2325" i="20"/>
  <c r="M2326" i="20"/>
  <c r="M2327" i="20"/>
  <c r="M2328" i="20"/>
  <c r="M2329" i="20"/>
  <c r="M2330" i="20"/>
  <c r="M2331" i="20"/>
  <c r="M2332" i="20"/>
  <c r="M2333" i="20"/>
  <c r="M2334" i="20"/>
  <c r="M2335" i="20"/>
  <c r="M2336" i="20"/>
  <c r="M2337" i="20"/>
  <c r="M2338" i="20"/>
  <c r="M2339" i="20"/>
  <c r="M2340" i="20"/>
  <c r="M2341" i="20"/>
  <c r="M2342" i="20"/>
  <c r="M2343" i="20"/>
  <c r="M2344" i="20"/>
  <c r="M2345" i="20"/>
  <c r="M2346" i="20"/>
  <c r="M2347" i="20"/>
  <c r="M2348" i="20"/>
  <c r="M2349" i="20"/>
  <c r="M2350" i="20"/>
  <c r="M2351" i="20"/>
  <c r="M2352" i="20"/>
  <c r="M2353" i="20"/>
  <c r="M2354" i="20"/>
  <c r="M2355" i="20"/>
  <c r="M2356" i="20"/>
  <c r="M2357" i="20"/>
  <c r="M2358" i="20"/>
  <c r="M2359" i="20"/>
  <c r="M2360" i="20"/>
  <c r="M2361" i="20"/>
  <c r="M2362" i="20"/>
  <c r="M2363" i="20"/>
  <c r="M2364" i="20"/>
  <c r="M2365" i="20"/>
  <c r="M2366" i="20"/>
  <c r="M2367" i="20"/>
  <c r="M2368" i="20"/>
  <c r="M2369" i="20"/>
  <c r="M2370" i="20"/>
  <c r="M2371" i="20"/>
  <c r="M2372" i="20"/>
  <c r="M2373" i="20"/>
  <c r="M2374" i="20"/>
  <c r="M2375" i="20"/>
  <c r="M2376" i="20"/>
  <c r="M2377" i="20"/>
  <c r="M2378" i="20"/>
  <c r="M2379" i="20"/>
  <c r="M2380" i="20"/>
  <c r="M2381" i="20"/>
  <c r="M2382" i="20"/>
  <c r="M2383" i="20"/>
  <c r="M2384" i="20"/>
  <c r="M2385" i="20"/>
  <c r="M2386" i="20"/>
  <c r="M2387" i="20"/>
  <c r="M2388" i="20"/>
  <c r="M2389" i="20"/>
  <c r="M2390" i="20"/>
  <c r="M2391" i="20"/>
  <c r="M2392" i="20"/>
  <c r="M2393" i="20"/>
  <c r="M2394" i="20"/>
  <c r="M2395" i="20"/>
  <c r="M2396" i="20"/>
  <c r="M2397" i="20"/>
  <c r="M2398" i="20"/>
  <c r="M2399" i="20"/>
  <c r="M2400" i="20"/>
  <c r="M2401" i="20"/>
  <c r="M2402" i="20"/>
  <c r="M2403" i="20"/>
  <c r="M2404" i="20"/>
  <c r="M2405" i="20"/>
  <c r="M2406" i="20"/>
  <c r="M2407" i="20"/>
  <c r="M2408" i="20"/>
  <c r="M2409" i="20"/>
  <c r="M2410" i="20"/>
  <c r="M2411" i="20"/>
  <c r="M2412" i="20"/>
  <c r="M2413" i="20"/>
  <c r="M2414" i="20"/>
  <c r="M2415" i="20"/>
  <c r="M2416" i="20"/>
  <c r="M2417" i="20"/>
  <c r="M2418" i="20"/>
  <c r="M2419" i="20"/>
  <c r="M2420" i="20"/>
  <c r="M2421" i="20"/>
  <c r="M2422" i="20"/>
  <c r="M2423" i="20"/>
  <c r="M2424" i="20"/>
  <c r="M2425" i="20"/>
  <c r="M2426" i="20"/>
  <c r="M2427" i="20"/>
  <c r="M2428" i="20"/>
  <c r="M2429" i="20"/>
  <c r="M2430" i="20"/>
  <c r="M2431" i="20"/>
  <c r="M2432" i="20"/>
  <c r="M2433" i="20"/>
  <c r="M2434" i="20"/>
  <c r="M2435" i="20"/>
  <c r="M2436" i="20"/>
  <c r="M2437" i="20"/>
  <c r="M2438" i="20"/>
  <c r="M2439" i="20"/>
  <c r="M2440" i="20"/>
  <c r="M2441" i="20"/>
  <c r="M2442" i="20"/>
  <c r="M2443" i="20"/>
  <c r="M2444" i="20"/>
  <c r="M2445" i="20"/>
  <c r="M2446" i="20"/>
  <c r="M2447" i="20"/>
  <c r="M2448" i="20"/>
  <c r="M2449" i="20"/>
  <c r="M2450" i="20"/>
  <c r="M2451" i="20"/>
  <c r="M2452" i="20"/>
  <c r="M2453" i="20"/>
  <c r="M2454" i="20"/>
  <c r="M2455" i="20"/>
  <c r="M2456" i="20"/>
  <c r="M2457" i="20"/>
  <c r="M2458" i="20"/>
  <c r="M2459" i="20"/>
  <c r="M2460" i="20"/>
  <c r="M2461" i="20"/>
  <c r="M2462" i="20"/>
  <c r="M2463" i="20"/>
  <c r="M2464" i="20"/>
  <c r="M2465" i="20"/>
  <c r="M2466" i="20"/>
  <c r="M2467" i="20"/>
  <c r="M2468" i="20"/>
  <c r="M2469" i="20"/>
  <c r="M2470" i="20"/>
  <c r="M2471" i="20"/>
  <c r="M2472" i="20"/>
  <c r="M2473" i="20"/>
  <c r="M2474" i="20"/>
  <c r="M2475" i="20"/>
  <c r="M2476" i="20"/>
  <c r="M2477" i="20"/>
  <c r="M2478" i="20"/>
  <c r="M2479" i="20"/>
  <c r="M2480" i="20"/>
  <c r="M2481" i="20"/>
  <c r="M2482" i="20"/>
  <c r="M2483" i="20"/>
  <c r="M2484" i="20"/>
  <c r="M2485" i="20"/>
  <c r="M2486" i="20"/>
  <c r="M2487" i="20"/>
  <c r="M2488" i="20"/>
  <c r="M2489" i="20"/>
  <c r="M2490" i="20"/>
  <c r="M2491" i="20"/>
  <c r="M2492" i="20"/>
  <c r="M2493" i="20"/>
  <c r="M2494" i="20"/>
  <c r="M2495" i="20"/>
  <c r="M2496" i="20"/>
  <c r="M2497" i="20"/>
  <c r="M2498" i="20"/>
  <c r="M2499" i="20"/>
  <c r="M2500" i="20"/>
  <c r="M2501" i="20"/>
  <c r="M2502" i="20"/>
  <c r="M2503" i="20"/>
  <c r="M2504" i="20"/>
  <c r="M2505" i="20"/>
  <c r="M2506" i="20"/>
  <c r="M2507" i="20"/>
  <c r="M2508" i="20"/>
  <c r="M2509" i="20"/>
  <c r="M2510" i="20"/>
  <c r="M2511" i="20"/>
  <c r="M2512" i="20"/>
  <c r="M2513" i="20"/>
  <c r="M2514" i="20"/>
  <c r="M2515" i="20"/>
  <c r="M2516" i="20"/>
  <c r="M2517" i="20"/>
  <c r="M2518" i="20"/>
  <c r="M2519" i="20"/>
  <c r="M2520" i="20"/>
  <c r="M2521" i="20"/>
  <c r="M2522" i="20"/>
  <c r="M2523" i="20"/>
  <c r="M2524" i="20"/>
  <c r="M2525" i="20"/>
  <c r="M2526" i="20"/>
  <c r="M2527" i="20"/>
  <c r="M2528" i="20"/>
  <c r="M2529" i="20"/>
  <c r="M2530" i="20"/>
  <c r="M2531" i="20"/>
  <c r="M2532" i="20"/>
  <c r="M2533" i="20"/>
  <c r="M2534" i="20"/>
  <c r="M2535" i="20"/>
  <c r="M2536" i="20"/>
  <c r="M2537" i="20"/>
  <c r="M2538" i="20"/>
  <c r="M2539" i="20"/>
  <c r="M2540" i="20"/>
  <c r="M2541" i="20"/>
  <c r="M2542" i="20"/>
  <c r="M2543" i="20"/>
  <c r="M2544" i="20"/>
  <c r="M2545" i="20"/>
  <c r="M2546" i="20"/>
  <c r="M2547" i="20"/>
  <c r="M2548" i="20"/>
  <c r="M2549" i="20"/>
  <c r="M2550" i="20"/>
  <c r="M2551" i="20"/>
  <c r="M2552" i="20"/>
  <c r="M2553" i="20"/>
  <c r="M2554" i="20"/>
  <c r="M2555" i="20"/>
  <c r="M2556" i="20"/>
  <c r="M2557" i="20"/>
  <c r="M2558" i="20"/>
  <c r="M2559" i="20"/>
  <c r="M2560" i="20"/>
  <c r="M2561" i="20"/>
  <c r="M2562" i="20"/>
  <c r="M2563" i="20"/>
  <c r="M2564" i="20"/>
  <c r="M2565" i="20"/>
  <c r="M2566" i="20"/>
  <c r="M2567" i="20"/>
  <c r="M2568" i="20"/>
  <c r="M2569" i="20"/>
  <c r="M2570" i="20"/>
  <c r="M2571" i="20"/>
  <c r="M2572" i="20"/>
  <c r="M2573" i="20"/>
  <c r="M2574" i="20"/>
  <c r="M2575" i="20"/>
  <c r="M2576" i="20"/>
  <c r="M2577" i="20"/>
  <c r="M2578" i="20"/>
  <c r="M2579" i="20"/>
  <c r="M2580" i="20"/>
  <c r="M2581" i="20"/>
  <c r="M2582" i="20"/>
  <c r="M2583" i="20"/>
  <c r="M2584" i="20"/>
  <c r="M2585" i="20"/>
  <c r="M2586" i="20"/>
  <c r="M2587" i="20"/>
  <c r="M2588" i="20"/>
  <c r="M2589" i="20"/>
  <c r="M2590" i="20"/>
  <c r="M2591" i="20"/>
  <c r="M2592" i="20"/>
  <c r="M2593" i="20"/>
  <c r="M2594" i="20"/>
  <c r="M2595" i="20"/>
  <c r="M2596" i="20"/>
  <c r="M2597" i="20"/>
  <c r="M2598" i="20"/>
  <c r="M2599" i="20"/>
  <c r="M2600" i="20"/>
  <c r="M2601" i="20"/>
  <c r="M2602" i="20"/>
  <c r="M2603" i="20"/>
  <c r="M2604" i="20"/>
  <c r="M2605" i="20"/>
  <c r="M2606" i="20"/>
  <c r="M2607" i="20"/>
  <c r="M2608" i="20"/>
  <c r="M2609" i="20"/>
  <c r="M2610" i="20"/>
  <c r="M2611" i="20"/>
  <c r="M2612" i="20"/>
  <c r="M2613" i="20"/>
  <c r="M2614" i="20"/>
  <c r="M2615" i="20"/>
  <c r="M2616" i="20"/>
  <c r="M2617" i="20"/>
  <c r="M2618" i="20"/>
  <c r="M2619" i="20"/>
  <c r="M2620" i="20"/>
  <c r="M2621" i="20"/>
  <c r="M2622" i="20"/>
  <c r="M2623" i="20"/>
  <c r="M2624" i="20"/>
  <c r="M2625" i="20"/>
  <c r="M2626" i="20"/>
  <c r="M2627" i="20"/>
  <c r="M2628" i="20"/>
  <c r="M2629" i="20"/>
  <c r="M2630" i="20"/>
  <c r="M2631" i="20"/>
  <c r="M2632" i="20"/>
  <c r="M2633" i="20"/>
  <c r="M2634" i="20"/>
  <c r="M2635" i="20"/>
  <c r="M2636" i="20"/>
  <c r="M2637" i="20"/>
  <c r="M2638" i="20"/>
  <c r="M2639" i="20"/>
  <c r="M2640" i="20"/>
  <c r="M2641" i="20"/>
  <c r="M2642" i="20"/>
  <c r="M2643" i="20"/>
  <c r="M2644" i="20"/>
  <c r="M2645" i="20"/>
  <c r="M2646" i="20"/>
  <c r="M2647" i="20"/>
  <c r="M2648" i="20"/>
  <c r="M2649" i="20"/>
  <c r="M2650" i="20"/>
  <c r="M2651" i="20"/>
  <c r="M2652" i="20"/>
  <c r="M2653" i="20"/>
  <c r="M2654" i="20"/>
  <c r="M2655" i="20"/>
  <c r="M2656" i="20"/>
  <c r="M2657" i="20"/>
  <c r="M2658" i="20"/>
  <c r="M2659" i="20"/>
  <c r="M2660" i="20"/>
  <c r="M2661" i="20"/>
  <c r="M2662" i="20"/>
  <c r="M2663" i="20"/>
  <c r="M2664" i="20"/>
  <c r="M2665" i="20"/>
  <c r="M2666" i="20"/>
  <c r="M2667" i="20"/>
  <c r="M2668" i="20"/>
  <c r="M2669" i="20"/>
  <c r="M2670" i="20"/>
  <c r="M2671" i="20"/>
  <c r="M2672" i="20"/>
  <c r="M2673" i="20"/>
  <c r="M2674" i="20"/>
  <c r="M2675" i="20"/>
  <c r="M2676" i="20"/>
  <c r="M2677" i="20"/>
  <c r="M2678" i="20"/>
  <c r="M2679" i="20"/>
  <c r="M2680" i="20"/>
  <c r="M2681" i="20"/>
  <c r="M2682" i="20"/>
  <c r="M2683" i="20"/>
  <c r="M2684" i="20"/>
  <c r="M2685" i="20"/>
  <c r="M2686" i="20"/>
  <c r="M2687" i="20"/>
  <c r="M2688" i="20"/>
  <c r="M2689" i="20"/>
  <c r="M2690" i="20"/>
  <c r="M2691" i="20"/>
  <c r="M2692" i="20"/>
  <c r="M2693" i="20"/>
  <c r="M2694" i="20"/>
  <c r="M2695" i="20"/>
  <c r="M2696" i="20"/>
  <c r="M2697" i="20"/>
  <c r="M2698" i="20"/>
  <c r="M2699" i="20"/>
  <c r="M2700" i="20"/>
  <c r="M2701" i="20"/>
  <c r="M2702" i="20"/>
  <c r="M2703" i="20"/>
  <c r="M2704" i="20"/>
  <c r="M2705" i="20"/>
  <c r="M2706" i="20"/>
  <c r="M2707" i="20"/>
  <c r="M2708" i="20"/>
  <c r="M2709" i="20"/>
  <c r="M2710" i="20"/>
  <c r="M2711" i="20"/>
  <c r="M2712" i="20"/>
  <c r="M2713" i="20"/>
  <c r="M2714" i="20"/>
  <c r="M2715" i="20"/>
  <c r="M2716" i="20"/>
  <c r="M2717" i="20"/>
  <c r="M2718" i="20"/>
  <c r="M2719" i="20"/>
  <c r="M2720" i="20"/>
  <c r="M2721" i="20"/>
  <c r="M2722" i="20"/>
  <c r="M2723" i="20"/>
  <c r="M2724" i="20"/>
  <c r="M2725" i="20"/>
  <c r="M2726" i="20"/>
  <c r="M2727" i="20"/>
  <c r="M2728" i="20"/>
  <c r="M2729" i="20"/>
  <c r="M2730" i="20"/>
  <c r="M2731" i="20"/>
  <c r="M2732" i="20"/>
  <c r="M2733" i="20"/>
  <c r="M2734" i="20"/>
  <c r="M2735" i="20"/>
  <c r="M2736" i="20"/>
  <c r="M2737" i="20"/>
  <c r="M2738" i="20"/>
  <c r="M2739" i="20"/>
  <c r="M2740" i="20"/>
  <c r="M2741" i="20"/>
  <c r="M2742" i="20"/>
  <c r="M2743" i="20"/>
  <c r="M2744" i="20"/>
  <c r="M2745" i="20"/>
  <c r="M2746" i="20"/>
  <c r="M2747" i="20"/>
  <c r="M2748" i="20"/>
  <c r="M2749" i="20"/>
  <c r="M2750" i="20"/>
  <c r="M2751" i="20"/>
  <c r="M2752" i="20"/>
  <c r="M2753" i="20"/>
  <c r="M2754" i="20"/>
  <c r="M2755" i="20"/>
  <c r="M2756" i="20"/>
  <c r="M2757" i="20"/>
  <c r="M2758" i="20"/>
  <c r="M2759" i="20"/>
  <c r="M2760" i="20"/>
  <c r="M2761" i="20"/>
  <c r="M2762" i="20"/>
  <c r="M2763" i="20"/>
  <c r="M2764" i="20"/>
  <c r="M2765" i="20"/>
  <c r="M2766" i="20"/>
  <c r="M2767" i="20"/>
  <c r="M2768" i="20"/>
  <c r="M2769" i="20"/>
  <c r="M2770" i="20"/>
  <c r="M2771" i="20"/>
  <c r="M2772" i="20"/>
  <c r="M2773" i="20"/>
  <c r="M2774" i="20"/>
  <c r="M2775" i="20"/>
  <c r="M2776" i="20"/>
  <c r="M2777" i="20"/>
  <c r="M2778" i="20"/>
  <c r="M2779" i="20"/>
  <c r="M2780" i="20"/>
  <c r="M2781" i="20"/>
  <c r="M2782" i="20"/>
  <c r="M2783" i="20"/>
  <c r="M2784" i="20"/>
  <c r="M2785" i="20"/>
  <c r="M2786" i="20"/>
  <c r="M2787" i="20"/>
  <c r="M2788" i="20"/>
  <c r="M2789" i="20"/>
  <c r="M2790" i="20"/>
  <c r="M2791" i="20"/>
  <c r="M2792" i="20"/>
  <c r="M2793" i="20"/>
  <c r="M2794" i="20"/>
  <c r="M2795" i="20"/>
  <c r="M2796" i="20"/>
  <c r="M2797" i="20"/>
  <c r="M2798" i="20"/>
  <c r="M2799" i="20"/>
  <c r="M2800" i="20"/>
  <c r="M2801" i="20"/>
  <c r="M2802" i="20"/>
  <c r="M2803" i="20"/>
  <c r="M2804" i="20"/>
  <c r="M2805" i="20"/>
  <c r="M2806" i="20"/>
  <c r="M2807" i="20"/>
  <c r="M2808" i="20"/>
  <c r="M2809" i="20"/>
  <c r="M2810" i="20"/>
  <c r="M2811" i="20"/>
  <c r="M2812" i="20"/>
  <c r="M2813" i="20"/>
  <c r="M2814" i="20"/>
  <c r="M2815" i="20"/>
  <c r="M2816" i="20"/>
  <c r="M2817" i="20"/>
  <c r="M2818" i="20"/>
  <c r="M2819" i="20"/>
  <c r="M2820" i="20"/>
  <c r="M2821" i="20"/>
  <c r="M2822" i="20"/>
  <c r="M2823" i="20"/>
  <c r="M2824" i="20"/>
  <c r="M2825" i="20"/>
  <c r="M2826" i="20"/>
  <c r="M2827" i="20"/>
  <c r="M2828" i="20"/>
  <c r="M2829" i="20"/>
  <c r="M2830" i="20"/>
  <c r="M2831" i="20"/>
  <c r="M2832" i="20"/>
  <c r="M2833" i="20"/>
  <c r="M2834" i="20"/>
  <c r="M2835" i="20"/>
  <c r="M2836" i="20"/>
  <c r="M2837" i="20"/>
  <c r="M2838" i="20"/>
  <c r="M2839" i="20"/>
  <c r="M2840" i="20"/>
  <c r="M2841" i="20"/>
  <c r="M2842" i="20"/>
  <c r="M2843" i="20"/>
  <c r="M2844" i="20"/>
  <c r="M2845" i="20"/>
  <c r="M2846" i="20"/>
  <c r="M2847" i="20"/>
  <c r="M2848" i="20"/>
  <c r="M2849" i="20"/>
  <c r="M2850" i="20"/>
  <c r="M2851" i="20"/>
  <c r="M2852" i="20"/>
  <c r="M2853" i="20"/>
  <c r="M2854" i="20"/>
  <c r="M2855" i="20"/>
  <c r="M2856" i="20"/>
  <c r="M2857" i="20"/>
  <c r="M2858" i="20"/>
  <c r="M2859" i="20"/>
  <c r="M2860" i="20"/>
  <c r="M2861" i="20"/>
  <c r="M2862" i="20"/>
  <c r="M2863" i="20"/>
  <c r="M2864" i="20"/>
  <c r="M2865" i="20"/>
  <c r="M2866" i="20"/>
  <c r="M2867" i="20"/>
  <c r="M2868" i="20"/>
  <c r="M2869" i="20"/>
  <c r="M2870" i="20"/>
  <c r="M2871" i="20"/>
  <c r="M2872" i="20"/>
  <c r="M2873" i="20"/>
  <c r="N1884" i="20"/>
  <c r="N1885" i="20"/>
  <c r="N1886" i="20"/>
  <c r="N1887" i="20"/>
  <c r="N1888" i="20"/>
  <c r="N1889" i="20"/>
  <c r="N1890" i="20"/>
  <c r="N1891" i="20"/>
  <c r="N1892" i="20"/>
  <c r="N1893" i="20"/>
  <c r="N1894" i="20"/>
  <c r="N1895" i="20"/>
  <c r="N1896" i="20"/>
  <c r="N1897" i="20"/>
  <c r="N1898" i="20"/>
  <c r="N1899" i="20"/>
  <c r="N1900" i="20"/>
  <c r="N1901" i="20"/>
  <c r="N1902" i="20"/>
  <c r="N1903" i="20"/>
  <c r="N1904" i="20"/>
  <c r="N1905" i="20"/>
  <c r="N1906" i="20"/>
  <c r="N1907" i="20"/>
  <c r="N1908" i="20"/>
  <c r="N1909" i="20"/>
  <c r="N1910" i="20"/>
  <c r="N1911" i="20"/>
  <c r="N1912" i="20"/>
  <c r="N1913" i="20"/>
  <c r="N1914" i="20"/>
  <c r="N1915" i="20"/>
  <c r="N1916" i="20"/>
  <c r="N1917" i="20"/>
  <c r="N1918" i="20"/>
  <c r="N1919" i="20"/>
  <c r="N1920" i="20"/>
  <c r="N1921" i="20"/>
  <c r="N1922" i="20"/>
  <c r="N1923" i="20"/>
  <c r="N1924" i="20"/>
  <c r="N1925" i="20"/>
  <c r="N1926" i="20"/>
  <c r="N1927" i="20"/>
  <c r="N1928" i="20"/>
  <c r="N1929" i="20"/>
  <c r="N1930" i="20"/>
  <c r="N1931" i="20"/>
  <c r="N1932" i="20"/>
  <c r="N1933" i="20"/>
  <c r="N1934" i="20"/>
  <c r="N1935" i="20"/>
  <c r="N1936" i="20"/>
  <c r="N1937" i="20"/>
  <c r="N1938" i="20"/>
  <c r="N1939" i="20"/>
  <c r="N1940" i="20"/>
  <c r="N1941" i="20"/>
  <c r="N1942" i="20"/>
  <c r="N1943" i="20"/>
  <c r="N1944" i="20"/>
  <c r="N1945" i="20"/>
  <c r="N1946" i="20"/>
  <c r="N1947" i="20"/>
  <c r="N1948" i="20"/>
  <c r="N1949" i="20"/>
  <c r="N1950" i="20"/>
  <c r="N1951" i="20"/>
  <c r="N1952" i="20"/>
  <c r="N1953" i="20"/>
  <c r="N1954" i="20"/>
  <c r="N1955" i="20"/>
  <c r="N1956" i="20"/>
  <c r="N1957" i="20"/>
  <c r="N1958" i="20"/>
  <c r="N1959" i="20"/>
  <c r="N1960" i="20"/>
  <c r="N1961" i="20"/>
  <c r="N1962" i="20"/>
  <c r="N1963" i="20"/>
  <c r="N1964" i="20"/>
  <c r="N1965" i="20"/>
  <c r="N1966" i="20"/>
  <c r="N1967" i="20"/>
  <c r="N1968" i="20"/>
  <c r="N1969" i="20"/>
  <c r="N1970" i="20"/>
  <c r="N1971" i="20"/>
  <c r="N1972" i="20"/>
  <c r="N1973" i="20"/>
  <c r="N1974" i="20"/>
  <c r="N1975" i="20"/>
  <c r="N1976" i="20"/>
  <c r="N1977" i="20"/>
  <c r="N1978" i="20"/>
  <c r="N1979" i="20"/>
  <c r="N1980" i="20"/>
  <c r="N1981" i="20"/>
  <c r="N1982" i="20"/>
  <c r="N1983" i="20"/>
  <c r="N1984" i="20"/>
  <c r="N1985" i="20"/>
  <c r="N1986" i="20"/>
  <c r="N1987" i="20"/>
  <c r="N1988" i="20"/>
  <c r="N1989" i="20"/>
  <c r="N1990" i="20"/>
  <c r="N1991" i="20"/>
  <c r="N1992" i="20"/>
  <c r="N1993" i="20"/>
  <c r="N1994" i="20"/>
  <c r="N1995" i="20"/>
  <c r="N1996" i="20"/>
  <c r="N1997" i="20"/>
  <c r="N1998" i="20"/>
  <c r="N1999" i="20"/>
  <c r="N2000" i="20"/>
  <c r="N2001" i="20"/>
  <c r="N2002" i="20"/>
  <c r="N2003" i="20"/>
  <c r="N2004" i="20"/>
  <c r="N2005" i="20"/>
  <c r="N2006" i="20"/>
  <c r="N2007" i="20"/>
  <c r="N2008" i="20"/>
  <c r="N2009" i="20"/>
  <c r="N2010" i="20"/>
  <c r="N2011" i="20"/>
  <c r="N2012" i="20"/>
  <c r="N2013" i="20"/>
  <c r="N2014" i="20"/>
  <c r="N2015" i="20"/>
  <c r="N2016" i="20"/>
  <c r="N2017" i="20"/>
  <c r="N2018" i="20"/>
  <c r="N2019" i="20"/>
  <c r="N2020" i="20"/>
  <c r="N2021" i="20"/>
  <c r="N2022" i="20"/>
  <c r="N2023" i="20"/>
  <c r="N2024" i="20"/>
  <c r="N2025" i="20"/>
  <c r="N2026" i="20"/>
  <c r="N2027" i="20"/>
  <c r="N2028" i="20"/>
  <c r="N2029" i="20"/>
  <c r="N2030" i="20"/>
  <c r="N2031" i="20"/>
  <c r="N2032" i="20"/>
  <c r="N2033" i="20"/>
  <c r="N2034" i="20"/>
  <c r="N2035" i="20"/>
  <c r="N2036" i="20"/>
  <c r="N2037" i="20"/>
  <c r="N2038" i="20"/>
  <c r="N2039" i="20"/>
  <c r="N2040" i="20"/>
  <c r="N2041" i="20"/>
  <c r="N2042" i="20"/>
  <c r="N2043" i="20"/>
  <c r="N2044" i="20"/>
  <c r="N2045" i="20"/>
  <c r="N2046" i="20"/>
  <c r="N2047" i="20"/>
  <c r="N2048" i="20"/>
  <c r="N2049" i="20"/>
  <c r="N2050" i="20"/>
  <c r="N2051" i="20"/>
  <c r="N2052" i="20"/>
  <c r="N2053" i="20"/>
  <c r="N2054" i="20"/>
  <c r="N2055" i="20"/>
  <c r="N2056" i="20"/>
  <c r="N2057" i="20"/>
  <c r="N2058" i="20"/>
  <c r="N2059" i="20"/>
  <c r="N2060" i="20"/>
  <c r="N2061" i="20"/>
  <c r="N2062" i="20"/>
  <c r="N2063" i="20"/>
  <c r="N2064" i="20"/>
  <c r="N2065" i="20"/>
  <c r="N2066" i="20"/>
  <c r="N2067" i="20"/>
  <c r="N2068" i="20"/>
  <c r="N2069" i="20"/>
  <c r="N2070" i="20"/>
  <c r="N2071" i="20"/>
  <c r="N2072" i="20"/>
  <c r="N2073" i="20"/>
  <c r="N2074" i="20"/>
  <c r="N2075" i="20"/>
  <c r="N2076" i="20"/>
  <c r="N2077" i="20"/>
  <c r="N2078" i="20"/>
  <c r="N2079" i="20"/>
  <c r="N2080" i="20"/>
  <c r="N2081" i="20"/>
  <c r="N2082" i="20"/>
  <c r="N2083" i="20"/>
  <c r="N2084" i="20"/>
  <c r="N2085" i="20"/>
  <c r="N2086" i="20"/>
  <c r="N2087" i="20"/>
  <c r="N2088" i="20"/>
  <c r="N2089" i="20"/>
  <c r="N2090" i="20"/>
  <c r="N2091" i="20"/>
  <c r="N2092" i="20"/>
  <c r="N2093" i="20"/>
  <c r="N2094" i="20"/>
  <c r="N2095" i="20"/>
  <c r="N2096" i="20"/>
  <c r="N2097" i="20"/>
  <c r="N2098" i="20"/>
  <c r="N2099" i="20"/>
  <c r="N2100" i="20"/>
  <c r="N2101" i="20"/>
  <c r="N2102" i="20"/>
  <c r="N2103" i="20"/>
  <c r="N2104" i="20"/>
  <c r="N2105" i="20"/>
  <c r="N2106" i="20"/>
  <c r="N2107" i="20"/>
  <c r="N2108" i="20"/>
  <c r="N2109" i="20"/>
  <c r="N2110" i="20"/>
  <c r="N2111" i="20"/>
  <c r="N2112" i="20"/>
  <c r="N2113" i="20"/>
  <c r="N2114" i="20"/>
  <c r="N2115" i="20"/>
  <c r="N2116" i="20"/>
  <c r="N2117" i="20"/>
  <c r="N2118" i="20"/>
  <c r="N2119" i="20"/>
  <c r="N2120" i="20"/>
  <c r="N2121" i="20"/>
  <c r="N2122" i="20"/>
  <c r="N2123" i="20"/>
  <c r="N2124" i="20"/>
  <c r="N2125" i="20"/>
  <c r="N2126" i="20"/>
  <c r="N2127" i="20"/>
  <c r="N2128" i="20"/>
  <c r="N2129" i="20"/>
  <c r="N2130" i="20"/>
  <c r="N2131" i="20"/>
  <c r="N2132" i="20"/>
  <c r="N2133" i="20"/>
  <c r="N2134" i="20"/>
  <c r="N2135" i="20"/>
  <c r="N2136" i="20"/>
  <c r="N2137" i="20"/>
  <c r="N2138" i="20"/>
  <c r="N2139" i="20"/>
  <c r="N2140" i="20"/>
  <c r="N2141" i="20"/>
  <c r="N2142" i="20"/>
  <c r="N2143" i="20"/>
  <c r="N2144" i="20"/>
  <c r="N2145" i="20"/>
  <c r="N2146" i="20"/>
  <c r="N2147" i="20"/>
  <c r="N2148" i="20"/>
  <c r="N2149" i="20"/>
  <c r="N2150" i="20"/>
  <c r="N2151" i="20"/>
  <c r="N2152" i="20"/>
  <c r="N2153" i="20"/>
  <c r="N2154" i="20"/>
  <c r="N2155" i="20"/>
  <c r="N2156" i="20"/>
  <c r="N2157" i="20"/>
  <c r="N2158" i="20"/>
  <c r="N2159" i="20"/>
  <c r="N2160" i="20"/>
  <c r="N2161" i="20"/>
  <c r="N2162" i="20"/>
  <c r="N2163" i="20"/>
  <c r="N2164" i="20"/>
  <c r="N2165" i="20"/>
  <c r="N2166" i="20"/>
  <c r="N2167" i="20"/>
  <c r="N2168" i="20"/>
  <c r="N2169" i="20"/>
  <c r="N2170" i="20"/>
  <c r="N2171" i="20"/>
  <c r="N2172" i="20"/>
  <c r="N2173" i="20"/>
  <c r="N2174" i="20"/>
  <c r="N2175" i="20"/>
  <c r="N2176" i="20"/>
  <c r="N2177" i="20"/>
  <c r="N2178" i="20"/>
  <c r="N2179" i="20"/>
  <c r="N2180" i="20"/>
  <c r="N2181" i="20"/>
  <c r="N2182" i="20"/>
  <c r="N2183" i="20"/>
  <c r="N2184" i="20"/>
  <c r="N2185" i="20"/>
  <c r="N2186" i="20"/>
  <c r="N2187" i="20"/>
  <c r="N2188" i="20"/>
  <c r="N2189" i="20"/>
  <c r="N2190" i="20"/>
  <c r="N2191" i="20"/>
  <c r="N2192" i="20"/>
  <c r="N2193" i="20"/>
  <c r="N2194" i="20"/>
  <c r="N2195" i="20"/>
  <c r="N2196" i="20"/>
  <c r="N2197" i="20"/>
  <c r="N2198" i="20"/>
  <c r="N2199" i="20"/>
  <c r="N2200" i="20"/>
  <c r="N2201" i="20"/>
  <c r="N2202" i="20"/>
  <c r="N2203" i="20"/>
  <c r="N2204" i="20"/>
  <c r="N2205" i="20"/>
  <c r="N2206" i="20"/>
  <c r="N2207" i="20"/>
  <c r="N2208" i="20"/>
  <c r="N2209" i="20"/>
  <c r="N2210" i="20"/>
  <c r="N2211" i="20"/>
  <c r="N2212" i="20"/>
  <c r="N2213" i="20"/>
  <c r="N2214" i="20"/>
  <c r="N2215" i="20"/>
  <c r="N2216" i="20"/>
  <c r="N2217" i="20"/>
  <c r="N2218" i="20"/>
  <c r="N2219" i="20"/>
  <c r="N2220" i="20"/>
  <c r="N2221" i="20"/>
  <c r="N2222" i="20"/>
  <c r="N2223" i="20"/>
  <c r="N2224" i="20"/>
  <c r="N2225" i="20"/>
  <c r="N2226" i="20"/>
  <c r="N2227" i="20"/>
  <c r="N2228" i="20"/>
  <c r="N2229" i="20"/>
  <c r="N2230" i="20"/>
  <c r="N2231" i="20"/>
  <c r="N2232" i="20"/>
  <c r="N2233" i="20"/>
  <c r="N2234" i="20"/>
  <c r="N2235" i="20"/>
  <c r="N2236" i="20"/>
  <c r="N2237" i="20"/>
  <c r="N2238" i="20"/>
  <c r="N2239" i="20"/>
  <c r="N2240" i="20"/>
  <c r="N2241" i="20"/>
  <c r="N2242" i="20"/>
  <c r="N2243" i="20"/>
  <c r="N2244" i="20"/>
  <c r="N2245" i="20"/>
  <c r="N2246" i="20"/>
  <c r="N2247" i="20"/>
  <c r="N2248" i="20"/>
  <c r="N2249" i="20"/>
  <c r="N2250" i="20"/>
  <c r="N2251" i="20"/>
  <c r="N2252" i="20"/>
  <c r="N2253" i="20"/>
  <c r="N2254" i="20"/>
  <c r="N2255" i="20"/>
  <c r="N2256" i="20"/>
  <c r="N2257" i="20"/>
  <c r="N2258" i="20"/>
  <c r="N2259" i="20"/>
  <c r="N2260" i="20"/>
  <c r="N2261" i="20"/>
  <c r="N2262" i="20"/>
  <c r="N2263" i="20"/>
  <c r="N2264" i="20"/>
  <c r="N2265" i="20"/>
  <c r="N2266" i="20"/>
  <c r="N2267" i="20"/>
  <c r="N2268" i="20"/>
  <c r="N2269" i="20"/>
  <c r="N2270" i="20"/>
  <c r="N2271" i="20"/>
  <c r="N2272" i="20"/>
  <c r="N2273" i="20"/>
  <c r="N2274" i="20"/>
  <c r="N2275" i="20"/>
  <c r="N2276" i="20"/>
  <c r="N2277" i="20"/>
  <c r="N2278" i="20"/>
  <c r="N2279" i="20"/>
  <c r="N2280" i="20"/>
  <c r="N2281" i="20"/>
  <c r="N2282" i="20"/>
  <c r="N2283" i="20"/>
  <c r="N2284" i="20"/>
  <c r="N2285" i="20"/>
  <c r="N2286" i="20"/>
  <c r="N2287" i="20"/>
  <c r="N2288" i="20"/>
  <c r="N2289" i="20"/>
  <c r="N2290" i="20"/>
  <c r="N2291" i="20"/>
  <c r="N2292" i="20"/>
  <c r="N2293" i="20"/>
  <c r="N2294" i="20"/>
  <c r="N2295" i="20"/>
  <c r="N2296" i="20"/>
  <c r="N2297" i="20"/>
  <c r="N2298" i="20"/>
  <c r="N2299" i="20"/>
  <c r="N2300" i="20"/>
  <c r="N2301" i="20"/>
  <c r="N2302" i="20"/>
  <c r="N2303" i="20"/>
  <c r="N2304" i="20"/>
  <c r="N2305" i="20"/>
  <c r="N2306" i="20"/>
  <c r="N2307" i="20"/>
  <c r="N2308" i="20"/>
  <c r="N2309" i="20"/>
  <c r="N2310" i="20"/>
  <c r="N2311" i="20"/>
  <c r="N2312" i="20"/>
  <c r="N2313" i="20"/>
  <c r="N2314" i="20"/>
  <c r="N2315" i="20"/>
  <c r="N2316" i="20"/>
  <c r="N2317" i="20"/>
  <c r="N2318" i="20"/>
  <c r="N2319" i="20"/>
  <c r="N2320" i="20"/>
  <c r="N2321" i="20"/>
  <c r="N2322" i="20"/>
  <c r="N2323" i="20"/>
  <c r="N2324" i="20"/>
  <c r="N2325" i="20"/>
  <c r="N2326" i="20"/>
  <c r="N2327" i="20"/>
  <c r="N2328" i="20"/>
  <c r="N2329" i="20"/>
  <c r="N2330" i="20"/>
  <c r="N2331" i="20"/>
  <c r="N2332" i="20"/>
  <c r="N2333" i="20"/>
  <c r="N2334" i="20"/>
  <c r="N2335" i="20"/>
  <c r="N2336" i="20"/>
  <c r="N2337" i="20"/>
  <c r="N2338" i="20"/>
  <c r="N2339" i="20"/>
  <c r="N2340" i="20"/>
  <c r="N2341" i="20"/>
  <c r="N2342" i="20"/>
  <c r="N2343" i="20"/>
  <c r="N2344" i="20"/>
  <c r="N2345" i="20"/>
  <c r="N2346" i="20"/>
  <c r="N2347" i="20"/>
  <c r="N2348" i="20"/>
  <c r="N2349" i="20"/>
  <c r="N2350" i="20"/>
  <c r="N2351" i="20"/>
  <c r="N2352" i="20"/>
  <c r="N2353" i="20"/>
  <c r="N2354" i="20"/>
  <c r="N2355" i="20"/>
  <c r="N2356" i="20"/>
  <c r="N2357" i="20"/>
  <c r="N2358" i="20"/>
  <c r="N2359" i="20"/>
  <c r="N2360" i="20"/>
  <c r="N2361" i="20"/>
  <c r="N2362" i="20"/>
  <c r="N2363" i="20"/>
  <c r="N2364" i="20"/>
  <c r="N2365" i="20"/>
  <c r="N2366" i="20"/>
  <c r="N2367" i="20"/>
  <c r="N2368" i="20"/>
  <c r="N2369" i="20"/>
  <c r="N2370" i="20"/>
  <c r="N2371" i="20"/>
  <c r="N2372" i="20"/>
  <c r="N2373" i="20"/>
  <c r="N2374" i="20"/>
  <c r="N2375" i="20"/>
  <c r="N2376" i="20"/>
  <c r="N2377" i="20"/>
  <c r="N2378" i="20"/>
  <c r="N2379" i="20"/>
  <c r="N2380" i="20"/>
  <c r="N2381" i="20"/>
  <c r="N2382" i="20"/>
  <c r="N2383" i="20"/>
  <c r="N2384" i="20"/>
  <c r="N2385" i="20"/>
  <c r="N2386" i="20"/>
  <c r="N2387" i="20"/>
  <c r="N2388" i="20"/>
  <c r="N2389" i="20"/>
  <c r="N2390" i="20"/>
  <c r="N2391" i="20"/>
  <c r="N2392" i="20"/>
  <c r="N2393" i="20"/>
  <c r="N2394" i="20"/>
  <c r="N2395" i="20"/>
  <c r="N2396" i="20"/>
  <c r="N2397" i="20"/>
  <c r="N2398" i="20"/>
  <c r="N2399" i="20"/>
  <c r="N2400" i="20"/>
  <c r="N2401" i="20"/>
  <c r="N2402" i="20"/>
  <c r="N2403" i="20"/>
  <c r="N2404" i="20"/>
  <c r="N2405" i="20"/>
  <c r="N2406" i="20"/>
  <c r="N2407" i="20"/>
  <c r="N2408" i="20"/>
  <c r="N2409" i="20"/>
  <c r="N2410" i="20"/>
  <c r="N2411" i="20"/>
  <c r="N2412" i="20"/>
  <c r="N2413" i="20"/>
  <c r="N2414" i="20"/>
  <c r="N2415" i="20"/>
  <c r="N2416" i="20"/>
  <c r="N2417" i="20"/>
  <c r="N2418" i="20"/>
  <c r="N2419" i="20"/>
  <c r="N2420" i="20"/>
  <c r="N2421" i="20"/>
  <c r="N2422" i="20"/>
  <c r="N2423" i="20"/>
  <c r="N2424" i="20"/>
  <c r="N2425" i="20"/>
  <c r="N2426" i="20"/>
  <c r="N2427" i="20"/>
  <c r="N2428" i="20"/>
  <c r="N2429" i="20"/>
  <c r="N2430" i="20"/>
  <c r="N2431" i="20"/>
  <c r="N2432" i="20"/>
  <c r="N2433" i="20"/>
  <c r="N2434" i="20"/>
  <c r="N2435" i="20"/>
  <c r="N2436" i="20"/>
  <c r="N2437" i="20"/>
  <c r="N2438" i="20"/>
  <c r="N2439" i="20"/>
  <c r="N2440" i="20"/>
  <c r="N2441" i="20"/>
  <c r="N2442" i="20"/>
  <c r="N2443" i="20"/>
  <c r="N2444" i="20"/>
  <c r="N2445" i="20"/>
  <c r="N2446" i="20"/>
  <c r="N2447" i="20"/>
  <c r="N2448" i="20"/>
  <c r="N2449" i="20"/>
  <c r="N2450" i="20"/>
  <c r="N2451" i="20"/>
  <c r="N2452" i="20"/>
  <c r="N2453" i="20"/>
  <c r="N2454" i="20"/>
  <c r="N2455" i="20"/>
  <c r="N2456" i="20"/>
  <c r="N2457" i="20"/>
  <c r="N2458" i="20"/>
  <c r="N2459" i="20"/>
  <c r="N2460" i="20"/>
  <c r="N2461" i="20"/>
  <c r="N2462" i="20"/>
  <c r="N2463" i="20"/>
  <c r="N2464" i="20"/>
  <c r="N2465" i="20"/>
  <c r="N2466" i="20"/>
  <c r="N2467" i="20"/>
  <c r="N2468" i="20"/>
  <c r="N2469" i="20"/>
  <c r="N2470" i="20"/>
  <c r="N2471" i="20"/>
  <c r="N2472" i="20"/>
  <c r="N2473" i="20"/>
  <c r="N2474" i="20"/>
  <c r="N2475" i="20"/>
  <c r="N2476" i="20"/>
  <c r="N2477" i="20"/>
  <c r="N2478" i="20"/>
  <c r="N2479" i="20"/>
  <c r="N2480" i="20"/>
  <c r="N2481" i="20"/>
  <c r="N2482" i="20"/>
  <c r="N2483" i="20"/>
  <c r="N2484" i="20"/>
  <c r="N2485" i="20"/>
  <c r="N2486" i="20"/>
  <c r="N2487" i="20"/>
  <c r="N2488" i="20"/>
  <c r="N2489" i="20"/>
  <c r="N2490" i="20"/>
  <c r="N2491" i="20"/>
  <c r="N2492" i="20"/>
  <c r="N2493" i="20"/>
  <c r="N2494" i="20"/>
  <c r="N2495" i="20"/>
  <c r="N2496" i="20"/>
  <c r="N2497" i="20"/>
  <c r="N2498" i="20"/>
  <c r="N2499" i="20"/>
  <c r="N2500" i="20"/>
  <c r="N2501" i="20"/>
  <c r="N2502" i="20"/>
  <c r="N2503" i="20"/>
  <c r="N2504" i="20"/>
  <c r="N2505" i="20"/>
  <c r="N2506" i="20"/>
  <c r="N2507" i="20"/>
  <c r="N2508" i="20"/>
  <c r="N2509" i="20"/>
  <c r="N2510" i="20"/>
  <c r="N2511" i="20"/>
  <c r="N2512" i="20"/>
  <c r="N2513" i="20"/>
  <c r="N2514" i="20"/>
  <c r="N2515" i="20"/>
  <c r="N2516" i="20"/>
  <c r="N2517" i="20"/>
  <c r="N2518" i="20"/>
  <c r="N2519" i="20"/>
  <c r="N2520" i="20"/>
  <c r="N2521" i="20"/>
  <c r="N2522" i="20"/>
  <c r="N2523" i="20"/>
  <c r="N2524" i="20"/>
  <c r="N2525" i="20"/>
  <c r="N2526" i="20"/>
  <c r="N2527" i="20"/>
  <c r="N2528" i="20"/>
  <c r="N2529" i="20"/>
  <c r="N2530" i="20"/>
  <c r="N2531" i="20"/>
  <c r="N2532" i="20"/>
  <c r="N2533" i="20"/>
  <c r="N2534" i="20"/>
  <c r="N2535" i="20"/>
  <c r="N2536" i="20"/>
  <c r="N2537" i="20"/>
  <c r="N2538" i="20"/>
  <c r="N2539" i="20"/>
  <c r="N2540" i="20"/>
  <c r="N2541" i="20"/>
  <c r="N2542" i="20"/>
  <c r="N2543" i="20"/>
  <c r="N2544" i="20"/>
  <c r="N2545" i="20"/>
  <c r="N2546" i="20"/>
  <c r="N2547" i="20"/>
  <c r="N2548" i="20"/>
  <c r="N2549" i="20"/>
  <c r="N2550" i="20"/>
  <c r="N2551" i="20"/>
  <c r="N2552" i="20"/>
  <c r="N2553" i="20"/>
  <c r="N2554" i="20"/>
  <c r="N2555" i="20"/>
  <c r="N2556" i="20"/>
  <c r="N2557" i="20"/>
  <c r="N2558" i="20"/>
  <c r="N2559" i="20"/>
  <c r="N2560" i="20"/>
  <c r="N2561" i="20"/>
  <c r="N2562" i="20"/>
  <c r="N2563" i="20"/>
  <c r="N2564" i="20"/>
  <c r="N2565" i="20"/>
  <c r="N2566" i="20"/>
  <c r="N2567" i="20"/>
  <c r="N2568" i="20"/>
  <c r="N2569" i="20"/>
  <c r="N2570" i="20"/>
  <c r="N2571" i="20"/>
  <c r="N2572" i="20"/>
  <c r="N2573" i="20"/>
  <c r="N2574" i="20"/>
  <c r="N2575" i="20"/>
  <c r="N2576" i="20"/>
  <c r="N2577" i="20"/>
  <c r="N2578" i="20"/>
  <c r="N2579" i="20"/>
  <c r="N2580" i="20"/>
  <c r="N2581" i="20"/>
  <c r="N2582" i="20"/>
  <c r="N2583" i="20"/>
  <c r="N2584" i="20"/>
  <c r="N2585" i="20"/>
  <c r="N2586" i="20"/>
  <c r="N2587" i="20"/>
  <c r="N2588" i="20"/>
  <c r="N2589" i="20"/>
  <c r="N2590" i="20"/>
  <c r="N2591" i="20"/>
  <c r="N2592" i="20"/>
  <c r="N2593" i="20"/>
  <c r="N2594" i="20"/>
  <c r="N2595" i="20"/>
  <c r="N2596" i="20"/>
  <c r="N2597" i="20"/>
  <c r="N2598" i="20"/>
  <c r="N2599" i="20"/>
  <c r="N2600" i="20"/>
  <c r="N2601" i="20"/>
  <c r="N2602" i="20"/>
  <c r="N2603" i="20"/>
  <c r="N2604" i="20"/>
  <c r="N2605" i="20"/>
  <c r="N2606" i="20"/>
  <c r="N2607" i="20"/>
  <c r="N2608" i="20"/>
  <c r="N2609" i="20"/>
  <c r="N2610" i="20"/>
  <c r="N2611" i="20"/>
  <c r="N2612" i="20"/>
  <c r="N2613" i="20"/>
  <c r="N2614" i="20"/>
  <c r="N2615" i="20"/>
  <c r="N2616" i="20"/>
  <c r="N2617" i="20"/>
  <c r="N2618" i="20"/>
  <c r="N2619" i="20"/>
  <c r="N2620" i="20"/>
  <c r="N2621" i="20"/>
  <c r="N2622" i="20"/>
  <c r="N2623" i="20"/>
  <c r="N2624" i="20"/>
  <c r="N2625" i="20"/>
  <c r="N2626" i="20"/>
  <c r="N2627" i="20"/>
  <c r="N2628" i="20"/>
  <c r="N2629" i="20"/>
  <c r="N2630" i="20"/>
  <c r="N2631" i="20"/>
  <c r="N2632" i="20"/>
  <c r="N2633" i="20"/>
  <c r="N2634" i="20"/>
  <c r="N2635" i="20"/>
  <c r="N2636" i="20"/>
  <c r="N2637" i="20"/>
  <c r="N2638" i="20"/>
  <c r="N2639" i="20"/>
  <c r="N2640" i="20"/>
  <c r="N2641" i="20"/>
  <c r="N2642" i="20"/>
  <c r="N2643" i="20"/>
  <c r="N2644" i="20"/>
  <c r="N2645" i="20"/>
  <c r="N2646" i="20"/>
  <c r="N2647" i="20"/>
  <c r="N2648" i="20"/>
  <c r="N2649" i="20"/>
  <c r="N2650" i="20"/>
  <c r="N2651" i="20"/>
  <c r="N2652" i="20"/>
  <c r="N2653" i="20"/>
  <c r="N2654" i="20"/>
  <c r="N2655" i="20"/>
  <c r="N2656" i="20"/>
  <c r="N2657" i="20"/>
  <c r="N2658" i="20"/>
  <c r="N2659" i="20"/>
  <c r="N2660" i="20"/>
  <c r="N2661" i="20"/>
  <c r="N2662" i="20"/>
  <c r="N2663" i="20"/>
  <c r="N2664" i="20"/>
  <c r="N2665" i="20"/>
  <c r="N2666" i="20"/>
  <c r="N2667" i="20"/>
  <c r="N2668" i="20"/>
  <c r="N2669" i="20"/>
  <c r="N2670" i="20"/>
  <c r="N2671" i="20"/>
  <c r="N2672" i="20"/>
  <c r="N2673" i="20"/>
  <c r="N2674" i="20"/>
  <c r="N2675" i="20"/>
  <c r="N2676" i="20"/>
  <c r="N2677" i="20"/>
  <c r="N2678" i="20"/>
  <c r="N2679" i="20"/>
  <c r="N2680" i="20"/>
  <c r="N2681" i="20"/>
  <c r="N2682" i="20"/>
  <c r="N2683" i="20"/>
  <c r="N2684" i="20"/>
  <c r="N2685" i="20"/>
  <c r="N2686" i="20"/>
  <c r="N2687" i="20"/>
  <c r="N2688" i="20"/>
  <c r="N2689" i="20"/>
  <c r="N2690" i="20"/>
  <c r="N2691" i="20"/>
  <c r="N2692" i="20"/>
  <c r="N2693" i="20"/>
  <c r="N2694" i="20"/>
  <c r="N2695" i="20"/>
  <c r="N2696" i="20"/>
  <c r="N2697" i="20"/>
  <c r="N2698" i="20"/>
  <c r="N2699" i="20"/>
  <c r="N2700" i="20"/>
  <c r="N2701" i="20"/>
  <c r="N2702" i="20"/>
  <c r="N2703" i="20"/>
  <c r="N2704" i="20"/>
  <c r="N2705" i="20"/>
  <c r="N2706" i="20"/>
  <c r="N2707" i="20"/>
  <c r="N2708" i="20"/>
  <c r="N2709" i="20"/>
  <c r="N2710" i="20"/>
  <c r="N2711" i="20"/>
  <c r="N2712" i="20"/>
  <c r="N2713" i="20"/>
  <c r="N2714" i="20"/>
  <c r="N2715" i="20"/>
  <c r="N2716" i="20"/>
  <c r="N2717" i="20"/>
  <c r="N2718" i="20"/>
  <c r="N2719" i="20"/>
  <c r="N2720" i="20"/>
  <c r="N2721" i="20"/>
  <c r="N2722" i="20"/>
  <c r="N2723" i="20"/>
  <c r="N2724" i="20"/>
  <c r="N2725" i="20"/>
  <c r="N2726" i="20"/>
  <c r="N2727" i="20"/>
  <c r="N2728" i="20"/>
  <c r="N2729" i="20"/>
  <c r="N2730" i="20"/>
  <c r="N2731" i="20"/>
  <c r="N2732" i="20"/>
  <c r="N2733" i="20"/>
  <c r="N2734" i="20"/>
  <c r="N2735" i="20"/>
  <c r="N2736" i="20"/>
  <c r="N2737" i="20"/>
  <c r="N2738" i="20"/>
  <c r="N2739" i="20"/>
  <c r="N2740" i="20"/>
  <c r="N2741" i="20"/>
  <c r="N2742" i="20"/>
  <c r="N2743" i="20"/>
  <c r="N2744" i="20"/>
  <c r="N2745" i="20"/>
  <c r="N2746" i="20"/>
  <c r="N2747" i="20"/>
  <c r="N2748" i="20"/>
  <c r="N2749" i="20"/>
  <c r="N2750" i="20"/>
  <c r="N2751" i="20"/>
  <c r="N2752" i="20"/>
  <c r="N2753" i="20"/>
  <c r="N2754" i="20"/>
  <c r="N2755" i="20"/>
  <c r="N2756" i="20"/>
  <c r="N2757" i="20"/>
  <c r="N2758" i="20"/>
  <c r="N2759" i="20"/>
  <c r="N2760" i="20"/>
  <c r="N2761" i="20"/>
  <c r="N2762" i="20"/>
  <c r="N2763" i="20"/>
  <c r="N2764" i="20"/>
  <c r="N2765" i="20"/>
  <c r="N2766" i="20"/>
  <c r="N2767" i="20"/>
  <c r="N2768" i="20"/>
  <c r="N2769" i="20"/>
  <c r="N2770" i="20"/>
  <c r="N2771" i="20"/>
  <c r="N2772" i="20"/>
  <c r="N2773" i="20"/>
  <c r="N2774" i="20"/>
  <c r="N2775" i="20"/>
  <c r="N2776" i="20"/>
  <c r="N2777" i="20"/>
  <c r="N2778" i="20"/>
  <c r="N2779" i="20"/>
  <c r="N2780" i="20"/>
  <c r="N2781" i="20"/>
  <c r="N2782" i="20"/>
  <c r="N2783" i="20"/>
  <c r="N2784" i="20"/>
  <c r="N2785" i="20"/>
  <c r="N2786" i="20"/>
  <c r="N2787" i="20"/>
  <c r="N2788" i="20"/>
  <c r="N2789" i="20"/>
  <c r="N2790" i="20"/>
  <c r="N2791" i="20"/>
  <c r="N2792" i="20"/>
  <c r="N2793" i="20"/>
  <c r="N2794" i="20"/>
  <c r="N2795" i="20"/>
  <c r="N2796" i="20"/>
  <c r="N2797" i="20"/>
  <c r="N2798" i="20"/>
  <c r="N2799" i="20"/>
  <c r="N2800" i="20"/>
  <c r="N2801" i="20"/>
  <c r="N2802" i="20"/>
  <c r="N2803" i="20"/>
  <c r="N2804" i="20"/>
  <c r="N2805" i="20"/>
  <c r="N2806" i="20"/>
  <c r="N2807" i="20"/>
  <c r="N2808" i="20"/>
  <c r="N2809" i="20"/>
  <c r="N2810" i="20"/>
  <c r="N2811" i="20"/>
  <c r="N2812" i="20"/>
  <c r="N2813" i="20"/>
  <c r="N2814" i="20"/>
  <c r="N2815" i="20"/>
  <c r="N2816" i="20"/>
  <c r="N2817" i="20"/>
  <c r="N2818" i="20"/>
  <c r="N2819" i="20"/>
  <c r="N2820" i="20"/>
  <c r="N2821" i="20"/>
  <c r="N2822" i="20"/>
  <c r="N2823" i="20"/>
  <c r="N2824" i="20"/>
  <c r="N2825" i="20"/>
  <c r="N2826" i="20"/>
  <c r="N2827" i="20"/>
  <c r="N2828" i="20"/>
  <c r="N2829" i="20"/>
  <c r="N2830" i="20"/>
  <c r="N2831" i="20"/>
  <c r="N2832" i="20"/>
  <c r="N2833" i="20"/>
  <c r="N2834" i="20"/>
  <c r="N2835" i="20"/>
  <c r="N2836" i="20"/>
  <c r="N2837" i="20"/>
  <c r="N2838" i="20"/>
  <c r="N2839" i="20"/>
  <c r="N2840" i="20"/>
  <c r="N2841" i="20"/>
  <c r="N2842" i="20"/>
  <c r="N2843" i="20"/>
  <c r="N2844" i="20"/>
  <c r="N2845" i="20"/>
  <c r="N2846" i="20"/>
  <c r="N2847" i="20"/>
  <c r="N2848" i="20"/>
  <c r="N2849" i="20"/>
  <c r="N2850" i="20"/>
  <c r="N2851" i="20"/>
  <c r="N2852" i="20"/>
  <c r="N2853" i="20"/>
  <c r="N2854" i="20"/>
  <c r="N2855" i="20"/>
  <c r="N2856" i="20"/>
  <c r="N2857" i="20"/>
  <c r="N2858" i="20"/>
  <c r="N2859" i="20"/>
  <c r="N2860" i="20"/>
  <c r="N2861" i="20"/>
  <c r="N2862" i="20"/>
  <c r="N2863" i="20"/>
  <c r="N2864" i="20"/>
  <c r="N2865" i="20"/>
  <c r="N2866" i="20"/>
  <c r="N2867" i="20"/>
  <c r="N2868" i="20"/>
  <c r="N2869" i="20"/>
  <c r="N2870" i="20"/>
  <c r="N2871" i="20"/>
  <c r="N2872" i="20"/>
  <c r="N2873" i="20"/>
  <c r="O1884" i="20"/>
  <c r="O1885" i="20"/>
  <c r="O1886" i="20"/>
  <c r="O1887" i="20"/>
  <c r="O1888" i="20"/>
  <c r="O1889" i="20"/>
  <c r="O1890" i="20"/>
  <c r="O1891" i="20"/>
  <c r="O1892" i="20"/>
  <c r="O1893" i="20"/>
  <c r="O1894" i="20"/>
  <c r="O1895" i="20"/>
  <c r="O1896" i="20"/>
  <c r="O1897" i="20"/>
  <c r="O1898" i="20"/>
  <c r="O1899" i="20"/>
  <c r="O1900" i="20"/>
  <c r="O1901" i="20"/>
  <c r="O1902" i="20"/>
  <c r="O1903" i="20"/>
  <c r="O1904" i="20"/>
  <c r="O1905" i="20"/>
  <c r="O1906" i="20"/>
  <c r="O1907" i="20"/>
  <c r="O1908" i="20"/>
  <c r="O1909" i="20"/>
  <c r="O1910" i="20"/>
  <c r="O1911" i="20"/>
  <c r="O1912" i="20"/>
  <c r="O1913" i="20"/>
  <c r="O1914" i="20"/>
  <c r="O1915" i="20"/>
  <c r="O1916" i="20"/>
  <c r="O1917" i="20"/>
  <c r="O1918" i="20"/>
  <c r="O1919" i="20"/>
  <c r="O1920" i="20"/>
  <c r="O1921" i="20"/>
  <c r="O1922" i="20"/>
  <c r="O1923" i="20"/>
  <c r="O1924" i="20"/>
  <c r="O1925" i="20"/>
  <c r="O1926" i="20"/>
  <c r="O1927" i="20"/>
  <c r="O1928" i="20"/>
  <c r="O1929" i="20"/>
  <c r="O1930" i="20"/>
  <c r="O1931" i="20"/>
  <c r="O1932" i="20"/>
  <c r="O1933" i="20"/>
  <c r="O1934" i="20"/>
  <c r="O1935" i="20"/>
  <c r="O1936" i="20"/>
  <c r="O1937" i="20"/>
  <c r="O1938" i="20"/>
  <c r="O1939" i="20"/>
  <c r="O1940" i="20"/>
  <c r="O1941" i="20"/>
  <c r="O1942" i="20"/>
  <c r="O1943" i="20"/>
  <c r="O1944" i="20"/>
  <c r="O1945" i="20"/>
  <c r="O1946" i="20"/>
  <c r="O1947" i="20"/>
  <c r="O1948" i="20"/>
  <c r="O1949" i="20"/>
  <c r="O1950" i="20"/>
  <c r="O1951" i="20"/>
  <c r="O1952" i="20"/>
  <c r="O1953" i="20"/>
  <c r="O1954" i="20"/>
  <c r="O1955" i="20"/>
  <c r="O1956" i="20"/>
  <c r="O1957" i="20"/>
  <c r="O1958" i="20"/>
  <c r="O1959" i="20"/>
  <c r="O1960" i="20"/>
  <c r="O1961" i="20"/>
  <c r="O1962" i="20"/>
  <c r="O1963" i="20"/>
  <c r="O1964" i="20"/>
  <c r="O1965" i="20"/>
  <c r="O1966" i="20"/>
  <c r="O1967" i="20"/>
  <c r="O1968" i="20"/>
  <c r="O1969" i="20"/>
  <c r="O1970" i="20"/>
  <c r="O1971" i="20"/>
  <c r="O1972" i="20"/>
  <c r="O1973" i="20"/>
  <c r="O1974" i="20"/>
  <c r="O1975" i="20"/>
  <c r="O1976" i="20"/>
  <c r="O1977" i="20"/>
  <c r="O1978" i="20"/>
  <c r="O1979" i="20"/>
  <c r="O1980" i="20"/>
  <c r="O1981" i="20"/>
  <c r="O1982" i="20"/>
  <c r="O1983" i="20"/>
  <c r="O1984" i="20"/>
  <c r="O1985" i="20"/>
  <c r="O1986" i="20"/>
  <c r="O1987" i="20"/>
  <c r="O1988" i="20"/>
  <c r="O1989" i="20"/>
  <c r="O1990" i="20"/>
  <c r="O1991" i="20"/>
  <c r="O1992" i="20"/>
  <c r="O1993" i="20"/>
  <c r="O1994" i="20"/>
  <c r="O1995" i="20"/>
  <c r="O1996" i="20"/>
  <c r="O1997" i="20"/>
  <c r="O1998" i="20"/>
  <c r="O1999" i="20"/>
  <c r="O2000" i="20"/>
  <c r="O2001" i="20"/>
  <c r="O2002" i="20"/>
  <c r="O2003" i="20"/>
  <c r="O2004" i="20"/>
  <c r="O2005" i="20"/>
  <c r="O2006" i="20"/>
  <c r="O2007" i="20"/>
  <c r="O2008" i="20"/>
  <c r="O2009" i="20"/>
  <c r="O2010" i="20"/>
  <c r="O2011" i="20"/>
  <c r="O2012" i="20"/>
  <c r="O2013" i="20"/>
  <c r="O2014" i="20"/>
  <c r="O2015" i="20"/>
  <c r="O2016" i="20"/>
  <c r="O2017" i="20"/>
  <c r="O2018" i="20"/>
  <c r="O2019" i="20"/>
  <c r="O2020" i="20"/>
  <c r="O2021" i="20"/>
  <c r="O2022" i="20"/>
  <c r="O2023" i="20"/>
  <c r="O2024" i="20"/>
  <c r="O2025" i="20"/>
  <c r="O2026" i="20"/>
  <c r="O2027" i="20"/>
  <c r="O2028" i="20"/>
  <c r="O2029" i="20"/>
  <c r="O2030" i="20"/>
  <c r="O2031" i="20"/>
  <c r="O2032" i="20"/>
  <c r="O2033" i="20"/>
  <c r="O2034" i="20"/>
  <c r="O2035" i="20"/>
  <c r="O2036" i="20"/>
  <c r="O2037" i="20"/>
  <c r="O2038" i="20"/>
  <c r="O2039" i="20"/>
  <c r="O2040" i="20"/>
  <c r="O2041" i="20"/>
  <c r="O2042" i="20"/>
  <c r="O2043" i="20"/>
  <c r="O2044" i="20"/>
  <c r="O2045" i="20"/>
  <c r="O2046" i="20"/>
  <c r="O2047" i="20"/>
  <c r="O2048" i="20"/>
  <c r="O2049" i="20"/>
  <c r="O2050" i="20"/>
  <c r="O2051" i="20"/>
  <c r="O2052" i="20"/>
  <c r="O2053" i="20"/>
  <c r="O2054" i="20"/>
  <c r="O2055" i="20"/>
  <c r="O2056" i="20"/>
  <c r="O2057" i="20"/>
  <c r="O2058" i="20"/>
  <c r="O2059" i="20"/>
  <c r="O2060" i="20"/>
  <c r="O2061" i="20"/>
  <c r="O2062" i="20"/>
  <c r="O2063" i="20"/>
  <c r="O2064" i="20"/>
  <c r="O2065" i="20"/>
  <c r="O2066" i="20"/>
  <c r="O2067" i="20"/>
  <c r="O2068" i="20"/>
  <c r="O2069" i="20"/>
  <c r="O2070" i="20"/>
  <c r="O2071" i="20"/>
  <c r="O2072" i="20"/>
  <c r="O2073" i="20"/>
  <c r="O2074" i="20"/>
  <c r="O2075" i="20"/>
  <c r="O2076" i="20"/>
  <c r="O2077" i="20"/>
  <c r="O2078" i="20"/>
  <c r="O2079" i="20"/>
  <c r="O2080" i="20"/>
  <c r="O2081" i="20"/>
  <c r="O2082" i="20"/>
  <c r="O2083" i="20"/>
  <c r="O2084" i="20"/>
  <c r="O2085" i="20"/>
  <c r="O2086" i="20"/>
  <c r="O2087" i="20"/>
  <c r="O2088" i="20"/>
  <c r="O2089" i="20"/>
  <c r="O2090" i="20"/>
  <c r="O2091" i="20"/>
  <c r="O2092" i="20"/>
  <c r="O2093" i="20"/>
  <c r="O2094" i="20"/>
  <c r="O2095" i="20"/>
  <c r="O2096" i="20"/>
  <c r="O2097" i="20"/>
  <c r="O2098" i="20"/>
  <c r="O2099" i="20"/>
  <c r="O2100" i="20"/>
  <c r="O2101" i="20"/>
  <c r="O2102" i="20"/>
  <c r="O2103" i="20"/>
  <c r="O2104" i="20"/>
  <c r="O2105" i="20"/>
  <c r="O2106" i="20"/>
  <c r="O2107" i="20"/>
  <c r="O2108" i="20"/>
  <c r="O2109" i="20"/>
  <c r="O2110" i="20"/>
  <c r="O2111" i="20"/>
  <c r="O2112" i="20"/>
  <c r="O2113" i="20"/>
  <c r="O2114" i="20"/>
  <c r="O2115" i="20"/>
  <c r="O2116" i="20"/>
  <c r="O2117" i="20"/>
  <c r="O2118" i="20"/>
  <c r="O2119" i="20"/>
  <c r="O2120" i="20"/>
  <c r="O2121" i="20"/>
  <c r="O2122" i="20"/>
  <c r="O2123" i="20"/>
  <c r="O2124" i="20"/>
  <c r="O2125" i="20"/>
  <c r="O2126" i="20"/>
  <c r="O2127" i="20"/>
  <c r="O2128" i="20"/>
  <c r="O2129" i="20"/>
  <c r="O2130" i="20"/>
  <c r="O2131" i="20"/>
  <c r="O2132" i="20"/>
  <c r="O2133" i="20"/>
  <c r="O2134" i="20"/>
  <c r="O2135" i="20"/>
  <c r="O2136" i="20"/>
  <c r="O2137" i="20"/>
  <c r="O2138" i="20"/>
  <c r="O2139" i="20"/>
  <c r="O2140" i="20"/>
  <c r="O2141" i="20"/>
  <c r="O2142" i="20"/>
  <c r="O2143" i="20"/>
  <c r="O2144" i="20"/>
  <c r="O2145" i="20"/>
  <c r="O2146" i="20"/>
  <c r="O2147" i="20"/>
  <c r="O2148" i="20"/>
  <c r="O2149" i="20"/>
  <c r="O2150" i="20"/>
  <c r="O2151" i="20"/>
  <c r="O2152" i="20"/>
  <c r="O2153" i="20"/>
  <c r="O2154" i="20"/>
  <c r="O2155" i="20"/>
  <c r="O2156" i="20"/>
  <c r="O2157" i="20"/>
  <c r="O2158" i="20"/>
  <c r="O2159" i="20"/>
  <c r="O2160" i="20"/>
  <c r="O2161" i="20"/>
  <c r="O2162" i="20"/>
  <c r="O2163" i="20"/>
  <c r="O2164" i="20"/>
  <c r="O2165" i="20"/>
  <c r="O2166" i="20"/>
  <c r="O2167" i="20"/>
  <c r="O2168" i="20"/>
  <c r="O2169" i="20"/>
  <c r="O2170" i="20"/>
  <c r="O2171" i="20"/>
  <c r="O2172" i="20"/>
  <c r="O2173" i="20"/>
  <c r="O2174" i="20"/>
  <c r="O2175" i="20"/>
  <c r="O2176" i="20"/>
  <c r="O2177" i="20"/>
  <c r="O2178" i="20"/>
  <c r="O2179" i="20"/>
  <c r="O2180" i="20"/>
  <c r="O2181" i="20"/>
  <c r="O2182" i="20"/>
  <c r="O2183" i="20"/>
  <c r="O2184" i="20"/>
  <c r="O2185" i="20"/>
  <c r="O2186" i="20"/>
  <c r="O2187" i="20"/>
  <c r="O2188" i="20"/>
  <c r="O2189" i="20"/>
  <c r="O2190" i="20"/>
  <c r="O2191" i="20"/>
  <c r="O2192" i="20"/>
  <c r="O2193" i="20"/>
  <c r="O2194" i="20"/>
  <c r="O2195" i="20"/>
  <c r="O2196" i="20"/>
  <c r="O2197" i="20"/>
  <c r="O2198" i="20"/>
  <c r="O2199" i="20"/>
  <c r="O2200" i="20"/>
  <c r="O2201" i="20"/>
  <c r="O2202" i="20"/>
  <c r="O2203" i="20"/>
  <c r="O2204" i="20"/>
  <c r="O2205" i="20"/>
  <c r="O2206" i="20"/>
  <c r="O2207" i="20"/>
  <c r="O2208" i="20"/>
  <c r="O2209" i="20"/>
  <c r="O2210" i="20"/>
  <c r="O2211" i="20"/>
  <c r="O2212" i="20"/>
  <c r="O2213" i="20"/>
  <c r="O2214" i="20"/>
  <c r="O2215" i="20"/>
  <c r="O2216" i="20"/>
  <c r="O2217" i="20"/>
  <c r="O2218" i="20"/>
  <c r="O2219" i="20"/>
  <c r="O2220" i="20"/>
  <c r="O2221" i="20"/>
  <c r="O2222" i="20"/>
  <c r="O2223" i="20"/>
  <c r="O2224" i="20"/>
  <c r="O2225" i="20"/>
  <c r="O2226" i="20"/>
  <c r="O2227" i="20"/>
  <c r="O2228" i="20"/>
  <c r="O2229" i="20"/>
  <c r="O2230" i="20"/>
  <c r="O2231" i="20"/>
  <c r="O2232" i="20"/>
  <c r="O2233" i="20"/>
  <c r="O2234" i="20"/>
  <c r="O2235" i="20"/>
  <c r="O2236" i="20"/>
  <c r="O2237" i="20"/>
  <c r="O2238" i="20"/>
  <c r="O2239" i="20"/>
  <c r="O2240" i="20"/>
  <c r="O2241" i="20"/>
  <c r="O2242" i="20"/>
  <c r="O2243" i="20"/>
  <c r="O2244" i="20"/>
  <c r="O2245" i="20"/>
  <c r="O2246" i="20"/>
  <c r="O2247" i="20"/>
  <c r="O2248" i="20"/>
  <c r="O2249" i="20"/>
  <c r="O2250" i="20"/>
  <c r="O2251" i="20"/>
  <c r="O2252" i="20"/>
  <c r="O2253" i="20"/>
  <c r="O2254" i="20"/>
  <c r="O2255" i="20"/>
  <c r="O2256" i="20"/>
  <c r="O2257" i="20"/>
  <c r="O2258" i="20"/>
  <c r="O2259" i="20"/>
  <c r="O2260" i="20"/>
  <c r="O2261" i="20"/>
  <c r="O2262" i="20"/>
  <c r="O2263" i="20"/>
  <c r="O2264" i="20"/>
  <c r="O2265" i="20"/>
  <c r="O2266" i="20"/>
  <c r="O2267" i="20"/>
  <c r="O2268" i="20"/>
  <c r="O2269" i="20"/>
  <c r="O2270" i="20"/>
  <c r="O2271" i="20"/>
  <c r="O2272" i="20"/>
  <c r="O2273" i="20"/>
  <c r="O2274" i="20"/>
  <c r="O2275" i="20"/>
  <c r="O2276" i="20"/>
  <c r="O2277" i="20"/>
  <c r="O2278" i="20"/>
  <c r="O2279" i="20"/>
  <c r="O2280" i="20"/>
  <c r="O2281" i="20"/>
  <c r="O2282" i="20"/>
  <c r="O2283" i="20"/>
  <c r="O2284" i="20"/>
  <c r="O2285" i="20"/>
  <c r="O2286" i="20"/>
  <c r="O2287" i="20"/>
  <c r="O2288" i="20"/>
  <c r="O2289" i="20"/>
  <c r="O2290" i="20"/>
  <c r="O2291" i="20"/>
  <c r="O2292" i="20"/>
  <c r="O2293" i="20"/>
  <c r="O2294" i="20"/>
  <c r="O2295" i="20"/>
  <c r="O2296" i="20"/>
  <c r="O2297" i="20"/>
  <c r="O2298" i="20"/>
  <c r="O2299" i="20"/>
  <c r="O2300" i="20"/>
  <c r="O2301" i="20"/>
  <c r="O2302" i="20"/>
  <c r="O2303" i="20"/>
  <c r="O2304" i="20"/>
  <c r="O2305" i="20"/>
  <c r="O2306" i="20"/>
  <c r="O2307" i="20"/>
  <c r="O2308" i="20"/>
  <c r="O2309" i="20"/>
  <c r="O2310" i="20"/>
  <c r="O2311" i="20"/>
  <c r="O2312" i="20"/>
  <c r="O2313" i="20"/>
  <c r="O2314" i="20"/>
  <c r="O2315" i="20"/>
  <c r="O2316" i="20"/>
  <c r="O2317" i="20"/>
  <c r="O2318" i="20"/>
  <c r="O2319" i="20"/>
  <c r="O2320" i="20"/>
  <c r="O2321" i="20"/>
  <c r="O2322" i="20"/>
  <c r="O2323" i="20"/>
  <c r="O2324" i="20"/>
  <c r="O2325" i="20"/>
  <c r="O2326" i="20"/>
  <c r="O2327" i="20"/>
  <c r="O2328" i="20"/>
  <c r="O2329" i="20"/>
  <c r="O2330" i="20"/>
  <c r="O2331" i="20"/>
  <c r="O2332" i="20"/>
  <c r="O2333" i="20"/>
  <c r="O2334" i="20"/>
  <c r="O2335" i="20"/>
  <c r="O2336" i="20"/>
  <c r="O2337" i="20"/>
  <c r="O2338" i="20"/>
  <c r="O2339" i="20"/>
  <c r="O2340" i="20"/>
  <c r="O2341" i="20"/>
  <c r="O2342" i="20"/>
  <c r="O2343" i="20"/>
  <c r="O2344" i="20"/>
  <c r="O2345" i="20"/>
  <c r="O2346" i="20"/>
  <c r="O2347" i="20"/>
  <c r="O2348" i="20"/>
  <c r="O2349" i="20"/>
  <c r="O2350" i="20"/>
  <c r="O2351" i="20"/>
  <c r="O2352" i="20"/>
  <c r="O2353" i="20"/>
  <c r="O2354" i="20"/>
  <c r="O2355" i="20"/>
  <c r="O2356" i="20"/>
  <c r="O2357" i="20"/>
  <c r="O2358" i="20"/>
  <c r="O2359" i="20"/>
  <c r="O2360" i="20"/>
  <c r="O2361" i="20"/>
  <c r="O2362" i="20"/>
  <c r="O2363" i="20"/>
  <c r="O2364" i="20"/>
  <c r="O2365" i="20"/>
  <c r="O2366" i="20"/>
  <c r="O2367" i="20"/>
  <c r="O2368" i="20"/>
  <c r="O2369" i="20"/>
  <c r="O2370" i="20"/>
  <c r="O2371" i="20"/>
  <c r="O2372" i="20"/>
  <c r="O2373" i="20"/>
  <c r="O2374" i="20"/>
  <c r="O2375" i="20"/>
  <c r="O2376" i="20"/>
  <c r="O2377" i="20"/>
  <c r="O2378" i="20"/>
  <c r="O2379" i="20"/>
  <c r="O2380" i="20"/>
  <c r="O2381" i="20"/>
  <c r="O2382" i="20"/>
  <c r="O2383" i="20"/>
  <c r="O2384" i="20"/>
  <c r="O2385" i="20"/>
  <c r="O2386" i="20"/>
  <c r="O2387" i="20"/>
  <c r="O2388" i="20"/>
  <c r="O2389" i="20"/>
  <c r="O2390" i="20"/>
  <c r="O2391" i="20"/>
  <c r="O2392" i="20"/>
  <c r="O2393" i="20"/>
  <c r="O2394" i="20"/>
  <c r="O2395" i="20"/>
  <c r="O2396" i="20"/>
  <c r="O2397" i="20"/>
  <c r="O2398" i="20"/>
  <c r="O2399" i="20"/>
  <c r="O2400" i="20"/>
  <c r="O2401" i="20"/>
  <c r="O2402" i="20"/>
  <c r="O2403" i="20"/>
  <c r="O2404" i="20"/>
  <c r="O2405" i="20"/>
  <c r="O2406" i="20"/>
  <c r="O2407" i="20"/>
  <c r="O2408" i="20"/>
  <c r="O2409" i="20"/>
  <c r="O2410" i="20"/>
  <c r="O2411" i="20"/>
  <c r="O2412" i="20"/>
  <c r="O2413" i="20"/>
  <c r="O2414" i="20"/>
  <c r="O2415" i="20"/>
  <c r="O2416" i="20"/>
  <c r="O2417" i="20"/>
  <c r="O2418" i="20"/>
  <c r="O2419" i="20"/>
  <c r="O2420" i="20"/>
  <c r="O2421" i="20"/>
  <c r="O2422" i="20"/>
  <c r="O2423" i="20"/>
  <c r="O2424" i="20"/>
  <c r="O2425" i="20"/>
  <c r="O2426" i="20"/>
  <c r="O2427" i="20"/>
  <c r="O2428" i="20"/>
  <c r="O2429" i="20"/>
  <c r="O2430" i="20"/>
  <c r="O2431" i="20"/>
  <c r="O2432" i="20"/>
  <c r="O2433" i="20"/>
  <c r="O2434" i="20"/>
  <c r="O2435" i="20"/>
  <c r="O2436" i="20"/>
  <c r="O2437" i="20"/>
  <c r="O2438" i="20"/>
  <c r="O2439" i="20"/>
  <c r="O2440" i="20"/>
  <c r="O2441" i="20"/>
  <c r="O2442" i="20"/>
  <c r="O2443" i="20"/>
  <c r="O2444" i="20"/>
  <c r="O2445" i="20"/>
  <c r="O2446" i="20"/>
  <c r="O2447" i="20"/>
  <c r="O2448" i="20"/>
  <c r="O2449" i="20"/>
  <c r="O2450" i="20"/>
  <c r="O2451" i="20"/>
  <c r="O2452" i="20"/>
  <c r="O2453" i="20"/>
  <c r="O2454" i="20"/>
  <c r="O2455" i="20"/>
  <c r="O2456" i="20"/>
  <c r="O2457" i="20"/>
  <c r="O2458" i="20"/>
  <c r="O2459" i="20"/>
  <c r="O2460" i="20"/>
  <c r="O2461" i="20"/>
  <c r="O2462" i="20"/>
  <c r="O2463" i="20"/>
  <c r="O2464" i="20"/>
  <c r="O2465" i="20"/>
  <c r="O2466" i="20"/>
  <c r="O2467" i="20"/>
  <c r="O2468" i="20"/>
  <c r="O2469" i="20"/>
  <c r="O2470" i="20"/>
  <c r="O2471" i="20"/>
  <c r="O2472" i="20"/>
  <c r="O2473" i="20"/>
  <c r="O2474" i="20"/>
  <c r="O2475" i="20"/>
  <c r="O2476" i="20"/>
  <c r="O2477" i="20"/>
  <c r="O2478" i="20"/>
  <c r="O2479" i="20"/>
  <c r="O2480" i="20"/>
  <c r="O2481" i="20"/>
  <c r="O2482" i="20"/>
  <c r="O2483" i="20"/>
  <c r="O2484" i="20"/>
  <c r="O2485" i="20"/>
  <c r="O2486" i="20"/>
  <c r="O2487" i="20"/>
  <c r="O2488" i="20"/>
  <c r="O2489" i="20"/>
  <c r="O2490" i="20"/>
  <c r="O2491" i="20"/>
  <c r="O2492" i="20"/>
  <c r="O2493" i="20"/>
  <c r="O2494" i="20"/>
  <c r="O2495" i="20"/>
  <c r="O2496" i="20"/>
  <c r="O2497" i="20"/>
  <c r="O2498" i="20"/>
  <c r="O2499" i="20"/>
  <c r="O2500" i="20"/>
  <c r="O2501" i="20"/>
  <c r="O2502" i="20"/>
  <c r="O2503" i="20"/>
  <c r="O2504" i="20"/>
  <c r="O2505" i="20"/>
  <c r="O2506" i="20"/>
  <c r="O2507" i="20"/>
  <c r="O2508" i="20"/>
  <c r="O2509" i="20"/>
  <c r="O2510" i="20"/>
  <c r="O2511" i="20"/>
  <c r="O2512" i="20"/>
  <c r="O2513" i="20"/>
  <c r="O2514" i="20"/>
  <c r="O2515" i="20"/>
  <c r="O2516" i="20"/>
  <c r="O2517" i="20"/>
  <c r="O2518" i="20"/>
  <c r="O2519" i="20"/>
  <c r="O2520" i="20"/>
  <c r="O2521" i="20"/>
  <c r="O2522" i="20"/>
  <c r="O2523" i="20"/>
  <c r="O2524" i="20"/>
  <c r="O2525" i="20"/>
  <c r="O2526" i="20"/>
  <c r="O2527" i="20"/>
  <c r="O2528" i="20"/>
  <c r="O2529" i="20"/>
  <c r="O2530" i="20"/>
  <c r="O2531" i="20"/>
  <c r="O2532" i="20"/>
  <c r="O2533" i="20"/>
  <c r="O2534" i="20"/>
  <c r="O2535" i="20"/>
  <c r="O2536" i="20"/>
  <c r="O2537" i="20"/>
  <c r="O2538" i="20"/>
  <c r="O2539" i="20"/>
  <c r="O2540" i="20"/>
  <c r="O2541" i="20"/>
  <c r="O2542" i="20"/>
  <c r="O2543" i="20"/>
  <c r="O2544" i="20"/>
  <c r="O2545" i="20"/>
  <c r="O2546" i="20"/>
  <c r="O2547" i="20"/>
  <c r="O2548" i="20"/>
  <c r="O2549" i="20"/>
  <c r="O2550" i="20"/>
  <c r="O2551" i="20"/>
  <c r="O2552" i="20"/>
  <c r="O2553" i="20"/>
  <c r="O2554" i="20"/>
  <c r="O2555" i="20"/>
  <c r="O2556" i="20"/>
  <c r="O2557" i="20"/>
  <c r="O2558" i="20"/>
  <c r="O2559" i="20"/>
  <c r="O2560" i="20"/>
  <c r="O2561" i="20"/>
  <c r="O2562" i="20"/>
  <c r="O2563" i="20"/>
  <c r="O2564" i="20"/>
  <c r="O2565" i="20"/>
  <c r="O2566" i="20"/>
  <c r="O2567" i="20"/>
  <c r="O2568" i="20"/>
  <c r="O2569" i="20"/>
  <c r="O2570" i="20"/>
  <c r="O2571" i="20"/>
  <c r="O2572" i="20"/>
  <c r="O2573" i="20"/>
  <c r="O2574" i="20"/>
  <c r="O2575" i="20"/>
  <c r="O2576" i="20"/>
  <c r="O2577" i="20"/>
  <c r="O2578" i="20"/>
  <c r="O2579" i="20"/>
  <c r="O2580" i="20"/>
  <c r="O2581" i="20"/>
  <c r="O2582" i="20"/>
  <c r="O2583" i="20"/>
  <c r="O2584" i="20"/>
  <c r="O2585" i="20"/>
  <c r="O2586" i="20"/>
  <c r="O2587" i="20"/>
  <c r="O2588" i="20"/>
  <c r="O2589" i="20"/>
  <c r="O2590" i="20"/>
  <c r="O2591" i="20"/>
  <c r="O2592" i="20"/>
  <c r="O2593" i="20"/>
  <c r="O2594" i="20"/>
  <c r="O2595" i="20"/>
  <c r="O2596" i="20"/>
  <c r="O2597" i="20"/>
  <c r="O2598" i="20"/>
  <c r="O2599" i="20"/>
  <c r="O2600" i="20"/>
  <c r="O2601" i="20"/>
  <c r="O2602" i="20"/>
  <c r="O2603" i="20"/>
  <c r="O2604" i="20"/>
  <c r="O2605" i="20"/>
  <c r="O2606" i="20"/>
  <c r="O2607" i="20"/>
  <c r="O2608" i="20"/>
  <c r="O2609" i="20"/>
  <c r="O2610" i="20"/>
  <c r="O2611" i="20"/>
  <c r="O2612" i="20"/>
  <c r="O2613" i="20"/>
  <c r="O2614" i="20"/>
  <c r="O2615" i="20"/>
  <c r="O2616" i="20"/>
  <c r="O2617" i="20"/>
  <c r="O2618" i="20"/>
  <c r="O2619" i="20"/>
  <c r="O2620" i="20"/>
  <c r="O2621" i="20"/>
  <c r="O2622" i="20"/>
  <c r="O2623" i="20"/>
  <c r="O2624" i="20"/>
  <c r="O2625" i="20"/>
  <c r="O2626" i="20"/>
  <c r="O2627" i="20"/>
  <c r="O2628" i="20"/>
  <c r="O2629" i="20"/>
  <c r="O2630" i="20"/>
  <c r="O2631" i="20"/>
  <c r="O2632" i="20"/>
  <c r="O2633" i="20"/>
  <c r="O2634" i="20"/>
  <c r="O2635" i="20"/>
  <c r="O2636" i="20"/>
  <c r="O2637" i="20"/>
  <c r="O2638" i="20"/>
  <c r="O2639" i="20"/>
  <c r="O2640" i="20"/>
  <c r="O2641" i="20"/>
  <c r="O2642" i="20"/>
  <c r="O2643" i="20"/>
  <c r="O2644" i="20"/>
  <c r="O2645" i="20"/>
  <c r="O2646" i="20"/>
  <c r="O2647" i="20"/>
  <c r="O2648" i="20"/>
  <c r="O2649" i="20"/>
  <c r="O2650" i="20"/>
  <c r="O2651" i="20"/>
  <c r="O2652" i="20"/>
  <c r="O2653" i="20"/>
  <c r="O2654" i="20"/>
  <c r="O2655" i="20"/>
  <c r="O2656" i="20"/>
  <c r="O2657" i="20"/>
  <c r="O2658" i="20"/>
  <c r="O2659" i="20"/>
  <c r="O2660" i="20"/>
  <c r="O2661" i="20"/>
  <c r="O2662" i="20"/>
  <c r="O2663" i="20"/>
  <c r="O2664" i="20"/>
  <c r="O2665" i="20"/>
  <c r="O2666" i="20"/>
  <c r="O2667" i="20"/>
  <c r="O2668" i="20"/>
  <c r="O2669" i="20"/>
  <c r="O2670" i="20"/>
  <c r="O2671" i="20"/>
  <c r="O2672" i="20"/>
  <c r="O2673" i="20"/>
  <c r="O2674" i="20"/>
  <c r="O2675" i="20"/>
  <c r="O2676" i="20"/>
  <c r="O2677" i="20"/>
  <c r="O2678" i="20"/>
  <c r="O2679" i="20"/>
  <c r="O2680" i="20"/>
  <c r="O2681" i="20"/>
  <c r="O2682" i="20"/>
  <c r="O2683" i="20"/>
  <c r="O2684" i="20"/>
  <c r="O2685" i="20"/>
  <c r="O2686" i="20"/>
  <c r="O2687" i="20"/>
  <c r="O2688" i="20"/>
  <c r="O2689" i="20"/>
  <c r="O2690" i="20"/>
  <c r="O2691" i="20"/>
  <c r="O2692" i="20"/>
  <c r="O2693" i="20"/>
  <c r="O2694" i="20"/>
  <c r="O2695" i="20"/>
  <c r="O2696" i="20"/>
  <c r="O2697" i="20"/>
  <c r="O2698" i="20"/>
  <c r="O2699" i="20"/>
  <c r="O2700" i="20"/>
  <c r="O2701" i="20"/>
  <c r="O2702" i="20"/>
  <c r="O2703" i="20"/>
  <c r="O2704" i="20"/>
  <c r="O2705" i="20"/>
  <c r="O2706" i="20"/>
  <c r="O2707" i="20"/>
  <c r="O2708" i="20"/>
  <c r="O2709" i="20"/>
  <c r="O2710" i="20"/>
  <c r="O2711" i="20"/>
  <c r="O2712" i="20"/>
  <c r="O2713" i="20"/>
  <c r="O2714" i="20"/>
  <c r="O2715" i="20"/>
  <c r="O2716" i="20"/>
  <c r="O2717" i="20"/>
  <c r="O2718" i="20"/>
  <c r="O2719" i="20"/>
  <c r="O2720" i="20"/>
  <c r="O2721" i="20"/>
  <c r="O2722" i="20"/>
  <c r="O2723" i="20"/>
  <c r="O2724" i="20"/>
  <c r="O2725" i="20"/>
  <c r="O2726" i="20"/>
  <c r="O2727" i="20"/>
  <c r="O2728" i="20"/>
  <c r="O2729" i="20"/>
  <c r="O2730" i="20"/>
  <c r="O2731" i="20"/>
  <c r="O2732" i="20"/>
  <c r="O2733" i="20"/>
  <c r="O2734" i="20"/>
  <c r="O2735" i="20"/>
  <c r="O2736" i="20"/>
  <c r="O2737" i="20"/>
  <c r="O2738" i="20"/>
  <c r="O2739" i="20"/>
  <c r="O2740" i="20"/>
  <c r="O2741" i="20"/>
  <c r="O2742" i="20"/>
  <c r="O2743" i="20"/>
  <c r="O2744" i="20"/>
  <c r="O2745" i="20"/>
  <c r="O2746" i="20"/>
  <c r="O2747" i="20"/>
  <c r="O2748" i="20"/>
  <c r="O2749" i="20"/>
  <c r="O2750" i="20"/>
  <c r="O2751" i="20"/>
  <c r="O2752" i="20"/>
  <c r="O2753" i="20"/>
  <c r="O2754" i="20"/>
  <c r="O2755" i="20"/>
  <c r="O2756" i="20"/>
  <c r="O2757" i="20"/>
  <c r="O2758" i="20"/>
  <c r="O2759" i="20"/>
  <c r="O2760" i="20"/>
  <c r="O2761" i="20"/>
  <c r="O2762" i="20"/>
  <c r="O2763" i="20"/>
  <c r="O2764" i="20"/>
  <c r="O2765" i="20"/>
  <c r="O2766" i="20"/>
  <c r="O2767" i="20"/>
  <c r="O2768" i="20"/>
  <c r="O2769" i="20"/>
  <c r="O2770" i="20"/>
  <c r="O2771" i="20"/>
  <c r="O2772" i="20"/>
  <c r="O2773" i="20"/>
  <c r="O2774" i="20"/>
  <c r="O2775" i="20"/>
  <c r="O2776" i="20"/>
  <c r="O2777" i="20"/>
  <c r="O2778" i="20"/>
  <c r="O2779" i="20"/>
  <c r="O2780" i="20"/>
  <c r="O2781" i="20"/>
  <c r="O2782" i="20"/>
  <c r="O2783" i="20"/>
  <c r="O2784" i="20"/>
  <c r="O2785" i="20"/>
  <c r="O2786" i="20"/>
  <c r="O2787" i="20"/>
  <c r="O2788" i="20"/>
  <c r="O2789" i="20"/>
  <c r="O2790" i="20"/>
  <c r="O2791" i="20"/>
  <c r="O2792" i="20"/>
  <c r="O2793" i="20"/>
  <c r="O2794" i="20"/>
  <c r="O2795" i="20"/>
  <c r="O2796" i="20"/>
  <c r="O2797" i="20"/>
  <c r="O2798" i="20"/>
  <c r="O2799" i="20"/>
  <c r="O2800" i="20"/>
  <c r="O2801" i="20"/>
  <c r="O2802" i="20"/>
  <c r="O2803" i="20"/>
  <c r="O2804" i="20"/>
  <c r="O2805" i="20"/>
  <c r="O2806" i="20"/>
  <c r="O2807" i="20"/>
  <c r="O2808" i="20"/>
  <c r="O2809" i="20"/>
  <c r="O2810" i="20"/>
  <c r="O2811" i="20"/>
  <c r="O2812" i="20"/>
  <c r="O2813" i="20"/>
  <c r="O2814" i="20"/>
  <c r="O2815" i="20"/>
  <c r="O2816" i="20"/>
  <c r="O2817" i="20"/>
  <c r="O2818" i="20"/>
  <c r="O2819" i="20"/>
  <c r="O2820" i="20"/>
  <c r="O2821" i="20"/>
  <c r="O2822" i="20"/>
  <c r="O2823" i="20"/>
  <c r="O2824" i="20"/>
  <c r="O2825" i="20"/>
  <c r="O2826" i="20"/>
  <c r="O2827" i="20"/>
  <c r="O2828" i="20"/>
  <c r="O2829" i="20"/>
  <c r="O2830" i="20"/>
  <c r="O2831" i="20"/>
  <c r="O2832" i="20"/>
  <c r="O2833" i="20"/>
  <c r="O2834" i="20"/>
  <c r="O2835" i="20"/>
  <c r="O2836" i="20"/>
  <c r="O2837" i="20"/>
  <c r="O2838" i="20"/>
  <c r="O2839" i="20"/>
  <c r="O2840" i="20"/>
  <c r="O2841" i="20"/>
  <c r="O2842" i="20"/>
  <c r="O2843" i="20"/>
  <c r="O2844" i="20"/>
  <c r="O2845" i="20"/>
  <c r="O2846" i="20"/>
  <c r="O2847" i="20"/>
  <c r="O2848" i="20"/>
  <c r="O2849" i="20"/>
  <c r="O2850" i="20"/>
  <c r="O2851" i="20"/>
  <c r="O2852" i="20"/>
  <c r="O2853" i="20"/>
  <c r="O2854" i="20"/>
  <c r="O2855" i="20"/>
  <c r="O2856" i="20"/>
  <c r="O2857" i="20"/>
  <c r="O2858" i="20"/>
  <c r="O2859" i="20"/>
  <c r="O2860" i="20"/>
  <c r="O2861" i="20"/>
  <c r="O2862" i="20"/>
  <c r="O2863" i="20"/>
  <c r="O2864" i="20"/>
  <c r="O2865" i="20"/>
  <c r="O2866" i="20"/>
  <c r="O2867" i="20"/>
  <c r="O2868" i="20"/>
  <c r="O2869" i="20"/>
  <c r="O2870" i="20"/>
  <c r="O2871" i="20"/>
  <c r="O2872" i="20"/>
  <c r="O2873" i="20"/>
  <c r="P1884" i="20"/>
  <c r="P1885" i="20"/>
  <c r="P1886" i="20"/>
  <c r="P1887" i="20"/>
  <c r="P1888" i="20"/>
  <c r="P1889" i="20"/>
  <c r="P1890" i="20"/>
  <c r="P1891" i="20"/>
  <c r="P1892" i="20"/>
  <c r="P1893" i="20"/>
  <c r="P1894" i="20"/>
  <c r="P1895" i="20"/>
  <c r="P1896" i="20"/>
  <c r="P1897" i="20"/>
  <c r="P1898" i="20"/>
  <c r="P1899" i="20"/>
  <c r="P1900" i="20"/>
  <c r="P1901" i="20"/>
  <c r="P1902" i="20"/>
  <c r="P1903" i="20"/>
  <c r="P1904" i="20"/>
  <c r="P1905" i="20"/>
  <c r="P1906" i="20"/>
  <c r="P1907" i="20"/>
  <c r="P1908" i="20"/>
  <c r="P1909" i="20"/>
  <c r="P1910" i="20"/>
  <c r="P1911" i="20"/>
  <c r="P1912" i="20"/>
  <c r="P1913" i="20"/>
  <c r="P1914" i="20"/>
  <c r="P1915" i="20"/>
  <c r="P1916" i="20"/>
  <c r="P1917" i="20"/>
  <c r="P1918" i="20"/>
  <c r="P1919" i="20"/>
  <c r="P1920" i="20"/>
  <c r="P1921" i="20"/>
  <c r="P1922" i="20"/>
  <c r="P1923" i="20"/>
  <c r="P1924" i="20"/>
  <c r="P1925" i="20"/>
  <c r="P1926" i="20"/>
  <c r="P1927" i="20"/>
  <c r="P1928" i="20"/>
  <c r="P1929" i="20"/>
  <c r="P1930" i="20"/>
  <c r="P1931" i="20"/>
  <c r="P1932" i="20"/>
  <c r="P1933" i="20"/>
  <c r="P1934" i="20"/>
  <c r="P1935" i="20"/>
  <c r="P1936" i="20"/>
  <c r="P1937" i="20"/>
  <c r="P1938" i="20"/>
  <c r="P1939" i="20"/>
  <c r="P1940" i="20"/>
  <c r="P1941" i="20"/>
  <c r="P1942" i="20"/>
  <c r="P1943" i="20"/>
  <c r="P1944" i="20"/>
  <c r="P1945" i="20"/>
  <c r="P1946" i="20"/>
  <c r="P1947" i="20"/>
  <c r="P1948" i="20"/>
  <c r="P1949" i="20"/>
  <c r="P1950" i="20"/>
  <c r="P1951" i="20"/>
  <c r="P1952" i="20"/>
  <c r="P1953" i="20"/>
  <c r="P1954" i="20"/>
  <c r="P1955" i="20"/>
  <c r="P1956" i="20"/>
  <c r="P1957" i="20"/>
  <c r="P1958" i="20"/>
  <c r="P1959" i="20"/>
  <c r="P1960" i="20"/>
  <c r="P1961" i="20"/>
  <c r="P1962" i="20"/>
  <c r="P1963" i="20"/>
  <c r="P1964" i="20"/>
  <c r="P1965" i="20"/>
  <c r="P1966" i="20"/>
  <c r="P1967" i="20"/>
  <c r="P1968" i="20"/>
  <c r="P1969" i="20"/>
  <c r="P1970" i="20"/>
  <c r="P1971" i="20"/>
  <c r="P1972" i="20"/>
  <c r="P1973" i="20"/>
  <c r="P1974" i="20"/>
  <c r="P1975" i="20"/>
  <c r="P1976" i="20"/>
  <c r="P1977" i="20"/>
  <c r="P1978" i="20"/>
  <c r="P1979" i="20"/>
  <c r="P1980" i="20"/>
  <c r="P1981" i="20"/>
  <c r="P1982" i="20"/>
  <c r="P1983" i="20"/>
  <c r="P1984" i="20"/>
  <c r="P1985" i="20"/>
  <c r="P1986" i="20"/>
  <c r="P1987" i="20"/>
  <c r="P1988" i="20"/>
  <c r="P1989" i="20"/>
  <c r="P1990" i="20"/>
  <c r="P1991" i="20"/>
  <c r="P1992" i="20"/>
  <c r="P1993" i="20"/>
  <c r="P1994" i="20"/>
  <c r="P1995" i="20"/>
  <c r="P1996" i="20"/>
  <c r="P1997" i="20"/>
  <c r="P1998" i="20"/>
  <c r="P1999" i="20"/>
  <c r="P2000" i="20"/>
  <c r="P2001" i="20"/>
  <c r="P2002" i="20"/>
  <c r="P2003" i="20"/>
  <c r="P2004" i="20"/>
  <c r="P2005" i="20"/>
  <c r="P2006" i="20"/>
  <c r="P2007" i="20"/>
  <c r="P2008" i="20"/>
  <c r="P2009" i="20"/>
  <c r="P2010" i="20"/>
  <c r="P2011" i="20"/>
  <c r="P2012" i="20"/>
  <c r="P2013" i="20"/>
  <c r="P2014" i="20"/>
  <c r="P2015" i="20"/>
  <c r="P2016" i="20"/>
  <c r="P2017" i="20"/>
  <c r="P2018" i="20"/>
  <c r="P2019" i="20"/>
  <c r="P2020" i="20"/>
  <c r="P2021" i="20"/>
  <c r="P2022" i="20"/>
  <c r="P2023" i="20"/>
  <c r="P2024" i="20"/>
  <c r="P2025" i="20"/>
  <c r="P2026" i="20"/>
  <c r="P2027" i="20"/>
  <c r="P2028" i="20"/>
  <c r="P2029" i="20"/>
  <c r="P2030" i="20"/>
  <c r="P2031" i="20"/>
  <c r="P2032" i="20"/>
  <c r="P2033" i="20"/>
  <c r="P2034" i="20"/>
  <c r="P2035" i="20"/>
  <c r="P2036" i="20"/>
  <c r="P2037" i="20"/>
  <c r="P2038" i="20"/>
  <c r="P2039" i="20"/>
  <c r="P2040" i="20"/>
  <c r="P2041" i="20"/>
  <c r="P2042" i="20"/>
  <c r="P2043" i="20"/>
  <c r="P2044" i="20"/>
  <c r="P2045" i="20"/>
  <c r="P2046" i="20"/>
  <c r="P2047" i="20"/>
  <c r="P2048" i="20"/>
  <c r="P2049" i="20"/>
  <c r="P2050" i="20"/>
  <c r="P2051" i="20"/>
  <c r="P2052" i="20"/>
  <c r="P2053" i="20"/>
  <c r="P2054" i="20"/>
  <c r="P2055" i="20"/>
  <c r="P2056" i="20"/>
  <c r="P2057" i="20"/>
  <c r="P2058" i="20"/>
  <c r="P2059" i="20"/>
  <c r="P2060" i="20"/>
  <c r="P2061" i="20"/>
  <c r="P2062" i="20"/>
  <c r="P2063" i="20"/>
  <c r="P2064" i="20"/>
  <c r="P2065" i="20"/>
  <c r="P2066" i="20"/>
  <c r="P2067" i="20"/>
  <c r="P2068" i="20"/>
  <c r="P2069" i="20"/>
  <c r="P2070" i="20"/>
  <c r="P2071" i="20"/>
  <c r="P2072" i="20"/>
  <c r="P2073" i="20"/>
  <c r="P2074" i="20"/>
  <c r="P2075" i="20"/>
  <c r="P2076" i="20"/>
  <c r="P2077" i="20"/>
  <c r="P2078" i="20"/>
  <c r="P2079" i="20"/>
  <c r="P2080" i="20"/>
  <c r="P2081" i="20"/>
  <c r="P2082" i="20"/>
  <c r="P2083" i="20"/>
  <c r="P2084" i="20"/>
  <c r="P2085" i="20"/>
  <c r="P2086" i="20"/>
  <c r="P2087" i="20"/>
  <c r="P2088" i="20"/>
  <c r="P2089" i="20"/>
  <c r="P2090" i="20"/>
  <c r="P2091" i="20"/>
  <c r="P2092" i="20"/>
  <c r="P2093" i="20"/>
  <c r="P2094" i="20"/>
  <c r="P2095" i="20"/>
  <c r="P2096" i="20"/>
  <c r="P2097" i="20"/>
  <c r="P2098" i="20"/>
  <c r="P2099" i="20"/>
  <c r="P2100" i="20"/>
  <c r="P2101" i="20"/>
  <c r="P2102" i="20"/>
  <c r="P2103" i="20"/>
  <c r="P2104" i="20"/>
  <c r="P2105" i="20"/>
  <c r="P2106" i="20"/>
  <c r="P2107" i="20"/>
  <c r="P2108" i="20"/>
  <c r="P2109" i="20"/>
  <c r="P2110" i="20"/>
  <c r="P2111" i="20"/>
  <c r="P2112" i="20"/>
  <c r="P2113" i="20"/>
  <c r="P2114" i="20"/>
  <c r="P2115" i="20"/>
  <c r="P2116" i="20"/>
  <c r="P2117" i="20"/>
  <c r="P2118" i="20"/>
  <c r="P2119" i="20"/>
  <c r="P2120" i="20"/>
  <c r="P2121" i="20"/>
  <c r="P2122" i="20"/>
  <c r="P2123" i="20"/>
  <c r="P2124" i="20"/>
  <c r="P2125" i="20"/>
  <c r="P2126" i="20"/>
  <c r="P2127" i="20"/>
  <c r="P2128" i="20"/>
  <c r="P2129" i="20"/>
  <c r="P2130" i="20"/>
  <c r="P2131" i="20"/>
  <c r="P2132" i="20"/>
  <c r="P2133" i="20"/>
  <c r="P2134" i="20"/>
  <c r="P2135" i="20"/>
  <c r="P2136" i="20"/>
  <c r="P2137" i="20"/>
  <c r="P2138" i="20"/>
  <c r="P2139" i="20"/>
  <c r="P2140" i="20"/>
  <c r="P2141" i="20"/>
  <c r="P2142" i="20"/>
  <c r="P2143" i="20"/>
  <c r="P2144" i="20"/>
  <c r="P2145" i="20"/>
  <c r="P2146" i="20"/>
  <c r="P2147" i="20"/>
  <c r="P2148" i="20"/>
  <c r="P2149" i="20"/>
  <c r="P2150" i="20"/>
  <c r="P2151" i="20"/>
  <c r="P2152" i="20"/>
  <c r="P2153" i="20"/>
  <c r="P2154" i="20"/>
  <c r="P2155" i="20"/>
  <c r="P2156" i="20"/>
  <c r="P2157" i="20"/>
  <c r="P2158" i="20"/>
  <c r="P2159" i="20"/>
  <c r="P2160" i="20"/>
  <c r="P2161" i="20"/>
  <c r="P2162" i="20"/>
  <c r="P2163" i="20"/>
  <c r="P2164" i="20"/>
  <c r="P2165" i="20"/>
  <c r="P2166" i="20"/>
  <c r="P2167" i="20"/>
  <c r="P2168" i="20"/>
  <c r="P2169" i="20"/>
  <c r="P2170" i="20"/>
  <c r="P2171" i="20"/>
  <c r="P2172" i="20"/>
  <c r="P2173" i="20"/>
  <c r="P2174" i="20"/>
  <c r="P2175" i="20"/>
  <c r="P2176" i="20"/>
  <c r="P2177" i="20"/>
  <c r="P2178" i="20"/>
  <c r="P2179" i="20"/>
  <c r="P2180" i="20"/>
  <c r="P2181" i="20"/>
  <c r="P2182" i="20"/>
  <c r="P2183" i="20"/>
  <c r="P2184" i="20"/>
  <c r="P2185" i="20"/>
  <c r="P2186" i="20"/>
  <c r="P2187" i="20"/>
  <c r="P2188" i="20"/>
  <c r="P2189" i="20"/>
  <c r="P2190" i="20"/>
  <c r="P2191" i="20"/>
  <c r="P2192" i="20"/>
  <c r="P2193" i="20"/>
  <c r="P2194" i="20"/>
  <c r="P2195" i="20"/>
  <c r="P2196" i="20"/>
  <c r="P2197" i="20"/>
  <c r="P2198" i="20"/>
  <c r="P2199" i="20"/>
  <c r="P2200" i="20"/>
  <c r="P2201" i="20"/>
  <c r="P2202" i="20"/>
  <c r="P2203" i="20"/>
  <c r="P2204" i="20"/>
  <c r="P2205" i="20"/>
  <c r="P2206" i="20"/>
  <c r="P2207" i="20"/>
  <c r="P2208" i="20"/>
  <c r="P2209" i="20"/>
  <c r="P2210" i="20"/>
  <c r="P2211" i="20"/>
  <c r="P2212" i="20"/>
  <c r="P2213" i="20"/>
  <c r="P2214" i="20"/>
  <c r="P2215" i="20"/>
  <c r="P2216" i="20"/>
  <c r="P2217" i="20"/>
  <c r="P2218" i="20"/>
  <c r="P2219" i="20"/>
  <c r="P2220" i="20"/>
  <c r="P2221" i="20"/>
  <c r="P2222" i="20"/>
  <c r="P2223" i="20"/>
  <c r="P2224" i="20"/>
  <c r="P2225" i="20"/>
  <c r="P2226" i="20"/>
  <c r="P2227" i="20"/>
  <c r="P2228" i="20"/>
  <c r="P2229" i="20"/>
  <c r="P2230" i="20"/>
  <c r="P2231" i="20"/>
  <c r="P2232" i="20"/>
  <c r="P2233" i="20"/>
  <c r="P2234" i="20"/>
  <c r="P2235" i="20"/>
  <c r="P2236" i="20"/>
  <c r="P2237" i="20"/>
  <c r="P2238" i="20"/>
  <c r="P2239" i="20"/>
  <c r="P2240" i="20"/>
  <c r="P2241" i="20"/>
  <c r="P2242" i="20"/>
  <c r="P2243" i="20"/>
  <c r="P2244" i="20"/>
  <c r="P2245" i="20"/>
  <c r="P2246" i="20"/>
  <c r="P2247" i="20"/>
  <c r="P2248" i="20"/>
  <c r="P2249" i="20"/>
  <c r="P2250" i="20"/>
  <c r="P2251" i="20"/>
  <c r="P2252" i="20"/>
  <c r="P2253" i="20"/>
  <c r="P2254" i="20"/>
  <c r="P2255" i="20"/>
  <c r="P2256" i="20"/>
  <c r="P2257" i="20"/>
  <c r="P2258" i="20"/>
  <c r="P2259" i="20"/>
  <c r="P2260" i="20"/>
  <c r="P2261" i="20"/>
  <c r="P2262" i="20"/>
  <c r="P2263" i="20"/>
  <c r="P2264" i="20"/>
  <c r="P2265" i="20"/>
  <c r="P2266" i="20"/>
  <c r="P2267" i="20"/>
  <c r="P2268" i="20"/>
  <c r="P2269" i="20"/>
  <c r="P2270" i="20"/>
  <c r="P2271" i="20"/>
  <c r="P2272" i="20"/>
  <c r="P2273" i="20"/>
  <c r="P2274" i="20"/>
  <c r="P2275" i="20"/>
  <c r="P2276" i="20"/>
  <c r="P2277" i="20"/>
  <c r="P2278" i="20"/>
  <c r="P2279" i="20"/>
  <c r="P2280" i="20"/>
  <c r="P2281" i="20"/>
  <c r="P2282" i="20"/>
  <c r="P2283" i="20"/>
  <c r="P2284" i="20"/>
  <c r="P2285" i="20"/>
  <c r="P2286" i="20"/>
  <c r="P2287" i="20"/>
  <c r="P2288" i="20"/>
  <c r="P2289" i="20"/>
  <c r="P2290" i="20"/>
  <c r="P2291" i="20"/>
  <c r="P2292" i="20"/>
  <c r="P2293" i="20"/>
  <c r="P2294" i="20"/>
  <c r="P2295" i="20"/>
  <c r="P2296" i="20"/>
  <c r="P2297" i="20"/>
  <c r="P2298" i="20"/>
  <c r="P2299" i="20"/>
  <c r="P2300" i="20"/>
  <c r="P2301" i="20"/>
  <c r="P2302" i="20"/>
  <c r="P2303" i="20"/>
  <c r="P2304" i="20"/>
  <c r="P2305" i="20"/>
  <c r="P2306" i="20"/>
  <c r="P2307" i="20"/>
  <c r="P2308" i="20"/>
  <c r="P2309" i="20"/>
  <c r="P2310" i="20"/>
  <c r="P2311" i="20"/>
  <c r="P2312" i="20"/>
  <c r="P2313" i="20"/>
  <c r="P2314" i="20"/>
  <c r="P2315" i="20"/>
  <c r="P2316" i="20"/>
  <c r="P2317" i="20"/>
  <c r="P2318" i="20"/>
  <c r="P2319" i="20"/>
  <c r="P2320" i="20"/>
  <c r="P2321" i="20"/>
  <c r="P2322" i="20"/>
  <c r="P2323" i="20"/>
  <c r="P2324" i="20"/>
  <c r="P2325" i="20"/>
  <c r="P2326" i="20"/>
  <c r="P2327" i="20"/>
  <c r="P2328" i="20"/>
  <c r="P2329" i="20"/>
  <c r="P2330" i="20"/>
  <c r="P2331" i="20"/>
  <c r="P2332" i="20"/>
  <c r="P2333" i="20"/>
  <c r="P2334" i="20"/>
  <c r="P2335" i="20"/>
  <c r="P2336" i="20"/>
  <c r="P2337" i="20"/>
  <c r="P2338" i="20"/>
  <c r="P2339" i="20"/>
  <c r="P2340" i="20"/>
  <c r="P2341" i="20"/>
  <c r="P2342" i="20"/>
  <c r="P2343" i="20"/>
  <c r="P2344" i="20"/>
  <c r="P2345" i="20"/>
  <c r="P2346" i="20"/>
  <c r="P2347" i="20"/>
  <c r="P2348" i="20"/>
  <c r="P2349" i="20"/>
  <c r="P2350" i="20"/>
  <c r="P2351" i="20"/>
  <c r="P2352" i="20"/>
  <c r="P2353" i="20"/>
  <c r="P2354" i="20"/>
  <c r="P2355" i="20"/>
  <c r="P2356" i="20"/>
  <c r="P2357" i="20"/>
  <c r="P2358" i="20"/>
  <c r="P2359" i="20"/>
  <c r="P2360" i="20"/>
  <c r="P2361" i="20"/>
  <c r="P2362" i="20"/>
  <c r="P2363" i="20"/>
  <c r="P2364" i="20"/>
  <c r="P2365" i="20"/>
  <c r="P2366" i="20"/>
  <c r="P2367" i="20"/>
  <c r="P2368" i="20"/>
  <c r="P2369" i="20"/>
  <c r="P2370" i="20"/>
  <c r="P2371" i="20"/>
  <c r="P2372" i="20"/>
  <c r="P2373" i="20"/>
  <c r="P2374" i="20"/>
  <c r="P2375" i="20"/>
  <c r="P2376" i="20"/>
  <c r="P2377" i="20"/>
  <c r="P2378" i="20"/>
  <c r="P2379" i="20"/>
  <c r="P2380" i="20"/>
  <c r="P2381" i="20"/>
  <c r="P2382" i="20"/>
  <c r="P2383" i="20"/>
  <c r="P2384" i="20"/>
  <c r="P2385" i="20"/>
  <c r="P2386" i="20"/>
  <c r="P2387" i="20"/>
  <c r="P2388" i="20"/>
  <c r="P2389" i="20"/>
  <c r="P2390" i="20"/>
  <c r="P2391" i="20"/>
  <c r="P2392" i="20"/>
  <c r="P2393" i="20"/>
  <c r="P2394" i="20"/>
  <c r="P2395" i="20"/>
  <c r="P2396" i="20"/>
  <c r="P2397" i="20"/>
  <c r="P2398" i="20"/>
  <c r="P2399" i="20"/>
  <c r="P2400" i="20"/>
  <c r="P2401" i="20"/>
  <c r="P2402" i="20"/>
  <c r="P2403" i="20"/>
  <c r="P2404" i="20"/>
  <c r="P2405" i="20"/>
  <c r="P2406" i="20"/>
  <c r="P2407" i="20"/>
  <c r="P2408" i="20"/>
  <c r="P2409" i="20"/>
  <c r="P2410" i="20"/>
  <c r="P2411" i="20"/>
  <c r="P2412" i="20"/>
  <c r="P2413" i="20"/>
  <c r="P2414" i="20"/>
  <c r="P2415" i="20"/>
  <c r="P2416" i="20"/>
  <c r="P2417" i="20"/>
  <c r="P2418" i="20"/>
  <c r="P2419" i="20"/>
  <c r="P2420" i="20"/>
  <c r="P2421" i="20"/>
  <c r="P2422" i="20"/>
  <c r="P2423" i="20"/>
  <c r="P2424" i="20"/>
  <c r="P2425" i="20"/>
  <c r="P2426" i="20"/>
  <c r="P2427" i="20"/>
  <c r="P2428" i="20"/>
  <c r="P2429" i="20"/>
  <c r="P2430" i="20"/>
  <c r="P2431" i="20"/>
  <c r="P2432" i="20"/>
  <c r="P2433" i="20"/>
  <c r="P2434" i="20"/>
  <c r="P2435" i="20"/>
  <c r="P2436" i="20"/>
  <c r="P2437" i="20"/>
  <c r="P2438" i="20"/>
  <c r="P2439" i="20"/>
  <c r="P2440" i="20"/>
  <c r="P2441" i="20"/>
  <c r="P2442" i="20"/>
  <c r="P2443" i="20"/>
  <c r="P2444" i="20"/>
  <c r="P2445" i="20"/>
  <c r="P2446" i="20"/>
  <c r="P2447" i="20"/>
  <c r="P2448" i="20"/>
  <c r="P2449" i="20"/>
  <c r="P2450" i="20"/>
  <c r="P2451" i="20"/>
  <c r="P2452" i="20"/>
  <c r="P2453" i="20"/>
  <c r="P2454" i="20"/>
  <c r="P2455" i="20"/>
  <c r="P2456" i="20"/>
  <c r="P2457" i="20"/>
  <c r="P2458" i="20"/>
  <c r="P2459" i="20"/>
  <c r="P2460" i="20"/>
  <c r="P2461" i="20"/>
  <c r="P2462" i="20"/>
  <c r="P2463" i="20"/>
  <c r="P2464" i="20"/>
  <c r="P2465" i="20"/>
  <c r="P2466" i="20"/>
  <c r="P2467" i="20"/>
  <c r="P2468" i="20"/>
  <c r="P2469" i="20"/>
  <c r="P2470" i="20"/>
  <c r="P2471" i="20"/>
  <c r="P2472" i="20"/>
  <c r="P2473" i="20"/>
  <c r="P2474" i="20"/>
  <c r="P2475" i="20"/>
  <c r="P2476" i="20"/>
  <c r="P2477" i="20"/>
  <c r="P2478" i="20"/>
  <c r="P2479" i="20"/>
  <c r="P2480" i="20"/>
  <c r="P2481" i="20"/>
  <c r="P2482" i="20"/>
  <c r="P2483" i="20"/>
  <c r="P2484" i="20"/>
  <c r="P2485" i="20"/>
  <c r="P2486" i="20"/>
  <c r="P2487" i="20"/>
  <c r="P2488" i="20"/>
  <c r="P2489" i="20"/>
  <c r="P2490" i="20"/>
  <c r="P2491" i="20"/>
  <c r="P2492" i="20"/>
  <c r="P2493" i="20"/>
  <c r="P2494" i="20"/>
  <c r="P2495" i="20"/>
  <c r="P2496" i="20"/>
  <c r="P2497" i="20"/>
  <c r="P2498" i="20"/>
  <c r="P2499" i="20"/>
  <c r="P2500" i="20"/>
  <c r="P2501" i="20"/>
  <c r="P2502" i="20"/>
  <c r="P2503" i="20"/>
  <c r="P2504" i="20"/>
  <c r="P2505" i="20"/>
  <c r="P2506" i="20"/>
  <c r="P2507" i="20"/>
  <c r="P2508" i="20"/>
  <c r="P2509" i="20"/>
  <c r="P2510" i="20"/>
  <c r="P2511" i="20"/>
  <c r="P2512" i="20"/>
  <c r="P2513" i="20"/>
  <c r="P2514" i="20"/>
  <c r="P2515" i="20"/>
  <c r="P2516" i="20"/>
  <c r="P2517" i="20"/>
  <c r="P2518" i="20"/>
  <c r="P2519" i="20"/>
  <c r="P2520" i="20"/>
  <c r="P2521" i="20"/>
  <c r="P2522" i="20"/>
  <c r="P2523" i="20"/>
  <c r="P2524" i="20"/>
  <c r="P2525" i="20"/>
  <c r="P2526" i="20"/>
  <c r="P2527" i="20"/>
  <c r="P2528" i="20"/>
  <c r="P2529" i="20"/>
  <c r="P2530" i="20"/>
  <c r="P2531" i="20"/>
  <c r="P2532" i="20"/>
  <c r="P2533" i="20"/>
  <c r="P2534" i="20"/>
  <c r="P2535" i="20"/>
  <c r="P2536" i="20"/>
  <c r="P2537" i="20"/>
  <c r="P2538" i="20"/>
  <c r="P2539" i="20"/>
  <c r="P2540" i="20"/>
  <c r="P2541" i="20"/>
  <c r="P2542" i="20"/>
  <c r="P2543" i="20"/>
  <c r="P2544" i="20"/>
  <c r="P2545" i="20"/>
  <c r="P2546" i="20"/>
  <c r="P2547" i="20"/>
  <c r="P2548" i="20"/>
  <c r="P2549" i="20"/>
  <c r="P2550" i="20"/>
  <c r="P2551" i="20"/>
  <c r="P2552" i="20"/>
  <c r="P2553" i="20"/>
  <c r="P2554" i="20"/>
  <c r="P2555" i="20"/>
  <c r="P2556" i="20"/>
  <c r="P2557" i="20"/>
  <c r="P2558" i="20"/>
  <c r="P2559" i="20"/>
  <c r="P2560" i="20"/>
  <c r="P2561" i="20"/>
  <c r="P2562" i="20"/>
  <c r="P2563" i="20"/>
  <c r="P2564" i="20"/>
  <c r="P2565" i="20"/>
  <c r="P2566" i="20"/>
  <c r="P2567" i="20"/>
  <c r="P2568" i="20"/>
  <c r="P2569" i="20"/>
  <c r="P2570" i="20"/>
  <c r="P2571" i="20"/>
  <c r="P2572" i="20"/>
  <c r="P2573" i="20"/>
  <c r="P2574" i="20"/>
  <c r="P2575" i="20"/>
  <c r="P2576" i="20"/>
  <c r="P2577" i="20"/>
  <c r="P2578" i="20"/>
  <c r="P2579" i="20"/>
  <c r="P2580" i="20"/>
  <c r="P2581" i="20"/>
  <c r="P2582" i="20"/>
  <c r="P2583" i="20"/>
  <c r="P2584" i="20"/>
  <c r="P2585" i="20"/>
  <c r="P2586" i="20"/>
  <c r="P2587" i="20"/>
  <c r="P2588" i="20"/>
  <c r="P2589" i="20"/>
  <c r="P2590" i="20"/>
  <c r="P2591" i="20"/>
  <c r="P2592" i="20"/>
  <c r="P2593" i="20"/>
  <c r="P2594" i="20"/>
  <c r="P2595" i="20"/>
  <c r="P2596" i="20"/>
  <c r="P2597" i="20"/>
  <c r="P2598" i="20"/>
  <c r="P2599" i="20"/>
  <c r="P2600" i="20"/>
  <c r="P2601" i="20"/>
  <c r="P2602" i="20"/>
  <c r="P2603" i="20"/>
  <c r="P2604" i="20"/>
  <c r="P2605" i="20"/>
  <c r="P2606" i="20"/>
  <c r="P2607" i="20"/>
  <c r="P2608" i="20"/>
  <c r="P2609" i="20"/>
  <c r="P2610" i="20"/>
  <c r="P2611" i="20"/>
  <c r="P2612" i="20"/>
  <c r="P2613" i="20"/>
  <c r="P2614" i="20"/>
  <c r="P2615" i="20"/>
  <c r="P2616" i="20"/>
  <c r="P2617" i="20"/>
  <c r="P2618" i="20"/>
  <c r="P2619" i="20"/>
  <c r="P2620" i="20"/>
  <c r="P2621" i="20"/>
  <c r="P2622" i="20"/>
  <c r="P2623" i="20"/>
  <c r="P2624" i="20"/>
  <c r="P2625" i="20"/>
  <c r="P2626" i="20"/>
  <c r="P2627" i="20"/>
  <c r="P2628" i="20"/>
  <c r="P2629" i="20"/>
  <c r="P2630" i="20"/>
  <c r="P2631" i="20"/>
  <c r="P2632" i="20"/>
  <c r="P2633" i="20"/>
  <c r="P2634" i="20"/>
  <c r="P2635" i="20"/>
  <c r="P2636" i="20"/>
  <c r="P2637" i="20"/>
  <c r="P2638" i="20"/>
  <c r="P2639" i="20"/>
  <c r="P2640" i="20"/>
  <c r="P2641" i="20"/>
  <c r="P2642" i="20"/>
  <c r="P2643" i="20"/>
  <c r="P2644" i="20"/>
  <c r="P2645" i="20"/>
  <c r="P2646" i="20"/>
  <c r="P2647" i="20"/>
  <c r="P2648" i="20"/>
  <c r="P2649" i="20"/>
  <c r="P2650" i="20"/>
  <c r="P2651" i="20"/>
  <c r="P2652" i="20"/>
  <c r="P2653" i="20"/>
  <c r="P2654" i="20"/>
  <c r="P2655" i="20"/>
  <c r="P2656" i="20"/>
  <c r="P2657" i="20"/>
  <c r="P2658" i="20"/>
  <c r="P2659" i="20"/>
  <c r="P2660" i="20"/>
  <c r="P2661" i="20"/>
  <c r="P2662" i="20"/>
  <c r="P2663" i="20"/>
  <c r="P2664" i="20"/>
  <c r="P2665" i="20"/>
  <c r="P2666" i="20"/>
  <c r="P2667" i="20"/>
  <c r="P2668" i="20"/>
  <c r="P2669" i="20"/>
  <c r="P2670" i="20"/>
  <c r="P2671" i="20"/>
  <c r="P2672" i="20"/>
  <c r="P2673" i="20"/>
  <c r="P2674" i="20"/>
  <c r="P2675" i="20"/>
  <c r="P2676" i="20"/>
  <c r="P2677" i="20"/>
  <c r="P2678" i="20"/>
  <c r="P2679" i="20"/>
  <c r="P2680" i="20"/>
  <c r="P2681" i="20"/>
  <c r="P2682" i="20"/>
  <c r="P2683" i="20"/>
  <c r="P2684" i="20"/>
  <c r="P2685" i="20"/>
  <c r="P2686" i="20"/>
  <c r="P2687" i="20"/>
  <c r="P2688" i="20"/>
  <c r="P2689" i="20"/>
  <c r="P2690" i="20"/>
  <c r="P2691" i="20"/>
  <c r="P2692" i="20"/>
  <c r="P2693" i="20"/>
  <c r="P2694" i="20"/>
  <c r="P2695" i="20"/>
  <c r="P2696" i="20"/>
  <c r="P2697" i="20"/>
  <c r="P2698" i="20"/>
  <c r="P2699" i="20"/>
  <c r="P2700" i="20"/>
  <c r="P2701" i="20"/>
  <c r="P2702" i="20"/>
  <c r="P2703" i="20"/>
  <c r="P2704" i="20"/>
  <c r="P2705" i="20"/>
  <c r="P2706" i="20"/>
  <c r="P2707" i="20"/>
  <c r="P2708" i="20"/>
  <c r="P2709" i="20"/>
  <c r="P2710" i="20"/>
  <c r="P2711" i="20"/>
  <c r="P2712" i="20"/>
  <c r="P2713" i="20"/>
  <c r="P2714" i="20"/>
  <c r="P2715" i="20"/>
  <c r="P2716" i="20"/>
  <c r="P2717" i="20"/>
  <c r="P2718" i="20"/>
  <c r="P2719" i="20"/>
  <c r="P2720" i="20"/>
  <c r="P2721" i="20"/>
  <c r="P2722" i="20"/>
  <c r="P2723" i="20"/>
  <c r="P2724" i="20"/>
  <c r="P2725" i="20"/>
  <c r="P2726" i="20"/>
  <c r="P2727" i="20"/>
  <c r="P2728" i="20"/>
  <c r="P2729" i="20"/>
  <c r="P2730" i="20"/>
  <c r="P2731" i="20"/>
  <c r="P2732" i="20"/>
  <c r="P2733" i="20"/>
  <c r="P2734" i="20"/>
  <c r="P2735" i="20"/>
  <c r="P2736" i="20"/>
  <c r="P2737" i="20"/>
  <c r="P2738" i="20"/>
  <c r="P2739" i="20"/>
  <c r="P2740" i="20"/>
  <c r="P2741" i="20"/>
  <c r="P2742" i="20"/>
  <c r="P2743" i="20"/>
  <c r="P2744" i="20"/>
  <c r="P2745" i="20"/>
  <c r="P2746" i="20"/>
  <c r="P2747" i="20"/>
  <c r="P2748" i="20"/>
  <c r="P2749" i="20"/>
  <c r="P2750" i="20"/>
  <c r="P2751" i="20"/>
  <c r="P2752" i="20"/>
  <c r="P2753" i="20"/>
  <c r="P2754" i="20"/>
  <c r="P2755" i="20"/>
  <c r="P2756" i="20"/>
  <c r="P2757" i="20"/>
  <c r="P2758" i="20"/>
  <c r="P2759" i="20"/>
  <c r="P2760" i="20"/>
  <c r="P2761" i="20"/>
  <c r="P2762" i="20"/>
  <c r="P2763" i="20"/>
  <c r="P2764" i="20"/>
  <c r="P2765" i="20"/>
  <c r="P2766" i="20"/>
  <c r="P2767" i="20"/>
  <c r="P2768" i="20"/>
  <c r="P2769" i="20"/>
  <c r="P2770" i="20"/>
  <c r="P2771" i="20"/>
  <c r="P2772" i="20"/>
  <c r="P2773" i="20"/>
  <c r="P2774" i="20"/>
  <c r="P2775" i="20"/>
  <c r="P2776" i="20"/>
  <c r="P2777" i="20"/>
  <c r="P2778" i="20"/>
  <c r="P2779" i="20"/>
  <c r="P2780" i="20"/>
  <c r="P2781" i="20"/>
  <c r="P2782" i="20"/>
  <c r="P2783" i="20"/>
  <c r="P2784" i="20"/>
  <c r="P2785" i="20"/>
  <c r="P2786" i="20"/>
  <c r="P2787" i="20"/>
  <c r="P2788" i="20"/>
  <c r="P2789" i="20"/>
  <c r="P2790" i="20"/>
  <c r="P2791" i="20"/>
  <c r="P2792" i="20"/>
  <c r="P2793" i="20"/>
  <c r="P2794" i="20"/>
  <c r="P2795" i="20"/>
  <c r="P2796" i="20"/>
  <c r="P2797" i="20"/>
  <c r="P2798" i="20"/>
  <c r="P2799" i="20"/>
  <c r="P2800" i="20"/>
  <c r="P2801" i="20"/>
  <c r="P2802" i="20"/>
  <c r="P2803" i="20"/>
  <c r="P2804" i="20"/>
  <c r="P2805" i="20"/>
  <c r="P2806" i="20"/>
  <c r="P2807" i="20"/>
  <c r="P2808" i="20"/>
  <c r="P2809" i="20"/>
  <c r="P2810" i="20"/>
  <c r="P2811" i="20"/>
  <c r="P2812" i="20"/>
  <c r="P2813" i="20"/>
  <c r="P2814" i="20"/>
  <c r="P2815" i="20"/>
  <c r="P2816" i="20"/>
  <c r="P2817" i="20"/>
  <c r="P2818" i="20"/>
  <c r="P2819" i="20"/>
  <c r="P2820" i="20"/>
  <c r="P2821" i="20"/>
  <c r="P2822" i="20"/>
  <c r="P2823" i="20"/>
  <c r="P2824" i="20"/>
  <c r="P2825" i="20"/>
  <c r="P2826" i="20"/>
  <c r="P2827" i="20"/>
  <c r="P2828" i="20"/>
  <c r="P2829" i="20"/>
  <c r="P2830" i="20"/>
  <c r="P2831" i="20"/>
  <c r="P2832" i="20"/>
  <c r="P2833" i="20"/>
  <c r="P2834" i="20"/>
  <c r="P2835" i="20"/>
  <c r="P2836" i="20"/>
  <c r="P2837" i="20"/>
  <c r="P2838" i="20"/>
  <c r="P2839" i="20"/>
  <c r="P2840" i="20"/>
  <c r="P2841" i="20"/>
  <c r="P2842" i="20"/>
  <c r="P2843" i="20"/>
  <c r="P2844" i="20"/>
  <c r="P2845" i="20"/>
  <c r="P2846" i="20"/>
  <c r="P2847" i="20"/>
  <c r="P2848" i="20"/>
  <c r="P2849" i="20"/>
  <c r="P2850" i="20"/>
  <c r="P2851" i="20"/>
  <c r="P2852" i="20"/>
  <c r="P2853" i="20"/>
  <c r="P2854" i="20"/>
  <c r="P2855" i="20"/>
  <c r="P2856" i="20"/>
  <c r="P2857" i="20"/>
  <c r="P2858" i="20"/>
  <c r="P2859" i="20"/>
  <c r="P2860" i="20"/>
  <c r="P2861" i="20"/>
  <c r="P2862" i="20"/>
  <c r="P2863" i="20"/>
  <c r="P2864" i="20"/>
  <c r="P2865" i="20"/>
  <c r="P2866" i="20"/>
  <c r="P2867" i="20"/>
  <c r="P2868" i="20"/>
  <c r="P2869" i="20"/>
  <c r="P2870" i="20"/>
  <c r="P2871" i="20"/>
  <c r="P2872" i="20"/>
  <c r="P2873" i="20"/>
  <c r="Q1884" i="20"/>
  <c r="Q1885" i="20"/>
  <c r="Q1886" i="20"/>
  <c r="Q1887" i="20"/>
  <c r="Q1888" i="20"/>
  <c r="Q1889" i="20"/>
  <c r="Q1890" i="20"/>
  <c r="Q1891" i="20"/>
  <c r="Q1892" i="20"/>
  <c r="Q1893" i="20"/>
  <c r="Q1894" i="20"/>
  <c r="Q1895" i="20"/>
  <c r="Q1896" i="20"/>
  <c r="Q1897" i="20"/>
  <c r="Q1898" i="20"/>
  <c r="Q1899" i="20"/>
  <c r="Q1900" i="20"/>
  <c r="Q1901" i="20"/>
  <c r="Q1902" i="20"/>
  <c r="Q1903" i="20"/>
  <c r="Q1904" i="20"/>
  <c r="Q1905" i="20"/>
  <c r="Q1906" i="20"/>
  <c r="Q1907" i="20"/>
  <c r="Q1908" i="20"/>
  <c r="Q1909" i="20"/>
  <c r="Q1910" i="20"/>
  <c r="Q1911" i="20"/>
  <c r="Q1912" i="20"/>
  <c r="Q1913" i="20"/>
  <c r="Q1914" i="20"/>
  <c r="Q1915" i="20"/>
  <c r="Q1916" i="20"/>
  <c r="Q1917" i="20"/>
  <c r="Q1918" i="20"/>
  <c r="Q1919" i="20"/>
  <c r="Q1920" i="20"/>
  <c r="Q1921" i="20"/>
  <c r="Q1922" i="20"/>
  <c r="Q1923" i="20"/>
  <c r="Q1924" i="20"/>
  <c r="Q1925" i="20"/>
  <c r="Q1926" i="20"/>
  <c r="Q1927" i="20"/>
  <c r="Q1928" i="20"/>
  <c r="Q1929" i="20"/>
  <c r="Q1930" i="20"/>
  <c r="Q1931" i="20"/>
  <c r="Q1932" i="20"/>
  <c r="Q1933" i="20"/>
  <c r="Q1934" i="20"/>
  <c r="Q1935" i="20"/>
  <c r="Q1936" i="20"/>
  <c r="Q1937" i="20"/>
  <c r="Q1938" i="20"/>
  <c r="Q1939" i="20"/>
  <c r="Q1940" i="20"/>
  <c r="Q1941" i="20"/>
  <c r="Q1942" i="20"/>
  <c r="Q1943" i="20"/>
  <c r="Q1944" i="20"/>
  <c r="Q1945" i="20"/>
  <c r="Q1946" i="20"/>
  <c r="Q1947" i="20"/>
  <c r="Q1948" i="20"/>
  <c r="Q1949" i="20"/>
  <c r="Q1950" i="20"/>
  <c r="Q1951" i="20"/>
  <c r="Q1952" i="20"/>
  <c r="Q1953" i="20"/>
  <c r="Q1954" i="20"/>
  <c r="Q1955" i="20"/>
  <c r="Q1956" i="20"/>
  <c r="Q1957" i="20"/>
  <c r="Q1958" i="20"/>
  <c r="Q1959" i="20"/>
  <c r="Q1960" i="20"/>
  <c r="Q1961" i="20"/>
  <c r="Q1962" i="20"/>
  <c r="Q1963" i="20"/>
  <c r="Q1964" i="20"/>
  <c r="Q1965" i="20"/>
  <c r="Q1966" i="20"/>
  <c r="Q1967" i="20"/>
  <c r="Q1968" i="20"/>
  <c r="Q1969" i="20"/>
  <c r="Q1970" i="20"/>
  <c r="Q1971" i="20"/>
  <c r="Q1972" i="20"/>
  <c r="Q1973" i="20"/>
  <c r="Q1974" i="20"/>
  <c r="Q1975" i="20"/>
  <c r="Q1976" i="20"/>
  <c r="Q1977" i="20"/>
  <c r="Q1978" i="20"/>
  <c r="Q1979" i="20"/>
  <c r="Q1980" i="20"/>
  <c r="Q1981" i="20"/>
  <c r="Q1982" i="20"/>
  <c r="Q1983" i="20"/>
  <c r="Q1984" i="20"/>
  <c r="Q1985" i="20"/>
  <c r="Q1986" i="20"/>
  <c r="Q1987" i="20"/>
  <c r="Q1988" i="20"/>
  <c r="Q1989" i="20"/>
  <c r="Q1990" i="20"/>
  <c r="Q1991" i="20"/>
  <c r="Q1992" i="20"/>
  <c r="Q1993" i="20"/>
  <c r="Q1994" i="20"/>
  <c r="Q1995" i="20"/>
  <c r="Q1996" i="20"/>
  <c r="Q1997" i="20"/>
  <c r="Q1998" i="20"/>
  <c r="Q1999" i="20"/>
  <c r="Q2000" i="20"/>
  <c r="Q2001" i="20"/>
  <c r="Q2002" i="20"/>
  <c r="Q2003" i="20"/>
  <c r="Q2004" i="20"/>
  <c r="Q2005" i="20"/>
  <c r="Q2006" i="20"/>
  <c r="Q2007" i="20"/>
  <c r="Q2008" i="20"/>
  <c r="Q2009" i="20"/>
  <c r="Q2010" i="20"/>
  <c r="Q2011" i="20"/>
  <c r="Q2012" i="20"/>
  <c r="Q2013" i="20"/>
  <c r="Q2014" i="20"/>
  <c r="Q2015" i="20"/>
  <c r="Q2016" i="20"/>
  <c r="Q2017" i="20"/>
  <c r="Q2018" i="20"/>
  <c r="Q2019" i="20"/>
  <c r="Q2020" i="20"/>
  <c r="Q2021" i="20"/>
  <c r="Q2022" i="20"/>
  <c r="Q2023" i="20"/>
  <c r="Q2024" i="20"/>
  <c r="Q2025" i="20"/>
  <c r="Q2026" i="20"/>
  <c r="Q2027" i="20"/>
  <c r="Q2028" i="20"/>
  <c r="Q2029" i="20"/>
  <c r="Q2030" i="20"/>
  <c r="Q2031" i="20"/>
  <c r="Q2032" i="20"/>
  <c r="Q2033" i="20"/>
  <c r="Q2034" i="20"/>
  <c r="Q2035" i="20"/>
  <c r="Q2036" i="20"/>
  <c r="Q2037" i="20"/>
  <c r="Q2038" i="20"/>
  <c r="Q2039" i="20"/>
  <c r="Q2040" i="20"/>
  <c r="Q2041" i="20"/>
  <c r="Q2042" i="20"/>
  <c r="Q2043" i="20"/>
  <c r="Q2044" i="20"/>
  <c r="Q2045" i="20"/>
  <c r="Q2046" i="20"/>
  <c r="Q2047" i="20"/>
  <c r="Q2048" i="20"/>
  <c r="Q2049" i="20"/>
  <c r="Q2050" i="20"/>
  <c r="Q2051" i="20"/>
  <c r="Q2052" i="20"/>
  <c r="Q2053" i="20"/>
  <c r="Q2054" i="20"/>
  <c r="Q2055" i="20"/>
  <c r="Q2056" i="20"/>
  <c r="Q2057" i="20"/>
  <c r="Q2058" i="20"/>
  <c r="Q2059" i="20"/>
  <c r="Q2060" i="20"/>
  <c r="Q2061" i="20"/>
  <c r="Q2062" i="20"/>
  <c r="Q2063" i="20"/>
  <c r="Q2064" i="20"/>
  <c r="Q2065" i="20"/>
  <c r="Q2066" i="20"/>
  <c r="Q2067" i="20"/>
  <c r="Q2068" i="20"/>
  <c r="Q2069" i="20"/>
  <c r="Q2070" i="20"/>
  <c r="Q2071" i="20"/>
  <c r="Q2072" i="20"/>
  <c r="Q2073" i="20"/>
  <c r="Q2074" i="20"/>
  <c r="Q2075" i="20"/>
  <c r="Q2076" i="20"/>
  <c r="Q2077" i="20"/>
  <c r="Q2078" i="20"/>
  <c r="Q2079" i="20"/>
  <c r="Q2080" i="20"/>
  <c r="Q2081" i="20"/>
  <c r="Q2082" i="20"/>
  <c r="Q2083" i="20"/>
  <c r="Q2084" i="20"/>
  <c r="Q2085" i="20"/>
  <c r="Q2086" i="20"/>
  <c r="Q2087" i="20"/>
  <c r="Q2088" i="20"/>
  <c r="Q2089" i="20"/>
  <c r="Q2090" i="20"/>
  <c r="Q2091" i="20"/>
  <c r="Q2092" i="20"/>
  <c r="Q2093" i="20"/>
  <c r="Q2094" i="20"/>
  <c r="Q2095" i="20"/>
  <c r="Q2096" i="20"/>
  <c r="Q2097" i="20"/>
  <c r="Q2098" i="20"/>
  <c r="Q2099" i="20"/>
  <c r="Q2100" i="20"/>
  <c r="Q2101" i="20"/>
  <c r="Q2102" i="20"/>
  <c r="Q2103" i="20"/>
  <c r="Q2104" i="20"/>
  <c r="Q2105" i="20"/>
  <c r="Q2106" i="20"/>
  <c r="Q2107" i="20"/>
  <c r="Q2108" i="20"/>
  <c r="Q2109" i="20"/>
  <c r="Q2110" i="20"/>
  <c r="Q2111" i="20"/>
  <c r="Q2112" i="20"/>
  <c r="Q2113" i="20"/>
  <c r="Q2114" i="20"/>
  <c r="Q2115" i="20"/>
  <c r="Q2116" i="20"/>
  <c r="Q2117" i="20"/>
  <c r="Q2118" i="20"/>
  <c r="Q2119" i="20"/>
  <c r="Q2120" i="20"/>
  <c r="Q2121" i="20"/>
  <c r="Q2122" i="20"/>
  <c r="Q2123" i="20"/>
  <c r="Q2124" i="20"/>
  <c r="Q2125" i="20"/>
  <c r="Q2126" i="20"/>
  <c r="Q2127" i="20"/>
  <c r="Q2128" i="20"/>
  <c r="Q2129" i="20"/>
  <c r="Q2130" i="20"/>
  <c r="Q2131" i="20"/>
  <c r="Q2132" i="20"/>
  <c r="Q2133" i="20"/>
  <c r="Q2134" i="20"/>
  <c r="Q2135" i="20"/>
  <c r="Q2136" i="20"/>
  <c r="Q2137" i="20"/>
  <c r="Q2138" i="20"/>
  <c r="Q2139" i="20"/>
  <c r="Q2140" i="20"/>
  <c r="Q2141" i="20"/>
  <c r="Q2142" i="20"/>
  <c r="Q2143" i="20"/>
  <c r="Q2144" i="20"/>
  <c r="Q2145" i="20"/>
  <c r="Q2146" i="20"/>
  <c r="Q2147" i="20"/>
  <c r="Q2148" i="20"/>
  <c r="Q2149" i="20"/>
  <c r="Q2150" i="20"/>
  <c r="Q2151" i="20"/>
  <c r="Q2152" i="20"/>
  <c r="Q2153" i="20"/>
  <c r="Q2154" i="20"/>
  <c r="Q2155" i="20"/>
  <c r="Q2156" i="20"/>
  <c r="Q2157" i="20"/>
  <c r="Q2158" i="20"/>
  <c r="Q2159" i="20"/>
  <c r="Q2160" i="20"/>
  <c r="Q2161" i="20"/>
  <c r="Q2162" i="20"/>
  <c r="Q2163" i="20"/>
  <c r="Q2164" i="20"/>
  <c r="Q2165" i="20"/>
  <c r="Q2166" i="20"/>
  <c r="Q2167" i="20"/>
  <c r="Q2168" i="20"/>
  <c r="Q2169" i="20"/>
  <c r="Q2170" i="20"/>
  <c r="Q2171" i="20"/>
  <c r="Q2172" i="20"/>
  <c r="Q2173" i="20"/>
  <c r="Q2174" i="20"/>
  <c r="Q2175" i="20"/>
  <c r="Q2176" i="20"/>
  <c r="Q2177" i="20"/>
  <c r="Q2178" i="20"/>
  <c r="Q2179" i="20"/>
  <c r="Q2180" i="20"/>
  <c r="Q2181" i="20"/>
  <c r="Q2182" i="20"/>
  <c r="Q2183" i="20"/>
  <c r="Q2184" i="20"/>
  <c r="Q2185" i="20"/>
  <c r="Q2186" i="20"/>
  <c r="Q2187" i="20"/>
  <c r="Q2188" i="20"/>
  <c r="Q2189" i="20"/>
  <c r="Q2190" i="20"/>
  <c r="Q2191" i="20"/>
  <c r="Q2192" i="20"/>
  <c r="Q2193" i="20"/>
  <c r="Q2194" i="20"/>
  <c r="Q2195" i="20"/>
  <c r="Q2196" i="20"/>
  <c r="Q2197" i="20"/>
  <c r="Q2198" i="20"/>
  <c r="Q2199" i="20"/>
  <c r="Q2200" i="20"/>
  <c r="Q2201" i="20"/>
  <c r="Q2202" i="20"/>
  <c r="Q2203" i="20"/>
  <c r="Q2204" i="20"/>
  <c r="Q2205" i="20"/>
  <c r="Q2206" i="20"/>
  <c r="Q2207" i="20"/>
  <c r="Q2208" i="20"/>
  <c r="Q2209" i="20"/>
  <c r="Q2210" i="20"/>
  <c r="Q2211" i="20"/>
  <c r="Q2212" i="20"/>
  <c r="Q2213" i="20"/>
  <c r="Q2214" i="20"/>
  <c r="Q2215" i="20"/>
  <c r="Q2216" i="20"/>
  <c r="Q2217" i="20"/>
  <c r="Q2218" i="20"/>
  <c r="Q2219" i="20"/>
  <c r="Q2220" i="20"/>
  <c r="Q2221" i="20"/>
  <c r="Q2222" i="20"/>
  <c r="Q2223" i="20"/>
  <c r="Q2224" i="20"/>
  <c r="Q2225" i="20"/>
  <c r="Q2226" i="20"/>
  <c r="Q2227" i="20"/>
  <c r="Q2228" i="20"/>
  <c r="Q2229" i="20"/>
  <c r="Q2230" i="20"/>
  <c r="Q2231" i="20"/>
  <c r="Q2232" i="20"/>
  <c r="Q2233" i="20"/>
  <c r="Q2234" i="20"/>
  <c r="Q2235" i="20"/>
  <c r="Q2236" i="20"/>
  <c r="Q2237" i="20"/>
  <c r="Q2238" i="20"/>
  <c r="Q2239" i="20"/>
  <c r="Q2240" i="20"/>
  <c r="Q2241" i="20"/>
  <c r="Q2242" i="20"/>
  <c r="Q2243" i="20"/>
  <c r="Q2244" i="20"/>
  <c r="Q2245" i="20"/>
  <c r="Q2246" i="20"/>
  <c r="Q2247" i="20"/>
  <c r="Q2248" i="20"/>
  <c r="Q2249" i="20"/>
  <c r="Q2250" i="20"/>
  <c r="Q2251" i="20"/>
  <c r="Q2252" i="20"/>
  <c r="Q2253" i="20"/>
  <c r="Q2254" i="20"/>
  <c r="Q2255" i="20"/>
  <c r="Q2256" i="20"/>
  <c r="Q2257" i="20"/>
  <c r="Q2258" i="20"/>
  <c r="Q2259" i="20"/>
  <c r="Q2260" i="20"/>
  <c r="Q2261" i="20"/>
  <c r="Q2262" i="20"/>
  <c r="Q2263" i="20"/>
  <c r="Q2264" i="20"/>
  <c r="Q2265" i="20"/>
  <c r="Q2266" i="20"/>
  <c r="Q2267" i="20"/>
  <c r="Q2268" i="20"/>
  <c r="Q2269" i="20"/>
  <c r="Q2270" i="20"/>
  <c r="Q2271" i="20"/>
  <c r="Q2272" i="20"/>
  <c r="Q2273" i="20"/>
  <c r="Q2274" i="20"/>
  <c r="Q2275" i="20"/>
  <c r="Q2276" i="20"/>
  <c r="Q2277" i="20"/>
  <c r="Q2278" i="20"/>
  <c r="Q2279" i="20"/>
  <c r="Q2280" i="20"/>
  <c r="Q2281" i="20"/>
  <c r="Q2282" i="20"/>
  <c r="Q2283" i="20"/>
  <c r="Q2284" i="20"/>
  <c r="Q2285" i="20"/>
  <c r="Q2286" i="20"/>
  <c r="Q2287" i="20"/>
  <c r="Q2288" i="20"/>
  <c r="Q2289" i="20"/>
  <c r="Q2290" i="20"/>
  <c r="Q2291" i="20"/>
  <c r="Q2292" i="20"/>
  <c r="Q2293" i="20"/>
  <c r="Q2294" i="20"/>
  <c r="Q2295" i="20"/>
  <c r="Q2296" i="20"/>
  <c r="Q2297" i="20"/>
  <c r="Q2298" i="20"/>
  <c r="Q2299" i="20"/>
  <c r="Q2300" i="20"/>
  <c r="Q2301" i="20"/>
  <c r="Q2302" i="20"/>
  <c r="Q2303" i="20"/>
  <c r="Q2304" i="20"/>
  <c r="Q2305" i="20"/>
  <c r="Q2306" i="20"/>
  <c r="Q2307" i="20"/>
  <c r="Q2308" i="20"/>
  <c r="Q2309" i="20"/>
  <c r="Q2310" i="20"/>
  <c r="Q2311" i="20"/>
  <c r="Q2312" i="20"/>
  <c r="Q2313" i="20"/>
  <c r="Q2314" i="20"/>
  <c r="Q2315" i="20"/>
  <c r="Q2316" i="20"/>
  <c r="Q2317" i="20"/>
  <c r="Q2318" i="20"/>
  <c r="Q2319" i="20"/>
  <c r="Q2320" i="20"/>
  <c r="Q2321" i="20"/>
  <c r="Q2322" i="20"/>
  <c r="Q2323" i="20"/>
  <c r="Q2324" i="20"/>
  <c r="Q2325" i="20"/>
  <c r="Q2326" i="20"/>
  <c r="Q2327" i="20"/>
  <c r="Q2328" i="20"/>
  <c r="Q2329" i="20"/>
  <c r="Q2330" i="20"/>
  <c r="Q2331" i="20"/>
  <c r="Q2332" i="20"/>
  <c r="Q2333" i="20"/>
  <c r="Q2334" i="20"/>
  <c r="Q2335" i="20"/>
  <c r="Q2336" i="20"/>
  <c r="Q2337" i="20"/>
  <c r="Q2338" i="20"/>
  <c r="Q2339" i="20"/>
  <c r="Q2340" i="20"/>
  <c r="Q2341" i="20"/>
  <c r="Q2342" i="20"/>
  <c r="Q2343" i="20"/>
  <c r="Q2344" i="20"/>
  <c r="Q2345" i="20"/>
  <c r="Q2346" i="20"/>
  <c r="Q2347" i="20"/>
  <c r="Q2348" i="20"/>
  <c r="Q2349" i="20"/>
  <c r="Q2350" i="20"/>
  <c r="Q2351" i="20"/>
  <c r="Q2352" i="20"/>
  <c r="Q2353" i="20"/>
  <c r="Q2354" i="20"/>
  <c r="Q2355" i="20"/>
  <c r="Q2356" i="20"/>
  <c r="Q2357" i="20"/>
  <c r="Q2358" i="20"/>
  <c r="Q2359" i="20"/>
  <c r="Q2360" i="20"/>
  <c r="Q2361" i="20"/>
  <c r="Q2362" i="20"/>
  <c r="Q2363" i="20"/>
  <c r="Q2364" i="20"/>
  <c r="Q2365" i="20"/>
  <c r="Q2366" i="20"/>
  <c r="Q2367" i="20"/>
  <c r="Q2368" i="20"/>
  <c r="Q2369" i="20"/>
  <c r="Q2370" i="20"/>
  <c r="Q2371" i="20"/>
  <c r="Q2372" i="20"/>
  <c r="Q2373" i="20"/>
  <c r="Q2374" i="20"/>
  <c r="Q2375" i="20"/>
  <c r="Q2376" i="20"/>
  <c r="Q2377" i="20"/>
  <c r="Q2378" i="20"/>
  <c r="Q2379" i="20"/>
  <c r="Q2380" i="20"/>
  <c r="Q2381" i="20"/>
  <c r="Q2382" i="20"/>
  <c r="Q2383" i="20"/>
  <c r="Q2384" i="20"/>
  <c r="Q2385" i="20"/>
  <c r="Q2386" i="20"/>
  <c r="Q2387" i="20"/>
  <c r="Q2388" i="20"/>
  <c r="Q2389" i="20"/>
  <c r="Q2390" i="20"/>
  <c r="Q2391" i="20"/>
  <c r="Q2392" i="20"/>
  <c r="Q2393" i="20"/>
  <c r="Q2394" i="20"/>
  <c r="Q2395" i="20"/>
  <c r="Q2396" i="20"/>
  <c r="Q2397" i="20"/>
  <c r="Q2398" i="20"/>
  <c r="Q2399" i="20"/>
  <c r="Q2400" i="20"/>
  <c r="Q2401" i="20"/>
  <c r="Q2402" i="20"/>
  <c r="Q2403" i="20"/>
  <c r="Q2404" i="20"/>
  <c r="Q2405" i="20"/>
  <c r="Q2406" i="20"/>
  <c r="Q2407" i="20"/>
  <c r="Q2408" i="20"/>
  <c r="Q2409" i="20"/>
  <c r="Q2410" i="20"/>
  <c r="Q2411" i="20"/>
  <c r="Q2412" i="20"/>
  <c r="Q2413" i="20"/>
  <c r="Q2414" i="20"/>
  <c r="Q2415" i="20"/>
  <c r="Q2416" i="20"/>
  <c r="Q2417" i="20"/>
  <c r="Q2418" i="20"/>
  <c r="Q2419" i="20"/>
  <c r="Q2420" i="20"/>
  <c r="Q2421" i="20"/>
  <c r="Q2422" i="20"/>
  <c r="Q2423" i="20"/>
  <c r="Q2424" i="20"/>
  <c r="Q2425" i="20"/>
  <c r="Q2426" i="20"/>
  <c r="Q2427" i="20"/>
  <c r="Q2428" i="20"/>
  <c r="Q2429" i="20"/>
  <c r="Q2430" i="20"/>
  <c r="Q2431" i="20"/>
  <c r="Q2432" i="20"/>
  <c r="Q2433" i="20"/>
  <c r="Q2434" i="20"/>
  <c r="Q2435" i="20"/>
  <c r="Q2436" i="20"/>
  <c r="Q2437" i="20"/>
  <c r="Q2438" i="20"/>
  <c r="Q2439" i="20"/>
  <c r="Q2440" i="20"/>
  <c r="Q2441" i="20"/>
  <c r="Q2442" i="20"/>
  <c r="Q2443" i="20"/>
  <c r="Q2444" i="20"/>
  <c r="Q2445" i="20"/>
  <c r="Q2446" i="20"/>
  <c r="Q2447" i="20"/>
  <c r="Q2448" i="20"/>
  <c r="Q2449" i="20"/>
  <c r="Q2450" i="20"/>
  <c r="Q2451" i="20"/>
  <c r="Q2452" i="20"/>
  <c r="Q2453" i="20"/>
  <c r="Q2454" i="20"/>
  <c r="Q2455" i="20"/>
  <c r="Q2456" i="20"/>
  <c r="Q2457" i="20"/>
  <c r="Q2458" i="20"/>
  <c r="Q2459" i="20"/>
  <c r="Q2460" i="20"/>
  <c r="Q2461" i="20"/>
  <c r="Q2462" i="20"/>
  <c r="Q2463" i="20"/>
  <c r="Q2464" i="20"/>
  <c r="Q2465" i="20"/>
  <c r="Q2466" i="20"/>
  <c r="Q2467" i="20"/>
  <c r="Q2468" i="20"/>
  <c r="Q2469" i="20"/>
  <c r="Q2470" i="20"/>
  <c r="Q2471" i="20"/>
  <c r="Q2472" i="20"/>
  <c r="Q2473" i="20"/>
  <c r="Q2474" i="20"/>
  <c r="Q2475" i="20"/>
  <c r="Q2476" i="20"/>
  <c r="Q2477" i="20"/>
  <c r="Q2478" i="20"/>
  <c r="Q2479" i="20"/>
  <c r="Q2480" i="20"/>
  <c r="Q2481" i="20"/>
  <c r="Q2482" i="20"/>
  <c r="Q2483" i="20"/>
  <c r="Q2484" i="20"/>
  <c r="Q2485" i="20"/>
  <c r="Q2486" i="20"/>
  <c r="Q2487" i="20"/>
  <c r="Q2488" i="20"/>
  <c r="Q2489" i="20"/>
  <c r="Q2490" i="20"/>
  <c r="Q2491" i="20"/>
  <c r="Q2492" i="20"/>
  <c r="Q2493" i="20"/>
  <c r="Q2494" i="20"/>
  <c r="Q2495" i="20"/>
  <c r="Q2496" i="20"/>
  <c r="Q2497" i="20"/>
  <c r="Q2498" i="20"/>
  <c r="Q2499" i="20"/>
  <c r="Q2500" i="20"/>
  <c r="Q2501" i="20"/>
  <c r="Q2502" i="20"/>
  <c r="Q2503" i="20"/>
  <c r="Q2504" i="20"/>
  <c r="Q2505" i="20"/>
  <c r="Q2506" i="20"/>
  <c r="Q2507" i="20"/>
  <c r="Q2508" i="20"/>
  <c r="Q2509" i="20"/>
  <c r="Q2510" i="20"/>
  <c r="Q2511" i="20"/>
  <c r="Q2512" i="20"/>
  <c r="Q2513" i="20"/>
  <c r="Q2514" i="20"/>
  <c r="Q2515" i="20"/>
  <c r="Q2516" i="20"/>
  <c r="Q2517" i="20"/>
  <c r="Q2518" i="20"/>
  <c r="Q2519" i="20"/>
  <c r="Q2520" i="20"/>
  <c r="Q2521" i="20"/>
  <c r="Q2522" i="20"/>
  <c r="Q2523" i="20"/>
  <c r="Q2524" i="20"/>
  <c r="Q2525" i="20"/>
  <c r="Q2526" i="20"/>
  <c r="Q2527" i="20"/>
  <c r="Q2528" i="20"/>
  <c r="Q2529" i="20"/>
  <c r="Q2530" i="20"/>
  <c r="Q2531" i="20"/>
  <c r="Q2532" i="20"/>
  <c r="Q2533" i="20"/>
  <c r="Q2534" i="20"/>
  <c r="Q2535" i="20"/>
  <c r="Q2536" i="20"/>
  <c r="Q2537" i="20"/>
  <c r="Q2538" i="20"/>
  <c r="Q2539" i="20"/>
  <c r="Q2540" i="20"/>
  <c r="Q2541" i="20"/>
  <c r="Q2542" i="20"/>
  <c r="Q2543" i="20"/>
  <c r="Q2544" i="20"/>
  <c r="Q2545" i="20"/>
  <c r="Q2546" i="20"/>
  <c r="Q2547" i="20"/>
  <c r="Q2548" i="20"/>
  <c r="Q2549" i="20"/>
  <c r="Q2550" i="20"/>
  <c r="Q2551" i="20"/>
  <c r="Q2552" i="20"/>
  <c r="Q2553" i="20"/>
  <c r="Q2554" i="20"/>
  <c r="Q2555" i="20"/>
  <c r="Q2556" i="20"/>
  <c r="Q2557" i="20"/>
  <c r="Q2558" i="20"/>
  <c r="Q2559" i="20"/>
  <c r="Q2560" i="20"/>
  <c r="Q2561" i="20"/>
  <c r="Q2562" i="20"/>
  <c r="Q2563" i="20"/>
  <c r="Q2564" i="20"/>
  <c r="Q2565" i="20"/>
  <c r="Q2566" i="20"/>
  <c r="Q2567" i="20"/>
  <c r="Q2568" i="20"/>
  <c r="Q2569" i="20"/>
  <c r="Q2570" i="20"/>
  <c r="Q2571" i="20"/>
  <c r="Q2572" i="20"/>
  <c r="Q2573" i="20"/>
  <c r="Q2574" i="20"/>
  <c r="Q2575" i="20"/>
  <c r="Q2576" i="20"/>
  <c r="Q2577" i="20"/>
  <c r="Q2578" i="20"/>
  <c r="Q2579" i="20"/>
  <c r="Q2580" i="20"/>
  <c r="Q2581" i="20"/>
  <c r="Q2582" i="20"/>
  <c r="Q2583" i="20"/>
  <c r="Q2584" i="20"/>
  <c r="Q2585" i="20"/>
  <c r="Q2586" i="20"/>
  <c r="Q2587" i="20"/>
  <c r="Q2588" i="20"/>
  <c r="Q2589" i="20"/>
  <c r="Q2590" i="20"/>
  <c r="Q2591" i="20"/>
  <c r="Q2592" i="20"/>
  <c r="Q2593" i="20"/>
  <c r="Q2594" i="20"/>
  <c r="Q2595" i="20"/>
  <c r="Q2596" i="20"/>
  <c r="Q2597" i="20"/>
  <c r="Q2598" i="20"/>
  <c r="Q2599" i="20"/>
  <c r="Q2600" i="20"/>
  <c r="Q2601" i="20"/>
  <c r="Q2602" i="20"/>
  <c r="Q2603" i="20"/>
  <c r="Q2604" i="20"/>
  <c r="Q2605" i="20"/>
  <c r="Q2606" i="20"/>
  <c r="Q2607" i="20"/>
  <c r="Q2608" i="20"/>
  <c r="Q2609" i="20"/>
  <c r="Q2610" i="20"/>
  <c r="Q2611" i="20"/>
  <c r="Q2612" i="20"/>
  <c r="Q2613" i="20"/>
  <c r="Q2614" i="20"/>
  <c r="Q2615" i="20"/>
  <c r="Q2616" i="20"/>
  <c r="Q2617" i="20"/>
  <c r="Q2618" i="20"/>
  <c r="Q2619" i="20"/>
  <c r="Q2620" i="20"/>
  <c r="Q2621" i="20"/>
  <c r="Q2622" i="20"/>
  <c r="Q2623" i="20"/>
  <c r="Q2624" i="20"/>
  <c r="Q2625" i="20"/>
  <c r="Q2626" i="20"/>
  <c r="Q2627" i="20"/>
  <c r="Q2628" i="20"/>
  <c r="Q2629" i="20"/>
  <c r="Q2630" i="20"/>
  <c r="Q2631" i="20"/>
  <c r="Q2632" i="20"/>
  <c r="Q2633" i="20"/>
  <c r="Q2634" i="20"/>
  <c r="Q2635" i="20"/>
  <c r="Q2636" i="20"/>
  <c r="Q2637" i="20"/>
  <c r="Q2638" i="20"/>
  <c r="Q2639" i="20"/>
  <c r="Q2640" i="20"/>
  <c r="Q2641" i="20"/>
  <c r="Q2642" i="20"/>
  <c r="Q2643" i="20"/>
  <c r="Q2644" i="20"/>
  <c r="Q2645" i="20"/>
  <c r="Q2646" i="20"/>
  <c r="Q2647" i="20"/>
  <c r="Q2648" i="20"/>
  <c r="Q2649" i="20"/>
  <c r="Q2650" i="20"/>
  <c r="Q2651" i="20"/>
  <c r="Q2652" i="20"/>
  <c r="Q2653" i="20"/>
  <c r="Q2654" i="20"/>
  <c r="Q2655" i="20"/>
  <c r="Q2656" i="20"/>
  <c r="Q2657" i="20"/>
  <c r="Q2658" i="20"/>
  <c r="Q2659" i="20"/>
  <c r="Q2660" i="20"/>
  <c r="Q2661" i="20"/>
  <c r="Q2662" i="20"/>
  <c r="Q2663" i="20"/>
  <c r="Q2664" i="20"/>
  <c r="Q2665" i="20"/>
  <c r="Q2666" i="20"/>
  <c r="Q2667" i="20"/>
  <c r="Q2668" i="20"/>
  <c r="Q2669" i="20"/>
  <c r="Q2670" i="20"/>
  <c r="Q2671" i="20"/>
  <c r="Q2672" i="20"/>
  <c r="Q2673" i="20"/>
  <c r="Q2674" i="20"/>
  <c r="Q2675" i="20"/>
  <c r="Q2676" i="20"/>
  <c r="Q2677" i="20"/>
  <c r="Q2678" i="20"/>
  <c r="Q2679" i="20"/>
  <c r="Q2680" i="20"/>
  <c r="Q2681" i="20"/>
  <c r="Q2682" i="20"/>
  <c r="Q2683" i="20"/>
  <c r="Q2684" i="20"/>
  <c r="Q2685" i="20"/>
  <c r="Q2686" i="20"/>
  <c r="Q2687" i="20"/>
  <c r="Q2688" i="20"/>
  <c r="Q2689" i="20"/>
  <c r="Q2690" i="20"/>
  <c r="Q2691" i="20"/>
  <c r="Q2692" i="20"/>
  <c r="Q2693" i="20"/>
  <c r="Q2694" i="20"/>
  <c r="Q2695" i="20"/>
  <c r="Q2696" i="20"/>
  <c r="Q2697" i="20"/>
  <c r="Q2698" i="20"/>
  <c r="Q2699" i="20"/>
  <c r="Q2700" i="20"/>
  <c r="Q2701" i="20"/>
  <c r="Q2702" i="20"/>
  <c r="Q2703" i="20"/>
  <c r="Q2704" i="20"/>
  <c r="Q2705" i="20"/>
  <c r="Q2706" i="20"/>
  <c r="Q2707" i="20"/>
  <c r="Q2708" i="20"/>
  <c r="Q2709" i="20"/>
  <c r="Q2710" i="20"/>
  <c r="Q2711" i="20"/>
  <c r="Q2712" i="20"/>
  <c r="Q2713" i="20"/>
  <c r="Q2714" i="20"/>
  <c r="Q2715" i="20"/>
  <c r="Q2716" i="20"/>
  <c r="Q2717" i="20"/>
  <c r="Q2718" i="20"/>
  <c r="Q2719" i="20"/>
  <c r="Q2720" i="20"/>
  <c r="Q2721" i="20"/>
  <c r="Q2722" i="20"/>
  <c r="Q2723" i="20"/>
  <c r="Q2724" i="20"/>
  <c r="Q2725" i="20"/>
  <c r="Q2726" i="20"/>
  <c r="Q2727" i="20"/>
  <c r="Q2728" i="20"/>
  <c r="Q2729" i="20"/>
  <c r="Q2730" i="20"/>
  <c r="Q2731" i="20"/>
  <c r="Q2732" i="20"/>
  <c r="Q2733" i="20"/>
  <c r="Q2734" i="20"/>
  <c r="Q2735" i="20"/>
  <c r="Q2736" i="20"/>
  <c r="Q2737" i="20"/>
  <c r="Q2738" i="20"/>
  <c r="Q2739" i="20"/>
  <c r="Q2740" i="20"/>
  <c r="Q2741" i="20"/>
  <c r="Q2742" i="20"/>
  <c r="Q2743" i="20"/>
  <c r="Q2744" i="20"/>
  <c r="Q2745" i="20"/>
  <c r="Q2746" i="20"/>
  <c r="Q2747" i="20"/>
  <c r="Q2748" i="20"/>
  <c r="Q2749" i="20"/>
  <c r="Q2750" i="20"/>
  <c r="Q2751" i="20"/>
  <c r="Q2752" i="20"/>
  <c r="Q2753" i="20"/>
  <c r="Q2754" i="20"/>
  <c r="Q2755" i="20"/>
  <c r="Q2756" i="20"/>
  <c r="Q2757" i="20"/>
  <c r="Q2758" i="20"/>
  <c r="Q2759" i="20"/>
  <c r="Q2760" i="20"/>
  <c r="Q2761" i="20"/>
  <c r="Q2762" i="20"/>
  <c r="Q2763" i="20"/>
  <c r="Q2764" i="20"/>
  <c r="Q2765" i="20"/>
  <c r="Q2766" i="20"/>
  <c r="Q2767" i="20"/>
  <c r="Q2768" i="20"/>
  <c r="Q2769" i="20"/>
  <c r="Q2770" i="20"/>
  <c r="Q2771" i="20"/>
  <c r="Q2772" i="20"/>
  <c r="Q2773" i="20"/>
  <c r="Q2774" i="20"/>
  <c r="Q2775" i="20"/>
  <c r="Q2776" i="20"/>
  <c r="Q2777" i="20"/>
  <c r="Q2778" i="20"/>
  <c r="Q2779" i="20"/>
  <c r="Q2780" i="20"/>
  <c r="Q2781" i="20"/>
  <c r="Q2782" i="20"/>
  <c r="Q2783" i="20"/>
  <c r="Q2784" i="20"/>
  <c r="Q2785" i="20"/>
  <c r="Q2786" i="20"/>
  <c r="Q2787" i="20"/>
  <c r="Q2788" i="20"/>
  <c r="Q2789" i="20"/>
  <c r="Q2790" i="20"/>
  <c r="Q2791" i="20"/>
  <c r="Q2792" i="20"/>
  <c r="Q2793" i="20"/>
  <c r="Q2794" i="20"/>
  <c r="Q2795" i="20"/>
  <c r="Q2796" i="20"/>
  <c r="Q2797" i="20"/>
  <c r="Q2798" i="20"/>
  <c r="Q2799" i="20"/>
  <c r="Q2800" i="20"/>
  <c r="Q2801" i="20"/>
  <c r="Q2802" i="20"/>
  <c r="Q2803" i="20"/>
  <c r="Q2804" i="20"/>
  <c r="Q2805" i="20"/>
  <c r="Q2806" i="20"/>
  <c r="Q2807" i="20"/>
  <c r="Q2808" i="20"/>
  <c r="Q2809" i="20"/>
  <c r="Q2810" i="20"/>
  <c r="Q2811" i="20"/>
  <c r="Q2812" i="20"/>
  <c r="Q2813" i="20"/>
  <c r="Q2814" i="20"/>
  <c r="Q2815" i="20"/>
  <c r="Q2816" i="20"/>
  <c r="Q2817" i="20"/>
  <c r="Q2818" i="20"/>
  <c r="Q2819" i="20"/>
  <c r="Q2820" i="20"/>
  <c r="Q2821" i="20"/>
  <c r="Q2822" i="20"/>
  <c r="Q2823" i="20"/>
  <c r="Q2824" i="20"/>
  <c r="Q2825" i="20"/>
  <c r="Q2826" i="20"/>
  <c r="Q2827" i="20"/>
  <c r="Q2828" i="20"/>
  <c r="Q2829" i="20"/>
  <c r="Q2830" i="20"/>
  <c r="Q2831" i="20"/>
  <c r="Q2832" i="20"/>
  <c r="Q2833" i="20"/>
  <c r="Q2834" i="20"/>
  <c r="Q2835" i="20"/>
  <c r="Q2836" i="20"/>
  <c r="Q2837" i="20"/>
  <c r="Q2838" i="20"/>
  <c r="Q2839" i="20"/>
  <c r="Q2840" i="20"/>
  <c r="Q2841" i="20"/>
  <c r="Q2842" i="20"/>
  <c r="Q2843" i="20"/>
  <c r="Q2844" i="20"/>
  <c r="Q2845" i="20"/>
  <c r="Q2846" i="20"/>
  <c r="Q2847" i="20"/>
  <c r="Q2848" i="20"/>
  <c r="Q2849" i="20"/>
  <c r="Q2850" i="20"/>
  <c r="Q2851" i="20"/>
  <c r="Q2852" i="20"/>
  <c r="Q2853" i="20"/>
  <c r="Q2854" i="20"/>
  <c r="Q2855" i="20"/>
  <c r="Q2856" i="20"/>
  <c r="Q2857" i="20"/>
  <c r="Q2858" i="20"/>
  <c r="Q2859" i="20"/>
  <c r="Q2860" i="20"/>
  <c r="Q2861" i="20"/>
  <c r="Q2862" i="20"/>
  <c r="Q2863" i="20"/>
  <c r="Q2864" i="20"/>
  <c r="Q2865" i="20"/>
  <c r="Q2866" i="20"/>
  <c r="Q2867" i="20"/>
  <c r="Q2868" i="20"/>
  <c r="Q2869" i="20"/>
  <c r="Q2870" i="20"/>
  <c r="Q2871" i="20"/>
  <c r="Q2872" i="20"/>
  <c r="Q2873" i="20"/>
  <c r="R1884" i="20"/>
  <c r="R1885" i="20"/>
  <c r="R1886" i="20"/>
  <c r="R1887" i="20"/>
  <c r="R1888" i="20"/>
  <c r="R1889" i="20"/>
  <c r="R1890" i="20"/>
  <c r="R1891" i="20"/>
  <c r="R1892" i="20"/>
  <c r="R1893" i="20"/>
  <c r="R1894" i="20"/>
  <c r="R1895" i="20"/>
  <c r="R1896" i="20"/>
  <c r="R1897" i="20"/>
  <c r="R1898" i="20"/>
  <c r="R1899" i="20"/>
  <c r="R1900" i="20"/>
  <c r="R1901" i="20"/>
  <c r="R1902" i="20"/>
  <c r="R1903" i="20"/>
  <c r="R1904" i="20"/>
  <c r="R1905" i="20"/>
  <c r="R1906" i="20"/>
  <c r="R1907" i="20"/>
  <c r="R1908" i="20"/>
  <c r="R1909" i="20"/>
  <c r="R1910" i="20"/>
  <c r="R1911" i="20"/>
  <c r="R1912" i="20"/>
  <c r="R1913" i="20"/>
  <c r="R1914" i="20"/>
  <c r="R1915" i="20"/>
  <c r="R1916" i="20"/>
  <c r="R1917" i="20"/>
  <c r="R1918" i="20"/>
  <c r="R1919" i="20"/>
  <c r="R1920" i="20"/>
  <c r="R1921" i="20"/>
  <c r="R1922" i="20"/>
  <c r="R1923" i="20"/>
  <c r="R1924" i="20"/>
  <c r="R1925" i="20"/>
  <c r="R1926" i="20"/>
  <c r="R1927" i="20"/>
  <c r="R1928" i="20"/>
  <c r="R1929" i="20"/>
  <c r="R1930" i="20"/>
  <c r="R1931" i="20"/>
  <c r="R1932" i="20"/>
  <c r="R1933" i="20"/>
  <c r="R1934" i="20"/>
  <c r="R1935" i="20"/>
  <c r="R1936" i="20"/>
  <c r="R1937" i="20"/>
  <c r="R1938" i="20"/>
  <c r="R1939" i="20"/>
  <c r="R1940" i="20"/>
  <c r="R1941" i="20"/>
  <c r="R1942" i="20"/>
  <c r="R1943" i="20"/>
  <c r="R1944" i="20"/>
  <c r="R1945" i="20"/>
  <c r="R1946" i="20"/>
  <c r="R1947" i="20"/>
  <c r="R1948" i="20"/>
  <c r="R1949" i="20"/>
  <c r="R1950" i="20"/>
  <c r="R1951" i="20"/>
  <c r="R1952" i="20"/>
  <c r="R1953" i="20"/>
  <c r="R1954" i="20"/>
  <c r="R1955" i="20"/>
  <c r="R1956" i="20"/>
  <c r="R1957" i="20"/>
  <c r="R1958" i="20"/>
  <c r="R1959" i="20"/>
  <c r="R1960" i="20"/>
  <c r="R1961" i="20"/>
  <c r="R1962" i="20"/>
  <c r="R1963" i="20"/>
  <c r="R1964" i="20"/>
  <c r="R1965" i="20"/>
  <c r="R1966" i="20"/>
  <c r="R1967" i="20"/>
  <c r="R1968" i="20"/>
  <c r="R1969" i="20"/>
  <c r="R1970" i="20"/>
  <c r="R1971" i="20"/>
  <c r="R1972" i="20"/>
  <c r="R1973" i="20"/>
  <c r="R1974" i="20"/>
  <c r="R1975" i="20"/>
  <c r="R1976" i="20"/>
  <c r="R1977" i="20"/>
  <c r="R1978" i="20"/>
  <c r="R1979" i="20"/>
  <c r="R1980" i="20"/>
  <c r="R1981" i="20"/>
  <c r="R1982" i="20"/>
  <c r="R1983" i="20"/>
  <c r="R1984" i="20"/>
  <c r="R1985" i="20"/>
  <c r="R1986" i="20"/>
  <c r="R1987" i="20"/>
  <c r="R1988" i="20"/>
  <c r="R1989" i="20"/>
  <c r="R1990" i="20"/>
  <c r="R1991" i="20"/>
  <c r="R1992" i="20"/>
  <c r="R1993" i="20"/>
  <c r="R1994" i="20"/>
  <c r="R1995" i="20"/>
  <c r="R1996" i="20"/>
  <c r="R1997" i="20"/>
  <c r="R1998" i="20"/>
  <c r="R1999" i="20"/>
  <c r="R2000" i="20"/>
  <c r="R2001" i="20"/>
  <c r="R2002" i="20"/>
  <c r="R2003" i="20"/>
  <c r="R2004" i="20"/>
  <c r="R2005" i="20"/>
  <c r="R2006" i="20"/>
  <c r="R2007" i="20"/>
  <c r="R2008" i="20"/>
  <c r="R2009" i="20"/>
  <c r="R2010" i="20"/>
  <c r="R2011" i="20"/>
  <c r="R2012" i="20"/>
  <c r="R2013" i="20"/>
  <c r="R2014" i="20"/>
  <c r="R2015" i="20"/>
  <c r="R2016" i="20"/>
  <c r="R2017" i="20"/>
  <c r="R2018" i="20"/>
  <c r="R2019" i="20"/>
  <c r="R2020" i="20"/>
  <c r="R2021" i="20"/>
  <c r="R2022" i="20"/>
  <c r="R2023" i="20"/>
  <c r="R2024" i="20"/>
  <c r="R2025" i="20"/>
  <c r="R2026" i="20"/>
  <c r="R2027" i="20"/>
  <c r="R2028" i="20"/>
  <c r="R2029" i="20"/>
  <c r="R2030" i="20"/>
  <c r="R2031" i="20"/>
  <c r="R2032" i="20"/>
  <c r="R2033" i="20"/>
  <c r="R2034" i="20"/>
  <c r="R2035" i="20"/>
  <c r="R2036" i="20"/>
  <c r="R2037" i="20"/>
  <c r="R2038" i="20"/>
  <c r="R2039" i="20"/>
  <c r="R2040" i="20"/>
  <c r="R2041" i="20"/>
  <c r="R2042" i="20"/>
  <c r="R2043" i="20"/>
  <c r="R2044" i="20"/>
  <c r="R2045" i="20"/>
  <c r="R2046" i="20"/>
  <c r="R2047" i="20"/>
  <c r="R2048" i="20"/>
  <c r="R2049" i="20"/>
  <c r="R2050" i="20"/>
  <c r="R2051" i="20"/>
  <c r="R2052" i="20"/>
  <c r="R2053" i="20"/>
  <c r="R2054" i="20"/>
  <c r="R2055" i="20"/>
  <c r="R2056" i="20"/>
  <c r="R2057" i="20"/>
  <c r="R2058" i="20"/>
  <c r="R2059" i="20"/>
  <c r="R2060" i="20"/>
  <c r="R2061" i="20"/>
  <c r="R2062" i="20"/>
  <c r="R2063" i="20"/>
  <c r="R2064" i="20"/>
  <c r="R2065" i="20"/>
  <c r="R2066" i="20"/>
  <c r="R2067" i="20"/>
  <c r="R2068" i="20"/>
  <c r="R2069" i="20"/>
  <c r="R2070" i="20"/>
  <c r="R2071" i="20"/>
  <c r="R2072" i="20"/>
  <c r="R2073" i="20"/>
  <c r="R2074" i="20"/>
  <c r="R2075" i="20"/>
  <c r="R2076" i="20"/>
  <c r="R2077" i="20"/>
  <c r="R2078" i="20"/>
  <c r="R2079" i="20"/>
  <c r="R2080" i="20"/>
  <c r="R2081" i="20"/>
  <c r="R2082" i="20"/>
  <c r="R2083" i="20"/>
  <c r="R2084" i="20"/>
  <c r="R2085" i="20"/>
  <c r="R2086" i="20"/>
  <c r="R2087" i="20"/>
  <c r="R2088" i="20"/>
  <c r="R2089" i="20"/>
  <c r="R2090" i="20"/>
  <c r="R2091" i="20"/>
  <c r="R2092" i="20"/>
  <c r="R2093" i="20"/>
  <c r="R2094" i="20"/>
  <c r="R2095" i="20"/>
  <c r="R2096" i="20"/>
  <c r="R2097" i="20"/>
  <c r="R2098" i="20"/>
  <c r="R2099" i="20"/>
  <c r="R2100" i="20"/>
  <c r="R2101" i="20"/>
  <c r="R2102" i="20"/>
  <c r="R2103" i="20"/>
  <c r="R2104" i="20"/>
  <c r="R2105" i="20"/>
  <c r="R2106" i="20"/>
  <c r="R2107" i="20"/>
  <c r="R2108" i="20"/>
  <c r="R2109" i="20"/>
  <c r="R2110" i="20"/>
  <c r="R2111" i="20"/>
  <c r="R2112" i="20"/>
  <c r="R2113" i="20"/>
  <c r="R2114" i="20"/>
  <c r="R2115" i="20"/>
  <c r="R2116" i="20"/>
  <c r="R2117" i="20"/>
  <c r="R2118" i="20"/>
  <c r="R2119" i="20"/>
  <c r="R2120" i="20"/>
  <c r="R2121" i="20"/>
  <c r="R2122" i="20"/>
  <c r="R2123" i="20"/>
  <c r="R2124" i="20"/>
  <c r="R2125" i="20"/>
  <c r="R2126" i="20"/>
  <c r="R2127" i="20"/>
  <c r="R2128" i="20"/>
  <c r="R2129" i="20"/>
  <c r="R2130" i="20"/>
  <c r="R2131" i="20"/>
  <c r="R2132" i="20"/>
  <c r="R2133" i="20"/>
  <c r="R2134" i="20"/>
  <c r="R2135" i="20"/>
  <c r="R2136" i="20"/>
  <c r="R2137" i="20"/>
  <c r="R2138" i="20"/>
  <c r="R2139" i="20"/>
  <c r="R2140" i="20"/>
  <c r="R2141" i="20"/>
  <c r="R2142" i="20"/>
  <c r="R2143" i="20"/>
  <c r="R2144" i="20"/>
  <c r="R2145" i="20"/>
  <c r="R2146" i="20"/>
  <c r="R2147" i="20"/>
  <c r="R2148" i="20"/>
  <c r="R2149" i="20"/>
  <c r="R2150" i="20"/>
  <c r="R2151" i="20"/>
  <c r="R2152" i="20"/>
  <c r="R2153" i="20"/>
  <c r="R2154" i="20"/>
  <c r="R2155" i="20"/>
  <c r="R2156" i="20"/>
  <c r="R2157" i="20"/>
  <c r="R2158" i="20"/>
  <c r="R2159" i="20"/>
  <c r="R2160" i="20"/>
  <c r="R2161" i="20"/>
  <c r="R2162" i="20"/>
  <c r="R2163" i="20"/>
  <c r="R2164" i="20"/>
  <c r="R2165" i="20"/>
  <c r="R2166" i="20"/>
  <c r="R2167" i="20"/>
  <c r="R2168" i="20"/>
  <c r="R2169" i="20"/>
  <c r="R2170" i="20"/>
  <c r="R2171" i="20"/>
  <c r="R2172" i="20"/>
  <c r="R2173" i="20"/>
  <c r="R2174" i="20"/>
  <c r="R2175" i="20"/>
  <c r="R2176" i="20"/>
  <c r="R2177" i="20"/>
  <c r="R2178" i="20"/>
  <c r="R2179" i="20"/>
  <c r="R2180" i="20"/>
  <c r="R2181" i="20"/>
  <c r="R2182" i="20"/>
  <c r="R2183" i="20"/>
  <c r="R2184" i="20"/>
  <c r="R2185" i="20"/>
  <c r="R2186" i="20"/>
  <c r="R2187" i="20"/>
  <c r="R2188" i="20"/>
  <c r="R2189" i="20"/>
  <c r="R2190" i="20"/>
  <c r="R2191" i="20"/>
  <c r="R2192" i="20"/>
  <c r="R2193" i="20"/>
  <c r="R2194" i="20"/>
  <c r="R2195" i="20"/>
  <c r="R2196" i="20"/>
  <c r="R2197" i="20"/>
  <c r="R2198" i="20"/>
  <c r="R2199" i="20"/>
  <c r="R2200" i="20"/>
  <c r="R2201" i="20"/>
  <c r="R2202" i="20"/>
  <c r="R2203" i="20"/>
  <c r="R2204" i="20"/>
  <c r="R2205" i="20"/>
  <c r="R2206" i="20"/>
  <c r="R2207" i="20"/>
  <c r="R2208" i="20"/>
  <c r="R2209" i="20"/>
  <c r="R2210" i="20"/>
  <c r="R2211" i="20"/>
  <c r="R2212" i="20"/>
  <c r="R2213" i="20"/>
  <c r="R2214" i="20"/>
  <c r="R2215" i="20"/>
  <c r="R2216" i="20"/>
  <c r="R2217" i="20"/>
  <c r="R2218" i="20"/>
  <c r="R2219" i="20"/>
  <c r="R2220" i="20"/>
  <c r="R2221" i="20"/>
  <c r="R2222" i="20"/>
  <c r="R2223" i="20"/>
  <c r="R2224" i="20"/>
  <c r="R2225" i="20"/>
  <c r="R2226" i="20"/>
  <c r="R2227" i="20"/>
  <c r="R2228" i="20"/>
  <c r="R2229" i="20"/>
  <c r="R2230" i="20"/>
  <c r="R2231" i="20"/>
  <c r="R2232" i="20"/>
  <c r="R2233" i="20"/>
  <c r="R2234" i="20"/>
  <c r="R2235" i="20"/>
  <c r="R2236" i="20"/>
  <c r="R2237" i="20"/>
  <c r="R2238" i="20"/>
  <c r="R2239" i="20"/>
  <c r="R2240" i="20"/>
  <c r="R2241" i="20"/>
  <c r="R2242" i="20"/>
  <c r="R2243" i="20"/>
  <c r="R2244" i="20"/>
  <c r="R2245" i="20"/>
  <c r="R2246" i="20"/>
  <c r="R2247" i="20"/>
  <c r="R2248" i="20"/>
  <c r="R2249" i="20"/>
  <c r="R2250" i="20"/>
  <c r="R2251" i="20"/>
  <c r="R2252" i="20"/>
  <c r="R2253" i="20"/>
  <c r="R2254" i="20"/>
  <c r="R2255" i="20"/>
  <c r="R2256" i="20"/>
  <c r="R2257" i="20"/>
  <c r="R2258" i="20"/>
  <c r="R2259" i="20"/>
  <c r="R2260" i="20"/>
  <c r="R2261" i="20"/>
  <c r="R2262" i="20"/>
  <c r="R2263" i="20"/>
  <c r="R2264" i="20"/>
  <c r="R2265" i="20"/>
  <c r="R2266" i="20"/>
  <c r="R2267" i="20"/>
  <c r="R2268" i="20"/>
  <c r="R2269" i="20"/>
  <c r="R2270" i="20"/>
  <c r="R2271" i="20"/>
  <c r="R2272" i="20"/>
  <c r="R2273" i="20"/>
  <c r="R2274" i="20"/>
  <c r="R2275" i="20"/>
  <c r="R2276" i="20"/>
  <c r="R2277" i="20"/>
  <c r="R2278" i="20"/>
  <c r="R2279" i="20"/>
  <c r="R2280" i="20"/>
  <c r="R2281" i="20"/>
  <c r="R2282" i="20"/>
  <c r="R2283" i="20"/>
  <c r="R2284" i="20"/>
  <c r="R2285" i="20"/>
  <c r="R2286" i="20"/>
  <c r="R2287" i="20"/>
  <c r="R2288" i="20"/>
  <c r="R2289" i="20"/>
  <c r="R2290" i="20"/>
  <c r="R2291" i="20"/>
  <c r="R2292" i="20"/>
  <c r="R2293" i="20"/>
  <c r="R2294" i="20"/>
  <c r="R2295" i="20"/>
  <c r="R2296" i="20"/>
  <c r="R2297" i="20"/>
  <c r="R2298" i="20"/>
  <c r="R2299" i="20"/>
  <c r="R2300" i="20"/>
  <c r="R2301" i="20"/>
  <c r="R2302" i="20"/>
  <c r="R2303" i="20"/>
  <c r="R2304" i="20"/>
  <c r="R2305" i="20"/>
  <c r="R2306" i="20"/>
  <c r="R2307" i="20"/>
  <c r="R2308" i="20"/>
  <c r="R2309" i="20"/>
  <c r="R2310" i="20"/>
  <c r="R2311" i="20"/>
  <c r="R2312" i="20"/>
  <c r="R2313" i="20"/>
  <c r="R2314" i="20"/>
  <c r="R2315" i="20"/>
  <c r="R2316" i="20"/>
  <c r="R2317" i="20"/>
  <c r="R2318" i="20"/>
  <c r="R2319" i="20"/>
  <c r="R2320" i="20"/>
  <c r="R2321" i="20"/>
  <c r="R2322" i="20"/>
  <c r="R2323" i="20"/>
  <c r="R2324" i="20"/>
  <c r="R2325" i="20"/>
  <c r="R2326" i="20"/>
  <c r="R2327" i="20"/>
  <c r="R2328" i="20"/>
  <c r="R2329" i="20"/>
  <c r="R2330" i="20"/>
  <c r="R2331" i="20"/>
  <c r="R2332" i="20"/>
  <c r="R2333" i="20"/>
  <c r="R2334" i="20"/>
  <c r="R2335" i="20"/>
  <c r="R2336" i="20"/>
  <c r="R2337" i="20"/>
  <c r="R2338" i="20"/>
  <c r="R2339" i="20"/>
  <c r="R2340" i="20"/>
  <c r="R2341" i="20"/>
  <c r="R2342" i="20"/>
  <c r="R2343" i="20"/>
  <c r="R2344" i="20"/>
  <c r="R2345" i="20"/>
  <c r="R2346" i="20"/>
  <c r="R2347" i="20"/>
  <c r="R2348" i="20"/>
  <c r="R2349" i="20"/>
  <c r="R2350" i="20"/>
  <c r="R2351" i="20"/>
  <c r="R2352" i="20"/>
  <c r="R2353" i="20"/>
  <c r="R2354" i="20"/>
  <c r="R2355" i="20"/>
  <c r="R2356" i="20"/>
  <c r="R2357" i="20"/>
  <c r="R2358" i="20"/>
  <c r="R2359" i="20"/>
  <c r="R2360" i="20"/>
  <c r="R2361" i="20"/>
  <c r="R2362" i="20"/>
  <c r="R2363" i="20"/>
  <c r="R2364" i="20"/>
  <c r="R2365" i="20"/>
  <c r="R2366" i="20"/>
  <c r="R2367" i="20"/>
  <c r="R2368" i="20"/>
  <c r="R2369" i="20"/>
  <c r="R2370" i="20"/>
  <c r="R2371" i="20"/>
  <c r="R2372" i="20"/>
  <c r="R2373" i="20"/>
  <c r="R2374" i="20"/>
  <c r="R2375" i="20"/>
  <c r="R2376" i="20"/>
  <c r="R2377" i="20"/>
  <c r="R2378" i="20"/>
  <c r="R2379" i="20"/>
  <c r="R2380" i="20"/>
  <c r="R2381" i="20"/>
  <c r="R2382" i="20"/>
  <c r="R2383" i="20"/>
  <c r="R2384" i="20"/>
  <c r="R2385" i="20"/>
  <c r="R2386" i="20"/>
  <c r="R2387" i="20"/>
  <c r="R2388" i="20"/>
  <c r="R2389" i="20"/>
  <c r="R2390" i="20"/>
  <c r="R2391" i="20"/>
  <c r="R2392" i="20"/>
  <c r="R2393" i="20"/>
  <c r="R2394" i="20"/>
  <c r="R2395" i="20"/>
  <c r="R2396" i="20"/>
  <c r="R2397" i="20"/>
  <c r="R2398" i="20"/>
  <c r="R2399" i="20"/>
  <c r="R2400" i="20"/>
  <c r="R2401" i="20"/>
  <c r="R2402" i="20"/>
  <c r="R2403" i="20"/>
  <c r="R2404" i="20"/>
  <c r="R2405" i="20"/>
  <c r="R2406" i="20"/>
  <c r="R2407" i="20"/>
  <c r="R2408" i="20"/>
  <c r="R2409" i="20"/>
  <c r="R2410" i="20"/>
  <c r="R2411" i="20"/>
  <c r="R2412" i="20"/>
  <c r="R2413" i="20"/>
  <c r="R2414" i="20"/>
  <c r="R2415" i="20"/>
  <c r="R2416" i="20"/>
  <c r="R2417" i="20"/>
  <c r="R2418" i="20"/>
  <c r="R2419" i="20"/>
  <c r="R2420" i="20"/>
  <c r="R2421" i="20"/>
  <c r="R2422" i="20"/>
  <c r="R2423" i="20"/>
  <c r="R2424" i="20"/>
  <c r="R2425" i="20"/>
  <c r="R2426" i="20"/>
  <c r="R2427" i="20"/>
  <c r="R2428" i="20"/>
  <c r="R2429" i="20"/>
  <c r="R2430" i="20"/>
  <c r="R2431" i="20"/>
  <c r="R2432" i="20"/>
  <c r="R2433" i="20"/>
  <c r="R2434" i="20"/>
  <c r="R2435" i="20"/>
  <c r="R2436" i="20"/>
  <c r="R2437" i="20"/>
  <c r="R2438" i="20"/>
  <c r="R2439" i="20"/>
  <c r="R2440" i="20"/>
  <c r="R2441" i="20"/>
  <c r="R2442" i="20"/>
  <c r="R2443" i="20"/>
  <c r="R2444" i="20"/>
  <c r="R2445" i="20"/>
  <c r="R2446" i="20"/>
  <c r="R2447" i="20"/>
  <c r="R2448" i="20"/>
  <c r="R2449" i="20"/>
  <c r="R2450" i="20"/>
  <c r="R2451" i="20"/>
  <c r="R2452" i="20"/>
  <c r="R2453" i="20"/>
  <c r="R2454" i="20"/>
  <c r="R2455" i="20"/>
  <c r="R2456" i="20"/>
  <c r="R2457" i="20"/>
  <c r="R2458" i="20"/>
  <c r="R2459" i="20"/>
  <c r="R2460" i="20"/>
  <c r="R2461" i="20"/>
  <c r="R2462" i="20"/>
  <c r="R2463" i="20"/>
  <c r="R2464" i="20"/>
  <c r="R2465" i="20"/>
  <c r="R2466" i="20"/>
  <c r="R2467" i="20"/>
  <c r="R2468" i="20"/>
  <c r="R2469" i="20"/>
  <c r="R2470" i="20"/>
  <c r="R2471" i="20"/>
  <c r="R2472" i="20"/>
  <c r="R2473" i="20"/>
  <c r="R2474" i="20"/>
  <c r="R2475" i="20"/>
  <c r="R2476" i="20"/>
  <c r="R2477" i="20"/>
  <c r="R2478" i="20"/>
  <c r="R2479" i="20"/>
  <c r="R2480" i="20"/>
  <c r="R2481" i="20"/>
  <c r="R2482" i="20"/>
  <c r="R2483" i="20"/>
  <c r="R2484" i="20"/>
  <c r="R2485" i="20"/>
  <c r="R2486" i="20"/>
  <c r="R2487" i="20"/>
  <c r="R2488" i="20"/>
  <c r="R2489" i="20"/>
  <c r="R2490" i="20"/>
  <c r="R2491" i="20"/>
  <c r="R2492" i="20"/>
  <c r="R2493" i="20"/>
  <c r="R2494" i="20"/>
  <c r="R2495" i="20"/>
  <c r="R2496" i="20"/>
  <c r="R2497" i="20"/>
  <c r="R2498" i="20"/>
  <c r="R2499" i="20"/>
  <c r="R2500" i="20"/>
  <c r="R2501" i="20"/>
  <c r="R2502" i="20"/>
  <c r="R2503" i="20"/>
  <c r="R2504" i="20"/>
  <c r="R2505" i="20"/>
  <c r="R2506" i="20"/>
  <c r="R2507" i="20"/>
  <c r="R2508" i="20"/>
  <c r="R2509" i="20"/>
  <c r="R2510" i="20"/>
  <c r="R2511" i="20"/>
  <c r="R2512" i="20"/>
  <c r="R2513" i="20"/>
  <c r="R2514" i="20"/>
  <c r="R2515" i="20"/>
  <c r="R2516" i="20"/>
  <c r="R2517" i="20"/>
  <c r="R2518" i="20"/>
  <c r="R2519" i="20"/>
  <c r="R2520" i="20"/>
  <c r="R2521" i="20"/>
  <c r="R2522" i="20"/>
  <c r="R2523" i="20"/>
  <c r="R2524" i="20"/>
  <c r="R2525" i="20"/>
  <c r="R2526" i="20"/>
  <c r="R2527" i="20"/>
  <c r="R2528" i="20"/>
  <c r="R2529" i="20"/>
  <c r="R2530" i="20"/>
  <c r="R2531" i="20"/>
  <c r="R2532" i="20"/>
  <c r="R2533" i="20"/>
  <c r="R2534" i="20"/>
  <c r="R2535" i="20"/>
  <c r="R2536" i="20"/>
  <c r="R2537" i="20"/>
  <c r="R2538" i="20"/>
  <c r="R2539" i="20"/>
  <c r="R2540" i="20"/>
  <c r="R2541" i="20"/>
  <c r="R2542" i="20"/>
  <c r="R2543" i="20"/>
  <c r="R2544" i="20"/>
  <c r="R2545" i="20"/>
  <c r="R2546" i="20"/>
  <c r="R2547" i="20"/>
  <c r="R2548" i="20"/>
  <c r="R2549" i="20"/>
  <c r="R2550" i="20"/>
  <c r="R2551" i="20"/>
  <c r="R2552" i="20"/>
  <c r="R2553" i="20"/>
  <c r="R2554" i="20"/>
  <c r="R2555" i="20"/>
  <c r="R2556" i="20"/>
  <c r="R2557" i="20"/>
  <c r="R2558" i="20"/>
  <c r="R2559" i="20"/>
  <c r="R2560" i="20"/>
  <c r="R2561" i="20"/>
  <c r="R2562" i="20"/>
  <c r="R2563" i="20"/>
  <c r="R2564" i="20"/>
  <c r="R2565" i="20"/>
  <c r="R2566" i="20"/>
  <c r="R2567" i="20"/>
  <c r="R2568" i="20"/>
  <c r="R2569" i="20"/>
  <c r="R2570" i="20"/>
  <c r="R2571" i="20"/>
  <c r="R2572" i="20"/>
  <c r="R2573" i="20"/>
  <c r="R2574" i="20"/>
  <c r="R2575" i="20"/>
  <c r="R2576" i="20"/>
  <c r="R2577" i="20"/>
  <c r="R2578" i="20"/>
  <c r="R2579" i="20"/>
  <c r="R2580" i="20"/>
  <c r="R2581" i="20"/>
  <c r="R2582" i="20"/>
  <c r="R2583" i="20"/>
  <c r="R2584" i="20"/>
  <c r="R2585" i="20"/>
  <c r="R2586" i="20"/>
  <c r="R2587" i="20"/>
  <c r="R2588" i="20"/>
  <c r="R2589" i="20"/>
  <c r="R2590" i="20"/>
  <c r="R2591" i="20"/>
  <c r="R2592" i="20"/>
  <c r="R2593" i="20"/>
  <c r="R2594" i="20"/>
  <c r="R2595" i="20"/>
  <c r="R2596" i="20"/>
  <c r="R2597" i="20"/>
  <c r="R2598" i="20"/>
  <c r="R2599" i="20"/>
  <c r="R2600" i="20"/>
  <c r="R2601" i="20"/>
  <c r="R2602" i="20"/>
  <c r="R2603" i="20"/>
  <c r="R2604" i="20"/>
  <c r="R2605" i="20"/>
  <c r="R2606" i="20"/>
  <c r="R2607" i="20"/>
  <c r="R2608" i="20"/>
  <c r="R2609" i="20"/>
  <c r="R2610" i="20"/>
  <c r="R2611" i="20"/>
  <c r="R2612" i="20"/>
  <c r="R2613" i="20"/>
  <c r="R2614" i="20"/>
  <c r="R2615" i="20"/>
  <c r="R2616" i="20"/>
  <c r="R2617" i="20"/>
  <c r="R2618" i="20"/>
  <c r="R2619" i="20"/>
  <c r="R2620" i="20"/>
  <c r="R2621" i="20"/>
  <c r="R2622" i="20"/>
  <c r="R2623" i="20"/>
  <c r="R2624" i="20"/>
  <c r="R2625" i="20"/>
  <c r="R2626" i="20"/>
  <c r="R2627" i="20"/>
  <c r="R2628" i="20"/>
  <c r="R2629" i="20"/>
  <c r="R2630" i="20"/>
  <c r="R2631" i="20"/>
  <c r="R2632" i="20"/>
  <c r="R2633" i="20"/>
  <c r="R2634" i="20"/>
  <c r="R2635" i="20"/>
  <c r="R2636" i="20"/>
  <c r="R2637" i="20"/>
  <c r="R2638" i="20"/>
  <c r="R2639" i="20"/>
  <c r="R2640" i="20"/>
  <c r="R2641" i="20"/>
  <c r="R2642" i="20"/>
  <c r="R2643" i="20"/>
  <c r="R2644" i="20"/>
  <c r="R2645" i="20"/>
  <c r="R2646" i="20"/>
  <c r="R2647" i="20"/>
  <c r="R2648" i="20"/>
  <c r="R2649" i="20"/>
  <c r="R2650" i="20"/>
  <c r="R2651" i="20"/>
  <c r="R2652" i="20"/>
  <c r="R2653" i="20"/>
  <c r="R2654" i="20"/>
  <c r="R2655" i="20"/>
  <c r="R2656" i="20"/>
  <c r="R2657" i="20"/>
  <c r="R2658" i="20"/>
  <c r="R2659" i="20"/>
  <c r="R2660" i="20"/>
  <c r="R2661" i="20"/>
  <c r="R2662" i="20"/>
  <c r="R2663" i="20"/>
  <c r="R2664" i="20"/>
  <c r="R2665" i="20"/>
  <c r="R2666" i="20"/>
  <c r="R2667" i="20"/>
  <c r="R2668" i="20"/>
  <c r="R2669" i="20"/>
  <c r="R2670" i="20"/>
  <c r="R2671" i="20"/>
  <c r="R2672" i="20"/>
  <c r="R2673" i="20"/>
  <c r="R2674" i="20"/>
  <c r="R2675" i="20"/>
  <c r="R2676" i="20"/>
  <c r="R2677" i="20"/>
  <c r="R2678" i="20"/>
  <c r="R2679" i="20"/>
  <c r="R2680" i="20"/>
  <c r="R2681" i="20"/>
  <c r="R2682" i="20"/>
  <c r="R2683" i="20"/>
  <c r="R2684" i="20"/>
  <c r="R2685" i="20"/>
  <c r="R2686" i="20"/>
  <c r="R2687" i="20"/>
  <c r="R2688" i="20"/>
  <c r="R2689" i="20"/>
  <c r="R2690" i="20"/>
  <c r="R2691" i="20"/>
  <c r="R2692" i="20"/>
  <c r="R2693" i="20"/>
  <c r="R2694" i="20"/>
  <c r="R2695" i="20"/>
  <c r="R2696" i="20"/>
  <c r="R2697" i="20"/>
  <c r="R2698" i="20"/>
  <c r="R2699" i="20"/>
  <c r="R2700" i="20"/>
  <c r="R2701" i="20"/>
  <c r="R2702" i="20"/>
  <c r="R2703" i="20"/>
  <c r="R2704" i="20"/>
  <c r="R2705" i="20"/>
  <c r="R2706" i="20"/>
  <c r="R2707" i="20"/>
  <c r="R2708" i="20"/>
  <c r="R2709" i="20"/>
  <c r="R2710" i="20"/>
  <c r="R2711" i="20"/>
  <c r="R2712" i="20"/>
  <c r="R2713" i="20"/>
  <c r="R2714" i="20"/>
  <c r="R2715" i="20"/>
  <c r="R2716" i="20"/>
  <c r="R2717" i="20"/>
  <c r="R2718" i="20"/>
  <c r="R2719" i="20"/>
  <c r="R2720" i="20"/>
  <c r="R2721" i="20"/>
  <c r="R2722" i="20"/>
  <c r="R2723" i="20"/>
  <c r="R2724" i="20"/>
  <c r="R2725" i="20"/>
  <c r="R2726" i="20"/>
  <c r="R2727" i="20"/>
  <c r="R2728" i="20"/>
  <c r="R2729" i="20"/>
  <c r="R2730" i="20"/>
  <c r="R2731" i="20"/>
  <c r="R2732" i="20"/>
  <c r="R2733" i="20"/>
  <c r="R2734" i="20"/>
  <c r="R2735" i="20"/>
  <c r="R2736" i="20"/>
  <c r="R2737" i="20"/>
  <c r="R2738" i="20"/>
  <c r="R2739" i="20"/>
  <c r="R2740" i="20"/>
  <c r="R2741" i="20"/>
  <c r="R2742" i="20"/>
  <c r="R2743" i="20"/>
  <c r="R2744" i="20"/>
  <c r="R2745" i="20"/>
  <c r="R2746" i="20"/>
  <c r="R2747" i="20"/>
  <c r="R2748" i="20"/>
  <c r="R2749" i="20"/>
  <c r="R2750" i="20"/>
  <c r="R2751" i="20"/>
  <c r="R2752" i="20"/>
  <c r="R2753" i="20"/>
  <c r="R2754" i="20"/>
  <c r="R2755" i="20"/>
  <c r="R2756" i="20"/>
  <c r="R2757" i="20"/>
  <c r="R2758" i="20"/>
  <c r="R2759" i="20"/>
  <c r="R2760" i="20"/>
  <c r="R2761" i="20"/>
  <c r="R2762" i="20"/>
  <c r="R2763" i="20"/>
  <c r="R2764" i="20"/>
  <c r="R2765" i="20"/>
  <c r="R2766" i="20"/>
  <c r="R2767" i="20"/>
  <c r="R2768" i="20"/>
  <c r="R2769" i="20"/>
  <c r="R2770" i="20"/>
  <c r="R2771" i="20"/>
  <c r="R2772" i="20"/>
  <c r="R2773" i="20"/>
  <c r="R2774" i="20"/>
  <c r="R2775" i="20"/>
  <c r="R2776" i="20"/>
  <c r="R2777" i="20"/>
  <c r="R2778" i="20"/>
  <c r="R2779" i="20"/>
  <c r="R2780" i="20"/>
  <c r="R2781" i="20"/>
  <c r="R2782" i="20"/>
  <c r="R2783" i="20"/>
  <c r="R2784" i="20"/>
  <c r="R2785" i="20"/>
  <c r="R2786" i="20"/>
  <c r="R2787" i="20"/>
  <c r="R2788" i="20"/>
  <c r="R2789" i="20"/>
  <c r="R2790" i="20"/>
  <c r="R2791" i="20"/>
  <c r="R2792" i="20"/>
  <c r="R2793" i="20"/>
  <c r="R2794" i="20"/>
  <c r="R2795" i="20"/>
  <c r="R2796" i="20"/>
  <c r="R2797" i="20"/>
  <c r="R2798" i="20"/>
  <c r="R2799" i="20"/>
  <c r="R2800" i="20"/>
  <c r="R2801" i="20"/>
  <c r="R2802" i="20"/>
  <c r="R2803" i="20"/>
  <c r="R2804" i="20"/>
  <c r="R2805" i="20"/>
  <c r="R2806" i="20"/>
  <c r="R2807" i="20"/>
  <c r="R2808" i="20"/>
  <c r="R2809" i="20"/>
  <c r="R2810" i="20"/>
  <c r="R2811" i="20"/>
  <c r="R2812" i="20"/>
  <c r="R2813" i="20"/>
  <c r="R2814" i="20"/>
  <c r="R2815" i="20"/>
  <c r="R2816" i="20"/>
  <c r="R2817" i="20"/>
  <c r="R2818" i="20"/>
  <c r="R2819" i="20"/>
  <c r="R2820" i="20"/>
  <c r="R2821" i="20"/>
  <c r="R2822" i="20"/>
  <c r="R2823" i="20"/>
  <c r="R2824" i="20"/>
  <c r="R2825" i="20"/>
  <c r="R2826" i="20"/>
  <c r="R2827" i="20"/>
  <c r="R2828" i="20"/>
  <c r="R2829" i="20"/>
  <c r="R2830" i="20"/>
  <c r="R2831" i="20"/>
  <c r="R2832" i="20"/>
  <c r="R2833" i="20"/>
  <c r="R2834" i="20"/>
  <c r="R2835" i="20"/>
  <c r="R2836" i="20"/>
  <c r="R2837" i="20"/>
  <c r="R2838" i="20"/>
  <c r="R2839" i="20"/>
  <c r="R2840" i="20"/>
  <c r="R2841" i="20"/>
  <c r="R2842" i="20"/>
  <c r="R2843" i="20"/>
  <c r="R2844" i="20"/>
  <c r="R2845" i="20"/>
  <c r="R2846" i="20"/>
  <c r="R2847" i="20"/>
  <c r="R2848" i="20"/>
  <c r="R2849" i="20"/>
  <c r="R2850" i="20"/>
  <c r="R2851" i="20"/>
  <c r="R2852" i="20"/>
  <c r="R2853" i="20"/>
  <c r="R2854" i="20"/>
  <c r="R2855" i="20"/>
  <c r="R2856" i="20"/>
  <c r="R2857" i="20"/>
  <c r="R2858" i="20"/>
  <c r="R2859" i="20"/>
  <c r="R2860" i="20"/>
  <c r="R2861" i="20"/>
  <c r="R2862" i="20"/>
  <c r="R2863" i="20"/>
  <c r="R2864" i="20"/>
  <c r="R2865" i="20"/>
  <c r="R2866" i="20"/>
  <c r="R2867" i="20"/>
  <c r="R2868" i="20"/>
  <c r="R2869" i="20"/>
  <c r="R2870" i="20"/>
  <c r="R2871" i="20"/>
  <c r="R2872" i="20"/>
  <c r="R2873" i="20"/>
  <c r="H1883" i="20"/>
  <c r="I1883" i="20"/>
  <c r="J1883" i="20" s="1"/>
  <c r="M1883" i="20"/>
  <c r="N1883" i="20"/>
  <c r="O1883" i="20"/>
  <c r="P1883" i="20"/>
  <c r="Q1883" i="20"/>
  <c r="R1883" i="20"/>
  <c r="H1882" i="20"/>
  <c r="I1882" i="20"/>
  <c r="J1882" i="20" s="1"/>
  <c r="M1882" i="20"/>
  <c r="N1882" i="20"/>
  <c r="O1882" i="20"/>
  <c r="P1882" i="20"/>
  <c r="Q1882" i="20"/>
  <c r="R1882" i="20"/>
  <c r="H1881" i="20"/>
  <c r="I1881" i="20"/>
  <c r="J1881" i="20" s="1"/>
  <c r="M1881" i="20"/>
  <c r="N1881" i="20"/>
  <c r="O1881" i="20"/>
  <c r="P1881" i="20"/>
  <c r="Q1881" i="20"/>
  <c r="R1881" i="20"/>
  <c r="H1880" i="20"/>
  <c r="I1880" i="20"/>
  <c r="J1880" i="20" s="1"/>
  <c r="M1880" i="20"/>
  <c r="N1880" i="20"/>
  <c r="O1880" i="20"/>
  <c r="P1880" i="20"/>
  <c r="Q1880" i="20"/>
  <c r="R1880" i="20"/>
  <c r="H1879" i="20"/>
  <c r="I1879" i="20"/>
  <c r="J1879" i="20" s="1"/>
  <c r="M1879" i="20"/>
  <c r="N1879" i="20"/>
  <c r="O1879" i="20"/>
  <c r="P1879" i="20"/>
  <c r="Q1879" i="20"/>
  <c r="R1879" i="20"/>
  <c r="H1878" i="20"/>
  <c r="I1878" i="20"/>
  <c r="J1878" i="20" s="1"/>
  <c r="M1878" i="20"/>
  <c r="N1878" i="20"/>
  <c r="O1878" i="20"/>
  <c r="P1878" i="20"/>
  <c r="Q1878" i="20"/>
  <c r="R1878" i="20"/>
  <c r="H1877" i="20"/>
  <c r="I1877" i="20"/>
  <c r="J1877" i="20" s="1"/>
  <c r="M1877" i="20"/>
  <c r="N1877" i="20"/>
  <c r="O1877" i="20"/>
  <c r="P1877" i="20"/>
  <c r="Q1877" i="20"/>
  <c r="R1877" i="20"/>
  <c r="H1876" i="20"/>
  <c r="I1876" i="20"/>
  <c r="J1876" i="20" s="1"/>
  <c r="M1876" i="20"/>
  <c r="N1876" i="20"/>
  <c r="O1876" i="20"/>
  <c r="P1876" i="20"/>
  <c r="Q1876" i="20"/>
  <c r="R1876" i="20"/>
  <c r="H1875" i="20"/>
  <c r="I1875" i="20"/>
  <c r="J1875" i="20" s="1"/>
  <c r="M1875" i="20"/>
  <c r="N1875" i="20"/>
  <c r="O1875" i="20"/>
  <c r="P1875" i="20"/>
  <c r="Q1875" i="20"/>
  <c r="R1875" i="20"/>
  <c r="H1874" i="20"/>
  <c r="I1874" i="20"/>
  <c r="J1874" i="20" s="1"/>
  <c r="M1874" i="20"/>
  <c r="N1874" i="20"/>
  <c r="O1874" i="20"/>
  <c r="P1874" i="20"/>
  <c r="Q1874" i="20"/>
  <c r="R1874" i="20"/>
  <c r="H1873" i="20"/>
  <c r="I1873" i="20"/>
  <c r="J1873" i="20" s="1"/>
  <c r="M1873" i="20"/>
  <c r="N1873" i="20"/>
  <c r="O1873" i="20"/>
  <c r="P1873" i="20"/>
  <c r="Q1873" i="20"/>
  <c r="R1873" i="20"/>
  <c r="H1872" i="20"/>
  <c r="I1872" i="20"/>
  <c r="J1872" i="20" s="1"/>
  <c r="M1872" i="20"/>
  <c r="N1872" i="20"/>
  <c r="O1872" i="20"/>
  <c r="P1872" i="20"/>
  <c r="Q1872" i="20"/>
  <c r="R1872" i="20"/>
  <c r="H1871" i="20"/>
  <c r="I1871" i="20"/>
  <c r="J1871" i="20" s="1"/>
  <c r="M1871" i="20"/>
  <c r="N1871" i="20"/>
  <c r="O1871" i="20"/>
  <c r="P1871" i="20"/>
  <c r="Q1871" i="20"/>
  <c r="R1871" i="20"/>
  <c r="H1870" i="20"/>
  <c r="I1870" i="20"/>
  <c r="J1870" i="20" s="1"/>
  <c r="M1870" i="20"/>
  <c r="N1870" i="20"/>
  <c r="O1870" i="20"/>
  <c r="P1870" i="20"/>
  <c r="Q1870" i="20"/>
  <c r="R1870" i="20"/>
  <c r="H1869" i="20"/>
  <c r="I1869" i="20"/>
  <c r="J1869" i="20" s="1"/>
  <c r="M1869" i="20"/>
  <c r="N1869" i="20"/>
  <c r="O1869" i="20"/>
  <c r="P1869" i="20"/>
  <c r="Q1869" i="20"/>
  <c r="R1869" i="20"/>
  <c r="H1868" i="20"/>
  <c r="I1868" i="20"/>
  <c r="J1868" i="20" s="1"/>
  <c r="M1868" i="20"/>
  <c r="N1868" i="20"/>
  <c r="O1868" i="20"/>
  <c r="P1868" i="20"/>
  <c r="Q1868" i="20"/>
  <c r="R1868" i="20"/>
  <c r="H1867" i="20"/>
  <c r="I1867" i="20"/>
  <c r="J1867" i="20" s="1"/>
  <c r="M1867" i="20"/>
  <c r="N1867" i="20"/>
  <c r="O1867" i="20"/>
  <c r="P1867" i="20"/>
  <c r="Q1867" i="20"/>
  <c r="R1867" i="20"/>
  <c r="H1866" i="20"/>
  <c r="I1866" i="20"/>
  <c r="J1866" i="20" s="1"/>
  <c r="M1866" i="20"/>
  <c r="N1866" i="20"/>
  <c r="O1866" i="20"/>
  <c r="P1866" i="20"/>
  <c r="Q1866" i="20"/>
  <c r="R1866" i="20"/>
  <c r="H1865" i="20"/>
  <c r="I1865" i="20"/>
  <c r="J1865" i="20" s="1"/>
  <c r="M1865" i="20"/>
  <c r="N1865" i="20"/>
  <c r="O1865" i="20"/>
  <c r="P1865" i="20"/>
  <c r="Q1865" i="20"/>
  <c r="R1865" i="20"/>
  <c r="H1864" i="20"/>
  <c r="I1864" i="20"/>
  <c r="J1864" i="20" s="1"/>
  <c r="M1864" i="20"/>
  <c r="N1864" i="20"/>
  <c r="O1864" i="20"/>
  <c r="P1864" i="20"/>
  <c r="Q1864" i="20"/>
  <c r="R1864" i="20"/>
  <c r="H1863" i="20"/>
  <c r="I1863" i="20"/>
  <c r="J1863" i="20" s="1"/>
  <c r="M1863" i="20"/>
  <c r="N1863" i="20"/>
  <c r="O1863" i="20"/>
  <c r="P1863" i="20"/>
  <c r="Q1863" i="20"/>
  <c r="R1863" i="20"/>
  <c r="H1862" i="20"/>
  <c r="I1862" i="20"/>
  <c r="J1862" i="20" s="1"/>
  <c r="M1862" i="20"/>
  <c r="N1862" i="20"/>
  <c r="O1862" i="20"/>
  <c r="P1862" i="20"/>
  <c r="Q1862" i="20"/>
  <c r="R1862" i="20"/>
  <c r="H1861" i="20"/>
  <c r="I1861" i="20"/>
  <c r="J1861" i="20" s="1"/>
  <c r="M1861" i="20"/>
  <c r="N1861" i="20"/>
  <c r="O1861" i="20"/>
  <c r="P1861" i="20"/>
  <c r="Q1861" i="20"/>
  <c r="R1861" i="20"/>
  <c r="H1860" i="20"/>
  <c r="I1860" i="20"/>
  <c r="J1860" i="20" s="1"/>
  <c r="M1860" i="20"/>
  <c r="N1860" i="20"/>
  <c r="O1860" i="20"/>
  <c r="P1860" i="20"/>
  <c r="Q1860" i="20"/>
  <c r="R1860" i="20"/>
  <c r="H1859" i="20"/>
  <c r="I1859" i="20"/>
  <c r="J1859" i="20" s="1"/>
  <c r="M1859" i="20"/>
  <c r="N1859" i="20"/>
  <c r="O1859" i="20"/>
  <c r="P1859" i="20"/>
  <c r="Q1859" i="20"/>
  <c r="R1859" i="20"/>
  <c r="H1858" i="20"/>
  <c r="I1858" i="20"/>
  <c r="J1858" i="20" s="1"/>
  <c r="M1858" i="20"/>
  <c r="N1858" i="20"/>
  <c r="O1858" i="20"/>
  <c r="P1858" i="20"/>
  <c r="Q1858" i="20"/>
  <c r="R1858" i="20"/>
  <c r="H1857" i="20"/>
  <c r="I1857" i="20"/>
  <c r="J1857" i="20" s="1"/>
  <c r="M1857" i="20"/>
  <c r="N1857" i="20"/>
  <c r="O1857" i="20"/>
  <c r="P1857" i="20"/>
  <c r="Q1857" i="20"/>
  <c r="R1857" i="20"/>
  <c r="H1856" i="20"/>
  <c r="I1856" i="20"/>
  <c r="J1856" i="20" s="1"/>
  <c r="M1856" i="20"/>
  <c r="N1856" i="20"/>
  <c r="O1856" i="20"/>
  <c r="P1856" i="20"/>
  <c r="Q1856" i="20"/>
  <c r="R1856" i="20"/>
  <c r="H1855" i="20"/>
  <c r="I1855" i="20"/>
  <c r="J1855" i="20" s="1"/>
  <c r="M1855" i="20"/>
  <c r="N1855" i="20"/>
  <c r="O1855" i="20"/>
  <c r="P1855" i="20"/>
  <c r="Q1855" i="20"/>
  <c r="R1855" i="20"/>
  <c r="H1854" i="20"/>
  <c r="I1854" i="20"/>
  <c r="J1854" i="20" s="1"/>
  <c r="M1854" i="20"/>
  <c r="N1854" i="20"/>
  <c r="O1854" i="20"/>
  <c r="P1854" i="20"/>
  <c r="Q1854" i="20"/>
  <c r="R1854" i="20"/>
  <c r="H1853" i="20"/>
  <c r="I1853" i="20"/>
  <c r="J1853" i="20" s="1"/>
  <c r="M1853" i="20"/>
  <c r="N1853" i="20"/>
  <c r="O1853" i="20"/>
  <c r="P1853" i="20"/>
  <c r="Q1853" i="20"/>
  <c r="R1853" i="20"/>
  <c r="H1852" i="20"/>
  <c r="I1852" i="20"/>
  <c r="J1852" i="20" s="1"/>
  <c r="M1852" i="20"/>
  <c r="N1852" i="20"/>
  <c r="O1852" i="20"/>
  <c r="P1852" i="20"/>
  <c r="Q1852" i="20"/>
  <c r="R1852" i="20"/>
  <c r="H1851" i="20"/>
  <c r="I1851" i="20"/>
  <c r="J1851" i="20" s="1"/>
  <c r="M1851" i="20"/>
  <c r="N1851" i="20"/>
  <c r="O1851" i="20"/>
  <c r="P1851" i="20"/>
  <c r="Q1851" i="20"/>
  <c r="R1851" i="20"/>
  <c r="H1850" i="20"/>
  <c r="I1850" i="20"/>
  <c r="J1850" i="20" s="1"/>
  <c r="M1850" i="20"/>
  <c r="N1850" i="20"/>
  <c r="O1850" i="20"/>
  <c r="P1850" i="20"/>
  <c r="Q1850" i="20"/>
  <c r="R1850" i="20"/>
  <c r="H1849" i="20"/>
  <c r="I1849" i="20"/>
  <c r="J1849" i="20" s="1"/>
  <c r="M1849" i="20"/>
  <c r="N1849" i="20"/>
  <c r="O1849" i="20"/>
  <c r="P1849" i="20"/>
  <c r="Q1849" i="20"/>
  <c r="R1849" i="20"/>
  <c r="H1848" i="20"/>
  <c r="I1848" i="20"/>
  <c r="J1848" i="20" s="1"/>
  <c r="M1848" i="20"/>
  <c r="N1848" i="20"/>
  <c r="O1848" i="20"/>
  <c r="P1848" i="20"/>
  <c r="Q1848" i="20"/>
  <c r="R1848" i="20"/>
  <c r="H1847" i="20"/>
  <c r="I1847" i="20"/>
  <c r="J1847" i="20" s="1"/>
  <c r="M1847" i="20"/>
  <c r="N1847" i="20"/>
  <c r="O1847" i="20"/>
  <c r="P1847" i="20"/>
  <c r="Q1847" i="20"/>
  <c r="R1847" i="20"/>
  <c r="H1846" i="20"/>
  <c r="I1846" i="20"/>
  <c r="J1846" i="20" s="1"/>
  <c r="M1846" i="20"/>
  <c r="N1846" i="20"/>
  <c r="O1846" i="20"/>
  <c r="P1846" i="20"/>
  <c r="Q1846" i="20"/>
  <c r="R1846" i="20"/>
  <c r="H1845" i="20"/>
  <c r="I1845" i="20"/>
  <c r="J1845" i="20" s="1"/>
  <c r="M1845" i="20"/>
  <c r="N1845" i="20"/>
  <c r="O1845" i="20"/>
  <c r="P1845" i="20"/>
  <c r="Q1845" i="20"/>
  <c r="R1845" i="20"/>
  <c r="H1844" i="20"/>
  <c r="I1844" i="20"/>
  <c r="J1844" i="20" s="1"/>
  <c r="M1844" i="20"/>
  <c r="N1844" i="20"/>
  <c r="O1844" i="20"/>
  <c r="P1844" i="20"/>
  <c r="Q1844" i="20"/>
  <c r="R1844" i="20"/>
  <c r="H1843" i="20"/>
  <c r="I1843" i="20"/>
  <c r="J1843" i="20" s="1"/>
  <c r="M1843" i="20"/>
  <c r="N1843" i="20"/>
  <c r="O1843" i="20"/>
  <c r="P1843" i="20"/>
  <c r="Q1843" i="20"/>
  <c r="R1843" i="20"/>
  <c r="H1842" i="20"/>
  <c r="I1842" i="20"/>
  <c r="J1842" i="20" s="1"/>
  <c r="M1842" i="20"/>
  <c r="N1842" i="20"/>
  <c r="O1842" i="20"/>
  <c r="P1842" i="20"/>
  <c r="Q1842" i="20"/>
  <c r="R1842" i="20"/>
  <c r="H1841" i="20"/>
  <c r="I1841" i="20"/>
  <c r="J1841" i="20" s="1"/>
  <c r="M1841" i="20"/>
  <c r="N1841" i="20"/>
  <c r="O1841" i="20"/>
  <c r="P1841" i="20"/>
  <c r="Q1841" i="20"/>
  <c r="R1841" i="20"/>
  <c r="H1840" i="20"/>
  <c r="I1840" i="20"/>
  <c r="J1840" i="20" s="1"/>
  <c r="M1840" i="20"/>
  <c r="N1840" i="20"/>
  <c r="O1840" i="20"/>
  <c r="P1840" i="20"/>
  <c r="Q1840" i="20"/>
  <c r="R1840" i="20"/>
  <c r="H1839" i="20"/>
  <c r="I1839" i="20"/>
  <c r="J1839" i="20" s="1"/>
  <c r="M1839" i="20"/>
  <c r="N1839" i="20"/>
  <c r="O1839" i="20"/>
  <c r="P1839" i="20"/>
  <c r="Q1839" i="20"/>
  <c r="R1839" i="20"/>
  <c r="H1838" i="20"/>
  <c r="I1838" i="20"/>
  <c r="J1838" i="20" s="1"/>
  <c r="M1838" i="20"/>
  <c r="N1838" i="20"/>
  <c r="O1838" i="20"/>
  <c r="P1838" i="20"/>
  <c r="Q1838" i="20"/>
  <c r="R1838" i="20"/>
  <c r="H1837" i="20"/>
  <c r="I1837" i="20"/>
  <c r="J1837" i="20" s="1"/>
  <c r="M1837" i="20"/>
  <c r="N1837" i="20"/>
  <c r="O1837" i="20"/>
  <c r="P1837" i="20"/>
  <c r="Q1837" i="20"/>
  <c r="R1837" i="20"/>
  <c r="H1836" i="20"/>
  <c r="I1836" i="20"/>
  <c r="J1836" i="20" s="1"/>
  <c r="M1836" i="20"/>
  <c r="N1836" i="20"/>
  <c r="O1836" i="20"/>
  <c r="P1836" i="20"/>
  <c r="Q1836" i="20"/>
  <c r="R1836" i="20"/>
  <c r="H1835" i="20"/>
  <c r="I1835" i="20"/>
  <c r="J1835" i="20" s="1"/>
  <c r="M1835" i="20"/>
  <c r="N1835" i="20"/>
  <c r="O1835" i="20"/>
  <c r="P1835" i="20"/>
  <c r="Q1835" i="20"/>
  <c r="R1835" i="20"/>
  <c r="H1834" i="20"/>
  <c r="I1834" i="20"/>
  <c r="J1834" i="20" s="1"/>
  <c r="M1834" i="20"/>
  <c r="N1834" i="20"/>
  <c r="O1834" i="20"/>
  <c r="P1834" i="20"/>
  <c r="Q1834" i="20"/>
  <c r="R1834" i="20"/>
  <c r="H1833" i="20"/>
  <c r="I1833" i="20"/>
  <c r="J1833" i="20" s="1"/>
  <c r="M1833" i="20"/>
  <c r="N1833" i="20"/>
  <c r="O1833" i="20"/>
  <c r="P1833" i="20"/>
  <c r="Q1833" i="20"/>
  <c r="R1833" i="20"/>
  <c r="H1832" i="20"/>
  <c r="I1832" i="20"/>
  <c r="J1832" i="20" s="1"/>
  <c r="M1832" i="20"/>
  <c r="N1832" i="20"/>
  <c r="O1832" i="20"/>
  <c r="P1832" i="20"/>
  <c r="Q1832" i="20"/>
  <c r="R1832" i="20"/>
  <c r="H1831" i="20"/>
  <c r="I1831" i="20"/>
  <c r="J1831" i="20" s="1"/>
  <c r="M1831" i="20"/>
  <c r="N1831" i="20"/>
  <c r="O1831" i="20"/>
  <c r="P1831" i="20"/>
  <c r="Q1831" i="20"/>
  <c r="R1831" i="20"/>
  <c r="H1830" i="20"/>
  <c r="I1830" i="20"/>
  <c r="J1830" i="20" s="1"/>
  <c r="M1830" i="20"/>
  <c r="N1830" i="20"/>
  <c r="O1830" i="20"/>
  <c r="P1830" i="20"/>
  <c r="Q1830" i="20"/>
  <c r="R1830" i="20"/>
  <c r="H1829" i="20"/>
  <c r="I1829" i="20"/>
  <c r="J1829" i="20" s="1"/>
  <c r="M1829" i="20"/>
  <c r="N1829" i="20"/>
  <c r="O1829" i="20"/>
  <c r="P1829" i="20"/>
  <c r="Q1829" i="20"/>
  <c r="R1829" i="20"/>
  <c r="H1828" i="20"/>
  <c r="I1828" i="20"/>
  <c r="J1828" i="20" s="1"/>
  <c r="M1828" i="20"/>
  <c r="N1828" i="20"/>
  <c r="O1828" i="20"/>
  <c r="P1828" i="20"/>
  <c r="Q1828" i="20"/>
  <c r="R1828" i="20"/>
  <c r="H1827" i="20"/>
  <c r="I1827" i="20"/>
  <c r="J1827" i="20" s="1"/>
  <c r="M1827" i="20"/>
  <c r="N1827" i="20"/>
  <c r="O1827" i="20"/>
  <c r="P1827" i="20"/>
  <c r="Q1827" i="20"/>
  <c r="R1827" i="20"/>
  <c r="H1826" i="20"/>
  <c r="I1826" i="20"/>
  <c r="J1826" i="20" s="1"/>
  <c r="M1826" i="20"/>
  <c r="N1826" i="20"/>
  <c r="O1826" i="20"/>
  <c r="P1826" i="20"/>
  <c r="Q1826" i="20"/>
  <c r="R1826" i="20"/>
  <c r="H1825" i="20"/>
  <c r="I1825" i="20"/>
  <c r="J1825" i="20" s="1"/>
  <c r="M1825" i="20"/>
  <c r="N1825" i="20"/>
  <c r="O1825" i="20"/>
  <c r="P1825" i="20"/>
  <c r="Q1825" i="20"/>
  <c r="R1825" i="20"/>
  <c r="H1824" i="20"/>
  <c r="I1824" i="20"/>
  <c r="J1824" i="20" s="1"/>
  <c r="M1824" i="20"/>
  <c r="N1824" i="20"/>
  <c r="O1824" i="20"/>
  <c r="P1824" i="20"/>
  <c r="Q1824" i="20"/>
  <c r="R1824" i="20"/>
  <c r="H1823" i="20"/>
  <c r="I1823" i="20"/>
  <c r="J1823" i="20" s="1"/>
  <c r="M1823" i="20"/>
  <c r="N1823" i="20"/>
  <c r="O1823" i="20"/>
  <c r="P1823" i="20"/>
  <c r="Q1823" i="20"/>
  <c r="R1823" i="20"/>
  <c r="H1822" i="20"/>
  <c r="I1822" i="20"/>
  <c r="J1822" i="20" s="1"/>
  <c r="M1822" i="20"/>
  <c r="N1822" i="20"/>
  <c r="O1822" i="20"/>
  <c r="P1822" i="20"/>
  <c r="Q1822" i="20"/>
  <c r="R1822" i="20"/>
  <c r="H1821" i="20"/>
  <c r="I1821" i="20"/>
  <c r="J1821" i="20" s="1"/>
  <c r="M1821" i="20"/>
  <c r="N1821" i="20"/>
  <c r="O1821" i="20"/>
  <c r="P1821" i="20"/>
  <c r="Q1821" i="20"/>
  <c r="R1821" i="20"/>
  <c r="H1820" i="20"/>
  <c r="I1820" i="20"/>
  <c r="J1820" i="20" s="1"/>
  <c r="M1820" i="20"/>
  <c r="N1820" i="20"/>
  <c r="O1820" i="20"/>
  <c r="P1820" i="20"/>
  <c r="Q1820" i="20"/>
  <c r="R1820" i="20"/>
  <c r="H1819" i="20"/>
  <c r="I1819" i="20"/>
  <c r="J1819" i="20" s="1"/>
  <c r="M1819" i="20"/>
  <c r="N1819" i="20"/>
  <c r="O1819" i="20"/>
  <c r="P1819" i="20"/>
  <c r="Q1819" i="20"/>
  <c r="R1819" i="20"/>
  <c r="H1818" i="20"/>
  <c r="I1818" i="20"/>
  <c r="J1818" i="20" s="1"/>
  <c r="M1818" i="20"/>
  <c r="N1818" i="20"/>
  <c r="O1818" i="20"/>
  <c r="P1818" i="20"/>
  <c r="Q1818" i="20"/>
  <c r="R1818" i="20"/>
  <c r="H1817" i="20"/>
  <c r="I1817" i="20"/>
  <c r="J1817" i="20" s="1"/>
  <c r="M1817" i="20"/>
  <c r="N1817" i="20"/>
  <c r="O1817" i="20"/>
  <c r="P1817" i="20"/>
  <c r="Q1817" i="20"/>
  <c r="R1817" i="20"/>
  <c r="H1816" i="20"/>
  <c r="I1816" i="20"/>
  <c r="J1816" i="20" s="1"/>
  <c r="M1816" i="20"/>
  <c r="N1816" i="20"/>
  <c r="O1816" i="20"/>
  <c r="P1816" i="20"/>
  <c r="Q1816" i="20"/>
  <c r="R1816" i="20"/>
  <c r="H1815" i="20"/>
  <c r="I1815" i="20"/>
  <c r="J1815" i="20" s="1"/>
  <c r="M1815" i="20"/>
  <c r="N1815" i="20"/>
  <c r="O1815" i="20"/>
  <c r="P1815" i="20"/>
  <c r="Q1815" i="20"/>
  <c r="R1815" i="20"/>
  <c r="H1814" i="20"/>
  <c r="I1814" i="20"/>
  <c r="J1814" i="20" s="1"/>
  <c r="M1814" i="20"/>
  <c r="N1814" i="20"/>
  <c r="O1814" i="20"/>
  <c r="P1814" i="20"/>
  <c r="Q1814" i="20"/>
  <c r="R1814" i="20"/>
  <c r="H1813" i="20"/>
  <c r="I1813" i="20"/>
  <c r="J1813" i="20" s="1"/>
  <c r="M1813" i="20"/>
  <c r="N1813" i="20"/>
  <c r="O1813" i="20"/>
  <c r="P1813" i="20"/>
  <c r="Q1813" i="20"/>
  <c r="R1813" i="20"/>
  <c r="H1812" i="20"/>
  <c r="I1812" i="20"/>
  <c r="J1812" i="20" s="1"/>
  <c r="M1812" i="20"/>
  <c r="N1812" i="20"/>
  <c r="O1812" i="20"/>
  <c r="P1812" i="20"/>
  <c r="Q1812" i="20"/>
  <c r="R1812" i="20"/>
  <c r="H1811" i="20"/>
  <c r="I1811" i="20"/>
  <c r="J1811" i="20" s="1"/>
  <c r="M1811" i="20"/>
  <c r="N1811" i="20"/>
  <c r="O1811" i="20"/>
  <c r="P1811" i="20"/>
  <c r="Q1811" i="20"/>
  <c r="R1811" i="20"/>
  <c r="H1810" i="20"/>
  <c r="I1810" i="20"/>
  <c r="J1810" i="20" s="1"/>
  <c r="M1810" i="20"/>
  <c r="N1810" i="20"/>
  <c r="O1810" i="20"/>
  <c r="P1810" i="20"/>
  <c r="Q1810" i="20"/>
  <c r="R1810" i="20"/>
  <c r="H1809" i="20"/>
  <c r="I1809" i="20"/>
  <c r="J1809" i="20" s="1"/>
  <c r="M1809" i="20"/>
  <c r="N1809" i="20"/>
  <c r="O1809" i="20"/>
  <c r="P1809" i="20"/>
  <c r="Q1809" i="20"/>
  <c r="R1809" i="20"/>
  <c r="H1808" i="20"/>
  <c r="I1808" i="20"/>
  <c r="J1808" i="20" s="1"/>
  <c r="M1808" i="20"/>
  <c r="N1808" i="20"/>
  <c r="O1808" i="20"/>
  <c r="P1808" i="20"/>
  <c r="Q1808" i="20"/>
  <c r="R1808" i="20"/>
  <c r="H1807" i="20"/>
  <c r="I1807" i="20"/>
  <c r="J1807" i="20" s="1"/>
  <c r="M1807" i="20"/>
  <c r="N1807" i="20"/>
  <c r="O1807" i="20"/>
  <c r="P1807" i="20"/>
  <c r="Q1807" i="20"/>
  <c r="R1807" i="20"/>
  <c r="H1806" i="20"/>
  <c r="I1806" i="20"/>
  <c r="J1806" i="20" s="1"/>
  <c r="M1806" i="20"/>
  <c r="N1806" i="20"/>
  <c r="O1806" i="20"/>
  <c r="P1806" i="20"/>
  <c r="Q1806" i="20"/>
  <c r="R1806" i="20"/>
  <c r="H1805" i="20"/>
  <c r="I1805" i="20"/>
  <c r="J1805" i="20" s="1"/>
  <c r="M1805" i="20"/>
  <c r="N1805" i="20"/>
  <c r="O1805" i="20"/>
  <c r="P1805" i="20"/>
  <c r="Q1805" i="20"/>
  <c r="R1805" i="20"/>
  <c r="H1804" i="20"/>
  <c r="I1804" i="20"/>
  <c r="J1804" i="20" s="1"/>
  <c r="M1804" i="20"/>
  <c r="N1804" i="20"/>
  <c r="O1804" i="20"/>
  <c r="P1804" i="20"/>
  <c r="Q1804" i="20"/>
  <c r="R1804" i="20"/>
  <c r="H1803" i="20"/>
  <c r="I1803" i="20"/>
  <c r="J1803" i="20" s="1"/>
  <c r="M1803" i="20"/>
  <c r="N1803" i="20"/>
  <c r="O1803" i="20"/>
  <c r="P1803" i="20"/>
  <c r="Q1803" i="20"/>
  <c r="R1803" i="20"/>
  <c r="H1802" i="20"/>
  <c r="I1802" i="20"/>
  <c r="J1802" i="20" s="1"/>
  <c r="M1802" i="20"/>
  <c r="N1802" i="20"/>
  <c r="O1802" i="20"/>
  <c r="P1802" i="20"/>
  <c r="Q1802" i="20"/>
  <c r="R1802" i="20"/>
  <c r="H1801" i="20"/>
  <c r="I1801" i="20"/>
  <c r="J1801" i="20" s="1"/>
  <c r="M1801" i="20"/>
  <c r="N1801" i="20"/>
  <c r="O1801" i="20"/>
  <c r="P1801" i="20"/>
  <c r="Q1801" i="20"/>
  <c r="R1801" i="20"/>
  <c r="H1800" i="20"/>
  <c r="I1800" i="20"/>
  <c r="J1800" i="20" s="1"/>
  <c r="M1800" i="20"/>
  <c r="N1800" i="20"/>
  <c r="O1800" i="20"/>
  <c r="P1800" i="20"/>
  <c r="Q1800" i="20"/>
  <c r="R1800" i="20"/>
  <c r="H1799" i="20"/>
  <c r="I1799" i="20"/>
  <c r="J1799" i="20" s="1"/>
  <c r="M1799" i="20"/>
  <c r="N1799" i="20"/>
  <c r="O1799" i="20"/>
  <c r="P1799" i="20"/>
  <c r="Q1799" i="20"/>
  <c r="R1799" i="20"/>
  <c r="H1798" i="20"/>
  <c r="I1798" i="20"/>
  <c r="J1798" i="20" s="1"/>
  <c r="M1798" i="20"/>
  <c r="N1798" i="20"/>
  <c r="O1798" i="20"/>
  <c r="P1798" i="20"/>
  <c r="Q1798" i="20"/>
  <c r="R1798" i="20"/>
  <c r="H1797" i="20"/>
  <c r="I1797" i="20"/>
  <c r="J1797" i="20" s="1"/>
  <c r="M1797" i="20"/>
  <c r="N1797" i="20"/>
  <c r="O1797" i="20"/>
  <c r="P1797" i="20"/>
  <c r="Q1797" i="20"/>
  <c r="R1797" i="20"/>
  <c r="H1796" i="20"/>
  <c r="I1796" i="20"/>
  <c r="J1796" i="20" s="1"/>
  <c r="M1796" i="20"/>
  <c r="N1796" i="20"/>
  <c r="O1796" i="20"/>
  <c r="P1796" i="20"/>
  <c r="Q1796" i="20"/>
  <c r="R1796" i="20"/>
  <c r="H1795" i="20"/>
  <c r="I1795" i="20"/>
  <c r="J1795" i="20" s="1"/>
  <c r="M1795" i="20"/>
  <c r="N1795" i="20"/>
  <c r="O1795" i="20"/>
  <c r="P1795" i="20"/>
  <c r="Q1795" i="20"/>
  <c r="R1795" i="20"/>
  <c r="H1794" i="20"/>
  <c r="I1794" i="20"/>
  <c r="J1794" i="20" s="1"/>
  <c r="M1794" i="20"/>
  <c r="N1794" i="20"/>
  <c r="O1794" i="20"/>
  <c r="P1794" i="20"/>
  <c r="Q1794" i="20"/>
  <c r="R1794" i="20"/>
  <c r="H1793" i="20"/>
  <c r="I1793" i="20"/>
  <c r="J1793" i="20" s="1"/>
  <c r="M1793" i="20"/>
  <c r="N1793" i="20"/>
  <c r="O1793" i="20"/>
  <c r="P1793" i="20"/>
  <c r="Q1793" i="20"/>
  <c r="R1793" i="20"/>
  <c r="H1792" i="20"/>
  <c r="I1792" i="20"/>
  <c r="J1792" i="20" s="1"/>
  <c r="M1792" i="20"/>
  <c r="N1792" i="20"/>
  <c r="O1792" i="20"/>
  <c r="P1792" i="20"/>
  <c r="Q1792" i="20"/>
  <c r="R1792" i="20"/>
  <c r="H1791" i="20"/>
  <c r="I1791" i="20"/>
  <c r="J1791" i="20" s="1"/>
  <c r="M1791" i="20"/>
  <c r="N1791" i="20"/>
  <c r="O1791" i="20"/>
  <c r="P1791" i="20"/>
  <c r="Q1791" i="20"/>
  <c r="R1791" i="20"/>
  <c r="H1790" i="20"/>
  <c r="I1790" i="20"/>
  <c r="J1790" i="20" s="1"/>
  <c r="M1790" i="20"/>
  <c r="N1790" i="20"/>
  <c r="O1790" i="20"/>
  <c r="P1790" i="20"/>
  <c r="Q1790" i="20"/>
  <c r="R1790" i="20"/>
  <c r="H1789" i="20"/>
  <c r="I1789" i="20"/>
  <c r="J1789" i="20" s="1"/>
  <c r="M1789" i="20"/>
  <c r="N1789" i="20"/>
  <c r="O1789" i="20"/>
  <c r="P1789" i="20"/>
  <c r="Q1789" i="20"/>
  <c r="R1789" i="20"/>
  <c r="H1788" i="20"/>
  <c r="I1788" i="20"/>
  <c r="J1788" i="20" s="1"/>
  <c r="M1788" i="20"/>
  <c r="N1788" i="20"/>
  <c r="O1788" i="20"/>
  <c r="P1788" i="20"/>
  <c r="Q1788" i="20"/>
  <c r="R1788" i="20"/>
  <c r="H1787" i="20"/>
  <c r="I1787" i="20"/>
  <c r="J1787" i="20" s="1"/>
  <c r="M1787" i="20"/>
  <c r="N1787" i="20"/>
  <c r="O1787" i="20"/>
  <c r="P1787" i="20"/>
  <c r="Q1787" i="20"/>
  <c r="R1787" i="20"/>
  <c r="H1786" i="20"/>
  <c r="I1786" i="20"/>
  <c r="J1786" i="20" s="1"/>
  <c r="M1786" i="20"/>
  <c r="N1786" i="20"/>
  <c r="O1786" i="20"/>
  <c r="P1786" i="20"/>
  <c r="Q1786" i="20"/>
  <c r="R1786" i="20"/>
  <c r="H1785" i="20"/>
  <c r="I1785" i="20"/>
  <c r="J1785" i="20" s="1"/>
  <c r="M1785" i="20"/>
  <c r="N1785" i="20"/>
  <c r="O1785" i="20"/>
  <c r="P1785" i="20"/>
  <c r="Q1785" i="20"/>
  <c r="R1785" i="20"/>
  <c r="H795" i="20"/>
  <c r="I795" i="20"/>
  <c r="J795" i="20" s="1"/>
  <c r="M795" i="20"/>
  <c r="N795" i="20"/>
  <c r="O795" i="20"/>
  <c r="P795" i="20"/>
  <c r="Q795" i="20"/>
  <c r="R795" i="20"/>
  <c r="H796" i="20"/>
  <c r="I796" i="20"/>
  <c r="J796" i="20" s="1"/>
  <c r="M796" i="20"/>
  <c r="N796" i="20"/>
  <c r="O796" i="20"/>
  <c r="P796" i="20"/>
  <c r="Q796" i="20"/>
  <c r="R796" i="20"/>
  <c r="H797" i="20"/>
  <c r="I797" i="20"/>
  <c r="J797" i="20" s="1"/>
  <c r="M797" i="20"/>
  <c r="N797" i="20"/>
  <c r="O797" i="20"/>
  <c r="P797" i="20"/>
  <c r="Q797" i="20"/>
  <c r="R797" i="20"/>
  <c r="H798" i="20"/>
  <c r="I798" i="20"/>
  <c r="J798" i="20" s="1"/>
  <c r="M798" i="20"/>
  <c r="N798" i="20"/>
  <c r="O798" i="20"/>
  <c r="P798" i="20"/>
  <c r="Q798" i="20"/>
  <c r="R798" i="20"/>
  <c r="H799" i="20"/>
  <c r="I799" i="20"/>
  <c r="J799" i="20" s="1"/>
  <c r="M799" i="20"/>
  <c r="N799" i="20"/>
  <c r="O799" i="20"/>
  <c r="P799" i="20"/>
  <c r="Q799" i="20"/>
  <c r="R799" i="20"/>
  <c r="H800" i="20"/>
  <c r="I800" i="20"/>
  <c r="J800" i="20" s="1"/>
  <c r="M800" i="20"/>
  <c r="N800" i="20"/>
  <c r="O800" i="20"/>
  <c r="P800" i="20"/>
  <c r="Q800" i="20"/>
  <c r="R800" i="20"/>
  <c r="H801" i="20"/>
  <c r="I801" i="20"/>
  <c r="J801" i="20" s="1"/>
  <c r="M801" i="20"/>
  <c r="N801" i="20"/>
  <c r="O801" i="20"/>
  <c r="P801" i="20"/>
  <c r="Q801" i="20"/>
  <c r="R801" i="20"/>
  <c r="H802" i="20"/>
  <c r="I802" i="20"/>
  <c r="J802" i="20" s="1"/>
  <c r="M802" i="20"/>
  <c r="N802" i="20"/>
  <c r="O802" i="20"/>
  <c r="P802" i="20"/>
  <c r="Q802" i="20"/>
  <c r="R802" i="20"/>
  <c r="H803" i="20"/>
  <c r="I803" i="20"/>
  <c r="J803" i="20" s="1"/>
  <c r="M803" i="20"/>
  <c r="N803" i="20"/>
  <c r="O803" i="20"/>
  <c r="P803" i="20"/>
  <c r="Q803" i="20"/>
  <c r="R803" i="20"/>
  <c r="H804" i="20"/>
  <c r="I804" i="20"/>
  <c r="J804" i="20" s="1"/>
  <c r="M804" i="20"/>
  <c r="N804" i="20"/>
  <c r="O804" i="20"/>
  <c r="P804" i="20"/>
  <c r="Q804" i="20"/>
  <c r="R804" i="20"/>
  <c r="H805" i="20"/>
  <c r="I805" i="20"/>
  <c r="J805" i="20" s="1"/>
  <c r="M805" i="20"/>
  <c r="N805" i="20"/>
  <c r="O805" i="20"/>
  <c r="P805" i="20"/>
  <c r="Q805" i="20"/>
  <c r="R805" i="20"/>
  <c r="H806" i="20"/>
  <c r="I806" i="20"/>
  <c r="J806" i="20" s="1"/>
  <c r="M806" i="20"/>
  <c r="N806" i="20"/>
  <c r="O806" i="20"/>
  <c r="P806" i="20"/>
  <c r="Q806" i="20"/>
  <c r="R806" i="20"/>
  <c r="H807" i="20"/>
  <c r="I807" i="20"/>
  <c r="J807" i="20" s="1"/>
  <c r="M807" i="20"/>
  <c r="N807" i="20"/>
  <c r="O807" i="20"/>
  <c r="P807" i="20"/>
  <c r="Q807" i="20"/>
  <c r="R807" i="20"/>
  <c r="H808" i="20"/>
  <c r="I808" i="20"/>
  <c r="J808" i="20" s="1"/>
  <c r="M808" i="20"/>
  <c r="N808" i="20"/>
  <c r="O808" i="20"/>
  <c r="P808" i="20"/>
  <c r="Q808" i="20"/>
  <c r="R808" i="20"/>
  <c r="H809" i="20"/>
  <c r="I809" i="20"/>
  <c r="J809" i="20" s="1"/>
  <c r="M809" i="20"/>
  <c r="N809" i="20"/>
  <c r="O809" i="20"/>
  <c r="P809" i="20"/>
  <c r="Q809" i="20"/>
  <c r="R809" i="20"/>
  <c r="H810" i="20"/>
  <c r="I810" i="20"/>
  <c r="J810" i="20" s="1"/>
  <c r="M810" i="20"/>
  <c r="N810" i="20"/>
  <c r="O810" i="20"/>
  <c r="P810" i="20"/>
  <c r="Q810" i="20"/>
  <c r="R810" i="20"/>
  <c r="H811" i="20"/>
  <c r="I811" i="20"/>
  <c r="J811" i="20" s="1"/>
  <c r="M811" i="20"/>
  <c r="N811" i="20"/>
  <c r="O811" i="20"/>
  <c r="P811" i="20"/>
  <c r="Q811" i="20"/>
  <c r="R811" i="20"/>
  <c r="H812" i="20"/>
  <c r="I812" i="20"/>
  <c r="J812" i="20" s="1"/>
  <c r="M812" i="20"/>
  <c r="N812" i="20"/>
  <c r="O812" i="20"/>
  <c r="P812" i="20"/>
  <c r="Q812" i="20"/>
  <c r="R812" i="20"/>
  <c r="H813" i="20"/>
  <c r="I813" i="20"/>
  <c r="J813" i="20" s="1"/>
  <c r="M813" i="20"/>
  <c r="N813" i="20"/>
  <c r="O813" i="20"/>
  <c r="P813" i="20"/>
  <c r="Q813" i="20"/>
  <c r="R813" i="20"/>
  <c r="H814" i="20"/>
  <c r="I814" i="20"/>
  <c r="J814" i="20" s="1"/>
  <c r="M814" i="20"/>
  <c r="N814" i="20"/>
  <c r="O814" i="20"/>
  <c r="P814" i="20"/>
  <c r="Q814" i="20"/>
  <c r="R814" i="20"/>
  <c r="H815" i="20"/>
  <c r="I815" i="20"/>
  <c r="J815" i="20" s="1"/>
  <c r="M815" i="20"/>
  <c r="N815" i="20"/>
  <c r="O815" i="20"/>
  <c r="P815" i="20"/>
  <c r="Q815" i="20"/>
  <c r="R815" i="20"/>
  <c r="H816" i="20"/>
  <c r="I816" i="20"/>
  <c r="J816" i="20" s="1"/>
  <c r="M816" i="20"/>
  <c r="N816" i="20"/>
  <c r="O816" i="20"/>
  <c r="P816" i="20"/>
  <c r="Q816" i="20"/>
  <c r="R816" i="20"/>
  <c r="H817" i="20"/>
  <c r="I817" i="20"/>
  <c r="J817" i="20" s="1"/>
  <c r="M817" i="20"/>
  <c r="N817" i="20"/>
  <c r="O817" i="20"/>
  <c r="P817" i="20"/>
  <c r="Q817" i="20"/>
  <c r="R817" i="20"/>
  <c r="H818" i="20"/>
  <c r="I818" i="20"/>
  <c r="J818" i="20" s="1"/>
  <c r="M818" i="20"/>
  <c r="N818" i="20"/>
  <c r="O818" i="20"/>
  <c r="P818" i="20"/>
  <c r="Q818" i="20"/>
  <c r="R818" i="20"/>
  <c r="H819" i="20"/>
  <c r="I819" i="20"/>
  <c r="J819" i="20" s="1"/>
  <c r="M819" i="20"/>
  <c r="N819" i="20"/>
  <c r="O819" i="20"/>
  <c r="P819" i="20"/>
  <c r="Q819" i="20"/>
  <c r="R819" i="20"/>
  <c r="H820" i="20"/>
  <c r="I820" i="20"/>
  <c r="J820" i="20" s="1"/>
  <c r="M820" i="20"/>
  <c r="N820" i="20"/>
  <c r="O820" i="20"/>
  <c r="P820" i="20"/>
  <c r="Q820" i="20"/>
  <c r="R820" i="20"/>
  <c r="H821" i="20"/>
  <c r="I821" i="20"/>
  <c r="J821" i="20" s="1"/>
  <c r="M821" i="20"/>
  <c r="N821" i="20"/>
  <c r="O821" i="20"/>
  <c r="P821" i="20"/>
  <c r="Q821" i="20"/>
  <c r="R821" i="20"/>
  <c r="H822" i="20"/>
  <c r="I822" i="20"/>
  <c r="J822" i="20" s="1"/>
  <c r="M822" i="20"/>
  <c r="N822" i="20"/>
  <c r="O822" i="20"/>
  <c r="P822" i="20"/>
  <c r="Q822" i="20"/>
  <c r="R822" i="20"/>
  <c r="H823" i="20"/>
  <c r="I823" i="20"/>
  <c r="J823" i="20" s="1"/>
  <c r="M823" i="20"/>
  <c r="N823" i="20"/>
  <c r="O823" i="20"/>
  <c r="P823" i="20"/>
  <c r="Q823" i="20"/>
  <c r="R823" i="20"/>
  <c r="H824" i="20"/>
  <c r="I824" i="20"/>
  <c r="J824" i="20" s="1"/>
  <c r="M824" i="20"/>
  <c r="N824" i="20"/>
  <c r="O824" i="20"/>
  <c r="P824" i="20"/>
  <c r="Q824" i="20"/>
  <c r="R824" i="20"/>
  <c r="H825" i="20"/>
  <c r="I825" i="20"/>
  <c r="J825" i="20" s="1"/>
  <c r="M825" i="20"/>
  <c r="N825" i="20"/>
  <c r="O825" i="20"/>
  <c r="P825" i="20"/>
  <c r="Q825" i="20"/>
  <c r="R825" i="20"/>
  <c r="H826" i="20"/>
  <c r="I826" i="20"/>
  <c r="J826" i="20" s="1"/>
  <c r="M826" i="20"/>
  <c r="N826" i="20"/>
  <c r="O826" i="20"/>
  <c r="P826" i="20"/>
  <c r="Q826" i="20"/>
  <c r="R826" i="20"/>
  <c r="H827" i="20"/>
  <c r="I827" i="20"/>
  <c r="J827" i="20" s="1"/>
  <c r="M827" i="20"/>
  <c r="N827" i="20"/>
  <c r="O827" i="20"/>
  <c r="P827" i="20"/>
  <c r="Q827" i="20"/>
  <c r="R827" i="20"/>
  <c r="H828" i="20"/>
  <c r="I828" i="20"/>
  <c r="J828" i="20" s="1"/>
  <c r="M828" i="20"/>
  <c r="N828" i="20"/>
  <c r="O828" i="20"/>
  <c r="P828" i="20"/>
  <c r="Q828" i="20"/>
  <c r="R828" i="20"/>
  <c r="H829" i="20"/>
  <c r="I829" i="20"/>
  <c r="J829" i="20" s="1"/>
  <c r="M829" i="20"/>
  <c r="N829" i="20"/>
  <c r="O829" i="20"/>
  <c r="P829" i="20"/>
  <c r="Q829" i="20"/>
  <c r="R829" i="20"/>
  <c r="H830" i="20"/>
  <c r="I830" i="20"/>
  <c r="J830" i="20" s="1"/>
  <c r="M830" i="20"/>
  <c r="N830" i="20"/>
  <c r="O830" i="20"/>
  <c r="P830" i="20"/>
  <c r="Q830" i="20"/>
  <c r="R830" i="20"/>
  <c r="H831" i="20"/>
  <c r="I831" i="20"/>
  <c r="J831" i="20" s="1"/>
  <c r="M831" i="20"/>
  <c r="N831" i="20"/>
  <c r="O831" i="20"/>
  <c r="P831" i="20"/>
  <c r="Q831" i="20"/>
  <c r="R831" i="20"/>
  <c r="H832" i="20"/>
  <c r="I832" i="20"/>
  <c r="J832" i="20" s="1"/>
  <c r="M832" i="20"/>
  <c r="N832" i="20"/>
  <c r="O832" i="20"/>
  <c r="P832" i="20"/>
  <c r="Q832" i="20"/>
  <c r="R832" i="20"/>
  <c r="H833" i="20"/>
  <c r="I833" i="20"/>
  <c r="J833" i="20" s="1"/>
  <c r="M833" i="20"/>
  <c r="N833" i="20"/>
  <c r="O833" i="20"/>
  <c r="P833" i="20"/>
  <c r="Q833" i="20"/>
  <c r="R833" i="20"/>
  <c r="H834" i="20"/>
  <c r="I834" i="20"/>
  <c r="J834" i="20" s="1"/>
  <c r="M834" i="20"/>
  <c r="N834" i="20"/>
  <c r="O834" i="20"/>
  <c r="P834" i="20"/>
  <c r="Q834" i="20"/>
  <c r="R834" i="20"/>
  <c r="H835" i="20"/>
  <c r="I835" i="20"/>
  <c r="J835" i="20" s="1"/>
  <c r="M835" i="20"/>
  <c r="N835" i="20"/>
  <c r="O835" i="20"/>
  <c r="P835" i="20"/>
  <c r="Q835" i="20"/>
  <c r="R835" i="20"/>
  <c r="H836" i="20"/>
  <c r="I836" i="20"/>
  <c r="J836" i="20" s="1"/>
  <c r="M836" i="20"/>
  <c r="N836" i="20"/>
  <c r="O836" i="20"/>
  <c r="P836" i="20"/>
  <c r="Q836" i="20"/>
  <c r="R836" i="20"/>
  <c r="H837" i="20"/>
  <c r="I837" i="20"/>
  <c r="J837" i="20" s="1"/>
  <c r="M837" i="20"/>
  <c r="N837" i="20"/>
  <c r="O837" i="20"/>
  <c r="P837" i="20"/>
  <c r="Q837" i="20"/>
  <c r="R837" i="20"/>
  <c r="H838" i="20"/>
  <c r="I838" i="20"/>
  <c r="J838" i="20" s="1"/>
  <c r="M838" i="20"/>
  <c r="N838" i="20"/>
  <c r="O838" i="20"/>
  <c r="P838" i="20"/>
  <c r="Q838" i="20"/>
  <c r="R838" i="20"/>
  <c r="H839" i="20"/>
  <c r="I839" i="20"/>
  <c r="J839" i="20" s="1"/>
  <c r="M839" i="20"/>
  <c r="N839" i="20"/>
  <c r="O839" i="20"/>
  <c r="P839" i="20"/>
  <c r="Q839" i="20"/>
  <c r="R839" i="20"/>
  <c r="H840" i="20"/>
  <c r="I840" i="20"/>
  <c r="J840" i="20" s="1"/>
  <c r="M840" i="20"/>
  <c r="N840" i="20"/>
  <c r="O840" i="20"/>
  <c r="P840" i="20"/>
  <c r="Q840" i="20"/>
  <c r="R840" i="20"/>
  <c r="H841" i="20"/>
  <c r="I841" i="20"/>
  <c r="J841" i="20" s="1"/>
  <c r="M841" i="20"/>
  <c r="N841" i="20"/>
  <c r="O841" i="20"/>
  <c r="P841" i="20"/>
  <c r="Q841" i="20"/>
  <c r="R841" i="20"/>
  <c r="H842" i="20"/>
  <c r="I842" i="20"/>
  <c r="J842" i="20" s="1"/>
  <c r="M842" i="20"/>
  <c r="N842" i="20"/>
  <c r="O842" i="20"/>
  <c r="P842" i="20"/>
  <c r="Q842" i="20"/>
  <c r="R842" i="20"/>
  <c r="H843" i="20"/>
  <c r="I843" i="20"/>
  <c r="J843" i="20" s="1"/>
  <c r="M843" i="20"/>
  <c r="N843" i="20"/>
  <c r="O843" i="20"/>
  <c r="P843" i="20"/>
  <c r="Q843" i="20"/>
  <c r="R843" i="20"/>
  <c r="H844" i="20"/>
  <c r="I844" i="20"/>
  <c r="J844" i="20" s="1"/>
  <c r="M844" i="20"/>
  <c r="N844" i="20"/>
  <c r="O844" i="20"/>
  <c r="P844" i="20"/>
  <c r="Q844" i="20"/>
  <c r="R844" i="20"/>
  <c r="H845" i="20"/>
  <c r="I845" i="20"/>
  <c r="J845" i="20" s="1"/>
  <c r="M845" i="20"/>
  <c r="N845" i="20"/>
  <c r="O845" i="20"/>
  <c r="P845" i="20"/>
  <c r="Q845" i="20"/>
  <c r="R845" i="20"/>
  <c r="H846" i="20"/>
  <c r="I846" i="20"/>
  <c r="J846" i="20" s="1"/>
  <c r="M846" i="20"/>
  <c r="N846" i="20"/>
  <c r="O846" i="20"/>
  <c r="P846" i="20"/>
  <c r="Q846" i="20"/>
  <c r="R846" i="20"/>
  <c r="H847" i="20"/>
  <c r="I847" i="20"/>
  <c r="J847" i="20" s="1"/>
  <c r="M847" i="20"/>
  <c r="N847" i="20"/>
  <c r="O847" i="20"/>
  <c r="P847" i="20"/>
  <c r="Q847" i="20"/>
  <c r="R847" i="20"/>
  <c r="H848" i="20"/>
  <c r="I848" i="20"/>
  <c r="J848" i="20" s="1"/>
  <c r="M848" i="20"/>
  <c r="N848" i="20"/>
  <c r="O848" i="20"/>
  <c r="P848" i="20"/>
  <c r="Q848" i="20"/>
  <c r="R848" i="20"/>
  <c r="H849" i="20"/>
  <c r="I849" i="20"/>
  <c r="J849" i="20" s="1"/>
  <c r="M849" i="20"/>
  <c r="N849" i="20"/>
  <c r="O849" i="20"/>
  <c r="P849" i="20"/>
  <c r="Q849" i="20"/>
  <c r="R849" i="20"/>
  <c r="H850" i="20"/>
  <c r="I850" i="20"/>
  <c r="J850" i="20" s="1"/>
  <c r="M850" i="20"/>
  <c r="N850" i="20"/>
  <c r="O850" i="20"/>
  <c r="P850" i="20"/>
  <c r="Q850" i="20"/>
  <c r="R850" i="20"/>
  <c r="H851" i="20"/>
  <c r="I851" i="20"/>
  <c r="J851" i="20" s="1"/>
  <c r="M851" i="20"/>
  <c r="N851" i="20"/>
  <c r="O851" i="20"/>
  <c r="P851" i="20"/>
  <c r="Q851" i="20"/>
  <c r="R851" i="20"/>
  <c r="P81" i="25"/>
  <c r="P82" i="25"/>
  <c r="P83" i="25"/>
  <c r="P84" i="25"/>
  <c r="P85" i="25"/>
  <c r="P86" i="25"/>
  <c r="P87" i="25"/>
  <c r="P88" i="25"/>
  <c r="P89" i="25"/>
  <c r="P90" i="25"/>
  <c r="P91" i="25"/>
  <c r="P92" i="25"/>
  <c r="P93" i="25"/>
  <c r="P94" i="25"/>
  <c r="P95" i="25"/>
  <c r="P96" i="25"/>
  <c r="P97" i="25"/>
  <c r="P98" i="25"/>
  <c r="P99" i="25"/>
  <c r="P100" i="25"/>
  <c r="P101" i="25"/>
  <c r="P102" i="25"/>
  <c r="P103" i="25"/>
  <c r="P104" i="25"/>
  <c r="P105" i="25"/>
  <c r="P106" i="25"/>
  <c r="P107" i="25"/>
  <c r="P108" i="25"/>
  <c r="P109" i="25"/>
  <c r="P110" i="25"/>
  <c r="P111" i="25"/>
  <c r="P112" i="25"/>
  <c r="P113" i="25"/>
  <c r="P114" i="25"/>
  <c r="P115" i="25"/>
  <c r="P116" i="25"/>
  <c r="P117" i="25"/>
  <c r="P118" i="25"/>
  <c r="P119" i="25"/>
  <c r="P120" i="25"/>
  <c r="P121" i="25"/>
  <c r="P122" i="25"/>
  <c r="P123" i="25"/>
  <c r="P124" i="25"/>
  <c r="P125" i="25"/>
  <c r="P126" i="25"/>
  <c r="P127" i="25"/>
  <c r="P128" i="25"/>
  <c r="P129" i="25"/>
  <c r="P130" i="25"/>
  <c r="P131" i="25"/>
  <c r="P132" i="25"/>
  <c r="P133" i="25"/>
  <c r="P134" i="25"/>
  <c r="P135" i="25"/>
  <c r="P136" i="25"/>
  <c r="P137" i="25"/>
  <c r="AD15" i="21"/>
  <c r="AB15" i="21"/>
  <c r="Z15" i="21"/>
  <c r="V15" i="21"/>
  <c r="T15" i="21"/>
  <c r="R15" i="21"/>
  <c r="N15" i="21"/>
  <c r="L15" i="21"/>
  <c r="J15" i="21"/>
  <c r="F15" i="21"/>
  <c r="D15" i="21"/>
  <c r="B15" i="21"/>
  <c r="AD14" i="21"/>
  <c r="AB14" i="21"/>
  <c r="Z14" i="21"/>
  <c r="V14" i="21"/>
  <c r="T14" i="21"/>
  <c r="R14" i="21"/>
  <c r="N14" i="21"/>
  <c r="L14" i="21"/>
  <c r="J14" i="21"/>
  <c r="F14" i="21"/>
  <c r="D14" i="21"/>
  <c r="B14" i="21"/>
  <c r="AD13" i="21"/>
  <c r="AB13" i="21"/>
  <c r="Z13" i="21"/>
  <c r="V13" i="21"/>
  <c r="T13" i="21"/>
  <c r="R13" i="21"/>
  <c r="N13" i="21"/>
  <c r="L13" i="21"/>
  <c r="J13" i="21"/>
  <c r="F13" i="21"/>
  <c r="D13" i="21"/>
  <c r="B13" i="21"/>
  <c r="AD12" i="21"/>
  <c r="AB12" i="21"/>
  <c r="Z12" i="21"/>
  <c r="V12" i="21"/>
  <c r="T12" i="21"/>
  <c r="R12" i="21"/>
  <c r="N12" i="21"/>
  <c r="L12" i="21"/>
  <c r="J12" i="21"/>
  <c r="F12" i="21"/>
  <c r="D12" i="21"/>
  <c r="B12" i="21"/>
  <c r="AD158" i="21"/>
  <c r="AB158" i="21"/>
  <c r="Z158" i="21"/>
  <c r="V158" i="21"/>
  <c r="T158" i="21"/>
  <c r="R158" i="21"/>
  <c r="N158" i="21"/>
  <c r="L158" i="21"/>
  <c r="J158" i="21"/>
  <c r="F158" i="21"/>
  <c r="D158" i="21"/>
  <c r="B158" i="21"/>
  <c r="AD159" i="21"/>
  <c r="AB159" i="21"/>
  <c r="Z159" i="21"/>
  <c r="V159" i="21"/>
  <c r="T159" i="21"/>
  <c r="R159" i="21"/>
  <c r="N159" i="21"/>
  <c r="L159" i="21"/>
  <c r="J159" i="21"/>
  <c r="F159" i="21"/>
  <c r="D159" i="21"/>
  <c r="B159" i="21"/>
  <c r="AD181" i="21"/>
  <c r="AB181" i="21"/>
  <c r="Z181" i="21"/>
  <c r="V181" i="21"/>
  <c r="T181" i="21"/>
  <c r="R181" i="21"/>
  <c r="N181" i="21"/>
  <c r="L181" i="21"/>
  <c r="J181" i="21"/>
  <c r="F181" i="21"/>
  <c r="D181" i="21"/>
  <c r="B181" i="21"/>
  <c r="AD169" i="21"/>
  <c r="AB169" i="21"/>
  <c r="Z169" i="21"/>
  <c r="V169" i="21"/>
  <c r="T169" i="21"/>
  <c r="R169" i="21"/>
  <c r="N169" i="21"/>
  <c r="L169" i="21"/>
  <c r="J169" i="21"/>
  <c r="F169" i="21"/>
  <c r="D169" i="21"/>
  <c r="B169" i="21"/>
  <c r="AD170" i="21"/>
  <c r="AB170" i="21"/>
  <c r="Z170" i="21"/>
  <c r="V170" i="21"/>
  <c r="T170" i="21"/>
  <c r="R170" i="21"/>
  <c r="N170" i="21"/>
  <c r="L170" i="21"/>
  <c r="J170" i="21"/>
  <c r="F170" i="21"/>
  <c r="D170" i="21"/>
  <c r="B170" i="21"/>
  <c r="AD182" i="21"/>
  <c r="AB182" i="21"/>
  <c r="Z182" i="21"/>
  <c r="V182" i="21"/>
  <c r="T182" i="21"/>
  <c r="R182" i="21"/>
  <c r="N182" i="21"/>
  <c r="L182" i="21"/>
  <c r="J182" i="21"/>
  <c r="F182" i="21"/>
  <c r="D182" i="21"/>
  <c r="B182" i="21"/>
  <c r="AD160" i="21"/>
  <c r="AB160" i="21"/>
  <c r="Z160" i="21"/>
  <c r="V160" i="21"/>
  <c r="T160" i="21"/>
  <c r="R160" i="21"/>
  <c r="N160" i="21"/>
  <c r="L160" i="21"/>
  <c r="J160" i="21"/>
  <c r="F160" i="21"/>
  <c r="D160" i="21"/>
  <c r="B160" i="21"/>
  <c r="H2" i="20"/>
  <c r="H3" i="20"/>
  <c r="H4" i="20"/>
  <c r="H5" i="20"/>
  <c r="H6" i="20"/>
  <c r="H7" i="20"/>
  <c r="H8" i="20"/>
  <c r="H9" i="20"/>
  <c r="H10" i="20"/>
  <c r="H11" i="20"/>
  <c r="H12" i="20"/>
  <c r="H13" i="20"/>
  <c r="H14" i="20"/>
  <c r="H15" i="20"/>
  <c r="H16" i="20"/>
  <c r="H17" i="20"/>
  <c r="H18" i="20"/>
  <c r="H19" i="20"/>
  <c r="H20" i="20"/>
  <c r="H21" i="20"/>
  <c r="H22" i="20"/>
  <c r="H23" i="20"/>
  <c r="H24" i="20"/>
  <c r="H25" i="20"/>
  <c r="H26" i="20"/>
  <c r="H27" i="20"/>
  <c r="H28" i="20"/>
  <c r="H29" i="20"/>
  <c r="H30" i="20"/>
  <c r="H31" i="20"/>
  <c r="H32" i="20"/>
  <c r="H33" i="20"/>
  <c r="H34" i="20"/>
  <c r="H35" i="20"/>
  <c r="H36" i="20"/>
  <c r="H37" i="20"/>
  <c r="H38" i="20"/>
  <c r="H39" i="20"/>
  <c r="H40" i="20"/>
  <c r="H41" i="20"/>
  <c r="H42" i="20"/>
  <c r="H43" i="20"/>
  <c r="H44" i="20"/>
  <c r="H45" i="20"/>
  <c r="H46" i="20"/>
  <c r="H47" i="20"/>
  <c r="H48" i="20"/>
  <c r="H49" i="20"/>
  <c r="H50" i="20"/>
  <c r="H51" i="20"/>
  <c r="H52" i="20"/>
  <c r="H53" i="20"/>
  <c r="H54" i="20"/>
  <c r="H55" i="20"/>
  <c r="H56" i="20"/>
  <c r="H57" i="20"/>
  <c r="H58" i="20"/>
  <c r="H59" i="20"/>
  <c r="H60" i="20"/>
  <c r="H61" i="20"/>
  <c r="H62" i="20"/>
  <c r="H63" i="20"/>
  <c r="H64" i="20"/>
  <c r="H65" i="20"/>
  <c r="H66" i="20"/>
  <c r="H67" i="20"/>
  <c r="H68" i="20"/>
  <c r="H69" i="20"/>
  <c r="H70" i="20"/>
  <c r="H71" i="20"/>
  <c r="H72" i="20"/>
  <c r="H73" i="20"/>
  <c r="H74" i="20"/>
  <c r="H75" i="20"/>
  <c r="H76" i="20"/>
  <c r="H77" i="20"/>
  <c r="H78" i="20"/>
  <c r="H79" i="20"/>
  <c r="H80" i="20"/>
  <c r="H81" i="20"/>
  <c r="H82" i="20"/>
  <c r="H83" i="20"/>
  <c r="H84" i="20"/>
  <c r="H85" i="20"/>
  <c r="H86" i="20"/>
  <c r="H87" i="20"/>
  <c r="H88" i="20"/>
  <c r="H89" i="20"/>
  <c r="H90" i="20"/>
  <c r="H91" i="20"/>
  <c r="H92" i="20"/>
  <c r="H93" i="20"/>
  <c r="H94" i="20"/>
  <c r="H95" i="20"/>
  <c r="H96" i="20"/>
  <c r="H97" i="20"/>
  <c r="H98" i="20"/>
  <c r="H99" i="20"/>
  <c r="H100" i="20"/>
  <c r="H101" i="20"/>
  <c r="H102" i="20"/>
  <c r="H103" i="20"/>
  <c r="H104" i="20"/>
  <c r="H105" i="20"/>
  <c r="H106" i="20"/>
  <c r="H107" i="20"/>
  <c r="H108" i="20"/>
  <c r="H109" i="20"/>
  <c r="H110" i="20"/>
  <c r="H111" i="20"/>
  <c r="H112" i="20"/>
  <c r="H113" i="20"/>
  <c r="H114" i="20"/>
  <c r="H115" i="20"/>
  <c r="H116" i="20"/>
  <c r="H117" i="20"/>
  <c r="H118" i="20"/>
  <c r="H119" i="20"/>
  <c r="H120" i="20"/>
  <c r="H121" i="20"/>
  <c r="H122" i="20"/>
  <c r="H123" i="20"/>
  <c r="H124" i="20"/>
  <c r="H125" i="20"/>
  <c r="H126" i="20"/>
  <c r="H127" i="20"/>
  <c r="H128" i="20"/>
  <c r="H129" i="20"/>
  <c r="H130" i="20"/>
  <c r="H131" i="20"/>
  <c r="H132" i="20"/>
  <c r="H133" i="20"/>
  <c r="H134" i="20"/>
  <c r="H135" i="20"/>
  <c r="H136" i="20"/>
  <c r="H137" i="20"/>
  <c r="H138" i="20"/>
  <c r="H139" i="20"/>
  <c r="H140" i="20"/>
  <c r="H141" i="20"/>
  <c r="H142" i="20"/>
  <c r="H143" i="20"/>
  <c r="H144" i="20"/>
  <c r="H145" i="20"/>
  <c r="H146" i="20"/>
  <c r="H147" i="20"/>
  <c r="H148" i="20"/>
  <c r="H149" i="20"/>
  <c r="H150" i="20"/>
  <c r="H151" i="20"/>
  <c r="H152" i="20"/>
  <c r="H153" i="20"/>
  <c r="H154" i="20"/>
  <c r="H155" i="20"/>
  <c r="H156" i="20"/>
  <c r="H157" i="20"/>
  <c r="H158" i="20"/>
  <c r="H159" i="20"/>
  <c r="H160" i="20"/>
  <c r="H161" i="20"/>
  <c r="H162" i="20"/>
  <c r="H163" i="20"/>
  <c r="H164" i="20"/>
  <c r="H165" i="20"/>
  <c r="H166" i="20"/>
  <c r="H167" i="20"/>
  <c r="H168" i="20"/>
  <c r="H169" i="20"/>
  <c r="H170" i="20"/>
  <c r="H171" i="20"/>
  <c r="H172" i="20"/>
  <c r="H173" i="20"/>
  <c r="H174" i="20"/>
  <c r="H175" i="20"/>
  <c r="H176" i="20"/>
  <c r="H177" i="20"/>
  <c r="H178" i="20"/>
  <c r="H179" i="20"/>
  <c r="H180" i="20"/>
  <c r="H181" i="20"/>
  <c r="H182" i="20"/>
  <c r="H183" i="20"/>
  <c r="H184" i="20"/>
  <c r="H185" i="20"/>
  <c r="H186" i="20"/>
  <c r="H187" i="20"/>
  <c r="H188" i="20"/>
  <c r="H189" i="20"/>
  <c r="H190" i="20"/>
  <c r="H191" i="20"/>
  <c r="H192" i="20"/>
  <c r="H193" i="20"/>
  <c r="H194" i="20"/>
  <c r="H195" i="20"/>
  <c r="H196" i="20"/>
  <c r="H197" i="20"/>
  <c r="H198" i="20"/>
  <c r="H199" i="20"/>
  <c r="H200" i="20"/>
  <c r="H201" i="20"/>
  <c r="H202" i="20"/>
  <c r="H203" i="20"/>
  <c r="H204" i="20"/>
  <c r="H205" i="20"/>
  <c r="H206" i="20"/>
  <c r="H207" i="20"/>
  <c r="H208" i="20"/>
  <c r="H209" i="20"/>
  <c r="H210" i="20"/>
  <c r="H211" i="20"/>
  <c r="H212" i="20"/>
  <c r="H213" i="20"/>
  <c r="H214" i="20"/>
  <c r="H215" i="20"/>
  <c r="H216" i="20"/>
  <c r="H217" i="20"/>
  <c r="H218" i="20"/>
  <c r="H219" i="20"/>
  <c r="H220" i="20"/>
  <c r="H221" i="20"/>
  <c r="H222" i="20"/>
  <c r="H223" i="20"/>
  <c r="H224" i="20"/>
  <c r="H225" i="20"/>
  <c r="H226" i="20"/>
  <c r="H227" i="20"/>
  <c r="H228" i="20"/>
  <c r="H229" i="20"/>
  <c r="H230" i="20"/>
  <c r="H231" i="20"/>
  <c r="H232" i="20"/>
  <c r="H233" i="20"/>
  <c r="H234" i="20"/>
  <c r="H235" i="20"/>
  <c r="H236" i="20"/>
  <c r="H237" i="20"/>
  <c r="H238" i="20"/>
  <c r="H239" i="20"/>
  <c r="H240" i="20"/>
  <c r="H241" i="20"/>
  <c r="H242" i="20"/>
  <c r="H243" i="20"/>
  <c r="H244" i="20"/>
  <c r="H245" i="20"/>
  <c r="H246" i="20"/>
  <c r="H247" i="20"/>
  <c r="H248" i="20"/>
  <c r="H249" i="20"/>
  <c r="H250" i="20"/>
  <c r="H251" i="20"/>
  <c r="H252" i="20"/>
  <c r="H253" i="20"/>
  <c r="H254" i="20"/>
  <c r="H255" i="20"/>
  <c r="H256" i="20"/>
  <c r="H257" i="20"/>
  <c r="H258" i="20"/>
  <c r="H259" i="20"/>
  <c r="H260" i="20"/>
  <c r="H261" i="20"/>
  <c r="H262" i="20"/>
  <c r="H263" i="20"/>
  <c r="H264" i="20"/>
  <c r="H265" i="20"/>
  <c r="H266" i="20"/>
  <c r="H267" i="20"/>
  <c r="H268" i="20"/>
  <c r="H269" i="20"/>
  <c r="H270" i="20"/>
  <c r="H271" i="20"/>
  <c r="H272" i="20"/>
  <c r="H273" i="20"/>
  <c r="H274" i="20"/>
  <c r="H275" i="20"/>
  <c r="H276" i="20"/>
  <c r="H277" i="20"/>
  <c r="H278" i="20"/>
  <c r="H279" i="20"/>
  <c r="H280" i="20"/>
  <c r="H281" i="20"/>
  <c r="H282" i="20"/>
  <c r="H283" i="20"/>
  <c r="H284" i="20"/>
  <c r="H285" i="20"/>
  <c r="H286" i="20"/>
  <c r="H287" i="20"/>
  <c r="H288" i="20"/>
  <c r="H289" i="20"/>
  <c r="H290" i="20"/>
  <c r="H291" i="20"/>
  <c r="H292" i="20"/>
  <c r="H293" i="20"/>
  <c r="H294" i="20"/>
  <c r="H295" i="20"/>
  <c r="H296" i="20"/>
  <c r="H297" i="20"/>
  <c r="H298" i="20"/>
  <c r="H299" i="20"/>
  <c r="H300" i="20"/>
  <c r="H301" i="20"/>
  <c r="H302" i="20"/>
  <c r="H303" i="20"/>
  <c r="H304" i="20"/>
  <c r="H305" i="20"/>
  <c r="H306" i="20"/>
  <c r="H307" i="20"/>
  <c r="H308" i="20"/>
  <c r="H309" i="20"/>
  <c r="H310" i="20"/>
  <c r="H311" i="20"/>
  <c r="H312" i="20"/>
  <c r="H313" i="20"/>
  <c r="H314" i="20"/>
  <c r="H315" i="20"/>
  <c r="H316" i="20"/>
  <c r="H317" i="20"/>
  <c r="H318" i="20"/>
  <c r="H319" i="20"/>
  <c r="H320" i="20"/>
  <c r="H321" i="20"/>
  <c r="H322" i="20"/>
  <c r="H323" i="20"/>
  <c r="H324" i="20"/>
  <c r="H325" i="20"/>
  <c r="H326" i="20"/>
  <c r="H327" i="20"/>
  <c r="H328" i="20"/>
  <c r="H329" i="20"/>
  <c r="H330" i="20"/>
  <c r="H331" i="20"/>
  <c r="H332" i="20"/>
  <c r="H333" i="20"/>
  <c r="H334" i="20"/>
  <c r="H335" i="20"/>
  <c r="H336" i="20"/>
  <c r="H337" i="20"/>
  <c r="H338" i="20"/>
  <c r="H339" i="20"/>
  <c r="H340" i="20"/>
  <c r="H341" i="20"/>
  <c r="H342" i="20"/>
  <c r="H343" i="20"/>
  <c r="H344" i="20"/>
  <c r="H345" i="20"/>
  <c r="H346" i="20"/>
  <c r="H347" i="20"/>
  <c r="H348" i="20"/>
  <c r="H349" i="20"/>
  <c r="H350" i="20"/>
  <c r="H351" i="20"/>
  <c r="H352" i="20"/>
  <c r="H353" i="20"/>
  <c r="H354" i="20"/>
  <c r="H355" i="20"/>
  <c r="H356" i="20"/>
  <c r="H357" i="20"/>
  <c r="H358" i="20"/>
  <c r="H359" i="20"/>
  <c r="H360" i="20"/>
  <c r="H361" i="20"/>
  <c r="H362" i="20"/>
  <c r="H363" i="20"/>
  <c r="H364" i="20"/>
  <c r="H365" i="20"/>
  <c r="H366" i="20"/>
  <c r="H367" i="20"/>
  <c r="H368" i="20"/>
  <c r="H369" i="20"/>
  <c r="H370" i="20"/>
  <c r="H371" i="20"/>
  <c r="H372" i="20"/>
  <c r="H373" i="20"/>
  <c r="H374" i="20"/>
  <c r="H375" i="20"/>
  <c r="H376" i="20"/>
  <c r="H377" i="20"/>
  <c r="H378" i="20"/>
  <c r="H379" i="20"/>
  <c r="H380" i="20"/>
  <c r="H381" i="20"/>
  <c r="H382" i="20"/>
  <c r="H383" i="20"/>
  <c r="H384" i="20"/>
  <c r="H385" i="20"/>
  <c r="H386" i="20"/>
  <c r="H387" i="20"/>
  <c r="H388" i="20"/>
  <c r="H389" i="20"/>
  <c r="H390" i="20"/>
  <c r="H391" i="20"/>
  <c r="H392" i="20"/>
  <c r="H393" i="20"/>
  <c r="H394" i="20"/>
  <c r="H395" i="20"/>
  <c r="H396" i="20"/>
  <c r="H397" i="20"/>
  <c r="H398" i="20"/>
  <c r="H399" i="20"/>
  <c r="H400" i="20"/>
  <c r="H401" i="20"/>
  <c r="H402" i="20"/>
  <c r="H403" i="20"/>
  <c r="H404" i="20"/>
  <c r="H405" i="20"/>
  <c r="H406" i="20"/>
  <c r="H407" i="20"/>
  <c r="H408" i="20"/>
  <c r="H409" i="20"/>
  <c r="H410" i="20"/>
  <c r="H411" i="20"/>
  <c r="H412" i="20"/>
  <c r="H413" i="20"/>
  <c r="H414" i="20"/>
  <c r="H415" i="20"/>
  <c r="H416" i="20"/>
  <c r="H417" i="20"/>
  <c r="H418" i="20"/>
  <c r="H419" i="20"/>
  <c r="H420" i="20"/>
  <c r="H421" i="20"/>
  <c r="H422" i="20"/>
  <c r="H423" i="20"/>
  <c r="H424" i="20"/>
  <c r="H425" i="20"/>
  <c r="H426" i="20"/>
  <c r="H427" i="20"/>
  <c r="H428" i="20"/>
  <c r="H429" i="20"/>
  <c r="H430" i="20"/>
  <c r="H431" i="20"/>
  <c r="H432" i="20"/>
  <c r="H433" i="20"/>
  <c r="H434" i="20"/>
  <c r="H435" i="20"/>
  <c r="H436" i="20"/>
  <c r="H437" i="20"/>
  <c r="H438" i="20"/>
  <c r="H439" i="20"/>
  <c r="H440" i="20"/>
  <c r="H441" i="20"/>
  <c r="H442" i="20"/>
  <c r="H443" i="20"/>
  <c r="H444" i="20"/>
  <c r="H445" i="20"/>
  <c r="H446" i="20"/>
  <c r="H447" i="20"/>
  <c r="H448" i="20"/>
  <c r="H449" i="20"/>
  <c r="H450" i="20"/>
  <c r="H451" i="20"/>
  <c r="H452" i="20"/>
  <c r="H453" i="20"/>
  <c r="H454" i="20"/>
  <c r="H455" i="20"/>
  <c r="H456" i="20"/>
  <c r="H457" i="20"/>
  <c r="H458" i="20"/>
  <c r="H459" i="20"/>
  <c r="H460" i="20"/>
  <c r="H461" i="20"/>
  <c r="H462" i="20"/>
  <c r="H463" i="20"/>
  <c r="H464" i="20"/>
  <c r="H465" i="20"/>
  <c r="H466" i="20"/>
  <c r="H467" i="20"/>
  <c r="H468" i="20"/>
  <c r="H469" i="20"/>
  <c r="H470" i="20"/>
  <c r="H471" i="20"/>
  <c r="H472" i="20"/>
  <c r="H473" i="20"/>
  <c r="H474" i="20"/>
  <c r="H475" i="20"/>
  <c r="H476" i="20"/>
  <c r="H477" i="20"/>
  <c r="H478" i="20"/>
  <c r="H479" i="20"/>
  <c r="H480" i="20"/>
  <c r="H481" i="20"/>
  <c r="H482" i="20"/>
  <c r="H483" i="20"/>
  <c r="H484" i="20"/>
  <c r="H485" i="20"/>
  <c r="H486" i="20"/>
  <c r="H487" i="20"/>
  <c r="H488" i="20"/>
  <c r="H489" i="20"/>
  <c r="H490" i="20"/>
  <c r="H491" i="20"/>
  <c r="H492" i="20"/>
  <c r="H493" i="20"/>
  <c r="H494" i="20"/>
  <c r="H495" i="20"/>
  <c r="H496" i="20"/>
  <c r="H497" i="20"/>
  <c r="H498" i="20"/>
  <c r="H499" i="20"/>
  <c r="H500" i="20"/>
  <c r="H501" i="20"/>
  <c r="H502" i="20"/>
  <c r="H503" i="20"/>
  <c r="H504" i="20"/>
  <c r="H505" i="20"/>
  <c r="H506" i="20"/>
  <c r="H507" i="20"/>
  <c r="H508" i="20"/>
  <c r="H509" i="20"/>
  <c r="H510" i="20"/>
  <c r="H511" i="20"/>
  <c r="H512" i="20"/>
  <c r="H513" i="20"/>
  <c r="H514" i="20"/>
  <c r="H515" i="20"/>
  <c r="H516" i="20"/>
  <c r="H517" i="20"/>
  <c r="H518" i="20"/>
  <c r="H519" i="20"/>
  <c r="H520" i="20"/>
  <c r="H521" i="20"/>
  <c r="H522" i="20"/>
  <c r="H523" i="20"/>
  <c r="H524" i="20"/>
  <c r="H525" i="20"/>
  <c r="H526" i="20"/>
  <c r="H527" i="20"/>
  <c r="H528" i="20"/>
  <c r="H529" i="20"/>
  <c r="H530" i="20"/>
  <c r="H531" i="20"/>
  <c r="H532" i="20"/>
  <c r="H533" i="20"/>
  <c r="H534" i="20"/>
  <c r="H535" i="20"/>
  <c r="H536" i="20"/>
  <c r="H537" i="20"/>
  <c r="H538" i="20"/>
  <c r="H539" i="20"/>
  <c r="H540" i="20"/>
  <c r="H541" i="20"/>
  <c r="H542" i="20"/>
  <c r="H543" i="20"/>
  <c r="H544" i="20"/>
  <c r="H545" i="20"/>
  <c r="H546" i="20"/>
  <c r="H547" i="20"/>
  <c r="H548" i="20"/>
  <c r="H549" i="20"/>
  <c r="H550" i="20"/>
  <c r="H551" i="20"/>
  <c r="H552" i="20"/>
  <c r="H553" i="20"/>
  <c r="H554" i="20"/>
  <c r="H555" i="20"/>
  <c r="H556" i="20"/>
  <c r="H557" i="20"/>
  <c r="H558" i="20"/>
  <c r="H559" i="20"/>
  <c r="H560" i="20"/>
  <c r="H561" i="20"/>
  <c r="H562" i="20"/>
  <c r="H563" i="20"/>
  <c r="H564" i="20"/>
  <c r="H565" i="20"/>
  <c r="H566" i="20"/>
  <c r="H567" i="20"/>
  <c r="H568" i="20"/>
  <c r="H569" i="20"/>
  <c r="H570" i="20"/>
  <c r="H571" i="20"/>
  <c r="H572" i="20"/>
  <c r="H573" i="20"/>
  <c r="H574" i="20"/>
  <c r="H575" i="20"/>
  <c r="H576" i="20"/>
  <c r="H577" i="20"/>
  <c r="H578" i="20"/>
  <c r="H579" i="20"/>
  <c r="H580" i="20"/>
  <c r="H581" i="20"/>
  <c r="H582" i="20"/>
  <c r="H583" i="20"/>
  <c r="H584" i="20"/>
  <c r="H585" i="20"/>
  <c r="H586" i="20"/>
  <c r="H587" i="20"/>
  <c r="H588" i="20"/>
  <c r="H589" i="20"/>
  <c r="H590" i="20"/>
  <c r="H591" i="20"/>
  <c r="H592" i="20"/>
  <c r="H593" i="20"/>
  <c r="H594" i="20"/>
  <c r="H595" i="20"/>
  <c r="H596" i="20"/>
  <c r="H597" i="20"/>
  <c r="H598" i="20"/>
  <c r="H599" i="20"/>
  <c r="H600" i="20"/>
  <c r="H601" i="20"/>
  <c r="H602" i="20"/>
  <c r="H603" i="20"/>
  <c r="H604" i="20"/>
  <c r="H605" i="20"/>
  <c r="H606" i="20"/>
  <c r="H607" i="20"/>
  <c r="H608" i="20"/>
  <c r="H609" i="20"/>
  <c r="H610" i="20"/>
  <c r="H611" i="20"/>
  <c r="H612" i="20"/>
  <c r="H613" i="20"/>
  <c r="H614" i="20"/>
  <c r="H615" i="20"/>
  <c r="H616" i="20"/>
  <c r="H617" i="20"/>
  <c r="H618" i="20"/>
  <c r="H619" i="20"/>
  <c r="H620" i="20"/>
  <c r="H621" i="20"/>
  <c r="H622" i="20"/>
  <c r="H623" i="20"/>
  <c r="H624" i="20"/>
  <c r="H625" i="20"/>
  <c r="H626" i="20"/>
  <c r="H627" i="20"/>
  <c r="H628" i="20"/>
  <c r="H629" i="20"/>
  <c r="H630" i="20"/>
  <c r="H631" i="20"/>
  <c r="H632" i="20"/>
  <c r="H633" i="20"/>
  <c r="H634" i="20"/>
  <c r="H635" i="20"/>
  <c r="H636" i="20"/>
  <c r="H637" i="20"/>
  <c r="H638" i="20"/>
  <c r="H639" i="20"/>
  <c r="H640" i="20"/>
  <c r="H641" i="20"/>
  <c r="H642" i="20"/>
  <c r="H643" i="20"/>
  <c r="H644" i="20"/>
  <c r="H645" i="20"/>
  <c r="H646" i="20"/>
  <c r="H647" i="20"/>
  <c r="H648" i="20"/>
  <c r="H649" i="20"/>
  <c r="H650" i="20"/>
  <c r="H651" i="20"/>
  <c r="H652" i="20"/>
  <c r="H653" i="20"/>
  <c r="H654" i="20"/>
  <c r="H655" i="20"/>
  <c r="H656" i="20"/>
  <c r="H657" i="20"/>
  <c r="H658" i="20"/>
  <c r="H659" i="20"/>
  <c r="H660" i="20"/>
  <c r="H661" i="20"/>
  <c r="H662" i="20"/>
  <c r="H663" i="20"/>
  <c r="H664" i="20"/>
  <c r="H665" i="20"/>
  <c r="H666" i="20"/>
  <c r="H667" i="20"/>
  <c r="H668" i="20"/>
  <c r="H669" i="20"/>
  <c r="H670" i="20"/>
  <c r="H671" i="20"/>
  <c r="H672" i="20"/>
  <c r="H673" i="20"/>
  <c r="H674" i="20"/>
  <c r="H675" i="20"/>
  <c r="H676" i="20"/>
  <c r="H677" i="20"/>
  <c r="H678" i="20"/>
  <c r="H679" i="20"/>
  <c r="H680" i="20"/>
  <c r="H681" i="20"/>
  <c r="H682" i="20"/>
  <c r="H683" i="20"/>
  <c r="H684" i="20"/>
  <c r="H685" i="20"/>
  <c r="H686" i="20"/>
  <c r="H687" i="20"/>
  <c r="H688" i="20"/>
  <c r="H689" i="20"/>
  <c r="H690" i="20"/>
  <c r="H691" i="20"/>
  <c r="H692" i="20"/>
  <c r="H693" i="20"/>
  <c r="H694" i="20"/>
  <c r="H695" i="20"/>
  <c r="H696" i="20"/>
  <c r="H697" i="20"/>
  <c r="H698" i="20"/>
  <c r="H699" i="20"/>
  <c r="H700" i="20"/>
  <c r="H701" i="20"/>
  <c r="H702" i="20"/>
  <c r="H703" i="20"/>
  <c r="H704" i="20"/>
  <c r="H705" i="20"/>
  <c r="H706" i="20"/>
  <c r="H707" i="20"/>
  <c r="H708" i="20"/>
  <c r="H709" i="20"/>
  <c r="H710" i="20"/>
  <c r="H711" i="20"/>
  <c r="H712" i="20"/>
  <c r="H713" i="20"/>
  <c r="H714" i="20"/>
  <c r="H715" i="20"/>
  <c r="H716" i="20"/>
  <c r="H717" i="20"/>
  <c r="H718" i="20"/>
  <c r="H719" i="20"/>
  <c r="H720" i="20"/>
  <c r="H721" i="20"/>
  <c r="H722" i="20"/>
  <c r="H723" i="20"/>
  <c r="H724" i="20"/>
  <c r="H725" i="20"/>
  <c r="H726" i="20"/>
  <c r="H727" i="20"/>
  <c r="H728" i="20"/>
  <c r="H729" i="20"/>
  <c r="H730" i="20"/>
  <c r="H731" i="20"/>
  <c r="H732" i="20"/>
  <c r="H733" i="20"/>
  <c r="H734" i="20"/>
  <c r="H735" i="20"/>
  <c r="H736" i="20"/>
  <c r="H737" i="20"/>
  <c r="H738" i="20"/>
  <c r="H739" i="20"/>
  <c r="H740" i="20"/>
  <c r="H741" i="20"/>
  <c r="H742" i="20"/>
  <c r="H743" i="20"/>
  <c r="H744" i="20"/>
  <c r="H745" i="20"/>
  <c r="H746" i="20"/>
  <c r="H747" i="20"/>
  <c r="H748" i="20"/>
  <c r="H749" i="20"/>
  <c r="H750" i="20"/>
  <c r="H751" i="20"/>
  <c r="H752" i="20"/>
  <c r="H753" i="20"/>
  <c r="H754" i="20"/>
  <c r="H755" i="20"/>
  <c r="H756" i="20"/>
  <c r="H757" i="20"/>
  <c r="H758" i="20"/>
  <c r="H759" i="20"/>
  <c r="H760" i="20"/>
  <c r="H761" i="20"/>
  <c r="H762" i="20"/>
  <c r="H763" i="20"/>
  <c r="H764" i="20"/>
  <c r="H765" i="20"/>
  <c r="H766" i="20"/>
  <c r="H767" i="20"/>
  <c r="H768" i="20"/>
  <c r="H769" i="20"/>
  <c r="H770" i="20"/>
  <c r="H771" i="20"/>
  <c r="H772" i="20"/>
  <c r="H773" i="20"/>
  <c r="H774" i="20"/>
  <c r="H775" i="20"/>
  <c r="H776" i="20"/>
  <c r="H777" i="20"/>
  <c r="H778" i="20"/>
  <c r="H779" i="20"/>
  <c r="H780" i="20"/>
  <c r="H781" i="20"/>
  <c r="H782" i="20"/>
  <c r="H783" i="20"/>
  <c r="H784" i="20"/>
  <c r="H785" i="20"/>
  <c r="H786" i="20"/>
  <c r="H787" i="20"/>
  <c r="H788" i="20"/>
  <c r="H789" i="20"/>
  <c r="H790" i="20"/>
  <c r="H791" i="20"/>
  <c r="H792" i="20"/>
  <c r="H793" i="20"/>
  <c r="H794" i="20"/>
  <c r="H852" i="20"/>
  <c r="H853" i="20"/>
  <c r="H854" i="20"/>
  <c r="H855" i="20"/>
  <c r="H856" i="20"/>
  <c r="H857" i="20"/>
  <c r="H858" i="20"/>
  <c r="H859" i="20"/>
  <c r="H860" i="20"/>
  <c r="H861" i="20"/>
  <c r="H862" i="20"/>
  <c r="H863" i="20"/>
  <c r="H864" i="20"/>
  <c r="H865" i="20"/>
  <c r="H866" i="20"/>
  <c r="H867" i="20"/>
  <c r="H868" i="20"/>
  <c r="H869" i="20"/>
  <c r="H870" i="20"/>
  <c r="H871" i="20"/>
  <c r="H872" i="20"/>
  <c r="H873" i="20"/>
  <c r="H874" i="20"/>
  <c r="H875" i="20"/>
  <c r="H876" i="20"/>
  <c r="H877" i="20"/>
  <c r="H878" i="20"/>
  <c r="H879" i="20"/>
  <c r="H880" i="20"/>
  <c r="H881" i="20"/>
  <c r="H882" i="20"/>
  <c r="H883" i="20"/>
  <c r="H884" i="20"/>
  <c r="H885" i="20"/>
  <c r="H886" i="20"/>
  <c r="H887" i="20"/>
  <c r="H888" i="20"/>
  <c r="H889" i="20"/>
  <c r="H890" i="20"/>
  <c r="H891" i="20"/>
  <c r="H892" i="20"/>
  <c r="H893" i="20"/>
  <c r="H894" i="20"/>
  <c r="H895" i="20"/>
  <c r="H896" i="20"/>
  <c r="H897" i="20"/>
  <c r="H898" i="20"/>
  <c r="H899" i="20"/>
  <c r="H900" i="20"/>
  <c r="H901" i="20"/>
  <c r="H902" i="20"/>
  <c r="H903" i="20"/>
  <c r="H904" i="20"/>
  <c r="H905" i="20"/>
  <c r="H906" i="20"/>
  <c r="H907" i="20"/>
  <c r="H908" i="20"/>
  <c r="H909" i="20"/>
  <c r="H910" i="20"/>
  <c r="H911" i="20"/>
  <c r="H912" i="20"/>
  <c r="H913" i="20"/>
  <c r="H914" i="20"/>
  <c r="H915" i="20"/>
  <c r="H916" i="20"/>
  <c r="H917" i="20"/>
  <c r="H918" i="20"/>
  <c r="H919" i="20"/>
  <c r="H920" i="20"/>
  <c r="H921" i="20"/>
  <c r="H922" i="20"/>
  <c r="H923" i="20"/>
  <c r="H924" i="20"/>
  <c r="H925" i="20"/>
  <c r="H926" i="20"/>
  <c r="H927" i="20"/>
  <c r="H928" i="20"/>
  <c r="H929" i="20"/>
  <c r="H930" i="20"/>
  <c r="H931" i="20"/>
  <c r="H932" i="20"/>
  <c r="H933" i="20"/>
  <c r="H934" i="20"/>
  <c r="H935" i="20"/>
  <c r="H936" i="20"/>
  <c r="H937" i="20"/>
  <c r="H938" i="20"/>
  <c r="H939" i="20"/>
  <c r="H940" i="20"/>
  <c r="H941" i="20"/>
  <c r="H942" i="20"/>
  <c r="H943" i="20"/>
  <c r="H944" i="20"/>
  <c r="H945" i="20"/>
  <c r="H946" i="20"/>
  <c r="H947" i="20"/>
  <c r="H948" i="20"/>
  <c r="H949" i="20"/>
  <c r="H950" i="20"/>
  <c r="H951" i="20"/>
  <c r="H952" i="20"/>
  <c r="H953" i="20"/>
  <c r="H954" i="20"/>
  <c r="H955" i="20"/>
  <c r="H956" i="20"/>
  <c r="H957" i="20"/>
  <c r="H958" i="20"/>
  <c r="H959" i="20"/>
  <c r="H960" i="20"/>
  <c r="H961" i="20"/>
  <c r="H962" i="20"/>
  <c r="H963" i="20"/>
  <c r="H964" i="20"/>
  <c r="H965" i="20"/>
  <c r="H966" i="20"/>
  <c r="H967" i="20"/>
  <c r="H968" i="20"/>
  <c r="H969" i="20"/>
  <c r="H970" i="20"/>
  <c r="H971" i="20"/>
  <c r="H972" i="20"/>
  <c r="H973" i="20"/>
  <c r="H974" i="20"/>
  <c r="H975" i="20"/>
  <c r="H976" i="20"/>
  <c r="H977" i="20"/>
  <c r="H978" i="20"/>
  <c r="H979" i="20"/>
  <c r="H980" i="20"/>
  <c r="H981" i="20"/>
  <c r="H982" i="20"/>
  <c r="H983" i="20"/>
  <c r="H984" i="20"/>
  <c r="H985" i="20"/>
  <c r="H986" i="20"/>
  <c r="H987" i="20"/>
  <c r="H988" i="20"/>
  <c r="H989" i="20"/>
  <c r="H990" i="20"/>
  <c r="H991" i="20"/>
  <c r="H992" i="20"/>
  <c r="H993" i="20"/>
  <c r="H994" i="20"/>
  <c r="H995" i="20"/>
  <c r="H996" i="20"/>
  <c r="H997" i="20"/>
  <c r="H998" i="20"/>
  <c r="H999" i="20"/>
  <c r="H1000" i="20"/>
  <c r="H1001" i="20"/>
  <c r="H1002" i="20"/>
  <c r="H1003" i="20"/>
  <c r="H1004" i="20"/>
  <c r="H1005" i="20"/>
  <c r="H1006" i="20"/>
  <c r="H1007" i="20"/>
  <c r="H1008" i="20"/>
  <c r="H1009" i="20"/>
  <c r="H1010" i="20"/>
  <c r="H1011" i="20"/>
  <c r="H1012" i="20"/>
  <c r="H1013" i="20"/>
  <c r="H1014" i="20"/>
  <c r="H1015" i="20"/>
  <c r="H1016" i="20"/>
  <c r="H1017" i="20"/>
  <c r="H1018" i="20"/>
  <c r="H1019" i="20"/>
  <c r="H1020" i="20"/>
  <c r="H1021" i="20"/>
  <c r="H1022" i="20"/>
  <c r="H1023" i="20"/>
  <c r="H1024" i="20"/>
  <c r="H1025" i="20"/>
  <c r="H1026" i="20"/>
  <c r="H1027" i="20"/>
  <c r="H1028" i="20"/>
  <c r="H1029" i="20"/>
  <c r="H1030" i="20"/>
  <c r="H1031" i="20"/>
  <c r="H1032" i="20"/>
  <c r="H1033" i="20"/>
  <c r="H1034" i="20"/>
  <c r="H1035" i="20"/>
  <c r="H1036" i="20"/>
  <c r="H1037" i="20"/>
  <c r="H1038" i="20"/>
  <c r="H1039" i="20"/>
  <c r="H1040" i="20"/>
  <c r="H1041" i="20"/>
  <c r="H1042" i="20"/>
  <c r="H1043" i="20"/>
  <c r="H1044" i="20"/>
  <c r="H1045" i="20"/>
  <c r="H1046" i="20"/>
  <c r="H1047" i="20"/>
  <c r="H1048" i="20"/>
  <c r="H1049" i="20"/>
  <c r="H1050" i="20"/>
  <c r="H1051" i="20"/>
  <c r="H1052" i="20"/>
  <c r="H1053" i="20"/>
  <c r="H1054" i="20"/>
  <c r="H1055" i="20"/>
  <c r="H1056" i="20"/>
  <c r="H1057" i="20"/>
  <c r="H1058" i="20"/>
  <c r="H1059" i="20"/>
  <c r="H1060" i="20"/>
  <c r="H1061" i="20"/>
  <c r="H1062" i="20"/>
  <c r="H1063" i="20"/>
  <c r="H1064" i="20"/>
  <c r="H1065" i="20"/>
  <c r="H1066" i="20"/>
  <c r="H1067" i="20"/>
  <c r="H1068" i="20"/>
  <c r="H1069" i="20"/>
  <c r="H1070" i="20"/>
  <c r="H1071" i="20"/>
  <c r="H1072" i="20"/>
  <c r="H1073" i="20"/>
  <c r="H1074" i="20"/>
  <c r="H1075" i="20"/>
  <c r="H1076" i="20"/>
  <c r="H1077" i="20"/>
  <c r="H1078" i="20"/>
  <c r="H1079" i="20"/>
  <c r="H1080" i="20"/>
  <c r="H1081" i="20"/>
  <c r="H1082" i="20"/>
  <c r="H1083" i="20"/>
  <c r="H1084" i="20"/>
  <c r="H1085" i="20"/>
  <c r="H1086" i="20"/>
  <c r="H1087" i="20"/>
  <c r="H1088" i="20"/>
  <c r="H1089" i="20"/>
  <c r="H1090" i="20"/>
  <c r="H1091" i="20"/>
  <c r="H1092" i="20"/>
  <c r="H1093" i="20"/>
  <c r="H1094" i="20"/>
  <c r="H1095" i="20"/>
  <c r="H1096" i="20"/>
  <c r="H1097" i="20"/>
  <c r="H1098" i="20"/>
  <c r="H1099" i="20"/>
  <c r="H1100" i="20"/>
  <c r="H1101" i="20"/>
  <c r="H1102" i="20"/>
  <c r="H1103" i="20"/>
  <c r="H1104" i="20"/>
  <c r="H1105" i="20"/>
  <c r="H1106" i="20"/>
  <c r="H1107" i="20"/>
  <c r="H1108" i="20"/>
  <c r="H1109" i="20"/>
  <c r="H1110" i="20"/>
  <c r="H1111" i="20"/>
  <c r="H1112" i="20"/>
  <c r="H1113" i="20"/>
  <c r="H1114" i="20"/>
  <c r="H1115" i="20"/>
  <c r="H1116" i="20"/>
  <c r="H1117" i="20"/>
  <c r="H1118" i="20"/>
  <c r="H1119" i="20"/>
  <c r="H1120" i="20"/>
  <c r="H1121" i="20"/>
  <c r="H1122" i="20"/>
  <c r="H1123" i="20"/>
  <c r="H1124" i="20"/>
  <c r="H1125" i="20"/>
  <c r="H1126" i="20"/>
  <c r="H1127" i="20"/>
  <c r="H1128" i="20"/>
  <c r="H1129" i="20"/>
  <c r="H1130" i="20"/>
  <c r="H1131" i="20"/>
  <c r="H1132" i="20"/>
  <c r="H1133" i="20"/>
  <c r="H1134" i="20"/>
  <c r="H1135" i="20"/>
  <c r="H1136" i="20"/>
  <c r="H1137" i="20"/>
  <c r="H1138" i="20"/>
  <c r="H1139" i="20"/>
  <c r="H1140" i="20"/>
  <c r="H1141" i="20"/>
  <c r="H1142" i="20"/>
  <c r="H1143" i="20"/>
  <c r="H1144" i="20"/>
  <c r="H1145" i="20"/>
  <c r="H1146" i="20"/>
  <c r="H1147" i="20"/>
  <c r="H1148" i="20"/>
  <c r="H1149" i="20"/>
  <c r="H1150" i="20"/>
  <c r="H1151" i="20"/>
  <c r="H1152" i="20"/>
  <c r="H1153" i="20"/>
  <c r="H1154" i="20"/>
  <c r="H1155" i="20"/>
  <c r="H1156" i="20"/>
  <c r="H1157" i="20"/>
  <c r="H1158" i="20"/>
  <c r="H1159" i="20"/>
  <c r="H1160" i="20"/>
  <c r="H1161" i="20"/>
  <c r="H1162" i="20"/>
  <c r="H1163" i="20"/>
  <c r="H1164" i="20"/>
  <c r="H1165" i="20"/>
  <c r="H1166" i="20"/>
  <c r="H1167" i="20"/>
  <c r="H1168" i="20"/>
  <c r="H1169" i="20"/>
  <c r="H1170" i="20"/>
  <c r="H1171" i="20"/>
  <c r="H1172" i="20"/>
  <c r="H1173" i="20"/>
  <c r="H1174" i="20"/>
  <c r="H1175" i="20"/>
  <c r="H1176" i="20"/>
  <c r="H1177" i="20"/>
  <c r="H1178" i="20"/>
  <c r="H1179" i="20"/>
  <c r="H1180" i="20"/>
  <c r="H1181" i="20"/>
  <c r="H1182" i="20"/>
  <c r="H1183" i="20"/>
  <c r="H1184" i="20"/>
  <c r="H1185" i="20"/>
  <c r="H1186" i="20"/>
  <c r="H1187" i="20"/>
  <c r="H1188" i="20"/>
  <c r="H1189" i="20"/>
  <c r="H1190" i="20"/>
  <c r="H1191" i="20"/>
  <c r="H1192" i="20"/>
  <c r="H1193" i="20"/>
  <c r="H1194" i="20"/>
  <c r="H1195" i="20"/>
  <c r="H1196" i="20"/>
  <c r="H1197" i="20"/>
  <c r="H1198" i="20"/>
  <c r="H1199" i="20"/>
  <c r="H1200" i="20"/>
  <c r="H1201" i="20"/>
  <c r="H1202" i="20"/>
  <c r="H1203" i="20"/>
  <c r="H1204" i="20"/>
  <c r="H1205" i="20"/>
  <c r="H1206" i="20"/>
  <c r="H1207" i="20"/>
  <c r="H1208" i="20"/>
  <c r="H1209" i="20"/>
  <c r="H1210" i="20"/>
  <c r="H1211" i="20"/>
  <c r="H1212" i="20"/>
  <c r="H1213" i="20"/>
  <c r="H1214" i="20"/>
  <c r="H1215" i="20"/>
  <c r="H1216" i="20"/>
  <c r="H1217" i="20"/>
  <c r="H1218" i="20"/>
  <c r="H1219" i="20"/>
  <c r="H1220" i="20"/>
  <c r="H1221" i="20"/>
  <c r="H1222" i="20"/>
  <c r="H1223" i="20"/>
  <c r="H1224" i="20"/>
  <c r="H1225" i="20"/>
  <c r="H1226" i="20"/>
  <c r="H1227" i="20"/>
  <c r="H1228" i="20"/>
  <c r="H1229" i="20"/>
  <c r="H1230" i="20"/>
  <c r="H1231" i="20"/>
  <c r="H1232" i="20"/>
  <c r="H1233" i="20"/>
  <c r="H1234" i="20"/>
  <c r="H1235" i="20"/>
  <c r="H1236" i="20"/>
  <c r="H1237" i="20"/>
  <c r="H1238" i="20"/>
  <c r="H1239" i="20"/>
  <c r="H1240" i="20"/>
  <c r="H1241" i="20"/>
  <c r="H1242" i="20"/>
  <c r="H1243" i="20"/>
  <c r="H1244" i="20"/>
  <c r="H1245" i="20"/>
  <c r="H1246" i="20"/>
  <c r="H1247" i="20"/>
  <c r="H1248" i="20"/>
  <c r="H1249" i="20"/>
  <c r="H1250" i="20"/>
  <c r="H1251" i="20"/>
  <c r="H1252" i="20"/>
  <c r="H1253" i="20"/>
  <c r="H1254" i="20"/>
  <c r="H1255" i="20"/>
  <c r="H1256" i="20"/>
  <c r="H1257" i="20"/>
  <c r="H1258" i="20"/>
  <c r="H1259" i="20"/>
  <c r="H1260" i="20"/>
  <c r="H1261" i="20"/>
  <c r="H1262" i="20"/>
  <c r="H1263" i="20"/>
  <c r="H1264" i="20"/>
  <c r="H1265" i="20"/>
  <c r="H1266" i="20"/>
  <c r="H1267" i="20"/>
  <c r="H1268" i="20"/>
  <c r="H1269" i="20"/>
  <c r="H1270" i="20"/>
  <c r="H1271" i="20"/>
  <c r="H1272" i="20"/>
  <c r="H1273" i="20"/>
  <c r="H1274" i="20"/>
  <c r="H1275" i="20"/>
  <c r="H1276" i="20"/>
  <c r="H1277" i="20"/>
  <c r="H1278" i="20"/>
  <c r="H1279" i="20"/>
  <c r="H1280" i="20"/>
  <c r="H1281" i="20"/>
  <c r="H1282" i="20"/>
  <c r="H1283" i="20"/>
  <c r="H1284" i="20"/>
  <c r="H1285" i="20"/>
  <c r="H1286" i="20"/>
  <c r="H1287" i="20"/>
  <c r="H1288" i="20"/>
  <c r="H1289" i="20"/>
  <c r="H1290" i="20"/>
  <c r="H1291" i="20"/>
  <c r="H1292" i="20"/>
  <c r="H1293" i="20"/>
  <c r="H1294" i="20"/>
  <c r="H1295" i="20"/>
  <c r="H1296" i="20"/>
  <c r="H1297" i="20"/>
  <c r="H1298" i="20"/>
  <c r="H1299" i="20"/>
  <c r="H1300" i="20"/>
  <c r="H1301" i="20"/>
  <c r="H1302" i="20"/>
  <c r="H1303" i="20"/>
  <c r="H1304" i="20"/>
  <c r="H1305" i="20"/>
  <c r="H1306" i="20"/>
  <c r="H1307" i="20"/>
  <c r="H1308" i="20"/>
  <c r="H1309" i="20"/>
  <c r="H1310" i="20"/>
  <c r="H1311" i="20"/>
  <c r="H1312" i="20"/>
  <c r="H1313" i="20"/>
  <c r="H1314" i="20"/>
  <c r="H1315" i="20"/>
  <c r="H1316" i="20"/>
  <c r="H1317" i="20"/>
  <c r="H1318" i="20"/>
  <c r="H1319" i="20"/>
  <c r="H1320" i="20"/>
  <c r="H1321" i="20"/>
  <c r="H1322" i="20"/>
  <c r="H1323" i="20"/>
  <c r="H1324" i="20"/>
  <c r="H1325" i="20"/>
  <c r="H1326" i="20"/>
  <c r="H1327" i="20"/>
  <c r="H1328" i="20"/>
  <c r="H1329" i="20"/>
  <c r="H1330" i="20"/>
  <c r="H1331" i="20"/>
  <c r="H1332" i="20"/>
  <c r="H1333" i="20"/>
  <c r="H1334" i="20"/>
  <c r="H1335" i="20"/>
  <c r="H1336" i="20"/>
  <c r="H1337" i="20"/>
  <c r="H1338" i="20"/>
  <c r="H1339" i="20"/>
  <c r="H1340" i="20"/>
  <c r="H1341" i="20"/>
  <c r="H1342" i="20"/>
  <c r="H1343" i="20"/>
  <c r="H1344" i="20"/>
  <c r="H1345" i="20"/>
  <c r="H1346" i="20"/>
  <c r="H1347" i="20"/>
  <c r="H1348" i="20"/>
  <c r="H1349" i="20"/>
  <c r="H1350" i="20"/>
  <c r="H1351" i="20"/>
  <c r="H1352" i="20"/>
  <c r="H1353" i="20"/>
  <c r="H1354" i="20"/>
  <c r="H1355" i="20"/>
  <c r="H1356" i="20"/>
  <c r="H1357" i="20"/>
  <c r="H1358" i="20"/>
  <c r="H1359" i="20"/>
  <c r="H1360" i="20"/>
  <c r="H1361" i="20"/>
  <c r="H1362" i="20"/>
  <c r="H1363" i="20"/>
  <c r="H1364" i="20"/>
  <c r="H1365" i="20"/>
  <c r="H1366" i="20"/>
  <c r="H1367" i="20"/>
  <c r="H1368" i="20"/>
  <c r="H1369" i="20"/>
  <c r="H1370" i="20"/>
  <c r="H1371" i="20"/>
  <c r="H1372" i="20"/>
  <c r="H1373" i="20"/>
  <c r="H1374" i="20"/>
  <c r="H1375" i="20"/>
  <c r="H1376" i="20"/>
  <c r="H1377" i="20"/>
  <c r="H1378" i="20"/>
  <c r="H1379" i="20"/>
  <c r="H1380" i="20"/>
  <c r="H1381" i="20"/>
  <c r="H1382" i="20"/>
  <c r="H1383" i="20"/>
  <c r="H1384" i="20"/>
  <c r="H1385" i="20"/>
  <c r="H1386" i="20"/>
  <c r="H1387" i="20"/>
  <c r="H1388" i="20"/>
  <c r="H1389" i="20"/>
  <c r="H1390" i="20"/>
  <c r="H1391" i="20"/>
  <c r="H1392" i="20"/>
  <c r="H1393" i="20"/>
  <c r="H1394" i="20"/>
  <c r="H1395" i="20"/>
  <c r="H1396" i="20"/>
  <c r="H1397" i="20"/>
  <c r="H1398" i="20"/>
  <c r="H1399" i="20"/>
  <c r="H1400" i="20"/>
  <c r="H1401" i="20"/>
  <c r="H1402" i="20"/>
  <c r="H1403" i="20"/>
  <c r="H1404" i="20"/>
  <c r="H1405" i="20"/>
  <c r="H1406" i="20"/>
  <c r="H1407" i="20"/>
  <c r="H1408" i="20"/>
  <c r="H1409" i="20"/>
  <c r="H1410" i="20"/>
  <c r="H1411" i="20"/>
  <c r="H1412" i="20"/>
  <c r="H1413" i="20"/>
  <c r="H1414" i="20"/>
  <c r="H1415" i="20"/>
  <c r="H1416" i="20"/>
  <c r="H1417" i="20"/>
  <c r="H1418" i="20"/>
  <c r="H1419" i="20"/>
  <c r="H1420" i="20"/>
  <c r="H1421" i="20"/>
  <c r="H1422" i="20"/>
  <c r="H1423" i="20"/>
  <c r="H1424" i="20"/>
  <c r="H1425" i="20"/>
  <c r="H1426" i="20"/>
  <c r="H1427" i="20"/>
  <c r="H1428" i="20"/>
  <c r="H1429" i="20"/>
  <c r="H1430" i="20"/>
  <c r="H1431" i="20"/>
  <c r="H1432" i="20"/>
  <c r="H1433" i="20"/>
  <c r="H1434" i="20"/>
  <c r="H1435" i="20"/>
  <c r="H1436" i="20"/>
  <c r="H1437" i="20"/>
  <c r="H1438" i="20"/>
  <c r="H1439" i="20"/>
  <c r="H1440" i="20"/>
  <c r="H1441" i="20"/>
  <c r="H1442" i="20"/>
  <c r="H1443" i="20"/>
  <c r="H1444" i="20"/>
  <c r="H1445" i="20"/>
  <c r="H1446" i="20"/>
  <c r="H1447" i="20"/>
  <c r="H1448" i="20"/>
  <c r="H1449" i="20"/>
  <c r="H1450" i="20"/>
  <c r="H1451" i="20"/>
  <c r="H1452" i="20"/>
  <c r="H1453" i="20"/>
  <c r="H1454" i="20"/>
  <c r="H1455" i="20"/>
  <c r="H1456" i="20"/>
  <c r="H1457" i="20"/>
  <c r="H1458" i="20"/>
  <c r="H1459" i="20"/>
  <c r="H1460" i="20"/>
  <c r="H1461" i="20"/>
  <c r="H1462" i="20"/>
  <c r="H1463" i="20"/>
  <c r="H1464" i="20"/>
  <c r="H1465" i="20"/>
  <c r="H1466" i="20"/>
  <c r="H1467" i="20"/>
  <c r="H1468" i="20"/>
  <c r="H1469" i="20"/>
  <c r="H1470" i="20"/>
  <c r="H1471" i="20"/>
  <c r="H1472" i="20"/>
  <c r="H1473" i="20"/>
  <c r="H1474" i="20"/>
  <c r="H1475" i="20"/>
  <c r="H1476" i="20"/>
  <c r="H1477" i="20"/>
  <c r="H1478" i="20"/>
  <c r="H1479" i="20"/>
  <c r="H1480" i="20"/>
  <c r="H1481" i="20"/>
  <c r="H1482" i="20"/>
  <c r="H1483" i="20"/>
  <c r="H1484" i="20"/>
  <c r="H1485" i="20"/>
  <c r="H1486" i="20"/>
  <c r="H1487" i="20"/>
  <c r="H1488" i="20"/>
  <c r="H1489" i="20"/>
  <c r="H1490" i="20"/>
  <c r="H1491" i="20"/>
  <c r="H1492" i="20"/>
  <c r="H1493" i="20"/>
  <c r="H1494" i="20"/>
  <c r="H1495" i="20"/>
  <c r="H1496" i="20"/>
  <c r="H1497" i="20"/>
  <c r="H1498" i="20"/>
  <c r="H1499" i="20"/>
  <c r="H1500" i="20"/>
  <c r="H1501" i="20"/>
  <c r="H1502" i="20"/>
  <c r="H1503" i="20"/>
  <c r="H1504" i="20"/>
  <c r="H1505" i="20"/>
  <c r="H1506" i="20"/>
  <c r="H1507" i="20"/>
  <c r="H1508" i="20"/>
  <c r="H1509" i="20"/>
  <c r="H1510" i="20"/>
  <c r="H1511" i="20"/>
  <c r="H1512" i="20"/>
  <c r="H1513" i="20"/>
  <c r="H1514" i="20"/>
  <c r="H1515" i="20"/>
  <c r="H1516" i="20"/>
  <c r="H1517" i="20"/>
  <c r="H1518" i="20"/>
  <c r="H1519" i="20"/>
  <c r="H1520" i="20"/>
  <c r="H1521" i="20"/>
  <c r="H1522" i="20"/>
  <c r="H1523" i="20"/>
  <c r="H1524" i="20"/>
  <c r="H1525" i="20"/>
  <c r="H1526" i="20"/>
  <c r="H1527" i="20"/>
  <c r="H1528" i="20"/>
  <c r="H1529" i="20"/>
  <c r="H1530" i="20"/>
  <c r="H1531" i="20"/>
  <c r="H1532" i="20"/>
  <c r="H1533" i="20"/>
  <c r="H1534" i="20"/>
  <c r="H1535" i="20"/>
  <c r="H1536" i="20"/>
  <c r="H1537" i="20"/>
  <c r="H1538" i="20"/>
  <c r="H1539" i="20"/>
  <c r="H1540" i="20"/>
  <c r="H1541" i="20"/>
  <c r="H1542" i="20"/>
  <c r="H1543" i="20"/>
  <c r="H1544" i="20"/>
  <c r="H1545" i="20"/>
  <c r="H1546" i="20"/>
  <c r="H1547" i="20"/>
  <c r="H1548" i="20"/>
  <c r="H1549" i="20"/>
  <c r="H1550" i="20"/>
  <c r="H1551" i="20"/>
  <c r="H1552" i="20"/>
  <c r="H1553" i="20"/>
  <c r="H1554" i="20"/>
  <c r="H1555" i="20"/>
  <c r="H1556" i="20"/>
  <c r="H1557" i="20"/>
  <c r="H1558" i="20"/>
  <c r="H1559" i="20"/>
  <c r="H1560" i="20"/>
  <c r="H1561" i="20"/>
  <c r="H1562" i="20"/>
  <c r="H1563" i="20"/>
  <c r="H1564" i="20"/>
  <c r="H1565" i="20"/>
  <c r="H1566" i="20"/>
  <c r="H1567" i="20"/>
  <c r="H1568" i="20"/>
  <c r="H1569" i="20"/>
  <c r="H1570" i="20"/>
  <c r="H1571" i="20"/>
  <c r="H1572" i="20"/>
  <c r="H1573" i="20"/>
  <c r="H1574" i="20"/>
  <c r="H1575" i="20"/>
  <c r="H1576" i="20"/>
  <c r="H1577" i="20"/>
  <c r="H1578" i="20"/>
  <c r="H1579" i="20"/>
  <c r="H1580" i="20"/>
  <c r="H1581" i="20"/>
  <c r="H1582" i="20"/>
  <c r="H1583" i="20"/>
  <c r="H1584" i="20"/>
  <c r="H1585" i="20"/>
  <c r="H1586" i="20"/>
  <c r="H1587" i="20"/>
  <c r="H1588" i="20"/>
  <c r="H1589" i="20"/>
  <c r="H1590" i="20"/>
  <c r="H1591" i="20"/>
  <c r="H1592" i="20"/>
  <c r="H1593" i="20"/>
  <c r="H1594" i="20"/>
  <c r="H1595" i="20"/>
  <c r="H1596" i="20"/>
  <c r="H1597" i="20"/>
  <c r="H1598" i="20"/>
  <c r="H1599" i="20"/>
  <c r="H1600" i="20"/>
  <c r="H1601" i="20"/>
  <c r="H1602" i="20"/>
  <c r="H1603" i="20"/>
  <c r="H1604" i="20"/>
  <c r="H1605" i="20"/>
  <c r="H1606" i="20"/>
  <c r="H1607" i="20"/>
  <c r="H1608" i="20"/>
  <c r="H1609" i="20"/>
  <c r="H1610" i="20"/>
  <c r="H1611" i="20"/>
  <c r="H1612" i="20"/>
  <c r="H1613" i="20"/>
  <c r="H1614" i="20"/>
  <c r="H1615" i="20"/>
  <c r="H1616" i="20"/>
  <c r="H1617" i="20"/>
  <c r="H1618" i="20"/>
  <c r="H1619" i="20"/>
  <c r="H1620" i="20"/>
  <c r="H1621" i="20"/>
  <c r="H1622" i="20"/>
  <c r="H1623" i="20"/>
  <c r="H1624" i="20"/>
  <c r="H1625" i="20"/>
  <c r="H1626" i="20"/>
  <c r="H1627" i="20"/>
  <c r="H1628" i="20"/>
  <c r="H1629" i="20"/>
  <c r="H1630" i="20"/>
  <c r="H1631" i="20"/>
  <c r="H1632" i="20"/>
  <c r="H1633" i="20"/>
  <c r="H1634" i="20"/>
  <c r="H1635" i="20"/>
  <c r="H1636" i="20"/>
  <c r="H1637" i="20"/>
  <c r="H1638" i="20"/>
  <c r="H1639" i="20"/>
  <c r="H1640" i="20"/>
  <c r="H1641" i="20"/>
  <c r="H1642" i="20"/>
  <c r="H1643" i="20"/>
  <c r="H1644" i="20"/>
  <c r="H1645" i="20"/>
  <c r="H1646" i="20"/>
  <c r="H1647" i="20"/>
  <c r="H1648" i="20"/>
  <c r="H1649" i="20"/>
  <c r="H1650" i="20"/>
  <c r="H1651" i="20"/>
  <c r="H1652" i="20"/>
  <c r="H1653" i="20"/>
  <c r="H1654" i="20"/>
  <c r="H1655" i="20"/>
  <c r="H1656" i="20"/>
  <c r="H1657" i="20"/>
  <c r="H1658" i="20"/>
  <c r="H1659" i="20"/>
  <c r="H1660" i="20"/>
  <c r="H1661" i="20"/>
  <c r="H1662" i="20"/>
  <c r="H1663" i="20"/>
  <c r="H1664" i="20"/>
  <c r="H1665" i="20"/>
  <c r="H1666" i="20"/>
  <c r="H1667" i="20"/>
  <c r="H1668" i="20"/>
  <c r="H1669" i="20"/>
  <c r="H1670" i="20"/>
  <c r="H1671" i="20"/>
  <c r="H1672" i="20"/>
  <c r="H1673" i="20"/>
  <c r="H1674" i="20"/>
  <c r="H1675" i="20"/>
  <c r="H1676" i="20"/>
  <c r="H1677" i="20"/>
  <c r="H1678" i="20"/>
  <c r="H1679" i="20"/>
  <c r="H1680" i="20"/>
  <c r="H1681" i="20"/>
  <c r="H1682" i="20"/>
  <c r="H1683" i="20"/>
  <c r="H1684" i="20"/>
  <c r="H1685" i="20"/>
  <c r="H1686" i="20"/>
  <c r="H1687" i="20"/>
  <c r="H1688" i="20"/>
  <c r="H1689" i="20"/>
  <c r="H1690" i="20"/>
  <c r="H1691" i="20"/>
  <c r="H1692" i="20"/>
  <c r="H1693" i="20"/>
  <c r="H1694" i="20"/>
  <c r="H1695" i="20"/>
  <c r="H1696" i="20"/>
  <c r="H1697" i="20"/>
  <c r="H1698" i="20"/>
  <c r="H1699" i="20"/>
  <c r="H1700" i="20"/>
  <c r="H1701" i="20"/>
  <c r="H1702" i="20"/>
  <c r="H1703" i="20"/>
  <c r="H1704" i="20"/>
  <c r="H1705" i="20"/>
  <c r="H1706" i="20"/>
  <c r="H1707" i="20"/>
  <c r="H1708" i="20"/>
  <c r="H1709" i="20"/>
  <c r="H1710" i="20"/>
  <c r="H1711" i="20"/>
  <c r="H1712" i="20"/>
  <c r="H1713" i="20"/>
  <c r="H1714" i="20"/>
  <c r="H1715" i="20"/>
  <c r="H1716" i="20"/>
  <c r="H1717" i="20"/>
  <c r="H1718" i="20"/>
  <c r="H1719" i="20"/>
  <c r="H1720" i="20"/>
  <c r="H1721" i="20"/>
  <c r="H1722" i="20"/>
  <c r="H1723" i="20"/>
  <c r="H1724" i="20"/>
  <c r="H1725" i="20"/>
  <c r="H1726" i="20"/>
  <c r="H1727" i="20"/>
  <c r="H1728" i="20"/>
  <c r="H1729" i="20"/>
  <c r="H1730" i="20"/>
  <c r="H1731" i="20"/>
  <c r="H1732" i="20"/>
  <c r="H1733" i="20"/>
  <c r="H1734" i="20"/>
  <c r="H1735" i="20"/>
  <c r="H1736" i="20"/>
  <c r="H1737" i="20"/>
  <c r="H1738" i="20"/>
  <c r="H1739" i="20"/>
  <c r="H1740" i="20"/>
  <c r="H1741" i="20"/>
  <c r="H1742" i="20"/>
  <c r="H1743" i="20"/>
  <c r="H1744" i="20"/>
  <c r="H1745" i="20"/>
  <c r="H1746" i="20"/>
  <c r="H1747" i="20"/>
  <c r="H1748" i="20"/>
  <c r="H1749" i="20"/>
  <c r="H1750" i="20"/>
  <c r="H1751" i="20"/>
  <c r="H1752" i="20"/>
  <c r="H1753" i="20"/>
  <c r="H1754" i="20"/>
  <c r="H1755" i="20"/>
  <c r="H1756" i="20"/>
  <c r="H1757" i="20"/>
  <c r="H1758" i="20"/>
  <c r="H1759" i="20"/>
  <c r="H1760" i="20"/>
  <c r="H1761" i="20"/>
  <c r="H1762" i="20"/>
  <c r="H1763" i="20"/>
  <c r="H1764" i="20"/>
  <c r="H1765" i="20"/>
  <c r="H1766" i="20"/>
  <c r="H1767" i="20"/>
  <c r="H1768" i="20"/>
  <c r="H1769" i="20"/>
  <c r="H1770" i="20"/>
  <c r="H1771" i="20"/>
  <c r="H1772" i="20"/>
  <c r="H1773" i="20"/>
  <c r="H1774" i="20"/>
  <c r="H1775" i="20"/>
  <c r="H1776" i="20"/>
  <c r="H1777" i="20"/>
  <c r="H1778" i="20"/>
  <c r="H1779" i="20"/>
  <c r="H1780" i="20"/>
  <c r="H1781" i="20"/>
  <c r="H1782" i="20"/>
  <c r="H1783" i="20"/>
  <c r="H1784" i="20"/>
  <c r="I2" i="20"/>
  <c r="J2" i="20" s="1"/>
  <c r="I3" i="20"/>
  <c r="J3" i="20" s="1"/>
  <c r="I4" i="20"/>
  <c r="J4" i="20" s="1"/>
  <c r="I5" i="20"/>
  <c r="J5" i="20" s="1"/>
  <c r="I6" i="20"/>
  <c r="J6" i="20" s="1"/>
  <c r="I7" i="20"/>
  <c r="J7" i="20" s="1"/>
  <c r="I8" i="20"/>
  <c r="J8" i="20" s="1"/>
  <c r="I9" i="20"/>
  <c r="J9" i="20" s="1"/>
  <c r="I10" i="20"/>
  <c r="J10" i="20" s="1"/>
  <c r="I11" i="20"/>
  <c r="J11" i="20" s="1"/>
  <c r="I12" i="20"/>
  <c r="J12" i="20" s="1"/>
  <c r="I13" i="20"/>
  <c r="J13" i="20" s="1"/>
  <c r="I14" i="20"/>
  <c r="J14" i="20" s="1"/>
  <c r="I15" i="20"/>
  <c r="J15" i="20" s="1"/>
  <c r="I16" i="20"/>
  <c r="J16" i="20" s="1"/>
  <c r="I17" i="20"/>
  <c r="J17" i="20" s="1"/>
  <c r="I18" i="20"/>
  <c r="J18" i="20" s="1"/>
  <c r="I19" i="20"/>
  <c r="J19" i="20" s="1"/>
  <c r="I20" i="20"/>
  <c r="J20" i="20" s="1"/>
  <c r="I21" i="20"/>
  <c r="J21" i="20" s="1"/>
  <c r="I22" i="20"/>
  <c r="J22" i="20" s="1"/>
  <c r="I23" i="20"/>
  <c r="J23" i="20" s="1"/>
  <c r="I24" i="20"/>
  <c r="J24" i="20" s="1"/>
  <c r="I25" i="20"/>
  <c r="J25" i="20" s="1"/>
  <c r="I26" i="20"/>
  <c r="J26" i="20" s="1"/>
  <c r="I27" i="20"/>
  <c r="J27" i="20" s="1"/>
  <c r="I28" i="20"/>
  <c r="J28" i="20" s="1"/>
  <c r="I29" i="20"/>
  <c r="J29" i="20" s="1"/>
  <c r="I30" i="20"/>
  <c r="J30" i="20" s="1"/>
  <c r="I31" i="20"/>
  <c r="J31" i="20" s="1"/>
  <c r="I32" i="20"/>
  <c r="J32" i="20" s="1"/>
  <c r="I33" i="20"/>
  <c r="J33" i="20" s="1"/>
  <c r="I34" i="20"/>
  <c r="J34" i="20" s="1"/>
  <c r="I35" i="20"/>
  <c r="J35" i="20" s="1"/>
  <c r="I36" i="20"/>
  <c r="J36" i="20" s="1"/>
  <c r="I37" i="20"/>
  <c r="J37" i="20" s="1"/>
  <c r="I38" i="20"/>
  <c r="J38" i="20" s="1"/>
  <c r="I39" i="20"/>
  <c r="J39" i="20" s="1"/>
  <c r="I40" i="20"/>
  <c r="J40" i="20" s="1"/>
  <c r="I41" i="20"/>
  <c r="J41" i="20" s="1"/>
  <c r="I42" i="20"/>
  <c r="J42" i="20" s="1"/>
  <c r="I43" i="20"/>
  <c r="J43" i="20" s="1"/>
  <c r="I44" i="20"/>
  <c r="J44" i="20" s="1"/>
  <c r="I45" i="20"/>
  <c r="J45" i="20" s="1"/>
  <c r="I46" i="20"/>
  <c r="J46" i="20" s="1"/>
  <c r="I47" i="20"/>
  <c r="J47" i="20" s="1"/>
  <c r="I48" i="20"/>
  <c r="I49" i="20"/>
  <c r="J49" i="20" s="1"/>
  <c r="I50" i="20"/>
  <c r="J50" i="20" s="1"/>
  <c r="I51" i="20"/>
  <c r="J51" i="20" s="1"/>
  <c r="I52" i="20"/>
  <c r="J52" i="20" s="1"/>
  <c r="I53" i="20"/>
  <c r="J53" i="20" s="1"/>
  <c r="I54" i="20"/>
  <c r="J54" i="20" s="1"/>
  <c r="I55" i="20"/>
  <c r="J55" i="20" s="1"/>
  <c r="I56" i="20"/>
  <c r="J56" i="20" s="1"/>
  <c r="I57" i="20"/>
  <c r="J57" i="20" s="1"/>
  <c r="I58" i="20"/>
  <c r="J58" i="20" s="1"/>
  <c r="I59" i="20"/>
  <c r="J59" i="20" s="1"/>
  <c r="I60" i="20"/>
  <c r="J60" i="20" s="1"/>
  <c r="I61" i="20"/>
  <c r="J61" i="20" s="1"/>
  <c r="I62" i="20"/>
  <c r="J62" i="20" s="1"/>
  <c r="I63" i="20"/>
  <c r="J63" i="20" s="1"/>
  <c r="I64" i="20"/>
  <c r="J64" i="20" s="1"/>
  <c r="I65" i="20"/>
  <c r="J65" i="20" s="1"/>
  <c r="I66" i="20"/>
  <c r="J66" i="20" s="1"/>
  <c r="I67" i="20"/>
  <c r="J67" i="20" s="1"/>
  <c r="I68" i="20"/>
  <c r="J68" i="20" s="1"/>
  <c r="I69" i="20"/>
  <c r="J69" i="20" s="1"/>
  <c r="I70" i="20"/>
  <c r="J70" i="20" s="1"/>
  <c r="I71" i="20"/>
  <c r="J71" i="20" s="1"/>
  <c r="I72" i="20"/>
  <c r="J72" i="20" s="1"/>
  <c r="I73" i="20"/>
  <c r="J73" i="20" s="1"/>
  <c r="I74" i="20"/>
  <c r="J74" i="20" s="1"/>
  <c r="I75" i="20"/>
  <c r="J75" i="20" s="1"/>
  <c r="I76" i="20"/>
  <c r="J76" i="20" s="1"/>
  <c r="I77" i="20"/>
  <c r="J77" i="20" s="1"/>
  <c r="I78" i="20"/>
  <c r="J78" i="20" s="1"/>
  <c r="I79" i="20"/>
  <c r="J79" i="20" s="1"/>
  <c r="I80" i="20"/>
  <c r="J80" i="20" s="1"/>
  <c r="I81" i="20"/>
  <c r="J81" i="20" s="1"/>
  <c r="I82" i="20"/>
  <c r="J82" i="20" s="1"/>
  <c r="I83" i="20"/>
  <c r="J83" i="20" s="1"/>
  <c r="I84" i="20"/>
  <c r="J84" i="20" s="1"/>
  <c r="I85" i="20"/>
  <c r="J85" i="20" s="1"/>
  <c r="I86" i="20"/>
  <c r="J86" i="20" s="1"/>
  <c r="I87" i="20"/>
  <c r="J87" i="20" s="1"/>
  <c r="I88" i="20"/>
  <c r="J88" i="20" s="1"/>
  <c r="I89" i="20"/>
  <c r="J89" i="20" s="1"/>
  <c r="I90" i="20"/>
  <c r="J90" i="20" s="1"/>
  <c r="I91" i="20"/>
  <c r="J91" i="20" s="1"/>
  <c r="I92" i="20"/>
  <c r="J92" i="20" s="1"/>
  <c r="I93" i="20"/>
  <c r="J93" i="20" s="1"/>
  <c r="I94" i="20"/>
  <c r="J94" i="20" s="1"/>
  <c r="I95" i="20"/>
  <c r="J95" i="20" s="1"/>
  <c r="I96" i="20"/>
  <c r="J96" i="20" s="1"/>
  <c r="I97" i="20"/>
  <c r="J97" i="20" s="1"/>
  <c r="I98" i="20"/>
  <c r="J98" i="20" s="1"/>
  <c r="I99" i="20"/>
  <c r="J99" i="20" s="1"/>
  <c r="I100" i="20"/>
  <c r="J100" i="20" s="1"/>
  <c r="I101" i="20"/>
  <c r="J101" i="20" s="1"/>
  <c r="I102" i="20"/>
  <c r="J102" i="20" s="1"/>
  <c r="I103" i="20"/>
  <c r="J103" i="20" s="1"/>
  <c r="I104" i="20"/>
  <c r="J104" i="20" s="1"/>
  <c r="I105" i="20"/>
  <c r="J105" i="20" s="1"/>
  <c r="I106" i="20"/>
  <c r="J106" i="20" s="1"/>
  <c r="I107" i="20"/>
  <c r="J107" i="20" s="1"/>
  <c r="I108" i="20"/>
  <c r="J108" i="20" s="1"/>
  <c r="I109" i="20"/>
  <c r="J109" i="20" s="1"/>
  <c r="I110" i="20"/>
  <c r="J110" i="20" s="1"/>
  <c r="I111" i="20"/>
  <c r="J111" i="20" s="1"/>
  <c r="I112" i="20"/>
  <c r="J112" i="20" s="1"/>
  <c r="I113" i="20"/>
  <c r="J113" i="20" s="1"/>
  <c r="I114" i="20"/>
  <c r="J114" i="20" s="1"/>
  <c r="I115" i="20"/>
  <c r="J115" i="20" s="1"/>
  <c r="I116" i="20"/>
  <c r="J116" i="20" s="1"/>
  <c r="I117" i="20"/>
  <c r="J117" i="20" s="1"/>
  <c r="I118" i="20"/>
  <c r="J118" i="20" s="1"/>
  <c r="I119" i="20"/>
  <c r="J119" i="20" s="1"/>
  <c r="I120" i="20"/>
  <c r="J120" i="20" s="1"/>
  <c r="I121" i="20"/>
  <c r="J121" i="20" s="1"/>
  <c r="I122" i="20"/>
  <c r="J122" i="20" s="1"/>
  <c r="I123" i="20"/>
  <c r="J123" i="20" s="1"/>
  <c r="I124" i="20"/>
  <c r="J124" i="20" s="1"/>
  <c r="I125" i="20"/>
  <c r="J125" i="20" s="1"/>
  <c r="I126" i="20"/>
  <c r="J126" i="20" s="1"/>
  <c r="I127" i="20"/>
  <c r="J127" i="20" s="1"/>
  <c r="I128" i="20"/>
  <c r="J128" i="20" s="1"/>
  <c r="I129" i="20"/>
  <c r="J129" i="20" s="1"/>
  <c r="I130" i="20"/>
  <c r="J130" i="20" s="1"/>
  <c r="I131" i="20"/>
  <c r="J131" i="20" s="1"/>
  <c r="I132" i="20"/>
  <c r="J132" i="20" s="1"/>
  <c r="I133" i="20"/>
  <c r="J133" i="20" s="1"/>
  <c r="I134" i="20"/>
  <c r="J134" i="20" s="1"/>
  <c r="I135" i="20"/>
  <c r="J135" i="20" s="1"/>
  <c r="I136" i="20"/>
  <c r="J136" i="20" s="1"/>
  <c r="I137" i="20"/>
  <c r="J137" i="20" s="1"/>
  <c r="I138" i="20"/>
  <c r="J138" i="20" s="1"/>
  <c r="I139" i="20"/>
  <c r="J139" i="20" s="1"/>
  <c r="I140" i="20"/>
  <c r="J140" i="20" s="1"/>
  <c r="I141" i="20"/>
  <c r="J141" i="20" s="1"/>
  <c r="I142" i="20"/>
  <c r="J142" i="20" s="1"/>
  <c r="I143" i="20"/>
  <c r="J143" i="20" s="1"/>
  <c r="I144" i="20"/>
  <c r="J144" i="20" s="1"/>
  <c r="I145" i="20"/>
  <c r="J145" i="20" s="1"/>
  <c r="I146" i="20"/>
  <c r="J146" i="20" s="1"/>
  <c r="I147" i="20"/>
  <c r="J147" i="20" s="1"/>
  <c r="I148" i="20"/>
  <c r="J148" i="20" s="1"/>
  <c r="I149" i="20"/>
  <c r="J149" i="20" s="1"/>
  <c r="I150" i="20"/>
  <c r="J150" i="20" s="1"/>
  <c r="I151" i="20"/>
  <c r="J151" i="20" s="1"/>
  <c r="I152" i="20"/>
  <c r="J152" i="20" s="1"/>
  <c r="I153" i="20"/>
  <c r="J153" i="20" s="1"/>
  <c r="I154" i="20"/>
  <c r="J154" i="20" s="1"/>
  <c r="I155" i="20"/>
  <c r="J155" i="20" s="1"/>
  <c r="I156" i="20"/>
  <c r="J156" i="20" s="1"/>
  <c r="I157" i="20"/>
  <c r="J157" i="20" s="1"/>
  <c r="I158" i="20"/>
  <c r="J158" i="20" s="1"/>
  <c r="I159" i="20"/>
  <c r="J159" i="20" s="1"/>
  <c r="I160" i="20"/>
  <c r="J160" i="20" s="1"/>
  <c r="I161" i="20"/>
  <c r="J161" i="20" s="1"/>
  <c r="I162" i="20"/>
  <c r="J162" i="20" s="1"/>
  <c r="I163" i="20"/>
  <c r="J163" i="20" s="1"/>
  <c r="I164" i="20"/>
  <c r="J164" i="20" s="1"/>
  <c r="I165" i="20"/>
  <c r="J165" i="20" s="1"/>
  <c r="I166" i="20"/>
  <c r="J166" i="20" s="1"/>
  <c r="I167" i="20"/>
  <c r="J167" i="20" s="1"/>
  <c r="I168" i="20"/>
  <c r="J168" i="20" s="1"/>
  <c r="I169" i="20"/>
  <c r="J169" i="20" s="1"/>
  <c r="I170" i="20"/>
  <c r="J170" i="20" s="1"/>
  <c r="I171" i="20"/>
  <c r="J171" i="20" s="1"/>
  <c r="I172" i="20"/>
  <c r="J172" i="20" s="1"/>
  <c r="I173" i="20"/>
  <c r="J173" i="20" s="1"/>
  <c r="I174" i="20"/>
  <c r="J174" i="20" s="1"/>
  <c r="I175" i="20"/>
  <c r="J175" i="20" s="1"/>
  <c r="I176" i="20"/>
  <c r="J176" i="20" s="1"/>
  <c r="I177" i="20"/>
  <c r="J177" i="20" s="1"/>
  <c r="I178" i="20"/>
  <c r="J178" i="20" s="1"/>
  <c r="I179" i="20"/>
  <c r="J179" i="20" s="1"/>
  <c r="I180" i="20"/>
  <c r="J180" i="20" s="1"/>
  <c r="I181" i="20"/>
  <c r="J181" i="20" s="1"/>
  <c r="I182" i="20"/>
  <c r="J182" i="20" s="1"/>
  <c r="I183" i="20"/>
  <c r="J183" i="20" s="1"/>
  <c r="I184" i="20"/>
  <c r="J184" i="20" s="1"/>
  <c r="I185" i="20"/>
  <c r="J185" i="20" s="1"/>
  <c r="I186" i="20"/>
  <c r="J186" i="20" s="1"/>
  <c r="I187" i="20"/>
  <c r="J187" i="20" s="1"/>
  <c r="I188" i="20"/>
  <c r="J188" i="20" s="1"/>
  <c r="I189" i="20"/>
  <c r="J189" i="20" s="1"/>
  <c r="I190" i="20"/>
  <c r="J190" i="20" s="1"/>
  <c r="I191" i="20"/>
  <c r="J191" i="20" s="1"/>
  <c r="I192" i="20"/>
  <c r="J192" i="20" s="1"/>
  <c r="I193" i="20"/>
  <c r="J193" i="20" s="1"/>
  <c r="I194" i="20"/>
  <c r="J194" i="20" s="1"/>
  <c r="I195" i="20"/>
  <c r="J195" i="20" s="1"/>
  <c r="I196" i="20"/>
  <c r="J196" i="20" s="1"/>
  <c r="I197" i="20"/>
  <c r="J197" i="20" s="1"/>
  <c r="I198" i="20"/>
  <c r="J198" i="20" s="1"/>
  <c r="I199" i="20"/>
  <c r="J199" i="20" s="1"/>
  <c r="I200" i="20"/>
  <c r="J200" i="20" s="1"/>
  <c r="I201" i="20"/>
  <c r="J201" i="20" s="1"/>
  <c r="I202" i="20"/>
  <c r="J202" i="20" s="1"/>
  <c r="I203" i="20"/>
  <c r="J203" i="20" s="1"/>
  <c r="I204" i="20"/>
  <c r="J204" i="20" s="1"/>
  <c r="I205" i="20"/>
  <c r="J205" i="20" s="1"/>
  <c r="I206" i="20"/>
  <c r="J206" i="20" s="1"/>
  <c r="I207" i="20"/>
  <c r="J207" i="20" s="1"/>
  <c r="I208" i="20"/>
  <c r="J208" i="20" s="1"/>
  <c r="I209" i="20"/>
  <c r="J209" i="20" s="1"/>
  <c r="I210" i="20"/>
  <c r="J210" i="20" s="1"/>
  <c r="I211" i="20"/>
  <c r="J211" i="20" s="1"/>
  <c r="I212" i="20"/>
  <c r="J212" i="20" s="1"/>
  <c r="I213" i="20"/>
  <c r="J213" i="20" s="1"/>
  <c r="I214" i="20"/>
  <c r="J214" i="20" s="1"/>
  <c r="I215" i="20"/>
  <c r="J215" i="20" s="1"/>
  <c r="I216" i="20"/>
  <c r="J216" i="20" s="1"/>
  <c r="I217" i="20"/>
  <c r="J217" i="20" s="1"/>
  <c r="I218" i="20"/>
  <c r="J218" i="20" s="1"/>
  <c r="I219" i="20"/>
  <c r="J219" i="20" s="1"/>
  <c r="I220" i="20"/>
  <c r="J220" i="20" s="1"/>
  <c r="I221" i="20"/>
  <c r="J221" i="20" s="1"/>
  <c r="I222" i="20"/>
  <c r="J222" i="20" s="1"/>
  <c r="I223" i="20"/>
  <c r="J223" i="20" s="1"/>
  <c r="I224" i="20"/>
  <c r="J224" i="20" s="1"/>
  <c r="I225" i="20"/>
  <c r="J225" i="20" s="1"/>
  <c r="I226" i="20"/>
  <c r="J226" i="20" s="1"/>
  <c r="I227" i="20"/>
  <c r="J227" i="20" s="1"/>
  <c r="I228" i="20"/>
  <c r="J228" i="20" s="1"/>
  <c r="I229" i="20"/>
  <c r="J229" i="20" s="1"/>
  <c r="I230" i="20"/>
  <c r="J230" i="20" s="1"/>
  <c r="I231" i="20"/>
  <c r="J231" i="20" s="1"/>
  <c r="I232" i="20"/>
  <c r="J232" i="20" s="1"/>
  <c r="I233" i="20"/>
  <c r="J233" i="20" s="1"/>
  <c r="I234" i="20"/>
  <c r="J234" i="20" s="1"/>
  <c r="I235" i="20"/>
  <c r="J235" i="20" s="1"/>
  <c r="I236" i="20"/>
  <c r="J236" i="20" s="1"/>
  <c r="I237" i="20"/>
  <c r="J237" i="20" s="1"/>
  <c r="I238" i="20"/>
  <c r="J238" i="20" s="1"/>
  <c r="I239" i="20"/>
  <c r="J239" i="20" s="1"/>
  <c r="I240" i="20"/>
  <c r="J240" i="20" s="1"/>
  <c r="I241" i="20"/>
  <c r="J241" i="20" s="1"/>
  <c r="I242" i="20"/>
  <c r="J242" i="20" s="1"/>
  <c r="I243" i="20"/>
  <c r="J243" i="20" s="1"/>
  <c r="I244" i="20"/>
  <c r="J244" i="20" s="1"/>
  <c r="I245" i="20"/>
  <c r="J245" i="20" s="1"/>
  <c r="I246" i="20"/>
  <c r="J246" i="20" s="1"/>
  <c r="I247" i="20"/>
  <c r="J247" i="20" s="1"/>
  <c r="I248" i="20"/>
  <c r="J248" i="20" s="1"/>
  <c r="I249" i="20"/>
  <c r="J249" i="20" s="1"/>
  <c r="I250" i="20"/>
  <c r="J250" i="20" s="1"/>
  <c r="I251" i="20"/>
  <c r="J251" i="20" s="1"/>
  <c r="I252" i="20"/>
  <c r="J252" i="20" s="1"/>
  <c r="I253" i="20"/>
  <c r="J253" i="20" s="1"/>
  <c r="I254" i="20"/>
  <c r="J254" i="20" s="1"/>
  <c r="I255" i="20"/>
  <c r="J255" i="20" s="1"/>
  <c r="I256" i="20"/>
  <c r="J256" i="20" s="1"/>
  <c r="I257" i="20"/>
  <c r="J257" i="20" s="1"/>
  <c r="I258" i="20"/>
  <c r="J258" i="20" s="1"/>
  <c r="I259" i="20"/>
  <c r="J259" i="20" s="1"/>
  <c r="I260" i="20"/>
  <c r="J260" i="20" s="1"/>
  <c r="I261" i="20"/>
  <c r="J261" i="20" s="1"/>
  <c r="I262" i="20"/>
  <c r="J262" i="20" s="1"/>
  <c r="I263" i="20"/>
  <c r="J263" i="20" s="1"/>
  <c r="I264" i="20"/>
  <c r="J264" i="20" s="1"/>
  <c r="I265" i="20"/>
  <c r="J265" i="20" s="1"/>
  <c r="I266" i="20"/>
  <c r="J266" i="20" s="1"/>
  <c r="I267" i="20"/>
  <c r="J267" i="20" s="1"/>
  <c r="I268" i="20"/>
  <c r="J268" i="20" s="1"/>
  <c r="I269" i="20"/>
  <c r="J269" i="20" s="1"/>
  <c r="I270" i="20"/>
  <c r="J270" i="20" s="1"/>
  <c r="I271" i="20"/>
  <c r="J271" i="20" s="1"/>
  <c r="I272" i="20"/>
  <c r="J272" i="20" s="1"/>
  <c r="I273" i="20"/>
  <c r="J273" i="20" s="1"/>
  <c r="I274" i="20"/>
  <c r="J274" i="20" s="1"/>
  <c r="I275" i="20"/>
  <c r="J275" i="20" s="1"/>
  <c r="I276" i="20"/>
  <c r="J276" i="20" s="1"/>
  <c r="I277" i="20"/>
  <c r="J277" i="20" s="1"/>
  <c r="I278" i="20"/>
  <c r="J278" i="20" s="1"/>
  <c r="I279" i="20"/>
  <c r="J279" i="20" s="1"/>
  <c r="I280" i="20"/>
  <c r="J280" i="20" s="1"/>
  <c r="I281" i="20"/>
  <c r="J281" i="20" s="1"/>
  <c r="I282" i="20"/>
  <c r="J282" i="20" s="1"/>
  <c r="I283" i="20"/>
  <c r="J283" i="20" s="1"/>
  <c r="I284" i="20"/>
  <c r="J284" i="20" s="1"/>
  <c r="I285" i="20"/>
  <c r="J285" i="20" s="1"/>
  <c r="I286" i="20"/>
  <c r="J286" i="20" s="1"/>
  <c r="I287" i="20"/>
  <c r="J287" i="20" s="1"/>
  <c r="I288" i="20"/>
  <c r="J288" i="20" s="1"/>
  <c r="I289" i="20"/>
  <c r="J289" i="20" s="1"/>
  <c r="I290" i="20"/>
  <c r="J290" i="20" s="1"/>
  <c r="I291" i="20"/>
  <c r="J291" i="20" s="1"/>
  <c r="I292" i="20"/>
  <c r="J292" i="20" s="1"/>
  <c r="I293" i="20"/>
  <c r="J293" i="20" s="1"/>
  <c r="I294" i="20"/>
  <c r="J294" i="20" s="1"/>
  <c r="I295" i="20"/>
  <c r="J295" i="20" s="1"/>
  <c r="I296" i="20"/>
  <c r="J296" i="20" s="1"/>
  <c r="I297" i="20"/>
  <c r="J297" i="20" s="1"/>
  <c r="I298" i="20"/>
  <c r="J298" i="20" s="1"/>
  <c r="I299" i="20"/>
  <c r="J299" i="20" s="1"/>
  <c r="I300" i="20"/>
  <c r="J300" i="20" s="1"/>
  <c r="I301" i="20"/>
  <c r="J301" i="20" s="1"/>
  <c r="I302" i="20"/>
  <c r="J302" i="20" s="1"/>
  <c r="I303" i="20"/>
  <c r="J303" i="20" s="1"/>
  <c r="I304" i="20"/>
  <c r="J304" i="20" s="1"/>
  <c r="I305" i="20"/>
  <c r="J305" i="20" s="1"/>
  <c r="I306" i="20"/>
  <c r="J306" i="20" s="1"/>
  <c r="I307" i="20"/>
  <c r="J307" i="20" s="1"/>
  <c r="I308" i="20"/>
  <c r="J308" i="20" s="1"/>
  <c r="I309" i="20"/>
  <c r="J309" i="20" s="1"/>
  <c r="I310" i="20"/>
  <c r="J310" i="20" s="1"/>
  <c r="I311" i="20"/>
  <c r="J311" i="20" s="1"/>
  <c r="I312" i="20"/>
  <c r="J312" i="20" s="1"/>
  <c r="I313" i="20"/>
  <c r="J313" i="20" s="1"/>
  <c r="I314" i="20"/>
  <c r="J314" i="20" s="1"/>
  <c r="I315" i="20"/>
  <c r="J315" i="20" s="1"/>
  <c r="I316" i="20"/>
  <c r="J316" i="20" s="1"/>
  <c r="I317" i="20"/>
  <c r="J317" i="20" s="1"/>
  <c r="I318" i="20"/>
  <c r="J318" i="20" s="1"/>
  <c r="I319" i="20"/>
  <c r="J319" i="20" s="1"/>
  <c r="I320" i="20"/>
  <c r="J320" i="20" s="1"/>
  <c r="I321" i="20"/>
  <c r="J321" i="20" s="1"/>
  <c r="I322" i="20"/>
  <c r="J322" i="20" s="1"/>
  <c r="I323" i="20"/>
  <c r="J323" i="20" s="1"/>
  <c r="I324" i="20"/>
  <c r="J324" i="20" s="1"/>
  <c r="I325" i="20"/>
  <c r="J325" i="20" s="1"/>
  <c r="I326" i="20"/>
  <c r="J326" i="20" s="1"/>
  <c r="I327" i="20"/>
  <c r="J327" i="20" s="1"/>
  <c r="I328" i="20"/>
  <c r="J328" i="20" s="1"/>
  <c r="I329" i="20"/>
  <c r="J329" i="20" s="1"/>
  <c r="I330" i="20"/>
  <c r="J330" i="20" s="1"/>
  <c r="I331" i="20"/>
  <c r="J331" i="20" s="1"/>
  <c r="I332" i="20"/>
  <c r="J332" i="20" s="1"/>
  <c r="I333" i="20"/>
  <c r="J333" i="20" s="1"/>
  <c r="I334" i="20"/>
  <c r="J334" i="20" s="1"/>
  <c r="I335" i="20"/>
  <c r="J335" i="20" s="1"/>
  <c r="I336" i="20"/>
  <c r="J336" i="20" s="1"/>
  <c r="I337" i="20"/>
  <c r="J337" i="20" s="1"/>
  <c r="I338" i="20"/>
  <c r="J338" i="20" s="1"/>
  <c r="I339" i="20"/>
  <c r="J339" i="20" s="1"/>
  <c r="I340" i="20"/>
  <c r="J340" i="20" s="1"/>
  <c r="I341" i="20"/>
  <c r="J341" i="20" s="1"/>
  <c r="I342" i="20"/>
  <c r="J342" i="20" s="1"/>
  <c r="I343" i="20"/>
  <c r="J343" i="20" s="1"/>
  <c r="I344" i="20"/>
  <c r="J344" i="20" s="1"/>
  <c r="I345" i="20"/>
  <c r="J345" i="20" s="1"/>
  <c r="I346" i="20"/>
  <c r="J346" i="20" s="1"/>
  <c r="I347" i="20"/>
  <c r="J347" i="20" s="1"/>
  <c r="I348" i="20"/>
  <c r="J348" i="20" s="1"/>
  <c r="I349" i="20"/>
  <c r="J349" i="20" s="1"/>
  <c r="I350" i="20"/>
  <c r="J350" i="20" s="1"/>
  <c r="I351" i="20"/>
  <c r="J351" i="20" s="1"/>
  <c r="I352" i="20"/>
  <c r="J352" i="20" s="1"/>
  <c r="I353" i="20"/>
  <c r="J353" i="20" s="1"/>
  <c r="I354" i="20"/>
  <c r="J354" i="20" s="1"/>
  <c r="I355" i="20"/>
  <c r="J355" i="20" s="1"/>
  <c r="I356" i="20"/>
  <c r="J356" i="20" s="1"/>
  <c r="I357" i="20"/>
  <c r="J357" i="20" s="1"/>
  <c r="I358" i="20"/>
  <c r="J358" i="20" s="1"/>
  <c r="I359" i="20"/>
  <c r="J359" i="20" s="1"/>
  <c r="I360" i="20"/>
  <c r="J360" i="20" s="1"/>
  <c r="I361" i="20"/>
  <c r="J361" i="20" s="1"/>
  <c r="I362" i="20"/>
  <c r="J362" i="20" s="1"/>
  <c r="I363" i="20"/>
  <c r="J363" i="20" s="1"/>
  <c r="I364" i="20"/>
  <c r="J364" i="20" s="1"/>
  <c r="I365" i="20"/>
  <c r="J365" i="20" s="1"/>
  <c r="I366" i="20"/>
  <c r="J366" i="20" s="1"/>
  <c r="I367" i="20"/>
  <c r="J367" i="20" s="1"/>
  <c r="I368" i="20"/>
  <c r="J368" i="20" s="1"/>
  <c r="I369" i="20"/>
  <c r="J369" i="20" s="1"/>
  <c r="I370" i="20"/>
  <c r="J370" i="20" s="1"/>
  <c r="I371" i="20"/>
  <c r="J371" i="20" s="1"/>
  <c r="I372" i="20"/>
  <c r="J372" i="20" s="1"/>
  <c r="I373" i="20"/>
  <c r="J373" i="20" s="1"/>
  <c r="I374" i="20"/>
  <c r="J374" i="20" s="1"/>
  <c r="I375" i="20"/>
  <c r="J375" i="20" s="1"/>
  <c r="I376" i="20"/>
  <c r="J376" i="20" s="1"/>
  <c r="I377" i="20"/>
  <c r="J377" i="20" s="1"/>
  <c r="I378" i="20"/>
  <c r="J378" i="20" s="1"/>
  <c r="I379" i="20"/>
  <c r="J379" i="20" s="1"/>
  <c r="I380" i="20"/>
  <c r="J380" i="20" s="1"/>
  <c r="I381" i="20"/>
  <c r="J381" i="20" s="1"/>
  <c r="I382" i="20"/>
  <c r="J382" i="20" s="1"/>
  <c r="I383" i="20"/>
  <c r="J383" i="20" s="1"/>
  <c r="I384" i="20"/>
  <c r="J384" i="20" s="1"/>
  <c r="I385" i="20"/>
  <c r="J385" i="20" s="1"/>
  <c r="I386" i="20"/>
  <c r="J386" i="20" s="1"/>
  <c r="I387" i="20"/>
  <c r="J387" i="20" s="1"/>
  <c r="I388" i="20"/>
  <c r="J388" i="20" s="1"/>
  <c r="I389" i="20"/>
  <c r="J389" i="20" s="1"/>
  <c r="I390" i="20"/>
  <c r="J390" i="20" s="1"/>
  <c r="I391" i="20"/>
  <c r="J391" i="20" s="1"/>
  <c r="I392" i="20"/>
  <c r="J392" i="20" s="1"/>
  <c r="I393" i="20"/>
  <c r="J393" i="20" s="1"/>
  <c r="I394" i="20"/>
  <c r="J394" i="20" s="1"/>
  <c r="I395" i="20"/>
  <c r="J395" i="20" s="1"/>
  <c r="I396" i="20"/>
  <c r="J396" i="20" s="1"/>
  <c r="I397" i="20"/>
  <c r="J397" i="20" s="1"/>
  <c r="I398" i="20"/>
  <c r="J398" i="20" s="1"/>
  <c r="I399" i="20"/>
  <c r="J399" i="20" s="1"/>
  <c r="I400" i="20"/>
  <c r="J400" i="20" s="1"/>
  <c r="I401" i="20"/>
  <c r="J401" i="20" s="1"/>
  <c r="I402" i="20"/>
  <c r="J402" i="20" s="1"/>
  <c r="I403" i="20"/>
  <c r="J403" i="20" s="1"/>
  <c r="I404" i="20"/>
  <c r="J404" i="20" s="1"/>
  <c r="I405" i="20"/>
  <c r="J405" i="20" s="1"/>
  <c r="I406" i="20"/>
  <c r="J406" i="20" s="1"/>
  <c r="I407" i="20"/>
  <c r="J407" i="20" s="1"/>
  <c r="I408" i="20"/>
  <c r="J408" i="20" s="1"/>
  <c r="I409" i="20"/>
  <c r="J409" i="20" s="1"/>
  <c r="I410" i="20"/>
  <c r="J410" i="20" s="1"/>
  <c r="I411" i="20"/>
  <c r="J411" i="20" s="1"/>
  <c r="I412" i="20"/>
  <c r="J412" i="20" s="1"/>
  <c r="I413" i="20"/>
  <c r="J413" i="20" s="1"/>
  <c r="I414" i="20"/>
  <c r="J414" i="20" s="1"/>
  <c r="I415" i="20"/>
  <c r="J415" i="20" s="1"/>
  <c r="I416" i="20"/>
  <c r="J416" i="20" s="1"/>
  <c r="I417" i="20"/>
  <c r="J417" i="20" s="1"/>
  <c r="I418" i="20"/>
  <c r="J418" i="20" s="1"/>
  <c r="I419" i="20"/>
  <c r="J419" i="20" s="1"/>
  <c r="I420" i="20"/>
  <c r="J420" i="20" s="1"/>
  <c r="I421" i="20"/>
  <c r="J421" i="20" s="1"/>
  <c r="I422" i="20"/>
  <c r="J422" i="20" s="1"/>
  <c r="I423" i="20"/>
  <c r="J423" i="20" s="1"/>
  <c r="I424" i="20"/>
  <c r="J424" i="20" s="1"/>
  <c r="I425" i="20"/>
  <c r="J425" i="20" s="1"/>
  <c r="I426" i="20"/>
  <c r="J426" i="20" s="1"/>
  <c r="I427" i="20"/>
  <c r="J427" i="20" s="1"/>
  <c r="I428" i="20"/>
  <c r="J428" i="20" s="1"/>
  <c r="I429" i="20"/>
  <c r="J429" i="20" s="1"/>
  <c r="I430" i="20"/>
  <c r="J430" i="20" s="1"/>
  <c r="I431" i="20"/>
  <c r="J431" i="20" s="1"/>
  <c r="I432" i="20"/>
  <c r="J432" i="20" s="1"/>
  <c r="I433" i="20"/>
  <c r="J433" i="20" s="1"/>
  <c r="I434" i="20"/>
  <c r="J434" i="20" s="1"/>
  <c r="I435" i="20"/>
  <c r="J435" i="20" s="1"/>
  <c r="I436" i="20"/>
  <c r="J436" i="20" s="1"/>
  <c r="I437" i="20"/>
  <c r="J437" i="20" s="1"/>
  <c r="I438" i="20"/>
  <c r="J438" i="20" s="1"/>
  <c r="I439" i="20"/>
  <c r="J439" i="20" s="1"/>
  <c r="I440" i="20"/>
  <c r="J440" i="20" s="1"/>
  <c r="I441" i="20"/>
  <c r="J441" i="20" s="1"/>
  <c r="I442" i="20"/>
  <c r="J442" i="20" s="1"/>
  <c r="I443" i="20"/>
  <c r="J443" i="20" s="1"/>
  <c r="I444" i="20"/>
  <c r="J444" i="20" s="1"/>
  <c r="I445" i="20"/>
  <c r="J445" i="20" s="1"/>
  <c r="I446" i="20"/>
  <c r="J446" i="20" s="1"/>
  <c r="I447" i="20"/>
  <c r="J447" i="20" s="1"/>
  <c r="I448" i="20"/>
  <c r="J448" i="20" s="1"/>
  <c r="I449" i="20"/>
  <c r="J449" i="20" s="1"/>
  <c r="I450" i="20"/>
  <c r="J450" i="20" s="1"/>
  <c r="I451" i="20"/>
  <c r="J451" i="20" s="1"/>
  <c r="I452" i="20"/>
  <c r="J452" i="20" s="1"/>
  <c r="I453" i="20"/>
  <c r="J453" i="20" s="1"/>
  <c r="I454" i="20"/>
  <c r="J454" i="20" s="1"/>
  <c r="I455" i="20"/>
  <c r="J455" i="20" s="1"/>
  <c r="I456" i="20"/>
  <c r="J456" i="20" s="1"/>
  <c r="I457" i="20"/>
  <c r="J457" i="20" s="1"/>
  <c r="I458" i="20"/>
  <c r="J458" i="20" s="1"/>
  <c r="I459" i="20"/>
  <c r="J459" i="20" s="1"/>
  <c r="I460" i="20"/>
  <c r="J460" i="20" s="1"/>
  <c r="I461" i="20"/>
  <c r="J461" i="20" s="1"/>
  <c r="I462" i="20"/>
  <c r="J462" i="20" s="1"/>
  <c r="I463" i="20"/>
  <c r="J463" i="20" s="1"/>
  <c r="I464" i="20"/>
  <c r="J464" i="20" s="1"/>
  <c r="I465" i="20"/>
  <c r="J465" i="20" s="1"/>
  <c r="I466" i="20"/>
  <c r="J466" i="20" s="1"/>
  <c r="I467" i="20"/>
  <c r="J467" i="20" s="1"/>
  <c r="I468" i="20"/>
  <c r="J468" i="20" s="1"/>
  <c r="I469" i="20"/>
  <c r="J469" i="20" s="1"/>
  <c r="I470" i="20"/>
  <c r="J470" i="20" s="1"/>
  <c r="I471" i="20"/>
  <c r="J471" i="20" s="1"/>
  <c r="I472" i="20"/>
  <c r="J472" i="20" s="1"/>
  <c r="I473" i="20"/>
  <c r="J473" i="20" s="1"/>
  <c r="I474" i="20"/>
  <c r="J474" i="20" s="1"/>
  <c r="I475" i="20"/>
  <c r="J475" i="20" s="1"/>
  <c r="I476" i="20"/>
  <c r="J476" i="20" s="1"/>
  <c r="I477" i="20"/>
  <c r="J477" i="20" s="1"/>
  <c r="I478" i="20"/>
  <c r="J478" i="20" s="1"/>
  <c r="I479" i="20"/>
  <c r="J479" i="20" s="1"/>
  <c r="I480" i="20"/>
  <c r="J480" i="20" s="1"/>
  <c r="I481" i="20"/>
  <c r="J481" i="20" s="1"/>
  <c r="I482" i="20"/>
  <c r="J482" i="20" s="1"/>
  <c r="I483" i="20"/>
  <c r="J483" i="20" s="1"/>
  <c r="I484" i="20"/>
  <c r="J484" i="20" s="1"/>
  <c r="I485" i="20"/>
  <c r="J485" i="20" s="1"/>
  <c r="I486" i="20"/>
  <c r="J486" i="20" s="1"/>
  <c r="I487" i="20"/>
  <c r="J487" i="20" s="1"/>
  <c r="I488" i="20"/>
  <c r="J488" i="20" s="1"/>
  <c r="I489" i="20"/>
  <c r="J489" i="20" s="1"/>
  <c r="I490" i="20"/>
  <c r="J490" i="20" s="1"/>
  <c r="I491" i="20"/>
  <c r="J491" i="20" s="1"/>
  <c r="I492" i="20"/>
  <c r="J492" i="20" s="1"/>
  <c r="I493" i="20"/>
  <c r="J493" i="20" s="1"/>
  <c r="I494" i="20"/>
  <c r="J494" i="20" s="1"/>
  <c r="I495" i="20"/>
  <c r="J495" i="20" s="1"/>
  <c r="I496" i="20"/>
  <c r="J496" i="20" s="1"/>
  <c r="I497" i="20"/>
  <c r="J497" i="20" s="1"/>
  <c r="I498" i="20"/>
  <c r="J498" i="20" s="1"/>
  <c r="I499" i="20"/>
  <c r="J499" i="20" s="1"/>
  <c r="I500" i="20"/>
  <c r="J500" i="20" s="1"/>
  <c r="I501" i="20"/>
  <c r="J501" i="20" s="1"/>
  <c r="I502" i="20"/>
  <c r="J502" i="20" s="1"/>
  <c r="I503" i="20"/>
  <c r="J503" i="20" s="1"/>
  <c r="I504" i="20"/>
  <c r="J504" i="20" s="1"/>
  <c r="I505" i="20"/>
  <c r="J505" i="20" s="1"/>
  <c r="I506" i="20"/>
  <c r="J506" i="20" s="1"/>
  <c r="I507" i="20"/>
  <c r="J507" i="20" s="1"/>
  <c r="I508" i="20"/>
  <c r="J508" i="20" s="1"/>
  <c r="I509" i="20"/>
  <c r="J509" i="20" s="1"/>
  <c r="I510" i="20"/>
  <c r="J510" i="20" s="1"/>
  <c r="I511" i="20"/>
  <c r="J511" i="20" s="1"/>
  <c r="I512" i="20"/>
  <c r="J512" i="20" s="1"/>
  <c r="I513" i="20"/>
  <c r="J513" i="20" s="1"/>
  <c r="I514" i="20"/>
  <c r="J514" i="20" s="1"/>
  <c r="I515" i="20"/>
  <c r="J515" i="20" s="1"/>
  <c r="I516" i="20"/>
  <c r="J516" i="20" s="1"/>
  <c r="I517" i="20"/>
  <c r="J517" i="20" s="1"/>
  <c r="I518" i="20"/>
  <c r="J518" i="20" s="1"/>
  <c r="I519" i="20"/>
  <c r="J519" i="20" s="1"/>
  <c r="I520" i="20"/>
  <c r="J520" i="20" s="1"/>
  <c r="I521" i="20"/>
  <c r="J521" i="20" s="1"/>
  <c r="I522" i="20"/>
  <c r="J522" i="20" s="1"/>
  <c r="I523" i="20"/>
  <c r="J523" i="20" s="1"/>
  <c r="I524" i="20"/>
  <c r="J524" i="20" s="1"/>
  <c r="I525" i="20"/>
  <c r="J525" i="20" s="1"/>
  <c r="I526" i="20"/>
  <c r="J526" i="20" s="1"/>
  <c r="I527" i="20"/>
  <c r="J527" i="20" s="1"/>
  <c r="I528" i="20"/>
  <c r="J528" i="20" s="1"/>
  <c r="I529" i="20"/>
  <c r="J529" i="20" s="1"/>
  <c r="I530" i="20"/>
  <c r="J530" i="20" s="1"/>
  <c r="I531" i="20"/>
  <c r="J531" i="20" s="1"/>
  <c r="I532" i="20"/>
  <c r="J532" i="20" s="1"/>
  <c r="I533" i="20"/>
  <c r="J533" i="20" s="1"/>
  <c r="I534" i="20"/>
  <c r="J534" i="20" s="1"/>
  <c r="I535" i="20"/>
  <c r="J535" i="20" s="1"/>
  <c r="I536" i="20"/>
  <c r="J536" i="20" s="1"/>
  <c r="I537" i="20"/>
  <c r="J537" i="20" s="1"/>
  <c r="I538" i="20"/>
  <c r="J538" i="20" s="1"/>
  <c r="I539" i="20"/>
  <c r="J539" i="20" s="1"/>
  <c r="I540" i="20"/>
  <c r="J540" i="20" s="1"/>
  <c r="I541" i="20"/>
  <c r="J541" i="20" s="1"/>
  <c r="I542" i="20"/>
  <c r="J542" i="20" s="1"/>
  <c r="I543" i="20"/>
  <c r="J543" i="20" s="1"/>
  <c r="I544" i="20"/>
  <c r="J544" i="20" s="1"/>
  <c r="I545" i="20"/>
  <c r="J545" i="20" s="1"/>
  <c r="I546" i="20"/>
  <c r="J546" i="20" s="1"/>
  <c r="I547" i="20"/>
  <c r="J547" i="20" s="1"/>
  <c r="I548" i="20"/>
  <c r="J548" i="20" s="1"/>
  <c r="I549" i="20"/>
  <c r="J549" i="20" s="1"/>
  <c r="I550" i="20"/>
  <c r="J550" i="20" s="1"/>
  <c r="I551" i="20"/>
  <c r="J551" i="20" s="1"/>
  <c r="I552" i="20"/>
  <c r="J552" i="20" s="1"/>
  <c r="I553" i="20"/>
  <c r="J553" i="20" s="1"/>
  <c r="I554" i="20"/>
  <c r="J554" i="20" s="1"/>
  <c r="I555" i="20"/>
  <c r="J555" i="20" s="1"/>
  <c r="I556" i="20"/>
  <c r="J556" i="20" s="1"/>
  <c r="I557" i="20"/>
  <c r="J557" i="20" s="1"/>
  <c r="I558" i="20"/>
  <c r="J558" i="20" s="1"/>
  <c r="I559" i="20"/>
  <c r="J559" i="20" s="1"/>
  <c r="I560" i="20"/>
  <c r="J560" i="20" s="1"/>
  <c r="I561" i="20"/>
  <c r="J561" i="20" s="1"/>
  <c r="I562" i="20"/>
  <c r="J562" i="20" s="1"/>
  <c r="I563" i="20"/>
  <c r="J563" i="20" s="1"/>
  <c r="I564" i="20"/>
  <c r="J564" i="20" s="1"/>
  <c r="I565" i="20"/>
  <c r="J565" i="20" s="1"/>
  <c r="I566" i="20"/>
  <c r="J566" i="20" s="1"/>
  <c r="I567" i="20"/>
  <c r="J567" i="20" s="1"/>
  <c r="I568" i="20"/>
  <c r="J568" i="20" s="1"/>
  <c r="I569" i="20"/>
  <c r="J569" i="20" s="1"/>
  <c r="I570" i="20"/>
  <c r="J570" i="20" s="1"/>
  <c r="I571" i="20"/>
  <c r="J571" i="20" s="1"/>
  <c r="I572" i="20"/>
  <c r="J572" i="20" s="1"/>
  <c r="I573" i="20"/>
  <c r="J573" i="20" s="1"/>
  <c r="I574" i="20"/>
  <c r="J574" i="20" s="1"/>
  <c r="I575" i="20"/>
  <c r="J575" i="20" s="1"/>
  <c r="I576" i="20"/>
  <c r="J576" i="20" s="1"/>
  <c r="I577" i="20"/>
  <c r="J577" i="20" s="1"/>
  <c r="I578" i="20"/>
  <c r="J578" i="20" s="1"/>
  <c r="I579" i="20"/>
  <c r="J579" i="20" s="1"/>
  <c r="I580" i="20"/>
  <c r="J580" i="20" s="1"/>
  <c r="I581" i="20"/>
  <c r="J581" i="20" s="1"/>
  <c r="I582" i="20"/>
  <c r="J582" i="20" s="1"/>
  <c r="I583" i="20"/>
  <c r="J583" i="20" s="1"/>
  <c r="I584" i="20"/>
  <c r="J584" i="20" s="1"/>
  <c r="I585" i="20"/>
  <c r="J585" i="20" s="1"/>
  <c r="I586" i="20"/>
  <c r="J586" i="20" s="1"/>
  <c r="I587" i="20"/>
  <c r="J587" i="20" s="1"/>
  <c r="I588" i="20"/>
  <c r="J588" i="20" s="1"/>
  <c r="I589" i="20"/>
  <c r="J589" i="20" s="1"/>
  <c r="I590" i="20"/>
  <c r="J590" i="20" s="1"/>
  <c r="I591" i="20"/>
  <c r="J591" i="20" s="1"/>
  <c r="I592" i="20"/>
  <c r="J592" i="20" s="1"/>
  <c r="I593" i="20"/>
  <c r="J593" i="20" s="1"/>
  <c r="I594" i="20"/>
  <c r="J594" i="20" s="1"/>
  <c r="I595" i="20"/>
  <c r="J595" i="20" s="1"/>
  <c r="I596" i="20"/>
  <c r="J596" i="20" s="1"/>
  <c r="I597" i="20"/>
  <c r="J597" i="20" s="1"/>
  <c r="I598" i="20"/>
  <c r="J598" i="20" s="1"/>
  <c r="I599" i="20"/>
  <c r="J599" i="20" s="1"/>
  <c r="I600" i="20"/>
  <c r="J600" i="20" s="1"/>
  <c r="I601" i="20"/>
  <c r="J601" i="20" s="1"/>
  <c r="I602" i="20"/>
  <c r="J602" i="20" s="1"/>
  <c r="I603" i="20"/>
  <c r="J603" i="20" s="1"/>
  <c r="I604" i="20"/>
  <c r="J604" i="20" s="1"/>
  <c r="I605" i="20"/>
  <c r="J605" i="20" s="1"/>
  <c r="I606" i="20"/>
  <c r="J606" i="20" s="1"/>
  <c r="I607" i="20"/>
  <c r="J607" i="20" s="1"/>
  <c r="I608" i="20"/>
  <c r="J608" i="20" s="1"/>
  <c r="I609" i="20"/>
  <c r="J609" i="20" s="1"/>
  <c r="I610" i="20"/>
  <c r="J610" i="20" s="1"/>
  <c r="I611" i="20"/>
  <c r="J611" i="20" s="1"/>
  <c r="I612" i="20"/>
  <c r="J612" i="20" s="1"/>
  <c r="I613" i="20"/>
  <c r="J613" i="20" s="1"/>
  <c r="I614" i="20"/>
  <c r="J614" i="20" s="1"/>
  <c r="I615" i="20"/>
  <c r="J615" i="20" s="1"/>
  <c r="I616" i="20"/>
  <c r="J616" i="20" s="1"/>
  <c r="I617" i="20"/>
  <c r="J617" i="20" s="1"/>
  <c r="I618" i="20"/>
  <c r="J618" i="20" s="1"/>
  <c r="I619" i="20"/>
  <c r="J619" i="20" s="1"/>
  <c r="I620" i="20"/>
  <c r="J620" i="20" s="1"/>
  <c r="I621" i="20"/>
  <c r="J621" i="20" s="1"/>
  <c r="I622" i="20"/>
  <c r="J622" i="20" s="1"/>
  <c r="I623" i="20"/>
  <c r="J623" i="20" s="1"/>
  <c r="I624" i="20"/>
  <c r="J624" i="20" s="1"/>
  <c r="I625" i="20"/>
  <c r="J625" i="20" s="1"/>
  <c r="I626" i="20"/>
  <c r="J626" i="20" s="1"/>
  <c r="I627" i="20"/>
  <c r="J627" i="20" s="1"/>
  <c r="I628" i="20"/>
  <c r="J628" i="20" s="1"/>
  <c r="I629" i="20"/>
  <c r="J629" i="20" s="1"/>
  <c r="I630" i="20"/>
  <c r="J630" i="20" s="1"/>
  <c r="I631" i="20"/>
  <c r="J631" i="20" s="1"/>
  <c r="I632" i="20"/>
  <c r="J632" i="20" s="1"/>
  <c r="I633" i="20"/>
  <c r="J633" i="20" s="1"/>
  <c r="I634" i="20"/>
  <c r="J634" i="20" s="1"/>
  <c r="I635" i="20"/>
  <c r="J635" i="20" s="1"/>
  <c r="I636" i="20"/>
  <c r="J636" i="20" s="1"/>
  <c r="I637" i="20"/>
  <c r="J637" i="20" s="1"/>
  <c r="I638" i="20"/>
  <c r="J638" i="20" s="1"/>
  <c r="I639" i="20"/>
  <c r="J639" i="20" s="1"/>
  <c r="I640" i="20"/>
  <c r="J640" i="20" s="1"/>
  <c r="I641" i="20"/>
  <c r="J641" i="20" s="1"/>
  <c r="I642" i="20"/>
  <c r="J642" i="20" s="1"/>
  <c r="I643" i="20"/>
  <c r="J643" i="20" s="1"/>
  <c r="I644" i="20"/>
  <c r="J644" i="20" s="1"/>
  <c r="I645" i="20"/>
  <c r="J645" i="20" s="1"/>
  <c r="I646" i="20"/>
  <c r="J646" i="20" s="1"/>
  <c r="I647" i="20"/>
  <c r="J647" i="20" s="1"/>
  <c r="I648" i="20"/>
  <c r="J648" i="20" s="1"/>
  <c r="I649" i="20"/>
  <c r="J649" i="20" s="1"/>
  <c r="I650" i="20"/>
  <c r="J650" i="20" s="1"/>
  <c r="I651" i="20"/>
  <c r="J651" i="20" s="1"/>
  <c r="I652" i="20"/>
  <c r="J652" i="20" s="1"/>
  <c r="I653" i="20"/>
  <c r="J653" i="20" s="1"/>
  <c r="I654" i="20"/>
  <c r="J654" i="20" s="1"/>
  <c r="I655" i="20"/>
  <c r="J655" i="20" s="1"/>
  <c r="I656" i="20"/>
  <c r="J656" i="20" s="1"/>
  <c r="I657" i="20"/>
  <c r="J657" i="20" s="1"/>
  <c r="I658" i="20"/>
  <c r="J658" i="20" s="1"/>
  <c r="I659" i="20"/>
  <c r="J659" i="20" s="1"/>
  <c r="I660" i="20"/>
  <c r="J660" i="20" s="1"/>
  <c r="I661" i="20"/>
  <c r="J661" i="20" s="1"/>
  <c r="I662" i="20"/>
  <c r="J662" i="20" s="1"/>
  <c r="I663" i="20"/>
  <c r="J663" i="20" s="1"/>
  <c r="I664" i="20"/>
  <c r="J664" i="20" s="1"/>
  <c r="I665" i="20"/>
  <c r="J665" i="20" s="1"/>
  <c r="I666" i="20"/>
  <c r="J666" i="20" s="1"/>
  <c r="I667" i="20"/>
  <c r="J667" i="20" s="1"/>
  <c r="I668" i="20"/>
  <c r="J668" i="20" s="1"/>
  <c r="I669" i="20"/>
  <c r="J669" i="20" s="1"/>
  <c r="I670" i="20"/>
  <c r="J670" i="20" s="1"/>
  <c r="I671" i="20"/>
  <c r="J671" i="20" s="1"/>
  <c r="I672" i="20"/>
  <c r="J672" i="20" s="1"/>
  <c r="I673" i="20"/>
  <c r="J673" i="20" s="1"/>
  <c r="I674" i="20"/>
  <c r="J674" i="20" s="1"/>
  <c r="I675" i="20"/>
  <c r="J675" i="20" s="1"/>
  <c r="I676" i="20"/>
  <c r="J676" i="20" s="1"/>
  <c r="I677" i="20"/>
  <c r="J677" i="20" s="1"/>
  <c r="I678" i="20"/>
  <c r="J678" i="20" s="1"/>
  <c r="I679" i="20"/>
  <c r="J679" i="20" s="1"/>
  <c r="I680" i="20"/>
  <c r="J680" i="20" s="1"/>
  <c r="I681" i="20"/>
  <c r="J681" i="20" s="1"/>
  <c r="I682" i="20"/>
  <c r="J682" i="20" s="1"/>
  <c r="I683" i="20"/>
  <c r="J683" i="20" s="1"/>
  <c r="I684" i="20"/>
  <c r="J684" i="20" s="1"/>
  <c r="I685" i="20"/>
  <c r="J685" i="20" s="1"/>
  <c r="I686" i="20"/>
  <c r="J686" i="20" s="1"/>
  <c r="I687" i="20"/>
  <c r="J687" i="20" s="1"/>
  <c r="I688" i="20"/>
  <c r="J688" i="20" s="1"/>
  <c r="I689" i="20"/>
  <c r="J689" i="20" s="1"/>
  <c r="I690" i="20"/>
  <c r="J690" i="20" s="1"/>
  <c r="I691" i="20"/>
  <c r="J691" i="20" s="1"/>
  <c r="I692" i="20"/>
  <c r="J692" i="20" s="1"/>
  <c r="I693" i="20"/>
  <c r="J693" i="20" s="1"/>
  <c r="I694" i="20"/>
  <c r="J694" i="20" s="1"/>
  <c r="I695" i="20"/>
  <c r="J695" i="20" s="1"/>
  <c r="I696" i="20"/>
  <c r="J696" i="20" s="1"/>
  <c r="I697" i="20"/>
  <c r="J697" i="20" s="1"/>
  <c r="I698" i="20"/>
  <c r="J698" i="20" s="1"/>
  <c r="I699" i="20"/>
  <c r="J699" i="20" s="1"/>
  <c r="I700" i="20"/>
  <c r="J700" i="20" s="1"/>
  <c r="I701" i="20"/>
  <c r="J701" i="20" s="1"/>
  <c r="I702" i="20"/>
  <c r="J702" i="20" s="1"/>
  <c r="I703" i="20"/>
  <c r="J703" i="20" s="1"/>
  <c r="I704" i="20"/>
  <c r="J704" i="20" s="1"/>
  <c r="I705" i="20"/>
  <c r="J705" i="20" s="1"/>
  <c r="I706" i="20"/>
  <c r="J706" i="20" s="1"/>
  <c r="I707" i="20"/>
  <c r="J707" i="20" s="1"/>
  <c r="I708" i="20"/>
  <c r="J708" i="20" s="1"/>
  <c r="I709" i="20"/>
  <c r="J709" i="20" s="1"/>
  <c r="I710" i="20"/>
  <c r="J710" i="20" s="1"/>
  <c r="I711" i="20"/>
  <c r="J711" i="20" s="1"/>
  <c r="I712" i="20"/>
  <c r="J712" i="20" s="1"/>
  <c r="I713" i="20"/>
  <c r="J713" i="20" s="1"/>
  <c r="I714" i="20"/>
  <c r="J714" i="20" s="1"/>
  <c r="I715" i="20"/>
  <c r="J715" i="20" s="1"/>
  <c r="I716" i="20"/>
  <c r="J716" i="20" s="1"/>
  <c r="I717" i="20"/>
  <c r="J717" i="20" s="1"/>
  <c r="I718" i="20"/>
  <c r="J718" i="20" s="1"/>
  <c r="I719" i="20"/>
  <c r="J719" i="20" s="1"/>
  <c r="I720" i="20"/>
  <c r="J720" i="20" s="1"/>
  <c r="I721" i="20"/>
  <c r="J721" i="20" s="1"/>
  <c r="I722" i="20"/>
  <c r="J722" i="20" s="1"/>
  <c r="I723" i="20"/>
  <c r="J723" i="20" s="1"/>
  <c r="I724" i="20"/>
  <c r="J724" i="20" s="1"/>
  <c r="I725" i="20"/>
  <c r="J725" i="20" s="1"/>
  <c r="I726" i="20"/>
  <c r="J726" i="20" s="1"/>
  <c r="I727" i="20"/>
  <c r="J727" i="20" s="1"/>
  <c r="I728" i="20"/>
  <c r="J728" i="20" s="1"/>
  <c r="I729" i="20"/>
  <c r="J729" i="20" s="1"/>
  <c r="I730" i="20"/>
  <c r="J730" i="20" s="1"/>
  <c r="I731" i="20"/>
  <c r="J731" i="20" s="1"/>
  <c r="I732" i="20"/>
  <c r="J732" i="20" s="1"/>
  <c r="I733" i="20"/>
  <c r="J733" i="20" s="1"/>
  <c r="I734" i="20"/>
  <c r="J734" i="20" s="1"/>
  <c r="I735" i="20"/>
  <c r="J735" i="20" s="1"/>
  <c r="I736" i="20"/>
  <c r="J736" i="20" s="1"/>
  <c r="I737" i="20"/>
  <c r="J737" i="20" s="1"/>
  <c r="I738" i="20"/>
  <c r="J738" i="20" s="1"/>
  <c r="I739" i="20"/>
  <c r="J739" i="20" s="1"/>
  <c r="I740" i="20"/>
  <c r="J740" i="20" s="1"/>
  <c r="I741" i="20"/>
  <c r="J741" i="20" s="1"/>
  <c r="I742" i="20"/>
  <c r="J742" i="20" s="1"/>
  <c r="I743" i="20"/>
  <c r="J743" i="20" s="1"/>
  <c r="I744" i="20"/>
  <c r="J744" i="20" s="1"/>
  <c r="I745" i="20"/>
  <c r="J745" i="20" s="1"/>
  <c r="I746" i="20"/>
  <c r="J746" i="20" s="1"/>
  <c r="I747" i="20"/>
  <c r="J747" i="20" s="1"/>
  <c r="I748" i="20"/>
  <c r="J748" i="20" s="1"/>
  <c r="I749" i="20"/>
  <c r="J749" i="20" s="1"/>
  <c r="I750" i="20"/>
  <c r="J750" i="20" s="1"/>
  <c r="I751" i="20"/>
  <c r="J751" i="20" s="1"/>
  <c r="I752" i="20"/>
  <c r="J752" i="20" s="1"/>
  <c r="I753" i="20"/>
  <c r="J753" i="20" s="1"/>
  <c r="I754" i="20"/>
  <c r="J754" i="20" s="1"/>
  <c r="I755" i="20"/>
  <c r="J755" i="20" s="1"/>
  <c r="I756" i="20"/>
  <c r="J756" i="20" s="1"/>
  <c r="I757" i="20"/>
  <c r="J757" i="20" s="1"/>
  <c r="I758" i="20"/>
  <c r="J758" i="20" s="1"/>
  <c r="I759" i="20"/>
  <c r="J759" i="20" s="1"/>
  <c r="I760" i="20"/>
  <c r="J760" i="20" s="1"/>
  <c r="I761" i="20"/>
  <c r="J761" i="20" s="1"/>
  <c r="I762" i="20"/>
  <c r="J762" i="20" s="1"/>
  <c r="I763" i="20"/>
  <c r="J763" i="20" s="1"/>
  <c r="I764" i="20"/>
  <c r="J764" i="20" s="1"/>
  <c r="I765" i="20"/>
  <c r="J765" i="20" s="1"/>
  <c r="I766" i="20"/>
  <c r="J766" i="20" s="1"/>
  <c r="I767" i="20"/>
  <c r="J767" i="20" s="1"/>
  <c r="I768" i="20"/>
  <c r="J768" i="20" s="1"/>
  <c r="I769" i="20"/>
  <c r="J769" i="20" s="1"/>
  <c r="I770" i="20"/>
  <c r="J770" i="20" s="1"/>
  <c r="I771" i="20"/>
  <c r="J771" i="20" s="1"/>
  <c r="I772" i="20"/>
  <c r="J772" i="20" s="1"/>
  <c r="I773" i="20"/>
  <c r="J773" i="20" s="1"/>
  <c r="I774" i="20"/>
  <c r="J774" i="20" s="1"/>
  <c r="I775" i="20"/>
  <c r="J775" i="20" s="1"/>
  <c r="I776" i="20"/>
  <c r="J776" i="20" s="1"/>
  <c r="I777" i="20"/>
  <c r="J777" i="20" s="1"/>
  <c r="I778" i="20"/>
  <c r="J778" i="20" s="1"/>
  <c r="I779" i="20"/>
  <c r="J779" i="20" s="1"/>
  <c r="I780" i="20"/>
  <c r="J780" i="20" s="1"/>
  <c r="I781" i="20"/>
  <c r="J781" i="20" s="1"/>
  <c r="I782" i="20"/>
  <c r="J782" i="20" s="1"/>
  <c r="I783" i="20"/>
  <c r="J783" i="20" s="1"/>
  <c r="I784" i="20"/>
  <c r="J784" i="20" s="1"/>
  <c r="I785" i="20"/>
  <c r="J785" i="20" s="1"/>
  <c r="I786" i="20"/>
  <c r="J786" i="20" s="1"/>
  <c r="I787" i="20"/>
  <c r="J787" i="20" s="1"/>
  <c r="I788" i="20"/>
  <c r="J788" i="20" s="1"/>
  <c r="I789" i="20"/>
  <c r="J789" i="20" s="1"/>
  <c r="I790" i="20"/>
  <c r="J790" i="20" s="1"/>
  <c r="I791" i="20"/>
  <c r="J791" i="20" s="1"/>
  <c r="I792" i="20"/>
  <c r="J792" i="20" s="1"/>
  <c r="I793" i="20"/>
  <c r="J793" i="20" s="1"/>
  <c r="I794" i="20"/>
  <c r="J794" i="20" s="1"/>
  <c r="I852" i="20"/>
  <c r="J852" i="20" s="1"/>
  <c r="I853" i="20"/>
  <c r="J853" i="20" s="1"/>
  <c r="I854" i="20"/>
  <c r="J854" i="20" s="1"/>
  <c r="I855" i="20"/>
  <c r="J855" i="20" s="1"/>
  <c r="I856" i="20"/>
  <c r="J856" i="20" s="1"/>
  <c r="I857" i="20"/>
  <c r="J857" i="20" s="1"/>
  <c r="I858" i="20"/>
  <c r="J858" i="20" s="1"/>
  <c r="I859" i="20"/>
  <c r="J859" i="20" s="1"/>
  <c r="I860" i="20"/>
  <c r="J860" i="20" s="1"/>
  <c r="I861" i="20"/>
  <c r="J861" i="20" s="1"/>
  <c r="I862" i="20"/>
  <c r="J862" i="20" s="1"/>
  <c r="I863" i="20"/>
  <c r="J863" i="20" s="1"/>
  <c r="I864" i="20"/>
  <c r="J864" i="20" s="1"/>
  <c r="I865" i="20"/>
  <c r="J865" i="20" s="1"/>
  <c r="I866" i="20"/>
  <c r="J866" i="20" s="1"/>
  <c r="I867" i="20"/>
  <c r="J867" i="20" s="1"/>
  <c r="I868" i="20"/>
  <c r="J868" i="20" s="1"/>
  <c r="I869" i="20"/>
  <c r="J869" i="20" s="1"/>
  <c r="I870" i="20"/>
  <c r="J870" i="20" s="1"/>
  <c r="I871" i="20"/>
  <c r="J871" i="20" s="1"/>
  <c r="I872" i="20"/>
  <c r="J872" i="20" s="1"/>
  <c r="I873" i="20"/>
  <c r="J873" i="20" s="1"/>
  <c r="I874" i="20"/>
  <c r="J874" i="20" s="1"/>
  <c r="I875" i="20"/>
  <c r="J875" i="20" s="1"/>
  <c r="I876" i="20"/>
  <c r="J876" i="20" s="1"/>
  <c r="I877" i="20"/>
  <c r="J877" i="20" s="1"/>
  <c r="I878" i="20"/>
  <c r="J878" i="20" s="1"/>
  <c r="I879" i="20"/>
  <c r="J879" i="20" s="1"/>
  <c r="I880" i="20"/>
  <c r="J880" i="20" s="1"/>
  <c r="I881" i="20"/>
  <c r="J881" i="20" s="1"/>
  <c r="I882" i="20"/>
  <c r="J882" i="20" s="1"/>
  <c r="I883" i="20"/>
  <c r="J883" i="20" s="1"/>
  <c r="I884" i="20"/>
  <c r="J884" i="20" s="1"/>
  <c r="I885" i="20"/>
  <c r="J885" i="20" s="1"/>
  <c r="I886" i="20"/>
  <c r="J886" i="20" s="1"/>
  <c r="I887" i="20"/>
  <c r="J887" i="20" s="1"/>
  <c r="I888" i="20"/>
  <c r="J888" i="20" s="1"/>
  <c r="I889" i="20"/>
  <c r="J889" i="20" s="1"/>
  <c r="I890" i="20"/>
  <c r="J890" i="20" s="1"/>
  <c r="I891" i="20"/>
  <c r="J891" i="20" s="1"/>
  <c r="I892" i="20"/>
  <c r="J892" i="20" s="1"/>
  <c r="I893" i="20"/>
  <c r="J893" i="20" s="1"/>
  <c r="I894" i="20"/>
  <c r="J894" i="20" s="1"/>
  <c r="I895" i="20"/>
  <c r="J895" i="20" s="1"/>
  <c r="I896" i="20"/>
  <c r="J896" i="20" s="1"/>
  <c r="I897" i="20"/>
  <c r="J897" i="20" s="1"/>
  <c r="I898" i="20"/>
  <c r="J898" i="20" s="1"/>
  <c r="I899" i="20"/>
  <c r="J899" i="20" s="1"/>
  <c r="I900" i="20"/>
  <c r="J900" i="20" s="1"/>
  <c r="I901" i="20"/>
  <c r="J901" i="20" s="1"/>
  <c r="I902" i="20"/>
  <c r="J902" i="20" s="1"/>
  <c r="I903" i="20"/>
  <c r="J903" i="20" s="1"/>
  <c r="I904" i="20"/>
  <c r="J904" i="20" s="1"/>
  <c r="I905" i="20"/>
  <c r="J905" i="20" s="1"/>
  <c r="I906" i="20"/>
  <c r="J906" i="20" s="1"/>
  <c r="I907" i="20"/>
  <c r="J907" i="20" s="1"/>
  <c r="I908" i="20"/>
  <c r="J908" i="20" s="1"/>
  <c r="I909" i="20"/>
  <c r="J909" i="20" s="1"/>
  <c r="I910" i="20"/>
  <c r="J910" i="20" s="1"/>
  <c r="I911" i="20"/>
  <c r="J911" i="20" s="1"/>
  <c r="I912" i="20"/>
  <c r="J912" i="20" s="1"/>
  <c r="I913" i="20"/>
  <c r="J913" i="20" s="1"/>
  <c r="I914" i="20"/>
  <c r="J914" i="20" s="1"/>
  <c r="I915" i="20"/>
  <c r="J915" i="20" s="1"/>
  <c r="I916" i="20"/>
  <c r="J916" i="20" s="1"/>
  <c r="I917" i="20"/>
  <c r="J917" i="20" s="1"/>
  <c r="I918" i="20"/>
  <c r="J918" i="20" s="1"/>
  <c r="I919" i="20"/>
  <c r="J919" i="20" s="1"/>
  <c r="I920" i="20"/>
  <c r="J920" i="20" s="1"/>
  <c r="I921" i="20"/>
  <c r="J921" i="20" s="1"/>
  <c r="I922" i="20"/>
  <c r="J922" i="20" s="1"/>
  <c r="I923" i="20"/>
  <c r="J923" i="20" s="1"/>
  <c r="I924" i="20"/>
  <c r="J924" i="20" s="1"/>
  <c r="I925" i="20"/>
  <c r="J925" i="20" s="1"/>
  <c r="I926" i="20"/>
  <c r="J926" i="20" s="1"/>
  <c r="I927" i="20"/>
  <c r="J927" i="20" s="1"/>
  <c r="I928" i="20"/>
  <c r="J928" i="20" s="1"/>
  <c r="I929" i="20"/>
  <c r="J929" i="20" s="1"/>
  <c r="I930" i="20"/>
  <c r="J930" i="20" s="1"/>
  <c r="I931" i="20"/>
  <c r="J931" i="20" s="1"/>
  <c r="I932" i="20"/>
  <c r="J932" i="20" s="1"/>
  <c r="I933" i="20"/>
  <c r="J933" i="20" s="1"/>
  <c r="I934" i="20"/>
  <c r="J934" i="20" s="1"/>
  <c r="I935" i="20"/>
  <c r="J935" i="20" s="1"/>
  <c r="I936" i="20"/>
  <c r="J936" i="20" s="1"/>
  <c r="I937" i="20"/>
  <c r="J937" i="20" s="1"/>
  <c r="I938" i="20"/>
  <c r="J938" i="20" s="1"/>
  <c r="I939" i="20"/>
  <c r="J939" i="20" s="1"/>
  <c r="I940" i="20"/>
  <c r="J940" i="20" s="1"/>
  <c r="I941" i="20"/>
  <c r="J941" i="20" s="1"/>
  <c r="I942" i="20"/>
  <c r="J942" i="20" s="1"/>
  <c r="I943" i="20"/>
  <c r="J943" i="20" s="1"/>
  <c r="I944" i="20"/>
  <c r="J944" i="20" s="1"/>
  <c r="I945" i="20"/>
  <c r="J945" i="20" s="1"/>
  <c r="I946" i="20"/>
  <c r="J946" i="20" s="1"/>
  <c r="I947" i="20"/>
  <c r="J947" i="20" s="1"/>
  <c r="I948" i="20"/>
  <c r="J948" i="20" s="1"/>
  <c r="I949" i="20"/>
  <c r="J949" i="20" s="1"/>
  <c r="I950" i="20"/>
  <c r="J950" i="20" s="1"/>
  <c r="I951" i="20"/>
  <c r="J951" i="20" s="1"/>
  <c r="I952" i="20"/>
  <c r="J952" i="20" s="1"/>
  <c r="I953" i="20"/>
  <c r="J953" i="20" s="1"/>
  <c r="I954" i="20"/>
  <c r="J954" i="20" s="1"/>
  <c r="I955" i="20"/>
  <c r="J955" i="20" s="1"/>
  <c r="I956" i="20"/>
  <c r="J956" i="20" s="1"/>
  <c r="I957" i="20"/>
  <c r="J957" i="20" s="1"/>
  <c r="I958" i="20"/>
  <c r="J958" i="20" s="1"/>
  <c r="I959" i="20"/>
  <c r="J959" i="20" s="1"/>
  <c r="I960" i="20"/>
  <c r="J960" i="20" s="1"/>
  <c r="I961" i="20"/>
  <c r="J961" i="20" s="1"/>
  <c r="I962" i="20"/>
  <c r="J962" i="20" s="1"/>
  <c r="I963" i="20"/>
  <c r="J963" i="20" s="1"/>
  <c r="I964" i="20"/>
  <c r="J964" i="20" s="1"/>
  <c r="I965" i="20"/>
  <c r="J965" i="20" s="1"/>
  <c r="I966" i="20"/>
  <c r="J966" i="20" s="1"/>
  <c r="I967" i="20"/>
  <c r="J967" i="20" s="1"/>
  <c r="I968" i="20"/>
  <c r="J968" i="20" s="1"/>
  <c r="I969" i="20"/>
  <c r="J969" i="20" s="1"/>
  <c r="I970" i="20"/>
  <c r="J970" i="20" s="1"/>
  <c r="I971" i="20"/>
  <c r="J971" i="20" s="1"/>
  <c r="I972" i="20"/>
  <c r="J972" i="20" s="1"/>
  <c r="I973" i="20"/>
  <c r="J973" i="20" s="1"/>
  <c r="I974" i="20"/>
  <c r="J974" i="20" s="1"/>
  <c r="I975" i="20"/>
  <c r="J975" i="20" s="1"/>
  <c r="I976" i="20"/>
  <c r="J976" i="20" s="1"/>
  <c r="I977" i="20"/>
  <c r="J977" i="20" s="1"/>
  <c r="I978" i="20"/>
  <c r="J978" i="20" s="1"/>
  <c r="I979" i="20"/>
  <c r="J979" i="20" s="1"/>
  <c r="I980" i="20"/>
  <c r="J980" i="20" s="1"/>
  <c r="I981" i="20"/>
  <c r="J981" i="20" s="1"/>
  <c r="I982" i="20"/>
  <c r="J982" i="20" s="1"/>
  <c r="I983" i="20"/>
  <c r="J983" i="20" s="1"/>
  <c r="I984" i="20"/>
  <c r="J984" i="20" s="1"/>
  <c r="I985" i="20"/>
  <c r="J985" i="20" s="1"/>
  <c r="I986" i="20"/>
  <c r="J986" i="20" s="1"/>
  <c r="I987" i="20"/>
  <c r="J987" i="20" s="1"/>
  <c r="I988" i="20"/>
  <c r="J988" i="20" s="1"/>
  <c r="I989" i="20"/>
  <c r="J989" i="20" s="1"/>
  <c r="I990" i="20"/>
  <c r="J990" i="20" s="1"/>
  <c r="I991" i="20"/>
  <c r="J991" i="20" s="1"/>
  <c r="I992" i="20"/>
  <c r="J992" i="20" s="1"/>
  <c r="I993" i="20"/>
  <c r="J993" i="20" s="1"/>
  <c r="I994" i="20"/>
  <c r="J994" i="20" s="1"/>
  <c r="I995" i="20"/>
  <c r="J995" i="20" s="1"/>
  <c r="I996" i="20"/>
  <c r="J996" i="20" s="1"/>
  <c r="I997" i="20"/>
  <c r="J997" i="20" s="1"/>
  <c r="I998" i="20"/>
  <c r="J998" i="20" s="1"/>
  <c r="I999" i="20"/>
  <c r="J999" i="20" s="1"/>
  <c r="I1000" i="20"/>
  <c r="J1000" i="20" s="1"/>
  <c r="I1001" i="20"/>
  <c r="J1001" i="20" s="1"/>
  <c r="I1002" i="20"/>
  <c r="J1002" i="20" s="1"/>
  <c r="I1003" i="20"/>
  <c r="J1003" i="20" s="1"/>
  <c r="I1004" i="20"/>
  <c r="J1004" i="20" s="1"/>
  <c r="I1005" i="20"/>
  <c r="J1005" i="20" s="1"/>
  <c r="I1006" i="20"/>
  <c r="J1006" i="20" s="1"/>
  <c r="I1007" i="20"/>
  <c r="J1007" i="20" s="1"/>
  <c r="I1008" i="20"/>
  <c r="J1008" i="20" s="1"/>
  <c r="I1009" i="20"/>
  <c r="J1009" i="20" s="1"/>
  <c r="I1010" i="20"/>
  <c r="J1010" i="20" s="1"/>
  <c r="I1011" i="20"/>
  <c r="J1011" i="20" s="1"/>
  <c r="I1012" i="20"/>
  <c r="J1012" i="20" s="1"/>
  <c r="I1013" i="20"/>
  <c r="J1013" i="20" s="1"/>
  <c r="I1014" i="20"/>
  <c r="J1014" i="20" s="1"/>
  <c r="I1015" i="20"/>
  <c r="J1015" i="20" s="1"/>
  <c r="I1016" i="20"/>
  <c r="J1016" i="20" s="1"/>
  <c r="I1017" i="20"/>
  <c r="J1017" i="20" s="1"/>
  <c r="I1018" i="20"/>
  <c r="J1018" i="20" s="1"/>
  <c r="I1019" i="20"/>
  <c r="J1019" i="20" s="1"/>
  <c r="I1020" i="20"/>
  <c r="J1020" i="20" s="1"/>
  <c r="I1021" i="20"/>
  <c r="J1021" i="20" s="1"/>
  <c r="I1022" i="20"/>
  <c r="J1022" i="20" s="1"/>
  <c r="I1023" i="20"/>
  <c r="J1023" i="20" s="1"/>
  <c r="I1024" i="20"/>
  <c r="J1024" i="20" s="1"/>
  <c r="I1025" i="20"/>
  <c r="J1025" i="20" s="1"/>
  <c r="I1026" i="20"/>
  <c r="J1026" i="20" s="1"/>
  <c r="I1027" i="20"/>
  <c r="J1027" i="20" s="1"/>
  <c r="I1028" i="20"/>
  <c r="J1028" i="20" s="1"/>
  <c r="I1029" i="20"/>
  <c r="J1029" i="20" s="1"/>
  <c r="I1030" i="20"/>
  <c r="J1030" i="20" s="1"/>
  <c r="I1031" i="20"/>
  <c r="J1031" i="20" s="1"/>
  <c r="I1032" i="20"/>
  <c r="J1032" i="20" s="1"/>
  <c r="I1033" i="20"/>
  <c r="J1033" i="20" s="1"/>
  <c r="I1034" i="20"/>
  <c r="J1034" i="20" s="1"/>
  <c r="I1035" i="20"/>
  <c r="J1035" i="20" s="1"/>
  <c r="I1036" i="20"/>
  <c r="J1036" i="20" s="1"/>
  <c r="I1037" i="20"/>
  <c r="J1037" i="20" s="1"/>
  <c r="I1038" i="20"/>
  <c r="J1038" i="20" s="1"/>
  <c r="I1039" i="20"/>
  <c r="J1039" i="20" s="1"/>
  <c r="I1040" i="20"/>
  <c r="J1040" i="20" s="1"/>
  <c r="I1041" i="20"/>
  <c r="J1041" i="20" s="1"/>
  <c r="I1042" i="20"/>
  <c r="J1042" i="20" s="1"/>
  <c r="I1043" i="20"/>
  <c r="J1043" i="20" s="1"/>
  <c r="I1044" i="20"/>
  <c r="J1044" i="20" s="1"/>
  <c r="I1045" i="20"/>
  <c r="J1045" i="20" s="1"/>
  <c r="I1046" i="20"/>
  <c r="J1046" i="20" s="1"/>
  <c r="I1047" i="20"/>
  <c r="J1047" i="20" s="1"/>
  <c r="I1048" i="20"/>
  <c r="J1048" i="20" s="1"/>
  <c r="I1049" i="20"/>
  <c r="J1049" i="20" s="1"/>
  <c r="I1050" i="20"/>
  <c r="J1050" i="20" s="1"/>
  <c r="I1051" i="20"/>
  <c r="J1051" i="20" s="1"/>
  <c r="I1052" i="20"/>
  <c r="J1052" i="20" s="1"/>
  <c r="I1053" i="20"/>
  <c r="J1053" i="20" s="1"/>
  <c r="I1054" i="20"/>
  <c r="J1054" i="20" s="1"/>
  <c r="I1055" i="20"/>
  <c r="J1055" i="20" s="1"/>
  <c r="I1056" i="20"/>
  <c r="J1056" i="20" s="1"/>
  <c r="I1057" i="20"/>
  <c r="J1057" i="20" s="1"/>
  <c r="I1058" i="20"/>
  <c r="J1058" i="20" s="1"/>
  <c r="I1059" i="20"/>
  <c r="J1059" i="20" s="1"/>
  <c r="I1060" i="20"/>
  <c r="J1060" i="20" s="1"/>
  <c r="I1061" i="20"/>
  <c r="J1061" i="20" s="1"/>
  <c r="I1062" i="20"/>
  <c r="J1062" i="20" s="1"/>
  <c r="I1063" i="20"/>
  <c r="J1063" i="20" s="1"/>
  <c r="I1064" i="20"/>
  <c r="J1064" i="20" s="1"/>
  <c r="I1065" i="20"/>
  <c r="J1065" i="20" s="1"/>
  <c r="I1066" i="20"/>
  <c r="J1066" i="20" s="1"/>
  <c r="I1067" i="20"/>
  <c r="J1067" i="20" s="1"/>
  <c r="I1068" i="20"/>
  <c r="J1068" i="20" s="1"/>
  <c r="I1069" i="20"/>
  <c r="J1069" i="20" s="1"/>
  <c r="I1070" i="20"/>
  <c r="J1070" i="20" s="1"/>
  <c r="I1071" i="20"/>
  <c r="J1071" i="20" s="1"/>
  <c r="I1072" i="20"/>
  <c r="J1072" i="20" s="1"/>
  <c r="I1073" i="20"/>
  <c r="J1073" i="20" s="1"/>
  <c r="I1074" i="20"/>
  <c r="J1074" i="20" s="1"/>
  <c r="I1075" i="20"/>
  <c r="J1075" i="20" s="1"/>
  <c r="I1076" i="20"/>
  <c r="J1076" i="20" s="1"/>
  <c r="I1077" i="20"/>
  <c r="J1077" i="20" s="1"/>
  <c r="I1078" i="20"/>
  <c r="J1078" i="20" s="1"/>
  <c r="I1079" i="20"/>
  <c r="J1079" i="20" s="1"/>
  <c r="I1080" i="20"/>
  <c r="J1080" i="20" s="1"/>
  <c r="I1081" i="20"/>
  <c r="J1081" i="20" s="1"/>
  <c r="I1082" i="20"/>
  <c r="J1082" i="20" s="1"/>
  <c r="I1083" i="20"/>
  <c r="J1083" i="20" s="1"/>
  <c r="I1084" i="20"/>
  <c r="J1084" i="20" s="1"/>
  <c r="I1085" i="20"/>
  <c r="J1085" i="20" s="1"/>
  <c r="I1086" i="20"/>
  <c r="J1086" i="20" s="1"/>
  <c r="I1087" i="20"/>
  <c r="J1087" i="20" s="1"/>
  <c r="I1088" i="20"/>
  <c r="J1088" i="20" s="1"/>
  <c r="I1089" i="20"/>
  <c r="J1089" i="20" s="1"/>
  <c r="I1090" i="20"/>
  <c r="J1090" i="20" s="1"/>
  <c r="I1091" i="20"/>
  <c r="J1091" i="20" s="1"/>
  <c r="I1092" i="20"/>
  <c r="J1092" i="20" s="1"/>
  <c r="I1093" i="20"/>
  <c r="J1093" i="20" s="1"/>
  <c r="I1094" i="20"/>
  <c r="J1094" i="20" s="1"/>
  <c r="I1095" i="20"/>
  <c r="J1095" i="20" s="1"/>
  <c r="I1096" i="20"/>
  <c r="J1096" i="20" s="1"/>
  <c r="I1097" i="20"/>
  <c r="J1097" i="20" s="1"/>
  <c r="I1098" i="20"/>
  <c r="J1098" i="20" s="1"/>
  <c r="I1099" i="20"/>
  <c r="J1099" i="20" s="1"/>
  <c r="I1100" i="20"/>
  <c r="J1100" i="20" s="1"/>
  <c r="I1101" i="20"/>
  <c r="J1101" i="20" s="1"/>
  <c r="I1102" i="20"/>
  <c r="J1102" i="20" s="1"/>
  <c r="I1103" i="20"/>
  <c r="J1103" i="20" s="1"/>
  <c r="I1104" i="20"/>
  <c r="J1104" i="20" s="1"/>
  <c r="I1105" i="20"/>
  <c r="J1105" i="20" s="1"/>
  <c r="I1106" i="20"/>
  <c r="J1106" i="20" s="1"/>
  <c r="I1107" i="20"/>
  <c r="J1107" i="20" s="1"/>
  <c r="I1108" i="20"/>
  <c r="J1108" i="20" s="1"/>
  <c r="I1109" i="20"/>
  <c r="J1109" i="20" s="1"/>
  <c r="I1110" i="20"/>
  <c r="J1110" i="20" s="1"/>
  <c r="I1111" i="20"/>
  <c r="J1111" i="20" s="1"/>
  <c r="I1112" i="20"/>
  <c r="J1112" i="20" s="1"/>
  <c r="I1113" i="20"/>
  <c r="J1113" i="20" s="1"/>
  <c r="I1114" i="20"/>
  <c r="J1114" i="20" s="1"/>
  <c r="I1115" i="20"/>
  <c r="J1115" i="20" s="1"/>
  <c r="I1116" i="20"/>
  <c r="J1116" i="20" s="1"/>
  <c r="I1117" i="20"/>
  <c r="J1117" i="20" s="1"/>
  <c r="I1118" i="20"/>
  <c r="J1118" i="20" s="1"/>
  <c r="I1119" i="20"/>
  <c r="J1119" i="20" s="1"/>
  <c r="I1120" i="20"/>
  <c r="J1120" i="20" s="1"/>
  <c r="I1121" i="20"/>
  <c r="J1121" i="20" s="1"/>
  <c r="I1122" i="20"/>
  <c r="J1122" i="20" s="1"/>
  <c r="I1123" i="20"/>
  <c r="J1123" i="20" s="1"/>
  <c r="I1124" i="20"/>
  <c r="J1124" i="20" s="1"/>
  <c r="I1125" i="20"/>
  <c r="J1125" i="20" s="1"/>
  <c r="I1126" i="20"/>
  <c r="J1126" i="20" s="1"/>
  <c r="I1127" i="20"/>
  <c r="J1127" i="20" s="1"/>
  <c r="I1128" i="20"/>
  <c r="J1128" i="20" s="1"/>
  <c r="I1129" i="20"/>
  <c r="J1129" i="20" s="1"/>
  <c r="I1130" i="20"/>
  <c r="J1130" i="20" s="1"/>
  <c r="I1131" i="20"/>
  <c r="J1131" i="20" s="1"/>
  <c r="I1132" i="20"/>
  <c r="J1132" i="20" s="1"/>
  <c r="I1133" i="20"/>
  <c r="J1133" i="20" s="1"/>
  <c r="I1134" i="20"/>
  <c r="J1134" i="20" s="1"/>
  <c r="I1135" i="20"/>
  <c r="J1135" i="20" s="1"/>
  <c r="I1136" i="20"/>
  <c r="J1136" i="20" s="1"/>
  <c r="I1137" i="20"/>
  <c r="J1137" i="20" s="1"/>
  <c r="I1138" i="20"/>
  <c r="J1138" i="20" s="1"/>
  <c r="I1139" i="20"/>
  <c r="J1139" i="20" s="1"/>
  <c r="I1140" i="20"/>
  <c r="J1140" i="20" s="1"/>
  <c r="I1141" i="20"/>
  <c r="J1141" i="20" s="1"/>
  <c r="I1142" i="20"/>
  <c r="J1142" i="20" s="1"/>
  <c r="I1143" i="20"/>
  <c r="J1143" i="20" s="1"/>
  <c r="I1144" i="20"/>
  <c r="J1144" i="20" s="1"/>
  <c r="I1145" i="20"/>
  <c r="J1145" i="20" s="1"/>
  <c r="I1146" i="20"/>
  <c r="J1146" i="20" s="1"/>
  <c r="I1147" i="20"/>
  <c r="J1147" i="20" s="1"/>
  <c r="I1148" i="20"/>
  <c r="J1148" i="20" s="1"/>
  <c r="I1149" i="20"/>
  <c r="J1149" i="20" s="1"/>
  <c r="I1150" i="20"/>
  <c r="J1150" i="20" s="1"/>
  <c r="I1151" i="20"/>
  <c r="J1151" i="20" s="1"/>
  <c r="I1152" i="20"/>
  <c r="J1152" i="20" s="1"/>
  <c r="I1153" i="20"/>
  <c r="J1153" i="20" s="1"/>
  <c r="I1154" i="20"/>
  <c r="J1154" i="20" s="1"/>
  <c r="I1155" i="20"/>
  <c r="J1155" i="20" s="1"/>
  <c r="I1156" i="20"/>
  <c r="J1156" i="20" s="1"/>
  <c r="I1157" i="20"/>
  <c r="J1157" i="20" s="1"/>
  <c r="I1158" i="20"/>
  <c r="J1158" i="20" s="1"/>
  <c r="I1159" i="20"/>
  <c r="J1159" i="20" s="1"/>
  <c r="I1160" i="20"/>
  <c r="J1160" i="20" s="1"/>
  <c r="I1161" i="20"/>
  <c r="J1161" i="20" s="1"/>
  <c r="I1162" i="20"/>
  <c r="J1162" i="20" s="1"/>
  <c r="I1163" i="20"/>
  <c r="J1163" i="20" s="1"/>
  <c r="I1164" i="20"/>
  <c r="J1164" i="20" s="1"/>
  <c r="I1165" i="20"/>
  <c r="J1165" i="20" s="1"/>
  <c r="I1166" i="20"/>
  <c r="J1166" i="20" s="1"/>
  <c r="I1167" i="20"/>
  <c r="J1167" i="20" s="1"/>
  <c r="I1168" i="20"/>
  <c r="J1168" i="20" s="1"/>
  <c r="I1169" i="20"/>
  <c r="J1169" i="20" s="1"/>
  <c r="I1170" i="20"/>
  <c r="J1170" i="20" s="1"/>
  <c r="I1171" i="20"/>
  <c r="J1171" i="20" s="1"/>
  <c r="I1172" i="20"/>
  <c r="J1172" i="20" s="1"/>
  <c r="I1173" i="20"/>
  <c r="J1173" i="20" s="1"/>
  <c r="I1174" i="20"/>
  <c r="J1174" i="20" s="1"/>
  <c r="I1175" i="20"/>
  <c r="J1175" i="20" s="1"/>
  <c r="I1176" i="20"/>
  <c r="J1176" i="20" s="1"/>
  <c r="I1177" i="20"/>
  <c r="J1177" i="20" s="1"/>
  <c r="I1178" i="20"/>
  <c r="J1178" i="20" s="1"/>
  <c r="I1179" i="20"/>
  <c r="J1179" i="20" s="1"/>
  <c r="I1180" i="20"/>
  <c r="J1180" i="20" s="1"/>
  <c r="I1181" i="20"/>
  <c r="J1181" i="20" s="1"/>
  <c r="I1182" i="20"/>
  <c r="J1182" i="20" s="1"/>
  <c r="I1183" i="20"/>
  <c r="J1183" i="20" s="1"/>
  <c r="I1184" i="20"/>
  <c r="J1184" i="20" s="1"/>
  <c r="I1185" i="20"/>
  <c r="J1185" i="20" s="1"/>
  <c r="I1186" i="20"/>
  <c r="J1186" i="20" s="1"/>
  <c r="I1187" i="20"/>
  <c r="J1187" i="20" s="1"/>
  <c r="I1188" i="20"/>
  <c r="J1188" i="20" s="1"/>
  <c r="I1189" i="20"/>
  <c r="J1189" i="20" s="1"/>
  <c r="I1190" i="20"/>
  <c r="J1190" i="20" s="1"/>
  <c r="I1191" i="20"/>
  <c r="J1191" i="20" s="1"/>
  <c r="I1192" i="20"/>
  <c r="J1192" i="20" s="1"/>
  <c r="I1193" i="20"/>
  <c r="J1193" i="20" s="1"/>
  <c r="I1194" i="20"/>
  <c r="J1194" i="20" s="1"/>
  <c r="I1195" i="20"/>
  <c r="J1195" i="20" s="1"/>
  <c r="I1196" i="20"/>
  <c r="J1196" i="20" s="1"/>
  <c r="I1197" i="20"/>
  <c r="J1197" i="20" s="1"/>
  <c r="I1198" i="20"/>
  <c r="J1198" i="20" s="1"/>
  <c r="I1199" i="20"/>
  <c r="J1199" i="20" s="1"/>
  <c r="I1200" i="20"/>
  <c r="J1200" i="20" s="1"/>
  <c r="I1201" i="20"/>
  <c r="J1201" i="20" s="1"/>
  <c r="I1202" i="20"/>
  <c r="J1202" i="20" s="1"/>
  <c r="I1203" i="20"/>
  <c r="J1203" i="20" s="1"/>
  <c r="I1204" i="20"/>
  <c r="J1204" i="20" s="1"/>
  <c r="I1205" i="20"/>
  <c r="J1205" i="20" s="1"/>
  <c r="I1206" i="20"/>
  <c r="J1206" i="20" s="1"/>
  <c r="I1207" i="20"/>
  <c r="J1207" i="20" s="1"/>
  <c r="I1208" i="20"/>
  <c r="J1208" i="20" s="1"/>
  <c r="I1209" i="20"/>
  <c r="J1209" i="20" s="1"/>
  <c r="I1210" i="20"/>
  <c r="J1210" i="20" s="1"/>
  <c r="I1211" i="20"/>
  <c r="J1211" i="20" s="1"/>
  <c r="I1212" i="20"/>
  <c r="J1212" i="20" s="1"/>
  <c r="I1213" i="20"/>
  <c r="J1213" i="20" s="1"/>
  <c r="I1214" i="20"/>
  <c r="J1214" i="20" s="1"/>
  <c r="I1215" i="20"/>
  <c r="J1215" i="20" s="1"/>
  <c r="I1216" i="20"/>
  <c r="J1216" i="20" s="1"/>
  <c r="I1217" i="20"/>
  <c r="J1217" i="20" s="1"/>
  <c r="I1218" i="20"/>
  <c r="J1218" i="20" s="1"/>
  <c r="I1219" i="20"/>
  <c r="J1219" i="20" s="1"/>
  <c r="I1220" i="20"/>
  <c r="J1220" i="20" s="1"/>
  <c r="I1221" i="20"/>
  <c r="J1221" i="20" s="1"/>
  <c r="I1222" i="20"/>
  <c r="J1222" i="20" s="1"/>
  <c r="I1223" i="20"/>
  <c r="J1223" i="20" s="1"/>
  <c r="I1224" i="20"/>
  <c r="J1224" i="20" s="1"/>
  <c r="I1225" i="20"/>
  <c r="J1225" i="20" s="1"/>
  <c r="I1226" i="20"/>
  <c r="J1226" i="20" s="1"/>
  <c r="I1227" i="20"/>
  <c r="J1227" i="20" s="1"/>
  <c r="I1228" i="20"/>
  <c r="J1228" i="20" s="1"/>
  <c r="I1229" i="20"/>
  <c r="J1229" i="20" s="1"/>
  <c r="I1230" i="20"/>
  <c r="J1230" i="20" s="1"/>
  <c r="I1231" i="20"/>
  <c r="J1231" i="20" s="1"/>
  <c r="I1232" i="20"/>
  <c r="J1232" i="20" s="1"/>
  <c r="I1233" i="20"/>
  <c r="J1233" i="20" s="1"/>
  <c r="I1234" i="20"/>
  <c r="J1234" i="20" s="1"/>
  <c r="I1235" i="20"/>
  <c r="J1235" i="20" s="1"/>
  <c r="I1236" i="20"/>
  <c r="J1236" i="20" s="1"/>
  <c r="I1237" i="20"/>
  <c r="J1237" i="20" s="1"/>
  <c r="I1238" i="20"/>
  <c r="J1238" i="20" s="1"/>
  <c r="I1239" i="20"/>
  <c r="J1239" i="20" s="1"/>
  <c r="I1240" i="20"/>
  <c r="J1240" i="20" s="1"/>
  <c r="I1241" i="20"/>
  <c r="J1241" i="20" s="1"/>
  <c r="I1242" i="20"/>
  <c r="J1242" i="20" s="1"/>
  <c r="I1243" i="20"/>
  <c r="J1243" i="20" s="1"/>
  <c r="I1244" i="20"/>
  <c r="J1244" i="20" s="1"/>
  <c r="I1245" i="20"/>
  <c r="J1245" i="20" s="1"/>
  <c r="I1246" i="20"/>
  <c r="J1246" i="20" s="1"/>
  <c r="I1247" i="20"/>
  <c r="J1247" i="20" s="1"/>
  <c r="I1248" i="20"/>
  <c r="J1248" i="20" s="1"/>
  <c r="I1249" i="20"/>
  <c r="J1249" i="20" s="1"/>
  <c r="I1250" i="20"/>
  <c r="J1250" i="20" s="1"/>
  <c r="I1251" i="20"/>
  <c r="J1251" i="20" s="1"/>
  <c r="I1252" i="20"/>
  <c r="J1252" i="20" s="1"/>
  <c r="I1253" i="20"/>
  <c r="J1253" i="20" s="1"/>
  <c r="I1254" i="20"/>
  <c r="J1254" i="20" s="1"/>
  <c r="I1255" i="20"/>
  <c r="J1255" i="20" s="1"/>
  <c r="I1256" i="20"/>
  <c r="J1256" i="20" s="1"/>
  <c r="I1257" i="20"/>
  <c r="J1257" i="20" s="1"/>
  <c r="I1258" i="20"/>
  <c r="J1258" i="20" s="1"/>
  <c r="I1259" i="20"/>
  <c r="J1259" i="20" s="1"/>
  <c r="I1260" i="20"/>
  <c r="J1260" i="20" s="1"/>
  <c r="I1261" i="20"/>
  <c r="J1261" i="20" s="1"/>
  <c r="I1262" i="20"/>
  <c r="J1262" i="20" s="1"/>
  <c r="I1263" i="20"/>
  <c r="J1263" i="20" s="1"/>
  <c r="I1264" i="20"/>
  <c r="J1264" i="20" s="1"/>
  <c r="I1265" i="20"/>
  <c r="J1265" i="20" s="1"/>
  <c r="I1266" i="20"/>
  <c r="J1266" i="20" s="1"/>
  <c r="I1267" i="20"/>
  <c r="J1267" i="20" s="1"/>
  <c r="I1268" i="20"/>
  <c r="J1268" i="20" s="1"/>
  <c r="I1269" i="20"/>
  <c r="J1269" i="20" s="1"/>
  <c r="I1270" i="20"/>
  <c r="J1270" i="20" s="1"/>
  <c r="I1271" i="20"/>
  <c r="J1271" i="20" s="1"/>
  <c r="I1272" i="20"/>
  <c r="J1272" i="20" s="1"/>
  <c r="I1273" i="20"/>
  <c r="J1273" i="20" s="1"/>
  <c r="I1274" i="20"/>
  <c r="J1274" i="20" s="1"/>
  <c r="I1275" i="20"/>
  <c r="J1275" i="20" s="1"/>
  <c r="I1276" i="20"/>
  <c r="J1276" i="20" s="1"/>
  <c r="I1277" i="20"/>
  <c r="J1277" i="20" s="1"/>
  <c r="I1278" i="20"/>
  <c r="J1278" i="20" s="1"/>
  <c r="I1279" i="20"/>
  <c r="J1279" i="20" s="1"/>
  <c r="I1280" i="20"/>
  <c r="J1280" i="20" s="1"/>
  <c r="I1281" i="20"/>
  <c r="J1281" i="20" s="1"/>
  <c r="I1282" i="20"/>
  <c r="J1282" i="20" s="1"/>
  <c r="I1283" i="20"/>
  <c r="J1283" i="20" s="1"/>
  <c r="I1284" i="20"/>
  <c r="J1284" i="20" s="1"/>
  <c r="I1285" i="20"/>
  <c r="J1285" i="20" s="1"/>
  <c r="I1286" i="20"/>
  <c r="J1286" i="20" s="1"/>
  <c r="I1287" i="20"/>
  <c r="J1287" i="20" s="1"/>
  <c r="I1288" i="20"/>
  <c r="J1288" i="20" s="1"/>
  <c r="I1289" i="20"/>
  <c r="J1289" i="20" s="1"/>
  <c r="I1290" i="20"/>
  <c r="J1290" i="20" s="1"/>
  <c r="I1291" i="20"/>
  <c r="J1291" i="20" s="1"/>
  <c r="I1292" i="20"/>
  <c r="J1292" i="20" s="1"/>
  <c r="I1293" i="20"/>
  <c r="J1293" i="20" s="1"/>
  <c r="I1294" i="20"/>
  <c r="J1294" i="20" s="1"/>
  <c r="I1295" i="20"/>
  <c r="J1295" i="20" s="1"/>
  <c r="I1296" i="20"/>
  <c r="J1296" i="20" s="1"/>
  <c r="I1297" i="20"/>
  <c r="J1297" i="20" s="1"/>
  <c r="I1298" i="20"/>
  <c r="J1298" i="20" s="1"/>
  <c r="I1299" i="20"/>
  <c r="J1299" i="20" s="1"/>
  <c r="I1300" i="20"/>
  <c r="J1300" i="20" s="1"/>
  <c r="I1301" i="20"/>
  <c r="J1301" i="20" s="1"/>
  <c r="I1302" i="20"/>
  <c r="J1302" i="20" s="1"/>
  <c r="I1303" i="20"/>
  <c r="J1303" i="20" s="1"/>
  <c r="I1304" i="20"/>
  <c r="J1304" i="20" s="1"/>
  <c r="I1305" i="20"/>
  <c r="J1305" i="20" s="1"/>
  <c r="I1306" i="20"/>
  <c r="J1306" i="20" s="1"/>
  <c r="I1307" i="20"/>
  <c r="J1307" i="20" s="1"/>
  <c r="I1308" i="20"/>
  <c r="J1308" i="20" s="1"/>
  <c r="I1309" i="20"/>
  <c r="J1309" i="20" s="1"/>
  <c r="I1310" i="20"/>
  <c r="J1310" i="20" s="1"/>
  <c r="I1311" i="20"/>
  <c r="J1311" i="20" s="1"/>
  <c r="I1312" i="20"/>
  <c r="J1312" i="20" s="1"/>
  <c r="I1313" i="20"/>
  <c r="J1313" i="20" s="1"/>
  <c r="I1314" i="20"/>
  <c r="J1314" i="20" s="1"/>
  <c r="I1315" i="20"/>
  <c r="J1315" i="20" s="1"/>
  <c r="I1316" i="20"/>
  <c r="J1316" i="20" s="1"/>
  <c r="I1317" i="20"/>
  <c r="J1317" i="20" s="1"/>
  <c r="I1318" i="20"/>
  <c r="J1318" i="20" s="1"/>
  <c r="I1319" i="20"/>
  <c r="J1319" i="20" s="1"/>
  <c r="I1320" i="20"/>
  <c r="J1320" i="20" s="1"/>
  <c r="I1321" i="20"/>
  <c r="J1321" i="20" s="1"/>
  <c r="I1322" i="20"/>
  <c r="J1322" i="20" s="1"/>
  <c r="I1323" i="20"/>
  <c r="J1323" i="20" s="1"/>
  <c r="I1324" i="20"/>
  <c r="J1324" i="20" s="1"/>
  <c r="I1325" i="20"/>
  <c r="J1325" i="20" s="1"/>
  <c r="I1326" i="20"/>
  <c r="J1326" i="20" s="1"/>
  <c r="I1327" i="20"/>
  <c r="J1327" i="20" s="1"/>
  <c r="I1328" i="20"/>
  <c r="J1328" i="20" s="1"/>
  <c r="I1329" i="20"/>
  <c r="J1329" i="20" s="1"/>
  <c r="I1330" i="20"/>
  <c r="J1330" i="20" s="1"/>
  <c r="I1331" i="20"/>
  <c r="J1331" i="20" s="1"/>
  <c r="I1332" i="20"/>
  <c r="J1332" i="20" s="1"/>
  <c r="I1333" i="20"/>
  <c r="J1333" i="20" s="1"/>
  <c r="I1334" i="20"/>
  <c r="J1334" i="20" s="1"/>
  <c r="I1335" i="20"/>
  <c r="J1335" i="20" s="1"/>
  <c r="I1336" i="20"/>
  <c r="J1336" i="20" s="1"/>
  <c r="I1337" i="20"/>
  <c r="J1337" i="20" s="1"/>
  <c r="I1338" i="20"/>
  <c r="J1338" i="20" s="1"/>
  <c r="I1339" i="20"/>
  <c r="J1339" i="20" s="1"/>
  <c r="I1340" i="20"/>
  <c r="J1340" i="20" s="1"/>
  <c r="I1341" i="20"/>
  <c r="J1341" i="20" s="1"/>
  <c r="I1342" i="20"/>
  <c r="J1342" i="20" s="1"/>
  <c r="I1343" i="20"/>
  <c r="J1343" i="20" s="1"/>
  <c r="I1344" i="20"/>
  <c r="J1344" i="20" s="1"/>
  <c r="I1345" i="20"/>
  <c r="J1345" i="20" s="1"/>
  <c r="I1346" i="20"/>
  <c r="J1346" i="20" s="1"/>
  <c r="I1347" i="20"/>
  <c r="J1347" i="20" s="1"/>
  <c r="I1348" i="20"/>
  <c r="J1348" i="20" s="1"/>
  <c r="I1349" i="20"/>
  <c r="J1349" i="20" s="1"/>
  <c r="I1350" i="20"/>
  <c r="J1350" i="20" s="1"/>
  <c r="I1351" i="20"/>
  <c r="J1351" i="20" s="1"/>
  <c r="I1352" i="20"/>
  <c r="J1352" i="20" s="1"/>
  <c r="I1353" i="20"/>
  <c r="J1353" i="20" s="1"/>
  <c r="I1354" i="20"/>
  <c r="J1354" i="20" s="1"/>
  <c r="I1355" i="20"/>
  <c r="J1355" i="20" s="1"/>
  <c r="I1356" i="20"/>
  <c r="J1356" i="20" s="1"/>
  <c r="I1357" i="20"/>
  <c r="J1357" i="20" s="1"/>
  <c r="I1358" i="20"/>
  <c r="J1358" i="20" s="1"/>
  <c r="I1359" i="20"/>
  <c r="J1359" i="20" s="1"/>
  <c r="I1360" i="20"/>
  <c r="J1360" i="20" s="1"/>
  <c r="I1361" i="20"/>
  <c r="J1361" i="20" s="1"/>
  <c r="I1362" i="20"/>
  <c r="J1362" i="20" s="1"/>
  <c r="I1363" i="20"/>
  <c r="J1363" i="20" s="1"/>
  <c r="I1364" i="20"/>
  <c r="J1364" i="20" s="1"/>
  <c r="I1365" i="20"/>
  <c r="J1365" i="20" s="1"/>
  <c r="I1366" i="20"/>
  <c r="J1366" i="20" s="1"/>
  <c r="I1367" i="20"/>
  <c r="J1367" i="20" s="1"/>
  <c r="I1368" i="20"/>
  <c r="J1368" i="20" s="1"/>
  <c r="I1369" i="20"/>
  <c r="J1369" i="20" s="1"/>
  <c r="I1370" i="20"/>
  <c r="J1370" i="20" s="1"/>
  <c r="I1371" i="20"/>
  <c r="J1371" i="20" s="1"/>
  <c r="I1372" i="20"/>
  <c r="J1372" i="20" s="1"/>
  <c r="I1373" i="20"/>
  <c r="J1373" i="20" s="1"/>
  <c r="I1374" i="20"/>
  <c r="J1374" i="20" s="1"/>
  <c r="I1375" i="20"/>
  <c r="J1375" i="20" s="1"/>
  <c r="I1376" i="20"/>
  <c r="J1376" i="20" s="1"/>
  <c r="I1377" i="20"/>
  <c r="J1377" i="20" s="1"/>
  <c r="I1378" i="20"/>
  <c r="J1378" i="20" s="1"/>
  <c r="I1379" i="20"/>
  <c r="J1379" i="20" s="1"/>
  <c r="I1380" i="20"/>
  <c r="J1380" i="20" s="1"/>
  <c r="I1381" i="20"/>
  <c r="J1381" i="20" s="1"/>
  <c r="I1382" i="20"/>
  <c r="J1382" i="20" s="1"/>
  <c r="I1383" i="20"/>
  <c r="J1383" i="20" s="1"/>
  <c r="I1384" i="20"/>
  <c r="J1384" i="20" s="1"/>
  <c r="I1385" i="20"/>
  <c r="J1385" i="20" s="1"/>
  <c r="I1386" i="20"/>
  <c r="J1386" i="20" s="1"/>
  <c r="I1387" i="20"/>
  <c r="J1387" i="20" s="1"/>
  <c r="I1388" i="20"/>
  <c r="J1388" i="20" s="1"/>
  <c r="I1389" i="20"/>
  <c r="J1389" i="20" s="1"/>
  <c r="I1390" i="20"/>
  <c r="J1390" i="20" s="1"/>
  <c r="I1391" i="20"/>
  <c r="J1391" i="20" s="1"/>
  <c r="I1392" i="20"/>
  <c r="J1392" i="20" s="1"/>
  <c r="I1393" i="20"/>
  <c r="J1393" i="20" s="1"/>
  <c r="I1394" i="20"/>
  <c r="J1394" i="20" s="1"/>
  <c r="I1395" i="20"/>
  <c r="J1395" i="20" s="1"/>
  <c r="I1396" i="20"/>
  <c r="J1396" i="20" s="1"/>
  <c r="I1397" i="20"/>
  <c r="J1397" i="20" s="1"/>
  <c r="I1398" i="20"/>
  <c r="J1398" i="20" s="1"/>
  <c r="I1399" i="20"/>
  <c r="J1399" i="20" s="1"/>
  <c r="I1400" i="20"/>
  <c r="J1400" i="20" s="1"/>
  <c r="I1401" i="20"/>
  <c r="J1401" i="20" s="1"/>
  <c r="I1402" i="20"/>
  <c r="J1402" i="20" s="1"/>
  <c r="I1403" i="20"/>
  <c r="J1403" i="20" s="1"/>
  <c r="I1404" i="20"/>
  <c r="J1404" i="20" s="1"/>
  <c r="I1405" i="20"/>
  <c r="J1405" i="20" s="1"/>
  <c r="I1406" i="20"/>
  <c r="J1406" i="20" s="1"/>
  <c r="I1407" i="20"/>
  <c r="J1407" i="20" s="1"/>
  <c r="I1408" i="20"/>
  <c r="J1408" i="20" s="1"/>
  <c r="I1409" i="20"/>
  <c r="J1409" i="20" s="1"/>
  <c r="I1410" i="20"/>
  <c r="J1410" i="20" s="1"/>
  <c r="I1411" i="20"/>
  <c r="J1411" i="20" s="1"/>
  <c r="I1412" i="20"/>
  <c r="J1412" i="20" s="1"/>
  <c r="I1413" i="20"/>
  <c r="J1413" i="20" s="1"/>
  <c r="I1414" i="20"/>
  <c r="J1414" i="20" s="1"/>
  <c r="I1415" i="20"/>
  <c r="J1415" i="20" s="1"/>
  <c r="I1416" i="20"/>
  <c r="J1416" i="20" s="1"/>
  <c r="I1417" i="20"/>
  <c r="J1417" i="20" s="1"/>
  <c r="I1418" i="20"/>
  <c r="J1418" i="20" s="1"/>
  <c r="I1419" i="20"/>
  <c r="J1419" i="20" s="1"/>
  <c r="I1420" i="20"/>
  <c r="J1420" i="20" s="1"/>
  <c r="I1421" i="20"/>
  <c r="J1421" i="20" s="1"/>
  <c r="I1422" i="20"/>
  <c r="J1422" i="20" s="1"/>
  <c r="I1423" i="20"/>
  <c r="J1423" i="20" s="1"/>
  <c r="I1424" i="20"/>
  <c r="J1424" i="20" s="1"/>
  <c r="I1425" i="20"/>
  <c r="J1425" i="20" s="1"/>
  <c r="I1426" i="20"/>
  <c r="J1426" i="20" s="1"/>
  <c r="I1427" i="20"/>
  <c r="J1427" i="20" s="1"/>
  <c r="I1428" i="20"/>
  <c r="J1428" i="20" s="1"/>
  <c r="I1429" i="20"/>
  <c r="J1429" i="20" s="1"/>
  <c r="I1430" i="20"/>
  <c r="J1430" i="20" s="1"/>
  <c r="I1431" i="20"/>
  <c r="J1431" i="20" s="1"/>
  <c r="I1432" i="20"/>
  <c r="J1432" i="20" s="1"/>
  <c r="I1433" i="20"/>
  <c r="J1433" i="20" s="1"/>
  <c r="I1434" i="20"/>
  <c r="J1434" i="20" s="1"/>
  <c r="I1435" i="20"/>
  <c r="J1435" i="20" s="1"/>
  <c r="I1436" i="20"/>
  <c r="J1436" i="20" s="1"/>
  <c r="I1437" i="20"/>
  <c r="J1437" i="20" s="1"/>
  <c r="I1438" i="20"/>
  <c r="J1438" i="20" s="1"/>
  <c r="I1439" i="20"/>
  <c r="J1439" i="20" s="1"/>
  <c r="I1440" i="20"/>
  <c r="J1440" i="20" s="1"/>
  <c r="I1441" i="20"/>
  <c r="J1441" i="20" s="1"/>
  <c r="I1442" i="20"/>
  <c r="J1442" i="20" s="1"/>
  <c r="I1443" i="20"/>
  <c r="J1443" i="20" s="1"/>
  <c r="I1444" i="20"/>
  <c r="J1444" i="20" s="1"/>
  <c r="I1445" i="20"/>
  <c r="J1445" i="20" s="1"/>
  <c r="I1446" i="20"/>
  <c r="J1446" i="20" s="1"/>
  <c r="I1447" i="20"/>
  <c r="J1447" i="20" s="1"/>
  <c r="I1448" i="20"/>
  <c r="J1448" i="20" s="1"/>
  <c r="I1449" i="20"/>
  <c r="J1449" i="20" s="1"/>
  <c r="I1450" i="20"/>
  <c r="J1450" i="20" s="1"/>
  <c r="I1451" i="20"/>
  <c r="J1451" i="20" s="1"/>
  <c r="I1452" i="20"/>
  <c r="J1452" i="20" s="1"/>
  <c r="I1453" i="20"/>
  <c r="J1453" i="20" s="1"/>
  <c r="I1454" i="20"/>
  <c r="J1454" i="20" s="1"/>
  <c r="I1455" i="20"/>
  <c r="J1455" i="20" s="1"/>
  <c r="I1456" i="20"/>
  <c r="J1456" i="20" s="1"/>
  <c r="I1457" i="20"/>
  <c r="J1457" i="20" s="1"/>
  <c r="I1458" i="20"/>
  <c r="J1458" i="20" s="1"/>
  <c r="I1459" i="20"/>
  <c r="J1459" i="20" s="1"/>
  <c r="I1460" i="20"/>
  <c r="J1460" i="20" s="1"/>
  <c r="I1461" i="20"/>
  <c r="J1461" i="20" s="1"/>
  <c r="I1462" i="20"/>
  <c r="J1462" i="20" s="1"/>
  <c r="I1463" i="20"/>
  <c r="J1463" i="20" s="1"/>
  <c r="I1464" i="20"/>
  <c r="J1464" i="20" s="1"/>
  <c r="I1465" i="20"/>
  <c r="J1465" i="20" s="1"/>
  <c r="I1466" i="20"/>
  <c r="J1466" i="20" s="1"/>
  <c r="I1467" i="20"/>
  <c r="J1467" i="20" s="1"/>
  <c r="I1468" i="20"/>
  <c r="J1468" i="20" s="1"/>
  <c r="I1469" i="20"/>
  <c r="J1469" i="20" s="1"/>
  <c r="I1470" i="20"/>
  <c r="J1470" i="20" s="1"/>
  <c r="I1471" i="20"/>
  <c r="J1471" i="20" s="1"/>
  <c r="I1472" i="20"/>
  <c r="J1472" i="20" s="1"/>
  <c r="I1473" i="20"/>
  <c r="J1473" i="20" s="1"/>
  <c r="I1474" i="20"/>
  <c r="J1474" i="20" s="1"/>
  <c r="I1475" i="20"/>
  <c r="J1475" i="20" s="1"/>
  <c r="I1476" i="20"/>
  <c r="J1476" i="20" s="1"/>
  <c r="I1477" i="20"/>
  <c r="J1477" i="20" s="1"/>
  <c r="I1478" i="20"/>
  <c r="J1478" i="20" s="1"/>
  <c r="I1479" i="20"/>
  <c r="J1479" i="20" s="1"/>
  <c r="I1480" i="20"/>
  <c r="J1480" i="20" s="1"/>
  <c r="I1481" i="20"/>
  <c r="J1481" i="20" s="1"/>
  <c r="I1482" i="20"/>
  <c r="J1482" i="20" s="1"/>
  <c r="I1483" i="20"/>
  <c r="J1483" i="20" s="1"/>
  <c r="I1484" i="20"/>
  <c r="J1484" i="20" s="1"/>
  <c r="I1485" i="20"/>
  <c r="J1485" i="20" s="1"/>
  <c r="I1486" i="20"/>
  <c r="J1486" i="20" s="1"/>
  <c r="I1487" i="20"/>
  <c r="J1487" i="20" s="1"/>
  <c r="I1488" i="20"/>
  <c r="J1488" i="20" s="1"/>
  <c r="I1489" i="20"/>
  <c r="J1489" i="20" s="1"/>
  <c r="I1490" i="20"/>
  <c r="J1490" i="20" s="1"/>
  <c r="I1491" i="20"/>
  <c r="J1491" i="20" s="1"/>
  <c r="I1492" i="20"/>
  <c r="J1492" i="20" s="1"/>
  <c r="I1493" i="20"/>
  <c r="J1493" i="20" s="1"/>
  <c r="I1494" i="20"/>
  <c r="J1494" i="20" s="1"/>
  <c r="I1495" i="20"/>
  <c r="J1495" i="20" s="1"/>
  <c r="I1496" i="20"/>
  <c r="J1496" i="20" s="1"/>
  <c r="I1497" i="20"/>
  <c r="J1497" i="20" s="1"/>
  <c r="I1498" i="20"/>
  <c r="J1498" i="20" s="1"/>
  <c r="I1499" i="20"/>
  <c r="J1499" i="20" s="1"/>
  <c r="I1500" i="20"/>
  <c r="J1500" i="20" s="1"/>
  <c r="I1501" i="20"/>
  <c r="J1501" i="20" s="1"/>
  <c r="I1502" i="20"/>
  <c r="J1502" i="20" s="1"/>
  <c r="I1503" i="20"/>
  <c r="J1503" i="20" s="1"/>
  <c r="I1504" i="20"/>
  <c r="J1504" i="20" s="1"/>
  <c r="I1505" i="20"/>
  <c r="J1505" i="20" s="1"/>
  <c r="I1506" i="20"/>
  <c r="J1506" i="20" s="1"/>
  <c r="I1507" i="20"/>
  <c r="J1507" i="20" s="1"/>
  <c r="I1508" i="20"/>
  <c r="J1508" i="20" s="1"/>
  <c r="I1509" i="20"/>
  <c r="J1509" i="20" s="1"/>
  <c r="I1510" i="20"/>
  <c r="J1510" i="20" s="1"/>
  <c r="I1511" i="20"/>
  <c r="J1511" i="20" s="1"/>
  <c r="I1512" i="20"/>
  <c r="J1512" i="20" s="1"/>
  <c r="I1513" i="20"/>
  <c r="J1513" i="20" s="1"/>
  <c r="I1514" i="20"/>
  <c r="J1514" i="20" s="1"/>
  <c r="I1515" i="20"/>
  <c r="J1515" i="20" s="1"/>
  <c r="I1516" i="20"/>
  <c r="J1516" i="20" s="1"/>
  <c r="I1517" i="20"/>
  <c r="J1517" i="20" s="1"/>
  <c r="I1518" i="20"/>
  <c r="J1518" i="20" s="1"/>
  <c r="I1519" i="20"/>
  <c r="J1519" i="20" s="1"/>
  <c r="I1520" i="20"/>
  <c r="J1520" i="20" s="1"/>
  <c r="I1521" i="20"/>
  <c r="J1521" i="20" s="1"/>
  <c r="I1522" i="20"/>
  <c r="J1522" i="20" s="1"/>
  <c r="I1523" i="20"/>
  <c r="J1523" i="20" s="1"/>
  <c r="I1524" i="20"/>
  <c r="J1524" i="20" s="1"/>
  <c r="I1525" i="20"/>
  <c r="J1525" i="20" s="1"/>
  <c r="I1526" i="20"/>
  <c r="J1526" i="20" s="1"/>
  <c r="I1527" i="20"/>
  <c r="J1527" i="20" s="1"/>
  <c r="I1528" i="20"/>
  <c r="J1528" i="20" s="1"/>
  <c r="I1529" i="20"/>
  <c r="J1529" i="20" s="1"/>
  <c r="I1530" i="20"/>
  <c r="J1530" i="20" s="1"/>
  <c r="I1531" i="20"/>
  <c r="J1531" i="20" s="1"/>
  <c r="I1532" i="20"/>
  <c r="J1532" i="20" s="1"/>
  <c r="I1533" i="20"/>
  <c r="J1533" i="20" s="1"/>
  <c r="I1534" i="20"/>
  <c r="J1534" i="20" s="1"/>
  <c r="I1535" i="20"/>
  <c r="J1535" i="20" s="1"/>
  <c r="I1536" i="20"/>
  <c r="J1536" i="20" s="1"/>
  <c r="I1537" i="20"/>
  <c r="J1537" i="20" s="1"/>
  <c r="I1538" i="20"/>
  <c r="J1538" i="20" s="1"/>
  <c r="I1539" i="20"/>
  <c r="J1539" i="20" s="1"/>
  <c r="I1540" i="20"/>
  <c r="J1540" i="20" s="1"/>
  <c r="I1541" i="20"/>
  <c r="J1541" i="20" s="1"/>
  <c r="I1542" i="20"/>
  <c r="J1542" i="20" s="1"/>
  <c r="I1543" i="20"/>
  <c r="J1543" i="20" s="1"/>
  <c r="I1544" i="20"/>
  <c r="J1544" i="20" s="1"/>
  <c r="I1545" i="20"/>
  <c r="J1545" i="20" s="1"/>
  <c r="I1546" i="20"/>
  <c r="J1546" i="20" s="1"/>
  <c r="I1547" i="20"/>
  <c r="J1547" i="20" s="1"/>
  <c r="I1548" i="20"/>
  <c r="J1548" i="20" s="1"/>
  <c r="I1549" i="20"/>
  <c r="J1549" i="20" s="1"/>
  <c r="I1550" i="20"/>
  <c r="J1550" i="20" s="1"/>
  <c r="I1551" i="20"/>
  <c r="J1551" i="20" s="1"/>
  <c r="I1552" i="20"/>
  <c r="J1552" i="20" s="1"/>
  <c r="I1553" i="20"/>
  <c r="J1553" i="20" s="1"/>
  <c r="I1554" i="20"/>
  <c r="J1554" i="20" s="1"/>
  <c r="I1555" i="20"/>
  <c r="J1555" i="20" s="1"/>
  <c r="I1556" i="20"/>
  <c r="J1556" i="20" s="1"/>
  <c r="I1557" i="20"/>
  <c r="J1557" i="20" s="1"/>
  <c r="I1558" i="20"/>
  <c r="J1558" i="20" s="1"/>
  <c r="I1559" i="20"/>
  <c r="J1559" i="20" s="1"/>
  <c r="I1560" i="20"/>
  <c r="J1560" i="20" s="1"/>
  <c r="I1561" i="20"/>
  <c r="J1561" i="20" s="1"/>
  <c r="I1562" i="20"/>
  <c r="J1562" i="20" s="1"/>
  <c r="I1563" i="20"/>
  <c r="J1563" i="20" s="1"/>
  <c r="I1564" i="20"/>
  <c r="J1564" i="20" s="1"/>
  <c r="I1565" i="20"/>
  <c r="J1565" i="20" s="1"/>
  <c r="I1566" i="20"/>
  <c r="J1566" i="20" s="1"/>
  <c r="I1567" i="20"/>
  <c r="J1567" i="20" s="1"/>
  <c r="I1568" i="20"/>
  <c r="J1568" i="20" s="1"/>
  <c r="I1569" i="20"/>
  <c r="J1569" i="20" s="1"/>
  <c r="I1570" i="20"/>
  <c r="J1570" i="20" s="1"/>
  <c r="I1571" i="20"/>
  <c r="J1571" i="20" s="1"/>
  <c r="I1572" i="20"/>
  <c r="J1572" i="20" s="1"/>
  <c r="I1573" i="20"/>
  <c r="J1573" i="20" s="1"/>
  <c r="I1574" i="20"/>
  <c r="J1574" i="20" s="1"/>
  <c r="I1575" i="20"/>
  <c r="J1575" i="20" s="1"/>
  <c r="I1576" i="20"/>
  <c r="J1576" i="20" s="1"/>
  <c r="I1577" i="20"/>
  <c r="J1577" i="20" s="1"/>
  <c r="I1578" i="20"/>
  <c r="J1578" i="20" s="1"/>
  <c r="I1579" i="20"/>
  <c r="J1579" i="20" s="1"/>
  <c r="I1580" i="20"/>
  <c r="J1580" i="20" s="1"/>
  <c r="I1581" i="20"/>
  <c r="J1581" i="20" s="1"/>
  <c r="I1582" i="20"/>
  <c r="J1582" i="20" s="1"/>
  <c r="I1583" i="20"/>
  <c r="J1583" i="20" s="1"/>
  <c r="I1584" i="20"/>
  <c r="J1584" i="20" s="1"/>
  <c r="I1585" i="20"/>
  <c r="J1585" i="20" s="1"/>
  <c r="I1586" i="20"/>
  <c r="J1586" i="20" s="1"/>
  <c r="I1587" i="20"/>
  <c r="J1587" i="20" s="1"/>
  <c r="I1588" i="20"/>
  <c r="J1588" i="20" s="1"/>
  <c r="I1589" i="20"/>
  <c r="J1589" i="20" s="1"/>
  <c r="I1590" i="20"/>
  <c r="J1590" i="20" s="1"/>
  <c r="I1591" i="20"/>
  <c r="J1591" i="20" s="1"/>
  <c r="I1592" i="20"/>
  <c r="J1592" i="20" s="1"/>
  <c r="I1593" i="20"/>
  <c r="J1593" i="20" s="1"/>
  <c r="I1594" i="20"/>
  <c r="J1594" i="20" s="1"/>
  <c r="I1595" i="20"/>
  <c r="J1595" i="20" s="1"/>
  <c r="I1596" i="20"/>
  <c r="J1596" i="20" s="1"/>
  <c r="I1597" i="20"/>
  <c r="J1597" i="20" s="1"/>
  <c r="I1598" i="20"/>
  <c r="J1598" i="20" s="1"/>
  <c r="I1599" i="20"/>
  <c r="J1599" i="20" s="1"/>
  <c r="I1600" i="20"/>
  <c r="J1600" i="20" s="1"/>
  <c r="I1601" i="20"/>
  <c r="J1601" i="20" s="1"/>
  <c r="I1602" i="20"/>
  <c r="J1602" i="20" s="1"/>
  <c r="I1603" i="20"/>
  <c r="J1603" i="20" s="1"/>
  <c r="I1604" i="20"/>
  <c r="J1604" i="20" s="1"/>
  <c r="I1605" i="20"/>
  <c r="J1605" i="20" s="1"/>
  <c r="I1606" i="20"/>
  <c r="J1606" i="20" s="1"/>
  <c r="I1607" i="20"/>
  <c r="J1607" i="20" s="1"/>
  <c r="I1608" i="20"/>
  <c r="J1608" i="20" s="1"/>
  <c r="I1609" i="20"/>
  <c r="J1609" i="20" s="1"/>
  <c r="I1610" i="20"/>
  <c r="J1610" i="20" s="1"/>
  <c r="I1611" i="20"/>
  <c r="J1611" i="20" s="1"/>
  <c r="I1612" i="20"/>
  <c r="J1612" i="20" s="1"/>
  <c r="I1613" i="20"/>
  <c r="J1613" i="20" s="1"/>
  <c r="I1614" i="20"/>
  <c r="J1614" i="20" s="1"/>
  <c r="I1615" i="20"/>
  <c r="J1615" i="20" s="1"/>
  <c r="I1616" i="20"/>
  <c r="J1616" i="20" s="1"/>
  <c r="I1617" i="20"/>
  <c r="J1617" i="20" s="1"/>
  <c r="I1618" i="20"/>
  <c r="J1618" i="20" s="1"/>
  <c r="I1619" i="20"/>
  <c r="J1619" i="20" s="1"/>
  <c r="I1620" i="20"/>
  <c r="J1620" i="20" s="1"/>
  <c r="I1621" i="20"/>
  <c r="J1621" i="20" s="1"/>
  <c r="I1622" i="20"/>
  <c r="J1622" i="20" s="1"/>
  <c r="I1623" i="20"/>
  <c r="J1623" i="20" s="1"/>
  <c r="I1624" i="20"/>
  <c r="J1624" i="20" s="1"/>
  <c r="I1625" i="20"/>
  <c r="J1625" i="20" s="1"/>
  <c r="I1626" i="20"/>
  <c r="J1626" i="20" s="1"/>
  <c r="I1627" i="20"/>
  <c r="J1627" i="20" s="1"/>
  <c r="I1628" i="20"/>
  <c r="J1628" i="20" s="1"/>
  <c r="I1629" i="20"/>
  <c r="J1629" i="20" s="1"/>
  <c r="I1630" i="20"/>
  <c r="J1630" i="20" s="1"/>
  <c r="I1631" i="20"/>
  <c r="J1631" i="20" s="1"/>
  <c r="I1632" i="20"/>
  <c r="J1632" i="20" s="1"/>
  <c r="I1633" i="20"/>
  <c r="J1633" i="20" s="1"/>
  <c r="I1634" i="20"/>
  <c r="J1634" i="20" s="1"/>
  <c r="I1635" i="20"/>
  <c r="J1635" i="20" s="1"/>
  <c r="I1636" i="20"/>
  <c r="J1636" i="20" s="1"/>
  <c r="I1637" i="20"/>
  <c r="J1637" i="20" s="1"/>
  <c r="I1638" i="20"/>
  <c r="J1638" i="20" s="1"/>
  <c r="I1639" i="20"/>
  <c r="J1639" i="20" s="1"/>
  <c r="I1640" i="20"/>
  <c r="J1640" i="20" s="1"/>
  <c r="I1641" i="20"/>
  <c r="J1641" i="20" s="1"/>
  <c r="I1642" i="20"/>
  <c r="J1642" i="20" s="1"/>
  <c r="I1643" i="20"/>
  <c r="J1643" i="20" s="1"/>
  <c r="I1644" i="20"/>
  <c r="J1644" i="20" s="1"/>
  <c r="I1645" i="20"/>
  <c r="J1645" i="20" s="1"/>
  <c r="I1646" i="20"/>
  <c r="J1646" i="20" s="1"/>
  <c r="I1647" i="20"/>
  <c r="J1647" i="20" s="1"/>
  <c r="I1648" i="20"/>
  <c r="J1648" i="20" s="1"/>
  <c r="I1649" i="20"/>
  <c r="J1649" i="20" s="1"/>
  <c r="I1650" i="20"/>
  <c r="J1650" i="20" s="1"/>
  <c r="I1651" i="20"/>
  <c r="J1651" i="20" s="1"/>
  <c r="I1652" i="20"/>
  <c r="J1652" i="20" s="1"/>
  <c r="I1653" i="20"/>
  <c r="J1653" i="20" s="1"/>
  <c r="I1654" i="20"/>
  <c r="J1654" i="20" s="1"/>
  <c r="I1655" i="20"/>
  <c r="J1655" i="20" s="1"/>
  <c r="I1656" i="20"/>
  <c r="J1656" i="20" s="1"/>
  <c r="I1657" i="20"/>
  <c r="J1657" i="20" s="1"/>
  <c r="I1658" i="20"/>
  <c r="J1658" i="20" s="1"/>
  <c r="I1659" i="20"/>
  <c r="J1659" i="20" s="1"/>
  <c r="I1660" i="20"/>
  <c r="J1660" i="20" s="1"/>
  <c r="I1661" i="20"/>
  <c r="J1661" i="20" s="1"/>
  <c r="I1662" i="20"/>
  <c r="J1662" i="20" s="1"/>
  <c r="I1663" i="20"/>
  <c r="J1663" i="20" s="1"/>
  <c r="I1664" i="20"/>
  <c r="J1664" i="20" s="1"/>
  <c r="I1665" i="20"/>
  <c r="J1665" i="20" s="1"/>
  <c r="I1666" i="20"/>
  <c r="J1666" i="20" s="1"/>
  <c r="I1667" i="20"/>
  <c r="J1667" i="20" s="1"/>
  <c r="I1668" i="20"/>
  <c r="J1668" i="20" s="1"/>
  <c r="I1669" i="20"/>
  <c r="J1669" i="20" s="1"/>
  <c r="I1670" i="20"/>
  <c r="J1670" i="20" s="1"/>
  <c r="I1671" i="20"/>
  <c r="J1671" i="20" s="1"/>
  <c r="I1672" i="20"/>
  <c r="J1672" i="20" s="1"/>
  <c r="I1673" i="20"/>
  <c r="J1673" i="20" s="1"/>
  <c r="I1674" i="20"/>
  <c r="J1674" i="20" s="1"/>
  <c r="I1675" i="20"/>
  <c r="J1675" i="20" s="1"/>
  <c r="I1676" i="20"/>
  <c r="J1676" i="20" s="1"/>
  <c r="I1677" i="20"/>
  <c r="J1677" i="20" s="1"/>
  <c r="I1678" i="20"/>
  <c r="J1678" i="20" s="1"/>
  <c r="I1679" i="20"/>
  <c r="J1679" i="20" s="1"/>
  <c r="I1680" i="20"/>
  <c r="J1680" i="20" s="1"/>
  <c r="I1681" i="20"/>
  <c r="J1681" i="20" s="1"/>
  <c r="I1682" i="20"/>
  <c r="J1682" i="20" s="1"/>
  <c r="I1683" i="20"/>
  <c r="J1683" i="20" s="1"/>
  <c r="I1684" i="20"/>
  <c r="J1684" i="20" s="1"/>
  <c r="I1685" i="20"/>
  <c r="J1685" i="20" s="1"/>
  <c r="I1686" i="20"/>
  <c r="J1686" i="20" s="1"/>
  <c r="I1687" i="20"/>
  <c r="J1687" i="20" s="1"/>
  <c r="I1688" i="20"/>
  <c r="J1688" i="20" s="1"/>
  <c r="I1689" i="20"/>
  <c r="J1689" i="20" s="1"/>
  <c r="I1690" i="20"/>
  <c r="J1690" i="20" s="1"/>
  <c r="I1691" i="20"/>
  <c r="J1691" i="20" s="1"/>
  <c r="I1692" i="20"/>
  <c r="J1692" i="20" s="1"/>
  <c r="I1693" i="20"/>
  <c r="J1693" i="20" s="1"/>
  <c r="I1694" i="20"/>
  <c r="J1694" i="20" s="1"/>
  <c r="I1695" i="20"/>
  <c r="J1695" i="20" s="1"/>
  <c r="I1696" i="20"/>
  <c r="J1696" i="20" s="1"/>
  <c r="I1697" i="20"/>
  <c r="J1697" i="20" s="1"/>
  <c r="I1698" i="20"/>
  <c r="J1698" i="20" s="1"/>
  <c r="I1699" i="20"/>
  <c r="J1699" i="20" s="1"/>
  <c r="I1700" i="20"/>
  <c r="J1700" i="20" s="1"/>
  <c r="I1701" i="20"/>
  <c r="J1701" i="20" s="1"/>
  <c r="I1702" i="20"/>
  <c r="J1702" i="20" s="1"/>
  <c r="I1703" i="20"/>
  <c r="J1703" i="20" s="1"/>
  <c r="I1704" i="20"/>
  <c r="J1704" i="20" s="1"/>
  <c r="I1705" i="20"/>
  <c r="J1705" i="20" s="1"/>
  <c r="I1706" i="20"/>
  <c r="J1706" i="20" s="1"/>
  <c r="I1707" i="20"/>
  <c r="J1707" i="20" s="1"/>
  <c r="I1708" i="20"/>
  <c r="J1708" i="20" s="1"/>
  <c r="I1709" i="20"/>
  <c r="J1709" i="20" s="1"/>
  <c r="I1710" i="20"/>
  <c r="J1710" i="20" s="1"/>
  <c r="I1711" i="20"/>
  <c r="J1711" i="20" s="1"/>
  <c r="I1712" i="20"/>
  <c r="J1712" i="20" s="1"/>
  <c r="I1713" i="20"/>
  <c r="J1713" i="20" s="1"/>
  <c r="I1714" i="20"/>
  <c r="J1714" i="20" s="1"/>
  <c r="I1715" i="20"/>
  <c r="J1715" i="20" s="1"/>
  <c r="I1716" i="20"/>
  <c r="J1716" i="20" s="1"/>
  <c r="I1717" i="20"/>
  <c r="J1717" i="20" s="1"/>
  <c r="I1718" i="20"/>
  <c r="J1718" i="20" s="1"/>
  <c r="I1719" i="20"/>
  <c r="J1719" i="20" s="1"/>
  <c r="I1720" i="20"/>
  <c r="J1720" i="20" s="1"/>
  <c r="I1721" i="20"/>
  <c r="J1721" i="20" s="1"/>
  <c r="I1722" i="20"/>
  <c r="J1722" i="20" s="1"/>
  <c r="I1723" i="20"/>
  <c r="J1723" i="20" s="1"/>
  <c r="I1724" i="20"/>
  <c r="J1724" i="20" s="1"/>
  <c r="I1725" i="20"/>
  <c r="J1725" i="20" s="1"/>
  <c r="I1726" i="20"/>
  <c r="J1726" i="20" s="1"/>
  <c r="I1727" i="20"/>
  <c r="J1727" i="20" s="1"/>
  <c r="I1728" i="20"/>
  <c r="J1728" i="20" s="1"/>
  <c r="I1729" i="20"/>
  <c r="J1729" i="20" s="1"/>
  <c r="I1730" i="20"/>
  <c r="J1730" i="20" s="1"/>
  <c r="I1731" i="20"/>
  <c r="J1731" i="20" s="1"/>
  <c r="I1732" i="20"/>
  <c r="J1732" i="20" s="1"/>
  <c r="I1733" i="20"/>
  <c r="J1733" i="20" s="1"/>
  <c r="I1734" i="20"/>
  <c r="J1734" i="20" s="1"/>
  <c r="I1735" i="20"/>
  <c r="J1735" i="20" s="1"/>
  <c r="I1736" i="20"/>
  <c r="J1736" i="20" s="1"/>
  <c r="I1737" i="20"/>
  <c r="J1737" i="20" s="1"/>
  <c r="I1738" i="20"/>
  <c r="J1738" i="20" s="1"/>
  <c r="I1739" i="20"/>
  <c r="J1739" i="20" s="1"/>
  <c r="I1740" i="20"/>
  <c r="J1740" i="20" s="1"/>
  <c r="I1741" i="20"/>
  <c r="J1741" i="20" s="1"/>
  <c r="I1742" i="20"/>
  <c r="J1742" i="20" s="1"/>
  <c r="I1743" i="20"/>
  <c r="J1743" i="20" s="1"/>
  <c r="I1744" i="20"/>
  <c r="J1744" i="20" s="1"/>
  <c r="I1745" i="20"/>
  <c r="J1745" i="20" s="1"/>
  <c r="I1746" i="20"/>
  <c r="J1746" i="20" s="1"/>
  <c r="I1747" i="20"/>
  <c r="J1747" i="20" s="1"/>
  <c r="I1748" i="20"/>
  <c r="J1748" i="20" s="1"/>
  <c r="I1749" i="20"/>
  <c r="J1749" i="20" s="1"/>
  <c r="I1750" i="20"/>
  <c r="J1750" i="20" s="1"/>
  <c r="I1751" i="20"/>
  <c r="J1751" i="20" s="1"/>
  <c r="I1752" i="20"/>
  <c r="J1752" i="20" s="1"/>
  <c r="I1753" i="20"/>
  <c r="J1753" i="20" s="1"/>
  <c r="I1754" i="20"/>
  <c r="J1754" i="20" s="1"/>
  <c r="I1755" i="20"/>
  <c r="J1755" i="20" s="1"/>
  <c r="I1756" i="20"/>
  <c r="J1756" i="20" s="1"/>
  <c r="I1757" i="20"/>
  <c r="J1757" i="20" s="1"/>
  <c r="I1758" i="20"/>
  <c r="J1758" i="20" s="1"/>
  <c r="I1759" i="20"/>
  <c r="J1759" i="20" s="1"/>
  <c r="I1760" i="20"/>
  <c r="J1760" i="20" s="1"/>
  <c r="I1761" i="20"/>
  <c r="J1761" i="20" s="1"/>
  <c r="I1762" i="20"/>
  <c r="J1762" i="20" s="1"/>
  <c r="I1763" i="20"/>
  <c r="J1763" i="20" s="1"/>
  <c r="I1764" i="20"/>
  <c r="J1764" i="20" s="1"/>
  <c r="I1765" i="20"/>
  <c r="J1765" i="20" s="1"/>
  <c r="I1766" i="20"/>
  <c r="J1766" i="20" s="1"/>
  <c r="I1767" i="20"/>
  <c r="J1767" i="20" s="1"/>
  <c r="I1768" i="20"/>
  <c r="J1768" i="20" s="1"/>
  <c r="I1769" i="20"/>
  <c r="J1769" i="20" s="1"/>
  <c r="I1770" i="20"/>
  <c r="J1770" i="20" s="1"/>
  <c r="I1771" i="20"/>
  <c r="J1771" i="20" s="1"/>
  <c r="I1772" i="20"/>
  <c r="J1772" i="20" s="1"/>
  <c r="I1773" i="20"/>
  <c r="J1773" i="20" s="1"/>
  <c r="I1774" i="20"/>
  <c r="J1774" i="20" s="1"/>
  <c r="I1775" i="20"/>
  <c r="J1775" i="20" s="1"/>
  <c r="I1776" i="20"/>
  <c r="J1776" i="20" s="1"/>
  <c r="I1777" i="20"/>
  <c r="J1777" i="20" s="1"/>
  <c r="I1778" i="20"/>
  <c r="J1778" i="20" s="1"/>
  <c r="I1779" i="20"/>
  <c r="J1779" i="20" s="1"/>
  <c r="I1780" i="20"/>
  <c r="J1780" i="20" s="1"/>
  <c r="I1781" i="20"/>
  <c r="J1781" i="20" s="1"/>
  <c r="I1782" i="20"/>
  <c r="J1782" i="20" s="1"/>
  <c r="I1783" i="20"/>
  <c r="J1783" i="20" s="1"/>
  <c r="I1784" i="20"/>
  <c r="J1784" i="20" s="1"/>
  <c r="J48" i="20"/>
  <c r="M2" i="20"/>
  <c r="M3" i="20"/>
  <c r="M4" i="20"/>
  <c r="M5" i="20"/>
  <c r="M6" i="20"/>
  <c r="M7" i="20"/>
  <c r="M8" i="20"/>
  <c r="M9" i="20"/>
  <c r="M10" i="20"/>
  <c r="M11" i="20"/>
  <c r="M12" i="20"/>
  <c r="M13" i="20"/>
  <c r="M14" i="20"/>
  <c r="M15" i="20"/>
  <c r="M16" i="20"/>
  <c r="M17" i="20"/>
  <c r="M18" i="20"/>
  <c r="M19" i="20"/>
  <c r="M20" i="20"/>
  <c r="M21" i="20"/>
  <c r="M22" i="20"/>
  <c r="M23" i="20"/>
  <c r="M24" i="20"/>
  <c r="M25" i="20"/>
  <c r="M26" i="20"/>
  <c r="M27" i="20"/>
  <c r="M28" i="20"/>
  <c r="M29" i="20"/>
  <c r="M30" i="20"/>
  <c r="M31" i="20"/>
  <c r="M32" i="20"/>
  <c r="M33" i="20"/>
  <c r="M34" i="20"/>
  <c r="M35" i="20"/>
  <c r="M36" i="20"/>
  <c r="M37" i="20"/>
  <c r="M38" i="20"/>
  <c r="M39" i="20"/>
  <c r="M40" i="20"/>
  <c r="M41" i="20"/>
  <c r="M42" i="20"/>
  <c r="M43" i="20"/>
  <c r="M44" i="20"/>
  <c r="M45" i="20"/>
  <c r="M46" i="20"/>
  <c r="M47" i="20"/>
  <c r="M48" i="20"/>
  <c r="M49" i="20"/>
  <c r="M50" i="20"/>
  <c r="M51" i="20"/>
  <c r="M52" i="20"/>
  <c r="M53" i="20"/>
  <c r="M54" i="20"/>
  <c r="M55" i="20"/>
  <c r="M56" i="20"/>
  <c r="M57" i="20"/>
  <c r="M58" i="20"/>
  <c r="M59" i="20"/>
  <c r="M60" i="20"/>
  <c r="M61" i="20"/>
  <c r="M62" i="20"/>
  <c r="M63" i="20"/>
  <c r="M64" i="20"/>
  <c r="M65" i="20"/>
  <c r="M66" i="20"/>
  <c r="M67" i="20"/>
  <c r="M68" i="20"/>
  <c r="M69" i="20"/>
  <c r="M70" i="20"/>
  <c r="M71" i="20"/>
  <c r="M72" i="20"/>
  <c r="M73" i="20"/>
  <c r="M74" i="20"/>
  <c r="M75" i="20"/>
  <c r="M76" i="20"/>
  <c r="M77" i="20"/>
  <c r="M78" i="20"/>
  <c r="M79" i="20"/>
  <c r="M80" i="20"/>
  <c r="M81" i="20"/>
  <c r="M82" i="20"/>
  <c r="M83" i="20"/>
  <c r="M84" i="20"/>
  <c r="M85" i="20"/>
  <c r="M86" i="20"/>
  <c r="M87" i="20"/>
  <c r="M88" i="20"/>
  <c r="M89" i="20"/>
  <c r="M90" i="20"/>
  <c r="M91" i="20"/>
  <c r="M92" i="20"/>
  <c r="M93" i="20"/>
  <c r="M94" i="20"/>
  <c r="M95" i="20"/>
  <c r="M96" i="20"/>
  <c r="M97" i="20"/>
  <c r="M98" i="20"/>
  <c r="M99" i="20"/>
  <c r="M100" i="20"/>
  <c r="M101" i="20"/>
  <c r="M102" i="20"/>
  <c r="M103" i="20"/>
  <c r="M104" i="20"/>
  <c r="M105" i="20"/>
  <c r="M106" i="20"/>
  <c r="M107" i="20"/>
  <c r="M108" i="20"/>
  <c r="M109" i="20"/>
  <c r="M110" i="20"/>
  <c r="M111" i="20"/>
  <c r="M112" i="20"/>
  <c r="M113" i="20"/>
  <c r="M114" i="20"/>
  <c r="M115" i="20"/>
  <c r="M116" i="20"/>
  <c r="M117" i="20"/>
  <c r="M118" i="20"/>
  <c r="M119" i="20"/>
  <c r="M120" i="20"/>
  <c r="M121" i="20"/>
  <c r="M122" i="20"/>
  <c r="M123" i="20"/>
  <c r="M124" i="20"/>
  <c r="M125" i="20"/>
  <c r="M126" i="20"/>
  <c r="M127" i="20"/>
  <c r="M128" i="20"/>
  <c r="M129" i="20"/>
  <c r="M130" i="20"/>
  <c r="M131" i="20"/>
  <c r="M132" i="20"/>
  <c r="M133" i="20"/>
  <c r="M134" i="20"/>
  <c r="M135" i="20"/>
  <c r="M136" i="20"/>
  <c r="M137" i="20"/>
  <c r="M138" i="20"/>
  <c r="M139" i="20"/>
  <c r="M140" i="20"/>
  <c r="M141" i="20"/>
  <c r="M142" i="20"/>
  <c r="M143" i="20"/>
  <c r="M144" i="20"/>
  <c r="M145" i="20"/>
  <c r="M146" i="20"/>
  <c r="M147" i="20"/>
  <c r="M148" i="20"/>
  <c r="M149" i="20"/>
  <c r="M150" i="20"/>
  <c r="M151" i="20"/>
  <c r="M152" i="20"/>
  <c r="M153" i="20"/>
  <c r="M154" i="20"/>
  <c r="M155" i="20"/>
  <c r="M156" i="20"/>
  <c r="M157" i="20"/>
  <c r="M158" i="20"/>
  <c r="M159" i="20"/>
  <c r="M160" i="20"/>
  <c r="M161" i="20"/>
  <c r="M162" i="20"/>
  <c r="M163" i="20"/>
  <c r="M164" i="20"/>
  <c r="M165" i="20"/>
  <c r="M166" i="20"/>
  <c r="M167" i="20"/>
  <c r="M168" i="20"/>
  <c r="M169" i="20"/>
  <c r="M170" i="20"/>
  <c r="M171" i="20"/>
  <c r="M172" i="20"/>
  <c r="M173" i="20"/>
  <c r="M174" i="20"/>
  <c r="M175" i="20"/>
  <c r="M176" i="20"/>
  <c r="M177" i="20"/>
  <c r="M178" i="20"/>
  <c r="M179" i="20"/>
  <c r="M180" i="20"/>
  <c r="M181" i="20"/>
  <c r="M182" i="20"/>
  <c r="M183" i="20"/>
  <c r="M184" i="20"/>
  <c r="M185" i="20"/>
  <c r="M186" i="20"/>
  <c r="M187" i="20"/>
  <c r="M188" i="20"/>
  <c r="M189" i="20"/>
  <c r="M190" i="20"/>
  <c r="M191" i="20"/>
  <c r="M192" i="20"/>
  <c r="M193" i="20"/>
  <c r="M194" i="20"/>
  <c r="M195" i="20"/>
  <c r="M196" i="20"/>
  <c r="M197" i="20"/>
  <c r="M198" i="20"/>
  <c r="M199" i="20"/>
  <c r="M200" i="20"/>
  <c r="M201" i="20"/>
  <c r="M202" i="20"/>
  <c r="M203" i="20"/>
  <c r="M204" i="20"/>
  <c r="M205" i="20"/>
  <c r="M206" i="20"/>
  <c r="M207" i="20"/>
  <c r="M208" i="20"/>
  <c r="M209" i="20"/>
  <c r="M210" i="20"/>
  <c r="M211" i="20"/>
  <c r="M212" i="20"/>
  <c r="M213" i="20"/>
  <c r="M214" i="20"/>
  <c r="M215" i="20"/>
  <c r="M216" i="20"/>
  <c r="M217" i="20"/>
  <c r="M218" i="20"/>
  <c r="M219" i="20"/>
  <c r="M220" i="20"/>
  <c r="M221" i="20"/>
  <c r="M222" i="20"/>
  <c r="M223" i="20"/>
  <c r="M224" i="20"/>
  <c r="M225" i="20"/>
  <c r="M226" i="20"/>
  <c r="M227" i="20"/>
  <c r="M228" i="20"/>
  <c r="M229" i="20"/>
  <c r="M230" i="20"/>
  <c r="M231" i="20"/>
  <c r="M232" i="20"/>
  <c r="M233" i="20"/>
  <c r="M234" i="20"/>
  <c r="M235" i="20"/>
  <c r="M236" i="20"/>
  <c r="M237" i="20"/>
  <c r="M238" i="20"/>
  <c r="M239" i="20"/>
  <c r="M240" i="20"/>
  <c r="M241" i="20"/>
  <c r="M242" i="20"/>
  <c r="M243" i="20"/>
  <c r="M244" i="20"/>
  <c r="M245" i="20"/>
  <c r="M246" i="20"/>
  <c r="M247" i="20"/>
  <c r="M248" i="20"/>
  <c r="M249" i="20"/>
  <c r="M250" i="20"/>
  <c r="M251" i="20"/>
  <c r="M252" i="20"/>
  <c r="M253" i="20"/>
  <c r="M254" i="20"/>
  <c r="M255" i="20"/>
  <c r="M256" i="20"/>
  <c r="M257" i="20"/>
  <c r="M258" i="20"/>
  <c r="M259" i="20"/>
  <c r="M260" i="20"/>
  <c r="M261" i="20"/>
  <c r="M262" i="20"/>
  <c r="M263" i="20"/>
  <c r="M264" i="20"/>
  <c r="M265" i="20"/>
  <c r="M266" i="20"/>
  <c r="M267" i="20"/>
  <c r="M268" i="20"/>
  <c r="M269" i="20"/>
  <c r="M270" i="20"/>
  <c r="M271" i="20"/>
  <c r="M272" i="20"/>
  <c r="M273" i="20"/>
  <c r="M274" i="20"/>
  <c r="M275" i="20"/>
  <c r="M276" i="20"/>
  <c r="M277" i="20"/>
  <c r="M278" i="20"/>
  <c r="M279" i="20"/>
  <c r="M280" i="20"/>
  <c r="M281" i="20"/>
  <c r="M282" i="20"/>
  <c r="M283" i="20"/>
  <c r="M284" i="20"/>
  <c r="M285" i="20"/>
  <c r="M286" i="20"/>
  <c r="M287" i="20"/>
  <c r="M288" i="20"/>
  <c r="M289" i="20"/>
  <c r="M290" i="20"/>
  <c r="M291" i="20"/>
  <c r="M292" i="20"/>
  <c r="M293" i="20"/>
  <c r="M294" i="20"/>
  <c r="M295" i="20"/>
  <c r="M296" i="20"/>
  <c r="M297" i="20"/>
  <c r="M298" i="20"/>
  <c r="M299" i="20"/>
  <c r="M300" i="20"/>
  <c r="M301" i="20"/>
  <c r="M302" i="20"/>
  <c r="M303" i="20"/>
  <c r="M304" i="20"/>
  <c r="M305" i="20"/>
  <c r="M306" i="20"/>
  <c r="M307" i="20"/>
  <c r="M308" i="20"/>
  <c r="M309" i="20"/>
  <c r="M310" i="20"/>
  <c r="M311" i="20"/>
  <c r="M312" i="20"/>
  <c r="M313" i="20"/>
  <c r="M314" i="20"/>
  <c r="M315" i="20"/>
  <c r="M316" i="20"/>
  <c r="M317" i="20"/>
  <c r="M318" i="20"/>
  <c r="M319" i="20"/>
  <c r="M320" i="20"/>
  <c r="M321" i="20"/>
  <c r="M322" i="20"/>
  <c r="M323" i="20"/>
  <c r="M324" i="20"/>
  <c r="M325" i="20"/>
  <c r="M326" i="20"/>
  <c r="M327" i="20"/>
  <c r="M328" i="20"/>
  <c r="M329" i="20"/>
  <c r="M330" i="20"/>
  <c r="M331" i="20"/>
  <c r="M332" i="20"/>
  <c r="M333" i="20"/>
  <c r="M334" i="20"/>
  <c r="M335" i="20"/>
  <c r="M336" i="20"/>
  <c r="M337" i="20"/>
  <c r="M338" i="20"/>
  <c r="M339" i="20"/>
  <c r="M340" i="20"/>
  <c r="M341" i="20"/>
  <c r="M342" i="20"/>
  <c r="M343" i="20"/>
  <c r="M344" i="20"/>
  <c r="M345" i="20"/>
  <c r="M346" i="20"/>
  <c r="M347" i="20"/>
  <c r="M348" i="20"/>
  <c r="M349" i="20"/>
  <c r="M350" i="20"/>
  <c r="M351" i="20"/>
  <c r="M352" i="20"/>
  <c r="M353" i="20"/>
  <c r="M354" i="20"/>
  <c r="M355" i="20"/>
  <c r="M356" i="20"/>
  <c r="M357" i="20"/>
  <c r="M358" i="20"/>
  <c r="M359" i="20"/>
  <c r="M360" i="20"/>
  <c r="M361" i="20"/>
  <c r="M362" i="20"/>
  <c r="M363" i="20"/>
  <c r="M364" i="20"/>
  <c r="M365" i="20"/>
  <c r="M366" i="20"/>
  <c r="M367" i="20"/>
  <c r="M368" i="20"/>
  <c r="M369" i="20"/>
  <c r="M370" i="20"/>
  <c r="M371" i="20"/>
  <c r="M372" i="20"/>
  <c r="M373" i="20"/>
  <c r="M374" i="20"/>
  <c r="M375" i="20"/>
  <c r="M376" i="20"/>
  <c r="M377" i="20"/>
  <c r="M378" i="20"/>
  <c r="M379" i="20"/>
  <c r="M380" i="20"/>
  <c r="M381" i="20"/>
  <c r="M382" i="20"/>
  <c r="M383" i="20"/>
  <c r="M384" i="20"/>
  <c r="M385" i="20"/>
  <c r="M386" i="20"/>
  <c r="M387" i="20"/>
  <c r="M388" i="20"/>
  <c r="M389" i="20"/>
  <c r="M390" i="20"/>
  <c r="M391" i="20"/>
  <c r="M392" i="20"/>
  <c r="M393" i="20"/>
  <c r="M394" i="20"/>
  <c r="M395" i="20"/>
  <c r="M396" i="20"/>
  <c r="M397" i="20"/>
  <c r="M398" i="20"/>
  <c r="M399" i="20"/>
  <c r="M400" i="20"/>
  <c r="M401" i="20"/>
  <c r="M402" i="20"/>
  <c r="M403" i="20"/>
  <c r="M404" i="20"/>
  <c r="M405" i="20"/>
  <c r="M406" i="20"/>
  <c r="M407" i="20"/>
  <c r="M408" i="20"/>
  <c r="M409" i="20"/>
  <c r="M410" i="20"/>
  <c r="M411" i="20"/>
  <c r="M412" i="20"/>
  <c r="M413" i="20"/>
  <c r="M414" i="20"/>
  <c r="M415" i="20"/>
  <c r="M416" i="20"/>
  <c r="M417" i="20"/>
  <c r="M418" i="20"/>
  <c r="M419" i="20"/>
  <c r="M420" i="20"/>
  <c r="M421" i="20"/>
  <c r="M422" i="20"/>
  <c r="M423" i="20"/>
  <c r="M424" i="20"/>
  <c r="M425" i="20"/>
  <c r="M426" i="20"/>
  <c r="M427" i="20"/>
  <c r="M428" i="20"/>
  <c r="M429" i="20"/>
  <c r="M430" i="20"/>
  <c r="M431" i="20"/>
  <c r="M432" i="20"/>
  <c r="M433" i="20"/>
  <c r="M434" i="20"/>
  <c r="M435" i="20"/>
  <c r="M436" i="20"/>
  <c r="M437" i="20"/>
  <c r="M438" i="20"/>
  <c r="M439" i="20"/>
  <c r="M440" i="20"/>
  <c r="M441" i="20"/>
  <c r="M442" i="20"/>
  <c r="M443" i="20"/>
  <c r="M444" i="20"/>
  <c r="M445" i="20"/>
  <c r="M446" i="20"/>
  <c r="M447" i="20"/>
  <c r="M448" i="20"/>
  <c r="M449" i="20"/>
  <c r="M450" i="20"/>
  <c r="M451" i="20"/>
  <c r="M452" i="20"/>
  <c r="M453" i="20"/>
  <c r="M454" i="20"/>
  <c r="M455" i="20"/>
  <c r="M456" i="20"/>
  <c r="M457" i="20"/>
  <c r="M458" i="20"/>
  <c r="M459" i="20"/>
  <c r="M460" i="20"/>
  <c r="M461" i="20"/>
  <c r="M462" i="20"/>
  <c r="M463" i="20"/>
  <c r="M464" i="20"/>
  <c r="M465" i="20"/>
  <c r="M466" i="20"/>
  <c r="M467" i="20"/>
  <c r="M468" i="20"/>
  <c r="M469" i="20"/>
  <c r="M470" i="20"/>
  <c r="M471" i="20"/>
  <c r="M472" i="20"/>
  <c r="M473" i="20"/>
  <c r="M474" i="20"/>
  <c r="M475" i="20"/>
  <c r="M476" i="20"/>
  <c r="M477" i="20"/>
  <c r="M478" i="20"/>
  <c r="M479" i="20"/>
  <c r="M480" i="20"/>
  <c r="M481" i="20"/>
  <c r="M482" i="20"/>
  <c r="M483" i="20"/>
  <c r="M484" i="20"/>
  <c r="M485" i="20"/>
  <c r="M486" i="20"/>
  <c r="M487" i="20"/>
  <c r="M488" i="20"/>
  <c r="M489" i="20"/>
  <c r="M490" i="20"/>
  <c r="M491" i="20"/>
  <c r="M492" i="20"/>
  <c r="M493" i="20"/>
  <c r="M494" i="20"/>
  <c r="M495" i="20"/>
  <c r="M496" i="20"/>
  <c r="M497" i="20"/>
  <c r="M498" i="20"/>
  <c r="M499" i="20"/>
  <c r="M500" i="20"/>
  <c r="M501" i="20"/>
  <c r="M502" i="20"/>
  <c r="M503" i="20"/>
  <c r="M504" i="20"/>
  <c r="M505" i="20"/>
  <c r="M506" i="20"/>
  <c r="M507" i="20"/>
  <c r="M508" i="20"/>
  <c r="M509" i="20"/>
  <c r="M510" i="20"/>
  <c r="M511" i="20"/>
  <c r="M512" i="20"/>
  <c r="M513" i="20"/>
  <c r="M514" i="20"/>
  <c r="M515" i="20"/>
  <c r="M516" i="20"/>
  <c r="M517" i="20"/>
  <c r="M518" i="20"/>
  <c r="M519" i="20"/>
  <c r="M520" i="20"/>
  <c r="M521" i="20"/>
  <c r="M522" i="20"/>
  <c r="M523" i="20"/>
  <c r="M524" i="20"/>
  <c r="M525" i="20"/>
  <c r="M526" i="20"/>
  <c r="M527" i="20"/>
  <c r="M528" i="20"/>
  <c r="M529" i="20"/>
  <c r="M530" i="20"/>
  <c r="M531" i="20"/>
  <c r="M532" i="20"/>
  <c r="M533" i="20"/>
  <c r="M534" i="20"/>
  <c r="M535" i="20"/>
  <c r="M536" i="20"/>
  <c r="M537" i="20"/>
  <c r="M538" i="20"/>
  <c r="M539" i="20"/>
  <c r="M540" i="20"/>
  <c r="M541" i="20"/>
  <c r="M542" i="20"/>
  <c r="M543" i="20"/>
  <c r="M544" i="20"/>
  <c r="M545" i="20"/>
  <c r="M546" i="20"/>
  <c r="M547" i="20"/>
  <c r="M548" i="20"/>
  <c r="M549" i="20"/>
  <c r="M550" i="20"/>
  <c r="M551" i="20"/>
  <c r="M552" i="20"/>
  <c r="M553" i="20"/>
  <c r="M554" i="20"/>
  <c r="M555" i="20"/>
  <c r="M556" i="20"/>
  <c r="M557" i="20"/>
  <c r="M558" i="20"/>
  <c r="M559" i="20"/>
  <c r="M560" i="20"/>
  <c r="M561" i="20"/>
  <c r="M562" i="20"/>
  <c r="M563" i="20"/>
  <c r="M564" i="20"/>
  <c r="M565" i="20"/>
  <c r="M566" i="20"/>
  <c r="M567" i="20"/>
  <c r="M568" i="20"/>
  <c r="M569" i="20"/>
  <c r="M570" i="20"/>
  <c r="M571" i="20"/>
  <c r="M572" i="20"/>
  <c r="M573" i="20"/>
  <c r="M574" i="20"/>
  <c r="M575" i="20"/>
  <c r="M576" i="20"/>
  <c r="M577" i="20"/>
  <c r="M578" i="20"/>
  <c r="M579" i="20"/>
  <c r="M580" i="20"/>
  <c r="M581" i="20"/>
  <c r="M582" i="20"/>
  <c r="M583" i="20"/>
  <c r="M584" i="20"/>
  <c r="M585" i="20"/>
  <c r="M586" i="20"/>
  <c r="M587" i="20"/>
  <c r="M588" i="20"/>
  <c r="M589" i="20"/>
  <c r="M590" i="20"/>
  <c r="M591" i="20"/>
  <c r="M592" i="20"/>
  <c r="M593" i="20"/>
  <c r="M594" i="20"/>
  <c r="M595" i="20"/>
  <c r="M596" i="20"/>
  <c r="M597" i="20"/>
  <c r="M598" i="20"/>
  <c r="M599" i="20"/>
  <c r="M600" i="20"/>
  <c r="M601" i="20"/>
  <c r="M602" i="20"/>
  <c r="M603" i="20"/>
  <c r="M604" i="20"/>
  <c r="M605" i="20"/>
  <c r="M606" i="20"/>
  <c r="M607" i="20"/>
  <c r="M608" i="20"/>
  <c r="M609" i="20"/>
  <c r="M610" i="20"/>
  <c r="M611" i="20"/>
  <c r="M612" i="20"/>
  <c r="M613" i="20"/>
  <c r="M614" i="20"/>
  <c r="M615" i="20"/>
  <c r="M616" i="20"/>
  <c r="M617" i="20"/>
  <c r="M618" i="20"/>
  <c r="M619" i="20"/>
  <c r="M620" i="20"/>
  <c r="M621" i="20"/>
  <c r="M622" i="20"/>
  <c r="M623" i="20"/>
  <c r="M624" i="20"/>
  <c r="M625" i="20"/>
  <c r="M626" i="20"/>
  <c r="M627" i="20"/>
  <c r="M628" i="20"/>
  <c r="M629" i="20"/>
  <c r="M630" i="20"/>
  <c r="M631" i="20"/>
  <c r="M632" i="20"/>
  <c r="M633" i="20"/>
  <c r="M634" i="20"/>
  <c r="M635" i="20"/>
  <c r="M636" i="20"/>
  <c r="M637" i="20"/>
  <c r="M638" i="20"/>
  <c r="M639" i="20"/>
  <c r="M640" i="20"/>
  <c r="M641" i="20"/>
  <c r="M642" i="20"/>
  <c r="M643" i="20"/>
  <c r="M644" i="20"/>
  <c r="M645" i="20"/>
  <c r="M646" i="20"/>
  <c r="M647" i="20"/>
  <c r="M648" i="20"/>
  <c r="M649" i="20"/>
  <c r="M650" i="20"/>
  <c r="M651" i="20"/>
  <c r="M652" i="20"/>
  <c r="M653" i="20"/>
  <c r="M654" i="20"/>
  <c r="M655" i="20"/>
  <c r="M656" i="20"/>
  <c r="M657" i="20"/>
  <c r="M658" i="20"/>
  <c r="M659" i="20"/>
  <c r="M660" i="20"/>
  <c r="M661" i="20"/>
  <c r="M662" i="20"/>
  <c r="M663" i="20"/>
  <c r="M664" i="20"/>
  <c r="M665" i="20"/>
  <c r="M666" i="20"/>
  <c r="M667" i="20"/>
  <c r="M668" i="20"/>
  <c r="M669" i="20"/>
  <c r="M670" i="20"/>
  <c r="M671" i="20"/>
  <c r="M672" i="20"/>
  <c r="M673" i="20"/>
  <c r="M674" i="20"/>
  <c r="M675" i="20"/>
  <c r="M676" i="20"/>
  <c r="M677" i="20"/>
  <c r="M678" i="20"/>
  <c r="M679" i="20"/>
  <c r="M680" i="20"/>
  <c r="M681" i="20"/>
  <c r="M682" i="20"/>
  <c r="M683" i="20"/>
  <c r="M684" i="20"/>
  <c r="M685" i="20"/>
  <c r="M686" i="20"/>
  <c r="M687" i="20"/>
  <c r="M688" i="20"/>
  <c r="M689" i="20"/>
  <c r="M690" i="20"/>
  <c r="M691" i="20"/>
  <c r="M692" i="20"/>
  <c r="M693" i="20"/>
  <c r="M694" i="20"/>
  <c r="M695" i="20"/>
  <c r="M696" i="20"/>
  <c r="M697" i="20"/>
  <c r="M698" i="20"/>
  <c r="M699" i="20"/>
  <c r="M700" i="20"/>
  <c r="M701" i="20"/>
  <c r="M702" i="20"/>
  <c r="M703" i="20"/>
  <c r="M704" i="20"/>
  <c r="M705" i="20"/>
  <c r="M706" i="20"/>
  <c r="M707" i="20"/>
  <c r="M708" i="20"/>
  <c r="M709" i="20"/>
  <c r="M710" i="20"/>
  <c r="M711" i="20"/>
  <c r="M712" i="20"/>
  <c r="M713" i="20"/>
  <c r="M714" i="20"/>
  <c r="M715" i="20"/>
  <c r="M716" i="20"/>
  <c r="M717" i="20"/>
  <c r="M718" i="20"/>
  <c r="M719" i="20"/>
  <c r="M720" i="20"/>
  <c r="M721" i="20"/>
  <c r="M722" i="20"/>
  <c r="M723" i="20"/>
  <c r="M724" i="20"/>
  <c r="M725" i="20"/>
  <c r="M726" i="20"/>
  <c r="M727" i="20"/>
  <c r="M728" i="20"/>
  <c r="M729" i="20"/>
  <c r="M730" i="20"/>
  <c r="M731" i="20"/>
  <c r="M732" i="20"/>
  <c r="M733" i="20"/>
  <c r="M734" i="20"/>
  <c r="M735" i="20"/>
  <c r="M736" i="20"/>
  <c r="M737" i="20"/>
  <c r="M738" i="20"/>
  <c r="M739" i="20"/>
  <c r="M740" i="20"/>
  <c r="M741" i="20"/>
  <c r="M742" i="20"/>
  <c r="M743" i="20"/>
  <c r="M744" i="20"/>
  <c r="M745" i="20"/>
  <c r="M746" i="20"/>
  <c r="M747" i="20"/>
  <c r="M748" i="20"/>
  <c r="M749" i="20"/>
  <c r="M750" i="20"/>
  <c r="M751" i="20"/>
  <c r="M752" i="20"/>
  <c r="M753" i="20"/>
  <c r="M754" i="20"/>
  <c r="M755" i="20"/>
  <c r="M756" i="20"/>
  <c r="M757" i="20"/>
  <c r="M758" i="20"/>
  <c r="M759" i="20"/>
  <c r="M760" i="20"/>
  <c r="M761" i="20"/>
  <c r="M762" i="20"/>
  <c r="M763" i="20"/>
  <c r="M764" i="20"/>
  <c r="M765" i="20"/>
  <c r="M766" i="20"/>
  <c r="M767" i="20"/>
  <c r="M768" i="20"/>
  <c r="M769" i="20"/>
  <c r="M770" i="20"/>
  <c r="M771" i="20"/>
  <c r="M772" i="20"/>
  <c r="M773" i="20"/>
  <c r="M774" i="20"/>
  <c r="M775" i="20"/>
  <c r="M776" i="20"/>
  <c r="M777" i="20"/>
  <c r="M778" i="20"/>
  <c r="M779" i="20"/>
  <c r="M780" i="20"/>
  <c r="M781" i="20"/>
  <c r="M782" i="20"/>
  <c r="M783" i="20"/>
  <c r="M784" i="20"/>
  <c r="M785" i="20"/>
  <c r="M786" i="20"/>
  <c r="M787" i="20"/>
  <c r="M788" i="20"/>
  <c r="M789" i="20"/>
  <c r="M790" i="20"/>
  <c r="M791" i="20"/>
  <c r="M792" i="20"/>
  <c r="M793" i="20"/>
  <c r="M794" i="20"/>
  <c r="M852" i="20"/>
  <c r="M853" i="20"/>
  <c r="M854" i="20"/>
  <c r="M855" i="20"/>
  <c r="M856" i="20"/>
  <c r="M857" i="20"/>
  <c r="M858" i="20"/>
  <c r="M859" i="20"/>
  <c r="M860" i="20"/>
  <c r="M861" i="20"/>
  <c r="M862" i="20"/>
  <c r="M863" i="20"/>
  <c r="M864" i="20"/>
  <c r="M865" i="20"/>
  <c r="M866" i="20"/>
  <c r="M867" i="20"/>
  <c r="M868" i="20"/>
  <c r="M869" i="20"/>
  <c r="M870" i="20"/>
  <c r="M871" i="20"/>
  <c r="M872" i="20"/>
  <c r="M873" i="20"/>
  <c r="M874" i="20"/>
  <c r="M875" i="20"/>
  <c r="M876" i="20"/>
  <c r="M877" i="20"/>
  <c r="M878" i="20"/>
  <c r="M879" i="20"/>
  <c r="M880" i="20"/>
  <c r="M881" i="20"/>
  <c r="M882" i="20"/>
  <c r="M883" i="20"/>
  <c r="M884" i="20"/>
  <c r="M885" i="20"/>
  <c r="M886" i="20"/>
  <c r="M887" i="20"/>
  <c r="M888" i="20"/>
  <c r="M889" i="20"/>
  <c r="M890" i="20"/>
  <c r="M891" i="20"/>
  <c r="M892" i="20"/>
  <c r="M893" i="20"/>
  <c r="M894" i="20"/>
  <c r="M895" i="20"/>
  <c r="M896" i="20"/>
  <c r="M897" i="20"/>
  <c r="M898" i="20"/>
  <c r="M899" i="20"/>
  <c r="M900" i="20"/>
  <c r="M901" i="20"/>
  <c r="M902" i="20"/>
  <c r="M903" i="20"/>
  <c r="M904" i="20"/>
  <c r="M905" i="20"/>
  <c r="M906" i="20"/>
  <c r="M907" i="20"/>
  <c r="M908" i="20"/>
  <c r="M909" i="20"/>
  <c r="M910" i="20"/>
  <c r="M911" i="20"/>
  <c r="M912" i="20"/>
  <c r="M913" i="20"/>
  <c r="M914" i="20"/>
  <c r="M915" i="20"/>
  <c r="M916" i="20"/>
  <c r="M917" i="20"/>
  <c r="M918" i="20"/>
  <c r="M919" i="20"/>
  <c r="M920" i="20"/>
  <c r="M921" i="20"/>
  <c r="M922" i="20"/>
  <c r="M923" i="20"/>
  <c r="M924" i="20"/>
  <c r="M925" i="20"/>
  <c r="M926" i="20"/>
  <c r="M927" i="20"/>
  <c r="M928" i="20"/>
  <c r="M929" i="20"/>
  <c r="M930" i="20"/>
  <c r="M931" i="20"/>
  <c r="M932" i="20"/>
  <c r="M933" i="20"/>
  <c r="M934" i="20"/>
  <c r="M935" i="20"/>
  <c r="M936" i="20"/>
  <c r="M937" i="20"/>
  <c r="M938" i="20"/>
  <c r="M939" i="20"/>
  <c r="M940" i="20"/>
  <c r="M941" i="20"/>
  <c r="M942" i="20"/>
  <c r="M943" i="20"/>
  <c r="M944" i="20"/>
  <c r="M945" i="20"/>
  <c r="M946" i="20"/>
  <c r="M947" i="20"/>
  <c r="M948" i="20"/>
  <c r="M949" i="20"/>
  <c r="M950" i="20"/>
  <c r="M951" i="20"/>
  <c r="M952" i="20"/>
  <c r="M953" i="20"/>
  <c r="M954" i="20"/>
  <c r="M955" i="20"/>
  <c r="M956" i="20"/>
  <c r="M957" i="20"/>
  <c r="M958" i="20"/>
  <c r="M959" i="20"/>
  <c r="M960" i="20"/>
  <c r="M961" i="20"/>
  <c r="M962" i="20"/>
  <c r="M963" i="20"/>
  <c r="M964" i="20"/>
  <c r="M965" i="20"/>
  <c r="M966" i="20"/>
  <c r="M967" i="20"/>
  <c r="M968" i="20"/>
  <c r="M969" i="20"/>
  <c r="M970" i="20"/>
  <c r="M971" i="20"/>
  <c r="M972" i="20"/>
  <c r="M973" i="20"/>
  <c r="M974" i="20"/>
  <c r="M975" i="20"/>
  <c r="M976" i="20"/>
  <c r="M977" i="20"/>
  <c r="M978" i="20"/>
  <c r="M979" i="20"/>
  <c r="M980" i="20"/>
  <c r="M981" i="20"/>
  <c r="M982" i="20"/>
  <c r="M983" i="20"/>
  <c r="M984" i="20"/>
  <c r="M985" i="20"/>
  <c r="M986" i="20"/>
  <c r="M987" i="20"/>
  <c r="M988" i="20"/>
  <c r="M989" i="20"/>
  <c r="M990" i="20"/>
  <c r="M991" i="20"/>
  <c r="M992" i="20"/>
  <c r="M993" i="20"/>
  <c r="M994" i="20"/>
  <c r="M995" i="20"/>
  <c r="M996" i="20"/>
  <c r="M997" i="20"/>
  <c r="M998" i="20"/>
  <c r="M999" i="20"/>
  <c r="M1000" i="20"/>
  <c r="M1001" i="20"/>
  <c r="M1002" i="20"/>
  <c r="M1003" i="20"/>
  <c r="M1004" i="20"/>
  <c r="M1005" i="20"/>
  <c r="M1006" i="20"/>
  <c r="M1007" i="20"/>
  <c r="M1008" i="20"/>
  <c r="M1009" i="20"/>
  <c r="M1010" i="20"/>
  <c r="M1011" i="20"/>
  <c r="M1012" i="20"/>
  <c r="M1013" i="20"/>
  <c r="M1014" i="20"/>
  <c r="M1015" i="20"/>
  <c r="M1016" i="20"/>
  <c r="M1017" i="20"/>
  <c r="M1018" i="20"/>
  <c r="M1019" i="20"/>
  <c r="M1020" i="20"/>
  <c r="M1021" i="20"/>
  <c r="M1022" i="20"/>
  <c r="M1023" i="20"/>
  <c r="M1024" i="20"/>
  <c r="M1025" i="20"/>
  <c r="M1026" i="20"/>
  <c r="M1027" i="20"/>
  <c r="M1028" i="20"/>
  <c r="M1029" i="20"/>
  <c r="M1030" i="20"/>
  <c r="M1031" i="20"/>
  <c r="M1032" i="20"/>
  <c r="M1033" i="20"/>
  <c r="M1034" i="20"/>
  <c r="M1035" i="20"/>
  <c r="M1036" i="20"/>
  <c r="M1037" i="20"/>
  <c r="M1038" i="20"/>
  <c r="M1039" i="20"/>
  <c r="M1040" i="20"/>
  <c r="M1041" i="20"/>
  <c r="M1042" i="20"/>
  <c r="M1043" i="20"/>
  <c r="M1044" i="20"/>
  <c r="M1045" i="20"/>
  <c r="M1046" i="20"/>
  <c r="M1047" i="20"/>
  <c r="M1048" i="20"/>
  <c r="M1049" i="20"/>
  <c r="M1050" i="20"/>
  <c r="M1051" i="20"/>
  <c r="M1052" i="20"/>
  <c r="M1053" i="20"/>
  <c r="M1054" i="20"/>
  <c r="M1055" i="20"/>
  <c r="M1056" i="20"/>
  <c r="M1057" i="20"/>
  <c r="M1058" i="20"/>
  <c r="M1059" i="20"/>
  <c r="M1060" i="20"/>
  <c r="M1061" i="20"/>
  <c r="M1062" i="20"/>
  <c r="M1063" i="20"/>
  <c r="M1064" i="20"/>
  <c r="M1065" i="20"/>
  <c r="M1066" i="20"/>
  <c r="M1067" i="20"/>
  <c r="M1068" i="20"/>
  <c r="M1069" i="20"/>
  <c r="M1070" i="20"/>
  <c r="M1071" i="20"/>
  <c r="M1072" i="20"/>
  <c r="M1073" i="20"/>
  <c r="M1074" i="20"/>
  <c r="M1075" i="20"/>
  <c r="M1076" i="20"/>
  <c r="M1077" i="20"/>
  <c r="M1078" i="20"/>
  <c r="M1079" i="20"/>
  <c r="M1080" i="20"/>
  <c r="M1081" i="20"/>
  <c r="M1082" i="20"/>
  <c r="M1083" i="20"/>
  <c r="M1084" i="20"/>
  <c r="M1085" i="20"/>
  <c r="M1086" i="20"/>
  <c r="M1087" i="20"/>
  <c r="M1088" i="20"/>
  <c r="M1089" i="20"/>
  <c r="M1090" i="20"/>
  <c r="M1091" i="20"/>
  <c r="M1092" i="20"/>
  <c r="M1093" i="20"/>
  <c r="M1094" i="20"/>
  <c r="M1095" i="20"/>
  <c r="M1096" i="20"/>
  <c r="M1097" i="20"/>
  <c r="M1098" i="20"/>
  <c r="M1099" i="20"/>
  <c r="M1100" i="20"/>
  <c r="M1101" i="20"/>
  <c r="M1102" i="20"/>
  <c r="M1103" i="20"/>
  <c r="M1104" i="20"/>
  <c r="M1105" i="20"/>
  <c r="M1106" i="20"/>
  <c r="M1107" i="20"/>
  <c r="M1108" i="20"/>
  <c r="M1109" i="20"/>
  <c r="M1110" i="20"/>
  <c r="M1111" i="20"/>
  <c r="M1112" i="20"/>
  <c r="M1113" i="20"/>
  <c r="M1114" i="20"/>
  <c r="M1115" i="20"/>
  <c r="M1116" i="20"/>
  <c r="M1117" i="20"/>
  <c r="M1118" i="20"/>
  <c r="M1119" i="20"/>
  <c r="M1120" i="20"/>
  <c r="M1121" i="20"/>
  <c r="M1122" i="20"/>
  <c r="M1123" i="20"/>
  <c r="M1124" i="20"/>
  <c r="M1125" i="20"/>
  <c r="M1126" i="20"/>
  <c r="M1127" i="20"/>
  <c r="M1128" i="20"/>
  <c r="M1129" i="20"/>
  <c r="M1130" i="20"/>
  <c r="M1131" i="20"/>
  <c r="M1132" i="20"/>
  <c r="M1133" i="20"/>
  <c r="M1134" i="20"/>
  <c r="M1135" i="20"/>
  <c r="M1136" i="20"/>
  <c r="M1137" i="20"/>
  <c r="M1138" i="20"/>
  <c r="M1139" i="20"/>
  <c r="M1140" i="20"/>
  <c r="M1141" i="20"/>
  <c r="M1142" i="20"/>
  <c r="M1143" i="20"/>
  <c r="M1144" i="20"/>
  <c r="M1145" i="20"/>
  <c r="M1146" i="20"/>
  <c r="M1147" i="20"/>
  <c r="M1148" i="20"/>
  <c r="M1149" i="20"/>
  <c r="M1150" i="20"/>
  <c r="M1151" i="20"/>
  <c r="M1152" i="20"/>
  <c r="M1153" i="20"/>
  <c r="M1154" i="20"/>
  <c r="M1155" i="20"/>
  <c r="M1156" i="20"/>
  <c r="M1157" i="20"/>
  <c r="M1158" i="20"/>
  <c r="M1159" i="20"/>
  <c r="M1160" i="20"/>
  <c r="M1161" i="20"/>
  <c r="M1162" i="20"/>
  <c r="M1163" i="20"/>
  <c r="M1164" i="20"/>
  <c r="M1165" i="20"/>
  <c r="M1166" i="20"/>
  <c r="M1167" i="20"/>
  <c r="M1168" i="20"/>
  <c r="M1169" i="20"/>
  <c r="M1170" i="20"/>
  <c r="M1171" i="20"/>
  <c r="M1172" i="20"/>
  <c r="M1173" i="20"/>
  <c r="M1174" i="20"/>
  <c r="M1175" i="20"/>
  <c r="M1176" i="20"/>
  <c r="M1177" i="20"/>
  <c r="M1178" i="20"/>
  <c r="M1179" i="20"/>
  <c r="M1180" i="20"/>
  <c r="M1181" i="20"/>
  <c r="M1182" i="20"/>
  <c r="M1183" i="20"/>
  <c r="M1184" i="20"/>
  <c r="M1185" i="20"/>
  <c r="M1186" i="20"/>
  <c r="M1187" i="20"/>
  <c r="M1188" i="20"/>
  <c r="M1189" i="20"/>
  <c r="M1190" i="20"/>
  <c r="M1191" i="20"/>
  <c r="M1192" i="20"/>
  <c r="M1193" i="20"/>
  <c r="M1194" i="20"/>
  <c r="M1195" i="20"/>
  <c r="M1196" i="20"/>
  <c r="M1197" i="20"/>
  <c r="M1198" i="20"/>
  <c r="M1199" i="20"/>
  <c r="M1200" i="20"/>
  <c r="M1201" i="20"/>
  <c r="M1202" i="20"/>
  <c r="M1203" i="20"/>
  <c r="M1204" i="20"/>
  <c r="M1205" i="20"/>
  <c r="M1206" i="20"/>
  <c r="M1207" i="20"/>
  <c r="M1208" i="20"/>
  <c r="M1209" i="20"/>
  <c r="M1210" i="20"/>
  <c r="M1211" i="20"/>
  <c r="M1212" i="20"/>
  <c r="M1213" i="20"/>
  <c r="M1214" i="20"/>
  <c r="M1215" i="20"/>
  <c r="M1216" i="20"/>
  <c r="M1217" i="20"/>
  <c r="M1218" i="20"/>
  <c r="M1219" i="20"/>
  <c r="M1220" i="20"/>
  <c r="M1221" i="20"/>
  <c r="M1222" i="20"/>
  <c r="M1223" i="20"/>
  <c r="M1224" i="20"/>
  <c r="M1225" i="20"/>
  <c r="M1226" i="20"/>
  <c r="M1227" i="20"/>
  <c r="M1228" i="20"/>
  <c r="M1229" i="20"/>
  <c r="M1230" i="20"/>
  <c r="M1231" i="20"/>
  <c r="M1232" i="20"/>
  <c r="M1233" i="20"/>
  <c r="M1234" i="20"/>
  <c r="M1235" i="20"/>
  <c r="M1236" i="20"/>
  <c r="M1237" i="20"/>
  <c r="M1238" i="20"/>
  <c r="M1239" i="20"/>
  <c r="M1240" i="20"/>
  <c r="M1241" i="20"/>
  <c r="M1242" i="20"/>
  <c r="M1243" i="20"/>
  <c r="M1244" i="20"/>
  <c r="M1245" i="20"/>
  <c r="M1246" i="20"/>
  <c r="M1247" i="20"/>
  <c r="M1248" i="20"/>
  <c r="M1249" i="20"/>
  <c r="M1250" i="20"/>
  <c r="M1251" i="20"/>
  <c r="M1252" i="20"/>
  <c r="M1253" i="20"/>
  <c r="M1254" i="20"/>
  <c r="M1255" i="20"/>
  <c r="M1256" i="20"/>
  <c r="M1257" i="20"/>
  <c r="M1258" i="20"/>
  <c r="M1259" i="20"/>
  <c r="M1260" i="20"/>
  <c r="M1261" i="20"/>
  <c r="M1262" i="20"/>
  <c r="M1263" i="20"/>
  <c r="M1264" i="20"/>
  <c r="M1265" i="20"/>
  <c r="M1266" i="20"/>
  <c r="M1267" i="20"/>
  <c r="M1268" i="20"/>
  <c r="M1269" i="20"/>
  <c r="M1270" i="20"/>
  <c r="M1271" i="20"/>
  <c r="M1272" i="20"/>
  <c r="M1273" i="20"/>
  <c r="M1274" i="20"/>
  <c r="M1275" i="20"/>
  <c r="M1276" i="20"/>
  <c r="M1277" i="20"/>
  <c r="M1278" i="20"/>
  <c r="M1279" i="20"/>
  <c r="M1280" i="20"/>
  <c r="M1281" i="20"/>
  <c r="M1282" i="20"/>
  <c r="M1283" i="20"/>
  <c r="M1284" i="20"/>
  <c r="M1285" i="20"/>
  <c r="M1286" i="20"/>
  <c r="M1287" i="20"/>
  <c r="M1288" i="20"/>
  <c r="M1289" i="20"/>
  <c r="M1290" i="20"/>
  <c r="M1291" i="20"/>
  <c r="M1292" i="20"/>
  <c r="M1293" i="20"/>
  <c r="M1294" i="20"/>
  <c r="M1295" i="20"/>
  <c r="M1296" i="20"/>
  <c r="M1297" i="20"/>
  <c r="M1298" i="20"/>
  <c r="M1299" i="20"/>
  <c r="M1300" i="20"/>
  <c r="M1301" i="20"/>
  <c r="M1302" i="20"/>
  <c r="M1303" i="20"/>
  <c r="M1304" i="20"/>
  <c r="M1305" i="20"/>
  <c r="M1306" i="20"/>
  <c r="M1307" i="20"/>
  <c r="M1308" i="20"/>
  <c r="M1309" i="20"/>
  <c r="M1310" i="20"/>
  <c r="M1311" i="20"/>
  <c r="M1312" i="20"/>
  <c r="M1313" i="20"/>
  <c r="M1314" i="20"/>
  <c r="M1315" i="20"/>
  <c r="M1316" i="20"/>
  <c r="M1317" i="20"/>
  <c r="M1318" i="20"/>
  <c r="M1319" i="20"/>
  <c r="M1320" i="20"/>
  <c r="M1321" i="20"/>
  <c r="M1322" i="20"/>
  <c r="M1323" i="20"/>
  <c r="M1324" i="20"/>
  <c r="M1325" i="20"/>
  <c r="M1326" i="20"/>
  <c r="M1327" i="20"/>
  <c r="M1328" i="20"/>
  <c r="M1329" i="20"/>
  <c r="M1330" i="20"/>
  <c r="M1331" i="20"/>
  <c r="M1332" i="20"/>
  <c r="M1333" i="20"/>
  <c r="M1334" i="20"/>
  <c r="M1335" i="20"/>
  <c r="M1336" i="20"/>
  <c r="M1337" i="20"/>
  <c r="M1338" i="20"/>
  <c r="M1339" i="20"/>
  <c r="M1340" i="20"/>
  <c r="M1341" i="20"/>
  <c r="M1342" i="20"/>
  <c r="M1343" i="20"/>
  <c r="M1344" i="20"/>
  <c r="M1345" i="20"/>
  <c r="M1346" i="20"/>
  <c r="M1347" i="20"/>
  <c r="M1348" i="20"/>
  <c r="M1349" i="20"/>
  <c r="M1350" i="20"/>
  <c r="M1351" i="20"/>
  <c r="M1352" i="20"/>
  <c r="M1353" i="20"/>
  <c r="M1354" i="20"/>
  <c r="M1355" i="20"/>
  <c r="M1356" i="20"/>
  <c r="M1357" i="20"/>
  <c r="M1358" i="20"/>
  <c r="M1359" i="20"/>
  <c r="M1360" i="20"/>
  <c r="M1361" i="20"/>
  <c r="M1362" i="20"/>
  <c r="M1363" i="20"/>
  <c r="M1364" i="20"/>
  <c r="M1365" i="20"/>
  <c r="M1366" i="20"/>
  <c r="M1367" i="20"/>
  <c r="M1368" i="20"/>
  <c r="M1369" i="20"/>
  <c r="M1370" i="20"/>
  <c r="M1371" i="20"/>
  <c r="M1372" i="20"/>
  <c r="M1373" i="20"/>
  <c r="M1374" i="20"/>
  <c r="M1375" i="20"/>
  <c r="M1376" i="20"/>
  <c r="M1377" i="20"/>
  <c r="M1378" i="20"/>
  <c r="M1379" i="20"/>
  <c r="M1380" i="20"/>
  <c r="M1381" i="20"/>
  <c r="M1382" i="20"/>
  <c r="M1383" i="20"/>
  <c r="M1384" i="20"/>
  <c r="M1385" i="20"/>
  <c r="M1386" i="20"/>
  <c r="M1387" i="20"/>
  <c r="M1388" i="20"/>
  <c r="M1389" i="20"/>
  <c r="M1390" i="20"/>
  <c r="M1391" i="20"/>
  <c r="M1392" i="20"/>
  <c r="M1393" i="20"/>
  <c r="M1394" i="20"/>
  <c r="M1395" i="20"/>
  <c r="M1396" i="20"/>
  <c r="M1397" i="20"/>
  <c r="M1398" i="20"/>
  <c r="M1399" i="20"/>
  <c r="M1400" i="20"/>
  <c r="M1401" i="20"/>
  <c r="M1402" i="20"/>
  <c r="M1403" i="20"/>
  <c r="M1404" i="20"/>
  <c r="M1405" i="20"/>
  <c r="M1406" i="20"/>
  <c r="M1407" i="20"/>
  <c r="M1408" i="20"/>
  <c r="M1409" i="20"/>
  <c r="M1410" i="20"/>
  <c r="M1411" i="20"/>
  <c r="M1412" i="20"/>
  <c r="M1413" i="20"/>
  <c r="M1414" i="20"/>
  <c r="M1415" i="20"/>
  <c r="M1416" i="20"/>
  <c r="M1417" i="20"/>
  <c r="M1418" i="20"/>
  <c r="M1419" i="20"/>
  <c r="M1420" i="20"/>
  <c r="M1421" i="20"/>
  <c r="M1422" i="20"/>
  <c r="M1423" i="20"/>
  <c r="M1424" i="20"/>
  <c r="M1425" i="20"/>
  <c r="M1426" i="20"/>
  <c r="M1427" i="20"/>
  <c r="M1428" i="20"/>
  <c r="M1429" i="20"/>
  <c r="M1430" i="20"/>
  <c r="M1431" i="20"/>
  <c r="M1432" i="20"/>
  <c r="M1433" i="20"/>
  <c r="M1434" i="20"/>
  <c r="M1435" i="20"/>
  <c r="M1436" i="20"/>
  <c r="M1437" i="20"/>
  <c r="M1438" i="20"/>
  <c r="M1439" i="20"/>
  <c r="M1440" i="20"/>
  <c r="M1441" i="20"/>
  <c r="M1442" i="20"/>
  <c r="M1443" i="20"/>
  <c r="M1444" i="20"/>
  <c r="M1445" i="20"/>
  <c r="M1446" i="20"/>
  <c r="M1447" i="20"/>
  <c r="M1448" i="20"/>
  <c r="M1449" i="20"/>
  <c r="M1450" i="20"/>
  <c r="M1451" i="20"/>
  <c r="M1452" i="20"/>
  <c r="M1453" i="20"/>
  <c r="M1454" i="20"/>
  <c r="M1455" i="20"/>
  <c r="M1456" i="20"/>
  <c r="M1457" i="20"/>
  <c r="M1458" i="20"/>
  <c r="M1459" i="20"/>
  <c r="M1460" i="20"/>
  <c r="M1461" i="20"/>
  <c r="M1462" i="20"/>
  <c r="M1463" i="20"/>
  <c r="M1464" i="20"/>
  <c r="M1465" i="20"/>
  <c r="M1466" i="20"/>
  <c r="M1467" i="20"/>
  <c r="M1468" i="20"/>
  <c r="M1469" i="20"/>
  <c r="M1470" i="20"/>
  <c r="M1471" i="20"/>
  <c r="M1472" i="20"/>
  <c r="M1473" i="20"/>
  <c r="M1474" i="20"/>
  <c r="M1475" i="20"/>
  <c r="M1476" i="20"/>
  <c r="M1477" i="20"/>
  <c r="M1478" i="20"/>
  <c r="M1479" i="20"/>
  <c r="M1480" i="20"/>
  <c r="M1481" i="20"/>
  <c r="M1482" i="20"/>
  <c r="M1483" i="20"/>
  <c r="M1484" i="20"/>
  <c r="M1485" i="20"/>
  <c r="M1486" i="20"/>
  <c r="M1487" i="20"/>
  <c r="M1488" i="20"/>
  <c r="M1489" i="20"/>
  <c r="M1490" i="20"/>
  <c r="M1491" i="20"/>
  <c r="M1492" i="20"/>
  <c r="M1493" i="20"/>
  <c r="M1494" i="20"/>
  <c r="M1495" i="20"/>
  <c r="M1496" i="20"/>
  <c r="M1497" i="20"/>
  <c r="M1498" i="20"/>
  <c r="M1499" i="20"/>
  <c r="M1500" i="20"/>
  <c r="M1501" i="20"/>
  <c r="M1502" i="20"/>
  <c r="M1503" i="20"/>
  <c r="M1504" i="20"/>
  <c r="M1505" i="20"/>
  <c r="M1506" i="20"/>
  <c r="M1507" i="20"/>
  <c r="M1508" i="20"/>
  <c r="M1509" i="20"/>
  <c r="M1510" i="20"/>
  <c r="M1511" i="20"/>
  <c r="M1512" i="20"/>
  <c r="M1513" i="20"/>
  <c r="M1514" i="20"/>
  <c r="M1515" i="20"/>
  <c r="M1516" i="20"/>
  <c r="M1517" i="20"/>
  <c r="M1518" i="20"/>
  <c r="M1519" i="20"/>
  <c r="M1520" i="20"/>
  <c r="M1521" i="20"/>
  <c r="M1522" i="20"/>
  <c r="M1523" i="20"/>
  <c r="M1524" i="20"/>
  <c r="M1525" i="20"/>
  <c r="M1526" i="20"/>
  <c r="M1527" i="20"/>
  <c r="M1528" i="20"/>
  <c r="M1529" i="20"/>
  <c r="M1530" i="20"/>
  <c r="M1531" i="20"/>
  <c r="M1532" i="20"/>
  <c r="M1533" i="20"/>
  <c r="M1534" i="20"/>
  <c r="M1535" i="20"/>
  <c r="M1536" i="20"/>
  <c r="M1537" i="20"/>
  <c r="M1538" i="20"/>
  <c r="M1539" i="20"/>
  <c r="M1540" i="20"/>
  <c r="M1541" i="20"/>
  <c r="M1542" i="20"/>
  <c r="M1543" i="20"/>
  <c r="M1544" i="20"/>
  <c r="M1545" i="20"/>
  <c r="M1546" i="20"/>
  <c r="M1547" i="20"/>
  <c r="M1548" i="20"/>
  <c r="M1549" i="20"/>
  <c r="M1550" i="20"/>
  <c r="M1551" i="20"/>
  <c r="M1552" i="20"/>
  <c r="M1553" i="20"/>
  <c r="M1554" i="20"/>
  <c r="M1555" i="20"/>
  <c r="M1556" i="20"/>
  <c r="M1557" i="20"/>
  <c r="M1558" i="20"/>
  <c r="M1559" i="20"/>
  <c r="M1560" i="20"/>
  <c r="M1561" i="20"/>
  <c r="M1562" i="20"/>
  <c r="M1563" i="20"/>
  <c r="M1564" i="20"/>
  <c r="M1565" i="20"/>
  <c r="M1566" i="20"/>
  <c r="M1567" i="20"/>
  <c r="M1568" i="20"/>
  <c r="M1569" i="20"/>
  <c r="M1570" i="20"/>
  <c r="M1571" i="20"/>
  <c r="M1572" i="20"/>
  <c r="M1573" i="20"/>
  <c r="M1574" i="20"/>
  <c r="M1575" i="20"/>
  <c r="M1576" i="20"/>
  <c r="M1577" i="20"/>
  <c r="M1578" i="20"/>
  <c r="M1579" i="20"/>
  <c r="M1580" i="20"/>
  <c r="M1581" i="20"/>
  <c r="M1582" i="20"/>
  <c r="M1583" i="20"/>
  <c r="M1584" i="20"/>
  <c r="M1585" i="20"/>
  <c r="M1586" i="20"/>
  <c r="M1587" i="20"/>
  <c r="M1588" i="20"/>
  <c r="M1589" i="20"/>
  <c r="M1590" i="20"/>
  <c r="M1591" i="20"/>
  <c r="M1592" i="20"/>
  <c r="M1593" i="20"/>
  <c r="M1594" i="20"/>
  <c r="M1595" i="20"/>
  <c r="M1596" i="20"/>
  <c r="M1597" i="20"/>
  <c r="M1598" i="20"/>
  <c r="M1599" i="20"/>
  <c r="M1600" i="20"/>
  <c r="M1601" i="20"/>
  <c r="M1602" i="20"/>
  <c r="M1603" i="20"/>
  <c r="M1604" i="20"/>
  <c r="M1605" i="20"/>
  <c r="M1606" i="20"/>
  <c r="M1607" i="20"/>
  <c r="M1608" i="20"/>
  <c r="M1609" i="20"/>
  <c r="M1610" i="20"/>
  <c r="M1611" i="20"/>
  <c r="M1612" i="20"/>
  <c r="M1613" i="20"/>
  <c r="M1614" i="20"/>
  <c r="M1615" i="20"/>
  <c r="M1616" i="20"/>
  <c r="M1617" i="20"/>
  <c r="M1618" i="20"/>
  <c r="M1619" i="20"/>
  <c r="M1620" i="20"/>
  <c r="M1621" i="20"/>
  <c r="M1622" i="20"/>
  <c r="M1623" i="20"/>
  <c r="M1624" i="20"/>
  <c r="M1625" i="20"/>
  <c r="M1626" i="20"/>
  <c r="M1627" i="20"/>
  <c r="M1628" i="20"/>
  <c r="M1629" i="20"/>
  <c r="M1630" i="20"/>
  <c r="M1631" i="20"/>
  <c r="M1632" i="20"/>
  <c r="M1633" i="20"/>
  <c r="M1634" i="20"/>
  <c r="M1635" i="20"/>
  <c r="M1636" i="20"/>
  <c r="M1637" i="20"/>
  <c r="M1638" i="20"/>
  <c r="M1639" i="20"/>
  <c r="M1640" i="20"/>
  <c r="M1641" i="20"/>
  <c r="M1642" i="20"/>
  <c r="M1643" i="20"/>
  <c r="M1644" i="20"/>
  <c r="M1645" i="20"/>
  <c r="M1646" i="20"/>
  <c r="M1647" i="20"/>
  <c r="M1648" i="20"/>
  <c r="M1649" i="20"/>
  <c r="M1650" i="20"/>
  <c r="M1651" i="20"/>
  <c r="M1652" i="20"/>
  <c r="M1653" i="20"/>
  <c r="M1654" i="20"/>
  <c r="M1655" i="20"/>
  <c r="M1656" i="20"/>
  <c r="M1657" i="20"/>
  <c r="M1658" i="20"/>
  <c r="M1659" i="20"/>
  <c r="M1660" i="20"/>
  <c r="M1661" i="20"/>
  <c r="M1662" i="20"/>
  <c r="M1663" i="20"/>
  <c r="M1664" i="20"/>
  <c r="M1665" i="20"/>
  <c r="M1666" i="20"/>
  <c r="M1667" i="20"/>
  <c r="M1668" i="20"/>
  <c r="M1669" i="20"/>
  <c r="M1670" i="20"/>
  <c r="M1671" i="20"/>
  <c r="M1672" i="20"/>
  <c r="M1673" i="20"/>
  <c r="M1674" i="20"/>
  <c r="M1675" i="20"/>
  <c r="M1676" i="20"/>
  <c r="M1677" i="20"/>
  <c r="M1678" i="20"/>
  <c r="M1679" i="20"/>
  <c r="M1680" i="20"/>
  <c r="M1681" i="20"/>
  <c r="M1682" i="20"/>
  <c r="M1683" i="20"/>
  <c r="M1684" i="20"/>
  <c r="M1685" i="20"/>
  <c r="M1686" i="20"/>
  <c r="M1687" i="20"/>
  <c r="M1688" i="20"/>
  <c r="M1689" i="20"/>
  <c r="M1690" i="20"/>
  <c r="M1691" i="20"/>
  <c r="M1692" i="20"/>
  <c r="M1693" i="20"/>
  <c r="M1694" i="20"/>
  <c r="M1695" i="20"/>
  <c r="M1696" i="20"/>
  <c r="M1697" i="20"/>
  <c r="M1698" i="20"/>
  <c r="M1699" i="20"/>
  <c r="M1700" i="20"/>
  <c r="M1701" i="20"/>
  <c r="M1702" i="20"/>
  <c r="M1703" i="20"/>
  <c r="M1704" i="20"/>
  <c r="M1705" i="20"/>
  <c r="M1706" i="20"/>
  <c r="M1707" i="20"/>
  <c r="M1708" i="20"/>
  <c r="M1709" i="20"/>
  <c r="M1710" i="20"/>
  <c r="M1711" i="20"/>
  <c r="M1712" i="20"/>
  <c r="M1713" i="20"/>
  <c r="M1714" i="20"/>
  <c r="M1715" i="20"/>
  <c r="M1716" i="20"/>
  <c r="M1717" i="20"/>
  <c r="M1718" i="20"/>
  <c r="M1719" i="20"/>
  <c r="M1720" i="20"/>
  <c r="M1721" i="20"/>
  <c r="M1722" i="20"/>
  <c r="M1723" i="20"/>
  <c r="M1724" i="20"/>
  <c r="M1725" i="20"/>
  <c r="M1726" i="20"/>
  <c r="M1727" i="20"/>
  <c r="M1728" i="20"/>
  <c r="M1729" i="20"/>
  <c r="M1730" i="20"/>
  <c r="M1731" i="20"/>
  <c r="M1732" i="20"/>
  <c r="M1733" i="20"/>
  <c r="M1734" i="20"/>
  <c r="M1735" i="20"/>
  <c r="M1736" i="20"/>
  <c r="M1737" i="20"/>
  <c r="M1738" i="20"/>
  <c r="M1739" i="20"/>
  <c r="M1740" i="20"/>
  <c r="M1741" i="20"/>
  <c r="M1742" i="20"/>
  <c r="M1743" i="20"/>
  <c r="M1744" i="20"/>
  <c r="M1745" i="20"/>
  <c r="M1746" i="20"/>
  <c r="M1747" i="20"/>
  <c r="M1748" i="20"/>
  <c r="M1749" i="20"/>
  <c r="M1750" i="20"/>
  <c r="M1751" i="20"/>
  <c r="M1752" i="20"/>
  <c r="M1753" i="20"/>
  <c r="M1754" i="20"/>
  <c r="M1755" i="20"/>
  <c r="M1756" i="20"/>
  <c r="M1757" i="20"/>
  <c r="M1758" i="20"/>
  <c r="M1759" i="20"/>
  <c r="M1760" i="20"/>
  <c r="M1761" i="20"/>
  <c r="M1762" i="20"/>
  <c r="M1763" i="20"/>
  <c r="M1764" i="20"/>
  <c r="M1765" i="20"/>
  <c r="M1766" i="20"/>
  <c r="M1767" i="20"/>
  <c r="M1768" i="20"/>
  <c r="M1769" i="20"/>
  <c r="M1770" i="20"/>
  <c r="M1771" i="20"/>
  <c r="M1772" i="20"/>
  <c r="M1773" i="20"/>
  <c r="M1774" i="20"/>
  <c r="M1775" i="20"/>
  <c r="M1776" i="20"/>
  <c r="M1777" i="20"/>
  <c r="M1778" i="20"/>
  <c r="M1779" i="20"/>
  <c r="M1780" i="20"/>
  <c r="M1781" i="20"/>
  <c r="M1782" i="20"/>
  <c r="M1783" i="20"/>
  <c r="M1784" i="20"/>
  <c r="N2" i="20"/>
  <c r="N3" i="20"/>
  <c r="N4" i="20"/>
  <c r="N5" i="20"/>
  <c r="N6" i="20"/>
  <c r="N7" i="20"/>
  <c r="N8" i="20"/>
  <c r="N9" i="20"/>
  <c r="N10" i="20"/>
  <c r="N11" i="20"/>
  <c r="N12" i="20"/>
  <c r="N13" i="20"/>
  <c r="N14" i="20"/>
  <c r="N15" i="20"/>
  <c r="N16" i="20"/>
  <c r="N17" i="20"/>
  <c r="N18" i="20"/>
  <c r="N19" i="20"/>
  <c r="N20" i="20"/>
  <c r="N21" i="20"/>
  <c r="N22" i="20"/>
  <c r="N23" i="20"/>
  <c r="N24" i="20"/>
  <c r="N25" i="20"/>
  <c r="N26" i="20"/>
  <c r="N27" i="20"/>
  <c r="N28" i="20"/>
  <c r="N29" i="20"/>
  <c r="N30" i="20"/>
  <c r="N31" i="20"/>
  <c r="N32" i="20"/>
  <c r="N33" i="20"/>
  <c r="N34" i="20"/>
  <c r="N35" i="20"/>
  <c r="N36" i="20"/>
  <c r="N37" i="20"/>
  <c r="N38" i="20"/>
  <c r="N39" i="20"/>
  <c r="N40" i="20"/>
  <c r="N41" i="20"/>
  <c r="N42" i="20"/>
  <c r="N43" i="20"/>
  <c r="N44" i="20"/>
  <c r="N45" i="20"/>
  <c r="N46" i="20"/>
  <c r="N47" i="20"/>
  <c r="N48" i="20"/>
  <c r="N49" i="20"/>
  <c r="N50" i="20"/>
  <c r="N51" i="20"/>
  <c r="N52" i="20"/>
  <c r="N53" i="20"/>
  <c r="N54" i="20"/>
  <c r="N55" i="20"/>
  <c r="N56" i="20"/>
  <c r="N57" i="20"/>
  <c r="N58" i="20"/>
  <c r="N59" i="20"/>
  <c r="N60" i="20"/>
  <c r="N61" i="20"/>
  <c r="N62" i="20"/>
  <c r="N63" i="20"/>
  <c r="N64" i="20"/>
  <c r="N65" i="20"/>
  <c r="N66" i="20"/>
  <c r="N67" i="20"/>
  <c r="N68" i="20"/>
  <c r="N69" i="20"/>
  <c r="N70" i="20"/>
  <c r="N71" i="20"/>
  <c r="N72" i="20"/>
  <c r="N73" i="20"/>
  <c r="N74" i="20"/>
  <c r="N75" i="20"/>
  <c r="N76" i="20"/>
  <c r="N77" i="20"/>
  <c r="N78" i="20"/>
  <c r="N79" i="20"/>
  <c r="N80" i="20"/>
  <c r="N81" i="20"/>
  <c r="N82" i="20"/>
  <c r="N83" i="20"/>
  <c r="N84" i="20"/>
  <c r="N85" i="20"/>
  <c r="N86" i="20"/>
  <c r="N87" i="20"/>
  <c r="N88" i="20"/>
  <c r="N89" i="20"/>
  <c r="N90" i="20"/>
  <c r="N91" i="20"/>
  <c r="N92" i="20"/>
  <c r="N93" i="20"/>
  <c r="N94" i="20"/>
  <c r="N95" i="20"/>
  <c r="N96" i="20"/>
  <c r="N97" i="20"/>
  <c r="N98" i="20"/>
  <c r="N99" i="20"/>
  <c r="N100" i="20"/>
  <c r="N101" i="20"/>
  <c r="N102" i="20"/>
  <c r="N103" i="20"/>
  <c r="N104" i="20"/>
  <c r="N105" i="20"/>
  <c r="N106" i="20"/>
  <c r="N107" i="20"/>
  <c r="N108" i="20"/>
  <c r="N109" i="20"/>
  <c r="N110" i="20"/>
  <c r="N111" i="20"/>
  <c r="N112" i="20"/>
  <c r="N113" i="20"/>
  <c r="N114" i="20"/>
  <c r="N115" i="20"/>
  <c r="N116" i="20"/>
  <c r="N117" i="20"/>
  <c r="N118" i="20"/>
  <c r="N119" i="20"/>
  <c r="N120" i="20"/>
  <c r="N121" i="20"/>
  <c r="N122" i="20"/>
  <c r="N123" i="20"/>
  <c r="N124" i="20"/>
  <c r="N125" i="20"/>
  <c r="N126" i="20"/>
  <c r="N127" i="20"/>
  <c r="N128" i="20"/>
  <c r="N129" i="20"/>
  <c r="N130" i="20"/>
  <c r="N131" i="20"/>
  <c r="N132" i="20"/>
  <c r="N133" i="20"/>
  <c r="N134" i="20"/>
  <c r="N135" i="20"/>
  <c r="N136" i="20"/>
  <c r="N137" i="20"/>
  <c r="N138" i="20"/>
  <c r="N139" i="20"/>
  <c r="N140" i="20"/>
  <c r="N141" i="20"/>
  <c r="N142" i="20"/>
  <c r="N143" i="20"/>
  <c r="N144" i="20"/>
  <c r="N145" i="20"/>
  <c r="N146" i="20"/>
  <c r="N147" i="20"/>
  <c r="N148" i="20"/>
  <c r="N149" i="20"/>
  <c r="N150" i="20"/>
  <c r="N151" i="20"/>
  <c r="N152" i="20"/>
  <c r="N153" i="20"/>
  <c r="N154" i="20"/>
  <c r="N155" i="20"/>
  <c r="N156" i="20"/>
  <c r="N157" i="20"/>
  <c r="N158" i="20"/>
  <c r="N159" i="20"/>
  <c r="N160" i="20"/>
  <c r="N161" i="20"/>
  <c r="N162" i="20"/>
  <c r="N163" i="20"/>
  <c r="N164" i="20"/>
  <c r="N165" i="20"/>
  <c r="N166" i="20"/>
  <c r="N167" i="20"/>
  <c r="N168" i="20"/>
  <c r="N169" i="20"/>
  <c r="N170" i="20"/>
  <c r="N171" i="20"/>
  <c r="N172" i="20"/>
  <c r="N173" i="20"/>
  <c r="N174" i="20"/>
  <c r="N175" i="20"/>
  <c r="N176" i="20"/>
  <c r="N177" i="20"/>
  <c r="N178" i="20"/>
  <c r="N179" i="20"/>
  <c r="N180" i="20"/>
  <c r="N181" i="20"/>
  <c r="N182" i="20"/>
  <c r="N183" i="20"/>
  <c r="N184" i="20"/>
  <c r="N185" i="20"/>
  <c r="N186" i="20"/>
  <c r="N187" i="20"/>
  <c r="N188" i="20"/>
  <c r="N189" i="20"/>
  <c r="N190" i="20"/>
  <c r="N191" i="20"/>
  <c r="N192" i="20"/>
  <c r="N193" i="20"/>
  <c r="N194" i="20"/>
  <c r="N195" i="20"/>
  <c r="N196" i="20"/>
  <c r="N197" i="20"/>
  <c r="N198" i="20"/>
  <c r="N199" i="20"/>
  <c r="N200" i="20"/>
  <c r="N201" i="20"/>
  <c r="N202" i="20"/>
  <c r="N203" i="20"/>
  <c r="N204" i="20"/>
  <c r="N205" i="20"/>
  <c r="N206" i="20"/>
  <c r="N207" i="20"/>
  <c r="N208" i="20"/>
  <c r="N209" i="20"/>
  <c r="N210" i="20"/>
  <c r="N211" i="20"/>
  <c r="N212" i="20"/>
  <c r="N213" i="20"/>
  <c r="N214" i="20"/>
  <c r="N215" i="20"/>
  <c r="N216" i="20"/>
  <c r="N217" i="20"/>
  <c r="N218" i="20"/>
  <c r="N219" i="20"/>
  <c r="N220" i="20"/>
  <c r="N221" i="20"/>
  <c r="N222" i="20"/>
  <c r="N223" i="20"/>
  <c r="N224" i="20"/>
  <c r="N225" i="20"/>
  <c r="N226" i="20"/>
  <c r="N227" i="20"/>
  <c r="N228" i="20"/>
  <c r="N229" i="20"/>
  <c r="N230" i="20"/>
  <c r="N231" i="20"/>
  <c r="N232" i="20"/>
  <c r="N233" i="20"/>
  <c r="N234" i="20"/>
  <c r="N235" i="20"/>
  <c r="N236" i="20"/>
  <c r="N237" i="20"/>
  <c r="N238" i="20"/>
  <c r="N239" i="20"/>
  <c r="N240" i="20"/>
  <c r="N241" i="20"/>
  <c r="N242" i="20"/>
  <c r="N243" i="20"/>
  <c r="N244" i="20"/>
  <c r="N245" i="20"/>
  <c r="N246" i="20"/>
  <c r="N247" i="20"/>
  <c r="N248" i="20"/>
  <c r="N249" i="20"/>
  <c r="N250" i="20"/>
  <c r="N251" i="20"/>
  <c r="N252" i="20"/>
  <c r="N253" i="20"/>
  <c r="N254" i="20"/>
  <c r="N255" i="20"/>
  <c r="N256" i="20"/>
  <c r="N257" i="20"/>
  <c r="N258" i="20"/>
  <c r="N259" i="20"/>
  <c r="N260" i="20"/>
  <c r="N261" i="20"/>
  <c r="N262" i="20"/>
  <c r="N263" i="20"/>
  <c r="N264" i="20"/>
  <c r="N265" i="20"/>
  <c r="N266" i="20"/>
  <c r="N267" i="20"/>
  <c r="N268" i="20"/>
  <c r="N269" i="20"/>
  <c r="N270" i="20"/>
  <c r="N271" i="20"/>
  <c r="N272" i="20"/>
  <c r="N273" i="20"/>
  <c r="N274" i="20"/>
  <c r="N275" i="20"/>
  <c r="N276" i="20"/>
  <c r="N277" i="20"/>
  <c r="N278" i="20"/>
  <c r="N279" i="20"/>
  <c r="N280" i="20"/>
  <c r="N281" i="20"/>
  <c r="N282" i="20"/>
  <c r="N283" i="20"/>
  <c r="N284" i="20"/>
  <c r="N285" i="20"/>
  <c r="N286" i="20"/>
  <c r="N287" i="20"/>
  <c r="N288" i="20"/>
  <c r="N289" i="20"/>
  <c r="N290" i="20"/>
  <c r="N291" i="20"/>
  <c r="N292" i="20"/>
  <c r="N293" i="20"/>
  <c r="N294" i="20"/>
  <c r="N295" i="20"/>
  <c r="N296" i="20"/>
  <c r="N297" i="20"/>
  <c r="N298" i="20"/>
  <c r="N299" i="20"/>
  <c r="N300" i="20"/>
  <c r="N301" i="20"/>
  <c r="N302" i="20"/>
  <c r="N303" i="20"/>
  <c r="N304" i="20"/>
  <c r="N305" i="20"/>
  <c r="N306" i="20"/>
  <c r="N307" i="20"/>
  <c r="N308" i="20"/>
  <c r="N309" i="20"/>
  <c r="N310" i="20"/>
  <c r="N311" i="20"/>
  <c r="N312" i="20"/>
  <c r="N313" i="20"/>
  <c r="N314" i="20"/>
  <c r="N315" i="20"/>
  <c r="N316" i="20"/>
  <c r="N317" i="20"/>
  <c r="N318" i="20"/>
  <c r="N319" i="20"/>
  <c r="N320" i="20"/>
  <c r="N321" i="20"/>
  <c r="N322" i="20"/>
  <c r="N323" i="20"/>
  <c r="N324" i="20"/>
  <c r="N325" i="20"/>
  <c r="N326" i="20"/>
  <c r="N327" i="20"/>
  <c r="N328" i="20"/>
  <c r="N329" i="20"/>
  <c r="N330" i="20"/>
  <c r="N331" i="20"/>
  <c r="N332" i="20"/>
  <c r="N333" i="20"/>
  <c r="N334" i="20"/>
  <c r="N335" i="20"/>
  <c r="N336" i="20"/>
  <c r="N337" i="20"/>
  <c r="N338" i="20"/>
  <c r="N339" i="20"/>
  <c r="N340" i="20"/>
  <c r="N341" i="20"/>
  <c r="N342" i="20"/>
  <c r="N343" i="20"/>
  <c r="N344" i="20"/>
  <c r="N345" i="20"/>
  <c r="N346" i="20"/>
  <c r="N347" i="20"/>
  <c r="N348" i="20"/>
  <c r="N349" i="20"/>
  <c r="N350" i="20"/>
  <c r="N351" i="20"/>
  <c r="N352" i="20"/>
  <c r="N353" i="20"/>
  <c r="N354" i="20"/>
  <c r="N355" i="20"/>
  <c r="N356" i="20"/>
  <c r="N357" i="20"/>
  <c r="N358" i="20"/>
  <c r="N359" i="20"/>
  <c r="N360" i="20"/>
  <c r="N361" i="20"/>
  <c r="N362" i="20"/>
  <c r="N363" i="20"/>
  <c r="N364" i="20"/>
  <c r="N365" i="20"/>
  <c r="N366" i="20"/>
  <c r="N367" i="20"/>
  <c r="N368" i="20"/>
  <c r="N369" i="20"/>
  <c r="N370" i="20"/>
  <c r="N371" i="20"/>
  <c r="N372" i="20"/>
  <c r="N373" i="20"/>
  <c r="N374" i="20"/>
  <c r="N375" i="20"/>
  <c r="N376" i="20"/>
  <c r="N377" i="20"/>
  <c r="N378" i="20"/>
  <c r="N379" i="20"/>
  <c r="N380" i="20"/>
  <c r="N381" i="20"/>
  <c r="N382" i="20"/>
  <c r="N383" i="20"/>
  <c r="N384" i="20"/>
  <c r="N385" i="20"/>
  <c r="N386" i="20"/>
  <c r="N387" i="20"/>
  <c r="N388" i="20"/>
  <c r="N389" i="20"/>
  <c r="N390" i="20"/>
  <c r="N391" i="20"/>
  <c r="N392" i="20"/>
  <c r="N393" i="20"/>
  <c r="N394" i="20"/>
  <c r="N395" i="20"/>
  <c r="N396" i="20"/>
  <c r="N397" i="20"/>
  <c r="N398" i="20"/>
  <c r="N399" i="20"/>
  <c r="N400" i="20"/>
  <c r="N401" i="20"/>
  <c r="N402" i="20"/>
  <c r="N403" i="20"/>
  <c r="N404" i="20"/>
  <c r="N405" i="20"/>
  <c r="N406" i="20"/>
  <c r="N407" i="20"/>
  <c r="N408" i="20"/>
  <c r="N409" i="20"/>
  <c r="N410" i="20"/>
  <c r="N411" i="20"/>
  <c r="N412" i="20"/>
  <c r="N413" i="20"/>
  <c r="N414" i="20"/>
  <c r="N415" i="20"/>
  <c r="N416" i="20"/>
  <c r="N417" i="20"/>
  <c r="N418" i="20"/>
  <c r="N419" i="20"/>
  <c r="N420" i="20"/>
  <c r="N421" i="20"/>
  <c r="N422" i="20"/>
  <c r="N423" i="20"/>
  <c r="N424" i="20"/>
  <c r="N425" i="20"/>
  <c r="N426" i="20"/>
  <c r="N427" i="20"/>
  <c r="N428" i="20"/>
  <c r="N429" i="20"/>
  <c r="N430" i="20"/>
  <c r="N431" i="20"/>
  <c r="N432" i="20"/>
  <c r="N433" i="20"/>
  <c r="N434" i="20"/>
  <c r="N435" i="20"/>
  <c r="N436" i="20"/>
  <c r="N437" i="20"/>
  <c r="N438" i="20"/>
  <c r="N439" i="20"/>
  <c r="N440" i="20"/>
  <c r="N441" i="20"/>
  <c r="N442" i="20"/>
  <c r="N443" i="20"/>
  <c r="N444" i="20"/>
  <c r="N445" i="20"/>
  <c r="N446" i="20"/>
  <c r="N447" i="20"/>
  <c r="N448" i="20"/>
  <c r="N449" i="20"/>
  <c r="N450" i="20"/>
  <c r="N451" i="20"/>
  <c r="N452" i="20"/>
  <c r="N453" i="20"/>
  <c r="N454" i="20"/>
  <c r="N455" i="20"/>
  <c r="N456" i="20"/>
  <c r="N457" i="20"/>
  <c r="N458" i="20"/>
  <c r="N459" i="20"/>
  <c r="N460" i="20"/>
  <c r="N461" i="20"/>
  <c r="N462" i="20"/>
  <c r="N463" i="20"/>
  <c r="N464" i="20"/>
  <c r="N465" i="20"/>
  <c r="N466" i="20"/>
  <c r="N467" i="20"/>
  <c r="N468" i="20"/>
  <c r="N469" i="20"/>
  <c r="N470" i="20"/>
  <c r="N471" i="20"/>
  <c r="N472" i="20"/>
  <c r="N473" i="20"/>
  <c r="N474" i="20"/>
  <c r="N475" i="20"/>
  <c r="N476" i="20"/>
  <c r="N477" i="20"/>
  <c r="N478" i="20"/>
  <c r="N479" i="20"/>
  <c r="N480" i="20"/>
  <c r="N481" i="20"/>
  <c r="N482" i="20"/>
  <c r="N483" i="20"/>
  <c r="N484" i="20"/>
  <c r="N485" i="20"/>
  <c r="N486" i="20"/>
  <c r="N487" i="20"/>
  <c r="N488" i="20"/>
  <c r="N489" i="20"/>
  <c r="N490" i="20"/>
  <c r="N491" i="20"/>
  <c r="N492" i="20"/>
  <c r="N493" i="20"/>
  <c r="N494" i="20"/>
  <c r="N495" i="20"/>
  <c r="N496" i="20"/>
  <c r="N497" i="20"/>
  <c r="N498" i="20"/>
  <c r="N499" i="20"/>
  <c r="N500" i="20"/>
  <c r="N501" i="20"/>
  <c r="N502" i="20"/>
  <c r="N503" i="20"/>
  <c r="N504" i="20"/>
  <c r="N505" i="20"/>
  <c r="N506" i="20"/>
  <c r="N507" i="20"/>
  <c r="N508" i="20"/>
  <c r="N509" i="20"/>
  <c r="N510" i="20"/>
  <c r="N511" i="20"/>
  <c r="N512" i="20"/>
  <c r="N513" i="20"/>
  <c r="N514" i="20"/>
  <c r="N515" i="20"/>
  <c r="N516" i="20"/>
  <c r="N517" i="20"/>
  <c r="N518" i="20"/>
  <c r="N519" i="20"/>
  <c r="N520" i="20"/>
  <c r="N521" i="20"/>
  <c r="N522" i="20"/>
  <c r="N523" i="20"/>
  <c r="N524" i="20"/>
  <c r="N525" i="20"/>
  <c r="N526" i="20"/>
  <c r="N527" i="20"/>
  <c r="N528" i="20"/>
  <c r="N529" i="20"/>
  <c r="N530" i="20"/>
  <c r="N531" i="20"/>
  <c r="N532" i="20"/>
  <c r="N533" i="20"/>
  <c r="N534" i="20"/>
  <c r="N535" i="20"/>
  <c r="N536" i="20"/>
  <c r="N537" i="20"/>
  <c r="N538" i="20"/>
  <c r="N539" i="20"/>
  <c r="N540" i="20"/>
  <c r="N541" i="20"/>
  <c r="N542" i="20"/>
  <c r="N543" i="20"/>
  <c r="N544" i="20"/>
  <c r="N545" i="20"/>
  <c r="N546" i="20"/>
  <c r="N547" i="20"/>
  <c r="N548" i="20"/>
  <c r="N549" i="20"/>
  <c r="N550" i="20"/>
  <c r="N551" i="20"/>
  <c r="N552" i="20"/>
  <c r="N553" i="20"/>
  <c r="N554" i="20"/>
  <c r="N555" i="20"/>
  <c r="N556" i="20"/>
  <c r="N557" i="20"/>
  <c r="N558" i="20"/>
  <c r="N559" i="20"/>
  <c r="N560" i="20"/>
  <c r="N561" i="20"/>
  <c r="N562" i="20"/>
  <c r="N563" i="20"/>
  <c r="N564" i="20"/>
  <c r="N565" i="20"/>
  <c r="N566" i="20"/>
  <c r="N567" i="20"/>
  <c r="N568" i="20"/>
  <c r="N569" i="20"/>
  <c r="N570" i="20"/>
  <c r="N571" i="20"/>
  <c r="N572" i="20"/>
  <c r="N573" i="20"/>
  <c r="N574" i="20"/>
  <c r="N575" i="20"/>
  <c r="N576" i="20"/>
  <c r="N577" i="20"/>
  <c r="N578" i="20"/>
  <c r="N579" i="20"/>
  <c r="N580" i="20"/>
  <c r="N581" i="20"/>
  <c r="N582" i="20"/>
  <c r="N583" i="20"/>
  <c r="N584" i="20"/>
  <c r="N585" i="20"/>
  <c r="N586" i="20"/>
  <c r="N587" i="20"/>
  <c r="N588" i="20"/>
  <c r="N589" i="20"/>
  <c r="N590" i="20"/>
  <c r="N591" i="20"/>
  <c r="N592" i="20"/>
  <c r="N593" i="20"/>
  <c r="N594" i="20"/>
  <c r="N595" i="20"/>
  <c r="N596" i="20"/>
  <c r="N597" i="20"/>
  <c r="N598" i="20"/>
  <c r="N599" i="20"/>
  <c r="N600" i="20"/>
  <c r="N601" i="20"/>
  <c r="N602" i="20"/>
  <c r="N603" i="20"/>
  <c r="N604" i="20"/>
  <c r="N605" i="20"/>
  <c r="N606" i="20"/>
  <c r="N607" i="20"/>
  <c r="N608" i="20"/>
  <c r="N609" i="20"/>
  <c r="N610" i="20"/>
  <c r="N611" i="20"/>
  <c r="N612" i="20"/>
  <c r="N613" i="20"/>
  <c r="N614" i="20"/>
  <c r="N615" i="20"/>
  <c r="N616" i="20"/>
  <c r="N617" i="20"/>
  <c r="N618" i="20"/>
  <c r="N619" i="20"/>
  <c r="N620" i="20"/>
  <c r="N621" i="20"/>
  <c r="N622" i="20"/>
  <c r="N623" i="20"/>
  <c r="N624" i="20"/>
  <c r="N625" i="20"/>
  <c r="N626" i="20"/>
  <c r="N627" i="20"/>
  <c r="N628" i="20"/>
  <c r="N629" i="20"/>
  <c r="N630" i="20"/>
  <c r="N631" i="20"/>
  <c r="N632" i="20"/>
  <c r="N633" i="20"/>
  <c r="N634" i="20"/>
  <c r="N635" i="20"/>
  <c r="N636" i="20"/>
  <c r="N637" i="20"/>
  <c r="N638" i="20"/>
  <c r="N639" i="20"/>
  <c r="N640" i="20"/>
  <c r="N641" i="20"/>
  <c r="N642" i="20"/>
  <c r="N643" i="20"/>
  <c r="N644" i="20"/>
  <c r="N645" i="20"/>
  <c r="N646" i="20"/>
  <c r="N647" i="20"/>
  <c r="N648" i="20"/>
  <c r="N649" i="20"/>
  <c r="N650" i="20"/>
  <c r="N651" i="20"/>
  <c r="N652" i="20"/>
  <c r="N653" i="20"/>
  <c r="N654" i="20"/>
  <c r="N655" i="20"/>
  <c r="N656" i="20"/>
  <c r="N657" i="20"/>
  <c r="N658" i="20"/>
  <c r="N659" i="20"/>
  <c r="N660" i="20"/>
  <c r="N661" i="20"/>
  <c r="N662" i="20"/>
  <c r="N663" i="20"/>
  <c r="N664" i="20"/>
  <c r="N665" i="20"/>
  <c r="N666" i="20"/>
  <c r="N667" i="20"/>
  <c r="N668" i="20"/>
  <c r="N669" i="20"/>
  <c r="N670" i="20"/>
  <c r="N671" i="20"/>
  <c r="N672" i="20"/>
  <c r="N673" i="20"/>
  <c r="N674" i="20"/>
  <c r="N675" i="20"/>
  <c r="N676" i="20"/>
  <c r="N677" i="20"/>
  <c r="N678" i="20"/>
  <c r="N679" i="20"/>
  <c r="N680" i="20"/>
  <c r="N681" i="20"/>
  <c r="N682" i="20"/>
  <c r="N683" i="20"/>
  <c r="N684" i="20"/>
  <c r="N685" i="20"/>
  <c r="N686" i="20"/>
  <c r="N687" i="20"/>
  <c r="N688" i="20"/>
  <c r="N689" i="20"/>
  <c r="N690" i="20"/>
  <c r="N691" i="20"/>
  <c r="N692" i="20"/>
  <c r="N693" i="20"/>
  <c r="N694" i="20"/>
  <c r="N695" i="20"/>
  <c r="N696" i="20"/>
  <c r="N697" i="20"/>
  <c r="N698" i="20"/>
  <c r="N699" i="20"/>
  <c r="N700" i="20"/>
  <c r="N701" i="20"/>
  <c r="N702" i="20"/>
  <c r="N703" i="20"/>
  <c r="N704" i="20"/>
  <c r="N705" i="20"/>
  <c r="N706" i="20"/>
  <c r="N707" i="20"/>
  <c r="N708" i="20"/>
  <c r="N709" i="20"/>
  <c r="N710" i="20"/>
  <c r="N711" i="20"/>
  <c r="N712" i="20"/>
  <c r="N713" i="20"/>
  <c r="N714" i="20"/>
  <c r="N715" i="20"/>
  <c r="N716" i="20"/>
  <c r="N717" i="20"/>
  <c r="N718" i="20"/>
  <c r="N719" i="20"/>
  <c r="N720" i="20"/>
  <c r="N721" i="20"/>
  <c r="N722" i="20"/>
  <c r="N723" i="20"/>
  <c r="N724" i="20"/>
  <c r="N725" i="20"/>
  <c r="N726" i="20"/>
  <c r="N727" i="20"/>
  <c r="N728" i="20"/>
  <c r="N729" i="20"/>
  <c r="N730" i="20"/>
  <c r="N731" i="20"/>
  <c r="N732" i="20"/>
  <c r="N733" i="20"/>
  <c r="N734" i="20"/>
  <c r="N735" i="20"/>
  <c r="N736" i="20"/>
  <c r="N737" i="20"/>
  <c r="N738" i="20"/>
  <c r="N739" i="20"/>
  <c r="N740" i="20"/>
  <c r="N741" i="20"/>
  <c r="N742" i="20"/>
  <c r="N743" i="20"/>
  <c r="N744" i="20"/>
  <c r="N745" i="20"/>
  <c r="N746" i="20"/>
  <c r="N747" i="20"/>
  <c r="N748" i="20"/>
  <c r="N749" i="20"/>
  <c r="N750" i="20"/>
  <c r="N751" i="20"/>
  <c r="N752" i="20"/>
  <c r="N753" i="20"/>
  <c r="N754" i="20"/>
  <c r="N755" i="20"/>
  <c r="N756" i="20"/>
  <c r="N757" i="20"/>
  <c r="N758" i="20"/>
  <c r="N759" i="20"/>
  <c r="N760" i="20"/>
  <c r="N761" i="20"/>
  <c r="N762" i="20"/>
  <c r="N763" i="20"/>
  <c r="N764" i="20"/>
  <c r="N765" i="20"/>
  <c r="N766" i="20"/>
  <c r="N767" i="20"/>
  <c r="N768" i="20"/>
  <c r="N769" i="20"/>
  <c r="N770" i="20"/>
  <c r="N771" i="20"/>
  <c r="N772" i="20"/>
  <c r="N773" i="20"/>
  <c r="N774" i="20"/>
  <c r="N775" i="20"/>
  <c r="N776" i="20"/>
  <c r="N777" i="20"/>
  <c r="N778" i="20"/>
  <c r="N779" i="20"/>
  <c r="N780" i="20"/>
  <c r="N781" i="20"/>
  <c r="N782" i="20"/>
  <c r="N783" i="20"/>
  <c r="N784" i="20"/>
  <c r="N785" i="20"/>
  <c r="N786" i="20"/>
  <c r="N787" i="20"/>
  <c r="N788" i="20"/>
  <c r="N789" i="20"/>
  <c r="N790" i="20"/>
  <c r="N791" i="20"/>
  <c r="N792" i="20"/>
  <c r="N793" i="20"/>
  <c r="N794" i="20"/>
  <c r="N852" i="20"/>
  <c r="N853" i="20"/>
  <c r="N854" i="20"/>
  <c r="N855" i="20"/>
  <c r="N856" i="20"/>
  <c r="N857" i="20"/>
  <c r="N858" i="20"/>
  <c r="N859" i="20"/>
  <c r="N860" i="20"/>
  <c r="N861" i="20"/>
  <c r="N862" i="20"/>
  <c r="N863" i="20"/>
  <c r="N864" i="20"/>
  <c r="N865" i="20"/>
  <c r="N866" i="20"/>
  <c r="N867" i="20"/>
  <c r="N868" i="20"/>
  <c r="N869" i="20"/>
  <c r="N870" i="20"/>
  <c r="N871" i="20"/>
  <c r="N872" i="20"/>
  <c r="N873" i="20"/>
  <c r="N874" i="20"/>
  <c r="N875" i="20"/>
  <c r="N876" i="20"/>
  <c r="N877" i="20"/>
  <c r="N878" i="20"/>
  <c r="N879" i="20"/>
  <c r="N880" i="20"/>
  <c r="N881" i="20"/>
  <c r="N882" i="20"/>
  <c r="N883" i="20"/>
  <c r="N884" i="20"/>
  <c r="N885" i="20"/>
  <c r="N886" i="20"/>
  <c r="N887" i="20"/>
  <c r="N888" i="20"/>
  <c r="N889" i="20"/>
  <c r="N890" i="20"/>
  <c r="N891" i="20"/>
  <c r="N892" i="20"/>
  <c r="N893" i="20"/>
  <c r="N894" i="20"/>
  <c r="N895" i="20"/>
  <c r="N896" i="20"/>
  <c r="N897" i="20"/>
  <c r="N898" i="20"/>
  <c r="N899" i="20"/>
  <c r="N900" i="20"/>
  <c r="N901" i="20"/>
  <c r="N902" i="20"/>
  <c r="N903" i="20"/>
  <c r="N904" i="20"/>
  <c r="N905" i="20"/>
  <c r="N906" i="20"/>
  <c r="N907" i="20"/>
  <c r="N908" i="20"/>
  <c r="N909" i="20"/>
  <c r="N910" i="20"/>
  <c r="N911" i="20"/>
  <c r="N912" i="20"/>
  <c r="N913" i="20"/>
  <c r="N914" i="20"/>
  <c r="N915" i="20"/>
  <c r="N916" i="20"/>
  <c r="N917" i="20"/>
  <c r="N918" i="20"/>
  <c r="N919" i="20"/>
  <c r="N920" i="20"/>
  <c r="N921" i="20"/>
  <c r="N922" i="20"/>
  <c r="N923" i="20"/>
  <c r="N924" i="20"/>
  <c r="N925" i="20"/>
  <c r="N926" i="20"/>
  <c r="N927" i="20"/>
  <c r="N928" i="20"/>
  <c r="N929" i="20"/>
  <c r="N930" i="20"/>
  <c r="N931" i="20"/>
  <c r="N932" i="20"/>
  <c r="N933" i="20"/>
  <c r="N934" i="20"/>
  <c r="N935" i="20"/>
  <c r="N936" i="20"/>
  <c r="N937" i="20"/>
  <c r="N938" i="20"/>
  <c r="N939" i="20"/>
  <c r="N940" i="20"/>
  <c r="N941" i="20"/>
  <c r="N942" i="20"/>
  <c r="N943" i="20"/>
  <c r="N944" i="20"/>
  <c r="N945" i="20"/>
  <c r="N946" i="20"/>
  <c r="N947" i="20"/>
  <c r="N948" i="20"/>
  <c r="N949" i="20"/>
  <c r="N950" i="20"/>
  <c r="N951" i="20"/>
  <c r="N952" i="20"/>
  <c r="N953" i="20"/>
  <c r="N954" i="20"/>
  <c r="N955" i="20"/>
  <c r="N956" i="20"/>
  <c r="N957" i="20"/>
  <c r="N958" i="20"/>
  <c r="N959" i="20"/>
  <c r="N960" i="20"/>
  <c r="N961" i="20"/>
  <c r="N962" i="20"/>
  <c r="N963" i="20"/>
  <c r="N964" i="20"/>
  <c r="N965" i="20"/>
  <c r="N966" i="20"/>
  <c r="N967" i="20"/>
  <c r="N968" i="20"/>
  <c r="N969" i="20"/>
  <c r="N970" i="20"/>
  <c r="N971" i="20"/>
  <c r="N972" i="20"/>
  <c r="N973" i="20"/>
  <c r="N974" i="20"/>
  <c r="N975" i="20"/>
  <c r="N976" i="20"/>
  <c r="N977" i="20"/>
  <c r="N978" i="20"/>
  <c r="N979" i="20"/>
  <c r="N980" i="20"/>
  <c r="N981" i="20"/>
  <c r="N982" i="20"/>
  <c r="N983" i="20"/>
  <c r="N984" i="20"/>
  <c r="N985" i="20"/>
  <c r="N986" i="20"/>
  <c r="N987" i="20"/>
  <c r="N988" i="20"/>
  <c r="N989" i="20"/>
  <c r="N990" i="20"/>
  <c r="N991" i="20"/>
  <c r="N992" i="20"/>
  <c r="N993" i="20"/>
  <c r="N994" i="20"/>
  <c r="N995" i="20"/>
  <c r="N996" i="20"/>
  <c r="N997" i="20"/>
  <c r="N998" i="20"/>
  <c r="N999" i="20"/>
  <c r="N1000" i="20"/>
  <c r="N1001" i="20"/>
  <c r="N1002" i="20"/>
  <c r="N1003" i="20"/>
  <c r="N1004" i="20"/>
  <c r="N1005" i="20"/>
  <c r="N1006" i="20"/>
  <c r="N1007" i="20"/>
  <c r="N1008" i="20"/>
  <c r="N1009" i="20"/>
  <c r="N1010" i="20"/>
  <c r="N1011" i="20"/>
  <c r="N1012" i="20"/>
  <c r="N1013" i="20"/>
  <c r="N1014" i="20"/>
  <c r="N1015" i="20"/>
  <c r="N1016" i="20"/>
  <c r="N1017" i="20"/>
  <c r="N1018" i="20"/>
  <c r="N1019" i="20"/>
  <c r="N1020" i="20"/>
  <c r="N1021" i="20"/>
  <c r="N1022" i="20"/>
  <c r="N1023" i="20"/>
  <c r="N1024" i="20"/>
  <c r="N1025" i="20"/>
  <c r="N1026" i="20"/>
  <c r="N1027" i="20"/>
  <c r="N1028" i="20"/>
  <c r="N1029" i="20"/>
  <c r="N1030" i="20"/>
  <c r="N1031" i="20"/>
  <c r="N1032" i="20"/>
  <c r="N1033" i="20"/>
  <c r="N1034" i="20"/>
  <c r="N1035" i="20"/>
  <c r="N1036" i="20"/>
  <c r="N1037" i="20"/>
  <c r="N1038" i="20"/>
  <c r="N1039" i="20"/>
  <c r="N1040" i="20"/>
  <c r="N1041" i="20"/>
  <c r="N1042" i="20"/>
  <c r="N1043" i="20"/>
  <c r="N1044" i="20"/>
  <c r="N1045" i="20"/>
  <c r="N1046" i="20"/>
  <c r="N1047" i="20"/>
  <c r="N1048" i="20"/>
  <c r="N1049" i="20"/>
  <c r="N1050" i="20"/>
  <c r="N1051" i="20"/>
  <c r="N1052" i="20"/>
  <c r="N1053" i="20"/>
  <c r="N1054" i="20"/>
  <c r="N1055" i="20"/>
  <c r="N1056" i="20"/>
  <c r="N1057" i="20"/>
  <c r="N1058" i="20"/>
  <c r="N1059" i="20"/>
  <c r="N1060" i="20"/>
  <c r="N1061" i="20"/>
  <c r="N1062" i="20"/>
  <c r="N1063" i="20"/>
  <c r="N1064" i="20"/>
  <c r="N1065" i="20"/>
  <c r="N1066" i="20"/>
  <c r="N1067" i="20"/>
  <c r="N1068" i="20"/>
  <c r="N1069" i="20"/>
  <c r="N1070" i="20"/>
  <c r="N1071" i="20"/>
  <c r="N1072" i="20"/>
  <c r="N1073" i="20"/>
  <c r="N1074" i="20"/>
  <c r="N1075" i="20"/>
  <c r="N1076" i="20"/>
  <c r="N1077" i="20"/>
  <c r="N1078" i="20"/>
  <c r="N1079" i="20"/>
  <c r="N1080" i="20"/>
  <c r="N1081" i="20"/>
  <c r="N1082" i="20"/>
  <c r="N1083" i="20"/>
  <c r="N1084" i="20"/>
  <c r="N1085" i="20"/>
  <c r="N1086" i="20"/>
  <c r="N1087" i="20"/>
  <c r="N1088" i="20"/>
  <c r="N1089" i="20"/>
  <c r="N1090" i="20"/>
  <c r="N1091" i="20"/>
  <c r="N1092" i="20"/>
  <c r="N1093" i="20"/>
  <c r="N1094" i="20"/>
  <c r="N1095" i="20"/>
  <c r="N1096" i="20"/>
  <c r="N1097" i="20"/>
  <c r="N1098" i="20"/>
  <c r="N1099" i="20"/>
  <c r="N1100" i="20"/>
  <c r="N1101" i="20"/>
  <c r="N1102" i="20"/>
  <c r="N1103" i="20"/>
  <c r="N1104" i="20"/>
  <c r="N1105" i="20"/>
  <c r="N1106" i="20"/>
  <c r="N1107" i="20"/>
  <c r="N1108" i="20"/>
  <c r="N1109" i="20"/>
  <c r="N1110" i="20"/>
  <c r="N1111" i="20"/>
  <c r="N1112" i="20"/>
  <c r="N1113" i="20"/>
  <c r="N1114" i="20"/>
  <c r="N1115" i="20"/>
  <c r="N1116" i="20"/>
  <c r="N1117" i="20"/>
  <c r="N1118" i="20"/>
  <c r="N1119" i="20"/>
  <c r="N1120" i="20"/>
  <c r="N1121" i="20"/>
  <c r="N1122" i="20"/>
  <c r="N1123" i="20"/>
  <c r="N1124" i="20"/>
  <c r="N1125" i="20"/>
  <c r="N1126" i="20"/>
  <c r="N1127" i="20"/>
  <c r="N1128" i="20"/>
  <c r="N1129" i="20"/>
  <c r="N1130" i="20"/>
  <c r="N1131" i="20"/>
  <c r="N1132" i="20"/>
  <c r="N1133" i="20"/>
  <c r="N1134" i="20"/>
  <c r="N1135" i="20"/>
  <c r="N1136" i="20"/>
  <c r="N1137" i="20"/>
  <c r="N1138" i="20"/>
  <c r="N1139" i="20"/>
  <c r="N1140" i="20"/>
  <c r="N1141" i="20"/>
  <c r="N1142" i="20"/>
  <c r="N1143" i="20"/>
  <c r="N1144" i="20"/>
  <c r="N1145" i="20"/>
  <c r="N1146" i="20"/>
  <c r="N1147" i="20"/>
  <c r="N1148" i="20"/>
  <c r="N1149" i="20"/>
  <c r="N1150" i="20"/>
  <c r="N1151" i="20"/>
  <c r="N1152" i="20"/>
  <c r="N1153" i="20"/>
  <c r="N1154" i="20"/>
  <c r="N1155" i="20"/>
  <c r="N1156" i="20"/>
  <c r="N1157" i="20"/>
  <c r="N1158" i="20"/>
  <c r="N1159" i="20"/>
  <c r="N1160" i="20"/>
  <c r="N1161" i="20"/>
  <c r="N1162" i="20"/>
  <c r="N1163" i="20"/>
  <c r="N1164" i="20"/>
  <c r="N1165" i="20"/>
  <c r="N1166" i="20"/>
  <c r="N1167" i="20"/>
  <c r="N1168" i="20"/>
  <c r="N1169" i="20"/>
  <c r="N1170" i="20"/>
  <c r="N1171" i="20"/>
  <c r="N1172" i="20"/>
  <c r="N1173" i="20"/>
  <c r="N1174" i="20"/>
  <c r="N1175" i="20"/>
  <c r="N1176" i="20"/>
  <c r="N1177" i="20"/>
  <c r="N1178" i="20"/>
  <c r="N1179" i="20"/>
  <c r="N1180" i="20"/>
  <c r="N1181" i="20"/>
  <c r="N1182" i="20"/>
  <c r="N1183" i="20"/>
  <c r="N1184" i="20"/>
  <c r="N1185" i="20"/>
  <c r="N1186" i="20"/>
  <c r="N1187" i="20"/>
  <c r="N1188" i="20"/>
  <c r="N1189" i="20"/>
  <c r="N1190" i="20"/>
  <c r="N1191" i="20"/>
  <c r="N1192" i="20"/>
  <c r="N1193" i="20"/>
  <c r="N1194" i="20"/>
  <c r="N1195" i="20"/>
  <c r="N1196" i="20"/>
  <c r="N1197" i="20"/>
  <c r="N1198" i="20"/>
  <c r="N1199" i="20"/>
  <c r="N1200" i="20"/>
  <c r="N1201" i="20"/>
  <c r="N1202" i="20"/>
  <c r="N1203" i="20"/>
  <c r="N1204" i="20"/>
  <c r="N1205" i="20"/>
  <c r="N1206" i="20"/>
  <c r="N1207" i="20"/>
  <c r="N1208" i="20"/>
  <c r="N1209" i="20"/>
  <c r="N1210" i="20"/>
  <c r="N1211" i="20"/>
  <c r="N1212" i="20"/>
  <c r="N1213" i="20"/>
  <c r="N1214" i="20"/>
  <c r="N1215" i="20"/>
  <c r="N1216" i="20"/>
  <c r="N1217" i="20"/>
  <c r="N1218" i="20"/>
  <c r="N1219" i="20"/>
  <c r="N1220" i="20"/>
  <c r="N1221" i="20"/>
  <c r="N1222" i="20"/>
  <c r="N1223" i="20"/>
  <c r="N1224" i="20"/>
  <c r="N1225" i="20"/>
  <c r="N1226" i="20"/>
  <c r="N1227" i="20"/>
  <c r="N1228" i="20"/>
  <c r="N1229" i="20"/>
  <c r="N1230" i="20"/>
  <c r="N1231" i="20"/>
  <c r="N1232" i="20"/>
  <c r="N1233" i="20"/>
  <c r="N1234" i="20"/>
  <c r="N1235" i="20"/>
  <c r="N1236" i="20"/>
  <c r="N1237" i="20"/>
  <c r="N1238" i="20"/>
  <c r="N1239" i="20"/>
  <c r="N1240" i="20"/>
  <c r="N1241" i="20"/>
  <c r="N1242" i="20"/>
  <c r="N1243" i="20"/>
  <c r="N1244" i="20"/>
  <c r="N1245" i="20"/>
  <c r="N1246" i="20"/>
  <c r="N1247" i="20"/>
  <c r="N1248" i="20"/>
  <c r="N1249" i="20"/>
  <c r="N1250" i="20"/>
  <c r="N1251" i="20"/>
  <c r="N1252" i="20"/>
  <c r="N1253" i="20"/>
  <c r="N1254" i="20"/>
  <c r="N1255" i="20"/>
  <c r="N1256" i="20"/>
  <c r="N1257" i="20"/>
  <c r="N1258" i="20"/>
  <c r="N1259" i="20"/>
  <c r="N1260" i="20"/>
  <c r="N1261" i="20"/>
  <c r="N1262" i="20"/>
  <c r="N1263" i="20"/>
  <c r="N1264" i="20"/>
  <c r="N1265" i="20"/>
  <c r="N1266" i="20"/>
  <c r="N1267" i="20"/>
  <c r="N1268" i="20"/>
  <c r="N1269" i="20"/>
  <c r="N1270" i="20"/>
  <c r="N1271" i="20"/>
  <c r="N1272" i="20"/>
  <c r="N1273" i="20"/>
  <c r="N1274" i="20"/>
  <c r="N1275" i="20"/>
  <c r="N1276" i="20"/>
  <c r="N1277" i="20"/>
  <c r="N1278" i="20"/>
  <c r="N1279" i="20"/>
  <c r="N1280" i="20"/>
  <c r="N1281" i="20"/>
  <c r="N1282" i="20"/>
  <c r="N1283" i="20"/>
  <c r="N1284" i="20"/>
  <c r="N1285" i="20"/>
  <c r="N1286" i="20"/>
  <c r="N1287" i="20"/>
  <c r="N1288" i="20"/>
  <c r="N1289" i="20"/>
  <c r="N1290" i="20"/>
  <c r="N1291" i="20"/>
  <c r="N1292" i="20"/>
  <c r="N1293" i="20"/>
  <c r="N1294" i="20"/>
  <c r="N1295" i="20"/>
  <c r="N1296" i="20"/>
  <c r="N1297" i="20"/>
  <c r="N1298" i="20"/>
  <c r="N1299" i="20"/>
  <c r="N1300" i="20"/>
  <c r="N1301" i="20"/>
  <c r="N1302" i="20"/>
  <c r="N1303" i="20"/>
  <c r="N1304" i="20"/>
  <c r="N1305" i="20"/>
  <c r="N1306" i="20"/>
  <c r="N1307" i="20"/>
  <c r="N1308" i="20"/>
  <c r="N1309" i="20"/>
  <c r="N1310" i="20"/>
  <c r="N1311" i="20"/>
  <c r="N1312" i="20"/>
  <c r="N1313" i="20"/>
  <c r="N1314" i="20"/>
  <c r="N1315" i="20"/>
  <c r="N1316" i="20"/>
  <c r="N1317" i="20"/>
  <c r="N1318" i="20"/>
  <c r="N1319" i="20"/>
  <c r="N1320" i="20"/>
  <c r="N1321" i="20"/>
  <c r="N1322" i="20"/>
  <c r="N1323" i="20"/>
  <c r="N1324" i="20"/>
  <c r="N1325" i="20"/>
  <c r="N1326" i="20"/>
  <c r="N1327" i="20"/>
  <c r="N1328" i="20"/>
  <c r="N1329" i="20"/>
  <c r="N1330" i="20"/>
  <c r="N1331" i="20"/>
  <c r="N1332" i="20"/>
  <c r="N1333" i="20"/>
  <c r="N1334" i="20"/>
  <c r="N1335" i="20"/>
  <c r="N1336" i="20"/>
  <c r="N1337" i="20"/>
  <c r="N1338" i="20"/>
  <c r="N1339" i="20"/>
  <c r="N1340" i="20"/>
  <c r="N1341" i="20"/>
  <c r="N1342" i="20"/>
  <c r="N1343" i="20"/>
  <c r="N1344" i="20"/>
  <c r="N1345" i="20"/>
  <c r="N1346" i="20"/>
  <c r="N1347" i="20"/>
  <c r="N1348" i="20"/>
  <c r="N1349" i="20"/>
  <c r="N1350" i="20"/>
  <c r="N1351" i="20"/>
  <c r="N1352" i="20"/>
  <c r="N1353" i="20"/>
  <c r="N1354" i="20"/>
  <c r="N1355" i="20"/>
  <c r="N1356" i="20"/>
  <c r="N1357" i="20"/>
  <c r="N1358" i="20"/>
  <c r="N1359" i="20"/>
  <c r="N1360" i="20"/>
  <c r="N1361" i="20"/>
  <c r="N1362" i="20"/>
  <c r="N1363" i="20"/>
  <c r="N1364" i="20"/>
  <c r="N1365" i="20"/>
  <c r="N1366" i="20"/>
  <c r="N1367" i="20"/>
  <c r="N1368" i="20"/>
  <c r="N1369" i="20"/>
  <c r="N1370" i="20"/>
  <c r="N1371" i="20"/>
  <c r="N1372" i="20"/>
  <c r="N1373" i="20"/>
  <c r="N1374" i="20"/>
  <c r="N1375" i="20"/>
  <c r="N1376" i="20"/>
  <c r="N1377" i="20"/>
  <c r="N1378" i="20"/>
  <c r="N1379" i="20"/>
  <c r="N1380" i="20"/>
  <c r="N1381" i="20"/>
  <c r="N1382" i="20"/>
  <c r="N1383" i="20"/>
  <c r="N1384" i="20"/>
  <c r="N1385" i="20"/>
  <c r="N1386" i="20"/>
  <c r="N1387" i="20"/>
  <c r="N1388" i="20"/>
  <c r="N1389" i="20"/>
  <c r="N1390" i="20"/>
  <c r="N1391" i="20"/>
  <c r="N1392" i="20"/>
  <c r="N1393" i="20"/>
  <c r="N1394" i="20"/>
  <c r="N1395" i="20"/>
  <c r="N1396" i="20"/>
  <c r="N1397" i="20"/>
  <c r="N1398" i="20"/>
  <c r="N1399" i="20"/>
  <c r="N1400" i="20"/>
  <c r="N1401" i="20"/>
  <c r="N1402" i="20"/>
  <c r="N1403" i="20"/>
  <c r="N1404" i="20"/>
  <c r="N1405" i="20"/>
  <c r="N1406" i="20"/>
  <c r="N1407" i="20"/>
  <c r="N1408" i="20"/>
  <c r="N1409" i="20"/>
  <c r="N1410" i="20"/>
  <c r="N1411" i="20"/>
  <c r="N1412" i="20"/>
  <c r="N1413" i="20"/>
  <c r="N1414" i="20"/>
  <c r="N1415" i="20"/>
  <c r="N1416" i="20"/>
  <c r="N1417" i="20"/>
  <c r="N1418" i="20"/>
  <c r="N1419" i="20"/>
  <c r="N1420" i="20"/>
  <c r="N1421" i="20"/>
  <c r="N1422" i="20"/>
  <c r="N1423" i="20"/>
  <c r="N1424" i="20"/>
  <c r="N1425" i="20"/>
  <c r="N1426" i="20"/>
  <c r="N1427" i="20"/>
  <c r="N1428" i="20"/>
  <c r="N1429" i="20"/>
  <c r="N1430" i="20"/>
  <c r="N1431" i="20"/>
  <c r="N1432" i="20"/>
  <c r="N1433" i="20"/>
  <c r="N1434" i="20"/>
  <c r="N1435" i="20"/>
  <c r="N1436" i="20"/>
  <c r="N1437" i="20"/>
  <c r="N1438" i="20"/>
  <c r="N1439" i="20"/>
  <c r="N1440" i="20"/>
  <c r="N1441" i="20"/>
  <c r="N1442" i="20"/>
  <c r="N1443" i="20"/>
  <c r="N1444" i="20"/>
  <c r="N1445" i="20"/>
  <c r="N1446" i="20"/>
  <c r="N1447" i="20"/>
  <c r="N1448" i="20"/>
  <c r="N1449" i="20"/>
  <c r="N1450" i="20"/>
  <c r="N1451" i="20"/>
  <c r="N1452" i="20"/>
  <c r="N1453" i="20"/>
  <c r="N1454" i="20"/>
  <c r="N1455" i="20"/>
  <c r="N1456" i="20"/>
  <c r="N1457" i="20"/>
  <c r="N1458" i="20"/>
  <c r="N1459" i="20"/>
  <c r="N1460" i="20"/>
  <c r="N1461" i="20"/>
  <c r="N1462" i="20"/>
  <c r="N1463" i="20"/>
  <c r="N1464" i="20"/>
  <c r="N1465" i="20"/>
  <c r="N1466" i="20"/>
  <c r="N1467" i="20"/>
  <c r="N1468" i="20"/>
  <c r="N1469" i="20"/>
  <c r="N1470" i="20"/>
  <c r="N1471" i="20"/>
  <c r="N1472" i="20"/>
  <c r="N1473" i="20"/>
  <c r="N1474" i="20"/>
  <c r="N1475" i="20"/>
  <c r="N1476" i="20"/>
  <c r="N1477" i="20"/>
  <c r="N1478" i="20"/>
  <c r="N1479" i="20"/>
  <c r="N1480" i="20"/>
  <c r="N1481" i="20"/>
  <c r="N1482" i="20"/>
  <c r="N1483" i="20"/>
  <c r="N1484" i="20"/>
  <c r="N1485" i="20"/>
  <c r="N1486" i="20"/>
  <c r="N1487" i="20"/>
  <c r="N1488" i="20"/>
  <c r="N1489" i="20"/>
  <c r="N1490" i="20"/>
  <c r="N1491" i="20"/>
  <c r="N1492" i="20"/>
  <c r="N1493" i="20"/>
  <c r="N1494" i="20"/>
  <c r="N1495" i="20"/>
  <c r="N1496" i="20"/>
  <c r="N1497" i="20"/>
  <c r="N1498" i="20"/>
  <c r="N1499" i="20"/>
  <c r="N1500" i="20"/>
  <c r="N1501" i="20"/>
  <c r="N1502" i="20"/>
  <c r="N1503" i="20"/>
  <c r="N1504" i="20"/>
  <c r="N1505" i="20"/>
  <c r="N1506" i="20"/>
  <c r="N1507" i="20"/>
  <c r="N1508" i="20"/>
  <c r="N1509" i="20"/>
  <c r="N1510" i="20"/>
  <c r="N1511" i="20"/>
  <c r="N1512" i="20"/>
  <c r="N1513" i="20"/>
  <c r="N1514" i="20"/>
  <c r="N1515" i="20"/>
  <c r="N1516" i="20"/>
  <c r="N1517" i="20"/>
  <c r="N1518" i="20"/>
  <c r="N1519" i="20"/>
  <c r="N1520" i="20"/>
  <c r="N1521" i="20"/>
  <c r="N1522" i="20"/>
  <c r="N1523" i="20"/>
  <c r="N1524" i="20"/>
  <c r="N1525" i="20"/>
  <c r="N1526" i="20"/>
  <c r="N1527" i="20"/>
  <c r="N1528" i="20"/>
  <c r="N1529" i="20"/>
  <c r="N1530" i="20"/>
  <c r="N1531" i="20"/>
  <c r="N1532" i="20"/>
  <c r="N1533" i="20"/>
  <c r="N1534" i="20"/>
  <c r="N1535" i="20"/>
  <c r="N1536" i="20"/>
  <c r="N1537" i="20"/>
  <c r="N1538" i="20"/>
  <c r="N1539" i="20"/>
  <c r="N1540" i="20"/>
  <c r="N1541" i="20"/>
  <c r="N1542" i="20"/>
  <c r="N1543" i="20"/>
  <c r="N1544" i="20"/>
  <c r="N1545" i="20"/>
  <c r="N1546" i="20"/>
  <c r="N1547" i="20"/>
  <c r="N1548" i="20"/>
  <c r="N1549" i="20"/>
  <c r="N1550" i="20"/>
  <c r="N1551" i="20"/>
  <c r="N1552" i="20"/>
  <c r="N1553" i="20"/>
  <c r="N1554" i="20"/>
  <c r="N1555" i="20"/>
  <c r="N1556" i="20"/>
  <c r="N1557" i="20"/>
  <c r="N1558" i="20"/>
  <c r="N1559" i="20"/>
  <c r="N1560" i="20"/>
  <c r="N1561" i="20"/>
  <c r="N1562" i="20"/>
  <c r="N1563" i="20"/>
  <c r="N1564" i="20"/>
  <c r="N1565" i="20"/>
  <c r="N1566" i="20"/>
  <c r="N1567" i="20"/>
  <c r="N1568" i="20"/>
  <c r="N1569" i="20"/>
  <c r="N1570" i="20"/>
  <c r="N1571" i="20"/>
  <c r="N1572" i="20"/>
  <c r="N1573" i="20"/>
  <c r="N1574" i="20"/>
  <c r="N1575" i="20"/>
  <c r="N1576" i="20"/>
  <c r="N1577" i="20"/>
  <c r="N1578" i="20"/>
  <c r="N1579" i="20"/>
  <c r="N1580" i="20"/>
  <c r="N1581" i="20"/>
  <c r="N1582" i="20"/>
  <c r="N1583" i="20"/>
  <c r="N1584" i="20"/>
  <c r="N1585" i="20"/>
  <c r="N1586" i="20"/>
  <c r="N1587" i="20"/>
  <c r="N1588" i="20"/>
  <c r="N1589" i="20"/>
  <c r="N1590" i="20"/>
  <c r="N1591" i="20"/>
  <c r="N1592" i="20"/>
  <c r="N1593" i="20"/>
  <c r="N1594" i="20"/>
  <c r="N1595" i="20"/>
  <c r="N1596" i="20"/>
  <c r="N1597" i="20"/>
  <c r="N1598" i="20"/>
  <c r="N1599" i="20"/>
  <c r="N1600" i="20"/>
  <c r="N1601" i="20"/>
  <c r="N1602" i="20"/>
  <c r="N1603" i="20"/>
  <c r="N1604" i="20"/>
  <c r="N1605" i="20"/>
  <c r="N1606" i="20"/>
  <c r="N1607" i="20"/>
  <c r="N1608" i="20"/>
  <c r="N1609" i="20"/>
  <c r="N1610" i="20"/>
  <c r="N1611" i="20"/>
  <c r="N1612" i="20"/>
  <c r="N1613" i="20"/>
  <c r="N1614" i="20"/>
  <c r="N1615" i="20"/>
  <c r="N1616" i="20"/>
  <c r="N1617" i="20"/>
  <c r="N1618" i="20"/>
  <c r="N1619" i="20"/>
  <c r="N1620" i="20"/>
  <c r="N1621" i="20"/>
  <c r="N1622" i="20"/>
  <c r="N1623" i="20"/>
  <c r="N1624" i="20"/>
  <c r="N1625" i="20"/>
  <c r="N1626" i="20"/>
  <c r="N1627" i="20"/>
  <c r="N1628" i="20"/>
  <c r="N1629" i="20"/>
  <c r="N1630" i="20"/>
  <c r="N1631" i="20"/>
  <c r="N1632" i="20"/>
  <c r="N1633" i="20"/>
  <c r="N1634" i="20"/>
  <c r="N1635" i="20"/>
  <c r="N1636" i="20"/>
  <c r="N1637" i="20"/>
  <c r="N1638" i="20"/>
  <c r="N1639" i="20"/>
  <c r="N1640" i="20"/>
  <c r="N1641" i="20"/>
  <c r="N1642" i="20"/>
  <c r="N1643" i="20"/>
  <c r="N1644" i="20"/>
  <c r="N1645" i="20"/>
  <c r="N1646" i="20"/>
  <c r="N1647" i="20"/>
  <c r="N1648" i="20"/>
  <c r="N1649" i="20"/>
  <c r="N1650" i="20"/>
  <c r="N1651" i="20"/>
  <c r="N1652" i="20"/>
  <c r="N1653" i="20"/>
  <c r="N1654" i="20"/>
  <c r="N1655" i="20"/>
  <c r="N1656" i="20"/>
  <c r="N1657" i="20"/>
  <c r="N1658" i="20"/>
  <c r="N1659" i="20"/>
  <c r="N1660" i="20"/>
  <c r="N1661" i="20"/>
  <c r="N1662" i="20"/>
  <c r="N1663" i="20"/>
  <c r="N1664" i="20"/>
  <c r="N1665" i="20"/>
  <c r="N1666" i="20"/>
  <c r="N1667" i="20"/>
  <c r="N1668" i="20"/>
  <c r="N1669" i="20"/>
  <c r="N1670" i="20"/>
  <c r="N1671" i="20"/>
  <c r="N1672" i="20"/>
  <c r="N1673" i="20"/>
  <c r="N1674" i="20"/>
  <c r="N1675" i="20"/>
  <c r="N1676" i="20"/>
  <c r="N1677" i="20"/>
  <c r="N1678" i="20"/>
  <c r="N1679" i="20"/>
  <c r="N1680" i="20"/>
  <c r="N1681" i="20"/>
  <c r="N1682" i="20"/>
  <c r="N1683" i="20"/>
  <c r="N1684" i="20"/>
  <c r="N1685" i="20"/>
  <c r="N1686" i="20"/>
  <c r="N1687" i="20"/>
  <c r="N1688" i="20"/>
  <c r="N1689" i="20"/>
  <c r="N1690" i="20"/>
  <c r="N1691" i="20"/>
  <c r="N1692" i="20"/>
  <c r="N1693" i="20"/>
  <c r="N1694" i="20"/>
  <c r="N1695" i="20"/>
  <c r="N1696" i="20"/>
  <c r="N1697" i="20"/>
  <c r="N1698" i="20"/>
  <c r="N1699" i="20"/>
  <c r="N1700" i="20"/>
  <c r="N1701" i="20"/>
  <c r="N1702" i="20"/>
  <c r="N1703" i="20"/>
  <c r="N1704" i="20"/>
  <c r="N1705" i="20"/>
  <c r="N1706" i="20"/>
  <c r="N1707" i="20"/>
  <c r="N1708" i="20"/>
  <c r="N1709" i="20"/>
  <c r="N1710" i="20"/>
  <c r="N1711" i="20"/>
  <c r="N1712" i="20"/>
  <c r="N1713" i="20"/>
  <c r="N1714" i="20"/>
  <c r="N1715" i="20"/>
  <c r="N1716" i="20"/>
  <c r="N1717" i="20"/>
  <c r="N1718" i="20"/>
  <c r="N1719" i="20"/>
  <c r="N1720" i="20"/>
  <c r="N1721" i="20"/>
  <c r="N1722" i="20"/>
  <c r="N1723" i="20"/>
  <c r="N1724" i="20"/>
  <c r="N1725" i="20"/>
  <c r="N1726" i="20"/>
  <c r="N1727" i="20"/>
  <c r="N1728" i="20"/>
  <c r="N1729" i="20"/>
  <c r="N1730" i="20"/>
  <c r="N1731" i="20"/>
  <c r="N1732" i="20"/>
  <c r="N1733" i="20"/>
  <c r="N1734" i="20"/>
  <c r="N1735" i="20"/>
  <c r="N1736" i="20"/>
  <c r="N1737" i="20"/>
  <c r="N1738" i="20"/>
  <c r="N1739" i="20"/>
  <c r="N1740" i="20"/>
  <c r="N1741" i="20"/>
  <c r="N1742" i="20"/>
  <c r="N1743" i="20"/>
  <c r="N1744" i="20"/>
  <c r="N1745" i="20"/>
  <c r="N1746" i="20"/>
  <c r="N1747" i="20"/>
  <c r="N1748" i="20"/>
  <c r="N1749" i="20"/>
  <c r="N1750" i="20"/>
  <c r="N1751" i="20"/>
  <c r="N1752" i="20"/>
  <c r="N1753" i="20"/>
  <c r="N1754" i="20"/>
  <c r="N1755" i="20"/>
  <c r="N1756" i="20"/>
  <c r="N1757" i="20"/>
  <c r="N1758" i="20"/>
  <c r="N1759" i="20"/>
  <c r="N1760" i="20"/>
  <c r="N1761" i="20"/>
  <c r="N1762" i="20"/>
  <c r="N1763" i="20"/>
  <c r="N1764" i="20"/>
  <c r="N1765" i="20"/>
  <c r="N1766" i="20"/>
  <c r="N1767" i="20"/>
  <c r="N1768" i="20"/>
  <c r="N1769" i="20"/>
  <c r="N1770" i="20"/>
  <c r="N1771" i="20"/>
  <c r="N1772" i="20"/>
  <c r="N1773" i="20"/>
  <c r="N1774" i="20"/>
  <c r="N1775" i="20"/>
  <c r="N1776" i="20"/>
  <c r="N1777" i="20"/>
  <c r="N1778" i="20"/>
  <c r="N1779" i="20"/>
  <c r="N1780" i="20"/>
  <c r="N1781" i="20"/>
  <c r="N1782" i="20"/>
  <c r="N1783" i="20"/>
  <c r="N1784" i="20"/>
  <c r="O2" i="20"/>
  <c r="O3" i="20"/>
  <c r="O4" i="20"/>
  <c r="O5" i="20"/>
  <c r="O6" i="20"/>
  <c r="O7" i="20"/>
  <c r="O8" i="20"/>
  <c r="O9" i="20"/>
  <c r="O10" i="20"/>
  <c r="O11" i="20"/>
  <c r="O12" i="20"/>
  <c r="O13" i="20"/>
  <c r="O14" i="20"/>
  <c r="O15" i="20"/>
  <c r="O16" i="20"/>
  <c r="O17" i="20"/>
  <c r="O18" i="20"/>
  <c r="O19" i="20"/>
  <c r="O20" i="20"/>
  <c r="O21" i="20"/>
  <c r="O22" i="20"/>
  <c r="O23" i="20"/>
  <c r="O24" i="20"/>
  <c r="O25" i="20"/>
  <c r="O26" i="20"/>
  <c r="O27" i="20"/>
  <c r="O28" i="20"/>
  <c r="O29" i="20"/>
  <c r="O30" i="20"/>
  <c r="O31" i="20"/>
  <c r="O32" i="20"/>
  <c r="O33" i="20"/>
  <c r="O34" i="20"/>
  <c r="O35" i="20"/>
  <c r="O36" i="20"/>
  <c r="O37" i="20"/>
  <c r="O38" i="20"/>
  <c r="O39" i="20"/>
  <c r="O40" i="20"/>
  <c r="O41" i="20"/>
  <c r="O42" i="20"/>
  <c r="O43" i="20"/>
  <c r="O44" i="20"/>
  <c r="O45" i="20"/>
  <c r="O46" i="20"/>
  <c r="O47" i="20"/>
  <c r="O48" i="20"/>
  <c r="O49" i="20"/>
  <c r="O50" i="20"/>
  <c r="O51" i="20"/>
  <c r="O52" i="20"/>
  <c r="O53" i="20"/>
  <c r="O54" i="20"/>
  <c r="O55" i="20"/>
  <c r="O56" i="20"/>
  <c r="O57" i="20"/>
  <c r="O58" i="20"/>
  <c r="O59" i="20"/>
  <c r="O60" i="20"/>
  <c r="O61" i="20"/>
  <c r="O62" i="20"/>
  <c r="O63" i="20"/>
  <c r="O64" i="20"/>
  <c r="O65" i="20"/>
  <c r="O66" i="20"/>
  <c r="O67" i="20"/>
  <c r="O68" i="20"/>
  <c r="O69" i="20"/>
  <c r="O70" i="20"/>
  <c r="O71" i="20"/>
  <c r="O72" i="20"/>
  <c r="O73" i="20"/>
  <c r="O74" i="20"/>
  <c r="O75" i="20"/>
  <c r="O76" i="20"/>
  <c r="O77" i="20"/>
  <c r="O78" i="20"/>
  <c r="O79" i="20"/>
  <c r="O80" i="20"/>
  <c r="O81" i="20"/>
  <c r="O82" i="20"/>
  <c r="O83" i="20"/>
  <c r="O84" i="20"/>
  <c r="O85" i="20"/>
  <c r="O86" i="20"/>
  <c r="O87" i="20"/>
  <c r="O88" i="20"/>
  <c r="O89" i="20"/>
  <c r="O90" i="20"/>
  <c r="O91" i="20"/>
  <c r="O92" i="20"/>
  <c r="O93" i="20"/>
  <c r="O94" i="20"/>
  <c r="O95" i="20"/>
  <c r="O96" i="20"/>
  <c r="O97" i="20"/>
  <c r="O98" i="20"/>
  <c r="O99" i="20"/>
  <c r="O100" i="20"/>
  <c r="O101" i="20"/>
  <c r="O102" i="20"/>
  <c r="O103" i="20"/>
  <c r="O104" i="20"/>
  <c r="O105" i="20"/>
  <c r="O106" i="20"/>
  <c r="O107" i="20"/>
  <c r="O108" i="20"/>
  <c r="O109" i="20"/>
  <c r="O110" i="20"/>
  <c r="O111" i="20"/>
  <c r="O112" i="20"/>
  <c r="O113" i="20"/>
  <c r="O114" i="20"/>
  <c r="O115" i="20"/>
  <c r="O116" i="20"/>
  <c r="O117" i="20"/>
  <c r="O118" i="20"/>
  <c r="O119" i="20"/>
  <c r="O120" i="20"/>
  <c r="O121" i="20"/>
  <c r="O122" i="20"/>
  <c r="O123" i="20"/>
  <c r="O124" i="20"/>
  <c r="O125" i="20"/>
  <c r="O126" i="20"/>
  <c r="O127" i="20"/>
  <c r="O128" i="20"/>
  <c r="O129" i="20"/>
  <c r="O130" i="20"/>
  <c r="O131" i="20"/>
  <c r="O132" i="20"/>
  <c r="O133" i="20"/>
  <c r="O134" i="20"/>
  <c r="O135" i="20"/>
  <c r="O136" i="20"/>
  <c r="O137" i="20"/>
  <c r="O138" i="20"/>
  <c r="O139" i="20"/>
  <c r="O140" i="20"/>
  <c r="O141" i="20"/>
  <c r="O142" i="20"/>
  <c r="O143" i="20"/>
  <c r="O144" i="20"/>
  <c r="O145" i="20"/>
  <c r="O146" i="20"/>
  <c r="O147" i="20"/>
  <c r="O148" i="20"/>
  <c r="O149" i="20"/>
  <c r="O150" i="20"/>
  <c r="O151" i="20"/>
  <c r="O152" i="20"/>
  <c r="O153" i="20"/>
  <c r="O154" i="20"/>
  <c r="O155" i="20"/>
  <c r="O156" i="20"/>
  <c r="O157" i="20"/>
  <c r="O158" i="20"/>
  <c r="O159" i="20"/>
  <c r="O160" i="20"/>
  <c r="O161" i="20"/>
  <c r="O162" i="20"/>
  <c r="O163" i="20"/>
  <c r="O164" i="20"/>
  <c r="O165" i="20"/>
  <c r="O166" i="20"/>
  <c r="O167" i="20"/>
  <c r="O168" i="20"/>
  <c r="O169" i="20"/>
  <c r="O170" i="20"/>
  <c r="O171" i="20"/>
  <c r="O172" i="20"/>
  <c r="O173" i="20"/>
  <c r="O174" i="20"/>
  <c r="O175" i="20"/>
  <c r="O176" i="20"/>
  <c r="O177" i="20"/>
  <c r="O178" i="20"/>
  <c r="O179" i="20"/>
  <c r="O180" i="20"/>
  <c r="O181" i="20"/>
  <c r="O182" i="20"/>
  <c r="O183" i="20"/>
  <c r="O184" i="20"/>
  <c r="O185" i="20"/>
  <c r="O186" i="20"/>
  <c r="O187" i="20"/>
  <c r="O188" i="20"/>
  <c r="O189" i="20"/>
  <c r="O190" i="20"/>
  <c r="O191" i="20"/>
  <c r="O192" i="20"/>
  <c r="O193" i="20"/>
  <c r="O194" i="20"/>
  <c r="O195" i="20"/>
  <c r="O196" i="20"/>
  <c r="O197" i="20"/>
  <c r="O198" i="20"/>
  <c r="O199" i="20"/>
  <c r="O200" i="20"/>
  <c r="O201" i="20"/>
  <c r="O202" i="20"/>
  <c r="O203" i="20"/>
  <c r="O204" i="20"/>
  <c r="O205" i="20"/>
  <c r="O206" i="20"/>
  <c r="O207" i="20"/>
  <c r="O208" i="20"/>
  <c r="O209" i="20"/>
  <c r="O210" i="20"/>
  <c r="O211" i="20"/>
  <c r="O212" i="20"/>
  <c r="O213" i="20"/>
  <c r="O214" i="20"/>
  <c r="O215" i="20"/>
  <c r="O216" i="20"/>
  <c r="O217" i="20"/>
  <c r="O218" i="20"/>
  <c r="O219" i="20"/>
  <c r="O220" i="20"/>
  <c r="O221" i="20"/>
  <c r="O222" i="20"/>
  <c r="O223" i="20"/>
  <c r="O224" i="20"/>
  <c r="O225" i="20"/>
  <c r="O226" i="20"/>
  <c r="O227" i="20"/>
  <c r="O228" i="20"/>
  <c r="O229" i="20"/>
  <c r="O230" i="20"/>
  <c r="O231" i="20"/>
  <c r="O232" i="20"/>
  <c r="O233" i="20"/>
  <c r="O234" i="20"/>
  <c r="O235" i="20"/>
  <c r="O236" i="20"/>
  <c r="O237" i="20"/>
  <c r="O238" i="20"/>
  <c r="O239" i="20"/>
  <c r="O240" i="20"/>
  <c r="O241" i="20"/>
  <c r="O242" i="20"/>
  <c r="O243" i="20"/>
  <c r="O244" i="20"/>
  <c r="O245" i="20"/>
  <c r="O246" i="20"/>
  <c r="O247" i="20"/>
  <c r="O248" i="20"/>
  <c r="O249" i="20"/>
  <c r="O250" i="20"/>
  <c r="O251" i="20"/>
  <c r="O252" i="20"/>
  <c r="O253" i="20"/>
  <c r="O254" i="20"/>
  <c r="O255" i="20"/>
  <c r="O256" i="20"/>
  <c r="O257" i="20"/>
  <c r="O258" i="20"/>
  <c r="O259" i="20"/>
  <c r="O260" i="20"/>
  <c r="O261" i="20"/>
  <c r="O262" i="20"/>
  <c r="O263" i="20"/>
  <c r="O264" i="20"/>
  <c r="O265" i="20"/>
  <c r="O266" i="20"/>
  <c r="O267" i="20"/>
  <c r="O268" i="20"/>
  <c r="O269" i="20"/>
  <c r="O270" i="20"/>
  <c r="O271" i="20"/>
  <c r="O272" i="20"/>
  <c r="O273" i="20"/>
  <c r="O274" i="20"/>
  <c r="O275" i="20"/>
  <c r="O276" i="20"/>
  <c r="O277" i="20"/>
  <c r="O278" i="20"/>
  <c r="O279" i="20"/>
  <c r="O280" i="20"/>
  <c r="O281" i="20"/>
  <c r="O282" i="20"/>
  <c r="O283" i="20"/>
  <c r="O284" i="20"/>
  <c r="O285" i="20"/>
  <c r="O286" i="20"/>
  <c r="O287" i="20"/>
  <c r="O288" i="20"/>
  <c r="O289" i="20"/>
  <c r="O290" i="20"/>
  <c r="O291" i="20"/>
  <c r="O292" i="20"/>
  <c r="O293" i="20"/>
  <c r="O294" i="20"/>
  <c r="O295" i="20"/>
  <c r="O296" i="20"/>
  <c r="O297" i="20"/>
  <c r="O298" i="20"/>
  <c r="O299" i="20"/>
  <c r="O300" i="20"/>
  <c r="O301" i="20"/>
  <c r="O302" i="20"/>
  <c r="O303" i="20"/>
  <c r="O304" i="20"/>
  <c r="O305" i="20"/>
  <c r="O306" i="20"/>
  <c r="O307" i="20"/>
  <c r="O308" i="20"/>
  <c r="O309" i="20"/>
  <c r="O310" i="20"/>
  <c r="O311" i="20"/>
  <c r="O312" i="20"/>
  <c r="O313" i="20"/>
  <c r="O314" i="20"/>
  <c r="O315" i="20"/>
  <c r="O316" i="20"/>
  <c r="O317" i="20"/>
  <c r="O318" i="20"/>
  <c r="O319" i="20"/>
  <c r="O320" i="20"/>
  <c r="O321" i="20"/>
  <c r="O322" i="20"/>
  <c r="O323" i="20"/>
  <c r="O324" i="20"/>
  <c r="O325" i="20"/>
  <c r="O326" i="20"/>
  <c r="O327" i="20"/>
  <c r="O328" i="20"/>
  <c r="O329" i="20"/>
  <c r="O330" i="20"/>
  <c r="O331" i="20"/>
  <c r="O332" i="20"/>
  <c r="O333" i="20"/>
  <c r="O334" i="20"/>
  <c r="O335" i="20"/>
  <c r="O336" i="20"/>
  <c r="O337" i="20"/>
  <c r="O338" i="20"/>
  <c r="O339" i="20"/>
  <c r="O340" i="20"/>
  <c r="O341" i="20"/>
  <c r="O342" i="20"/>
  <c r="O343" i="20"/>
  <c r="O344" i="20"/>
  <c r="O345" i="20"/>
  <c r="O346" i="20"/>
  <c r="O347" i="20"/>
  <c r="O348" i="20"/>
  <c r="O349" i="20"/>
  <c r="O350" i="20"/>
  <c r="O351" i="20"/>
  <c r="O352" i="20"/>
  <c r="O353" i="20"/>
  <c r="O354" i="20"/>
  <c r="O355" i="20"/>
  <c r="O356" i="20"/>
  <c r="O357" i="20"/>
  <c r="O358" i="20"/>
  <c r="O359" i="20"/>
  <c r="O360" i="20"/>
  <c r="O361" i="20"/>
  <c r="O362" i="20"/>
  <c r="O363" i="20"/>
  <c r="O364" i="20"/>
  <c r="O365" i="20"/>
  <c r="O366" i="20"/>
  <c r="O367" i="20"/>
  <c r="O368" i="20"/>
  <c r="O369" i="20"/>
  <c r="O370" i="20"/>
  <c r="O371" i="20"/>
  <c r="O372" i="20"/>
  <c r="O373" i="20"/>
  <c r="O374" i="20"/>
  <c r="O375" i="20"/>
  <c r="O376" i="20"/>
  <c r="O377" i="20"/>
  <c r="O378" i="20"/>
  <c r="O379" i="20"/>
  <c r="O380" i="20"/>
  <c r="O381" i="20"/>
  <c r="O382" i="20"/>
  <c r="O383" i="20"/>
  <c r="O384" i="20"/>
  <c r="O385" i="20"/>
  <c r="O386" i="20"/>
  <c r="O387" i="20"/>
  <c r="O388" i="20"/>
  <c r="O389" i="20"/>
  <c r="O390" i="20"/>
  <c r="O391" i="20"/>
  <c r="O392" i="20"/>
  <c r="O393" i="20"/>
  <c r="O394" i="20"/>
  <c r="O395" i="20"/>
  <c r="O396" i="20"/>
  <c r="O397" i="20"/>
  <c r="O398" i="20"/>
  <c r="O399" i="20"/>
  <c r="O400" i="20"/>
  <c r="O401" i="20"/>
  <c r="O402" i="20"/>
  <c r="O403" i="20"/>
  <c r="O404" i="20"/>
  <c r="O405" i="20"/>
  <c r="O406" i="20"/>
  <c r="O407" i="20"/>
  <c r="O408" i="20"/>
  <c r="O409" i="20"/>
  <c r="O410" i="20"/>
  <c r="O411" i="20"/>
  <c r="O412" i="20"/>
  <c r="O413" i="20"/>
  <c r="O414" i="20"/>
  <c r="O415" i="20"/>
  <c r="O416" i="20"/>
  <c r="O417" i="20"/>
  <c r="O418" i="20"/>
  <c r="O419" i="20"/>
  <c r="O420" i="20"/>
  <c r="O421" i="20"/>
  <c r="O422" i="20"/>
  <c r="O423" i="20"/>
  <c r="O424" i="20"/>
  <c r="O425" i="20"/>
  <c r="O426" i="20"/>
  <c r="O427" i="20"/>
  <c r="O428" i="20"/>
  <c r="O429" i="20"/>
  <c r="O430" i="20"/>
  <c r="O431" i="20"/>
  <c r="O432" i="20"/>
  <c r="O433" i="20"/>
  <c r="O434" i="20"/>
  <c r="O435" i="20"/>
  <c r="O436" i="20"/>
  <c r="O437" i="20"/>
  <c r="O438" i="20"/>
  <c r="O439" i="20"/>
  <c r="O440" i="20"/>
  <c r="O441" i="20"/>
  <c r="O442" i="20"/>
  <c r="O443" i="20"/>
  <c r="O444" i="20"/>
  <c r="O445" i="20"/>
  <c r="O446" i="20"/>
  <c r="O447" i="20"/>
  <c r="O448" i="20"/>
  <c r="O449" i="20"/>
  <c r="O450" i="20"/>
  <c r="O451" i="20"/>
  <c r="O452" i="20"/>
  <c r="O453" i="20"/>
  <c r="O454" i="20"/>
  <c r="O455" i="20"/>
  <c r="O456" i="20"/>
  <c r="O457" i="20"/>
  <c r="O458" i="20"/>
  <c r="O459" i="20"/>
  <c r="O460" i="20"/>
  <c r="O461" i="20"/>
  <c r="O462" i="20"/>
  <c r="O463" i="20"/>
  <c r="O464" i="20"/>
  <c r="O465" i="20"/>
  <c r="O466" i="20"/>
  <c r="O467" i="20"/>
  <c r="O468" i="20"/>
  <c r="O469" i="20"/>
  <c r="O470" i="20"/>
  <c r="O471" i="20"/>
  <c r="O472" i="20"/>
  <c r="O473" i="20"/>
  <c r="O474" i="20"/>
  <c r="O475" i="20"/>
  <c r="O476" i="20"/>
  <c r="O477" i="20"/>
  <c r="O478" i="20"/>
  <c r="O479" i="20"/>
  <c r="O480" i="20"/>
  <c r="O481" i="20"/>
  <c r="O482" i="20"/>
  <c r="O483" i="20"/>
  <c r="O484" i="20"/>
  <c r="O485" i="20"/>
  <c r="O486" i="20"/>
  <c r="O487" i="20"/>
  <c r="O488" i="20"/>
  <c r="O489" i="20"/>
  <c r="O490" i="20"/>
  <c r="O491" i="20"/>
  <c r="O492" i="20"/>
  <c r="O493" i="20"/>
  <c r="O494" i="20"/>
  <c r="O495" i="20"/>
  <c r="O496" i="20"/>
  <c r="O497" i="20"/>
  <c r="O498" i="20"/>
  <c r="O499" i="20"/>
  <c r="O500" i="20"/>
  <c r="O501" i="20"/>
  <c r="O502" i="20"/>
  <c r="O503" i="20"/>
  <c r="O504" i="20"/>
  <c r="O505" i="20"/>
  <c r="O506" i="20"/>
  <c r="O507" i="20"/>
  <c r="O508" i="20"/>
  <c r="O509" i="20"/>
  <c r="O510" i="20"/>
  <c r="O511" i="20"/>
  <c r="O512" i="20"/>
  <c r="O513" i="20"/>
  <c r="O514" i="20"/>
  <c r="O515" i="20"/>
  <c r="O516" i="20"/>
  <c r="O517" i="20"/>
  <c r="O518" i="20"/>
  <c r="O519" i="20"/>
  <c r="O520" i="20"/>
  <c r="O521" i="20"/>
  <c r="O522" i="20"/>
  <c r="O523" i="20"/>
  <c r="O524" i="20"/>
  <c r="O525" i="20"/>
  <c r="O526" i="20"/>
  <c r="O527" i="20"/>
  <c r="O528" i="20"/>
  <c r="O529" i="20"/>
  <c r="O530" i="20"/>
  <c r="O531" i="20"/>
  <c r="O532" i="20"/>
  <c r="O533" i="20"/>
  <c r="O534" i="20"/>
  <c r="O535" i="20"/>
  <c r="O536" i="20"/>
  <c r="O537" i="20"/>
  <c r="O538" i="20"/>
  <c r="O539" i="20"/>
  <c r="O540" i="20"/>
  <c r="O541" i="20"/>
  <c r="O542" i="20"/>
  <c r="O543" i="20"/>
  <c r="O544" i="20"/>
  <c r="O545" i="20"/>
  <c r="O546" i="20"/>
  <c r="O547" i="20"/>
  <c r="O548" i="20"/>
  <c r="O549" i="20"/>
  <c r="O550" i="20"/>
  <c r="O551" i="20"/>
  <c r="O552" i="20"/>
  <c r="O553" i="20"/>
  <c r="O554" i="20"/>
  <c r="O555" i="20"/>
  <c r="O556" i="20"/>
  <c r="O557" i="20"/>
  <c r="O558" i="20"/>
  <c r="O559" i="20"/>
  <c r="O560" i="20"/>
  <c r="O561" i="20"/>
  <c r="O562" i="20"/>
  <c r="O563" i="20"/>
  <c r="O564" i="20"/>
  <c r="O565" i="20"/>
  <c r="O566" i="20"/>
  <c r="O567" i="20"/>
  <c r="O568" i="20"/>
  <c r="O569" i="20"/>
  <c r="O570" i="20"/>
  <c r="O571" i="20"/>
  <c r="O572" i="20"/>
  <c r="O573" i="20"/>
  <c r="O574" i="20"/>
  <c r="O575" i="20"/>
  <c r="O576" i="20"/>
  <c r="O577" i="20"/>
  <c r="O578" i="20"/>
  <c r="O579" i="20"/>
  <c r="O580" i="20"/>
  <c r="O581" i="20"/>
  <c r="O582" i="20"/>
  <c r="O583" i="20"/>
  <c r="O584" i="20"/>
  <c r="O585" i="20"/>
  <c r="O586" i="20"/>
  <c r="O587" i="20"/>
  <c r="O588" i="20"/>
  <c r="O589" i="20"/>
  <c r="O590" i="20"/>
  <c r="O591" i="20"/>
  <c r="O592" i="20"/>
  <c r="O593" i="20"/>
  <c r="O594" i="20"/>
  <c r="O595" i="20"/>
  <c r="O596" i="20"/>
  <c r="O597" i="20"/>
  <c r="O598" i="20"/>
  <c r="O599" i="20"/>
  <c r="O600" i="20"/>
  <c r="O601" i="20"/>
  <c r="O602" i="20"/>
  <c r="O603" i="20"/>
  <c r="O604" i="20"/>
  <c r="O605" i="20"/>
  <c r="O606" i="20"/>
  <c r="O607" i="20"/>
  <c r="O608" i="20"/>
  <c r="O609" i="20"/>
  <c r="O610" i="20"/>
  <c r="O611" i="20"/>
  <c r="O612" i="20"/>
  <c r="O613" i="20"/>
  <c r="O614" i="20"/>
  <c r="O615" i="20"/>
  <c r="O616" i="20"/>
  <c r="O617" i="20"/>
  <c r="O618" i="20"/>
  <c r="O619" i="20"/>
  <c r="O620" i="20"/>
  <c r="O621" i="20"/>
  <c r="O622" i="20"/>
  <c r="O623" i="20"/>
  <c r="O624" i="20"/>
  <c r="O625" i="20"/>
  <c r="O626" i="20"/>
  <c r="O627" i="20"/>
  <c r="O628" i="20"/>
  <c r="O629" i="20"/>
  <c r="O630" i="20"/>
  <c r="O631" i="20"/>
  <c r="O632" i="20"/>
  <c r="O633" i="20"/>
  <c r="O634" i="20"/>
  <c r="O635" i="20"/>
  <c r="O636" i="20"/>
  <c r="O637" i="20"/>
  <c r="O638" i="20"/>
  <c r="O639" i="20"/>
  <c r="O640" i="20"/>
  <c r="O641" i="20"/>
  <c r="O642" i="20"/>
  <c r="O643" i="20"/>
  <c r="O644" i="20"/>
  <c r="O645" i="20"/>
  <c r="O646" i="20"/>
  <c r="O647" i="20"/>
  <c r="O648" i="20"/>
  <c r="O649" i="20"/>
  <c r="O650" i="20"/>
  <c r="O651" i="20"/>
  <c r="O652" i="20"/>
  <c r="O653" i="20"/>
  <c r="O654" i="20"/>
  <c r="O655" i="20"/>
  <c r="O656" i="20"/>
  <c r="O657" i="20"/>
  <c r="O658" i="20"/>
  <c r="O659" i="20"/>
  <c r="O660" i="20"/>
  <c r="O661" i="20"/>
  <c r="O662" i="20"/>
  <c r="O663" i="20"/>
  <c r="O664" i="20"/>
  <c r="O665" i="20"/>
  <c r="O666" i="20"/>
  <c r="O667" i="20"/>
  <c r="O668" i="20"/>
  <c r="O669" i="20"/>
  <c r="O670" i="20"/>
  <c r="O671" i="20"/>
  <c r="O672" i="20"/>
  <c r="O673" i="20"/>
  <c r="O674" i="20"/>
  <c r="O675" i="20"/>
  <c r="O676" i="20"/>
  <c r="O677" i="20"/>
  <c r="O678" i="20"/>
  <c r="O679" i="20"/>
  <c r="O680" i="20"/>
  <c r="O681" i="20"/>
  <c r="O682" i="20"/>
  <c r="O683" i="20"/>
  <c r="O684" i="20"/>
  <c r="O685" i="20"/>
  <c r="O686" i="20"/>
  <c r="O687" i="20"/>
  <c r="O688" i="20"/>
  <c r="O689" i="20"/>
  <c r="O690" i="20"/>
  <c r="O691" i="20"/>
  <c r="O692" i="20"/>
  <c r="O693" i="20"/>
  <c r="O694" i="20"/>
  <c r="O695" i="20"/>
  <c r="O696" i="20"/>
  <c r="O697" i="20"/>
  <c r="O698" i="20"/>
  <c r="O699" i="20"/>
  <c r="O700" i="20"/>
  <c r="O701" i="20"/>
  <c r="O702" i="20"/>
  <c r="O703" i="20"/>
  <c r="O704" i="20"/>
  <c r="O705" i="20"/>
  <c r="O706" i="20"/>
  <c r="O707" i="20"/>
  <c r="O708" i="20"/>
  <c r="O709" i="20"/>
  <c r="O710" i="20"/>
  <c r="O711" i="20"/>
  <c r="O712" i="20"/>
  <c r="O713" i="20"/>
  <c r="O714" i="20"/>
  <c r="O715" i="20"/>
  <c r="O716" i="20"/>
  <c r="O717" i="20"/>
  <c r="O718" i="20"/>
  <c r="O719" i="20"/>
  <c r="O720" i="20"/>
  <c r="O721" i="20"/>
  <c r="O722" i="20"/>
  <c r="O723" i="20"/>
  <c r="O724" i="20"/>
  <c r="O725" i="20"/>
  <c r="O726" i="20"/>
  <c r="O727" i="20"/>
  <c r="O728" i="20"/>
  <c r="O729" i="20"/>
  <c r="O730" i="20"/>
  <c r="O731" i="20"/>
  <c r="O732" i="20"/>
  <c r="O733" i="20"/>
  <c r="O734" i="20"/>
  <c r="O735" i="20"/>
  <c r="O736" i="20"/>
  <c r="O737" i="20"/>
  <c r="O738" i="20"/>
  <c r="O739" i="20"/>
  <c r="O740" i="20"/>
  <c r="O741" i="20"/>
  <c r="O742" i="20"/>
  <c r="O743" i="20"/>
  <c r="O744" i="20"/>
  <c r="O745" i="20"/>
  <c r="O746" i="20"/>
  <c r="O747" i="20"/>
  <c r="O748" i="20"/>
  <c r="O749" i="20"/>
  <c r="O750" i="20"/>
  <c r="O751" i="20"/>
  <c r="O752" i="20"/>
  <c r="O753" i="20"/>
  <c r="O754" i="20"/>
  <c r="O755" i="20"/>
  <c r="O756" i="20"/>
  <c r="O757" i="20"/>
  <c r="O758" i="20"/>
  <c r="O759" i="20"/>
  <c r="O760" i="20"/>
  <c r="O761" i="20"/>
  <c r="O762" i="20"/>
  <c r="O763" i="20"/>
  <c r="O764" i="20"/>
  <c r="O765" i="20"/>
  <c r="O766" i="20"/>
  <c r="O767" i="20"/>
  <c r="O768" i="20"/>
  <c r="O769" i="20"/>
  <c r="O770" i="20"/>
  <c r="O771" i="20"/>
  <c r="O772" i="20"/>
  <c r="O773" i="20"/>
  <c r="O774" i="20"/>
  <c r="O775" i="20"/>
  <c r="O776" i="20"/>
  <c r="O777" i="20"/>
  <c r="O778" i="20"/>
  <c r="O779" i="20"/>
  <c r="O780" i="20"/>
  <c r="O781" i="20"/>
  <c r="O782" i="20"/>
  <c r="O783" i="20"/>
  <c r="O784" i="20"/>
  <c r="O785" i="20"/>
  <c r="O786" i="20"/>
  <c r="O787" i="20"/>
  <c r="O788" i="20"/>
  <c r="O789" i="20"/>
  <c r="O790" i="20"/>
  <c r="O791" i="20"/>
  <c r="O792" i="20"/>
  <c r="O793" i="20"/>
  <c r="O794" i="20"/>
  <c r="O852" i="20"/>
  <c r="O853" i="20"/>
  <c r="O854" i="20"/>
  <c r="O855" i="20"/>
  <c r="O856" i="20"/>
  <c r="O857" i="20"/>
  <c r="O858" i="20"/>
  <c r="O859" i="20"/>
  <c r="O860" i="20"/>
  <c r="O861" i="20"/>
  <c r="O862" i="20"/>
  <c r="O863" i="20"/>
  <c r="O864" i="20"/>
  <c r="O865" i="20"/>
  <c r="O866" i="20"/>
  <c r="O867" i="20"/>
  <c r="O868" i="20"/>
  <c r="O869" i="20"/>
  <c r="O870" i="20"/>
  <c r="O871" i="20"/>
  <c r="O872" i="20"/>
  <c r="O873" i="20"/>
  <c r="O874" i="20"/>
  <c r="O875" i="20"/>
  <c r="O876" i="20"/>
  <c r="O877" i="20"/>
  <c r="O878" i="20"/>
  <c r="O879" i="20"/>
  <c r="O880" i="20"/>
  <c r="O881" i="20"/>
  <c r="O882" i="20"/>
  <c r="O883" i="20"/>
  <c r="O884" i="20"/>
  <c r="O885" i="20"/>
  <c r="O886" i="20"/>
  <c r="O887" i="20"/>
  <c r="O888" i="20"/>
  <c r="O889" i="20"/>
  <c r="O890" i="20"/>
  <c r="O891" i="20"/>
  <c r="O892" i="20"/>
  <c r="O893" i="20"/>
  <c r="O894" i="20"/>
  <c r="O895" i="20"/>
  <c r="O896" i="20"/>
  <c r="O897" i="20"/>
  <c r="O898" i="20"/>
  <c r="O899" i="20"/>
  <c r="O900" i="20"/>
  <c r="O901" i="20"/>
  <c r="O902" i="20"/>
  <c r="O903" i="20"/>
  <c r="O904" i="20"/>
  <c r="O905" i="20"/>
  <c r="O906" i="20"/>
  <c r="O907" i="20"/>
  <c r="O908" i="20"/>
  <c r="O909" i="20"/>
  <c r="O910" i="20"/>
  <c r="O911" i="20"/>
  <c r="O912" i="20"/>
  <c r="O913" i="20"/>
  <c r="O914" i="20"/>
  <c r="O915" i="20"/>
  <c r="O916" i="20"/>
  <c r="O917" i="20"/>
  <c r="O918" i="20"/>
  <c r="O919" i="20"/>
  <c r="O920" i="20"/>
  <c r="O921" i="20"/>
  <c r="O922" i="20"/>
  <c r="O923" i="20"/>
  <c r="O924" i="20"/>
  <c r="O925" i="20"/>
  <c r="O926" i="20"/>
  <c r="O927" i="20"/>
  <c r="O928" i="20"/>
  <c r="O929" i="20"/>
  <c r="O930" i="20"/>
  <c r="O931" i="20"/>
  <c r="O932" i="20"/>
  <c r="O933" i="20"/>
  <c r="O934" i="20"/>
  <c r="O935" i="20"/>
  <c r="O936" i="20"/>
  <c r="O937" i="20"/>
  <c r="O938" i="20"/>
  <c r="O939" i="20"/>
  <c r="O940" i="20"/>
  <c r="O941" i="20"/>
  <c r="O942" i="20"/>
  <c r="O943" i="20"/>
  <c r="O944" i="20"/>
  <c r="O945" i="20"/>
  <c r="O946" i="20"/>
  <c r="O947" i="20"/>
  <c r="O948" i="20"/>
  <c r="O949" i="20"/>
  <c r="O950" i="20"/>
  <c r="O951" i="20"/>
  <c r="O952" i="20"/>
  <c r="O953" i="20"/>
  <c r="O954" i="20"/>
  <c r="O955" i="20"/>
  <c r="O956" i="20"/>
  <c r="O957" i="20"/>
  <c r="O958" i="20"/>
  <c r="O959" i="20"/>
  <c r="O960" i="20"/>
  <c r="O961" i="20"/>
  <c r="O962" i="20"/>
  <c r="O963" i="20"/>
  <c r="O964" i="20"/>
  <c r="O965" i="20"/>
  <c r="O966" i="20"/>
  <c r="O967" i="20"/>
  <c r="O968" i="20"/>
  <c r="O969" i="20"/>
  <c r="O970" i="20"/>
  <c r="O971" i="20"/>
  <c r="O972" i="20"/>
  <c r="O973" i="20"/>
  <c r="O974" i="20"/>
  <c r="O975" i="20"/>
  <c r="O976" i="20"/>
  <c r="O977" i="20"/>
  <c r="O978" i="20"/>
  <c r="O979" i="20"/>
  <c r="O980" i="20"/>
  <c r="O981" i="20"/>
  <c r="O982" i="20"/>
  <c r="O983" i="20"/>
  <c r="O984" i="20"/>
  <c r="O985" i="20"/>
  <c r="O986" i="20"/>
  <c r="O987" i="20"/>
  <c r="O988" i="20"/>
  <c r="O989" i="20"/>
  <c r="O990" i="20"/>
  <c r="O991" i="20"/>
  <c r="O992" i="20"/>
  <c r="O993" i="20"/>
  <c r="O994" i="20"/>
  <c r="O995" i="20"/>
  <c r="O996" i="20"/>
  <c r="O997" i="20"/>
  <c r="O998" i="20"/>
  <c r="O999" i="20"/>
  <c r="O1000" i="20"/>
  <c r="O1001" i="20"/>
  <c r="O1002" i="20"/>
  <c r="O1003" i="20"/>
  <c r="O1004" i="20"/>
  <c r="O1005" i="20"/>
  <c r="O1006" i="20"/>
  <c r="O1007" i="20"/>
  <c r="O1008" i="20"/>
  <c r="O1009" i="20"/>
  <c r="O1010" i="20"/>
  <c r="O1011" i="20"/>
  <c r="O1012" i="20"/>
  <c r="O1013" i="20"/>
  <c r="O1014" i="20"/>
  <c r="O1015" i="20"/>
  <c r="O1016" i="20"/>
  <c r="O1017" i="20"/>
  <c r="O1018" i="20"/>
  <c r="O1019" i="20"/>
  <c r="O1020" i="20"/>
  <c r="O1021" i="20"/>
  <c r="O1022" i="20"/>
  <c r="O1023" i="20"/>
  <c r="O1024" i="20"/>
  <c r="O1025" i="20"/>
  <c r="O1026" i="20"/>
  <c r="O1027" i="20"/>
  <c r="O1028" i="20"/>
  <c r="O1029" i="20"/>
  <c r="O1030" i="20"/>
  <c r="O1031" i="20"/>
  <c r="O1032" i="20"/>
  <c r="O1033" i="20"/>
  <c r="O1034" i="20"/>
  <c r="O1035" i="20"/>
  <c r="O1036" i="20"/>
  <c r="O1037" i="20"/>
  <c r="O1038" i="20"/>
  <c r="O1039" i="20"/>
  <c r="O1040" i="20"/>
  <c r="O1041" i="20"/>
  <c r="O1042" i="20"/>
  <c r="O1043" i="20"/>
  <c r="O1044" i="20"/>
  <c r="O1045" i="20"/>
  <c r="O1046" i="20"/>
  <c r="O1047" i="20"/>
  <c r="O1048" i="20"/>
  <c r="O1049" i="20"/>
  <c r="O1050" i="20"/>
  <c r="O1051" i="20"/>
  <c r="O1052" i="20"/>
  <c r="O1053" i="20"/>
  <c r="O1054" i="20"/>
  <c r="O1055" i="20"/>
  <c r="O1056" i="20"/>
  <c r="O1057" i="20"/>
  <c r="O1058" i="20"/>
  <c r="O1059" i="20"/>
  <c r="O1060" i="20"/>
  <c r="O1061" i="20"/>
  <c r="O1062" i="20"/>
  <c r="O1063" i="20"/>
  <c r="O1064" i="20"/>
  <c r="O1065" i="20"/>
  <c r="O1066" i="20"/>
  <c r="O1067" i="20"/>
  <c r="O1068" i="20"/>
  <c r="O1069" i="20"/>
  <c r="O1070" i="20"/>
  <c r="O1071" i="20"/>
  <c r="O1072" i="20"/>
  <c r="O1073" i="20"/>
  <c r="O1074" i="20"/>
  <c r="O1075" i="20"/>
  <c r="O1076" i="20"/>
  <c r="O1077" i="20"/>
  <c r="O1078" i="20"/>
  <c r="O1079" i="20"/>
  <c r="O1080" i="20"/>
  <c r="O1081" i="20"/>
  <c r="O1082" i="20"/>
  <c r="O1083" i="20"/>
  <c r="O1084" i="20"/>
  <c r="O1085" i="20"/>
  <c r="O1086" i="20"/>
  <c r="O1087" i="20"/>
  <c r="O1088" i="20"/>
  <c r="O1089" i="20"/>
  <c r="O1090" i="20"/>
  <c r="O1091" i="20"/>
  <c r="O1092" i="20"/>
  <c r="O1093" i="20"/>
  <c r="O1094" i="20"/>
  <c r="O1095" i="20"/>
  <c r="O1096" i="20"/>
  <c r="O1097" i="20"/>
  <c r="O1098" i="20"/>
  <c r="O1099" i="20"/>
  <c r="O1100" i="20"/>
  <c r="O1101" i="20"/>
  <c r="O1102" i="20"/>
  <c r="O1103" i="20"/>
  <c r="O1104" i="20"/>
  <c r="O1105" i="20"/>
  <c r="O1106" i="20"/>
  <c r="O1107" i="20"/>
  <c r="O1108" i="20"/>
  <c r="O1109" i="20"/>
  <c r="O1110" i="20"/>
  <c r="O1111" i="20"/>
  <c r="O1112" i="20"/>
  <c r="O1113" i="20"/>
  <c r="O1114" i="20"/>
  <c r="O1115" i="20"/>
  <c r="O1116" i="20"/>
  <c r="O1117" i="20"/>
  <c r="O1118" i="20"/>
  <c r="O1119" i="20"/>
  <c r="O1120" i="20"/>
  <c r="O1121" i="20"/>
  <c r="O1122" i="20"/>
  <c r="O1123" i="20"/>
  <c r="O1124" i="20"/>
  <c r="O1125" i="20"/>
  <c r="O1126" i="20"/>
  <c r="O1127" i="20"/>
  <c r="O1128" i="20"/>
  <c r="O1129" i="20"/>
  <c r="O1130" i="20"/>
  <c r="O1131" i="20"/>
  <c r="O1132" i="20"/>
  <c r="O1133" i="20"/>
  <c r="O1134" i="20"/>
  <c r="O1135" i="20"/>
  <c r="O1136" i="20"/>
  <c r="O1137" i="20"/>
  <c r="O1138" i="20"/>
  <c r="O1139" i="20"/>
  <c r="O1140" i="20"/>
  <c r="O1141" i="20"/>
  <c r="O1142" i="20"/>
  <c r="O1143" i="20"/>
  <c r="O1144" i="20"/>
  <c r="O1145" i="20"/>
  <c r="O1146" i="20"/>
  <c r="O1147" i="20"/>
  <c r="O1148" i="20"/>
  <c r="O1149" i="20"/>
  <c r="O1150" i="20"/>
  <c r="O1151" i="20"/>
  <c r="O1152" i="20"/>
  <c r="O1153" i="20"/>
  <c r="O1154" i="20"/>
  <c r="O1155" i="20"/>
  <c r="O1156" i="20"/>
  <c r="O1157" i="20"/>
  <c r="O1158" i="20"/>
  <c r="O1159" i="20"/>
  <c r="O1160" i="20"/>
  <c r="O1161" i="20"/>
  <c r="O1162" i="20"/>
  <c r="O1163" i="20"/>
  <c r="O1164" i="20"/>
  <c r="O1165" i="20"/>
  <c r="O1166" i="20"/>
  <c r="O1167" i="20"/>
  <c r="O1168" i="20"/>
  <c r="O1169" i="20"/>
  <c r="O1170" i="20"/>
  <c r="O1171" i="20"/>
  <c r="O1172" i="20"/>
  <c r="O1173" i="20"/>
  <c r="O1174" i="20"/>
  <c r="O1175" i="20"/>
  <c r="O1176" i="20"/>
  <c r="O1177" i="20"/>
  <c r="O1178" i="20"/>
  <c r="O1179" i="20"/>
  <c r="O1180" i="20"/>
  <c r="O1181" i="20"/>
  <c r="O1182" i="20"/>
  <c r="O1183" i="20"/>
  <c r="O1184" i="20"/>
  <c r="O1185" i="20"/>
  <c r="O1186" i="20"/>
  <c r="O1187" i="20"/>
  <c r="O1188" i="20"/>
  <c r="O1189" i="20"/>
  <c r="O1190" i="20"/>
  <c r="O1191" i="20"/>
  <c r="O1192" i="20"/>
  <c r="O1193" i="20"/>
  <c r="O1194" i="20"/>
  <c r="O1195" i="20"/>
  <c r="O1196" i="20"/>
  <c r="O1197" i="20"/>
  <c r="O1198" i="20"/>
  <c r="O1199" i="20"/>
  <c r="O1200" i="20"/>
  <c r="O1201" i="20"/>
  <c r="O1202" i="20"/>
  <c r="O1203" i="20"/>
  <c r="O1204" i="20"/>
  <c r="O1205" i="20"/>
  <c r="O1206" i="20"/>
  <c r="O1207" i="20"/>
  <c r="O1208" i="20"/>
  <c r="O1209" i="20"/>
  <c r="O1210" i="20"/>
  <c r="O1211" i="20"/>
  <c r="O1212" i="20"/>
  <c r="O1213" i="20"/>
  <c r="O1214" i="20"/>
  <c r="O1215" i="20"/>
  <c r="O1216" i="20"/>
  <c r="O1217" i="20"/>
  <c r="O1218" i="20"/>
  <c r="O1219" i="20"/>
  <c r="O1220" i="20"/>
  <c r="O1221" i="20"/>
  <c r="O1222" i="20"/>
  <c r="O1223" i="20"/>
  <c r="O1224" i="20"/>
  <c r="O1225" i="20"/>
  <c r="O1226" i="20"/>
  <c r="O1227" i="20"/>
  <c r="O1228" i="20"/>
  <c r="O1229" i="20"/>
  <c r="O1230" i="20"/>
  <c r="O1231" i="20"/>
  <c r="O1232" i="20"/>
  <c r="O1233" i="20"/>
  <c r="O1234" i="20"/>
  <c r="O1235" i="20"/>
  <c r="O1236" i="20"/>
  <c r="O1237" i="20"/>
  <c r="O1238" i="20"/>
  <c r="O1239" i="20"/>
  <c r="O1240" i="20"/>
  <c r="O1241" i="20"/>
  <c r="O1242" i="20"/>
  <c r="O1243" i="20"/>
  <c r="O1244" i="20"/>
  <c r="O1245" i="20"/>
  <c r="O1246" i="20"/>
  <c r="O1247" i="20"/>
  <c r="O1248" i="20"/>
  <c r="O1249" i="20"/>
  <c r="O1250" i="20"/>
  <c r="O1251" i="20"/>
  <c r="O1252" i="20"/>
  <c r="O1253" i="20"/>
  <c r="O1254" i="20"/>
  <c r="O1255" i="20"/>
  <c r="O1256" i="20"/>
  <c r="O1257" i="20"/>
  <c r="O1258" i="20"/>
  <c r="O1259" i="20"/>
  <c r="O1260" i="20"/>
  <c r="O1261" i="20"/>
  <c r="O1262" i="20"/>
  <c r="O1263" i="20"/>
  <c r="O1264" i="20"/>
  <c r="O1265" i="20"/>
  <c r="O1266" i="20"/>
  <c r="O1267" i="20"/>
  <c r="O1268" i="20"/>
  <c r="O1269" i="20"/>
  <c r="O1270" i="20"/>
  <c r="O1271" i="20"/>
  <c r="O1272" i="20"/>
  <c r="O1273" i="20"/>
  <c r="O1274" i="20"/>
  <c r="O1275" i="20"/>
  <c r="O1276" i="20"/>
  <c r="O1277" i="20"/>
  <c r="O1278" i="20"/>
  <c r="O1279" i="20"/>
  <c r="O1280" i="20"/>
  <c r="O1281" i="20"/>
  <c r="O1282" i="20"/>
  <c r="O1283" i="20"/>
  <c r="O1284" i="20"/>
  <c r="O1285" i="20"/>
  <c r="O1286" i="20"/>
  <c r="O1287" i="20"/>
  <c r="O1288" i="20"/>
  <c r="O1289" i="20"/>
  <c r="O1290" i="20"/>
  <c r="O1291" i="20"/>
  <c r="O1292" i="20"/>
  <c r="O1293" i="20"/>
  <c r="O1294" i="20"/>
  <c r="O1295" i="20"/>
  <c r="O1296" i="20"/>
  <c r="O1297" i="20"/>
  <c r="O1298" i="20"/>
  <c r="O1299" i="20"/>
  <c r="O1300" i="20"/>
  <c r="O1301" i="20"/>
  <c r="O1302" i="20"/>
  <c r="O1303" i="20"/>
  <c r="O1304" i="20"/>
  <c r="O1305" i="20"/>
  <c r="O1306" i="20"/>
  <c r="O1307" i="20"/>
  <c r="O1308" i="20"/>
  <c r="O1309" i="20"/>
  <c r="O1310" i="20"/>
  <c r="O1311" i="20"/>
  <c r="O1312" i="20"/>
  <c r="O1313" i="20"/>
  <c r="O1314" i="20"/>
  <c r="O1315" i="20"/>
  <c r="O1316" i="20"/>
  <c r="O1317" i="20"/>
  <c r="O1318" i="20"/>
  <c r="O1319" i="20"/>
  <c r="O1320" i="20"/>
  <c r="O1321" i="20"/>
  <c r="O1322" i="20"/>
  <c r="O1323" i="20"/>
  <c r="O1324" i="20"/>
  <c r="O1325" i="20"/>
  <c r="O1326" i="20"/>
  <c r="O1327" i="20"/>
  <c r="O1328" i="20"/>
  <c r="O1329" i="20"/>
  <c r="O1330" i="20"/>
  <c r="O1331" i="20"/>
  <c r="O1332" i="20"/>
  <c r="O1333" i="20"/>
  <c r="O1334" i="20"/>
  <c r="O1335" i="20"/>
  <c r="O1336" i="20"/>
  <c r="O1337" i="20"/>
  <c r="O1338" i="20"/>
  <c r="O1339" i="20"/>
  <c r="O1340" i="20"/>
  <c r="O1341" i="20"/>
  <c r="O1342" i="20"/>
  <c r="O1343" i="20"/>
  <c r="O1344" i="20"/>
  <c r="O1345" i="20"/>
  <c r="O1346" i="20"/>
  <c r="O1347" i="20"/>
  <c r="O1348" i="20"/>
  <c r="O1349" i="20"/>
  <c r="O1350" i="20"/>
  <c r="O1351" i="20"/>
  <c r="O1352" i="20"/>
  <c r="O1353" i="20"/>
  <c r="O1354" i="20"/>
  <c r="O1355" i="20"/>
  <c r="O1356" i="20"/>
  <c r="O1357" i="20"/>
  <c r="O1358" i="20"/>
  <c r="O1359" i="20"/>
  <c r="O1360" i="20"/>
  <c r="O1361" i="20"/>
  <c r="O1362" i="20"/>
  <c r="O1363" i="20"/>
  <c r="O1364" i="20"/>
  <c r="O1365" i="20"/>
  <c r="O1366" i="20"/>
  <c r="O1367" i="20"/>
  <c r="O1368" i="20"/>
  <c r="O1369" i="20"/>
  <c r="O1370" i="20"/>
  <c r="O1371" i="20"/>
  <c r="O1372" i="20"/>
  <c r="O1373" i="20"/>
  <c r="O1374" i="20"/>
  <c r="O1375" i="20"/>
  <c r="O1376" i="20"/>
  <c r="O1377" i="20"/>
  <c r="O1378" i="20"/>
  <c r="O1379" i="20"/>
  <c r="O1380" i="20"/>
  <c r="O1381" i="20"/>
  <c r="O1382" i="20"/>
  <c r="O1383" i="20"/>
  <c r="O1384" i="20"/>
  <c r="O1385" i="20"/>
  <c r="O1386" i="20"/>
  <c r="O1387" i="20"/>
  <c r="O1388" i="20"/>
  <c r="O1389" i="20"/>
  <c r="O1390" i="20"/>
  <c r="O1391" i="20"/>
  <c r="O1392" i="20"/>
  <c r="O1393" i="20"/>
  <c r="O1394" i="20"/>
  <c r="O1395" i="20"/>
  <c r="O1396" i="20"/>
  <c r="O1397" i="20"/>
  <c r="O1398" i="20"/>
  <c r="O1399" i="20"/>
  <c r="O1400" i="20"/>
  <c r="O1401" i="20"/>
  <c r="O1402" i="20"/>
  <c r="O1403" i="20"/>
  <c r="O1404" i="20"/>
  <c r="O1405" i="20"/>
  <c r="O1406" i="20"/>
  <c r="O1407" i="20"/>
  <c r="O1408" i="20"/>
  <c r="O1409" i="20"/>
  <c r="O1410" i="20"/>
  <c r="O1411" i="20"/>
  <c r="O1412" i="20"/>
  <c r="O1413" i="20"/>
  <c r="O1414" i="20"/>
  <c r="O1415" i="20"/>
  <c r="O1416" i="20"/>
  <c r="O1417" i="20"/>
  <c r="O1418" i="20"/>
  <c r="O1419" i="20"/>
  <c r="O1420" i="20"/>
  <c r="O1421" i="20"/>
  <c r="O1422" i="20"/>
  <c r="O1423" i="20"/>
  <c r="O1424" i="20"/>
  <c r="O1425" i="20"/>
  <c r="O1426" i="20"/>
  <c r="O1427" i="20"/>
  <c r="O1428" i="20"/>
  <c r="O1429" i="20"/>
  <c r="O1430" i="20"/>
  <c r="O1431" i="20"/>
  <c r="O1432" i="20"/>
  <c r="O1433" i="20"/>
  <c r="O1434" i="20"/>
  <c r="O1435" i="20"/>
  <c r="O1436" i="20"/>
  <c r="O1437" i="20"/>
  <c r="O1438" i="20"/>
  <c r="O1439" i="20"/>
  <c r="O1440" i="20"/>
  <c r="O1441" i="20"/>
  <c r="O1442" i="20"/>
  <c r="O1443" i="20"/>
  <c r="O1444" i="20"/>
  <c r="O1445" i="20"/>
  <c r="O1446" i="20"/>
  <c r="O1447" i="20"/>
  <c r="O1448" i="20"/>
  <c r="O1449" i="20"/>
  <c r="O1450" i="20"/>
  <c r="O1451" i="20"/>
  <c r="O1452" i="20"/>
  <c r="O1453" i="20"/>
  <c r="O1454" i="20"/>
  <c r="O1455" i="20"/>
  <c r="O1456" i="20"/>
  <c r="O1457" i="20"/>
  <c r="O1458" i="20"/>
  <c r="O1459" i="20"/>
  <c r="O1460" i="20"/>
  <c r="O1461" i="20"/>
  <c r="O1462" i="20"/>
  <c r="O1463" i="20"/>
  <c r="O1464" i="20"/>
  <c r="O1465" i="20"/>
  <c r="O1466" i="20"/>
  <c r="O1467" i="20"/>
  <c r="O1468" i="20"/>
  <c r="O1469" i="20"/>
  <c r="O1470" i="20"/>
  <c r="O1471" i="20"/>
  <c r="O1472" i="20"/>
  <c r="O1473" i="20"/>
  <c r="O1474" i="20"/>
  <c r="O1475" i="20"/>
  <c r="O1476" i="20"/>
  <c r="O1477" i="20"/>
  <c r="O1478" i="20"/>
  <c r="O1479" i="20"/>
  <c r="O1480" i="20"/>
  <c r="O1481" i="20"/>
  <c r="O1482" i="20"/>
  <c r="O1483" i="20"/>
  <c r="O1484" i="20"/>
  <c r="O1485" i="20"/>
  <c r="O1486" i="20"/>
  <c r="O1487" i="20"/>
  <c r="O1488" i="20"/>
  <c r="O1489" i="20"/>
  <c r="O1490" i="20"/>
  <c r="O1491" i="20"/>
  <c r="O1492" i="20"/>
  <c r="O1493" i="20"/>
  <c r="O1494" i="20"/>
  <c r="O1495" i="20"/>
  <c r="O1496" i="20"/>
  <c r="O1497" i="20"/>
  <c r="O1498" i="20"/>
  <c r="O1499" i="20"/>
  <c r="O1500" i="20"/>
  <c r="O1501" i="20"/>
  <c r="O1502" i="20"/>
  <c r="O1503" i="20"/>
  <c r="O1504" i="20"/>
  <c r="O1505" i="20"/>
  <c r="O1506" i="20"/>
  <c r="O1507" i="20"/>
  <c r="O1508" i="20"/>
  <c r="O1509" i="20"/>
  <c r="O1510" i="20"/>
  <c r="O1511" i="20"/>
  <c r="O1512" i="20"/>
  <c r="O1513" i="20"/>
  <c r="O1514" i="20"/>
  <c r="O1515" i="20"/>
  <c r="O1516" i="20"/>
  <c r="O1517" i="20"/>
  <c r="O1518" i="20"/>
  <c r="O1519" i="20"/>
  <c r="O1520" i="20"/>
  <c r="O1521" i="20"/>
  <c r="O1522" i="20"/>
  <c r="O1523" i="20"/>
  <c r="O1524" i="20"/>
  <c r="O1525" i="20"/>
  <c r="O1526" i="20"/>
  <c r="O1527" i="20"/>
  <c r="O1528" i="20"/>
  <c r="O1529" i="20"/>
  <c r="O1530" i="20"/>
  <c r="O1531" i="20"/>
  <c r="O1532" i="20"/>
  <c r="O1533" i="20"/>
  <c r="O1534" i="20"/>
  <c r="O1535" i="20"/>
  <c r="O1536" i="20"/>
  <c r="O1537" i="20"/>
  <c r="O1538" i="20"/>
  <c r="O1539" i="20"/>
  <c r="O1540" i="20"/>
  <c r="O1541" i="20"/>
  <c r="O1542" i="20"/>
  <c r="O1543" i="20"/>
  <c r="O1544" i="20"/>
  <c r="O1545" i="20"/>
  <c r="O1546" i="20"/>
  <c r="O1547" i="20"/>
  <c r="O1548" i="20"/>
  <c r="O1549" i="20"/>
  <c r="O1550" i="20"/>
  <c r="O1551" i="20"/>
  <c r="O1552" i="20"/>
  <c r="O1553" i="20"/>
  <c r="O1554" i="20"/>
  <c r="O1555" i="20"/>
  <c r="O1556" i="20"/>
  <c r="O1557" i="20"/>
  <c r="O1558" i="20"/>
  <c r="O1559" i="20"/>
  <c r="O1560" i="20"/>
  <c r="O1561" i="20"/>
  <c r="O1562" i="20"/>
  <c r="O1563" i="20"/>
  <c r="O1564" i="20"/>
  <c r="O1565" i="20"/>
  <c r="O1566" i="20"/>
  <c r="O1567" i="20"/>
  <c r="O1568" i="20"/>
  <c r="O1569" i="20"/>
  <c r="O1570" i="20"/>
  <c r="O1571" i="20"/>
  <c r="O1572" i="20"/>
  <c r="O1573" i="20"/>
  <c r="O1574" i="20"/>
  <c r="O1575" i="20"/>
  <c r="O1576" i="20"/>
  <c r="O1577" i="20"/>
  <c r="O1578" i="20"/>
  <c r="O1579" i="20"/>
  <c r="O1580" i="20"/>
  <c r="O1581" i="20"/>
  <c r="O1582" i="20"/>
  <c r="O1583" i="20"/>
  <c r="O1584" i="20"/>
  <c r="O1585" i="20"/>
  <c r="O1586" i="20"/>
  <c r="O1587" i="20"/>
  <c r="O1588" i="20"/>
  <c r="O1589" i="20"/>
  <c r="O1590" i="20"/>
  <c r="O1591" i="20"/>
  <c r="O1592" i="20"/>
  <c r="O1593" i="20"/>
  <c r="O1594" i="20"/>
  <c r="O1595" i="20"/>
  <c r="O1596" i="20"/>
  <c r="O1597" i="20"/>
  <c r="O1598" i="20"/>
  <c r="O1599" i="20"/>
  <c r="O1600" i="20"/>
  <c r="O1601" i="20"/>
  <c r="O1602" i="20"/>
  <c r="O1603" i="20"/>
  <c r="O1604" i="20"/>
  <c r="O1605" i="20"/>
  <c r="O1606" i="20"/>
  <c r="O1607" i="20"/>
  <c r="O1608" i="20"/>
  <c r="O1609" i="20"/>
  <c r="O1610" i="20"/>
  <c r="O1611" i="20"/>
  <c r="O1612" i="20"/>
  <c r="O1613" i="20"/>
  <c r="O1614" i="20"/>
  <c r="O1615" i="20"/>
  <c r="O1616" i="20"/>
  <c r="O1617" i="20"/>
  <c r="O1618" i="20"/>
  <c r="O1619" i="20"/>
  <c r="O1620" i="20"/>
  <c r="O1621" i="20"/>
  <c r="O1622" i="20"/>
  <c r="O1623" i="20"/>
  <c r="O1624" i="20"/>
  <c r="O1625" i="20"/>
  <c r="O1626" i="20"/>
  <c r="O1627" i="20"/>
  <c r="O1628" i="20"/>
  <c r="O1629" i="20"/>
  <c r="O1630" i="20"/>
  <c r="O1631" i="20"/>
  <c r="O1632" i="20"/>
  <c r="O1633" i="20"/>
  <c r="O1634" i="20"/>
  <c r="O1635" i="20"/>
  <c r="O1636" i="20"/>
  <c r="O1637" i="20"/>
  <c r="O1638" i="20"/>
  <c r="O1639" i="20"/>
  <c r="O1640" i="20"/>
  <c r="O1641" i="20"/>
  <c r="O1642" i="20"/>
  <c r="O1643" i="20"/>
  <c r="O1644" i="20"/>
  <c r="O1645" i="20"/>
  <c r="O1646" i="20"/>
  <c r="O1647" i="20"/>
  <c r="O1648" i="20"/>
  <c r="O1649" i="20"/>
  <c r="O1650" i="20"/>
  <c r="O1651" i="20"/>
  <c r="O1652" i="20"/>
  <c r="O1653" i="20"/>
  <c r="O1654" i="20"/>
  <c r="O1655" i="20"/>
  <c r="O1656" i="20"/>
  <c r="O1657" i="20"/>
  <c r="O1658" i="20"/>
  <c r="O1659" i="20"/>
  <c r="O1660" i="20"/>
  <c r="O1661" i="20"/>
  <c r="O1662" i="20"/>
  <c r="O1663" i="20"/>
  <c r="O1664" i="20"/>
  <c r="O1665" i="20"/>
  <c r="O1666" i="20"/>
  <c r="O1667" i="20"/>
  <c r="O1668" i="20"/>
  <c r="O1669" i="20"/>
  <c r="O1670" i="20"/>
  <c r="O1671" i="20"/>
  <c r="O1672" i="20"/>
  <c r="O1673" i="20"/>
  <c r="O1674" i="20"/>
  <c r="O1675" i="20"/>
  <c r="O1676" i="20"/>
  <c r="O1677" i="20"/>
  <c r="O1678" i="20"/>
  <c r="O1679" i="20"/>
  <c r="O1680" i="20"/>
  <c r="O1681" i="20"/>
  <c r="O1682" i="20"/>
  <c r="O1683" i="20"/>
  <c r="O1684" i="20"/>
  <c r="O1685" i="20"/>
  <c r="O1686" i="20"/>
  <c r="O1687" i="20"/>
  <c r="O1688" i="20"/>
  <c r="O1689" i="20"/>
  <c r="O1690" i="20"/>
  <c r="O1691" i="20"/>
  <c r="O1692" i="20"/>
  <c r="O1693" i="20"/>
  <c r="O1694" i="20"/>
  <c r="O1695" i="20"/>
  <c r="O1696" i="20"/>
  <c r="O1697" i="20"/>
  <c r="O1698" i="20"/>
  <c r="O1699" i="20"/>
  <c r="O1700" i="20"/>
  <c r="O1701" i="20"/>
  <c r="O1702" i="20"/>
  <c r="O1703" i="20"/>
  <c r="O1704" i="20"/>
  <c r="O1705" i="20"/>
  <c r="O1706" i="20"/>
  <c r="O1707" i="20"/>
  <c r="O1708" i="20"/>
  <c r="O1709" i="20"/>
  <c r="O1710" i="20"/>
  <c r="O1711" i="20"/>
  <c r="O1712" i="20"/>
  <c r="O1713" i="20"/>
  <c r="O1714" i="20"/>
  <c r="O1715" i="20"/>
  <c r="O1716" i="20"/>
  <c r="O1717" i="20"/>
  <c r="O1718" i="20"/>
  <c r="O1719" i="20"/>
  <c r="O1720" i="20"/>
  <c r="O1721" i="20"/>
  <c r="O1722" i="20"/>
  <c r="O1723" i="20"/>
  <c r="O1724" i="20"/>
  <c r="O1725" i="20"/>
  <c r="O1726" i="20"/>
  <c r="O1727" i="20"/>
  <c r="O1728" i="20"/>
  <c r="O1729" i="20"/>
  <c r="O1730" i="20"/>
  <c r="O1731" i="20"/>
  <c r="O1732" i="20"/>
  <c r="O1733" i="20"/>
  <c r="O1734" i="20"/>
  <c r="O1735" i="20"/>
  <c r="O1736" i="20"/>
  <c r="O1737" i="20"/>
  <c r="O1738" i="20"/>
  <c r="O1739" i="20"/>
  <c r="O1740" i="20"/>
  <c r="O1741" i="20"/>
  <c r="O1742" i="20"/>
  <c r="O1743" i="20"/>
  <c r="O1744" i="20"/>
  <c r="O1745" i="20"/>
  <c r="O1746" i="20"/>
  <c r="O1747" i="20"/>
  <c r="O1748" i="20"/>
  <c r="O1749" i="20"/>
  <c r="O1750" i="20"/>
  <c r="O1751" i="20"/>
  <c r="O1752" i="20"/>
  <c r="O1753" i="20"/>
  <c r="O1754" i="20"/>
  <c r="O1755" i="20"/>
  <c r="O1756" i="20"/>
  <c r="O1757" i="20"/>
  <c r="O1758" i="20"/>
  <c r="O1759" i="20"/>
  <c r="O1760" i="20"/>
  <c r="O1761" i="20"/>
  <c r="O1762" i="20"/>
  <c r="O1763" i="20"/>
  <c r="O1764" i="20"/>
  <c r="O1765" i="20"/>
  <c r="O1766" i="20"/>
  <c r="O1767" i="20"/>
  <c r="O1768" i="20"/>
  <c r="O1769" i="20"/>
  <c r="O1770" i="20"/>
  <c r="O1771" i="20"/>
  <c r="O1772" i="20"/>
  <c r="O1773" i="20"/>
  <c r="O1774" i="20"/>
  <c r="O1775" i="20"/>
  <c r="O1776" i="20"/>
  <c r="O1777" i="20"/>
  <c r="O1778" i="20"/>
  <c r="O1779" i="20"/>
  <c r="O1780" i="20"/>
  <c r="O1781" i="20"/>
  <c r="O1782" i="20"/>
  <c r="O1783" i="20"/>
  <c r="O1784" i="20"/>
  <c r="P2" i="20"/>
  <c r="P3" i="20"/>
  <c r="P4" i="20"/>
  <c r="P5" i="20"/>
  <c r="P6" i="20"/>
  <c r="P7" i="20"/>
  <c r="P8" i="20"/>
  <c r="P9" i="20"/>
  <c r="P10" i="20"/>
  <c r="P11" i="20"/>
  <c r="P12" i="20"/>
  <c r="P13" i="20"/>
  <c r="P14" i="20"/>
  <c r="P15" i="20"/>
  <c r="P16" i="20"/>
  <c r="P17" i="20"/>
  <c r="P18" i="20"/>
  <c r="P19" i="20"/>
  <c r="P20" i="20"/>
  <c r="P21" i="20"/>
  <c r="P22" i="20"/>
  <c r="P23" i="20"/>
  <c r="P24" i="20"/>
  <c r="P25" i="20"/>
  <c r="P26" i="20"/>
  <c r="P27" i="20"/>
  <c r="P28" i="20"/>
  <c r="P29" i="20"/>
  <c r="P30" i="20"/>
  <c r="P31" i="20"/>
  <c r="P32" i="20"/>
  <c r="P33" i="20"/>
  <c r="P34" i="20"/>
  <c r="P35" i="20"/>
  <c r="P36" i="20"/>
  <c r="P37" i="20"/>
  <c r="P38" i="20"/>
  <c r="P39" i="20"/>
  <c r="P40" i="20"/>
  <c r="P41" i="20"/>
  <c r="P42" i="20"/>
  <c r="P43" i="20"/>
  <c r="P44" i="20"/>
  <c r="P45" i="20"/>
  <c r="P46" i="20"/>
  <c r="P47" i="20"/>
  <c r="P48" i="20"/>
  <c r="P49" i="20"/>
  <c r="P50" i="20"/>
  <c r="P51" i="20"/>
  <c r="P52" i="20"/>
  <c r="P53" i="20"/>
  <c r="P54" i="20"/>
  <c r="P55" i="20"/>
  <c r="P56" i="20"/>
  <c r="P57" i="20"/>
  <c r="P58" i="20"/>
  <c r="P59" i="20"/>
  <c r="P60" i="20"/>
  <c r="P61" i="20"/>
  <c r="P62" i="20"/>
  <c r="P63" i="20"/>
  <c r="P64" i="20"/>
  <c r="P65" i="20"/>
  <c r="P66" i="20"/>
  <c r="P67" i="20"/>
  <c r="P68" i="20"/>
  <c r="P69" i="20"/>
  <c r="P70" i="20"/>
  <c r="P71" i="20"/>
  <c r="P72" i="20"/>
  <c r="P73" i="20"/>
  <c r="P74" i="20"/>
  <c r="P75" i="20"/>
  <c r="P76" i="20"/>
  <c r="P77" i="20"/>
  <c r="P78" i="20"/>
  <c r="P79" i="20"/>
  <c r="P80" i="20"/>
  <c r="P81" i="20"/>
  <c r="P82" i="20"/>
  <c r="P83" i="20"/>
  <c r="P84" i="20"/>
  <c r="P85" i="20"/>
  <c r="P86" i="20"/>
  <c r="P87" i="20"/>
  <c r="P88" i="20"/>
  <c r="P89" i="20"/>
  <c r="P90" i="20"/>
  <c r="P91" i="20"/>
  <c r="P92" i="20"/>
  <c r="P93" i="20"/>
  <c r="P94" i="20"/>
  <c r="P95" i="20"/>
  <c r="P96" i="20"/>
  <c r="P97" i="20"/>
  <c r="P98" i="20"/>
  <c r="P99" i="20"/>
  <c r="P100" i="20"/>
  <c r="P101" i="20"/>
  <c r="P102" i="20"/>
  <c r="P103" i="20"/>
  <c r="P104" i="20"/>
  <c r="P105" i="20"/>
  <c r="P106" i="20"/>
  <c r="P107" i="20"/>
  <c r="P108" i="20"/>
  <c r="P109" i="20"/>
  <c r="P110" i="20"/>
  <c r="P111" i="20"/>
  <c r="P112" i="20"/>
  <c r="P113" i="20"/>
  <c r="P114" i="20"/>
  <c r="P115" i="20"/>
  <c r="P116" i="20"/>
  <c r="P117" i="20"/>
  <c r="P118" i="20"/>
  <c r="P119" i="20"/>
  <c r="P120" i="20"/>
  <c r="P121" i="20"/>
  <c r="P122" i="20"/>
  <c r="P123" i="20"/>
  <c r="P124" i="20"/>
  <c r="P125" i="20"/>
  <c r="P126" i="20"/>
  <c r="P127" i="20"/>
  <c r="P128" i="20"/>
  <c r="P129" i="20"/>
  <c r="P130" i="20"/>
  <c r="P131" i="20"/>
  <c r="P132" i="20"/>
  <c r="P133" i="20"/>
  <c r="P134" i="20"/>
  <c r="P135" i="20"/>
  <c r="P136" i="20"/>
  <c r="P137" i="20"/>
  <c r="P138" i="20"/>
  <c r="P139" i="20"/>
  <c r="P140" i="20"/>
  <c r="P141" i="20"/>
  <c r="P142" i="20"/>
  <c r="P143" i="20"/>
  <c r="P144" i="20"/>
  <c r="P145" i="20"/>
  <c r="P146" i="20"/>
  <c r="P147" i="20"/>
  <c r="P148" i="20"/>
  <c r="P149" i="20"/>
  <c r="P150" i="20"/>
  <c r="P151" i="20"/>
  <c r="P152" i="20"/>
  <c r="P153" i="20"/>
  <c r="P154" i="20"/>
  <c r="P155" i="20"/>
  <c r="P156" i="20"/>
  <c r="P157" i="20"/>
  <c r="P158" i="20"/>
  <c r="P159" i="20"/>
  <c r="P160" i="20"/>
  <c r="P161" i="20"/>
  <c r="P162" i="20"/>
  <c r="P163" i="20"/>
  <c r="P164" i="20"/>
  <c r="P165" i="20"/>
  <c r="P166" i="20"/>
  <c r="P167" i="20"/>
  <c r="P168" i="20"/>
  <c r="P169" i="20"/>
  <c r="P170" i="20"/>
  <c r="P171" i="20"/>
  <c r="P172" i="20"/>
  <c r="P173" i="20"/>
  <c r="P174" i="20"/>
  <c r="P175" i="20"/>
  <c r="P176" i="20"/>
  <c r="P177" i="20"/>
  <c r="P178" i="20"/>
  <c r="P179" i="20"/>
  <c r="P180" i="20"/>
  <c r="P181" i="20"/>
  <c r="P182" i="20"/>
  <c r="P183" i="20"/>
  <c r="P184" i="20"/>
  <c r="P185" i="20"/>
  <c r="P186" i="20"/>
  <c r="P187" i="20"/>
  <c r="P188" i="20"/>
  <c r="P189" i="20"/>
  <c r="P190" i="20"/>
  <c r="P191" i="20"/>
  <c r="P192" i="20"/>
  <c r="P193" i="20"/>
  <c r="P194" i="20"/>
  <c r="P195" i="20"/>
  <c r="P196" i="20"/>
  <c r="P197" i="20"/>
  <c r="P198" i="20"/>
  <c r="P199" i="20"/>
  <c r="P200" i="20"/>
  <c r="P201" i="20"/>
  <c r="P202" i="20"/>
  <c r="P203" i="20"/>
  <c r="P204" i="20"/>
  <c r="P205" i="20"/>
  <c r="P206" i="20"/>
  <c r="P207" i="20"/>
  <c r="P208" i="20"/>
  <c r="P209" i="20"/>
  <c r="P210" i="20"/>
  <c r="P211" i="20"/>
  <c r="P212" i="20"/>
  <c r="P213" i="20"/>
  <c r="P214" i="20"/>
  <c r="P215" i="20"/>
  <c r="P216" i="20"/>
  <c r="P217" i="20"/>
  <c r="P218" i="20"/>
  <c r="P219" i="20"/>
  <c r="P220" i="20"/>
  <c r="P221" i="20"/>
  <c r="P222" i="20"/>
  <c r="P223" i="20"/>
  <c r="P224" i="20"/>
  <c r="P225" i="20"/>
  <c r="P226" i="20"/>
  <c r="P227" i="20"/>
  <c r="P228" i="20"/>
  <c r="P229" i="20"/>
  <c r="P230" i="20"/>
  <c r="P231" i="20"/>
  <c r="P232" i="20"/>
  <c r="P233" i="20"/>
  <c r="P234" i="20"/>
  <c r="P235" i="20"/>
  <c r="P236" i="20"/>
  <c r="P237" i="20"/>
  <c r="P238" i="20"/>
  <c r="P239" i="20"/>
  <c r="P240" i="20"/>
  <c r="P241" i="20"/>
  <c r="P242" i="20"/>
  <c r="P243" i="20"/>
  <c r="P244" i="20"/>
  <c r="P245" i="20"/>
  <c r="P246" i="20"/>
  <c r="P247" i="20"/>
  <c r="P248" i="20"/>
  <c r="P249" i="20"/>
  <c r="P250" i="20"/>
  <c r="P251" i="20"/>
  <c r="P252" i="20"/>
  <c r="P253" i="20"/>
  <c r="P254" i="20"/>
  <c r="P255" i="20"/>
  <c r="P256" i="20"/>
  <c r="P257" i="20"/>
  <c r="P258" i="20"/>
  <c r="P259" i="20"/>
  <c r="P260" i="20"/>
  <c r="P261" i="20"/>
  <c r="P262" i="20"/>
  <c r="P263" i="20"/>
  <c r="P264" i="20"/>
  <c r="P265" i="20"/>
  <c r="P266" i="20"/>
  <c r="P267" i="20"/>
  <c r="P268" i="20"/>
  <c r="P269" i="20"/>
  <c r="P270" i="20"/>
  <c r="P271" i="20"/>
  <c r="P272" i="20"/>
  <c r="P273" i="20"/>
  <c r="P274" i="20"/>
  <c r="P275" i="20"/>
  <c r="P276" i="20"/>
  <c r="P277" i="20"/>
  <c r="P278" i="20"/>
  <c r="P279" i="20"/>
  <c r="P280" i="20"/>
  <c r="P281" i="20"/>
  <c r="P282" i="20"/>
  <c r="P283" i="20"/>
  <c r="P284" i="20"/>
  <c r="P285" i="20"/>
  <c r="P286" i="20"/>
  <c r="P287" i="20"/>
  <c r="P288" i="20"/>
  <c r="P289" i="20"/>
  <c r="P290" i="20"/>
  <c r="P291" i="20"/>
  <c r="P292" i="20"/>
  <c r="P293" i="20"/>
  <c r="P294" i="20"/>
  <c r="P295" i="20"/>
  <c r="P296" i="20"/>
  <c r="P297" i="20"/>
  <c r="P298" i="20"/>
  <c r="P299" i="20"/>
  <c r="P300" i="20"/>
  <c r="P301" i="20"/>
  <c r="P302" i="20"/>
  <c r="P303" i="20"/>
  <c r="P304" i="20"/>
  <c r="P305" i="20"/>
  <c r="P306" i="20"/>
  <c r="P307" i="20"/>
  <c r="P308" i="20"/>
  <c r="P309" i="20"/>
  <c r="P310" i="20"/>
  <c r="P311" i="20"/>
  <c r="P312" i="20"/>
  <c r="P313" i="20"/>
  <c r="P314" i="20"/>
  <c r="P315" i="20"/>
  <c r="P316" i="20"/>
  <c r="P317" i="20"/>
  <c r="P318" i="20"/>
  <c r="P319" i="20"/>
  <c r="P320" i="20"/>
  <c r="P321" i="20"/>
  <c r="P322" i="20"/>
  <c r="P323" i="20"/>
  <c r="P324" i="20"/>
  <c r="P325" i="20"/>
  <c r="P326" i="20"/>
  <c r="P327" i="20"/>
  <c r="P328" i="20"/>
  <c r="P329" i="20"/>
  <c r="P330" i="20"/>
  <c r="P331" i="20"/>
  <c r="P332" i="20"/>
  <c r="P333" i="20"/>
  <c r="P334" i="20"/>
  <c r="P335" i="20"/>
  <c r="P336" i="20"/>
  <c r="P337" i="20"/>
  <c r="P338" i="20"/>
  <c r="P339" i="20"/>
  <c r="P340" i="20"/>
  <c r="P341" i="20"/>
  <c r="P342" i="20"/>
  <c r="P343" i="20"/>
  <c r="P344" i="20"/>
  <c r="P345" i="20"/>
  <c r="P346" i="20"/>
  <c r="P347" i="20"/>
  <c r="P348" i="20"/>
  <c r="P349" i="20"/>
  <c r="P350" i="20"/>
  <c r="P351" i="20"/>
  <c r="P352" i="20"/>
  <c r="P353" i="20"/>
  <c r="P354" i="20"/>
  <c r="P355" i="20"/>
  <c r="P356" i="20"/>
  <c r="P357" i="20"/>
  <c r="P358" i="20"/>
  <c r="P359" i="20"/>
  <c r="P360" i="20"/>
  <c r="P361" i="20"/>
  <c r="P362" i="20"/>
  <c r="P363" i="20"/>
  <c r="P364" i="20"/>
  <c r="P365" i="20"/>
  <c r="P366" i="20"/>
  <c r="P367" i="20"/>
  <c r="P368" i="20"/>
  <c r="P369" i="20"/>
  <c r="P370" i="20"/>
  <c r="P371" i="20"/>
  <c r="P372" i="20"/>
  <c r="P373" i="20"/>
  <c r="P374" i="20"/>
  <c r="P375" i="20"/>
  <c r="P376" i="20"/>
  <c r="P377" i="20"/>
  <c r="P378" i="20"/>
  <c r="P379" i="20"/>
  <c r="P380" i="20"/>
  <c r="P381" i="20"/>
  <c r="P382" i="20"/>
  <c r="P383" i="20"/>
  <c r="P384" i="20"/>
  <c r="P385" i="20"/>
  <c r="P386" i="20"/>
  <c r="P387" i="20"/>
  <c r="P388" i="20"/>
  <c r="P389" i="20"/>
  <c r="P390" i="20"/>
  <c r="P391" i="20"/>
  <c r="P392" i="20"/>
  <c r="P393" i="20"/>
  <c r="P394" i="20"/>
  <c r="P395" i="20"/>
  <c r="P396" i="20"/>
  <c r="P397" i="20"/>
  <c r="P398" i="20"/>
  <c r="P399" i="20"/>
  <c r="P400" i="20"/>
  <c r="P401" i="20"/>
  <c r="P402" i="20"/>
  <c r="P403" i="20"/>
  <c r="P404" i="20"/>
  <c r="P405" i="20"/>
  <c r="P406" i="20"/>
  <c r="P407" i="20"/>
  <c r="P408" i="20"/>
  <c r="P409" i="20"/>
  <c r="P410" i="20"/>
  <c r="P411" i="20"/>
  <c r="P412" i="20"/>
  <c r="P413" i="20"/>
  <c r="P414" i="20"/>
  <c r="P415" i="20"/>
  <c r="P416" i="20"/>
  <c r="P417" i="20"/>
  <c r="P418" i="20"/>
  <c r="P419" i="20"/>
  <c r="P420" i="20"/>
  <c r="P421" i="20"/>
  <c r="P422" i="20"/>
  <c r="P423" i="20"/>
  <c r="P424" i="20"/>
  <c r="P425" i="20"/>
  <c r="P426" i="20"/>
  <c r="P427" i="20"/>
  <c r="P428" i="20"/>
  <c r="P429" i="20"/>
  <c r="P430" i="20"/>
  <c r="P431" i="20"/>
  <c r="P432" i="20"/>
  <c r="P433" i="20"/>
  <c r="P434" i="20"/>
  <c r="P435" i="20"/>
  <c r="P436" i="20"/>
  <c r="P437" i="20"/>
  <c r="P438" i="20"/>
  <c r="P439" i="20"/>
  <c r="P440" i="20"/>
  <c r="P441" i="20"/>
  <c r="P442" i="20"/>
  <c r="P443" i="20"/>
  <c r="P444" i="20"/>
  <c r="P445" i="20"/>
  <c r="P446" i="20"/>
  <c r="P447" i="20"/>
  <c r="P448" i="20"/>
  <c r="P449" i="20"/>
  <c r="P450" i="20"/>
  <c r="P451" i="20"/>
  <c r="P452" i="20"/>
  <c r="P453" i="20"/>
  <c r="P454" i="20"/>
  <c r="P455" i="20"/>
  <c r="P456" i="20"/>
  <c r="P457" i="20"/>
  <c r="P458" i="20"/>
  <c r="P459" i="20"/>
  <c r="P460" i="20"/>
  <c r="P461" i="20"/>
  <c r="P462" i="20"/>
  <c r="P463" i="20"/>
  <c r="P464" i="20"/>
  <c r="P465" i="20"/>
  <c r="P466" i="20"/>
  <c r="P467" i="20"/>
  <c r="P468" i="20"/>
  <c r="P469" i="20"/>
  <c r="P470" i="20"/>
  <c r="P471" i="20"/>
  <c r="P472" i="20"/>
  <c r="P473" i="20"/>
  <c r="P474" i="20"/>
  <c r="P475" i="20"/>
  <c r="P476" i="20"/>
  <c r="P477" i="20"/>
  <c r="P478" i="20"/>
  <c r="P479" i="20"/>
  <c r="P480" i="20"/>
  <c r="P481" i="20"/>
  <c r="P482" i="20"/>
  <c r="P483" i="20"/>
  <c r="P484" i="20"/>
  <c r="P485" i="20"/>
  <c r="P486" i="20"/>
  <c r="P487" i="20"/>
  <c r="P488" i="20"/>
  <c r="P489" i="20"/>
  <c r="P490" i="20"/>
  <c r="P491" i="20"/>
  <c r="P492" i="20"/>
  <c r="P493" i="20"/>
  <c r="P494" i="20"/>
  <c r="P495" i="20"/>
  <c r="P496" i="20"/>
  <c r="P497" i="20"/>
  <c r="P498" i="20"/>
  <c r="P499" i="20"/>
  <c r="P500" i="20"/>
  <c r="P501" i="20"/>
  <c r="P502" i="20"/>
  <c r="P503" i="20"/>
  <c r="P504" i="20"/>
  <c r="P505" i="20"/>
  <c r="P506" i="20"/>
  <c r="P507" i="20"/>
  <c r="P508" i="20"/>
  <c r="P509" i="20"/>
  <c r="P510" i="20"/>
  <c r="P511" i="20"/>
  <c r="P512" i="20"/>
  <c r="P513" i="20"/>
  <c r="P514" i="20"/>
  <c r="P515" i="20"/>
  <c r="P516" i="20"/>
  <c r="P517" i="20"/>
  <c r="P518" i="20"/>
  <c r="P519" i="20"/>
  <c r="P520" i="20"/>
  <c r="P521" i="20"/>
  <c r="P522" i="20"/>
  <c r="P523" i="20"/>
  <c r="P524" i="20"/>
  <c r="P525" i="20"/>
  <c r="P526" i="20"/>
  <c r="P527" i="20"/>
  <c r="P528" i="20"/>
  <c r="P529" i="20"/>
  <c r="P530" i="20"/>
  <c r="P531" i="20"/>
  <c r="P532" i="20"/>
  <c r="P533" i="20"/>
  <c r="P534" i="20"/>
  <c r="P535" i="20"/>
  <c r="P536" i="20"/>
  <c r="P537" i="20"/>
  <c r="P538" i="20"/>
  <c r="P539" i="20"/>
  <c r="P540" i="20"/>
  <c r="P541" i="20"/>
  <c r="P542" i="20"/>
  <c r="P543" i="20"/>
  <c r="P544" i="20"/>
  <c r="P545" i="20"/>
  <c r="P546" i="20"/>
  <c r="P547" i="20"/>
  <c r="P548" i="20"/>
  <c r="P549" i="20"/>
  <c r="P550" i="20"/>
  <c r="P551" i="20"/>
  <c r="P552" i="20"/>
  <c r="P553" i="20"/>
  <c r="P554" i="20"/>
  <c r="P555" i="20"/>
  <c r="P556" i="20"/>
  <c r="P557" i="20"/>
  <c r="P558" i="20"/>
  <c r="P559" i="20"/>
  <c r="P560" i="20"/>
  <c r="P561" i="20"/>
  <c r="P562" i="20"/>
  <c r="P563" i="20"/>
  <c r="P564" i="20"/>
  <c r="P565" i="20"/>
  <c r="P566" i="20"/>
  <c r="P567" i="20"/>
  <c r="P568" i="20"/>
  <c r="P569" i="20"/>
  <c r="P570" i="20"/>
  <c r="P571" i="20"/>
  <c r="P572" i="20"/>
  <c r="P573" i="20"/>
  <c r="P574" i="20"/>
  <c r="P575" i="20"/>
  <c r="P576" i="20"/>
  <c r="P577" i="20"/>
  <c r="P578" i="20"/>
  <c r="P579" i="20"/>
  <c r="P580" i="20"/>
  <c r="P581" i="20"/>
  <c r="P582" i="20"/>
  <c r="P583" i="20"/>
  <c r="P584" i="20"/>
  <c r="P585" i="20"/>
  <c r="P586" i="20"/>
  <c r="P587" i="20"/>
  <c r="P588" i="20"/>
  <c r="P589" i="20"/>
  <c r="P590" i="20"/>
  <c r="P591" i="20"/>
  <c r="P592" i="20"/>
  <c r="P593" i="20"/>
  <c r="P594" i="20"/>
  <c r="P595" i="20"/>
  <c r="P596" i="20"/>
  <c r="P597" i="20"/>
  <c r="P598" i="20"/>
  <c r="P599" i="20"/>
  <c r="P600" i="20"/>
  <c r="P601" i="20"/>
  <c r="P602" i="20"/>
  <c r="P603" i="20"/>
  <c r="P604" i="20"/>
  <c r="P605" i="20"/>
  <c r="P606" i="20"/>
  <c r="P607" i="20"/>
  <c r="P608" i="20"/>
  <c r="P609" i="20"/>
  <c r="P610" i="20"/>
  <c r="P611" i="20"/>
  <c r="P612" i="20"/>
  <c r="P613" i="20"/>
  <c r="P614" i="20"/>
  <c r="P615" i="20"/>
  <c r="P616" i="20"/>
  <c r="P617" i="20"/>
  <c r="P618" i="20"/>
  <c r="P619" i="20"/>
  <c r="P620" i="20"/>
  <c r="P621" i="20"/>
  <c r="P622" i="20"/>
  <c r="P623" i="20"/>
  <c r="P624" i="20"/>
  <c r="P625" i="20"/>
  <c r="P626" i="20"/>
  <c r="P627" i="20"/>
  <c r="P628" i="20"/>
  <c r="P629" i="20"/>
  <c r="P630" i="20"/>
  <c r="P631" i="20"/>
  <c r="P632" i="20"/>
  <c r="P633" i="20"/>
  <c r="P634" i="20"/>
  <c r="P635" i="20"/>
  <c r="P636" i="20"/>
  <c r="P637" i="20"/>
  <c r="P638" i="20"/>
  <c r="P639" i="20"/>
  <c r="P640" i="20"/>
  <c r="P641" i="20"/>
  <c r="P642" i="20"/>
  <c r="P643" i="20"/>
  <c r="P644" i="20"/>
  <c r="P645" i="20"/>
  <c r="P646" i="20"/>
  <c r="P647" i="20"/>
  <c r="P648" i="20"/>
  <c r="P649" i="20"/>
  <c r="P650" i="20"/>
  <c r="P651" i="20"/>
  <c r="P652" i="20"/>
  <c r="P653" i="20"/>
  <c r="P654" i="20"/>
  <c r="P655" i="20"/>
  <c r="P656" i="20"/>
  <c r="P657" i="20"/>
  <c r="P658" i="20"/>
  <c r="P659" i="20"/>
  <c r="P660" i="20"/>
  <c r="P661" i="20"/>
  <c r="P662" i="20"/>
  <c r="P663" i="20"/>
  <c r="P664" i="20"/>
  <c r="P665" i="20"/>
  <c r="P666" i="20"/>
  <c r="P667" i="20"/>
  <c r="P668" i="20"/>
  <c r="P669" i="20"/>
  <c r="P670" i="20"/>
  <c r="P671" i="20"/>
  <c r="P672" i="20"/>
  <c r="P673" i="20"/>
  <c r="P674" i="20"/>
  <c r="P675" i="20"/>
  <c r="P676" i="20"/>
  <c r="P677" i="20"/>
  <c r="P678" i="20"/>
  <c r="P679" i="20"/>
  <c r="P680" i="20"/>
  <c r="P681" i="20"/>
  <c r="P682" i="20"/>
  <c r="P683" i="20"/>
  <c r="P684" i="20"/>
  <c r="P685" i="20"/>
  <c r="P686" i="20"/>
  <c r="P687" i="20"/>
  <c r="P688" i="20"/>
  <c r="P689" i="20"/>
  <c r="P690" i="20"/>
  <c r="P691" i="20"/>
  <c r="P692" i="20"/>
  <c r="P693" i="20"/>
  <c r="P694" i="20"/>
  <c r="P695" i="20"/>
  <c r="P696" i="20"/>
  <c r="P697" i="20"/>
  <c r="P698" i="20"/>
  <c r="P699" i="20"/>
  <c r="P700" i="20"/>
  <c r="P701" i="20"/>
  <c r="P702" i="20"/>
  <c r="P703" i="20"/>
  <c r="P704" i="20"/>
  <c r="P705" i="20"/>
  <c r="P706" i="20"/>
  <c r="P707" i="20"/>
  <c r="P708" i="20"/>
  <c r="P709" i="20"/>
  <c r="P710" i="20"/>
  <c r="P711" i="20"/>
  <c r="P712" i="20"/>
  <c r="P713" i="20"/>
  <c r="P714" i="20"/>
  <c r="P715" i="20"/>
  <c r="P716" i="20"/>
  <c r="P717" i="20"/>
  <c r="P718" i="20"/>
  <c r="P719" i="20"/>
  <c r="P720" i="20"/>
  <c r="P721" i="20"/>
  <c r="P722" i="20"/>
  <c r="P723" i="20"/>
  <c r="P724" i="20"/>
  <c r="P725" i="20"/>
  <c r="P726" i="20"/>
  <c r="P727" i="20"/>
  <c r="P728" i="20"/>
  <c r="P729" i="20"/>
  <c r="P730" i="20"/>
  <c r="P731" i="20"/>
  <c r="P732" i="20"/>
  <c r="P733" i="20"/>
  <c r="P734" i="20"/>
  <c r="P735" i="20"/>
  <c r="P736" i="20"/>
  <c r="P737" i="20"/>
  <c r="P738" i="20"/>
  <c r="P739" i="20"/>
  <c r="P740" i="20"/>
  <c r="P741" i="20"/>
  <c r="P742" i="20"/>
  <c r="P743" i="20"/>
  <c r="P744" i="20"/>
  <c r="P745" i="20"/>
  <c r="P746" i="20"/>
  <c r="P747" i="20"/>
  <c r="P748" i="20"/>
  <c r="P749" i="20"/>
  <c r="P750" i="20"/>
  <c r="P751" i="20"/>
  <c r="P752" i="20"/>
  <c r="P753" i="20"/>
  <c r="P754" i="20"/>
  <c r="P755" i="20"/>
  <c r="P756" i="20"/>
  <c r="P757" i="20"/>
  <c r="P758" i="20"/>
  <c r="P759" i="20"/>
  <c r="P760" i="20"/>
  <c r="P761" i="20"/>
  <c r="P762" i="20"/>
  <c r="P763" i="20"/>
  <c r="P764" i="20"/>
  <c r="P765" i="20"/>
  <c r="P766" i="20"/>
  <c r="P767" i="20"/>
  <c r="P768" i="20"/>
  <c r="P769" i="20"/>
  <c r="P770" i="20"/>
  <c r="P771" i="20"/>
  <c r="P772" i="20"/>
  <c r="P773" i="20"/>
  <c r="P774" i="20"/>
  <c r="P775" i="20"/>
  <c r="P776" i="20"/>
  <c r="P777" i="20"/>
  <c r="P778" i="20"/>
  <c r="P779" i="20"/>
  <c r="P780" i="20"/>
  <c r="P781" i="20"/>
  <c r="P782" i="20"/>
  <c r="P783" i="20"/>
  <c r="P784" i="20"/>
  <c r="P785" i="20"/>
  <c r="P786" i="20"/>
  <c r="P787" i="20"/>
  <c r="P788" i="20"/>
  <c r="P789" i="20"/>
  <c r="P790" i="20"/>
  <c r="P791" i="20"/>
  <c r="P792" i="20"/>
  <c r="P793" i="20"/>
  <c r="P794" i="20"/>
  <c r="P852" i="20"/>
  <c r="P853" i="20"/>
  <c r="P854" i="20"/>
  <c r="P855" i="20"/>
  <c r="P856" i="20"/>
  <c r="P857" i="20"/>
  <c r="P858" i="20"/>
  <c r="P859" i="20"/>
  <c r="P860" i="20"/>
  <c r="P861" i="20"/>
  <c r="P862" i="20"/>
  <c r="P863" i="20"/>
  <c r="P864" i="20"/>
  <c r="P865" i="20"/>
  <c r="P866" i="20"/>
  <c r="P867" i="20"/>
  <c r="P868" i="20"/>
  <c r="P869" i="20"/>
  <c r="P870" i="20"/>
  <c r="P871" i="20"/>
  <c r="P872" i="20"/>
  <c r="P873" i="20"/>
  <c r="P874" i="20"/>
  <c r="P875" i="20"/>
  <c r="P876" i="20"/>
  <c r="P877" i="20"/>
  <c r="P878" i="20"/>
  <c r="P879" i="20"/>
  <c r="P880" i="20"/>
  <c r="P881" i="20"/>
  <c r="P882" i="20"/>
  <c r="P883" i="20"/>
  <c r="P884" i="20"/>
  <c r="P885" i="20"/>
  <c r="P886" i="20"/>
  <c r="P887" i="20"/>
  <c r="P888" i="20"/>
  <c r="P889" i="20"/>
  <c r="P890" i="20"/>
  <c r="P891" i="20"/>
  <c r="P892" i="20"/>
  <c r="P893" i="20"/>
  <c r="P894" i="20"/>
  <c r="P895" i="20"/>
  <c r="P896" i="20"/>
  <c r="P897" i="20"/>
  <c r="P898" i="20"/>
  <c r="P899" i="20"/>
  <c r="P900" i="20"/>
  <c r="P901" i="20"/>
  <c r="P902" i="20"/>
  <c r="P903" i="20"/>
  <c r="P904" i="20"/>
  <c r="P905" i="20"/>
  <c r="P906" i="20"/>
  <c r="P907" i="20"/>
  <c r="P908" i="20"/>
  <c r="P909" i="20"/>
  <c r="P910" i="20"/>
  <c r="P911" i="20"/>
  <c r="P912" i="20"/>
  <c r="P913" i="20"/>
  <c r="P914" i="20"/>
  <c r="P915" i="20"/>
  <c r="P916" i="20"/>
  <c r="P917" i="20"/>
  <c r="P918" i="20"/>
  <c r="P919" i="20"/>
  <c r="P920" i="20"/>
  <c r="P921" i="20"/>
  <c r="P922" i="20"/>
  <c r="P923" i="20"/>
  <c r="P924" i="20"/>
  <c r="P925" i="20"/>
  <c r="P926" i="20"/>
  <c r="P927" i="20"/>
  <c r="P928" i="20"/>
  <c r="P929" i="20"/>
  <c r="P930" i="20"/>
  <c r="P931" i="20"/>
  <c r="P932" i="20"/>
  <c r="P933" i="20"/>
  <c r="P934" i="20"/>
  <c r="P935" i="20"/>
  <c r="P936" i="20"/>
  <c r="P937" i="20"/>
  <c r="P938" i="20"/>
  <c r="P939" i="20"/>
  <c r="P940" i="20"/>
  <c r="P941" i="20"/>
  <c r="P942" i="20"/>
  <c r="P943" i="20"/>
  <c r="P944" i="20"/>
  <c r="P945" i="20"/>
  <c r="P946" i="20"/>
  <c r="P947" i="20"/>
  <c r="P948" i="20"/>
  <c r="P949" i="20"/>
  <c r="P950" i="20"/>
  <c r="P951" i="20"/>
  <c r="P952" i="20"/>
  <c r="P953" i="20"/>
  <c r="P954" i="20"/>
  <c r="P955" i="20"/>
  <c r="P956" i="20"/>
  <c r="P957" i="20"/>
  <c r="P958" i="20"/>
  <c r="P959" i="20"/>
  <c r="P960" i="20"/>
  <c r="P961" i="20"/>
  <c r="P962" i="20"/>
  <c r="P963" i="20"/>
  <c r="P964" i="20"/>
  <c r="P965" i="20"/>
  <c r="P966" i="20"/>
  <c r="P967" i="20"/>
  <c r="P968" i="20"/>
  <c r="P969" i="20"/>
  <c r="P970" i="20"/>
  <c r="P971" i="20"/>
  <c r="P972" i="20"/>
  <c r="P973" i="20"/>
  <c r="P974" i="20"/>
  <c r="P975" i="20"/>
  <c r="P976" i="20"/>
  <c r="P977" i="20"/>
  <c r="P978" i="20"/>
  <c r="P979" i="20"/>
  <c r="P980" i="20"/>
  <c r="P981" i="20"/>
  <c r="P982" i="20"/>
  <c r="P983" i="20"/>
  <c r="P984" i="20"/>
  <c r="P985" i="20"/>
  <c r="P986" i="20"/>
  <c r="P987" i="20"/>
  <c r="P988" i="20"/>
  <c r="P989" i="20"/>
  <c r="P990" i="20"/>
  <c r="P991" i="20"/>
  <c r="P992" i="20"/>
  <c r="P993" i="20"/>
  <c r="P994" i="20"/>
  <c r="P995" i="20"/>
  <c r="P996" i="20"/>
  <c r="P997" i="20"/>
  <c r="P998" i="20"/>
  <c r="P999" i="20"/>
  <c r="P1000" i="20"/>
  <c r="P1001" i="20"/>
  <c r="P1002" i="20"/>
  <c r="P1003" i="20"/>
  <c r="P1004" i="20"/>
  <c r="P1005" i="20"/>
  <c r="P1006" i="20"/>
  <c r="P1007" i="20"/>
  <c r="P1008" i="20"/>
  <c r="P1009" i="20"/>
  <c r="P1010" i="20"/>
  <c r="P1011" i="20"/>
  <c r="P1012" i="20"/>
  <c r="P1013" i="20"/>
  <c r="P1014" i="20"/>
  <c r="P1015" i="20"/>
  <c r="P1016" i="20"/>
  <c r="P1017" i="20"/>
  <c r="P1018" i="20"/>
  <c r="P1019" i="20"/>
  <c r="P1020" i="20"/>
  <c r="P1021" i="20"/>
  <c r="P1022" i="20"/>
  <c r="P1023" i="20"/>
  <c r="P1024" i="20"/>
  <c r="P1025" i="20"/>
  <c r="P1026" i="20"/>
  <c r="P1027" i="20"/>
  <c r="P1028" i="20"/>
  <c r="P1029" i="20"/>
  <c r="P1030" i="20"/>
  <c r="P1031" i="20"/>
  <c r="P1032" i="20"/>
  <c r="P1033" i="20"/>
  <c r="P1034" i="20"/>
  <c r="P1035" i="20"/>
  <c r="P1036" i="20"/>
  <c r="P1037" i="20"/>
  <c r="P1038" i="20"/>
  <c r="P1039" i="20"/>
  <c r="P1040" i="20"/>
  <c r="P1041" i="20"/>
  <c r="P1042" i="20"/>
  <c r="P1043" i="20"/>
  <c r="P1044" i="20"/>
  <c r="P1045" i="20"/>
  <c r="P1046" i="20"/>
  <c r="P1047" i="20"/>
  <c r="P1048" i="20"/>
  <c r="P1049" i="20"/>
  <c r="P1050" i="20"/>
  <c r="P1051" i="20"/>
  <c r="P1052" i="20"/>
  <c r="P1053" i="20"/>
  <c r="P1054" i="20"/>
  <c r="P1055" i="20"/>
  <c r="P1056" i="20"/>
  <c r="P1057" i="20"/>
  <c r="P1058" i="20"/>
  <c r="P1059" i="20"/>
  <c r="P1060" i="20"/>
  <c r="P1061" i="20"/>
  <c r="P1062" i="20"/>
  <c r="P1063" i="20"/>
  <c r="P1064" i="20"/>
  <c r="P1065" i="20"/>
  <c r="P1066" i="20"/>
  <c r="P1067" i="20"/>
  <c r="P1068" i="20"/>
  <c r="P1069" i="20"/>
  <c r="P1070" i="20"/>
  <c r="P1071" i="20"/>
  <c r="P1072" i="20"/>
  <c r="P1073" i="20"/>
  <c r="P1074" i="20"/>
  <c r="P1075" i="20"/>
  <c r="P1076" i="20"/>
  <c r="P1077" i="20"/>
  <c r="P1078" i="20"/>
  <c r="P1079" i="20"/>
  <c r="P1080" i="20"/>
  <c r="P1081" i="20"/>
  <c r="P1082" i="20"/>
  <c r="P1083" i="20"/>
  <c r="P1084" i="20"/>
  <c r="P1085" i="20"/>
  <c r="P1086" i="20"/>
  <c r="P1087" i="20"/>
  <c r="P1088" i="20"/>
  <c r="P1089" i="20"/>
  <c r="P1090" i="20"/>
  <c r="P1091" i="20"/>
  <c r="P1092" i="20"/>
  <c r="P1093" i="20"/>
  <c r="P1094" i="20"/>
  <c r="P1095" i="20"/>
  <c r="P1096" i="20"/>
  <c r="P1097" i="20"/>
  <c r="P1098" i="20"/>
  <c r="P1099" i="20"/>
  <c r="P1100" i="20"/>
  <c r="P1101" i="20"/>
  <c r="P1102" i="20"/>
  <c r="P1103" i="20"/>
  <c r="P1104" i="20"/>
  <c r="P1105" i="20"/>
  <c r="P1106" i="20"/>
  <c r="P1107" i="20"/>
  <c r="P1108" i="20"/>
  <c r="P1109" i="20"/>
  <c r="P1110" i="20"/>
  <c r="P1111" i="20"/>
  <c r="P1112" i="20"/>
  <c r="P1113" i="20"/>
  <c r="P1114" i="20"/>
  <c r="P1115" i="20"/>
  <c r="P1116" i="20"/>
  <c r="P1117" i="20"/>
  <c r="P1118" i="20"/>
  <c r="P1119" i="20"/>
  <c r="P1120" i="20"/>
  <c r="P1121" i="20"/>
  <c r="P1122" i="20"/>
  <c r="P1123" i="20"/>
  <c r="P1124" i="20"/>
  <c r="P1125" i="20"/>
  <c r="P1126" i="20"/>
  <c r="P1127" i="20"/>
  <c r="P1128" i="20"/>
  <c r="P1129" i="20"/>
  <c r="P1130" i="20"/>
  <c r="P1131" i="20"/>
  <c r="P1132" i="20"/>
  <c r="P1133" i="20"/>
  <c r="P1134" i="20"/>
  <c r="P1135" i="20"/>
  <c r="P1136" i="20"/>
  <c r="P1137" i="20"/>
  <c r="P1138" i="20"/>
  <c r="P1139" i="20"/>
  <c r="P1140" i="20"/>
  <c r="P1141" i="20"/>
  <c r="P1142" i="20"/>
  <c r="P1143" i="20"/>
  <c r="P1144" i="20"/>
  <c r="P1145" i="20"/>
  <c r="P1146" i="20"/>
  <c r="P1147" i="20"/>
  <c r="P1148" i="20"/>
  <c r="P1149" i="20"/>
  <c r="P1150" i="20"/>
  <c r="P1151" i="20"/>
  <c r="P1152" i="20"/>
  <c r="P1153" i="20"/>
  <c r="P1154" i="20"/>
  <c r="P1155" i="20"/>
  <c r="P1156" i="20"/>
  <c r="P1157" i="20"/>
  <c r="P1158" i="20"/>
  <c r="P1159" i="20"/>
  <c r="P1160" i="20"/>
  <c r="P1161" i="20"/>
  <c r="P1162" i="20"/>
  <c r="P1163" i="20"/>
  <c r="P1164" i="20"/>
  <c r="P1165" i="20"/>
  <c r="P1166" i="20"/>
  <c r="P1167" i="20"/>
  <c r="P1168" i="20"/>
  <c r="P1169" i="20"/>
  <c r="P1170" i="20"/>
  <c r="P1171" i="20"/>
  <c r="P1172" i="20"/>
  <c r="P1173" i="20"/>
  <c r="P1174" i="20"/>
  <c r="P1175" i="20"/>
  <c r="P1176" i="20"/>
  <c r="P1177" i="20"/>
  <c r="P1178" i="20"/>
  <c r="P1179" i="20"/>
  <c r="P1180" i="20"/>
  <c r="P1181" i="20"/>
  <c r="P1182" i="20"/>
  <c r="P1183" i="20"/>
  <c r="P1184" i="20"/>
  <c r="P1185" i="20"/>
  <c r="P1186" i="20"/>
  <c r="P1187" i="20"/>
  <c r="P1188" i="20"/>
  <c r="P1189" i="20"/>
  <c r="P1190" i="20"/>
  <c r="P1191" i="20"/>
  <c r="P1192" i="20"/>
  <c r="P1193" i="20"/>
  <c r="P1194" i="20"/>
  <c r="P1195" i="20"/>
  <c r="P1196" i="20"/>
  <c r="P1197" i="20"/>
  <c r="P1198" i="20"/>
  <c r="P1199" i="20"/>
  <c r="P1200" i="20"/>
  <c r="P1201" i="20"/>
  <c r="P1202" i="20"/>
  <c r="P1203" i="20"/>
  <c r="P1204" i="20"/>
  <c r="P1205" i="20"/>
  <c r="P1206" i="20"/>
  <c r="P1207" i="20"/>
  <c r="P1208" i="20"/>
  <c r="P1209" i="20"/>
  <c r="P1210" i="20"/>
  <c r="P1211" i="20"/>
  <c r="P1212" i="20"/>
  <c r="P1213" i="20"/>
  <c r="P1214" i="20"/>
  <c r="P1215" i="20"/>
  <c r="P1216" i="20"/>
  <c r="P1217" i="20"/>
  <c r="P1218" i="20"/>
  <c r="P1219" i="20"/>
  <c r="P1220" i="20"/>
  <c r="P1221" i="20"/>
  <c r="P1222" i="20"/>
  <c r="P1223" i="20"/>
  <c r="P1224" i="20"/>
  <c r="P1225" i="20"/>
  <c r="P1226" i="20"/>
  <c r="P1227" i="20"/>
  <c r="P1228" i="20"/>
  <c r="P1229" i="20"/>
  <c r="P1230" i="20"/>
  <c r="P1231" i="20"/>
  <c r="P1232" i="20"/>
  <c r="P1233" i="20"/>
  <c r="P1234" i="20"/>
  <c r="P1235" i="20"/>
  <c r="P1236" i="20"/>
  <c r="P1237" i="20"/>
  <c r="P1238" i="20"/>
  <c r="P1239" i="20"/>
  <c r="P1240" i="20"/>
  <c r="P1241" i="20"/>
  <c r="P1242" i="20"/>
  <c r="P1243" i="20"/>
  <c r="P1244" i="20"/>
  <c r="P1245" i="20"/>
  <c r="P1246" i="20"/>
  <c r="P1247" i="20"/>
  <c r="P1248" i="20"/>
  <c r="P1249" i="20"/>
  <c r="P1250" i="20"/>
  <c r="P1251" i="20"/>
  <c r="P1252" i="20"/>
  <c r="P1253" i="20"/>
  <c r="P1254" i="20"/>
  <c r="P1255" i="20"/>
  <c r="P1256" i="20"/>
  <c r="P1257" i="20"/>
  <c r="P1258" i="20"/>
  <c r="P1259" i="20"/>
  <c r="P1260" i="20"/>
  <c r="P1261" i="20"/>
  <c r="P1262" i="20"/>
  <c r="P1263" i="20"/>
  <c r="P1264" i="20"/>
  <c r="P1265" i="20"/>
  <c r="P1266" i="20"/>
  <c r="P1267" i="20"/>
  <c r="P1268" i="20"/>
  <c r="P1269" i="20"/>
  <c r="P1270" i="20"/>
  <c r="P1271" i="20"/>
  <c r="P1272" i="20"/>
  <c r="P1273" i="20"/>
  <c r="P1274" i="20"/>
  <c r="P1275" i="20"/>
  <c r="P1276" i="20"/>
  <c r="P1277" i="20"/>
  <c r="P1278" i="20"/>
  <c r="P1279" i="20"/>
  <c r="P1280" i="20"/>
  <c r="P1281" i="20"/>
  <c r="P1282" i="20"/>
  <c r="P1283" i="20"/>
  <c r="P1284" i="20"/>
  <c r="P1285" i="20"/>
  <c r="P1286" i="20"/>
  <c r="P1287" i="20"/>
  <c r="P1288" i="20"/>
  <c r="P1289" i="20"/>
  <c r="P1290" i="20"/>
  <c r="P1291" i="20"/>
  <c r="P1292" i="20"/>
  <c r="P1293" i="20"/>
  <c r="P1294" i="20"/>
  <c r="P1295" i="20"/>
  <c r="P1296" i="20"/>
  <c r="P1297" i="20"/>
  <c r="P1298" i="20"/>
  <c r="P1299" i="20"/>
  <c r="P1300" i="20"/>
  <c r="P1301" i="20"/>
  <c r="P1302" i="20"/>
  <c r="P1303" i="20"/>
  <c r="P1304" i="20"/>
  <c r="P1305" i="20"/>
  <c r="P1306" i="20"/>
  <c r="P1307" i="20"/>
  <c r="P1308" i="20"/>
  <c r="P1309" i="20"/>
  <c r="P1310" i="20"/>
  <c r="P1311" i="20"/>
  <c r="P1312" i="20"/>
  <c r="P1313" i="20"/>
  <c r="P1314" i="20"/>
  <c r="P1315" i="20"/>
  <c r="P1316" i="20"/>
  <c r="P1317" i="20"/>
  <c r="P1318" i="20"/>
  <c r="P1319" i="20"/>
  <c r="P1320" i="20"/>
  <c r="P1321" i="20"/>
  <c r="P1322" i="20"/>
  <c r="P1323" i="20"/>
  <c r="P1324" i="20"/>
  <c r="P1325" i="20"/>
  <c r="P1326" i="20"/>
  <c r="P1327" i="20"/>
  <c r="P1328" i="20"/>
  <c r="P1329" i="20"/>
  <c r="P1330" i="20"/>
  <c r="P1331" i="20"/>
  <c r="P1332" i="20"/>
  <c r="P1333" i="20"/>
  <c r="P1334" i="20"/>
  <c r="P1335" i="20"/>
  <c r="P1336" i="20"/>
  <c r="P1337" i="20"/>
  <c r="P1338" i="20"/>
  <c r="P1339" i="20"/>
  <c r="P1340" i="20"/>
  <c r="P1341" i="20"/>
  <c r="P1342" i="20"/>
  <c r="P1343" i="20"/>
  <c r="P1344" i="20"/>
  <c r="P1345" i="20"/>
  <c r="P1346" i="20"/>
  <c r="P1347" i="20"/>
  <c r="P1348" i="20"/>
  <c r="P1349" i="20"/>
  <c r="P1350" i="20"/>
  <c r="P1351" i="20"/>
  <c r="P1352" i="20"/>
  <c r="P1353" i="20"/>
  <c r="P1354" i="20"/>
  <c r="P1355" i="20"/>
  <c r="P1356" i="20"/>
  <c r="P1357" i="20"/>
  <c r="P1358" i="20"/>
  <c r="P1359" i="20"/>
  <c r="P1360" i="20"/>
  <c r="P1361" i="20"/>
  <c r="P1362" i="20"/>
  <c r="P1363" i="20"/>
  <c r="P1364" i="20"/>
  <c r="P1365" i="20"/>
  <c r="P1366" i="20"/>
  <c r="P1367" i="20"/>
  <c r="P1368" i="20"/>
  <c r="P1369" i="20"/>
  <c r="P1370" i="20"/>
  <c r="P1371" i="20"/>
  <c r="P1372" i="20"/>
  <c r="P1373" i="20"/>
  <c r="P1374" i="20"/>
  <c r="P1375" i="20"/>
  <c r="P1376" i="20"/>
  <c r="P1377" i="20"/>
  <c r="P1378" i="20"/>
  <c r="P1379" i="20"/>
  <c r="P1380" i="20"/>
  <c r="P1381" i="20"/>
  <c r="P1382" i="20"/>
  <c r="P1383" i="20"/>
  <c r="P1384" i="20"/>
  <c r="P1385" i="20"/>
  <c r="P1386" i="20"/>
  <c r="P1387" i="20"/>
  <c r="P1388" i="20"/>
  <c r="P1389" i="20"/>
  <c r="P1390" i="20"/>
  <c r="P1391" i="20"/>
  <c r="P1392" i="20"/>
  <c r="P1393" i="20"/>
  <c r="P1394" i="20"/>
  <c r="P1395" i="20"/>
  <c r="P1396" i="20"/>
  <c r="P1397" i="20"/>
  <c r="P1398" i="20"/>
  <c r="P1399" i="20"/>
  <c r="P1400" i="20"/>
  <c r="P1401" i="20"/>
  <c r="P1402" i="20"/>
  <c r="P1403" i="20"/>
  <c r="P1404" i="20"/>
  <c r="P1405" i="20"/>
  <c r="P1406" i="20"/>
  <c r="P1407" i="20"/>
  <c r="P1408" i="20"/>
  <c r="P1409" i="20"/>
  <c r="P1410" i="20"/>
  <c r="P1411" i="20"/>
  <c r="P1412" i="20"/>
  <c r="P1413" i="20"/>
  <c r="P1414" i="20"/>
  <c r="P1415" i="20"/>
  <c r="P1416" i="20"/>
  <c r="P1417" i="20"/>
  <c r="P1418" i="20"/>
  <c r="P1419" i="20"/>
  <c r="P1420" i="20"/>
  <c r="P1421" i="20"/>
  <c r="P1422" i="20"/>
  <c r="P1423" i="20"/>
  <c r="P1424" i="20"/>
  <c r="P1425" i="20"/>
  <c r="P1426" i="20"/>
  <c r="P1427" i="20"/>
  <c r="P1428" i="20"/>
  <c r="P1429" i="20"/>
  <c r="P1430" i="20"/>
  <c r="P1431" i="20"/>
  <c r="P1432" i="20"/>
  <c r="P1433" i="20"/>
  <c r="P1434" i="20"/>
  <c r="P1435" i="20"/>
  <c r="P1436" i="20"/>
  <c r="P1437" i="20"/>
  <c r="P1438" i="20"/>
  <c r="P1439" i="20"/>
  <c r="P1440" i="20"/>
  <c r="P1441" i="20"/>
  <c r="P1442" i="20"/>
  <c r="P1443" i="20"/>
  <c r="P1444" i="20"/>
  <c r="P1445" i="20"/>
  <c r="P1446" i="20"/>
  <c r="P1447" i="20"/>
  <c r="P1448" i="20"/>
  <c r="P1449" i="20"/>
  <c r="P1450" i="20"/>
  <c r="P1451" i="20"/>
  <c r="P1452" i="20"/>
  <c r="P1453" i="20"/>
  <c r="P1454" i="20"/>
  <c r="P1455" i="20"/>
  <c r="P1456" i="20"/>
  <c r="P1457" i="20"/>
  <c r="P1458" i="20"/>
  <c r="P1459" i="20"/>
  <c r="P1460" i="20"/>
  <c r="P1461" i="20"/>
  <c r="P1462" i="20"/>
  <c r="P1463" i="20"/>
  <c r="P1464" i="20"/>
  <c r="P1465" i="20"/>
  <c r="P1466" i="20"/>
  <c r="P1467" i="20"/>
  <c r="P1468" i="20"/>
  <c r="P1469" i="20"/>
  <c r="P1470" i="20"/>
  <c r="P1471" i="20"/>
  <c r="P1472" i="20"/>
  <c r="P1473" i="20"/>
  <c r="P1474" i="20"/>
  <c r="P1475" i="20"/>
  <c r="P1476" i="20"/>
  <c r="P1477" i="20"/>
  <c r="P1478" i="20"/>
  <c r="P1479" i="20"/>
  <c r="P1480" i="20"/>
  <c r="P1481" i="20"/>
  <c r="P1482" i="20"/>
  <c r="P1483" i="20"/>
  <c r="P1484" i="20"/>
  <c r="P1485" i="20"/>
  <c r="P1486" i="20"/>
  <c r="P1487" i="20"/>
  <c r="P1488" i="20"/>
  <c r="P1489" i="20"/>
  <c r="P1490" i="20"/>
  <c r="P1491" i="20"/>
  <c r="P1492" i="20"/>
  <c r="P1493" i="20"/>
  <c r="P1494" i="20"/>
  <c r="P1495" i="20"/>
  <c r="P1496" i="20"/>
  <c r="P1497" i="20"/>
  <c r="P1498" i="20"/>
  <c r="P1499" i="20"/>
  <c r="P1500" i="20"/>
  <c r="P1501" i="20"/>
  <c r="P1502" i="20"/>
  <c r="P1503" i="20"/>
  <c r="P1504" i="20"/>
  <c r="P1505" i="20"/>
  <c r="P1506" i="20"/>
  <c r="P1507" i="20"/>
  <c r="P1508" i="20"/>
  <c r="P1509" i="20"/>
  <c r="P1510" i="20"/>
  <c r="P1511" i="20"/>
  <c r="P1512" i="20"/>
  <c r="P1513" i="20"/>
  <c r="P1514" i="20"/>
  <c r="P1515" i="20"/>
  <c r="P1516" i="20"/>
  <c r="P1517" i="20"/>
  <c r="P1518" i="20"/>
  <c r="P1519" i="20"/>
  <c r="P1520" i="20"/>
  <c r="P1521" i="20"/>
  <c r="P1522" i="20"/>
  <c r="P1523" i="20"/>
  <c r="P1524" i="20"/>
  <c r="P1525" i="20"/>
  <c r="P1526" i="20"/>
  <c r="P1527" i="20"/>
  <c r="P1528" i="20"/>
  <c r="P1529" i="20"/>
  <c r="P1530" i="20"/>
  <c r="P1531" i="20"/>
  <c r="P1532" i="20"/>
  <c r="P1533" i="20"/>
  <c r="P1534" i="20"/>
  <c r="P1535" i="20"/>
  <c r="P1536" i="20"/>
  <c r="P1537" i="20"/>
  <c r="P1538" i="20"/>
  <c r="P1539" i="20"/>
  <c r="P1540" i="20"/>
  <c r="P1541" i="20"/>
  <c r="P1542" i="20"/>
  <c r="P1543" i="20"/>
  <c r="P1544" i="20"/>
  <c r="P1545" i="20"/>
  <c r="P1546" i="20"/>
  <c r="P1547" i="20"/>
  <c r="P1548" i="20"/>
  <c r="P1549" i="20"/>
  <c r="P1550" i="20"/>
  <c r="P1551" i="20"/>
  <c r="P1552" i="20"/>
  <c r="P1553" i="20"/>
  <c r="P1554" i="20"/>
  <c r="P1555" i="20"/>
  <c r="P1556" i="20"/>
  <c r="P1557" i="20"/>
  <c r="P1558" i="20"/>
  <c r="P1559" i="20"/>
  <c r="P1560" i="20"/>
  <c r="P1561" i="20"/>
  <c r="P1562" i="20"/>
  <c r="P1563" i="20"/>
  <c r="P1564" i="20"/>
  <c r="P1565" i="20"/>
  <c r="P1566" i="20"/>
  <c r="P1567" i="20"/>
  <c r="P1568" i="20"/>
  <c r="P1569" i="20"/>
  <c r="P1570" i="20"/>
  <c r="P1571" i="20"/>
  <c r="P1572" i="20"/>
  <c r="P1573" i="20"/>
  <c r="P1574" i="20"/>
  <c r="P1575" i="20"/>
  <c r="P1576" i="20"/>
  <c r="P1577" i="20"/>
  <c r="P1578" i="20"/>
  <c r="P1579" i="20"/>
  <c r="P1580" i="20"/>
  <c r="P1581" i="20"/>
  <c r="P1582" i="20"/>
  <c r="P1583" i="20"/>
  <c r="P1584" i="20"/>
  <c r="P1585" i="20"/>
  <c r="P1586" i="20"/>
  <c r="P1587" i="20"/>
  <c r="P1588" i="20"/>
  <c r="P1589" i="20"/>
  <c r="P1590" i="20"/>
  <c r="P1591" i="20"/>
  <c r="P1592" i="20"/>
  <c r="P1593" i="20"/>
  <c r="P1594" i="20"/>
  <c r="P1595" i="20"/>
  <c r="P1596" i="20"/>
  <c r="P1597" i="20"/>
  <c r="P1598" i="20"/>
  <c r="P1599" i="20"/>
  <c r="P1600" i="20"/>
  <c r="P1601" i="20"/>
  <c r="P1602" i="20"/>
  <c r="P1603" i="20"/>
  <c r="P1604" i="20"/>
  <c r="P1605" i="20"/>
  <c r="P1606" i="20"/>
  <c r="P1607" i="20"/>
  <c r="P1608" i="20"/>
  <c r="P1609" i="20"/>
  <c r="P1610" i="20"/>
  <c r="P1611" i="20"/>
  <c r="P1612" i="20"/>
  <c r="P1613" i="20"/>
  <c r="P1614" i="20"/>
  <c r="P1615" i="20"/>
  <c r="P1616" i="20"/>
  <c r="P1617" i="20"/>
  <c r="P1618" i="20"/>
  <c r="P1619" i="20"/>
  <c r="P1620" i="20"/>
  <c r="P1621" i="20"/>
  <c r="P1622" i="20"/>
  <c r="P1623" i="20"/>
  <c r="P1624" i="20"/>
  <c r="P1625" i="20"/>
  <c r="P1626" i="20"/>
  <c r="P1627" i="20"/>
  <c r="P1628" i="20"/>
  <c r="P1629" i="20"/>
  <c r="P1630" i="20"/>
  <c r="P1631" i="20"/>
  <c r="P1632" i="20"/>
  <c r="P1633" i="20"/>
  <c r="P1634" i="20"/>
  <c r="P1635" i="20"/>
  <c r="P1636" i="20"/>
  <c r="P1637" i="20"/>
  <c r="P1638" i="20"/>
  <c r="P1639" i="20"/>
  <c r="P1640" i="20"/>
  <c r="P1641" i="20"/>
  <c r="P1642" i="20"/>
  <c r="P1643" i="20"/>
  <c r="P1644" i="20"/>
  <c r="P1645" i="20"/>
  <c r="P1646" i="20"/>
  <c r="P1647" i="20"/>
  <c r="P1648" i="20"/>
  <c r="P1649" i="20"/>
  <c r="P1650" i="20"/>
  <c r="P1651" i="20"/>
  <c r="P1652" i="20"/>
  <c r="P1653" i="20"/>
  <c r="P1654" i="20"/>
  <c r="P1655" i="20"/>
  <c r="P1656" i="20"/>
  <c r="P1657" i="20"/>
  <c r="P1658" i="20"/>
  <c r="P1659" i="20"/>
  <c r="P1660" i="20"/>
  <c r="P1661" i="20"/>
  <c r="P1662" i="20"/>
  <c r="P1663" i="20"/>
  <c r="P1664" i="20"/>
  <c r="P1665" i="20"/>
  <c r="P1666" i="20"/>
  <c r="P1667" i="20"/>
  <c r="P1668" i="20"/>
  <c r="P1669" i="20"/>
  <c r="P1670" i="20"/>
  <c r="P1671" i="20"/>
  <c r="P1672" i="20"/>
  <c r="P1673" i="20"/>
  <c r="P1674" i="20"/>
  <c r="P1675" i="20"/>
  <c r="P1676" i="20"/>
  <c r="P1677" i="20"/>
  <c r="P1678" i="20"/>
  <c r="P1679" i="20"/>
  <c r="P1680" i="20"/>
  <c r="P1681" i="20"/>
  <c r="P1682" i="20"/>
  <c r="P1683" i="20"/>
  <c r="P1684" i="20"/>
  <c r="P1685" i="20"/>
  <c r="P1686" i="20"/>
  <c r="P1687" i="20"/>
  <c r="P1688" i="20"/>
  <c r="P1689" i="20"/>
  <c r="P1690" i="20"/>
  <c r="P1691" i="20"/>
  <c r="P1692" i="20"/>
  <c r="P1693" i="20"/>
  <c r="P1694" i="20"/>
  <c r="P1695" i="20"/>
  <c r="P1696" i="20"/>
  <c r="P1697" i="20"/>
  <c r="P1698" i="20"/>
  <c r="P1699" i="20"/>
  <c r="P1700" i="20"/>
  <c r="P1701" i="20"/>
  <c r="P1702" i="20"/>
  <c r="P1703" i="20"/>
  <c r="P1704" i="20"/>
  <c r="P1705" i="20"/>
  <c r="P1706" i="20"/>
  <c r="P1707" i="20"/>
  <c r="P1708" i="20"/>
  <c r="P1709" i="20"/>
  <c r="P1710" i="20"/>
  <c r="P1711" i="20"/>
  <c r="P1712" i="20"/>
  <c r="P1713" i="20"/>
  <c r="P1714" i="20"/>
  <c r="P1715" i="20"/>
  <c r="P1716" i="20"/>
  <c r="P1717" i="20"/>
  <c r="P1718" i="20"/>
  <c r="P1719" i="20"/>
  <c r="P1720" i="20"/>
  <c r="P1721" i="20"/>
  <c r="P1722" i="20"/>
  <c r="P1723" i="20"/>
  <c r="P1724" i="20"/>
  <c r="P1725" i="20"/>
  <c r="P1726" i="20"/>
  <c r="P1727" i="20"/>
  <c r="P1728" i="20"/>
  <c r="P1729" i="20"/>
  <c r="P1730" i="20"/>
  <c r="P1731" i="20"/>
  <c r="P1732" i="20"/>
  <c r="P1733" i="20"/>
  <c r="P1734" i="20"/>
  <c r="P1735" i="20"/>
  <c r="P1736" i="20"/>
  <c r="P1737" i="20"/>
  <c r="P1738" i="20"/>
  <c r="P1739" i="20"/>
  <c r="P1740" i="20"/>
  <c r="P1741" i="20"/>
  <c r="P1742" i="20"/>
  <c r="P1743" i="20"/>
  <c r="P1744" i="20"/>
  <c r="P1745" i="20"/>
  <c r="P1746" i="20"/>
  <c r="P1747" i="20"/>
  <c r="P1748" i="20"/>
  <c r="P1749" i="20"/>
  <c r="P1750" i="20"/>
  <c r="P1751" i="20"/>
  <c r="P1752" i="20"/>
  <c r="P1753" i="20"/>
  <c r="P1754" i="20"/>
  <c r="P1755" i="20"/>
  <c r="P1756" i="20"/>
  <c r="P1757" i="20"/>
  <c r="P1758" i="20"/>
  <c r="P1759" i="20"/>
  <c r="P1760" i="20"/>
  <c r="P1761" i="20"/>
  <c r="P1762" i="20"/>
  <c r="P1763" i="20"/>
  <c r="P1764" i="20"/>
  <c r="P1765" i="20"/>
  <c r="P1766" i="20"/>
  <c r="P1767" i="20"/>
  <c r="P1768" i="20"/>
  <c r="P1769" i="20"/>
  <c r="P1770" i="20"/>
  <c r="P1771" i="20"/>
  <c r="P1772" i="20"/>
  <c r="P1773" i="20"/>
  <c r="P1774" i="20"/>
  <c r="P1775" i="20"/>
  <c r="P1776" i="20"/>
  <c r="P1777" i="20"/>
  <c r="P1778" i="20"/>
  <c r="P1779" i="20"/>
  <c r="P1780" i="20"/>
  <c r="P1781" i="20"/>
  <c r="P1782" i="20"/>
  <c r="P1783" i="20"/>
  <c r="P1784" i="20"/>
  <c r="Q2" i="20"/>
  <c r="Q3" i="20"/>
  <c r="Q4" i="20"/>
  <c r="Q5" i="20"/>
  <c r="Q6" i="20"/>
  <c r="Q7" i="20"/>
  <c r="Q8" i="20"/>
  <c r="Q9" i="20"/>
  <c r="Q10" i="20"/>
  <c r="Q11" i="20"/>
  <c r="Q12" i="20"/>
  <c r="Q13" i="20"/>
  <c r="Q14" i="20"/>
  <c r="Q15" i="20"/>
  <c r="Q16" i="20"/>
  <c r="Q17" i="20"/>
  <c r="Q18" i="20"/>
  <c r="Q19" i="20"/>
  <c r="Q20" i="20"/>
  <c r="Q21" i="20"/>
  <c r="Q22" i="20"/>
  <c r="Q23" i="20"/>
  <c r="Q24" i="20"/>
  <c r="Q25" i="20"/>
  <c r="Q26" i="20"/>
  <c r="Q27" i="20"/>
  <c r="Q28" i="20"/>
  <c r="Q29" i="20"/>
  <c r="Q30" i="20"/>
  <c r="Q31" i="20"/>
  <c r="Q32" i="20"/>
  <c r="Q33" i="20"/>
  <c r="Q34" i="20"/>
  <c r="Q35" i="20"/>
  <c r="Q36" i="20"/>
  <c r="Q37" i="20"/>
  <c r="Q38" i="20"/>
  <c r="Q39" i="20"/>
  <c r="Q40" i="20"/>
  <c r="Q41" i="20"/>
  <c r="Q42" i="20"/>
  <c r="Q43" i="20"/>
  <c r="Q44" i="20"/>
  <c r="Q45" i="20"/>
  <c r="Q46" i="20"/>
  <c r="Q47" i="20"/>
  <c r="Q48" i="20"/>
  <c r="Q49" i="20"/>
  <c r="Q50" i="20"/>
  <c r="Q51" i="20"/>
  <c r="Q52" i="20"/>
  <c r="Q53" i="20"/>
  <c r="Q54" i="20"/>
  <c r="Q55" i="20"/>
  <c r="Q56" i="20"/>
  <c r="Q57" i="20"/>
  <c r="Q58" i="20"/>
  <c r="Q59" i="20"/>
  <c r="Q60" i="20"/>
  <c r="Q61" i="20"/>
  <c r="Q62" i="20"/>
  <c r="Q63" i="20"/>
  <c r="Q64" i="20"/>
  <c r="Q65" i="20"/>
  <c r="Q66" i="20"/>
  <c r="Q67" i="20"/>
  <c r="Q68" i="20"/>
  <c r="Q69" i="20"/>
  <c r="Q70" i="20"/>
  <c r="Q71" i="20"/>
  <c r="Q72" i="20"/>
  <c r="Q73" i="20"/>
  <c r="Q74" i="20"/>
  <c r="Q75" i="20"/>
  <c r="Q76" i="20"/>
  <c r="Q77" i="20"/>
  <c r="Q78" i="20"/>
  <c r="Q79" i="20"/>
  <c r="Q80" i="20"/>
  <c r="Q81" i="20"/>
  <c r="Q82" i="20"/>
  <c r="Q83" i="20"/>
  <c r="Q84" i="20"/>
  <c r="Q85" i="20"/>
  <c r="Q86" i="20"/>
  <c r="Q87" i="20"/>
  <c r="Q88" i="20"/>
  <c r="Q89" i="20"/>
  <c r="Q90" i="20"/>
  <c r="Q91" i="20"/>
  <c r="Q92" i="20"/>
  <c r="Q93" i="20"/>
  <c r="Q94" i="20"/>
  <c r="Q95" i="20"/>
  <c r="Q96" i="20"/>
  <c r="Q97" i="20"/>
  <c r="Q98" i="20"/>
  <c r="Q99" i="20"/>
  <c r="Q100" i="20"/>
  <c r="Q101" i="20"/>
  <c r="Q102" i="20"/>
  <c r="Q103" i="20"/>
  <c r="Q104" i="20"/>
  <c r="Q105" i="20"/>
  <c r="Q106" i="20"/>
  <c r="Q107" i="20"/>
  <c r="Q108" i="20"/>
  <c r="Q109" i="20"/>
  <c r="Q110" i="20"/>
  <c r="Q111" i="20"/>
  <c r="Q112" i="20"/>
  <c r="Q113" i="20"/>
  <c r="Q114" i="20"/>
  <c r="Q115" i="20"/>
  <c r="Q116" i="20"/>
  <c r="Q117" i="20"/>
  <c r="Q118" i="20"/>
  <c r="Q119" i="20"/>
  <c r="Q120" i="20"/>
  <c r="Q121" i="20"/>
  <c r="Q122" i="20"/>
  <c r="Q123" i="20"/>
  <c r="Q124" i="20"/>
  <c r="Q125" i="20"/>
  <c r="Q126" i="20"/>
  <c r="Q127" i="20"/>
  <c r="Q128" i="20"/>
  <c r="Q129" i="20"/>
  <c r="Q130" i="20"/>
  <c r="Q131" i="20"/>
  <c r="Q132" i="20"/>
  <c r="Q133" i="20"/>
  <c r="Q134" i="20"/>
  <c r="Q135" i="20"/>
  <c r="Q136" i="20"/>
  <c r="Q137" i="20"/>
  <c r="Q138" i="20"/>
  <c r="Q139" i="20"/>
  <c r="Q140" i="20"/>
  <c r="Q141" i="20"/>
  <c r="Q142" i="20"/>
  <c r="Q143" i="20"/>
  <c r="Q144" i="20"/>
  <c r="Q145" i="20"/>
  <c r="Q146" i="20"/>
  <c r="Q147" i="20"/>
  <c r="Q148" i="20"/>
  <c r="Q149" i="20"/>
  <c r="Q150" i="20"/>
  <c r="Q151" i="20"/>
  <c r="Q152" i="20"/>
  <c r="Q153" i="20"/>
  <c r="Q154" i="20"/>
  <c r="Q155" i="20"/>
  <c r="Q156" i="20"/>
  <c r="Q157" i="20"/>
  <c r="Q158" i="20"/>
  <c r="Q159" i="20"/>
  <c r="Q160" i="20"/>
  <c r="Q161" i="20"/>
  <c r="Q162" i="20"/>
  <c r="Q163" i="20"/>
  <c r="Q164" i="20"/>
  <c r="Q165" i="20"/>
  <c r="Q166" i="20"/>
  <c r="Q167" i="20"/>
  <c r="Q168" i="20"/>
  <c r="Q169" i="20"/>
  <c r="Q170" i="20"/>
  <c r="Q171" i="20"/>
  <c r="Q172" i="20"/>
  <c r="Q173" i="20"/>
  <c r="Q174" i="20"/>
  <c r="Q175" i="20"/>
  <c r="Q176" i="20"/>
  <c r="Q177" i="20"/>
  <c r="Q178" i="20"/>
  <c r="Q179" i="20"/>
  <c r="Q180" i="20"/>
  <c r="Q181" i="20"/>
  <c r="Q182" i="20"/>
  <c r="Q183" i="20"/>
  <c r="Q184" i="20"/>
  <c r="Q185" i="20"/>
  <c r="Q186" i="20"/>
  <c r="Q187" i="20"/>
  <c r="Q188" i="20"/>
  <c r="Q189" i="20"/>
  <c r="Q190" i="20"/>
  <c r="Q191" i="20"/>
  <c r="Q192" i="20"/>
  <c r="Q193" i="20"/>
  <c r="Q194" i="20"/>
  <c r="Q195" i="20"/>
  <c r="Q196" i="20"/>
  <c r="Q197" i="20"/>
  <c r="Q198" i="20"/>
  <c r="Q199" i="20"/>
  <c r="Q200" i="20"/>
  <c r="Q201" i="20"/>
  <c r="Q202" i="20"/>
  <c r="Q203" i="20"/>
  <c r="Q204" i="20"/>
  <c r="Q205" i="20"/>
  <c r="Q206" i="20"/>
  <c r="Q207" i="20"/>
  <c r="Q208" i="20"/>
  <c r="Q209" i="20"/>
  <c r="Q210" i="20"/>
  <c r="Q211" i="20"/>
  <c r="Q212" i="20"/>
  <c r="Q213" i="20"/>
  <c r="Q214" i="20"/>
  <c r="Q215" i="20"/>
  <c r="Q216" i="20"/>
  <c r="Q217" i="20"/>
  <c r="Q218" i="20"/>
  <c r="Q219" i="20"/>
  <c r="Q220" i="20"/>
  <c r="Q221" i="20"/>
  <c r="Q222" i="20"/>
  <c r="Q223" i="20"/>
  <c r="Q224" i="20"/>
  <c r="Q225" i="20"/>
  <c r="Q226" i="20"/>
  <c r="Q227" i="20"/>
  <c r="Q228" i="20"/>
  <c r="Q229" i="20"/>
  <c r="Q230" i="20"/>
  <c r="Q231" i="20"/>
  <c r="Q232" i="20"/>
  <c r="Q233" i="20"/>
  <c r="Q234" i="20"/>
  <c r="Q235" i="20"/>
  <c r="Q236" i="20"/>
  <c r="Q237" i="20"/>
  <c r="Q238" i="20"/>
  <c r="Q239" i="20"/>
  <c r="Q240" i="20"/>
  <c r="Q241" i="20"/>
  <c r="Q242" i="20"/>
  <c r="Q243" i="20"/>
  <c r="Q244" i="20"/>
  <c r="Q245" i="20"/>
  <c r="Q246" i="20"/>
  <c r="Q247" i="20"/>
  <c r="Q248" i="20"/>
  <c r="Q249" i="20"/>
  <c r="Q250" i="20"/>
  <c r="Q251" i="20"/>
  <c r="Q252" i="20"/>
  <c r="Q253" i="20"/>
  <c r="Q254" i="20"/>
  <c r="Q255" i="20"/>
  <c r="Q256" i="20"/>
  <c r="Q257" i="20"/>
  <c r="Q258" i="20"/>
  <c r="Q259" i="20"/>
  <c r="Q260" i="20"/>
  <c r="Q261" i="20"/>
  <c r="Q262" i="20"/>
  <c r="Q263" i="20"/>
  <c r="Q264" i="20"/>
  <c r="Q265" i="20"/>
  <c r="Q266" i="20"/>
  <c r="Q267" i="20"/>
  <c r="Q268" i="20"/>
  <c r="Q269" i="20"/>
  <c r="Q270" i="20"/>
  <c r="Q271" i="20"/>
  <c r="Q272" i="20"/>
  <c r="Q273" i="20"/>
  <c r="Q274" i="20"/>
  <c r="Q275" i="20"/>
  <c r="Q276" i="20"/>
  <c r="Q277" i="20"/>
  <c r="Q278" i="20"/>
  <c r="Q279" i="20"/>
  <c r="Q280" i="20"/>
  <c r="Q281" i="20"/>
  <c r="Q282" i="20"/>
  <c r="Q283" i="20"/>
  <c r="Q284" i="20"/>
  <c r="Q285" i="20"/>
  <c r="Q286" i="20"/>
  <c r="Q287" i="20"/>
  <c r="Q288" i="20"/>
  <c r="Q289" i="20"/>
  <c r="Q290" i="20"/>
  <c r="Q291" i="20"/>
  <c r="Q292" i="20"/>
  <c r="Q293" i="20"/>
  <c r="Q294" i="20"/>
  <c r="Q295" i="20"/>
  <c r="Q296" i="20"/>
  <c r="Q297" i="20"/>
  <c r="Q298" i="20"/>
  <c r="Q299" i="20"/>
  <c r="Q300" i="20"/>
  <c r="Q301" i="20"/>
  <c r="Q302" i="20"/>
  <c r="Q303" i="20"/>
  <c r="Q304" i="20"/>
  <c r="Q305" i="20"/>
  <c r="Q306" i="20"/>
  <c r="Q307" i="20"/>
  <c r="Q308" i="20"/>
  <c r="Q309" i="20"/>
  <c r="Q310" i="20"/>
  <c r="Q311" i="20"/>
  <c r="Q312" i="20"/>
  <c r="Q313" i="20"/>
  <c r="Q314" i="20"/>
  <c r="Q315" i="20"/>
  <c r="Q316" i="20"/>
  <c r="Q317" i="20"/>
  <c r="Q318" i="20"/>
  <c r="Q319" i="20"/>
  <c r="Q320" i="20"/>
  <c r="Q321" i="20"/>
  <c r="Q322" i="20"/>
  <c r="Q323" i="20"/>
  <c r="Q324" i="20"/>
  <c r="Q325" i="20"/>
  <c r="Q326" i="20"/>
  <c r="Q327" i="20"/>
  <c r="Q328" i="20"/>
  <c r="Q329" i="20"/>
  <c r="Q330" i="20"/>
  <c r="Q331" i="20"/>
  <c r="Q332" i="20"/>
  <c r="Q333" i="20"/>
  <c r="Q334" i="20"/>
  <c r="Q335" i="20"/>
  <c r="Q336" i="20"/>
  <c r="Q337" i="20"/>
  <c r="Q338" i="20"/>
  <c r="Q339" i="20"/>
  <c r="Q340" i="20"/>
  <c r="Q341" i="20"/>
  <c r="Q342" i="20"/>
  <c r="Q343" i="20"/>
  <c r="Q344" i="20"/>
  <c r="Q345" i="20"/>
  <c r="Q346" i="20"/>
  <c r="Q347" i="20"/>
  <c r="Q348" i="20"/>
  <c r="Q349" i="20"/>
  <c r="Q350" i="20"/>
  <c r="Q351" i="20"/>
  <c r="Q352" i="20"/>
  <c r="Q353" i="20"/>
  <c r="Q354" i="20"/>
  <c r="Q355" i="20"/>
  <c r="Q356" i="20"/>
  <c r="Q357" i="20"/>
  <c r="Q358" i="20"/>
  <c r="Q359" i="20"/>
  <c r="Q360" i="20"/>
  <c r="Q361" i="20"/>
  <c r="Q362" i="20"/>
  <c r="Q363" i="20"/>
  <c r="Q364" i="20"/>
  <c r="Q365" i="20"/>
  <c r="Q366" i="20"/>
  <c r="Q367" i="20"/>
  <c r="Q368" i="20"/>
  <c r="Q369" i="20"/>
  <c r="Q370" i="20"/>
  <c r="Q371" i="20"/>
  <c r="Q372" i="20"/>
  <c r="Q373" i="20"/>
  <c r="Q374" i="20"/>
  <c r="Q375" i="20"/>
  <c r="Q376" i="20"/>
  <c r="Q377" i="20"/>
  <c r="Q378" i="20"/>
  <c r="Q379" i="20"/>
  <c r="Q380" i="20"/>
  <c r="Q381" i="20"/>
  <c r="Q382" i="20"/>
  <c r="Q383" i="20"/>
  <c r="Q384" i="20"/>
  <c r="Q385" i="20"/>
  <c r="Q386" i="20"/>
  <c r="Q387" i="20"/>
  <c r="Q388" i="20"/>
  <c r="Q389" i="20"/>
  <c r="Q390" i="20"/>
  <c r="Q391" i="20"/>
  <c r="Q392" i="20"/>
  <c r="Q393" i="20"/>
  <c r="Q394" i="20"/>
  <c r="Q395" i="20"/>
  <c r="Q396" i="20"/>
  <c r="Q397" i="20"/>
  <c r="Q398" i="20"/>
  <c r="Q399" i="20"/>
  <c r="Q400" i="20"/>
  <c r="Q401" i="20"/>
  <c r="Q402" i="20"/>
  <c r="Q403" i="20"/>
  <c r="Q404" i="20"/>
  <c r="Q405" i="20"/>
  <c r="Q406" i="20"/>
  <c r="Q407" i="20"/>
  <c r="Q408" i="20"/>
  <c r="Q409" i="20"/>
  <c r="Q410" i="20"/>
  <c r="Q411" i="20"/>
  <c r="Q412" i="20"/>
  <c r="Q413" i="20"/>
  <c r="Q414" i="20"/>
  <c r="Q415" i="20"/>
  <c r="Q416" i="20"/>
  <c r="Q417" i="20"/>
  <c r="Q418" i="20"/>
  <c r="Q419" i="20"/>
  <c r="Q420" i="20"/>
  <c r="Q421" i="20"/>
  <c r="Q422" i="20"/>
  <c r="Q423" i="20"/>
  <c r="Q424" i="20"/>
  <c r="Q425" i="20"/>
  <c r="Q426" i="20"/>
  <c r="Q427" i="20"/>
  <c r="Q428" i="20"/>
  <c r="Q429" i="20"/>
  <c r="Q430" i="20"/>
  <c r="Q431" i="20"/>
  <c r="Q432" i="20"/>
  <c r="Q433" i="20"/>
  <c r="Q434" i="20"/>
  <c r="Q435" i="20"/>
  <c r="Q436" i="20"/>
  <c r="Q437" i="20"/>
  <c r="Q438" i="20"/>
  <c r="Q439" i="20"/>
  <c r="Q440" i="20"/>
  <c r="Q441" i="20"/>
  <c r="Q442" i="20"/>
  <c r="Q443" i="20"/>
  <c r="Q444" i="20"/>
  <c r="Q445" i="20"/>
  <c r="Q446" i="20"/>
  <c r="Q447" i="20"/>
  <c r="Q448" i="20"/>
  <c r="Q449" i="20"/>
  <c r="Q450" i="20"/>
  <c r="Q451" i="20"/>
  <c r="Q452" i="20"/>
  <c r="Q453" i="20"/>
  <c r="Q454" i="20"/>
  <c r="Q455" i="20"/>
  <c r="Q456" i="20"/>
  <c r="Q457" i="20"/>
  <c r="Q458" i="20"/>
  <c r="Q459" i="20"/>
  <c r="Q460" i="20"/>
  <c r="Q461" i="20"/>
  <c r="Q462" i="20"/>
  <c r="Q463" i="20"/>
  <c r="Q464" i="20"/>
  <c r="Q465" i="20"/>
  <c r="Q466" i="20"/>
  <c r="Q467" i="20"/>
  <c r="Q468" i="20"/>
  <c r="Q469" i="20"/>
  <c r="Q470" i="20"/>
  <c r="Q471" i="20"/>
  <c r="Q472" i="20"/>
  <c r="Q473" i="20"/>
  <c r="Q474" i="20"/>
  <c r="Q475" i="20"/>
  <c r="Q476" i="20"/>
  <c r="Q477" i="20"/>
  <c r="Q478" i="20"/>
  <c r="Q479" i="20"/>
  <c r="Q480" i="20"/>
  <c r="Q481" i="20"/>
  <c r="Q482" i="20"/>
  <c r="Q483" i="20"/>
  <c r="Q484" i="20"/>
  <c r="Q485" i="20"/>
  <c r="Q486" i="20"/>
  <c r="Q487" i="20"/>
  <c r="Q488" i="20"/>
  <c r="Q489" i="20"/>
  <c r="Q490" i="20"/>
  <c r="Q491" i="20"/>
  <c r="Q492" i="20"/>
  <c r="Q493" i="20"/>
  <c r="Q494" i="20"/>
  <c r="Q495" i="20"/>
  <c r="Q496" i="20"/>
  <c r="Q497" i="20"/>
  <c r="Q498" i="20"/>
  <c r="Q499" i="20"/>
  <c r="Q500" i="20"/>
  <c r="Q501" i="20"/>
  <c r="Q502" i="20"/>
  <c r="Q503" i="20"/>
  <c r="Q504" i="20"/>
  <c r="Q505" i="20"/>
  <c r="Q506" i="20"/>
  <c r="Q507" i="20"/>
  <c r="Q508" i="20"/>
  <c r="Q509" i="20"/>
  <c r="Q510" i="20"/>
  <c r="Q511" i="20"/>
  <c r="Q512" i="20"/>
  <c r="Q513" i="20"/>
  <c r="Q514" i="20"/>
  <c r="Q515" i="20"/>
  <c r="Q516" i="20"/>
  <c r="Q517" i="20"/>
  <c r="Q518" i="20"/>
  <c r="Q519" i="20"/>
  <c r="Q520" i="20"/>
  <c r="Q521" i="20"/>
  <c r="Q522" i="20"/>
  <c r="Q523" i="20"/>
  <c r="Q524" i="20"/>
  <c r="Q525" i="20"/>
  <c r="Q526" i="20"/>
  <c r="Q527" i="20"/>
  <c r="Q528" i="20"/>
  <c r="Q529" i="20"/>
  <c r="Q530" i="20"/>
  <c r="Q531" i="20"/>
  <c r="Q532" i="20"/>
  <c r="Q533" i="20"/>
  <c r="Q534" i="20"/>
  <c r="Q535" i="20"/>
  <c r="Q536" i="20"/>
  <c r="Q537" i="20"/>
  <c r="Q538" i="20"/>
  <c r="Q539" i="20"/>
  <c r="Q540" i="20"/>
  <c r="Q541" i="20"/>
  <c r="Q542" i="20"/>
  <c r="Q543" i="20"/>
  <c r="Q544" i="20"/>
  <c r="Q545" i="20"/>
  <c r="Q546" i="20"/>
  <c r="Q547" i="20"/>
  <c r="Q548" i="20"/>
  <c r="Q549" i="20"/>
  <c r="Q550" i="20"/>
  <c r="Q551" i="20"/>
  <c r="Q552" i="20"/>
  <c r="Q553" i="20"/>
  <c r="Q554" i="20"/>
  <c r="Q555" i="20"/>
  <c r="Q556" i="20"/>
  <c r="Q557" i="20"/>
  <c r="Q558" i="20"/>
  <c r="Q559" i="20"/>
  <c r="Q560" i="20"/>
  <c r="Q561" i="20"/>
  <c r="Q562" i="20"/>
  <c r="Q563" i="20"/>
  <c r="Q564" i="20"/>
  <c r="Q565" i="20"/>
  <c r="Q566" i="20"/>
  <c r="Q567" i="20"/>
  <c r="Q568" i="20"/>
  <c r="Q569" i="20"/>
  <c r="Q570" i="20"/>
  <c r="Q571" i="20"/>
  <c r="Q572" i="20"/>
  <c r="Q573" i="20"/>
  <c r="Q574" i="20"/>
  <c r="Q575" i="20"/>
  <c r="Q576" i="20"/>
  <c r="Q577" i="20"/>
  <c r="Q578" i="20"/>
  <c r="Q579" i="20"/>
  <c r="Q580" i="20"/>
  <c r="Q581" i="20"/>
  <c r="Q582" i="20"/>
  <c r="Q583" i="20"/>
  <c r="Q584" i="20"/>
  <c r="Q585" i="20"/>
  <c r="Q586" i="20"/>
  <c r="Q587" i="20"/>
  <c r="Q588" i="20"/>
  <c r="Q589" i="20"/>
  <c r="Q590" i="20"/>
  <c r="Q591" i="20"/>
  <c r="Q592" i="20"/>
  <c r="Q593" i="20"/>
  <c r="Q594" i="20"/>
  <c r="Q595" i="20"/>
  <c r="Q596" i="20"/>
  <c r="Q597" i="20"/>
  <c r="Q598" i="20"/>
  <c r="Q599" i="20"/>
  <c r="Q600" i="20"/>
  <c r="Q601" i="20"/>
  <c r="Q602" i="20"/>
  <c r="Q603" i="20"/>
  <c r="Q604" i="20"/>
  <c r="Q605" i="20"/>
  <c r="Q606" i="20"/>
  <c r="Q607" i="20"/>
  <c r="Q608" i="20"/>
  <c r="Q609" i="20"/>
  <c r="Q610" i="20"/>
  <c r="Q611" i="20"/>
  <c r="Q612" i="20"/>
  <c r="Q613" i="20"/>
  <c r="Q614" i="20"/>
  <c r="Q615" i="20"/>
  <c r="Q616" i="20"/>
  <c r="Q617" i="20"/>
  <c r="Q618" i="20"/>
  <c r="Q619" i="20"/>
  <c r="Q620" i="20"/>
  <c r="Q621" i="20"/>
  <c r="Q622" i="20"/>
  <c r="Q623" i="20"/>
  <c r="Q624" i="20"/>
  <c r="Q625" i="20"/>
  <c r="Q626" i="20"/>
  <c r="Q627" i="20"/>
  <c r="Q628" i="20"/>
  <c r="Q629" i="20"/>
  <c r="Q630" i="20"/>
  <c r="Q631" i="20"/>
  <c r="Q632" i="20"/>
  <c r="Q633" i="20"/>
  <c r="Q634" i="20"/>
  <c r="Q635" i="20"/>
  <c r="Q636" i="20"/>
  <c r="Q637" i="20"/>
  <c r="Q638" i="20"/>
  <c r="Q639" i="20"/>
  <c r="Q640" i="20"/>
  <c r="Q641" i="20"/>
  <c r="Q642" i="20"/>
  <c r="Q643" i="20"/>
  <c r="Q644" i="20"/>
  <c r="Q645" i="20"/>
  <c r="Q646" i="20"/>
  <c r="Q647" i="20"/>
  <c r="Q648" i="20"/>
  <c r="Q649" i="20"/>
  <c r="Q650" i="20"/>
  <c r="Q651" i="20"/>
  <c r="Q652" i="20"/>
  <c r="Q653" i="20"/>
  <c r="Q654" i="20"/>
  <c r="Q655" i="20"/>
  <c r="Q656" i="20"/>
  <c r="Q657" i="20"/>
  <c r="Q658" i="20"/>
  <c r="Q659" i="20"/>
  <c r="Q660" i="20"/>
  <c r="Q661" i="20"/>
  <c r="Q662" i="20"/>
  <c r="Q663" i="20"/>
  <c r="Q664" i="20"/>
  <c r="Q665" i="20"/>
  <c r="Q666" i="20"/>
  <c r="Q667" i="20"/>
  <c r="Q668" i="20"/>
  <c r="Q669" i="20"/>
  <c r="Q670" i="20"/>
  <c r="Q671" i="20"/>
  <c r="Q672" i="20"/>
  <c r="Q673" i="20"/>
  <c r="Q674" i="20"/>
  <c r="Q675" i="20"/>
  <c r="Q676" i="20"/>
  <c r="Q677" i="20"/>
  <c r="Q678" i="20"/>
  <c r="Q679" i="20"/>
  <c r="Q680" i="20"/>
  <c r="Q681" i="20"/>
  <c r="Q682" i="20"/>
  <c r="Q683" i="20"/>
  <c r="Q684" i="20"/>
  <c r="Q685" i="20"/>
  <c r="Q686" i="20"/>
  <c r="Q687" i="20"/>
  <c r="Q688" i="20"/>
  <c r="Q689" i="20"/>
  <c r="Q690" i="20"/>
  <c r="Q691" i="20"/>
  <c r="Q692" i="20"/>
  <c r="Q693" i="20"/>
  <c r="Q694" i="20"/>
  <c r="Q695" i="20"/>
  <c r="Q696" i="20"/>
  <c r="Q697" i="20"/>
  <c r="Q698" i="20"/>
  <c r="Q699" i="20"/>
  <c r="Q700" i="20"/>
  <c r="Q701" i="20"/>
  <c r="Q702" i="20"/>
  <c r="Q703" i="20"/>
  <c r="Q704" i="20"/>
  <c r="Q705" i="20"/>
  <c r="Q706" i="20"/>
  <c r="Q707" i="20"/>
  <c r="Q708" i="20"/>
  <c r="Q709" i="20"/>
  <c r="Q710" i="20"/>
  <c r="Q711" i="20"/>
  <c r="Q712" i="20"/>
  <c r="Q713" i="20"/>
  <c r="Q714" i="20"/>
  <c r="Q715" i="20"/>
  <c r="Q716" i="20"/>
  <c r="Q717" i="20"/>
  <c r="Q718" i="20"/>
  <c r="Q719" i="20"/>
  <c r="Q720" i="20"/>
  <c r="Q721" i="20"/>
  <c r="Q722" i="20"/>
  <c r="Q723" i="20"/>
  <c r="Q724" i="20"/>
  <c r="Q725" i="20"/>
  <c r="Q726" i="20"/>
  <c r="Q727" i="20"/>
  <c r="Q728" i="20"/>
  <c r="Q729" i="20"/>
  <c r="Q730" i="20"/>
  <c r="Q731" i="20"/>
  <c r="Q732" i="20"/>
  <c r="Q733" i="20"/>
  <c r="Q734" i="20"/>
  <c r="Q735" i="20"/>
  <c r="Q736" i="20"/>
  <c r="Q737" i="20"/>
  <c r="Q738" i="20"/>
  <c r="Q739" i="20"/>
  <c r="Q740" i="20"/>
  <c r="Q741" i="20"/>
  <c r="Q742" i="20"/>
  <c r="Q743" i="20"/>
  <c r="Q744" i="20"/>
  <c r="Q745" i="20"/>
  <c r="Q746" i="20"/>
  <c r="Q747" i="20"/>
  <c r="Q748" i="20"/>
  <c r="Q749" i="20"/>
  <c r="Q750" i="20"/>
  <c r="Q751" i="20"/>
  <c r="Q752" i="20"/>
  <c r="Q753" i="20"/>
  <c r="Q754" i="20"/>
  <c r="Q755" i="20"/>
  <c r="Q756" i="20"/>
  <c r="Q757" i="20"/>
  <c r="Q758" i="20"/>
  <c r="Q759" i="20"/>
  <c r="Q760" i="20"/>
  <c r="Q761" i="20"/>
  <c r="Q762" i="20"/>
  <c r="Q763" i="20"/>
  <c r="Q764" i="20"/>
  <c r="Q765" i="20"/>
  <c r="Q766" i="20"/>
  <c r="Q767" i="20"/>
  <c r="Q768" i="20"/>
  <c r="Q769" i="20"/>
  <c r="Q770" i="20"/>
  <c r="Q771" i="20"/>
  <c r="Q772" i="20"/>
  <c r="Q773" i="20"/>
  <c r="Q774" i="20"/>
  <c r="Q775" i="20"/>
  <c r="Q776" i="20"/>
  <c r="Q777" i="20"/>
  <c r="Q778" i="20"/>
  <c r="Q779" i="20"/>
  <c r="Q780" i="20"/>
  <c r="Q781" i="20"/>
  <c r="Q782" i="20"/>
  <c r="Q783" i="20"/>
  <c r="Q784" i="20"/>
  <c r="Q785" i="20"/>
  <c r="Q786" i="20"/>
  <c r="Q787" i="20"/>
  <c r="Q788" i="20"/>
  <c r="Q789" i="20"/>
  <c r="Q790" i="20"/>
  <c r="Q791" i="20"/>
  <c r="Q792" i="20"/>
  <c r="Q793" i="20"/>
  <c r="Q794" i="20"/>
  <c r="Q852" i="20"/>
  <c r="Q853" i="20"/>
  <c r="Q854" i="20"/>
  <c r="Q855" i="20"/>
  <c r="Q856" i="20"/>
  <c r="Q857" i="20"/>
  <c r="Q858" i="20"/>
  <c r="Q859" i="20"/>
  <c r="Q860" i="20"/>
  <c r="Q861" i="20"/>
  <c r="Q862" i="20"/>
  <c r="Q863" i="20"/>
  <c r="Q864" i="20"/>
  <c r="Q865" i="20"/>
  <c r="Q866" i="20"/>
  <c r="Q867" i="20"/>
  <c r="Q868" i="20"/>
  <c r="Q869" i="20"/>
  <c r="Q870" i="20"/>
  <c r="Q871" i="20"/>
  <c r="Q872" i="20"/>
  <c r="Q873" i="20"/>
  <c r="Q874" i="20"/>
  <c r="Q875" i="20"/>
  <c r="Q876" i="20"/>
  <c r="Q877" i="20"/>
  <c r="Q878" i="20"/>
  <c r="Q879" i="20"/>
  <c r="Q880" i="20"/>
  <c r="Q881" i="20"/>
  <c r="Q882" i="20"/>
  <c r="Q883" i="20"/>
  <c r="Q884" i="20"/>
  <c r="Q885" i="20"/>
  <c r="Q886" i="20"/>
  <c r="Q887" i="20"/>
  <c r="Q888" i="20"/>
  <c r="Q889" i="20"/>
  <c r="Q890" i="20"/>
  <c r="Q891" i="20"/>
  <c r="Q892" i="20"/>
  <c r="Q893" i="20"/>
  <c r="Q894" i="20"/>
  <c r="Q895" i="20"/>
  <c r="Q896" i="20"/>
  <c r="Q897" i="20"/>
  <c r="Q898" i="20"/>
  <c r="Q899" i="20"/>
  <c r="Q900" i="20"/>
  <c r="Q901" i="20"/>
  <c r="Q902" i="20"/>
  <c r="Q903" i="20"/>
  <c r="Q904" i="20"/>
  <c r="Q905" i="20"/>
  <c r="Q906" i="20"/>
  <c r="Q907" i="20"/>
  <c r="Q908" i="20"/>
  <c r="Q909" i="20"/>
  <c r="Q910" i="20"/>
  <c r="Q911" i="20"/>
  <c r="Q912" i="20"/>
  <c r="Q913" i="20"/>
  <c r="Q914" i="20"/>
  <c r="Q915" i="20"/>
  <c r="Q916" i="20"/>
  <c r="Q917" i="20"/>
  <c r="Q918" i="20"/>
  <c r="Q919" i="20"/>
  <c r="Q920" i="20"/>
  <c r="Q921" i="20"/>
  <c r="Q922" i="20"/>
  <c r="Q923" i="20"/>
  <c r="Q924" i="20"/>
  <c r="Q925" i="20"/>
  <c r="Q926" i="20"/>
  <c r="Q927" i="20"/>
  <c r="Q928" i="20"/>
  <c r="Q929" i="20"/>
  <c r="Q930" i="20"/>
  <c r="Q931" i="20"/>
  <c r="Q932" i="20"/>
  <c r="Q933" i="20"/>
  <c r="Q934" i="20"/>
  <c r="Q935" i="20"/>
  <c r="Q936" i="20"/>
  <c r="Q937" i="20"/>
  <c r="Q938" i="20"/>
  <c r="Q939" i="20"/>
  <c r="Q940" i="20"/>
  <c r="Q941" i="20"/>
  <c r="Q942" i="20"/>
  <c r="Q943" i="20"/>
  <c r="Q944" i="20"/>
  <c r="Q945" i="20"/>
  <c r="Q946" i="20"/>
  <c r="Q947" i="20"/>
  <c r="Q948" i="20"/>
  <c r="Q949" i="20"/>
  <c r="Q950" i="20"/>
  <c r="Q951" i="20"/>
  <c r="Q952" i="20"/>
  <c r="Q953" i="20"/>
  <c r="Q954" i="20"/>
  <c r="Q955" i="20"/>
  <c r="Q956" i="20"/>
  <c r="Q957" i="20"/>
  <c r="Q958" i="20"/>
  <c r="Q959" i="20"/>
  <c r="Q960" i="20"/>
  <c r="Q961" i="20"/>
  <c r="Q962" i="20"/>
  <c r="Q963" i="20"/>
  <c r="Q964" i="20"/>
  <c r="Q965" i="20"/>
  <c r="Q966" i="20"/>
  <c r="Q967" i="20"/>
  <c r="Q968" i="20"/>
  <c r="Q969" i="20"/>
  <c r="Q970" i="20"/>
  <c r="Q971" i="20"/>
  <c r="Q972" i="20"/>
  <c r="Q973" i="20"/>
  <c r="Q974" i="20"/>
  <c r="Q975" i="20"/>
  <c r="Q976" i="20"/>
  <c r="Q977" i="20"/>
  <c r="Q978" i="20"/>
  <c r="Q979" i="20"/>
  <c r="Q980" i="20"/>
  <c r="Q981" i="20"/>
  <c r="Q982" i="20"/>
  <c r="Q983" i="20"/>
  <c r="Q984" i="20"/>
  <c r="Q985" i="20"/>
  <c r="Q986" i="20"/>
  <c r="Q987" i="20"/>
  <c r="Q988" i="20"/>
  <c r="Q989" i="20"/>
  <c r="Q990" i="20"/>
  <c r="Q991" i="20"/>
  <c r="Q992" i="20"/>
  <c r="Q993" i="20"/>
  <c r="Q994" i="20"/>
  <c r="Q995" i="20"/>
  <c r="Q996" i="20"/>
  <c r="Q997" i="20"/>
  <c r="Q998" i="20"/>
  <c r="Q999" i="20"/>
  <c r="Q1000" i="20"/>
  <c r="Q1001" i="20"/>
  <c r="Q1002" i="20"/>
  <c r="Q1003" i="20"/>
  <c r="Q1004" i="20"/>
  <c r="Q1005" i="20"/>
  <c r="Q1006" i="20"/>
  <c r="Q1007" i="20"/>
  <c r="Q1008" i="20"/>
  <c r="Q1009" i="20"/>
  <c r="Q1010" i="20"/>
  <c r="Q1011" i="20"/>
  <c r="Q1012" i="20"/>
  <c r="Q1013" i="20"/>
  <c r="Q1014" i="20"/>
  <c r="Q1015" i="20"/>
  <c r="Q1016" i="20"/>
  <c r="Q1017" i="20"/>
  <c r="Q1018" i="20"/>
  <c r="Q1019" i="20"/>
  <c r="Q1020" i="20"/>
  <c r="Q1021" i="20"/>
  <c r="Q1022" i="20"/>
  <c r="Q1023" i="20"/>
  <c r="Q1024" i="20"/>
  <c r="Q1025" i="20"/>
  <c r="Q1026" i="20"/>
  <c r="Q1027" i="20"/>
  <c r="Q1028" i="20"/>
  <c r="Q1029" i="20"/>
  <c r="Q1030" i="20"/>
  <c r="Q1031" i="20"/>
  <c r="Q1032" i="20"/>
  <c r="Q1033" i="20"/>
  <c r="Q1034" i="20"/>
  <c r="Q1035" i="20"/>
  <c r="Q1036" i="20"/>
  <c r="Q1037" i="20"/>
  <c r="Q1038" i="20"/>
  <c r="Q1039" i="20"/>
  <c r="Q1040" i="20"/>
  <c r="Q1041" i="20"/>
  <c r="Q1042" i="20"/>
  <c r="Q1043" i="20"/>
  <c r="Q1044" i="20"/>
  <c r="Q1045" i="20"/>
  <c r="Q1046" i="20"/>
  <c r="Q1047" i="20"/>
  <c r="Q1048" i="20"/>
  <c r="Q1049" i="20"/>
  <c r="Q1050" i="20"/>
  <c r="Q1051" i="20"/>
  <c r="Q1052" i="20"/>
  <c r="Q1053" i="20"/>
  <c r="Q1054" i="20"/>
  <c r="Q1055" i="20"/>
  <c r="Q1056" i="20"/>
  <c r="Q1057" i="20"/>
  <c r="Q1058" i="20"/>
  <c r="Q1059" i="20"/>
  <c r="Q1060" i="20"/>
  <c r="Q1061" i="20"/>
  <c r="Q1062" i="20"/>
  <c r="Q1063" i="20"/>
  <c r="Q1064" i="20"/>
  <c r="Q1065" i="20"/>
  <c r="Q1066" i="20"/>
  <c r="Q1067" i="20"/>
  <c r="Q1068" i="20"/>
  <c r="Q1069" i="20"/>
  <c r="Q1070" i="20"/>
  <c r="Q1071" i="20"/>
  <c r="Q1072" i="20"/>
  <c r="Q1073" i="20"/>
  <c r="Q1074" i="20"/>
  <c r="Q1075" i="20"/>
  <c r="Q1076" i="20"/>
  <c r="Q1077" i="20"/>
  <c r="Q1078" i="20"/>
  <c r="Q1079" i="20"/>
  <c r="Q1080" i="20"/>
  <c r="Q1081" i="20"/>
  <c r="Q1082" i="20"/>
  <c r="Q1083" i="20"/>
  <c r="Q1084" i="20"/>
  <c r="Q1085" i="20"/>
  <c r="Q1086" i="20"/>
  <c r="Q1087" i="20"/>
  <c r="Q1088" i="20"/>
  <c r="Q1089" i="20"/>
  <c r="Q1090" i="20"/>
  <c r="Q1091" i="20"/>
  <c r="Q1092" i="20"/>
  <c r="Q1093" i="20"/>
  <c r="Q1094" i="20"/>
  <c r="Q1095" i="20"/>
  <c r="Q1096" i="20"/>
  <c r="Q1097" i="20"/>
  <c r="Q1098" i="20"/>
  <c r="Q1099" i="20"/>
  <c r="Q1100" i="20"/>
  <c r="Q1101" i="20"/>
  <c r="Q1102" i="20"/>
  <c r="Q1103" i="20"/>
  <c r="Q1104" i="20"/>
  <c r="Q1105" i="20"/>
  <c r="Q1106" i="20"/>
  <c r="Q1107" i="20"/>
  <c r="Q1108" i="20"/>
  <c r="Q1109" i="20"/>
  <c r="Q1110" i="20"/>
  <c r="Q1111" i="20"/>
  <c r="Q1112" i="20"/>
  <c r="Q1113" i="20"/>
  <c r="Q1114" i="20"/>
  <c r="Q1115" i="20"/>
  <c r="Q1116" i="20"/>
  <c r="Q1117" i="20"/>
  <c r="Q1118" i="20"/>
  <c r="Q1119" i="20"/>
  <c r="Q1120" i="20"/>
  <c r="Q1121" i="20"/>
  <c r="Q1122" i="20"/>
  <c r="Q1123" i="20"/>
  <c r="Q1124" i="20"/>
  <c r="Q1125" i="20"/>
  <c r="Q1126" i="20"/>
  <c r="Q1127" i="20"/>
  <c r="Q1128" i="20"/>
  <c r="Q1129" i="20"/>
  <c r="Q1130" i="20"/>
  <c r="Q1131" i="20"/>
  <c r="Q1132" i="20"/>
  <c r="Q1133" i="20"/>
  <c r="Q1134" i="20"/>
  <c r="Q1135" i="20"/>
  <c r="Q1136" i="20"/>
  <c r="Q1137" i="20"/>
  <c r="Q1138" i="20"/>
  <c r="Q1139" i="20"/>
  <c r="Q1140" i="20"/>
  <c r="Q1141" i="20"/>
  <c r="Q1142" i="20"/>
  <c r="Q1143" i="20"/>
  <c r="Q1144" i="20"/>
  <c r="Q1145" i="20"/>
  <c r="Q1146" i="20"/>
  <c r="Q1147" i="20"/>
  <c r="Q1148" i="20"/>
  <c r="Q1149" i="20"/>
  <c r="Q1150" i="20"/>
  <c r="Q1151" i="20"/>
  <c r="Q1152" i="20"/>
  <c r="Q1153" i="20"/>
  <c r="Q1154" i="20"/>
  <c r="Q1155" i="20"/>
  <c r="Q1156" i="20"/>
  <c r="Q1157" i="20"/>
  <c r="Q1158" i="20"/>
  <c r="Q1159" i="20"/>
  <c r="Q1160" i="20"/>
  <c r="Q1161" i="20"/>
  <c r="Q1162" i="20"/>
  <c r="Q1163" i="20"/>
  <c r="Q1164" i="20"/>
  <c r="Q1165" i="20"/>
  <c r="Q1166" i="20"/>
  <c r="Q1167" i="20"/>
  <c r="Q1168" i="20"/>
  <c r="Q1169" i="20"/>
  <c r="Q1170" i="20"/>
  <c r="Q1171" i="20"/>
  <c r="Q1172" i="20"/>
  <c r="Q1173" i="20"/>
  <c r="Q1174" i="20"/>
  <c r="Q1175" i="20"/>
  <c r="Q1176" i="20"/>
  <c r="Q1177" i="20"/>
  <c r="Q1178" i="20"/>
  <c r="Q1179" i="20"/>
  <c r="Q1180" i="20"/>
  <c r="Q1181" i="20"/>
  <c r="Q1182" i="20"/>
  <c r="Q1183" i="20"/>
  <c r="Q1184" i="20"/>
  <c r="Q1185" i="20"/>
  <c r="Q1186" i="20"/>
  <c r="Q1187" i="20"/>
  <c r="Q1188" i="20"/>
  <c r="Q1189" i="20"/>
  <c r="Q1190" i="20"/>
  <c r="Q1191" i="20"/>
  <c r="Q1192" i="20"/>
  <c r="Q1193" i="20"/>
  <c r="Q1194" i="20"/>
  <c r="Q1195" i="20"/>
  <c r="Q1196" i="20"/>
  <c r="Q1197" i="20"/>
  <c r="Q1198" i="20"/>
  <c r="Q1199" i="20"/>
  <c r="Q1200" i="20"/>
  <c r="Q1201" i="20"/>
  <c r="Q1202" i="20"/>
  <c r="Q1203" i="20"/>
  <c r="Q1204" i="20"/>
  <c r="Q1205" i="20"/>
  <c r="Q1206" i="20"/>
  <c r="Q1207" i="20"/>
  <c r="Q1208" i="20"/>
  <c r="Q1209" i="20"/>
  <c r="Q1210" i="20"/>
  <c r="Q1211" i="20"/>
  <c r="Q1212" i="20"/>
  <c r="Q1213" i="20"/>
  <c r="Q1214" i="20"/>
  <c r="Q1215" i="20"/>
  <c r="Q1216" i="20"/>
  <c r="Q1217" i="20"/>
  <c r="Q1218" i="20"/>
  <c r="Q1219" i="20"/>
  <c r="Q1220" i="20"/>
  <c r="Q1221" i="20"/>
  <c r="Q1222" i="20"/>
  <c r="Q1223" i="20"/>
  <c r="Q1224" i="20"/>
  <c r="Q1225" i="20"/>
  <c r="Q1226" i="20"/>
  <c r="Q1227" i="20"/>
  <c r="Q1228" i="20"/>
  <c r="Q1229" i="20"/>
  <c r="Q1230" i="20"/>
  <c r="Q1231" i="20"/>
  <c r="Q1232" i="20"/>
  <c r="Q1233" i="20"/>
  <c r="Q1234" i="20"/>
  <c r="Q1235" i="20"/>
  <c r="Q1236" i="20"/>
  <c r="Q1237" i="20"/>
  <c r="Q1238" i="20"/>
  <c r="Q1239" i="20"/>
  <c r="Q1240" i="20"/>
  <c r="Q1241" i="20"/>
  <c r="Q1242" i="20"/>
  <c r="Q1243" i="20"/>
  <c r="Q1244" i="20"/>
  <c r="Q1245" i="20"/>
  <c r="Q1246" i="20"/>
  <c r="Q1247" i="20"/>
  <c r="Q1248" i="20"/>
  <c r="Q1249" i="20"/>
  <c r="Q1250" i="20"/>
  <c r="Q1251" i="20"/>
  <c r="Q1252" i="20"/>
  <c r="Q1253" i="20"/>
  <c r="Q1254" i="20"/>
  <c r="Q1255" i="20"/>
  <c r="Q1256" i="20"/>
  <c r="Q1257" i="20"/>
  <c r="Q1258" i="20"/>
  <c r="Q1259" i="20"/>
  <c r="Q1260" i="20"/>
  <c r="Q1261" i="20"/>
  <c r="Q1262" i="20"/>
  <c r="Q1263" i="20"/>
  <c r="Q1264" i="20"/>
  <c r="Q1265" i="20"/>
  <c r="Q1266" i="20"/>
  <c r="Q1267" i="20"/>
  <c r="Q1268" i="20"/>
  <c r="Q1269" i="20"/>
  <c r="Q1270" i="20"/>
  <c r="Q1271" i="20"/>
  <c r="Q1272" i="20"/>
  <c r="Q1273" i="20"/>
  <c r="Q1274" i="20"/>
  <c r="Q1275" i="20"/>
  <c r="Q1276" i="20"/>
  <c r="Q1277" i="20"/>
  <c r="Q1278" i="20"/>
  <c r="Q1279" i="20"/>
  <c r="Q1280" i="20"/>
  <c r="Q1281" i="20"/>
  <c r="Q1282" i="20"/>
  <c r="Q1283" i="20"/>
  <c r="Q1284" i="20"/>
  <c r="Q1285" i="20"/>
  <c r="Q1286" i="20"/>
  <c r="Q1287" i="20"/>
  <c r="Q1288" i="20"/>
  <c r="Q1289" i="20"/>
  <c r="Q1290" i="20"/>
  <c r="Q1291" i="20"/>
  <c r="Q1292" i="20"/>
  <c r="Q1293" i="20"/>
  <c r="Q1294" i="20"/>
  <c r="Q1295" i="20"/>
  <c r="Q1296" i="20"/>
  <c r="Q1297" i="20"/>
  <c r="Q1298" i="20"/>
  <c r="Q1299" i="20"/>
  <c r="Q1300" i="20"/>
  <c r="Q1301" i="20"/>
  <c r="Q1302" i="20"/>
  <c r="Q1303" i="20"/>
  <c r="Q1304" i="20"/>
  <c r="Q1305" i="20"/>
  <c r="Q1306" i="20"/>
  <c r="Q1307" i="20"/>
  <c r="Q1308" i="20"/>
  <c r="Q1309" i="20"/>
  <c r="Q1310" i="20"/>
  <c r="Q1311" i="20"/>
  <c r="Q1312" i="20"/>
  <c r="Q1313" i="20"/>
  <c r="Q1314" i="20"/>
  <c r="Q1315" i="20"/>
  <c r="Q1316" i="20"/>
  <c r="Q1317" i="20"/>
  <c r="Q1318" i="20"/>
  <c r="Q1319" i="20"/>
  <c r="Q1320" i="20"/>
  <c r="Q1321" i="20"/>
  <c r="Q1322" i="20"/>
  <c r="Q1323" i="20"/>
  <c r="Q1324" i="20"/>
  <c r="Q1325" i="20"/>
  <c r="Q1326" i="20"/>
  <c r="Q1327" i="20"/>
  <c r="Q1328" i="20"/>
  <c r="Q1329" i="20"/>
  <c r="Q1330" i="20"/>
  <c r="Q1331" i="20"/>
  <c r="Q1332" i="20"/>
  <c r="Q1333" i="20"/>
  <c r="Q1334" i="20"/>
  <c r="Q1335" i="20"/>
  <c r="Q1336" i="20"/>
  <c r="Q1337" i="20"/>
  <c r="Q1338" i="20"/>
  <c r="Q1339" i="20"/>
  <c r="Q1340" i="20"/>
  <c r="Q1341" i="20"/>
  <c r="Q1342" i="20"/>
  <c r="Q1343" i="20"/>
  <c r="Q1344" i="20"/>
  <c r="Q1345" i="20"/>
  <c r="Q1346" i="20"/>
  <c r="Q1347" i="20"/>
  <c r="Q1348" i="20"/>
  <c r="Q1349" i="20"/>
  <c r="Q1350" i="20"/>
  <c r="Q1351" i="20"/>
  <c r="Q1352" i="20"/>
  <c r="Q1353" i="20"/>
  <c r="Q1354" i="20"/>
  <c r="Q1355" i="20"/>
  <c r="Q1356" i="20"/>
  <c r="Q1357" i="20"/>
  <c r="Q1358" i="20"/>
  <c r="Q1359" i="20"/>
  <c r="Q1360" i="20"/>
  <c r="Q1361" i="20"/>
  <c r="Q1362" i="20"/>
  <c r="Q1363" i="20"/>
  <c r="Q1364" i="20"/>
  <c r="Q1365" i="20"/>
  <c r="Q1366" i="20"/>
  <c r="Q1367" i="20"/>
  <c r="Q1368" i="20"/>
  <c r="Q1369" i="20"/>
  <c r="Q1370" i="20"/>
  <c r="Q1371" i="20"/>
  <c r="Q1372" i="20"/>
  <c r="Q1373" i="20"/>
  <c r="Q1374" i="20"/>
  <c r="Q1375" i="20"/>
  <c r="Q1376" i="20"/>
  <c r="Q1377" i="20"/>
  <c r="Q1378" i="20"/>
  <c r="Q1379" i="20"/>
  <c r="Q1380" i="20"/>
  <c r="Q1381" i="20"/>
  <c r="Q1382" i="20"/>
  <c r="Q1383" i="20"/>
  <c r="Q1384" i="20"/>
  <c r="Q1385" i="20"/>
  <c r="Q1386" i="20"/>
  <c r="Q1387" i="20"/>
  <c r="Q1388" i="20"/>
  <c r="Q1389" i="20"/>
  <c r="Q1390" i="20"/>
  <c r="Q1391" i="20"/>
  <c r="Q1392" i="20"/>
  <c r="Q1393" i="20"/>
  <c r="Q1394" i="20"/>
  <c r="Q1395" i="20"/>
  <c r="Q1396" i="20"/>
  <c r="Q1397" i="20"/>
  <c r="Q1398" i="20"/>
  <c r="Q1399" i="20"/>
  <c r="Q1400" i="20"/>
  <c r="Q1401" i="20"/>
  <c r="Q1402" i="20"/>
  <c r="Q1403" i="20"/>
  <c r="Q1404" i="20"/>
  <c r="Q1405" i="20"/>
  <c r="Q1406" i="20"/>
  <c r="Q1407" i="20"/>
  <c r="Q1408" i="20"/>
  <c r="Q1409" i="20"/>
  <c r="Q1410" i="20"/>
  <c r="Q1411" i="20"/>
  <c r="Q1412" i="20"/>
  <c r="Q1413" i="20"/>
  <c r="Q1414" i="20"/>
  <c r="Q1415" i="20"/>
  <c r="Q1416" i="20"/>
  <c r="Q1417" i="20"/>
  <c r="Q1418" i="20"/>
  <c r="Q1419" i="20"/>
  <c r="Q1420" i="20"/>
  <c r="Q1421" i="20"/>
  <c r="Q1422" i="20"/>
  <c r="Q1423" i="20"/>
  <c r="Q1424" i="20"/>
  <c r="Q1425" i="20"/>
  <c r="Q1426" i="20"/>
  <c r="Q1427" i="20"/>
  <c r="Q1428" i="20"/>
  <c r="Q1429" i="20"/>
  <c r="Q1430" i="20"/>
  <c r="Q1431" i="20"/>
  <c r="Q1432" i="20"/>
  <c r="Q1433" i="20"/>
  <c r="Q1434" i="20"/>
  <c r="Q1435" i="20"/>
  <c r="Q1436" i="20"/>
  <c r="Q1437" i="20"/>
  <c r="Q1438" i="20"/>
  <c r="Q1439" i="20"/>
  <c r="Q1440" i="20"/>
  <c r="Q1441" i="20"/>
  <c r="Q1442" i="20"/>
  <c r="Q1443" i="20"/>
  <c r="Q1444" i="20"/>
  <c r="Q1445" i="20"/>
  <c r="Q1446" i="20"/>
  <c r="Q1447" i="20"/>
  <c r="Q1448" i="20"/>
  <c r="Q1449" i="20"/>
  <c r="Q1450" i="20"/>
  <c r="Q1451" i="20"/>
  <c r="Q1452" i="20"/>
  <c r="Q1453" i="20"/>
  <c r="Q1454" i="20"/>
  <c r="Q1455" i="20"/>
  <c r="Q1456" i="20"/>
  <c r="Q1457" i="20"/>
  <c r="Q1458" i="20"/>
  <c r="Q1459" i="20"/>
  <c r="Q1460" i="20"/>
  <c r="Q1461" i="20"/>
  <c r="Q1462" i="20"/>
  <c r="Q1463" i="20"/>
  <c r="Q1464" i="20"/>
  <c r="Q1465" i="20"/>
  <c r="Q1466" i="20"/>
  <c r="Q1467" i="20"/>
  <c r="Q1468" i="20"/>
  <c r="Q1469" i="20"/>
  <c r="Q1470" i="20"/>
  <c r="Q1471" i="20"/>
  <c r="Q1472" i="20"/>
  <c r="Q1473" i="20"/>
  <c r="Q1474" i="20"/>
  <c r="Q1475" i="20"/>
  <c r="Q1476" i="20"/>
  <c r="Q1477" i="20"/>
  <c r="Q1478" i="20"/>
  <c r="Q1479" i="20"/>
  <c r="Q1480" i="20"/>
  <c r="Q1481" i="20"/>
  <c r="Q1482" i="20"/>
  <c r="Q1483" i="20"/>
  <c r="Q1484" i="20"/>
  <c r="Q1485" i="20"/>
  <c r="Q1486" i="20"/>
  <c r="Q1487" i="20"/>
  <c r="Q1488" i="20"/>
  <c r="Q1489" i="20"/>
  <c r="Q1490" i="20"/>
  <c r="Q1491" i="20"/>
  <c r="Q1492" i="20"/>
  <c r="Q1493" i="20"/>
  <c r="Q1494" i="20"/>
  <c r="Q1495" i="20"/>
  <c r="Q1496" i="20"/>
  <c r="Q1497" i="20"/>
  <c r="Q1498" i="20"/>
  <c r="Q1499" i="20"/>
  <c r="Q1500" i="20"/>
  <c r="Q1501" i="20"/>
  <c r="Q1502" i="20"/>
  <c r="Q1503" i="20"/>
  <c r="Q1504" i="20"/>
  <c r="Q1505" i="20"/>
  <c r="Q1506" i="20"/>
  <c r="Q1507" i="20"/>
  <c r="Q1508" i="20"/>
  <c r="Q1509" i="20"/>
  <c r="Q1510" i="20"/>
  <c r="Q1511" i="20"/>
  <c r="Q1512" i="20"/>
  <c r="Q1513" i="20"/>
  <c r="Q1514" i="20"/>
  <c r="Q1515" i="20"/>
  <c r="Q1516" i="20"/>
  <c r="Q1517" i="20"/>
  <c r="Q1518" i="20"/>
  <c r="Q1519" i="20"/>
  <c r="Q1520" i="20"/>
  <c r="Q1521" i="20"/>
  <c r="Q1522" i="20"/>
  <c r="Q1523" i="20"/>
  <c r="Q1524" i="20"/>
  <c r="Q1525" i="20"/>
  <c r="Q1526" i="20"/>
  <c r="Q1527" i="20"/>
  <c r="Q1528" i="20"/>
  <c r="Q1529" i="20"/>
  <c r="Q1530" i="20"/>
  <c r="Q1531" i="20"/>
  <c r="Q1532" i="20"/>
  <c r="Q1533" i="20"/>
  <c r="Q1534" i="20"/>
  <c r="Q1535" i="20"/>
  <c r="Q1536" i="20"/>
  <c r="Q1537" i="20"/>
  <c r="Q1538" i="20"/>
  <c r="Q1539" i="20"/>
  <c r="Q1540" i="20"/>
  <c r="Q1541" i="20"/>
  <c r="Q1542" i="20"/>
  <c r="Q1543" i="20"/>
  <c r="Q1544" i="20"/>
  <c r="Q1545" i="20"/>
  <c r="Q1546" i="20"/>
  <c r="Q1547" i="20"/>
  <c r="Q1548" i="20"/>
  <c r="Q1549" i="20"/>
  <c r="Q1550" i="20"/>
  <c r="Q1551" i="20"/>
  <c r="Q1552" i="20"/>
  <c r="Q1553" i="20"/>
  <c r="Q1554" i="20"/>
  <c r="Q1555" i="20"/>
  <c r="Q1556" i="20"/>
  <c r="Q1557" i="20"/>
  <c r="Q1558" i="20"/>
  <c r="Q1559" i="20"/>
  <c r="Q1560" i="20"/>
  <c r="Q1561" i="20"/>
  <c r="Q1562" i="20"/>
  <c r="Q1563" i="20"/>
  <c r="Q1564" i="20"/>
  <c r="Q1565" i="20"/>
  <c r="Q1566" i="20"/>
  <c r="Q1567" i="20"/>
  <c r="Q1568" i="20"/>
  <c r="Q1569" i="20"/>
  <c r="Q1570" i="20"/>
  <c r="Q1571" i="20"/>
  <c r="Q1572" i="20"/>
  <c r="Q1573" i="20"/>
  <c r="Q1574" i="20"/>
  <c r="Q1575" i="20"/>
  <c r="Q1576" i="20"/>
  <c r="Q1577" i="20"/>
  <c r="Q1578" i="20"/>
  <c r="Q1579" i="20"/>
  <c r="Q1580" i="20"/>
  <c r="Q1581" i="20"/>
  <c r="Q1582" i="20"/>
  <c r="Q1583" i="20"/>
  <c r="Q1584" i="20"/>
  <c r="Q1585" i="20"/>
  <c r="Q1586" i="20"/>
  <c r="Q1587" i="20"/>
  <c r="Q1588" i="20"/>
  <c r="Q1589" i="20"/>
  <c r="Q1590" i="20"/>
  <c r="Q1591" i="20"/>
  <c r="Q1592" i="20"/>
  <c r="Q1593" i="20"/>
  <c r="Q1594" i="20"/>
  <c r="Q1595" i="20"/>
  <c r="Q1596" i="20"/>
  <c r="Q1597" i="20"/>
  <c r="Q1598" i="20"/>
  <c r="Q1599" i="20"/>
  <c r="Q1600" i="20"/>
  <c r="Q1601" i="20"/>
  <c r="Q1602" i="20"/>
  <c r="Q1603" i="20"/>
  <c r="Q1604" i="20"/>
  <c r="Q1605" i="20"/>
  <c r="Q1606" i="20"/>
  <c r="Q1607" i="20"/>
  <c r="Q1608" i="20"/>
  <c r="Q1609" i="20"/>
  <c r="Q1610" i="20"/>
  <c r="Q1611" i="20"/>
  <c r="Q1612" i="20"/>
  <c r="Q1613" i="20"/>
  <c r="Q1614" i="20"/>
  <c r="Q1615" i="20"/>
  <c r="Q1616" i="20"/>
  <c r="Q1617" i="20"/>
  <c r="Q1618" i="20"/>
  <c r="Q1619" i="20"/>
  <c r="Q1620" i="20"/>
  <c r="Q1621" i="20"/>
  <c r="Q1622" i="20"/>
  <c r="Q1623" i="20"/>
  <c r="Q1624" i="20"/>
  <c r="Q1625" i="20"/>
  <c r="Q1626" i="20"/>
  <c r="Q1627" i="20"/>
  <c r="Q1628" i="20"/>
  <c r="Q1629" i="20"/>
  <c r="Q1630" i="20"/>
  <c r="Q1631" i="20"/>
  <c r="Q1632" i="20"/>
  <c r="Q1633" i="20"/>
  <c r="Q1634" i="20"/>
  <c r="Q1635" i="20"/>
  <c r="Q1636" i="20"/>
  <c r="Q1637" i="20"/>
  <c r="Q1638" i="20"/>
  <c r="Q1639" i="20"/>
  <c r="Q1640" i="20"/>
  <c r="Q1641" i="20"/>
  <c r="Q1642" i="20"/>
  <c r="Q1643" i="20"/>
  <c r="Q1644" i="20"/>
  <c r="Q1645" i="20"/>
  <c r="Q1646" i="20"/>
  <c r="Q1647" i="20"/>
  <c r="Q1648" i="20"/>
  <c r="Q1649" i="20"/>
  <c r="Q1650" i="20"/>
  <c r="Q1651" i="20"/>
  <c r="Q1652" i="20"/>
  <c r="Q1653" i="20"/>
  <c r="Q1654" i="20"/>
  <c r="Q1655" i="20"/>
  <c r="Q1656" i="20"/>
  <c r="Q1657" i="20"/>
  <c r="Q1658" i="20"/>
  <c r="Q1659" i="20"/>
  <c r="Q1660" i="20"/>
  <c r="Q1661" i="20"/>
  <c r="Q1662" i="20"/>
  <c r="Q1663" i="20"/>
  <c r="Q1664" i="20"/>
  <c r="Q1665" i="20"/>
  <c r="Q1666" i="20"/>
  <c r="Q1667" i="20"/>
  <c r="Q1668" i="20"/>
  <c r="Q1669" i="20"/>
  <c r="Q1670" i="20"/>
  <c r="Q1671" i="20"/>
  <c r="Q1672" i="20"/>
  <c r="Q1673" i="20"/>
  <c r="Q1674" i="20"/>
  <c r="Q1675" i="20"/>
  <c r="Q1676" i="20"/>
  <c r="Q1677" i="20"/>
  <c r="Q1678" i="20"/>
  <c r="Q1679" i="20"/>
  <c r="Q1680" i="20"/>
  <c r="Q1681" i="20"/>
  <c r="Q1682" i="20"/>
  <c r="Q1683" i="20"/>
  <c r="Q1684" i="20"/>
  <c r="Q1685" i="20"/>
  <c r="Q1686" i="20"/>
  <c r="Q1687" i="20"/>
  <c r="Q1688" i="20"/>
  <c r="Q1689" i="20"/>
  <c r="Q1690" i="20"/>
  <c r="Q1691" i="20"/>
  <c r="Q1692" i="20"/>
  <c r="Q1693" i="20"/>
  <c r="Q1694" i="20"/>
  <c r="Q1695" i="20"/>
  <c r="Q1696" i="20"/>
  <c r="Q1697" i="20"/>
  <c r="Q1698" i="20"/>
  <c r="Q1699" i="20"/>
  <c r="Q1700" i="20"/>
  <c r="Q1701" i="20"/>
  <c r="Q1702" i="20"/>
  <c r="Q1703" i="20"/>
  <c r="Q1704" i="20"/>
  <c r="Q1705" i="20"/>
  <c r="Q1706" i="20"/>
  <c r="Q1707" i="20"/>
  <c r="Q1708" i="20"/>
  <c r="Q1709" i="20"/>
  <c r="Q1710" i="20"/>
  <c r="Q1711" i="20"/>
  <c r="Q1712" i="20"/>
  <c r="Q1713" i="20"/>
  <c r="Q1714" i="20"/>
  <c r="Q1715" i="20"/>
  <c r="Q1716" i="20"/>
  <c r="Q1717" i="20"/>
  <c r="Q1718" i="20"/>
  <c r="Q1719" i="20"/>
  <c r="Q1720" i="20"/>
  <c r="Q1721" i="20"/>
  <c r="Q1722" i="20"/>
  <c r="Q1723" i="20"/>
  <c r="Q1724" i="20"/>
  <c r="Q1725" i="20"/>
  <c r="Q1726" i="20"/>
  <c r="Q1727" i="20"/>
  <c r="Q1728" i="20"/>
  <c r="Q1729" i="20"/>
  <c r="Q1730" i="20"/>
  <c r="Q1731" i="20"/>
  <c r="Q1732" i="20"/>
  <c r="Q1733" i="20"/>
  <c r="Q1734" i="20"/>
  <c r="Q1735" i="20"/>
  <c r="Q1736" i="20"/>
  <c r="Q1737" i="20"/>
  <c r="Q1738" i="20"/>
  <c r="Q1739" i="20"/>
  <c r="Q1740" i="20"/>
  <c r="Q1741" i="20"/>
  <c r="Q1742" i="20"/>
  <c r="Q1743" i="20"/>
  <c r="Q1744" i="20"/>
  <c r="Q1745" i="20"/>
  <c r="Q1746" i="20"/>
  <c r="Q1747" i="20"/>
  <c r="Q1748" i="20"/>
  <c r="Q1749" i="20"/>
  <c r="Q1750" i="20"/>
  <c r="Q1751" i="20"/>
  <c r="Q1752" i="20"/>
  <c r="Q1753" i="20"/>
  <c r="Q1754" i="20"/>
  <c r="Q1755" i="20"/>
  <c r="Q1756" i="20"/>
  <c r="Q1757" i="20"/>
  <c r="Q1758" i="20"/>
  <c r="Q1759" i="20"/>
  <c r="Q1760" i="20"/>
  <c r="Q1761" i="20"/>
  <c r="Q1762" i="20"/>
  <c r="Q1763" i="20"/>
  <c r="Q1764" i="20"/>
  <c r="Q1765" i="20"/>
  <c r="Q1766" i="20"/>
  <c r="Q1767" i="20"/>
  <c r="Q1768" i="20"/>
  <c r="Q1769" i="20"/>
  <c r="Q1770" i="20"/>
  <c r="Q1771" i="20"/>
  <c r="Q1772" i="20"/>
  <c r="Q1773" i="20"/>
  <c r="Q1774" i="20"/>
  <c r="Q1775" i="20"/>
  <c r="Q1776" i="20"/>
  <c r="Q1777" i="20"/>
  <c r="Q1778" i="20"/>
  <c r="Q1779" i="20"/>
  <c r="Q1780" i="20"/>
  <c r="Q1781" i="20"/>
  <c r="Q1782" i="20"/>
  <c r="Q1783" i="20"/>
  <c r="Q1784" i="20"/>
  <c r="R2" i="20"/>
  <c r="R3" i="20"/>
  <c r="R4" i="20"/>
  <c r="R5" i="20"/>
  <c r="R6" i="20"/>
  <c r="R7" i="20"/>
  <c r="R8" i="20"/>
  <c r="R9" i="20"/>
  <c r="R10" i="20"/>
  <c r="R11" i="20"/>
  <c r="R12" i="20"/>
  <c r="R13" i="20"/>
  <c r="R14" i="20"/>
  <c r="R15" i="20"/>
  <c r="R16" i="20"/>
  <c r="R17" i="20"/>
  <c r="R18" i="20"/>
  <c r="R19" i="20"/>
  <c r="R20" i="20"/>
  <c r="R21" i="20"/>
  <c r="R22" i="20"/>
  <c r="R23" i="20"/>
  <c r="R24" i="20"/>
  <c r="R25" i="20"/>
  <c r="R26" i="20"/>
  <c r="R27" i="20"/>
  <c r="R28" i="20"/>
  <c r="R29" i="20"/>
  <c r="R30" i="20"/>
  <c r="R31" i="20"/>
  <c r="R32" i="20"/>
  <c r="R33" i="20"/>
  <c r="R34" i="20"/>
  <c r="R35" i="20"/>
  <c r="R36" i="20"/>
  <c r="R37" i="20"/>
  <c r="R38" i="20"/>
  <c r="R39" i="20"/>
  <c r="R40" i="20"/>
  <c r="R41" i="20"/>
  <c r="R42" i="20"/>
  <c r="R43" i="20"/>
  <c r="R44" i="20"/>
  <c r="R45" i="20"/>
  <c r="R46" i="20"/>
  <c r="R47" i="20"/>
  <c r="R48" i="20"/>
  <c r="R49" i="20"/>
  <c r="R50" i="20"/>
  <c r="R51" i="20"/>
  <c r="R52" i="20"/>
  <c r="R53" i="20"/>
  <c r="R54" i="20"/>
  <c r="R55" i="20"/>
  <c r="R56" i="20"/>
  <c r="R57" i="20"/>
  <c r="R58" i="20"/>
  <c r="R59" i="20"/>
  <c r="R60" i="20"/>
  <c r="R61" i="20"/>
  <c r="R62" i="20"/>
  <c r="R63" i="20"/>
  <c r="R64" i="20"/>
  <c r="R65" i="20"/>
  <c r="R66" i="20"/>
  <c r="R67" i="20"/>
  <c r="R68" i="20"/>
  <c r="R69" i="20"/>
  <c r="R70" i="20"/>
  <c r="R71" i="20"/>
  <c r="R72" i="20"/>
  <c r="R73" i="20"/>
  <c r="R74" i="20"/>
  <c r="R75" i="20"/>
  <c r="R76" i="20"/>
  <c r="R77" i="20"/>
  <c r="R78" i="20"/>
  <c r="R79" i="20"/>
  <c r="R80" i="20"/>
  <c r="R81" i="20"/>
  <c r="R82" i="20"/>
  <c r="R83" i="20"/>
  <c r="R84" i="20"/>
  <c r="R85" i="20"/>
  <c r="R86" i="20"/>
  <c r="R87" i="20"/>
  <c r="R88" i="20"/>
  <c r="R89" i="20"/>
  <c r="R90" i="20"/>
  <c r="R91" i="20"/>
  <c r="R92" i="20"/>
  <c r="R93" i="20"/>
  <c r="R94" i="20"/>
  <c r="R95" i="20"/>
  <c r="R96" i="20"/>
  <c r="R97" i="20"/>
  <c r="R98" i="20"/>
  <c r="R99" i="20"/>
  <c r="R100" i="20"/>
  <c r="R101" i="20"/>
  <c r="R102" i="20"/>
  <c r="R103" i="20"/>
  <c r="R104" i="20"/>
  <c r="R105" i="20"/>
  <c r="R106" i="20"/>
  <c r="R107" i="20"/>
  <c r="R108" i="20"/>
  <c r="R109" i="20"/>
  <c r="R110" i="20"/>
  <c r="R111" i="20"/>
  <c r="R112" i="20"/>
  <c r="R113" i="20"/>
  <c r="R114" i="20"/>
  <c r="R115" i="20"/>
  <c r="R116" i="20"/>
  <c r="R117" i="20"/>
  <c r="R118" i="20"/>
  <c r="R119" i="20"/>
  <c r="R120" i="20"/>
  <c r="R121" i="20"/>
  <c r="R122" i="20"/>
  <c r="R123" i="20"/>
  <c r="R124" i="20"/>
  <c r="R125" i="20"/>
  <c r="R126" i="20"/>
  <c r="R127" i="20"/>
  <c r="R128" i="20"/>
  <c r="R129" i="20"/>
  <c r="R130" i="20"/>
  <c r="R131" i="20"/>
  <c r="R132" i="20"/>
  <c r="R133" i="20"/>
  <c r="R134" i="20"/>
  <c r="R135" i="20"/>
  <c r="R136" i="20"/>
  <c r="R137" i="20"/>
  <c r="R138" i="20"/>
  <c r="R139" i="20"/>
  <c r="R140" i="20"/>
  <c r="R141" i="20"/>
  <c r="R142" i="20"/>
  <c r="R143" i="20"/>
  <c r="R144" i="20"/>
  <c r="R145" i="20"/>
  <c r="R146" i="20"/>
  <c r="R147" i="20"/>
  <c r="R148" i="20"/>
  <c r="R149" i="20"/>
  <c r="R150" i="20"/>
  <c r="R151" i="20"/>
  <c r="R152" i="20"/>
  <c r="R153" i="20"/>
  <c r="R154" i="20"/>
  <c r="R155" i="20"/>
  <c r="R156" i="20"/>
  <c r="R157" i="20"/>
  <c r="R158" i="20"/>
  <c r="R159" i="20"/>
  <c r="R160" i="20"/>
  <c r="R161" i="20"/>
  <c r="R162" i="20"/>
  <c r="R163" i="20"/>
  <c r="R164" i="20"/>
  <c r="R165" i="20"/>
  <c r="R166" i="20"/>
  <c r="R167" i="20"/>
  <c r="R168" i="20"/>
  <c r="R169" i="20"/>
  <c r="R170" i="20"/>
  <c r="R171" i="20"/>
  <c r="R172" i="20"/>
  <c r="R173" i="20"/>
  <c r="R174" i="20"/>
  <c r="R175" i="20"/>
  <c r="R176" i="20"/>
  <c r="R177" i="20"/>
  <c r="R178" i="20"/>
  <c r="R179" i="20"/>
  <c r="R180" i="20"/>
  <c r="R181" i="20"/>
  <c r="R182" i="20"/>
  <c r="R183" i="20"/>
  <c r="R184" i="20"/>
  <c r="R185" i="20"/>
  <c r="R186" i="20"/>
  <c r="R187" i="20"/>
  <c r="R188" i="20"/>
  <c r="R189" i="20"/>
  <c r="R190" i="20"/>
  <c r="R191" i="20"/>
  <c r="R192" i="20"/>
  <c r="R193" i="20"/>
  <c r="R194" i="20"/>
  <c r="R195" i="20"/>
  <c r="R196" i="20"/>
  <c r="R197" i="20"/>
  <c r="R198" i="20"/>
  <c r="R199" i="20"/>
  <c r="R200" i="20"/>
  <c r="R201" i="20"/>
  <c r="R202" i="20"/>
  <c r="R203" i="20"/>
  <c r="R204" i="20"/>
  <c r="R205" i="20"/>
  <c r="R206" i="20"/>
  <c r="R207" i="20"/>
  <c r="R208" i="20"/>
  <c r="R209" i="20"/>
  <c r="R210" i="20"/>
  <c r="R211" i="20"/>
  <c r="R212" i="20"/>
  <c r="R213" i="20"/>
  <c r="R214" i="20"/>
  <c r="R215" i="20"/>
  <c r="R216" i="20"/>
  <c r="R217" i="20"/>
  <c r="R218" i="20"/>
  <c r="R219" i="20"/>
  <c r="R220" i="20"/>
  <c r="R221" i="20"/>
  <c r="R222" i="20"/>
  <c r="R223" i="20"/>
  <c r="R224" i="20"/>
  <c r="R225" i="20"/>
  <c r="R226" i="20"/>
  <c r="R227" i="20"/>
  <c r="R228" i="20"/>
  <c r="R229" i="20"/>
  <c r="R230" i="20"/>
  <c r="R231" i="20"/>
  <c r="R232" i="20"/>
  <c r="R233" i="20"/>
  <c r="R234" i="20"/>
  <c r="R235" i="20"/>
  <c r="R236" i="20"/>
  <c r="R237" i="20"/>
  <c r="R238" i="20"/>
  <c r="R239" i="20"/>
  <c r="R240" i="20"/>
  <c r="R241" i="20"/>
  <c r="R242" i="20"/>
  <c r="R243" i="20"/>
  <c r="R244" i="20"/>
  <c r="R245" i="20"/>
  <c r="R246" i="20"/>
  <c r="R247" i="20"/>
  <c r="R248" i="20"/>
  <c r="R249" i="20"/>
  <c r="R250" i="20"/>
  <c r="R251" i="20"/>
  <c r="R252" i="20"/>
  <c r="R253" i="20"/>
  <c r="R254" i="20"/>
  <c r="R255" i="20"/>
  <c r="R256" i="20"/>
  <c r="R257" i="20"/>
  <c r="R258" i="20"/>
  <c r="R259" i="20"/>
  <c r="R260" i="20"/>
  <c r="R261" i="20"/>
  <c r="R262" i="20"/>
  <c r="R263" i="20"/>
  <c r="R264" i="20"/>
  <c r="R265" i="20"/>
  <c r="R266" i="20"/>
  <c r="R267" i="20"/>
  <c r="R268" i="20"/>
  <c r="R269" i="20"/>
  <c r="R270" i="20"/>
  <c r="R271" i="20"/>
  <c r="R272" i="20"/>
  <c r="R273" i="20"/>
  <c r="R274" i="20"/>
  <c r="R275" i="20"/>
  <c r="R276" i="20"/>
  <c r="R277" i="20"/>
  <c r="R278" i="20"/>
  <c r="R279" i="20"/>
  <c r="R280" i="20"/>
  <c r="R281" i="20"/>
  <c r="R282" i="20"/>
  <c r="R283" i="20"/>
  <c r="R284" i="20"/>
  <c r="R285" i="20"/>
  <c r="R286" i="20"/>
  <c r="R287" i="20"/>
  <c r="R288" i="20"/>
  <c r="R289" i="20"/>
  <c r="R290" i="20"/>
  <c r="R291" i="20"/>
  <c r="R292" i="20"/>
  <c r="R293" i="20"/>
  <c r="R294" i="20"/>
  <c r="R295" i="20"/>
  <c r="R296" i="20"/>
  <c r="R297" i="20"/>
  <c r="R298" i="20"/>
  <c r="R299" i="20"/>
  <c r="R300" i="20"/>
  <c r="R301" i="20"/>
  <c r="R302" i="20"/>
  <c r="R303" i="20"/>
  <c r="R304" i="20"/>
  <c r="R305" i="20"/>
  <c r="R306" i="20"/>
  <c r="R307" i="20"/>
  <c r="R308" i="20"/>
  <c r="R309" i="20"/>
  <c r="R310" i="20"/>
  <c r="R311" i="20"/>
  <c r="R312" i="20"/>
  <c r="R313" i="20"/>
  <c r="R314" i="20"/>
  <c r="R315" i="20"/>
  <c r="R316" i="20"/>
  <c r="R317" i="20"/>
  <c r="R318" i="20"/>
  <c r="R319" i="20"/>
  <c r="R320" i="20"/>
  <c r="R321" i="20"/>
  <c r="R322" i="20"/>
  <c r="R323" i="20"/>
  <c r="R324" i="20"/>
  <c r="R325" i="20"/>
  <c r="R326" i="20"/>
  <c r="R327" i="20"/>
  <c r="R328" i="20"/>
  <c r="R329" i="20"/>
  <c r="R330" i="20"/>
  <c r="R331" i="20"/>
  <c r="R332" i="20"/>
  <c r="R333" i="20"/>
  <c r="R334" i="20"/>
  <c r="R335" i="20"/>
  <c r="R336" i="20"/>
  <c r="R337" i="20"/>
  <c r="R338" i="20"/>
  <c r="R339" i="20"/>
  <c r="R340" i="20"/>
  <c r="R341" i="20"/>
  <c r="R342" i="20"/>
  <c r="R343" i="20"/>
  <c r="R344" i="20"/>
  <c r="R345" i="20"/>
  <c r="R346" i="20"/>
  <c r="R347" i="20"/>
  <c r="R348" i="20"/>
  <c r="R349" i="20"/>
  <c r="R350" i="20"/>
  <c r="R351" i="20"/>
  <c r="R352" i="20"/>
  <c r="R353" i="20"/>
  <c r="R354" i="20"/>
  <c r="R355" i="20"/>
  <c r="R356" i="20"/>
  <c r="R357" i="20"/>
  <c r="R358" i="20"/>
  <c r="R359" i="20"/>
  <c r="R360" i="20"/>
  <c r="R361" i="20"/>
  <c r="R362" i="20"/>
  <c r="R363" i="20"/>
  <c r="R364" i="20"/>
  <c r="R365" i="20"/>
  <c r="R366" i="20"/>
  <c r="R367" i="20"/>
  <c r="R368" i="20"/>
  <c r="R369" i="20"/>
  <c r="R370" i="20"/>
  <c r="R371" i="20"/>
  <c r="R372" i="20"/>
  <c r="R373" i="20"/>
  <c r="R374" i="20"/>
  <c r="R375" i="20"/>
  <c r="R376" i="20"/>
  <c r="R377" i="20"/>
  <c r="R378" i="20"/>
  <c r="R379" i="20"/>
  <c r="R380" i="20"/>
  <c r="R381" i="20"/>
  <c r="R382" i="20"/>
  <c r="R383" i="20"/>
  <c r="R384" i="20"/>
  <c r="R385" i="20"/>
  <c r="R386" i="20"/>
  <c r="R387" i="20"/>
  <c r="R388" i="20"/>
  <c r="R389" i="20"/>
  <c r="R390" i="20"/>
  <c r="R391" i="20"/>
  <c r="R392" i="20"/>
  <c r="R393" i="20"/>
  <c r="R394" i="20"/>
  <c r="R395" i="20"/>
  <c r="R396" i="20"/>
  <c r="R397" i="20"/>
  <c r="R398" i="20"/>
  <c r="R399" i="20"/>
  <c r="R400" i="20"/>
  <c r="R401" i="20"/>
  <c r="R402" i="20"/>
  <c r="R403" i="20"/>
  <c r="R404" i="20"/>
  <c r="R405" i="20"/>
  <c r="R406" i="20"/>
  <c r="R407" i="20"/>
  <c r="R408" i="20"/>
  <c r="R409" i="20"/>
  <c r="R410" i="20"/>
  <c r="R411" i="20"/>
  <c r="R412" i="20"/>
  <c r="R413" i="20"/>
  <c r="R414" i="20"/>
  <c r="R415" i="20"/>
  <c r="R416" i="20"/>
  <c r="R417" i="20"/>
  <c r="R418" i="20"/>
  <c r="R419" i="20"/>
  <c r="R420" i="20"/>
  <c r="R421" i="20"/>
  <c r="R422" i="20"/>
  <c r="R423" i="20"/>
  <c r="R424" i="20"/>
  <c r="R425" i="20"/>
  <c r="R426" i="20"/>
  <c r="R427" i="20"/>
  <c r="R428" i="20"/>
  <c r="R429" i="20"/>
  <c r="R430" i="20"/>
  <c r="R431" i="20"/>
  <c r="R432" i="20"/>
  <c r="R433" i="20"/>
  <c r="R434" i="20"/>
  <c r="R435" i="20"/>
  <c r="R436" i="20"/>
  <c r="R437" i="20"/>
  <c r="R438" i="20"/>
  <c r="R439" i="20"/>
  <c r="R440" i="20"/>
  <c r="R441" i="20"/>
  <c r="R442" i="20"/>
  <c r="R443" i="20"/>
  <c r="R444" i="20"/>
  <c r="R445" i="20"/>
  <c r="R446" i="20"/>
  <c r="R447" i="20"/>
  <c r="R448" i="20"/>
  <c r="R449" i="20"/>
  <c r="R450" i="20"/>
  <c r="R451" i="20"/>
  <c r="R452" i="20"/>
  <c r="R453" i="20"/>
  <c r="R454" i="20"/>
  <c r="R455" i="20"/>
  <c r="R456" i="20"/>
  <c r="R457" i="20"/>
  <c r="R458" i="20"/>
  <c r="R459" i="20"/>
  <c r="R460" i="20"/>
  <c r="R461" i="20"/>
  <c r="R462" i="20"/>
  <c r="R463" i="20"/>
  <c r="R464" i="20"/>
  <c r="R465" i="20"/>
  <c r="R466" i="20"/>
  <c r="R467" i="20"/>
  <c r="R468" i="20"/>
  <c r="R469" i="20"/>
  <c r="R470" i="20"/>
  <c r="R471" i="20"/>
  <c r="R472" i="20"/>
  <c r="R473" i="20"/>
  <c r="R474" i="20"/>
  <c r="R475" i="20"/>
  <c r="R476" i="20"/>
  <c r="R477" i="20"/>
  <c r="R478" i="20"/>
  <c r="R479" i="20"/>
  <c r="R480" i="20"/>
  <c r="R481" i="20"/>
  <c r="R482" i="20"/>
  <c r="R483" i="20"/>
  <c r="R484" i="20"/>
  <c r="R485" i="20"/>
  <c r="R486" i="20"/>
  <c r="R487" i="20"/>
  <c r="R488" i="20"/>
  <c r="R489" i="20"/>
  <c r="R490" i="20"/>
  <c r="R491" i="20"/>
  <c r="R492" i="20"/>
  <c r="R493" i="20"/>
  <c r="R494" i="20"/>
  <c r="R495" i="20"/>
  <c r="R496" i="20"/>
  <c r="R497" i="20"/>
  <c r="R498" i="20"/>
  <c r="R499" i="20"/>
  <c r="R500" i="20"/>
  <c r="R501" i="20"/>
  <c r="R502" i="20"/>
  <c r="R503" i="20"/>
  <c r="R504" i="20"/>
  <c r="R505" i="20"/>
  <c r="R506" i="20"/>
  <c r="R507" i="20"/>
  <c r="R508" i="20"/>
  <c r="R509" i="20"/>
  <c r="R510" i="20"/>
  <c r="R511" i="20"/>
  <c r="R512" i="20"/>
  <c r="R513" i="20"/>
  <c r="R514" i="20"/>
  <c r="R515" i="20"/>
  <c r="R516" i="20"/>
  <c r="R517" i="20"/>
  <c r="R518" i="20"/>
  <c r="R519" i="20"/>
  <c r="R520" i="20"/>
  <c r="R521" i="20"/>
  <c r="R522" i="20"/>
  <c r="R523" i="20"/>
  <c r="R524" i="20"/>
  <c r="R525" i="20"/>
  <c r="R526" i="20"/>
  <c r="R527" i="20"/>
  <c r="R528" i="20"/>
  <c r="R529" i="20"/>
  <c r="R530" i="20"/>
  <c r="R531" i="20"/>
  <c r="R532" i="20"/>
  <c r="R533" i="20"/>
  <c r="R534" i="20"/>
  <c r="R535" i="20"/>
  <c r="R536" i="20"/>
  <c r="R537" i="20"/>
  <c r="R538" i="20"/>
  <c r="R539" i="20"/>
  <c r="R540" i="20"/>
  <c r="R541" i="20"/>
  <c r="R542" i="20"/>
  <c r="R543" i="20"/>
  <c r="R544" i="20"/>
  <c r="R545" i="20"/>
  <c r="R546" i="20"/>
  <c r="R547" i="20"/>
  <c r="R548" i="20"/>
  <c r="R549" i="20"/>
  <c r="R550" i="20"/>
  <c r="R551" i="20"/>
  <c r="R552" i="20"/>
  <c r="R553" i="20"/>
  <c r="R554" i="20"/>
  <c r="R555" i="20"/>
  <c r="R556" i="20"/>
  <c r="R557" i="20"/>
  <c r="R558" i="20"/>
  <c r="R559" i="20"/>
  <c r="R560" i="20"/>
  <c r="R561" i="20"/>
  <c r="R562" i="20"/>
  <c r="R563" i="20"/>
  <c r="R564" i="20"/>
  <c r="R565" i="20"/>
  <c r="R566" i="20"/>
  <c r="R567" i="20"/>
  <c r="R568" i="20"/>
  <c r="R569" i="20"/>
  <c r="R570" i="20"/>
  <c r="R571" i="20"/>
  <c r="R572" i="20"/>
  <c r="R573" i="20"/>
  <c r="R574" i="20"/>
  <c r="R575" i="20"/>
  <c r="R576" i="20"/>
  <c r="R577" i="20"/>
  <c r="R578" i="20"/>
  <c r="R579" i="20"/>
  <c r="R580" i="20"/>
  <c r="R581" i="20"/>
  <c r="R582" i="20"/>
  <c r="R583" i="20"/>
  <c r="R584" i="20"/>
  <c r="R585" i="20"/>
  <c r="R586" i="20"/>
  <c r="R587" i="20"/>
  <c r="R588" i="20"/>
  <c r="R589" i="20"/>
  <c r="R590" i="20"/>
  <c r="R591" i="20"/>
  <c r="R592" i="20"/>
  <c r="R593" i="20"/>
  <c r="R594" i="20"/>
  <c r="R595" i="20"/>
  <c r="R596" i="20"/>
  <c r="R597" i="20"/>
  <c r="R598" i="20"/>
  <c r="R599" i="20"/>
  <c r="R600" i="20"/>
  <c r="R601" i="20"/>
  <c r="R602" i="20"/>
  <c r="R603" i="20"/>
  <c r="R604" i="20"/>
  <c r="R605" i="20"/>
  <c r="R606" i="20"/>
  <c r="R607" i="20"/>
  <c r="R608" i="20"/>
  <c r="R609" i="20"/>
  <c r="R610" i="20"/>
  <c r="R611" i="20"/>
  <c r="R612" i="20"/>
  <c r="R613" i="20"/>
  <c r="R614" i="20"/>
  <c r="R615" i="20"/>
  <c r="R616" i="20"/>
  <c r="R617" i="20"/>
  <c r="R618" i="20"/>
  <c r="R619" i="20"/>
  <c r="R620" i="20"/>
  <c r="R621" i="20"/>
  <c r="R622" i="20"/>
  <c r="R623" i="20"/>
  <c r="R624" i="20"/>
  <c r="R625" i="20"/>
  <c r="R626" i="20"/>
  <c r="R627" i="20"/>
  <c r="R628" i="20"/>
  <c r="R629" i="20"/>
  <c r="R630" i="20"/>
  <c r="R631" i="20"/>
  <c r="R632" i="20"/>
  <c r="R633" i="20"/>
  <c r="R634" i="20"/>
  <c r="R635" i="20"/>
  <c r="R636" i="20"/>
  <c r="R637" i="20"/>
  <c r="R638" i="20"/>
  <c r="R639" i="20"/>
  <c r="R640" i="20"/>
  <c r="R641" i="20"/>
  <c r="R642" i="20"/>
  <c r="R643" i="20"/>
  <c r="R644" i="20"/>
  <c r="R645" i="20"/>
  <c r="R646" i="20"/>
  <c r="R647" i="20"/>
  <c r="R648" i="20"/>
  <c r="R649" i="20"/>
  <c r="R650" i="20"/>
  <c r="R651" i="20"/>
  <c r="R652" i="20"/>
  <c r="R653" i="20"/>
  <c r="R654" i="20"/>
  <c r="R655" i="20"/>
  <c r="R656" i="20"/>
  <c r="R657" i="20"/>
  <c r="R658" i="20"/>
  <c r="R659" i="20"/>
  <c r="R660" i="20"/>
  <c r="R661" i="20"/>
  <c r="R662" i="20"/>
  <c r="R663" i="20"/>
  <c r="R664" i="20"/>
  <c r="R665" i="20"/>
  <c r="R666" i="20"/>
  <c r="R667" i="20"/>
  <c r="R668" i="20"/>
  <c r="R669" i="20"/>
  <c r="R670" i="20"/>
  <c r="R671" i="20"/>
  <c r="R672" i="20"/>
  <c r="R673" i="20"/>
  <c r="R674" i="20"/>
  <c r="R675" i="20"/>
  <c r="R676" i="20"/>
  <c r="R677" i="20"/>
  <c r="R678" i="20"/>
  <c r="R679" i="20"/>
  <c r="R680" i="20"/>
  <c r="R681" i="20"/>
  <c r="R682" i="20"/>
  <c r="R683" i="20"/>
  <c r="R684" i="20"/>
  <c r="R685" i="20"/>
  <c r="R686" i="20"/>
  <c r="R687" i="20"/>
  <c r="R688" i="20"/>
  <c r="R689" i="20"/>
  <c r="R690" i="20"/>
  <c r="R691" i="20"/>
  <c r="R692" i="20"/>
  <c r="R693" i="20"/>
  <c r="R694" i="20"/>
  <c r="R695" i="20"/>
  <c r="R696" i="20"/>
  <c r="R697" i="20"/>
  <c r="R698" i="20"/>
  <c r="R699" i="20"/>
  <c r="R700" i="20"/>
  <c r="R701" i="20"/>
  <c r="R702" i="20"/>
  <c r="R703" i="20"/>
  <c r="R704" i="20"/>
  <c r="R705" i="20"/>
  <c r="R706" i="20"/>
  <c r="R707" i="20"/>
  <c r="R708" i="20"/>
  <c r="R709" i="20"/>
  <c r="R710" i="20"/>
  <c r="R711" i="20"/>
  <c r="R712" i="20"/>
  <c r="R713" i="20"/>
  <c r="R714" i="20"/>
  <c r="R715" i="20"/>
  <c r="R716" i="20"/>
  <c r="R717" i="20"/>
  <c r="R718" i="20"/>
  <c r="R719" i="20"/>
  <c r="R720" i="20"/>
  <c r="R721" i="20"/>
  <c r="R722" i="20"/>
  <c r="R723" i="20"/>
  <c r="R724" i="20"/>
  <c r="R725" i="20"/>
  <c r="R726" i="20"/>
  <c r="R727" i="20"/>
  <c r="R728" i="20"/>
  <c r="R729" i="20"/>
  <c r="R730" i="20"/>
  <c r="R731" i="20"/>
  <c r="R732" i="20"/>
  <c r="R733" i="20"/>
  <c r="R734" i="20"/>
  <c r="R735" i="20"/>
  <c r="R736" i="20"/>
  <c r="R737" i="20"/>
  <c r="R738" i="20"/>
  <c r="R739" i="20"/>
  <c r="R740" i="20"/>
  <c r="R741" i="20"/>
  <c r="R742" i="20"/>
  <c r="R743" i="20"/>
  <c r="R744" i="20"/>
  <c r="R745" i="20"/>
  <c r="R746" i="20"/>
  <c r="R747" i="20"/>
  <c r="R748" i="20"/>
  <c r="R749" i="20"/>
  <c r="R750" i="20"/>
  <c r="R751" i="20"/>
  <c r="R752" i="20"/>
  <c r="R753" i="20"/>
  <c r="R754" i="20"/>
  <c r="R755" i="20"/>
  <c r="R756" i="20"/>
  <c r="R757" i="20"/>
  <c r="R758" i="20"/>
  <c r="R759" i="20"/>
  <c r="R760" i="20"/>
  <c r="R761" i="20"/>
  <c r="R762" i="20"/>
  <c r="R763" i="20"/>
  <c r="R764" i="20"/>
  <c r="R765" i="20"/>
  <c r="R766" i="20"/>
  <c r="R767" i="20"/>
  <c r="R768" i="20"/>
  <c r="R769" i="20"/>
  <c r="R770" i="20"/>
  <c r="R771" i="20"/>
  <c r="R772" i="20"/>
  <c r="R773" i="20"/>
  <c r="R774" i="20"/>
  <c r="R775" i="20"/>
  <c r="R776" i="20"/>
  <c r="R777" i="20"/>
  <c r="R778" i="20"/>
  <c r="R779" i="20"/>
  <c r="R780" i="20"/>
  <c r="R781" i="20"/>
  <c r="R782" i="20"/>
  <c r="R783" i="20"/>
  <c r="R784" i="20"/>
  <c r="R785" i="20"/>
  <c r="R786" i="20"/>
  <c r="R787" i="20"/>
  <c r="R788" i="20"/>
  <c r="R789" i="20"/>
  <c r="R790" i="20"/>
  <c r="R791" i="20"/>
  <c r="R792" i="20"/>
  <c r="R793" i="20"/>
  <c r="R794" i="20"/>
  <c r="R852" i="20"/>
  <c r="R853" i="20"/>
  <c r="R854" i="20"/>
  <c r="R855" i="20"/>
  <c r="R856" i="20"/>
  <c r="R857" i="20"/>
  <c r="R858" i="20"/>
  <c r="R859" i="20"/>
  <c r="R860" i="20"/>
  <c r="R861" i="20"/>
  <c r="R862" i="20"/>
  <c r="R863" i="20"/>
  <c r="R864" i="20"/>
  <c r="R865" i="20"/>
  <c r="R866" i="20"/>
  <c r="R867" i="20"/>
  <c r="R868" i="20"/>
  <c r="R869" i="20"/>
  <c r="R870" i="20"/>
  <c r="R871" i="20"/>
  <c r="R872" i="20"/>
  <c r="R873" i="20"/>
  <c r="R874" i="20"/>
  <c r="R875" i="20"/>
  <c r="R876" i="20"/>
  <c r="R877" i="20"/>
  <c r="R878" i="20"/>
  <c r="R879" i="20"/>
  <c r="R880" i="20"/>
  <c r="R881" i="20"/>
  <c r="R882" i="20"/>
  <c r="R883" i="20"/>
  <c r="R884" i="20"/>
  <c r="R885" i="20"/>
  <c r="R886" i="20"/>
  <c r="R887" i="20"/>
  <c r="R888" i="20"/>
  <c r="R889" i="20"/>
  <c r="R890" i="20"/>
  <c r="R891" i="20"/>
  <c r="R892" i="20"/>
  <c r="R893" i="20"/>
  <c r="R894" i="20"/>
  <c r="R895" i="20"/>
  <c r="R896" i="20"/>
  <c r="R897" i="20"/>
  <c r="R898" i="20"/>
  <c r="R899" i="20"/>
  <c r="R900" i="20"/>
  <c r="R901" i="20"/>
  <c r="R902" i="20"/>
  <c r="R903" i="20"/>
  <c r="R904" i="20"/>
  <c r="R905" i="20"/>
  <c r="R906" i="20"/>
  <c r="R907" i="20"/>
  <c r="R908" i="20"/>
  <c r="R909" i="20"/>
  <c r="R910" i="20"/>
  <c r="R911" i="20"/>
  <c r="R912" i="20"/>
  <c r="R913" i="20"/>
  <c r="R914" i="20"/>
  <c r="R915" i="20"/>
  <c r="R916" i="20"/>
  <c r="R917" i="20"/>
  <c r="R918" i="20"/>
  <c r="R919" i="20"/>
  <c r="R920" i="20"/>
  <c r="R921" i="20"/>
  <c r="R922" i="20"/>
  <c r="R923" i="20"/>
  <c r="R924" i="20"/>
  <c r="R925" i="20"/>
  <c r="R926" i="20"/>
  <c r="R927" i="20"/>
  <c r="R928" i="20"/>
  <c r="R929" i="20"/>
  <c r="R930" i="20"/>
  <c r="R931" i="20"/>
  <c r="R932" i="20"/>
  <c r="R933" i="20"/>
  <c r="R934" i="20"/>
  <c r="R935" i="20"/>
  <c r="R936" i="20"/>
  <c r="R937" i="20"/>
  <c r="R938" i="20"/>
  <c r="R939" i="20"/>
  <c r="R940" i="20"/>
  <c r="R941" i="20"/>
  <c r="R942" i="20"/>
  <c r="R943" i="20"/>
  <c r="R944" i="20"/>
  <c r="R945" i="20"/>
  <c r="R946" i="20"/>
  <c r="R947" i="20"/>
  <c r="R948" i="20"/>
  <c r="R949" i="20"/>
  <c r="R950" i="20"/>
  <c r="R951" i="20"/>
  <c r="R952" i="20"/>
  <c r="R953" i="20"/>
  <c r="R954" i="20"/>
  <c r="R955" i="20"/>
  <c r="R956" i="20"/>
  <c r="R957" i="20"/>
  <c r="R958" i="20"/>
  <c r="R959" i="20"/>
  <c r="R960" i="20"/>
  <c r="R961" i="20"/>
  <c r="R962" i="20"/>
  <c r="R963" i="20"/>
  <c r="R964" i="20"/>
  <c r="R965" i="20"/>
  <c r="R966" i="20"/>
  <c r="R967" i="20"/>
  <c r="R968" i="20"/>
  <c r="R969" i="20"/>
  <c r="R970" i="20"/>
  <c r="R971" i="20"/>
  <c r="R972" i="20"/>
  <c r="R973" i="20"/>
  <c r="R974" i="20"/>
  <c r="R975" i="20"/>
  <c r="R976" i="20"/>
  <c r="R977" i="20"/>
  <c r="R978" i="20"/>
  <c r="R979" i="20"/>
  <c r="R980" i="20"/>
  <c r="R981" i="20"/>
  <c r="R982" i="20"/>
  <c r="R983" i="20"/>
  <c r="R984" i="20"/>
  <c r="R985" i="20"/>
  <c r="R986" i="20"/>
  <c r="R987" i="20"/>
  <c r="R988" i="20"/>
  <c r="R989" i="20"/>
  <c r="R990" i="20"/>
  <c r="R991" i="20"/>
  <c r="R992" i="20"/>
  <c r="R993" i="20"/>
  <c r="R994" i="20"/>
  <c r="R995" i="20"/>
  <c r="R996" i="20"/>
  <c r="R997" i="20"/>
  <c r="R998" i="20"/>
  <c r="R999" i="20"/>
  <c r="R1000" i="20"/>
  <c r="R1001" i="20"/>
  <c r="R1002" i="20"/>
  <c r="R1003" i="20"/>
  <c r="R1004" i="20"/>
  <c r="R1005" i="20"/>
  <c r="R1006" i="20"/>
  <c r="R1007" i="20"/>
  <c r="R1008" i="20"/>
  <c r="R1009" i="20"/>
  <c r="R1010" i="20"/>
  <c r="R1011" i="20"/>
  <c r="R1012" i="20"/>
  <c r="R1013" i="20"/>
  <c r="R1014" i="20"/>
  <c r="R1015" i="20"/>
  <c r="R1016" i="20"/>
  <c r="R1017" i="20"/>
  <c r="R1018" i="20"/>
  <c r="R1019" i="20"/>
  <c r="R1020" i="20"/>
  <c r="R1021" i="20"/>
  <c r="R1022" i="20"/>
  <c r="R1023" i="20"/>
  <c r="R1024" i="20"/>
  <c r="R1025" i="20"/>
  <c r="R1026" i="20"/>
  <c r="R1027" i="20"/>
  <c r="R1028" i="20"/>
  <c r="R1029" i="20"/>
  <c r="R1030" i="20"/>
  <c r="R1031" i="20"/>
  <c r="R1032" i="20"/>
  <c r="R1033" i="20"/>
  <c r="R1034" i="20"/>
  <c r="R1035" i="20"/>
  <c r="R1036" i="20"/>
  <c r="R1037" i="20"/>
  <c r="R1038" i="20"/>
  <c r="R1039" i="20"/>
  <c r="R1040" i="20"/>
  <c r="R1041" i="20"/>
  <c r="R1042" i="20"/>
  <c r="R1043" i="20"/>
  <c r="R1044" i="20"/>
  <c r="R1045" i="20"/>
  <c r="R1046" i="20"/>
  <c r="R1047" i="20"/>
  <c r="R1048" i="20"/>
  <c r="R1049" i="20"/>
  <c r="R1050" i="20"/>
  <c r="R1051" i="20"/>
  <c r="R1052" i="20"/>
  <c r="R1053" i="20"/>
  <c r="R1054" i="20"/>
  <c r="R1055" i="20"/>
  <c r="R1056" i="20"/>
  <c r="R1057" i="20"/>
  <c r="R1058" i="20"/>
  <c r="R1059" i="20"/>
  <c r="R1060" i="20"/>
  <c r="R1061" i="20"/>
  <c r="R1062" i="20"/>
  <c r="R1063" i="20"/>
  <c r="R1064" i="20"/>
  <c r="R1065" i="20"/>
  <c r="R1066" i="20"/>
  <c r="R1067" i="20"/>
  <c r="R1068" i="20"/>
  <c r="R1069" i="20"/>
  <c r="R1070" i="20"/>
  <c r="R1071" i="20"/>
  <c r="R1072" i="20"/>
  <c r="R1073" i="20"/>
  <c r="R1074" i="20"/>
  <c r="R1075" i="20"/>
  <c r="R1076" i="20"/>
  <c r="R1077" i="20"/>
  <c r="R1078" i="20"/>
  <c r="R1079" i="20"/>
  <c r="R1080" i="20"/>
  <c r="R1081" i="20"/>
  <c r="R1082" i="20"/>
  <c r="R1083" i="20"/>
  <c r="R1084" i="20"/>
  <c r="R1085" i="20"/>
  <c r="R1086" i="20"/>
  <c r="R1087" i="20"/>
  <c r="R1088" i="20"/>
  <c r="R1089" i="20"/>
  <c r="R1090" i="20"/>
  <c r="R1091" i="20"/>
  <c r="R1092" i="20"/>
  <c r="R1093" i="20"/>
  <c r="R1094" i="20"/>
  <c r="R1095" i="20"/>
  <c r="R1096" i="20"/>
  <c r="R1097" i="20"/>
  <c r="R1098" i="20"/>
  <c r="R1099" i="20"/>
  <c r="R1100" i="20"/>
  <c r="R1101" i="20"/>
  <c r="R1102" i="20"/>
  <c r="R1103" i="20"/>
  <c r="R1104" i="20"/>
  <c r="R1105" i="20"/>
  <c r="R1106" i="20"/>
  <c r="R1107" i="20"/>
  <c r="R1108" i="20"/>
  <c r="R1109" i="20"/>
  <c r="R1110" i="20"/>
  <c r="R1111" i="20"/>
  <c r="R1112" i="20"/>
  <c r="R1113" i="20"/>
  <c r="R1114" i="20"/>
  <c r="R1115" i="20"/>
  <c r="R1116" i="20"/>
  <c r="R1117" i="20"/>
  <c r="R1118" i="20"/>
  <c r="R1119" i="20"/>
  <c r="R1120" i="20"/>
  <c r="R1121" i="20"/>
  <c r="R1122" i="20"/>
  <c r="R1123" i="20"/>
  <c r="R1124" i="20"/>
  <c r="R1125" i="20"/>
  <c r="R1126" i="20"/>
  <c r="R1127" i="20"/>
  <c r="R1128" i="20"/>
  <c r="R1129" i="20"/>
  <c r="R1130" i="20"/>
  <c r="R1131" i="20"/>
  <c r="R1132" i="20"/>
  <c r="R1133" i="20"/>
  <c r="R1134" i="20"/>
  <c r="R1135" i="20"/>
  <c r="R1136" i="20"/>
  <c r="R1137" i="20"/>
  <c r="R1138" i="20"/>
  <c r="R1139" i="20"/>
  <c r="R1140" i="20"/>
  <c r="R1141" i="20"/>
  <c r="R1142" i="20"/>
  <c r="R1143" i="20"/>
  <c r="R1144" i="20"/>
  <c r="R1145" i="20"/>
  <c r="R1146" i="20"/>
  <c r="R1147" i="20"/>
  <c r="R1148" i="20"/>
  <c r="R1149" i="20"/>
  <c r="R1150" i="20"/>
  <c r="R1151" i="20"/>
  <c r="R1152" i="20"/>
  <c r="R1153" i="20"/>
  <c r="R1154" i="20"/>
  <c r="R1155" i="20"/>
  <c r="R1156" i="20"/>
  <c r="R1157" i="20"/>
  <c r="R1158" i="20"/>
  <c r="R1159" i="20"/>
  <c r="R1160" i="20"/>
  <c r="R1161" i="20"/>
  <c r="R1162" i="20"/>
  <c r="R1163" i="20"/>
  <c r="R1164" i="20"/>
  <c r="R1165" i="20"/>
  <c r="R1166" i="20"/>
  <c r="R1167" i="20"/>
  <c r="R1168" i="20"/>
  <c r="R1169" i="20"/>
  <c r="R1170" i="20"/>
  <c r="R1171" i="20"/>
  <c r="R1172" i="20"/>
  <c r="R1173" i="20"/>
  <c r="R1174" i="20"/>
  <c r="R1175" i="20"/>
  <c r="R1176" i="20"/>
  <c r="R1177" i="20"/>
  <c r="R1178" i="20"/>
  <c r="R1179" i="20"/>
  <c r="R1180" i="20"/>
  <c r="R1181" i="20"/>
  <c r="R1182" i="20"/>
  <c r="R1183" i="20"/>
  <c r="R1184" i="20"/>
  <c r="R1185" i="20"/>
  <c r="R1186" i="20"/>
  <c r="R1187" i="20"/>
  <c r="R1188" i="20"/>
  <c r="R1189" i="20"/>
  <c r="R1190" i="20"/>
  <c r="R1191" i="20"/>
  <c r="R1192" i="20"/>
  <c r="R1193" i="20"/>
  <c r="R1194" i="20"/>
  <c r="R1195" i="20"/>
  <c r="R1196" i="20"/>
  <c r="R1197" i="20"/>
  <c r="R1198" i="20"/>
  <c r="R1199" i="20"/>
  <c r="R1200" i="20"/>
  <c r="R1201" i="20"/>
  <c r="R1202" i="20"/>
  <c r="R1203" i="20"/>
  <c r="R1204" i="20"/>
  <c r="R1205" i="20"/>
  <c r="R1206" i="20"/>
  <c r="R1207" i="20"/>
  <c r="R1208" i="20"/>
  <c r="R1209" i="20"/>
  <c r="R1210" i="20"/>
  <c r="R1211" i="20"/>
  <c r="R1212" i="20"/>
  <c r="R1213" i="20"/>
  <c r="R1214" i="20"/>
  <c r="R1215" i="20"/>
  <c r="R1216" i="20"/>
  <c r="R1217" i="20"/>
  <c r="R1218" i="20"/>
  <c r="R1219" i="20"/>
  <c r="R1220" i="20"/>
  <c r="R1221" i="20"/>
  <c r="R1222" i="20"/>
  <c r="R1223" i="20"/>
  <c r="R1224" i="20"/>
  <c r="R1225" i="20"/>
  <c r="R1226" i="20"/>
  <c r="R1227" i="20"/>
  <c r="R1228" i="20"/>
  <c r="R1229" i="20"/>
  <c r="R1230" i="20"/>
  <c r="R1231" i="20"/>
  <c r="R1232" i="20"/>
  <c r="R1233" i="20"/>
  <c r="R1234" i="20"/>
  <c r="R1235" i="20"/>
  <c r="R1236" i="20"/>
  <c r="R1237" i="20"/>
  <c r="R1238" i="20"/>
  <c r="R1239" i="20"/>
  <c r="R1240" i="20"/>
  <c r="R1241" i="20"/>
  <c r="R1242" i="20"/>
  <c r="R1243" i="20"/>
  <c r="R1244" i="20"/>
  <c r="R1245" i="20"/>
  <c r="R1246" i="20"/>
  <c r="R1247" i="20"/>
  <c r="R1248" i="20"/>
  <c r="R1249" i="20"/>
  <c r="R1250" i="20"/>
  <c r="R1251" i="20"/>
  <c r="R1252" i="20"/>
  <c r="R1253" i="20"/>
  <c r="R1254" i="20"/>
  <c r="R1255" i="20"/>
  <c r="R1256" i="20"/>
  <c r="R1257" i="20"/>
  <c r="R1258" i="20"/>
  <c r="R1259" i="20"/>
  <c r="R1260" i="20"/>
  <c r="R1261" i="20"/>
  <c r="R1262" i="20"/>
  <c r="R1263" i="20"/>
  <c r="R1264" i="20"/>
  <c r="R1265" i="20"/>
  <c r="R1266" i="20"/>
  <c r="R1267" i="20"/>
  <c r="R1268" i="20"/>
  <c r="R1269" i="20"/>
  <c r="R1270" i="20"/>
  <c r="R1271" i="20"/>
  <c r="R1272" i="20"/>
  <c r="R1273" i="20"/>
  <c r="R1274" i="20"/>
  <c r="R1275" i="20"/>
  <c r="R1276" i="20"/>
  <c r="R1277" i="20"/>
  <c r="R1278" i="20"/>
  <c r="R1279" i="20"/>
  <c r="R1280" i="20"/>
  <c r="R1281" i="20"/>
  <c r="R1282" i="20"/>
  <c r="R1283" i="20"/>
  <c r="R1284" i="20"/>
  <c r="R1285" i="20"/>
  <c r="R1286" i="20"/>
  <c r="R1287" i="20"/>
  <c r="R1288" i="20"/>
  <c r="R1289" i="20"/>
  <c r="R1290" i="20"/>
  <c r="R1291" i="20"/>
  <c r="R1292" i="20"/>
  <c r="R1293" i="20"/>
  <c r="R1294" i="20"/>
  <c r="R1295" i="20"/>
  <c r="R1296" i="20"/>
  <c r="R1297" i="20"/>
  <c r="R1298" i="20"/>
  <c r="R1299" i="20"/>
  <c r="R1300" i="20"/>
  <c r="R1301" i="20"/>
  <c r="R1302" i="20"/>
  <c r="R1303" i="20"/>
  <c r="R1304" i="20"/>
  <c r="R1305" i="20"/>
  <c r="R1306" i="20"/>
  <c r="R1307" i="20"/>
  <c r="R1308" i="20"/>
  <c r="R1309" i="20"/>
  <c r="R1310" i="20"/>
  <c r="R1311" i="20"/>
  <c r="R1312" i="20"/>
  <c r="R1313" i="20"/>
  <c r="R1314" i="20"/>
  <c r="R1315" i="20"/>
  <c r="R1316" i="20"/>
  <c r="R1317" i="20"/>
  <c r="R1318" i="20"/>
  <c r="R1319" i="20"/>
  <c r="R1320" i="20"/>
  <c r="R1321" i="20"/>
  <c r="R1322" i="20"/>
  <c r="R1323" i="20"/>
  <c r="R1324" i="20"/>
  <c r="R1325" i="20"/>
  <c r="R1326" i="20"/>
  <c r="R1327" i="20"/>
  <c r="R1328" i="20"/>
  <c r="R1329" i="20"/>
  <c r="R1330" i="20"/>
  <c r="R1331" i="20"/>
  <c r="R1332" i="20"/>
  <c r="R1333" i="20"/>
  <c r="R1334" i="20"/>
  <c r="R1335" i="20"/>
  <c r="R1336" i="20"/>
  <c r="R1337" i="20"/>
  <c r="R1338" i="20"/>
  <c r="R1339" i="20"/>
  <c r="R1340" i="20"/>
  <c r="R1341" i="20"/>
  <c r="R1342" i="20"/>
  <c r="R1343" i="20"/>
  <c r="R1344" i="20"/>
  <c r="R1345" i="20"/>
  <c r="R1346" i="20"/>
  <c r="R1347" i="20"/>
  <c r="R1348" i="20"/>
  <c r="R1349" i="20"/>
  <c r="R1350" i="20"/>
  <c r="R1351" i="20"/>
  <c r="R1352" i="20"/>
  <c r="R1353" i="20"/>
  <c r="R1354" i="20"/>
  <c r="R1355" i="20"/>
  <c r="R1356" i="20"/>
  <c r="R1357" i="20"/>
  <c r="R1358" i="20"/>
  <c r="R1359" i="20"/>
  <c r="R1360" i="20"/>
  <c r="R1361" i="20"/>
  <c r="R1362" i="20"/>
  <c r="R1363" i="20"/>
  <c r="R1364" i="20"/>
  <c r="R1365" i="20"/>
  <c r="R1366" i="20"/>
  <c r="R1367" i="20"/>
  <c r="R1368" i="20"/>
  <c r="R1369" i="20"/>
  <c r="R1370" i="20"/>
  <c r="R1371" i="20"/>
  <c r="R1372" i="20"/>
  <c r="R1373" i="20"/>
  <c r="R1374" i="20"/>
  <c r="R1375" i="20"/>
  <c r="R1376" i="20"/>
  <c r="R1377" i="20"/>
  <c r="R1378" i="20"/>
  <c r="R1379" i="20"/>
  <c r="R1380" i="20"/>
  <c r="R1381" i="20"/>
  <c r="R1382" i="20"/>
  <c r="R1383" i="20"/>
  <c r="R1384" i="20"/>
  <c r="R1385" i="20"/>
  <c r="R1386" i="20"/>
  <c r="R1387" i="20"/>
  <c r="R1388" i="20"/>
  <c r="R1389" i="20"/>
  <c r="R1390" i="20"/>
  <c r="R1391" i="20"/>
  <c r="R1392" i="20"/>
  <c r="R1393" i="20"/>
  <c r="R1394" i="20"/>
  <c r="R1395" i="20"/>
  <c r="R1396" i="20"/>
  <c r="R1397" i="20"/>
  <c r="R1398" i="20"/>
  <c r="R1399" i="20"/>
  <c r="R1400" i="20"/>
  <c r="R1401" i="20"/>
  <c r="R1402" i="20"/>
  <c r="R1403" i="20"/>
  <c r="R1404" i="20"/>
  <c r="R1405" i="20"/>
  <c r="R1406" i="20"/>
  <c r="R1407" i="20"/>
  <c r="R1408" i="20"/>
  <c r="R1409" i="20"/>
  <c r="R1410" i="20"/>
  <c r="R1411" i="20"/>
  <c r="R1412" i="20"/>
  <c r="R1413" i="20"/>
  <c r="R1414" i="20"/>
  <c r="R1415" i="20"/>
  <c r="R1416" i="20"/>
  <c r="R1417" i="20"/>
  <c r="R1418" i="20"/>
  <c r="R1419" i="20"/>
  <c r="R1420" i="20"/>
  <c r="R1421" i="20"/>
  <c r="R1422" i="20"/>
  <c r="R1423" i="20"/>
  <c r="R1424" i="20"/>
  <c r="R1425" i="20"/>
  <c r="R1426" i="20"/>
  <c r="R1427" i="20"/>
  <c r="R1428" i="20"/>
  <c r="R1429" i="20"/>
  <c r="R1430" i="20"/>
  <c r="R1431" i="20"/>
  <c r="R1432" i="20"/>
  <c r="R1433" i="20"/>
  <c r="R1434" i="20"/>
  <c r="R1435" i="20"/>
  <c r="R1436" i="20"/>
  <c r="R1437" i="20"/>
  <c r="R1438" i="20"/>
  <c r="R1439" i="20"/>
  <c r="R1440" i="20"/>
  <c r="R1441" i="20"/>
  <c r="R1442" i="20"/>
  <c r="R1443" i="20"/>
  <c r="R1444" i="20"/>
  <c r="R1445" i="20"/>
  <c r="R1446" i="20"/>
  <c r="R1447" i="20"/>
  <c r="R1448" i="20"/>
  <c r="R1449" i="20"/>
  <c r="R1450" i="20"/>
  <c r="R1451" i="20"/>
  <c r="R1452" i="20"/>
  <c r="R1453" i="20"/>
  <c r="R1454" i="20"/>
  <c r="R1455" i="20"/>
  <c r="R1456" i="20"/>
  <c r="R1457" i="20"/>
  <c r="R1458" i="20"/>
  <c r="R1459" i="20"/>
  <c r="R1460" i="20"/>
  <c r="R1461" i="20"/>
  <c r="R1462" i="20"/>
  <c r="R1463" i="20"/>
  <c r="R1464" i="20"/>
  <c r="R1465" i="20"/>
  <c r="R1466" i="20"/>
  <c r="R1467" i="20"/>
  <c r="R1468" i="20"/>
  <c r="R1469" i="20"/>
  <c r="R1470" i="20"/>
  <c r="R1471" i="20"/>
  <c r="R1472" i="20"/>
  <c r="R1473" i="20"/>
  <c r="R1474" i="20"/>
  <c r="R1475" i="20"/>
  <c r="R1476" i="20"/>
  <c r="R1477" i="20"/>
  <c r="R1478" i="20"/>
  <c r="R1479" i="20"/>
  <c r="R1480" i="20"/>
  <c r="R1481" i="20"/>
  <c r="R1482" i="20"/>
  <c r="R1483" i="20"/>
  <c r="R1484" i="20"/>
  <c r="R1485" i="20"/>
  <c r="R1486" i="20"/>
  <c r="R1487" i="20"/>
  <c r="R1488" i="20"/>
  <c r="R1489" i="20"/>
  <c r="R1490" i="20"/>
  <c r="R1491" i="20"/>
  <c r="R1492" i="20"/>
  <c r="R1493" i="20"/>
  <c r="R1494" i="20"/>
  <c r="R1495" i="20"/>
  <c r="R1496" i="20"/>
  <c r="R1497" i="20"/>
  <c r="R1498" i="20"/>
  <c r="R1499" i="20"/>
  <c r="R1500" i="20"/>
  <c r="R1501" i="20"/>
  <c r="R1502" i="20"/>
  <c r="R1503" i="20"/>
  <c r="R1504" i="20"/>
  <c r="R1505" i="20"/>
  <c r="R1506" i="20"/>
  <c r="R1507" i="20"/>
  <c r="R1508" i="20"/>
  <c r="R1509" i="20"/>
  <c r="R1510" i="20"/>
  <c r="R1511" i="20"/>
  <c r="R1512" i="20"/>
  <c r="R1513" i="20"/>
  <c r="R1514" i="20"/>
  <c r="R1515" i="20"/>
  <c r="R1516" i="20"/>
  <c r="R1517" i="20"/>
  <c r="R1518" i="20"/>
  <c r="R1519" i="20"/>
  <c r="R1520" i="20"/>
  <c r="R1521" i="20"/>
  <c r="R1522" i="20"/>
  <c r="R1523" i="20"/>
  <c r="R1524" i="20"/>
  <c r="R1525" i="20"/>
  <c r="R1526" i="20"/>
  <c r="R1527" i="20"/>
  <c r="R1528" i="20"/>
  <c r="R1529" i="20"/>
  <c r="R1530" i="20"/>
  <c r="R1531" i="20"/>
  <c r="R1532" i="20"/>
  <c r="R1533" i="20"/>
  <c r="R1534" i="20"/>
  <c r="R1535" i="20"/>
  <c r="R1536" i="20"/>
  <c r="R1537" i="20"/>
  <c r="R1538" i="20"/>
  <c r="R1539" i="20"/>
  <c r="R1540" i="20"/>
  <c r="R1541" i="20"/>
  <c r="R1542" i="20"/>
  <c r="R1543" i="20"/>
  <c r="R1544" i="20"/>
  <c r="R1545" i="20"/>
  <c r="R1546" i="20"/>
  <c r="R1547" i="20"/>
  <c r="R1548" i="20"/>
  <c r="R1549" i="20"/>
  <c r="R1550" i="20"/>
  <c r="R1551" i="20"/>
  <c r="R1552" i="20"/>
  <c r="R1553" i="20"/>
  <c r="R1554" i="20"/>
  <c r="R1555" i="20"/>
  <c r="R1556" i="20"/>
  <c r="R1557" i="20"/>
  <c r="R1558" i="20"/>
  <c r="R1559" i="20"/>
  <c r="R1560" i="20"/>
  <c r="R1561" i="20"/>
  <c r="R1562" i="20"/>
  <c r="R1563" i="20"/>
  <c r="R1564" i="20"/>
  <c r="R1565" i="20"/>
  <c r="R1566" i="20"/>
  <c r="R1567" i="20"/>
  <c r="R1568" i="20"/>
  <c r="R1569" i="20"/>
  <c r="R1570" i="20"/>
  <c r="R1571" i="20"/>
  <c r="R1572" i="20"/>
  <c r="R1573" i="20"/>
  <c r="R1574" i="20"/>
  <c r="R1575" i="20"/>
  <c r="R1576" i="20"/>
  <c r="R1577" i="20"/>
  <c r="R1578" i="20"/>
  <c r="R1579" i="20"/>
  <c r="R1580" i="20"/>
  <c r="R1581" i="20"/>
  <c r="R1582" i="20"/>
  <c r="R1583" i="20"/>
  <c r="R1584" i="20"/>
  <c r="R1585" i="20"/>
  <c r="R1586" i="20"/>
  <c r="R1587" i="20"/>
  <c r="R1588" i="20"/>
  <c r="R1589" i="20"/>
  <c r="R1590" i="20"/>
  <c r="R1591" i="20"/>
  <c r="R1592" i="20"/>
  <c r="R1593" i="20"/>
  <c r="R1594" i="20"/>
  <c r="R1595" i="20"/>
  <c r="R1596" i="20"/>
  <c r="R1597" i="20"/>
  <c r="R1598" i="20"/>
  <c r="R1599" i="20"/>
  <c r="R1600" i="20"/>
  <c r="R1601" i="20"/>
  <c r="R1602" i="20"/>
  <c r="R1603" i="20"/>
  <c r="R1604" i="20"/>
  <c r="R1605" i="20"/>
  <c r="R1606" i="20"/>
  <c r="R1607" i="20"/>
  <c r="R1608" i="20"/>
  <c r="R1609" i="20"/>
  <c r="R1610" i="20"/>
  <c r="R1611" i="20"/>
  <c r="R1612" i="20"/>
  <c r="R1613" i="20"/>
  <c r="R1614" i="20"/>
  <c r="R1615" i="20"/>
  <c r="R1616" i="20"/>
  <c r="R1617" i="20"/>
  <c r="R1618" i="20"/>
  <c r="R1619" i="20"/>
  <c r="R1620" i="20"/>
  <c r="R1621" i="20"/>
  <c r="R1622" i="20"/>
  <c r="R1623" i="20"/>
  <c r="R1624" i="20"/>
  <c r="R1625" i="20"/>
  <c r="R1626" i="20"/>
  <c r="R1627" i="20"/>
  <c r="R1628" i="20"/>
  <c r="R1629" i="20"/>
  <c r="R1630" i="20"/>
  <c r="R1631" i="20"/>
  <c r="R1632" i="20"/>
  <c r="R1633" i="20"/>
  <c r="R1634" i="20"/>
  <c r="R1635" i="20"/>
  <c r="R1636" i="20"/>
  <c r="R1637" i="20"/>
  <c r="R1638" i="20"/>
  <c r="R1639" i="20"/>
  <c r="R1640" i="20"/>
  <c r="R1641" i="20"/>
  <c r="R1642" i="20"/>
  <c r="R1643" i="20"/>
  <c r="R1644" i="20"/>
  <c r="R1645" i="20"/>
  <c r="R1646" i="20"/>
  <c r="R1647" i="20"/>
  <c r="R1648" i="20"/>
  <c r="R1649" i="20"/>
  <c r="R1650" i="20"/>
  <c r="R1651" i="20"/>
  <c r="R1652" i="20"/>
  <c r="R1653" i="20"/>
  <c r="R1654" i="20"/>
  <c r="R1655" i="20"/>
  <c r="R1656" i="20"/>
  <c r="R1657" i="20"/>
  <c r="R1658" i="20"/>
  <c r="R1659" i="20"/>
  <c r="R1660" i="20"/>
  <c r="R1661" i="20"/>
  <c r="R1662" i="20"/>
  <c r="R1663" i="20"/>
  <c r="R1664" i="20"/>
  <c r="R1665" i="20"/>
  <c r="R1666" i="20"/>
  <c r="R1667" i="20"/>
  <c r="R1668" i="20"/>
  <c r="R1669" i="20"/>
  <c r="R1670" i="20"/>
  <c r="R1671" i="20"/>
  <c r="R1672" i="20"/>
  <c r="R1673" i="20"/>
  <c r="R1674" i="20"/>
  <c r="R1675" i="20"/>
  <c r="R1676" i="20"/>
  <c r="R1677" i="20"/>
  <c r="R1678" i="20"/>
  <c r="R1679" i="20"/>
  <c r="R1680" i="20"/>
  <c r="R1681" i="20"/>
  <c r="R1682" i="20"/>
  <c r="R1683" i="20"/>
  <c r="R1684" i="20"/>
  <c r="R1685" i="20"/>
  <c r="R1686" i="20"/>
  <c r="R1687" i="20"/>
  <c r="R1688" i="20"/>
  <c r="R1689" i="20"/>
  <c r="R1690" i="20"/>
  <c r="R1691" i="20"/>
  <c r="R1692" i="20"/>
  <c r="R1693" i="20"/>
  <c r="R1694" i="20"/>
  <c r="R1695" i="20"/>
  <c r="R1696" i="20"/>
  <c r="R1697" i="20"/>
  <c r="R1698" i="20"/>
  <c r="R1699" i="20"/>
  <c r="R1700" i="20"/>
  <c r="R1701" i="20"/>
  <c r="R1702" i="20"/>
  <c r="R1703" i="20"/>
  <c r="R1704" i="20"/>
  <c r="R1705" i="20"/>
  <c r="R1706" i="20"/>
  <c r="R1707" i="20"/>
  <c r="R1708" i="20"/>
  <c r="R1709" i="20"/>
  <c r="R1710" i="20"/>
  <c r="R1711" i="20"/>
  <c r="R1712" i="20"/>
  <c r="R1713" i="20"/>
  <c r="R1714" i="20"/>
  <c r="R1715" i="20"/>
  <c r="R1716" i="20"/>
  <c r="R1717" i="20"/>
  <c r="R1718" i="20"/>
  <c r="R1719" i="20"/>
  <c r="R1720" i="20"/>
  <c r="R1721" i="20"/>
  <c r="R1722" i="20"/>
  <c r="R1723" i="20"/>
  <c r="R1724" i="20"/>
  <c r="R1725" i="20"/>
  <c r="R1726" i="20"/>
  <c r="R1727" i="20"/>
  <c r="R1728" i="20"/>
  <c r="R1729" i="20"/>
  <c r="R1730" i="20"/>
  <c r="R1731" i="20"/>
  <c r="R1732" i="20"/>
  <c r="R1733" i="20"/>
  <c r="R1734" i="20"/>
  <c r="R1735" i="20"/>
  <c r="R1736" i="20"/>
  <c r="R1737" i="20"/>
  <c r="R1738" i="20"/>
  <c r="R1739" i="20"/>
  <c r="R1740" i="20"/>
  <c r="R1741" i="20"/>
  <c r="R1742" i="20"/>
  <c r="R1743" i="20"/>
  <c r="R1744" i="20"/>
  <c r="R1745" i="20"/>
  <c r="R1746" i="20"/>
  <c r="R1747" i="20"/>
  <c r="R1748" i="20"/>
  <c r="R1749" i="20"/>
  <c r="R1750" i="20"/>
  <c r="R1751" i="20"/>
  <c r="R1752" i="20"/>
  <c r="R1753" i="20"/>
  <c r="R1754" i="20"/>
  <c r="R1755" i="20"/>
  <c r="R1756" i="20"/>
  <c r="R1757" i="20"/>
  <c r="R1758" i="20"/>
  <c r="R1759" i="20"/>
  <c r="R1760" i="20"/>
  <c r="R1761" i="20"/>
  <c r="R1762" i="20"/>
  <c r="R1763" i="20"/>
  <c r="R1764" i="20"/>
  <c r="R1765" i="20"/>
  <c r="R1766" i="20"/>
  <c r="R1767" i="20"/>
  <c r="R1768" i="20"/>
  <c r="R1769" i="20"/>
  <c r="R1770" i="20"/>
  <c r="R1771" i="20"/>
  <c r="R1772" i="20"/>
  <c r="R1773" i="20"/>
  <c r="R1774" i="20"/>
  <c r="R1775" i="20"/>
  <c r="R1776" i="20"/>
  <c r="R1777" i="20"/>
  <c r="R1778" i="20"/>
  <c r="R1779" i="20"/>
  <c r="R1780" i="20"/>
  <c r="R1781" i="20"/>
  <c r="R1782" i="20"/>
  <c r="R1783" i="20"/>
  <c r="R1784" i="20"/>
  <c r="AD78" i="21"/>
  <c r="AB78" i="21"/>
  <c r="Z78" i="21"/>
  <c r="V78" i="21"/>
  <c r="T78" i="21"/>
  <c r="R78" i="21"/>
  <c r="N78" i="21"/>
  <c r="L78" i="21"/>
  <c r="J78" i="21"/>
  <c r="F78" i="21"/>
  <c r="D78" i="21"/>
  <c r="B78" i="21"/>
  <c r="AD77" i="21"/>
  <c r="AB77" i="21"/>
  <c r="Z77" i="21"/>
  <c r="V77" i="21"/>
  <c r="T77" i="21"/>
  <c r="R77" i="21"/>
  <c r="N77" i="21"/>
  <c r="L77" i="21"/>
  <c r="J77" i="21"/>
  <c r="F77" i="21"/>
  <c r="D77" i="21"/>
  <c r="B77" i="21"/>
  <c r="AD23" i="21"/>
  <c r="AB23" i="21"/>
  <c r="Z23" i="21"/>
  <c r="V23" i="21"/>
  <c r="T23" i="21"/>
  <c r="R23" i="21"/>
  <c r="N23" i="21"/>
  <c r="L23" i="21"/>
  <c r="J23" i="21"/>
  <c r="F23" i="21"/>
  <c r="D23" i="21"/>
  <c r="B23" i="21"/>
  <c r="AD24" i="21"/>
  <c r="AB24" i="21"/>
  <c r="Z24" i="21"/>
  <c r="V24" i="21"/>
  <c r="T24" i="21"/>
  <c r="R24" i="21"/>
  <c r="N24" i="21"/>
  <c r="L24" i="21"/>
  <c r="J24" i="21"/>
  <c r="F24" i="21"/>
  <c r="D24" i="21"/>
  <c r="B24" i="21"/>
  <c r="AD25" i="21"/>
  <c r="AB25" i="21"/>
  <c r="Z25" i="21"/>
  <c r="V25" i="21"/>
  <c r="T25" i="21"/>
  <c r="R25" i="21"/>
  <c r="N25" i="21"/>
  <c r="L25" i="21"/>
  <c r="J25" i="21"/>
  <c r="F25" i="21"/>
  <c r="D25" i="21"/>
  <c r="B25" i="21"/>
  <c r="AD26" i="21"/>
  <c r="AB26" i="21"/>
  <c r="Z26" i="21"/>
  <c r="V26" i="21"/>
  <c r="T26" i="21"/>
  <c r="R26" i="21"/>
  <c r="N26" i="21"/>
  <c r="L26" i="21"/>
  <c r="J26" i="21"/>
  <c r="F26" i="21"/>
  <c r="D26" i="21"/>
  <c r="B26" i="21"/>
  <c r="AD126" i="21"/>
  <c r="AB126" i="21"/>
  <c r="Z126" i="21"/>
  <c r="V126" i="21"/>
  <c r="T126" i="21"/>
  <c r="R126" i="21"/>
  <c r="N126" i="21"/>
  <c r="L126" i="21"/>
  <c r="J126" i="21"/>
  <c r="F126" i="21"/>
  <c r="D126" i="21"/>
  <c r="B126" i="21"/>
  <c r="AD125" i="21"/>
  <c r="AB125" i="21"/>
  <c r="Z125" i="21"/>
  <c r="V125" i="21"/>
  <c r="T125" i="21"/>
  <c r="R125" i="21"/>
  <c r="N125" i="21"/>
  <c r="L125" i="21"/>
  <c r="J125" i="21"/>
  <c r="F125" i="21"/>
  <c r="D125" i="21"/>
  <c r="B125" i="21"/>
  <c r="AD124" i="21"/>
  <c r="AB124" i="21"/>
  <c r="Z124" i="21"/>
  <c r="V124" i="21"/>
  <c r="T124" i="21"/>
  <c r="R124" i="21"/>
  <c r="N124" i="21"/>
  <c r="L124" i="21"/>
  <c r="J124" i="21"/>
  <c r="F124" i="21"/>
  <c r="D124" i="21"/>
  <c r="B124" i="21"/>
  <c r="AD123" i="21"/>
  <c r="AB123" i="21"/>
  <c r="Z123" i="21"/>
  <c r="V123" i="21"/>
  <c r="T123" i="21"/>
  <c r="R123" i="21"/>
  <c r="N123" i="21"/>
  <c r="L123" i="21"/>
  <c r="J123" i="21"/>
  <c r="F123" i="21"/>
  <c r="D123" i="21"/>
  <c r="B123" i="21"/>
  <c r="AD122" i="21"/>
  <c r="AB122" i="21"/>
  <c r="Z122" i="21"/>
  <c r="V122" i="21"/>
  <c r="T122" i="21"/>
  <c r="R122" i="21"/>
  <c r="N122" i="21"/>
  <c r="L122" i="21"/>
  <c r="J122" i="21"/>
  <c r="F122" i="21"/>
  <c r="D122" i="21"/>
  <c r="B122" i="21"/>
  <c r="AD121" i="21"/>
  <c r="AB121" i="21"/>
  <c r="Z121" i="21"/>
  <c r="V121" i="21"/>
  <c r="T121" i="21"/>
  <c r="R121" i="21"/>
  <c r="N121" i="21"/>
  <c r="L121" i="21"/>
  <c r="J121" i="21"/>
  <c r="F121" i="21"/>
  <c r="D121" i="21"/>
  <c r="B121" i="21"/>
  <c r="AD120" i="21"/>
  <c r="AB120" i="21"/>
  <c r="Z120" i="21"/>
  <c r="V120" i="21"/>
  <c r="T120" i="21"/>
  <c r="R120" i="21"/>
  <c r="N120" i="21"/>
  <c r="L120" i="21"/>
  <c r="J120" i="21"/>
  <c r="F120" i="21"/>
  <c r="D120" i="21"/>
  <c r="B120" i="21"/>
  <c r="AD119" i="21"/>
  <c r="AB119" i="21"/>
  <c r="Z119" i="21"/>
  <c r="V119" i="21"/>
  <c r="T119" i="21"/>
  <c r="R119" i="21"/>
  <c r="N119" i="21"/>
  <c r="L119" i="21"/>
  <c r="J119" i="21"/>
  <c r="F119" i="21"/>
  <c r="D119" i="21"/>
  <c r="B119" i="21"/>
  <c r="AD118" i="21"/>
  <c r="AB118" i="21"/>
  <c r="Z118" i="21"/>
  <c r="V118" i="21"/>
  <c r="T118" i="21"/>
  <c r="R118" i="21"/>
  <c r="N118" i="21"/>
  <c r="L118" i="21"/>
  <c r="J118" i="21"/>
  <c r="F118" i="21"/>
  <c r="D118" i="21"/>
  <c r="B118" i="21"/>
  <c r="AD117" i="21"/>
  <c r="AB117" i="21"/>
  <c r="Z117" i="21"/>
  <c r="V117" i="21"/>
  <c r="T117" i="21"/>
  <c r="R117" i="21"/>
  <c r="N117" i="21"/>
  <c r="L117" i="21"/>
  <c r="J117" i="21"/>
  <c r="F117" i="21"/>
  <c r="D117" i="21"/>
  <c r="B117" i="21"/>
  <c r="AD116" i="21"/>
  <c r="AB116" i="21"/>
  <c r="Z116" i="21"/>
  <c r="V116" i="21"/>
  <c r="T116" i="21"/>
  <c r="R116" i="21"/>
  <c r="N116" i="21"/>
  <c r="L116" i="21"/>
  <c r="J116" i="21"/>
  <c r="F116" i="21"/>
  <c r="D116" i="21"/>
  <c r="B116" i="21"/>
  <c r="AD115" i="21"/>
  <c r="AB115" i="21"/>
  <c r="Z115" i="21"/>
  <c r="V115" i="21"/>
  <c r="T115" i="21"/>
  <c r="R115" i="21"/>
  <c r="N115" i="21"/>
  <c r="L115" i="21"/>
  <c r="J115" i="21"/>
  <c r="F115" i="21"/>
  <c r="D115" i="21"/>
  <c r="B115" i="21"/>
  <c r="AD114" i="21"/>
  <c r="AB114" i="21"/>
  <c r="Z114" i="21"/>
  <c r="V114" i="21"/>
  <c r="T114" i="21"/>
  <c r="R114" i="21"/>
  <c r="N114" i="21"/>
  <c r="L114" i="21"/>
  <c r="J114" i="21"/>
  <c r="F114" i="21"/>
  <c r="D114" i="21"/>
  <c r="B114" i="21"/>
  <c r="AD128" i="21"/>
  <c r="AB128" i="21"/>
  <c r="Z128" i="21"/>
  <c r="V128" i="21"/>
  <c r="T128" i="21"/>
  <c r="R128" i="21"/>
  <c r="N128" i="21"/>
  <c r="L128" i="21"/>
  <c r="J128" i="21"/>
  <c r="F128" i="21"/>
  <c r="D128" i="21"/>
  <c r="B128" i="21"/>
  <c r="AD127" i="21"/>
  <c r="AB127" i="21"/>
  <c r="Z127" i="21"/>
  <c r="V127" i="21"/>
  <c r="T127" i="21"/>
  <c r="R127" i="21"/>
  <c r="N127" i="21"/>
  <c r="L127" i="21"/>
  <c r="J127" i="21"/>
  <c r="F127" i="21"/>
  <c r="D127" i="21"/>
  <c r="B127" i="21"/>
  <c r="AD113" i="21"/>
  <c r="AB113" i="21"/>
  <c r="Z113" i="21"/>
  <c r="V113" i="21"/>
  <c r="T113" i="21"/>
  <c r="R113" i="21"/>
  <c r="N113" i="21"/>
  <c r="L113" i="21"/>
  <c r="J113" i="21"/>
  <c r="F113" i="21"/>
  <c r="D113" i="21"/>
  <c r="B113" i="21"/>
  <c r="AD111" i="21"/>
  <c r="AB111" i="21"/>
  <c r="Z111" i="21"/>
  <c r="V111" i="21"/>
  <c r="T111" i="21"/>
  <c r="R111" i="21"/>
  <c r="N111" i="21"/>
  <c r="L111" i="21"/>
  <c r="J111" i="21"/>
  <c r="F111" i="21"/>
  <c r="D111" i="21"/>
  <c r="B111" i="21"/>
  <c r="AD110" i="21"/>
  <c r="AB110" i="21"/>
  <c r="Z110" i="21"/>
  <c r="V110" i="21"/>
  <c r="T110" i="21"/>
  <c r="R110" i="21"/>
  <c r="N110" i="21"/>
  <c r="L110" i="21"/>
  <c r="J110" i="21"/>
  <c r="F110" i="21"/>
  <c r="D110" i="21"/>
  <c r="B110" i="21"/>
  <c r="AD112" i="21"/>
  <c r="AB112" i="21"/>
  <c r="Z112" i="21"/>
  <c r="V112" i="21"/>
  <c r="T112" i="21"/>
  <c r="R112" i="21"/>
  <c r="N112" i="21"/>
  <c r="L112" i="21"/>
  <c r="J112" i="21"/>
  <c r="F112" i="21"/>
  <c r="D112" i="21"/>
  <c r="B112" i="21"/>
  <c r="AD109" i="21"/>
  <c r="AB109" i="21"/>
  <c r="Z109" i="21"/>
  <c r="V109" i="21"/>
  <c r="T109" i="21"/>
  <c r="R109" i="21"/>
  <c r="N109" i="21"/>
  <c r="L109" i="21"/>
  <c r="J109" i="21"/>
  <c r="F109" i="21"/>
  <c r="D109" i="21"/>
  <c r="B109" i="21"/>
  <c r="AD108" i="21"/>
  <c r="AB108" i="21"/>
  <c r="Z108" i="21"/>
  <c r="V108" i="21"/>
  <c r="T108" i="21"/>
  <c r="R108" i="21"/>
  <c r="N108" i="21"/>
  <c r="L108" i="21"/>
  <c r="J108" i="21"/>
  <c r="F108" i="21"/>
  <c r="D108" i="21"/>
  <c r="B108" i="21"/>
  <c r="AD107" i="21"/>
  <c r="AB107" i="21"/>
  <c r="Z107" i="21"/>
  <c r="V107" i="21"/>
  <c r="T107" i="21"/>
  <c r="R107" i="21"/>
  <c r="N107" i="21"/>
  <c r="L107" i="21"/>
  <c r="J107" i="21"/>
  <c r="F107" i="21"/>
  <c r="D107" i="21"/>
  <c r="B107" i="21"/>
  <c r="AD106" i="21"/>
  <c r="AB106" i="21"/>
  <c r="Z106" i="21"/>
  <c r="V106" i="21"/>
  <c r="T106" i="21"/>
  <c r="R106" i="21"/>
  <c r="N106" i="21"/>
  <c r="L106" i="21"/>
  <c r="J106" i="21"/>
  <c r="F106" i="21"/>
  <c r="D106" i="21"/>
  <c r="B106" i="21"/>
  <c r="AD105" i="21"/>
  <c r="AB105" i="21"/>
  <c r="Z105" i="21"/>
  <c r="V105" i="21"/>
  <c r="T105" i="21"/>
  <c r="R105" i="21"/>
  <c r="N105" i="21"/>
  <c r="L105" i="21"/>
  <c r="J105" i="21"/>
  <c r="F105" i="21"/>
  <c r="D105" i="21"/>
  <c r="B105" i="21"/>
  <c r="AD104" i="21"/>
  <c r="AB104" i="21"/>
  <c r="Z104" i="21"/>
  <c r="V104" i="21"/>
  <c r="T104" i="21"/>
  <c r="R104" i="21"/>
  <c r="N104" i="21"/>
  <c r="L104" i="21"/>
  <c r="J104" i="21"/>
  <c r="F104" i="21"/>
  <c r="D104" i="21"/>
  <c r="B104" i="21"/>
  <c r="AD103" i="21"/>
  <c r="AB103" i="21"/>
  <c r="Z103" i="21"/>
  <c r="V103" i="21"/>
  <c r="T103" i="21"/>
  <c r="R103" i="21"/>
  <c r="N103" i="21"/>
  <c r="L103" i="21"/>
  <c r="J103" i="21"/>
  <c r="F103" i="21"/>
  <c r="D103" i="21"/>
  <c r="B103" i="21"/>
  <c r="AD102" i="21"/>
  <c r="AB102" i="21"/>
  <c r="Z102" i="21"/>
  <c r="V102" i="21"/>
  <c r="T102" i="21"/>
  <c r="R102" i="21"/>
  <c r="N102" i="21"/>
  <c r="L102" i="21"/>
  <c r="J102" i="21"/>
  <c r="F102" i="21"/>
  <c r="D102" i="21"/>
  <c r="B102" i="21"/>
  <c r="AD101" i="21"/>
  <c r="AB101" i="21"/>
  <c r="Z101" i="21"/>
  <c r="V101" i="21"/>
  <c r="T101" i="21"/>
  <c r="R101" i="21"/>
  <c r="N101" i="21"/>
  <c r="L101" i="21"/>
  <c r="J101" i="21"/>
  <c r="F101" i="21"/>
  <c r="D101" i="21"/>
  <c r="B101" i="21"/>
  <c r="AD100" i="21"/>
  <c r="AB100" i="21"/>
  <c r="Z100" i="21"/>
  <c r="V100" i="21"/>
  <c r="T100" i="21"/>
  <c r="R100" i="21"/>
  <c r="N100" i="21"/>
  <c r="L100" i="21"/>
  <c r="J100" i="21"/>
  <c r="F100" i="21"/>
  <c r="D100" i="21"/>
  <c r="B100" i="21"/>
  <c r="AD91" i="21"/>
  <c r="AB91" i="21"/>
  <c r="Z91" i="21"/>
  <c r="V91" i="21"/>
  <c r="T91" i="21"/>
  <c r="R91" i="21"/>
  <c r="N91" i="21"/>
  <c r="L91" i="21"/>
  <c r="J91" i="21"/>
  <c r="F91" i="21"/>
  <c r="D91" i="21"/>
  <c r="B91" i="21"/>
  <c r="AD92" i="21"/>
  <c r="AB92" i="21"/>
  <c r="Z92" i="21"/>
  <c r="V92" i="21"/>
  <c r="T92" i="21"/>
  <c r="R92" i="21"/>
  <c r="N92" i="21"/>
  <c r="L92" i="21"/>
  <c r="J92" i="21"/>
  <c r="F92" i="21"/>
  <c r="D92" i="21"/>
  <c r="B92" i="21"/>
  <c r="AD93" i="21"/>
  <c r="AB93" i="21"/>
  <c r="Z93" i="21"/>
  <c r="V93" i="21"/>
  <c r="T93" i="21"/>
  <c r="R93" i="21"/>
  <c r="N93" i="21"/>
  <c r="L93" i="21"/>
  <c r="J93" i="21"/>
  <c r="F93" i="21"/>
  <c r="D93" i="21"/>
  <c r="B93" i="21"/>
  <c r="AD94" i="21"/>
  <c r="AB94" i="21"/>
  <c r="Z94" i="21"/>
  <c r="V94" i="21"/>
  <c r="T94" i="21"/>
  <c r="R94" i="21"/>
  <c r="N94" i="21"/>
  <c r="L94" i="21"/>
  <c r="J94" i="21"/>
  <c r="F94" i="21"/>
  <c r="D94" i="21"/>
  <c r="B94" i="21"/>
  <c r="AD38" i="21"/>
  <c r="AB38" i="21"/>
  <c r="Z38" i="21"/>
  <c r="V38" i="21"/>
  <c r="T38" i="21"/>
  <c r="R38" i="21"/>
  <c r="N38" i="21"/>
  <c r="L38" i="21"/>
  <c r="J38" i="21"/>
  <c r="F38" i="21"/>
  <c r="D38" i="21"/>
  <c r="B38" i="21"/>
  <c r="AD40" i="21"/>
  <c r="AB40" i="21"/>
  <c r="Z40" i="21"/>
  <c r="V40" i="21"/>
  <c r="T40" i="21"/>
  <c r="R40" i="21"/>
  <c r="N40" i="21"/>
  <c r="L40" i="21"/>
  <c r="J40" i="21"/>
  <c r="F40" i="21"/>
  <c r="D40" i="21"/>
  <c r="B40" i="21"/>
  <c r="AF15" i="21" l="1"/>
  <c r="P15" i="21"/>
  <c r="X15" i="21"/>
  <c r="H15" i="21"/>
  <c r="AH15" i="21"/>
  <c r="H14" i="21"/>
  <c r="P14" i="21"/>
  <c r="X14" i="21"/>
  <c r="AF14" i="21"/>
  <c r="AH14" i="21"/>
  <c r="H13" i="21"/>
  <c r="P13" i="21"/>
  <c r="X13" i="21"/>
  <c r="AF13" i="21"/>
  <c r="AH13" i="21"/>
  <c r="H12" i="21"/>
  <c r="P12" i="21"/>
  <c r="X12" i="21"/>
  <c r="AF12" i="21"/>
  <c r="AH12" i="21"/>
  <c r="P159" i="21"/>
  <c r="H158" i="21"/>
  <c r="P158" i="21"/>
  <c r="X158" i="21"/>
  <c r="AF158" i="21"/>
  <c r="AH158" i="21"/>
  <c r="AF159" i="21"/>
  <c r="X159" i="21"/>
  <c r="H159" i="21"/>
  <c r="AH159" i="21"/>
  <c r="H181" i="21"/>
  <c r="P181" i="21"/>
  <c r="X181" i="21"/>
  <c r="AF181" i="21"/>
  <c r="AH181" i="21"/>
  <c r="H169" i="21"/>
  <c r="P169" i="21"/>
  <c r="X169" i="21"/>
  <c r="AF169" i="21"/>
  <c r="AH169" i="21"/>
  <c r="H170" i="21"/>
  <c r="P170" i="21"/>
  <c r="X170" i="21"/>
  <c r="AF170" i="21"/>
  <c r="AH170" i="21"/>
  <c r="H182" i="21"/>
  <c r="P182" i="21"/>
  <c r="X182" i="21"/>
  <c r="AF182" i="21"/>
  <c r="AH182" i="21"/>
  <c r="H160" i="21"/>
  <c r="P160" i="21"/>
  <c r="X160" i="21"/>
  <c r="AF160" i="21"/>
  <c r="AH160" i="21"/>
  <c r="AF77" i="21"/>
  <c r="P77" i="21"/>
  <c r="X77" i="21"/>
  <c r="AH77" i="21"/>
  <c r="H78" i="21"/>
  <c r="P78" i="21"/>
  <c r="X78" i="21"/>
  <c r="AF78" i="21"/>
  <c r="AH78" i="21"/>
  <c r="H77" i="21"/>
  <c r="H23" i="21"/>
  <c r="P23" i="21"/>
  <c r="X23" i="21"/>
  <c r="AF23" i="21"/>
  <c r="AH23" i="21"/>
  <c r="H24" i="21"/>
  <c r="P24" i="21"/>
  <c r="X24" i="21"/>
  <c r="AF24" i="21"/>
  <c r="AH24" i="21"/>
  <c r="H25" i="21"/>
  <c r="P25" i="21"/>
  <c r="X25" i="21"/>
  <c r="AF25" i="21"/>
  <c r="AH25" i="21"/>
  <c r="H26" i="21"/>
  <c r="P26" i="21"/>
  <c r="X26" i="21"/>
  <c r="AF26" i="21"/>
  <c r="AH26" i="21"/>
  <c r="AF124" i="21"/>
  <c r="AF116" i="21"/>
  <c r="H120" i="21"/>
  <c r="X116" i="21"/>
  <c r="AF120" i="21"/>
  <c r="H117" i="21"/>
  <c r="X117" i="21"/>
  <c r="P120" i="21"/>
  <c r="P121" i="21"/>
  <c r="AF121" i="21"/>
  <c r="H124" i="21"/>
  <c r="X124" i="21"/>
  <c r="H116" i="21"/>
  <c r="X120" i="21"/>
  <c r="P116" i="21"/>
  <c r="P117" i="21"/>
  <c r="AF117" i="21"/>
  <c r="H121" i="21"/>
  <c r="X121" i="21"/>
  <c r="P124" i="21"/>
  <c r="AH120" i="21"/>
  <c r="H118" i="21"/>
  <c r="X118" i="21"/>
  <c r="AH121" i="21"/>
  <c r="H122" i="21"/>
  <c r="X122" i="21"/>
  <c r="AF122" i="21"/>
  <c r="AH124" i="21"/>
  <c r="H125" i="21"/>
  <c r="P125" i="21"/>
  <c r="X125" i="21"/>
  <c r="AF125" i="21"/>
  <c r="P114" i="21"/>
  <c r="AH117" i="21"/>
  <c r="P118" i="21"/>
  <c r="AF118" i="21"/>
  <c r="P122" i="21"/>
  <c r="AH116" i="21"/>
  <c r="H114" i="21"/>
  <c r="AF114" i="21"/>
  <c r="AH114" i="21"/>
  <c r="Z31" i="25" s="1"/>
  <c r="H115" i="21"/>
  <c r="X115" i="21"/>
  <c r="AF115" i="21"/>
  <c r="H119" i="21"/>
  <c r="P119" i="21"/>
  <c r="X119" i="21"/>
  <c r="AF119" i="21"/>
  <c r="AH122" i="21"/>
  <c r="H123" i="21"/>
  <c r="P123" i="21"/>
  <c r="X123" i="21"/>
  <c r="AF123" i="21"/>
  <c r="AH125" i="21"/>
  <c r="H126" i="21"/>
  <c r="P126" i="21"/>
  <c r="X126" i="21"/>
  <c r="AF126" i="21"/>
  <c r="X114" i="21"/>
  <c r="P115" i="21"/>
  <c r="AH118" i="21"/>
  <c r="AH115" i="21"/>
  <c r="AH126" i="21"/>
  <c r="AH119" i="21"/>
  <c r="AH123" i="21"/>
  <c r="H101" i="21"/>
  <c r="H128" i="21"/>
  <c r="P128" i="21"/>
  <c r="X128" i="21"/>
  <c r="AF128" i="21"/>
  <c r="AH128" i="21"/>
  <c r="H127" i="21"/>
  <c r="P127" i="21"/>
  <c r="X127" i="21"/>
  <c r="AF127" i="21"/>
  <c r="AH127" i="21"/>
  <c r="H113" i="21"/>
  <c r="P113" i="21"/>
  <c r="X113" i="21"/>
  <c r="AF113" i="21"/>
  <c r="AH113" i="21"/>
  <c r="H111" i="21"/>
  <c r="P111" i="21"/>
  <c r="X111" i="21"/>
  <c r="AF111" i="21"/>
  <c r="AH111" i="21"/>
  <c r="H110" i="21"/>
  <c r="P110" i="21"/>
  <c r="X110" i="21"/>
  <c r="AF110" i="21"/>
  <c r="AH110" i="21"/>
  <c r="P101" i="21"/>
  <c r="P105" i="21"/>
  <c r="P109" i="21"/>
  <c r="X103" i="21"/>
  <c r="X105" i="21"/>
  <c r="X109" i="21"/>
  <c r="AF103" i="21"/>
  <c r="AF107" i="21"/>
  <c r="H105" i="21"/>
  <c r="H109" i="21"/>
  <c r="H104" i="21"/>
  <c r="X104" i="21"/>
  <c r="AF105" i="21"/>
  <c r="P107" i="21"/>
  <c r="X101" i="21"/>
  <c r="H103" i="21"/>
  <c r="AF109" i="21"/>
  <c r="X107" i="21"/>
  <c r="AF101" i="21"/>
  <c r="P103" i="21"/>
  <c r="P104" i="21"/>
  <c r="AF104" i="21"/>
  <c r="H107" i="21"/>
  <c r="P100" i="21"/>
  <c r="AF100" i="21"/>
  <c r="AH100" i="21"/>
  <c r="Z29" i="25" s="1"/>
  <c r="H100" i="21"/>
  <c r="X100" i="21"/>
  <c r="AH107" i="21"/>
  <c r="H108" i="21"/>
  <c r="P108" i="21"/>
  <c r="X108" i="21"/>
  <c r="AF108" i="21"/>
  <c r="AH104" i="21"/>
  <c r="AH108" i="21"/>
  <c r="AH101" i="21"/>
  <c r="H102" i="21"/>
  <c r="X102" i="21"/>
  <c r="AF102" i="21"/>
  <c r="AH105" i="21"/>
  <c r="H106" i="21"/>
  <c r="P106" i="21"/>
  <c r="X106" i="21"/>
  <c r="AF106" i="21"/>
  <c r="AH109" i="21"/>
  <c r="H112" i="21"/>
  <c r="P112" i="21"/>
  <c r="X112" i="21"/>
  <c r="AF112" i="21"/>
  <c r="AH103" i="21"/>
  <c r="P102" i="21"/>
  <c r="AH112" i="21"/>
  <c r="AH102" i="21"/>
  <c r="AH106" i="21"/>
  <c r="H91" i="21"/>
  <c r="P91" i="21"/>
  <c r="X91" i="21"/>
  <c r="AF91" i="21"/>
  <c r="AH91" i="21"/>
  <c r="H92" i="21"/>
  <c r="P92" i="21"/>
  <c r="X92" i="21"/>
  <c r="AF92" i="21"/>
  <c r="AH92" i="21"/>
  <c r="H93" i="21"/>
  <c r="P93" i="21"/>
  <c r="X93" i="21"/>
  <c r="AF93" i="21"/>
  <c r="AH93" i="21"/>
  <c r="H94" i="21"/>
  <c r="P94" i="21"/>
  <c r="X94" i="21"/>
  <c r="AF94" i="21"/>
  <c r="AH94" i="21"/>
  <c r="H38" i="21"/>
  <c r="P38" i="21"/>
  <c r="X38" i="21"/>
  <c r="AF38" i="21"/>
  <c r="AH38" i="21"/>
  <c r="H40" i="21"/>
  <c r="P40" i="21"/>
  <c r="X40" i="21"/>
  <c r="AF40" i="21"/>
  <c r="AH40" i="21"/>
  <c r="AD96" i="21" l="1"/>
  <c r="AB96" i="21"/>
  <c r="Z96" i="21"/>
  <c r="V96" i="21"/>
  <c r="T96" i="21"/>
  <c r="R96" i="21"/>
  <c r="N96" i="21"/>
  <c r="L96" i="21"/>
  <c r="J96" i="21"/>
  <c r="F96" i="21"/>
  <c r="D96" i="21"/>
  <c r="B96" i="21"/>
  <c r="AD157" i="21"/>
  <c r="AB157" i="21"/>
  <c r="Z157" i="21"/>
  <c r="V157" i="21"/>
  <c r="T157" i="21"/>
  <c r="R157" i="21"/>
  <c r="N157" i="21"/>
  <c r="L157" i="21"/>
  <c r="J157" i="21"/>
  <c r="F157" i="21"/>
  <c r="D157" i="21"/>
  <c r="B157" i="21"/>
  <c r="AD175" i="21"/>
  <c r="AB175" i="21"/>
  <c r="Z175" i="21"/>
  <c r="V175" i="21"/>
  <c r="T175" i="21"/>
  <c r="R175" i="21"/>
  <c r="N175" i="21"/>
  <c r="L175" i="21"/>
  <c r="J175" i="21"/>
  <c r="F175" i="21"/>
  <c r="D175" i="21"/>
  <c r="B175" i="21"/>
  <c r="AD161" i="21"/>
  <c r="AB161" i="21"/>
  <c r="Z161" i="21"/>
  <c r="V161" i="21"/>
  <c r="T161" i="21"/>
  <c r="R161" i="21"/>
  <c r="N161" i="21"/>
  <c r="L161" i="21"/>
  <c r="J161" i="21"/>
  <c r="F161" i="21"/>
  <c r="D161" i="21"/>
  <c r="B161" i="21"/>
  <c r="AD97" i="21"/>
  <c r="AB97" i="21"/>
  <c r="Z97" i="21"/>
  <c r="V97" i="21"/>
  <c r="T97" i="21"/>
  <c r="R97" i="21"/>
  <c r="N97" i="21"/>
  <c r="L97" i="21"/>
  <c r="J97" i="21"/>
  <c r="F97" i="21"/>
  <c r="D97" i="21"/>
  <c r="B97" i="21"/>
  <c r="H96" i="21" l="1"/>
  <c r="P96" i="21"/>
  <c r="X96" i="21"/>
  <c r="AF96" i="21"/>
  <c r="AH96" i="21"/>
  <c r="H157" i="21"/>
  <c r="P157" i="21"/>
  <c r="X157" i="21"/>
  <c r="AF157" i="21"/>
  <c r="AH157" i="21"/>
  <c r="H175" i="21"/>
  <c r="P175" i="21"/>
  <c r="X175" i="21"/>
  <c r="AF175" i="21"/>
  <c r="AH175" i="21"/>
  <c r="H161" i="21"/>
  <c r="P161" i="21"/>
  <c r="X161" i="21"/>
  <c r="AF161" i="21"/>
  <c r="AH161" i="21"/>
  <c r="H97" i="21"/>
  <c r="P97" i="21"/>
  <c r="X97" i="21"/>
  <c r="AF97" i="21"/>
  <c r="AH97" i="21"/>
  <c r="B17" i="21"/>
  <c r="B18" i="21"/>
  <c r="AD156" i="21"/>
  <c r="AB156" i="21"/>
  <c r="Z156" i="21"/>
  <c r="V156" i="21"/>
  <c r="T156" i="21"/>
  <c r="R156" i="21"/>
  <c r="N156" i="21"/>
  <c r="L156" i="21"/>
  <c r="J156" i="21"/>
  <c r="F156" i="21"/>
  <c r="D156" i="21"/>
  <c r="B156" i="21"/>
  <c r="H156" i="21" l="1"/>
  <c r="P156" i="21"/>
  <c r="X156" i="21"/>
  <c r="AF156" i="21"/>
  <c r="AH156" i="21"/>
  <c r="P80" i="25" l="1"/>
  <c r="P79" i="25"/>
  <c r="P78" i="25"/>
  <c r="P77" i="25"/>
  <c r="P76" i="25"/>
  <c r="P75" i="25"/>
  <c r="P74" i="25"/>
  <c r="P73" i="25"/>
  <c r="P72" i="25"/>
  <c r="P71" i="25"/>
  <c r="P70" i="25"/>
  <c r="P69" i="25"/>
  <c r="P68" i="25"/>
  <c r="P67" i="25"/>
  <c r="P66" i="25"/>
  <c r="P65" i="25"/>
  <c r="P64" i="25"/>
  <c r="P63" i="25"/>
  <c r="P62" i="25"/>
  <c r="P61" i="25"/>
  <c r="P60" i="25"/>
  <c r="P59" i="25"/>
  <c r="P58" i="25"/>
  <c r="P57" i="25"/>
  <c r="P56" i="25"/>
  <c r="P55" i="25"/>
  <c r="P54" i="25"/>
  <c r="P53" i="25"/>
  <c r="P52" i="25"/>
  <c r="P51" i="25"/>
  <c r="P50" i="25"/>
  <c r="P49" i="25"/>
  <c r="P48" i="25"/>
  <c r="P47" i="25"/>
  <c r="P46" i="25"/>
  <c r="P45" i="25"/>
  <c r="P44" i="25"/>
  <c r="P43" i="25"/>
  <c r="P42" i="25"/>
  <c r="P41" i="25"/>
  <c r="P40" i="25"/>
  <c r="P39" i="25"/>
  <c r="P38" i="25"/>
  <c r="P37" i="25"/>
  <c r="P36" i="25"/>
  <c r="P35" i="25"/>
  <c r="P34" i="25"/>
  <c r="P33" i="25"/>
  <c r="P32" i="25"/>
  <c r="P31" i="25"/>
  <c r="P30" i="25"/>
  <c r="P29" i="25"/>
  <c r="P28" i="25"/>
  <c r="P27" i="25"/>
  <c r="P26" i="25"/>
  <c r="P25" i="25"/>
  <c r="P24" i="25"/>
  <c r="P23" i="25"/>
  <c r="P22" i="25"/>
  <c r="P21" i="25"/>
  <c r="P20" i="25"/>
  <c r="P19" i="25"/>
  <c r="P18" i="25"/>
  <c r="P17" i="25"/>
  <c r="P16" i="25"/>
  <c r="P15" i="25"/>
  <c r="P14" i="25"/>
  <c r="P13" i="25"/>
  <c r="P12" i="25"/>
  <c r="P11" i="25"/>
  <c r="P10" i="25"/>
  <c r="P9" i="25"/>
  <c r="P8" i="25"/>
  <c r="P7" i="25"/>
  <c r="P6" i="25"/>
  <c r="AD95" i="21" l="1"/>
  <c r="AB95" i="21"/>
  <c r="Z95" i="21"/>
  <c r="V95" i="21"/>
  <c r="T95" i="21"/>
  <c r="R95" i="21"/>
  <c r="N95" i="21"/>
  <c r="L95" i="21"/>
  <c r="J95" i="21"/>
  <c r="F95" i="21"/>
  <c r="D95" i="21"/>
  <c r="B95" i="21"/>
  <c r="H95" i="21" l="1"/>
  <c r="P95" i="21"/>
  <c r="X95" i="21"/>
  <c r="AF95" i="21"/>
  <c r="AH95" i="21"/>
  <c r="AD27" i="21" l="1"/>
  <c r="AB27" i="21"/>
  <c r="Z27" i="21"/>
  <c r="V27" i="21"/>
  <c r="T27" i="21"/>
  <c r="R27" i="21"/>
  <c r="N27" i="21"/>
  <c r="L27" i="21"/>
  <c r="J27" i="21"/>
  <c r="F27" i="21"/>
  <c r="D27" i="21"/>
  <c r="B27" i="21"/>
  <c r="AF27" i="21" l="1"/>
  <c r="H27" i="21"/>
  <c r="P27" i="21"/>
  <c r="X27" i="21"/>
  <c r="AH27" i="21"/>
  <c r="AD57" i="21" l="1"/>
  <c r="AB57" i="21"/>
  <c r="Z57" i="21"/>
  <c r="V57" i="21"/>
  <c r="T57" i="21"/>
  <c r="R57" i="21"/>
  <c r="N57" i="21"/>
  <c r="L57" i="21"/>
  <c r="J57" i="21"/>
  <c r="F57" i="21"/>
  <c r="D57" i="21"/>
  <c r="B57" i="21"/>
  <c r="H57" i="21" l="1"/>
  <c r="P57" i="21"/>
  <c r="X57" i="21"/>
  <c r="AF57" i="21"/>
  <c r="AH57" i="21"/>
  <c r="AD48" i="21" l="1"/>
  <c r="AB48" i="21"/>
  <c r="Z48" i="21"/>
  <c r="V48" i="21"/>
  <c r="T48" i="21"/>
  <c r="R48" i="21"/>
  <c r="N48" i="21"/>
  <c r="L48" i="21"/>
  <c r="J48" i="21"/>
  <c r="F48" i="21"/>
  <c r="D48" i="21"/>
  <c r="B48" i="21"/>
  <c r="AD66" i="21"/>
  <c r="AB66" i="21"/>
  <c r="Z66" i="21"/>
  <c r="V66" i="21"/>
  <c r="T66" i="21"/>
  <c r="R66" i="21"/>
  <c r="N66" i="21"/>
  <c r="L66" i="21"/>
  <c r="J66" i="21"/>
  <c r="F66" i="21"/>
  <c r="D66" i="21"/>
  <c r="B66" i="21"/>
  <c r="AD141" i="21"/>
  <c r="AB141" i="21"/>
  <c r="Z141" i="21"/>
  <c r="V141" i="21"/>
  <c r="T141" i="21"/>
  <c r="R141" i="21"/>
  <c r="N141" i="21"/>
  <c r="L141" i="21"/>
  <c r="J141" i="21"/>
  <c r="F141" i="21"/>
  <c r="D141" i="21"/>
  <c r="B141" i="21"/>
  <c r="AF48" i="21" l="1"/>
  <c r="X66" i="21"/>
  <c r="P48" i="21"/>
  <c r="AF66" i="21"/>
  <c r="H48" i="21"/>
  <c r="X48" i="21"/>
  <c r="AH48" i="21"/>
  <c r="H66" i="21"/>
  <c r="P66" i="21"/>
  <c r="AH66" i="21"/>
  <c r="H141" i="21"/>
  <c r="P141" i="21"/>
  <c r="X141" i="21"/>
  <c r="AF141" i="21"/>
  <c r="AH141" i="21"/>
  <c r="AD140" i="21" l="1"/>
  <c r="AB140" i="21"/>
  <c r="Z140" i="21"/>
  <c r="V140" i="21"/>
  <c r="T140" i="21"/>
  <c r="R140" i="21"/>
  <c r="N140" i="21"/>
  <c r="L140" i="21"/>
  <c r="J140" i="21"/>
  <c r="F140" i="21"/>
  <c r="D140" i="21"/>
  <c r="B140" i="21"/>
  <c r="AD98" i="21"/>
  <c r="AB98" i="21"/>
  <c r="Z98" i="21"/>
  <c r="V98" i="21"/>
  <c r="T98" i="21"/>
  <c r="R98" i="21"/>
  <c r="N98" i="21"/>
  <c r="L98" i="21"/>
  <c r="J98" i="21"/>
  <c r="F98" i="21"/>
  <c r="D98" i="21"/>
  <c r="B98" i="21"/>
  <c r="P140" i="21" l="1"/>
  <c r="AF140" i="21"/>
  <c r="AH140" i="21"/>
  <c r="X140" i="21"/>
  <c r="H140" i="21"/>
  <c r="H98" i="21"/>
  <c r="AF98" i="21"/>
  <c r="P98" i="21"/>
  <c r="X98" i="21"/>
  <c r="AH98" i="21"/>
  <c r="Y30" i="25" l="1"/>
  <c r="Y34" i="25"/>
  <c r="Y36" i="25"/>
  <c r="Y32" i="25"/>
  <c r="Y33" i="25"/>
  <c r="Y35" i="25"/>
  <c r="Y28" i="25"/>
  <c r="Y37" i="25"/>
  <c r="AA19" i="25" l="1"/>
  <c r="AB19" i="25"/>
  <c r="Z19" i="25"/>
  <c r="AA14" i="25" l="1"/>
  <c r="AB14" i="25"/>
  <c r="AC14" i="25"/>
  <c r="AD14" i="25"/>
  <c r="AE14" i="25"/>
  <c r="AF14" i="25"/>
  <c r="AG14" i="25"/>
  <c r="AH14" i="25"/>
  <c r="AI14" i="25"/>
  <c r="AJ14" i="25"/>
  <c r="AK14" i="25"/>
  <c r="AL14" i="25"/>
  <c r="AA15" i="25"/>
  <c r="AB15" i="25"/>
  <c r="AC15" i="25"/>
  <c r="AD15" i="25"/>
  <c r="AE15" i="25"/>
  <c r="AF15" i="25"/>
  <c r="AG15" i="25"/>
  <c r="AH15" i="25"/>
  <c r="AI15" i="25"/>
  <c r="AJ15" i="25"/>
  <c r="AK15" i="25"/>
  <c r="AL15" i="25"/>
  <c r="AA16" i="25"/>
  <c r="AB16" i="25"/>
  <c r="AC16" i="25"/>
  <c r="AD16" i="25"/>
  <c r="AE16" i="25"/>
  <c r="AE21" i="25" s="1"/>
  <c r="AF16" i="25"/>
  <c r="AF21" i="25" s="1"/>
  <c r="AG16" i="25"/>
  <c r="AG21" i="25" s="1"/>
  <c r="AH16" i="25"/>
  <c r="AH21" i="25" s="1"/>
  <c r="AI16" i="25"/>
  <c r="AI21" i="25" s="1"/>
  <c r="AJ16" i="25"/>
  <c r="AJ21" i="25" s="1"/>
  <c r="AK16" i="25"/>
  <c r="AK21" i="25" s="1"/>
  <c r="AL16" i="25"/>
  <c r="AL21" i="25" s="1"/>
  <c r="AA18" i="25"/>
  <c r="AB18" i="25"/>
  <c r="AC18" i="25"/>
  <c r="AD18" i="25"/>
  <c r="AE18" i="25"/>
  <c r="AF18" i="25"/>
  <c r="AG18" i="25"/>
  <c r="AH18" i="25"/>
  <c r="AI18" i="25"/>
  <c r="AJ18" i="25"/>
  <c r="AK18" i="25"/>
  <c r="AL18" i="25"/>
  <c r="AC19" i="25"/>
  <c r="AD19" i="25"/>
  <c r="AE19" i="25"/>
  <c r="AF19" i="25"/>
  <c r="AG19" i="25"/>
  <c r="AH19" i="25"/>
  <c r="AI19" i="25"/>
  <c r="AJ19" i="25"/>
  <c r="AK19" i="25"/>
  <c r="AL19" i="25"/>
  <c r="AC21" i="25"/>
  <c r="AA22" i="25"/>
  <c r="AB22" i="25"/>
  <c r="AC22" i="25"/>
  <c r="AD22" i="25"/>
  <c r="AE22" i="25"/>
  <c r="AF22" i="25"/>
  <c r="AG22" i="25"/>
  <c r="AH22" i="25"/>
  <c r="AI22" i="25"/>
  <c r="AJ22" i="25"/>
  <c r="AK22" i="25"/>
  <c r="AL22" i="25"/>
  <c r="AA24" i="25"/>
  <c r="AB24" i="25"/>
  <c r="AC24" i="25"/>
  <c r="AC25" i="25" s="1"/>
  <c r="AD24" i="25"/>
  <c r="AE24" i="25"/>
  <c r="AF24" i="25"/>
  <c r="AG24" i="25"/>
  <c r="AH24" i="25"/>
  <c r="AI24" i="25"/>
  <c r="AJ24" i="25"/>
  <c r="AK24" i="25"/>
  <c r="AK25" i="25" s="1"/>
  <c r="AL24" i="25"/>
  <c r="Z24" i="25"/>
  <c r="Z22" i="25"/>
  <c r="Z18" i="25"/>
  <c r="Z16" i="25"/>
  <c r="Z15" i="25"/>
  <c r="Z14" i="25"/>
  <c r="AI25" i="25" l="1"/>
  <c r="AC23" i="25"/>
  <c r="AK23" i="25"/>
  <c r="AA21" i="25"/>
  <c r="AD21" i="25"/>
  <c r="AL23" i="25"/>
  <c r="AD23" i="25"/>
  <c r="AL25" i="25"/>
  <c r="AD25" i="25"/>
  <c r="AA25" i="25"/>
  <c r="AG20" i="25"/>
  <c r="AH23" i="25"/>
  <c r="AH25" i="25"/>
  <c r="AE23" i="25"/>
  <c r="AE20" i="25"/>
  <c r="AE25" i="25"/>
  <c r="AB21" i="25"/>
  <c r="AF25" i="25"/>
  <c r="AF23" i="25"/>
  <c r="AF20" i="25"/>
  <c r="AI20" i="25"/>
  <c r="AA20" i="25"/>
  <c r="AK20" i="25"/>
  <c r="AC20" i="25"/>
  <c r="AI23" i="25"/>
  <c r="AA23" i="25"/>
  <c r="AJ20" i="25"/>
  <c r="AG23" i="25"/>
  <c r="Z21" i="25"/>
  <c r="AG25" i="25"/>
  <c r="AL20" i="25"/>
  <c r="AD20" i="25"/>
  <c r="Z25" i="25"/>
  <c r="AB20" i="25"/>
  <c r="AH20" i="25"/>
  <c r="AJ25" i="25"/>
  <c r="AB25" i="25"/>
  <c r="AJ23" i="25"/>
  <c r="AB23" i="25"/>
  <c r="Z20" i="25"/>
  <c r="Z23" i="25"/>
  <c r="AD184" i="21"/>
  <c r="AD183" i="21"/>
  <c r="AD180" i="21"/>
  <c r="AD179" i="21"/>
  <c r="AD178" i="21"/>
  <c r="AD176" i="21"/>
  <c r="AD174" i="21"/>
  <c r="AD173" i="21"/>
  <c r="AD171" i="21"/>
  <c r="AD168" i="21"/>
  <c r="AD167" i="21"/>
  <c r="AD166" i="21"/>
  <c r="AD165" i="21"/>
  <c r="AD164" i="21"/>
  <c r="AD163" i="21"/>
  <c r="AD162" i="21"/>
  <c r="AD155" i="21"/>
  <c r="AD154" i="21"/>
  <c r="AD151" i="21"/>
  <c r="AD150" i="21"/>
  <c r="AD149" i="21"/>
  <c r="AD147" i="21"/>
  <c r="AD146" i="21"/>
  <c r="AD145" i="21"/>
  <c r="AD144" i="21"/>
  <c r="AD143" i="21"/>
  <c r="AD142" i="21"/>
  <c r="AD139" i="21"/>
  <c r="AD138" i="21"/>
  <c r="AD137" i="21"/>
  <c r="AD136" i="21"/>
  <c r="AD135" i="21"/>
  <c r="AD134" i="21"/>
  <c r="AD133" i="21"/>
  <c r="AD132" i="21"/>
  <c r="AD131" i="21"/>
  <c r="AD130" i="21"/>
  <c r="AD129" i="21"/>
  <c r="AD99" i="21"/>
  <c r="AD90" i="21"/>
  <c r="AD89" i="21"/>
  <c r="AD88" i="21"/>
  <c r="AD87" i="21"/>
  <c r="AD86" i="21"/>
  <c r="AD85" i="21"/>
  <c r="AD84" i="21"/>
  <c r="AD82" i="21"/>
  <c r="AD81" i="21"/>
  <c r="AD80" i="21"/>
  <c r="AD79" i="21"/>
  <c r="AD76" i="21"/>
  <c r="AD75" i="21"/>
  <c r="AD74" i="21"/>
  <c r="AD73" i="21"/>
  <c r="AD72" i="21"/>
  <c r="AD71" i="21"/>
  <c r="AD70" i="21"/>
  <c r="AD69" i="21"/>
  <c r="AD68" i="21"/>
  <c r="AD67" i="21"/>
  <c r="AD65" i="21"/>
  <c r="AD64" i="21"/>
  <c r="AD63" i="21"/>
  <c r="AD62" i="21"/>
  <c r="AD61" i="21"/>
  <c r="AD60" i="21"/>
  <c r="AD59" i="21"/>
  <c r="AD58" i="21"/>
  <c r="AD56" i="21"/>
  <c r="AD55" i="21"/>
  <c r="AD54" i="21"/>
  <c r="AD53" i="21"/>
  <c r="AD52" i="21"/>
  <c r="AD51" i="21"/>
  <c r="AD50" i="21"/>
  <c r="AD49" i="21"/>
  <c r="AD47" i="21"/>
  <c r="AD46" i="21"/>
  <c r="AD45" i="21"/>
  <c r="AD44" i="21"/>
  <c r="AD43" i="21"/>
  <c r="AD42" i="21"/>
  <c r="AD37" i="21"/>
  <c r="AD36" i="21"/>
  <c r="AD35" i="21"/>
  <c r="AD33" i="21"/>
  <c r="AD32" i="21"/>
  <c r="AD31" i="21"/>
  <c r="AD30" i="21"/>
  <c r="AD29" i="21"/>
  <c r="AD28" i="21"/>
  <c r="AD22" i="21"/>
  <c r="AD21" i="21"/>
  <c r="AD20" i="21"/>
  <c r="AD18" i="21"/>
  <c r="AD17" i="21"/>
  <c r="AD16" i="21"/>
  <c r="AD11" i="21"/>
  <c r="AD10" i="21"/>
  <c r="AD9" i="21"/>
  <c r="AD8" i="21"/>
  <c r="AD7" i="21"/>
  <c r="AD6" i="21"/>
  <c r="AB184" i="21"/>
  <c r="AB183" i="21"/>
  <c r="AB180" i="21"/>
  <c r="AB179" i="21"/>
  <c r="AB178" i="21"/>
  <c r="AB176" i="21"/>
  <c r="AB174" i="21"/>
  <c r="AB173" i="21"/>
  <c r="AB171" i="21"/>
  <c r="AB168" i="21"/>
  <c r="AB167" i="21"/>
  <c r="AB166" i="21"/>
  <c r="AB165" i="21"/>
  <c r="AB164" i="21"/>
  <c r="AB163" i="21"/>
  <c r="AB162" i="21"/>
  <c r="AB155" i="21"/>
  <c r="AB154" i="21"/>
  <c r="AB151" i="21"/>
  <c r="AB150" i="21"/>
  <c r="AB149" i="21"/>
  <c r="AB147" i="21"/>
  <c r="AB146" i="21"/>
  <c r="AB145" i="21"/>
  <c r="AB144" i="21"/>
  <c r="AB143" i="21"/>
  <c r="AB142" i="21"/>
  <c r="AB139" i="21"/>
  <c r="AB138" i="21"/>
  <c r="AB137" i="21"/>
  <c r="AB136" i="21"/>
  <c r="AB135" i="21"/>
  <c r="AB134" i="21"/>
  <c r="AB133" i="21"/>
  <c r="AB132" i="21"/>
  <c r="AB131" i="21"/>
  <c r="AB130" i="21"/>
  <c r="AB129" i="21"/>
  <c r="AB99" i="21"/>
  <c r="AB90" i="21"/>
  <c r="AB89" i="21"/>
  <c r="AB88" i="21"/>
  <c r="AB87" i="21"/>
  <c r="AB86" i="21"/>
  <c r="AB85" i="21"/>
  <c r="AB84" i="21"/>
  <c r="AB82" i="21"/>
  <c r="AB81" i="21"/>
  <c r="AB80" i="21"/>
  <c r="AB79" i="21"/>
  <c r="AB76" i="21"/>
  <c r="AB75" i="21"/>
  <c r="AB74" i="21"/>
  <c r="AB73" i="21"/>
  <c r="AB72" i="21"/>
  <c r="AB71" i="21"/>
  <c r="AB70" i="21"/>
  <c r="AB69" i="21"/>
  <c r="AB68" i="21"/>
  <c r="AB67" i="21"/>
  <c r="AB65" i="21"/>
  <c r="AB64" i="21"/>
  <c r="AB63" i="21"/>
  <c r="AB62" i="21"/>
  <c r="AB61" i="21"/>
  <c r="AB60" i="21"/>
  <c r="AB59" i="21"/>
  <c r="AB58" i="21"/>
  <c r="AB56" i="21"/>
  <c r="AB55" i="21"/>
  <c r="AB54" i="21"/>
  <c r="AB53" i="21"/>
  <c r="AB52" i="21"/>
  <c r="AB51" i="21"/>
  <c r="AB50" i="21"/>
  <c r="AB49" i="21"/>
  <c r="AB47" i="21"/>
  <c r="AB46" i="21"/>
  <c r="AB45" i="21"/>
  <c r="AB44" i="21"/>
  <c r="AB43" i="21"/>
  <c r="AB42" i="21"/>
  <c r="AB37" i="21"/>
  <c r="AB36" i="21"/>
  <c r="AB35" i="21"/>
  <c r="AB33" i="21"/>
  <c r="AB32" i="21"/>
  <c r="AB31" i="21"/>
  <c r="AB30" i="21"/>
  <c r="AB29" i="21"/>
  <c r="AB28" i="21"/>
  <c r="AB22" i="21"/>
  <c r="AB21" i="21"/>
  <c r="AB20" i="21"/>
  <c r="AB18" i="21"/>
  <c r="AB17" i="21"/>
  <c r="AB16" i="21"/>
  <c r="AB11" i="21"/>
  <c r="AB10" i="21"/>
  <c r="AB9" i="21"/>
  <c r="AB8" i="21"/>
  <c r="AB7" i="21"/>
  <c r="AB6" i="21"/>
  <c r="Z184" i="21"/>
  <c r="Z183" i="21"/>
  <c r="Z180" i="21"/>
  <c r="Z179" i="21"/>
  <c r="Z178" i="21"/>
  <c r="Z176" i="21"/>
  <c r="Z174" i="21"/>
  <c r="Z173" i="21"/>
  <c r="Z171" i="21"/>
  <c r="Z168" i="21"/>
  <c r="Z167" i="21"/>
  <c r="Z166" i="21"/>
  <c r="Z165" i="21"/>
  <c r="Z164" i="21"/>
  <c r="Z163" i="21"/>
  <c r="Z162" i="21"/>
  <c r="Z155" i="21"/>
  <c r="Z154" i="21"/>
  <c r="Z151" i="21"/>
  <c r="Z150" i="21"/>
  <c r="Z149" i="21"/>
  <c r="Z147" i="21"/>
  <c r="Z146" i="21"/>
  <c r="Z145" i="21"/>
  <c r="Z144" i="21"/>
  <c r="Z143" i="21"/>
  <c r="Z142" i="21"/>
  <c r="Z139" i="21"/>
  <c r="Z138" i="21"/>
  <c r="Z137" i="21"/>
  <c r="Z136" i="21"/>
  <c r="Z135" i="21"/>
  <c r="Z134" i="21"/>
  <c r="Z133" i="21"/>
  <c r="Z132" i="21"/>
  <c r="Z131" i="21"/>
  <c r="Z130" i="21"/>
  <c r="Z129" i="21"/>
  <c r="Z99" i="21"/>
  <c r="Z90" i="21"/>
  <c r="Z89" i="21"/>
  <c r="Z88" i="21"/>
  <c r="Z87" i="21"/>
  <c r="Z86" i="21"/>
  <c r="Z85" i="21"/>
  <c r="Z84" i="21"/>
  <c r="Z82" i="21"/>
  <c r="Z81" i="21"/>
  <c r="Z80" i="21"/>
  <c r="Z79" i="21"/>
  <c r="Z76" i="21"/>
  <c r="Z75" i="21"/>
  <c r="Z74" i="21"/>
  <c r="Z73" i="21"/>
  <c r="Z72" i="21"/>
  <c r="Z71" i="21"/>
  <c r="Z70" i="21"/>
  <c r="Z69" i="21"/>
  <c r="Z68" i="21"/>
  <c r="Z67" i="21"/>
  <c r="Z65" i="21"/>
  <c r="Z64" i="21"/>
  <c r="Z63" i="21"/>
  <c r="Z62" i="21"/>
  <c r="Z61" i="21"/>
  <c r="Z60" i="21"/>
  <c r="Z59" i="21"/>
  <c r="Z58" i="21"/>
  <c r="Z56" i="21"/>
  <c r="Z55" i="21"/>
  <c r="Z54" i="21"/>
  <c r="Z53" i="21"/>
  <c r="Z52" i="21"/>
  <c r="Z51" i="21"/>
  <c r="Z50" i="21"/>
  <c r="Z49" i="21"/>
  <c r="Z47" i="21"/>
  <c r="Z46" i="21"/>
  <c r="Z45" i="21"/>
  <c r="Z44" i="21"/>
  <c r="Z43" i="21"/>
  <c r="Z42" i="21"/>
  <c r="Z37" i="21"/>
  <c r="Z36" i="21"/>
  <c r="Z35" i="21"/>
  <c r="Z33" i="21"/>
  <c r="Z32" i="21"/>
  <c r="Z31" i="21"/>
  <c r="Z30" i="21"/>
  <c r="Z29" i="21"/>
  <c r="Z28" i="21"/>
  <c r="Z22" i="21"/>
  <c r="Z21" i="21"/>
  <c r="Z20" i="21"/>
  <c r="Z18" i="21"/>
  <c r="Z17" i="21"/>
  <c r="Z16" i="21"/>
  <c r="Z11" i="21"/>
  <c r="Z10" i="21"/>
  <c r="Z9" i="21"/>
  <c r="Z8" i="21"/>
  <c r="Z7" i="21"/>
  <c r="Z6" i="21"/>
  <c r="V184" i="21"/>
  <c r="V183" i="21"/>
  <c r="V180" i="21"/>
  <c r="V179" i="21"/>
  <c r="V178" i="21"/>
  <c r="V176" i="21"/>
  <c r="V174" i="21"/>
  <c r="V173" i="21"/>
  <c r="V171" i="21"/>
  <c r="V168" i="21"/>
  <c r="V167" i="21"/>
  <c r="V166" i="21"/>
  <c r="V165" i="21"/>
  <c r="V164" i="21"/>
  <c r="V163" i="21"/>
  <c r="V162" i="21"/>
  <c r="V155" i="21"/>
  <c r="V154" i="21"/>
  <c r="V151" i="21"/>
  <c r="V150" i="21"/>
  <c r="V149" i="21"/>
  <c r="V147" i="21"/>
  <c r="V146" i="21"/>
  <c r="V145" i="21"/>
  <c r="V144" i="21"/>
  <c r="V143" i="21"/>
  <c r="V142" i="21"/>
  <c r="V139" i="21"/>
  <c r="V138" i="21"/>
  <c r="V137" i="21"/>
  <c r="V136" i="21"/>
  <c r="V135" i="21"/>
  <c r="V134" i="21"/>
  <c r="V133" i="21"/>
  <c r="V132" i="21"/>
  <c r="V131" i="21"/>
  <c r="V130" i="21"/>
  <c r="V129" i="21"/>
  <c r="V99" i="21"/>
  <c r="V90" i="21"/>
  <c r="V89" i="21"/>
  <c r="V88" i="21"/>
  <c r="V87" i="21"/>
  <c r="V86" i="21"/>
  <c r="V85" i="21"/>
  <c r="V84" i="21"/>
  <c r="V82" i="21"/>
  <c r="V81" i="21"/>
  <c r="V80" i="21"/>
  <c r="V79" i="21"/>
  <c r="V76" i="21"/>
  <c r="V75" i="21"/>
  <c r="V74" i="21"/>
  <c r="V73" i="21"/>
  <c r="V72" i="21"/>
  <c r="V71" i="21"/>
  <c r="V70" i="21"/>
  <c r="V69" i="21"/>
  <c r="V68" i="21"/>
  <c r="V67" i="21"/>
  <c r="V65" i="21"/>
  <c r="V64" i="21"/>
  <c r="V63" i="21"/>
  <c r="V62" i="21"/>
  <c r="V61" i="21"/>
  <c r="V60" i="21"/>
  <c r="V59" i="21"/>
  <c r="V58" i="21"/>
  <c r="V56" i="21"/>
  <c r="V55" i="21"/>
  <c r="V54" i="21"/>
  <c r="V53" i="21"/>
  <c r="V52" i="21"/>
  <c r="V51" i="21"/>
  <c r="V50" i="21"/>
  <c r="V49" i="21"/>
  <c r="V47" i="21"/>
  <c r="V46" i="21"/>
  <c r="V45" i="21"/>
  <c r="V44" i="21"/>
  <c r="V43" i="21"/>
  <c r="V42" i="21"/>
  <c r="V37" i="21"/>
  <c r="V36" i="21"/>
  <c r="V35" i="21"/>
  <c r="V33" i="21"/>
  <c r="V32" i="21"/>
  <c r="V31" i="21"/>
  <c r="V30" i="21"/>
  <c r="V29" i="21"/>
  <c r="V28" i="21"/>
  <c r="V22" i="21"/>
  <c r="V21" i="21"/>
  <c r="V20" i="21"/>
  <c r="V18" i="21"/>
  <c r="V17" i="21"/>
  <c r="V16" i="21"/>
  <c r="V11" i="21"/>
  <c r="V10" i="21"/>
  <c r="V9" i="21"/>
  <c r="V8" i="21"/>
  <c r="V7" i="21"/>
  <c r="V6" i="21"/>
  <c r="T184" i="21"/>
  <c r="T183" i="21"/>
  <c r="T180" i="21"/>
  <c r="T179" i="21"/>
  <c r="T178" i="21"/>
  <c r="T176" i="21"/>
  <c r="T174" i="21"/>
  <c r="T173" i="21"/>
  <c r="T171" i="21"/>
  <c r="T168" i="21"/>
  <c r="T167" i="21"/>
  <c r="T166" i="21"/>
  <c r="T165" i="21"/>
  <c r="T164" i="21"/>
  <c r="T163" i="21"/>
  <c r="T162" i="21"/>
  <c r="T155" i="21"/>
  <c r="T154" i="21"/>
  <c r="T151" i="21"/>
  <c r="T150" i="21"/>
  <c r="T149" i="21"/>
  <c r="T147" i="21"/>
  <c r="T146" i="21"/>
  <c r="T145" i="21"/>
  <c r="T144" i="21"/>
  <c r="T143" i="21"/>
  <c r="T142" i="21"/>
  <c r="T139" i="21"/>
  <c r="T138" i="21"/>
  <c r="T137" i="21"/>
  <c r="T136" i="21"/>
  <c r="T135" i="21"/>
  <c r="T134" i="21"/>
  <c r="T133" i="21"/>
  <c r="T132" i="21"/>
  <c r="T131" i="21"/>
  <c r="T130" i="21"/>
  <c r="T129" i="21"/>
  <c r="T99" i="21"/>
  <c r="T90" i="21"/>
  <c r="T89" i="21"/>
  <c r="T88" i="21"/>
  <c r="T87" i="21"/>
  <c r="T86" i="21"/>
  <c r="T85" i="21"/>
  <c r="T84" i="21"/>
  <c r="T82" i="21"/>
  <c r="T81" i="21"/>
  <c r="T80" i="21"/>
  <c r="T79" i="21"/>
  <c r="T76" i="21"/>
  <c r="T75" i="21"/>
  <c r="T74" i="21"/>
  <c r="T73" i="21"/>
  <c r="T72" i="21"/>
  <c r="T71" i="21"/>
  <c r="T70" i="21"/>
  <c r="T69" i="21"/>
  <c r="T68" i="21"/>
  <c r="T67" i="21"/>
  <c r="T65" i="21"/>
  <c r="T64" i="21"/>
  <c r="T63" i="21"/>
  <c r="T62" i="21"/>
  <c r="T61" i="21"/>
  <c r="T60" i="21"/>
  <c r="T59" i="21"/>
  <c r="T58" i="21"/>
  <c r="T56" i="21"/>
  <c r="T55" i="21"/>
  <c r="T54" i="21"/>
  <c r="T53" i="21"/>
  <c r="T52" i="21"/>
  <c r="T51" i="21"/>
  <c r="T50" i="21"/>
  <c r="T49" i="21"/>
  <c r="T47" i="21"/>
  <c r="T46" i="21"/>
  <c r="T45" i="21"/>
  <c r="T44" i="21"/>
  <c r="T43" i="21"/>
  <c r="T42" i="21"/>
  <c r="T37" i="21"/>
  <c r="T36" i="21"/>
  <c r="T35" i="21"/>
  <c r="T33" i="21"/>
  <c r="T32" i="21"/>
  <c r="T31" i="21"/>
  <c r="T30" i="21"/>
  <c r="T29" i="21"/>
  <c r="T28" i="21"/>
  <c r="T22" i="21"/>
  <c r="T21" i="21"/>
  <c r="T20" i="21"/>
  <c r="T18" i="21"/>
  <c r="T17" i="21"/>
  <c r="T16" i="21"/>
  <c r="T11" i="21"/>
  <c r="T10" i="21"/>
  <c r="T9" i="21"/>
  <c r="T8" i="21"/>
  <c r="T7" i="21"/>
  <c r="T6" i="21"/>
  <c r="R184" i="21"/>
  <c r="R183" i="21"/>
  <c r="R180" i="21"/>
  <c r="R179" i="21"/>
  <c r="R178" i="21"/>
  <c r="R176" i="21"/>
  <c r="R174" i="21"/>
  <c r="R173" i="21"/>
  <c r="R171" i="21"/>
  <c r="R168" i="21"/>
  <c r="R167" i="21"/>
  <c r="R166" i="21"/>
  <c r="R165" i="21"/>
  <c r="R164" i="21"/>
  <c r="R163" i="21"/>
  <c r="R162" i="21"/>
  <c r="R155" i="21"/>
  <c r="R154" i="21"/>
  <c r="R151" i="21"/>
  <c r="R150" i="21"/>
  <c r="R149" i="21"/>
  <c r="R147" i="21"/>
  <c r="R146" i="21"/>
  <c r="R145" i="21"/>
  <c r="R144" i="21"/>
  <c r="R143" i="21"/>
  <c r="R142" i="21"/>
  <c r="R139" i="21"/>
  <c r="R138" i="21"/>
  <c r="R137" i="21"/>
  <c r="R136" i="21"/>
  <c r="R135" i="21"/>
  <c r="R134" i="21"/>
  <c r="R133" i="21"/>
  <c r="R132" i="21"/>
  <c r="R131" i="21"/>
  <c r="R130" i="21"/>
  <c r="R129" i="21"/>
  <c r="R99" i="21"/>
  <c r="R90" i="21"/>
  <c r="R89" i="21"/>
  <c r="R88" i="21"/>
  <c r="R87" i="21"/>
  <c r="R86" i="21"/>
  <c r="R85" i="21"/>
  <c r="R84" i="21"/>
  <c r="R82" i="21"/>
  <c r="R81" i="21"/>
  <c r="R80" i="21"/>
  <c r="R79" i="21"/>
  <c r="R76" i="21"/>
  <c r="R75" i="21"/>
  <c r="R74" i="21"/>
  <c r="R73" i="21"/>
  <c r="R72" i="21"/>
  <c r="R71" i="21"/>
  <c r="R70" i="21"/>
  <c r="R69" i="21"/>
  <c r="R68" i="21"/>
  <c r="R67" i="21"/>
  <c r="R65" i="21"/>
  <c r="R64" i="21"/>
  <c r="R63" i="21"/>
  <c r="R62" i="21"/>
  <c r="R61" i="21"/>
  <c r="R60" i="21"/>
  <c r="R59" i="21"/>
  <c r="R58" i="21"/>
  <c r="R56" i="21"/>
  <c r="R55" i="21"/>
  <c r="R54" i="21"/>
  <c r="R53" i="21"/>
  <c r="R52" i="21"/>
  <c r="R51" i="21"/>
  <c r="R50" i="21"/>
  <c r="R49" i="21"/>
  <c r="R47" i="21"/>
  <c r="R46" i="21"/>
  <c r="R45" i="21"/>
  <c r="R44" i="21"/>
  <c r="R43" i="21"/>
  <c r="R42" i="21"/>
  <c r="R37" i="21"/>
  <c r="R36" i="21"/>
  <c r="R35" i="21"/>
  <c r="R33" i="21"/>
  <c r="R32" i="21"/>
  <c r="R31" i="21"/>
  <c r="R30" i="21"/>
  <c r="R29" i="21"/>
  <c r="R28" i="21"/>
  <c r="R22" i="21"/>
  <c r="R21" i="21"/>
  <c r="R20" i="21"/>
  <c r="R18" i="21"/>
  <c r="R17" i="21"/>
  <c r="R16" i="21"/>
  <c r="R11" i="21"/>
  <c r="R10" i="21"/>
  <c r="R9" i="21"/>
  <c r="R8" i="21"/>
  <c r="R7" i="21"/>
  <c r="R6" i="21"/>
  <c r="N184" i="21"/>
  <c r="N183" i="21"/>
  <c r="N180" i="21"/>
  <c r="N179" i="21"/>
  <c r="N178" i="21"/>
  <c r="N176" i="21"/>
  <c r="N174" i="21"/>
  <c r="N173" i="21"/>
  <c r="N171" i="21"/>
  <c r="N168" i="21"/>
  <c r="N167" i="21"/>
  <c r="N166" i="21"/>
  <c r="N165" i="21"/>
  <c r="N164" i="21"/>
  <c r="N163" i="21"/>
  <c r="N162" i="21"/>
  <c r="N155" i="21"/>
  <c r="N154" i="21"/>
  <c r="N151" i="21"/>
  <c r="N150" i="21"/>
  <c r="N149" i="21"/>
  <c r="N147" i="21"/>
  <c r="N146" i="21"/>
  <c r="N145" i="21"/>
  <c r="N144" i="21"/>
  <c r="N143" i="21"/>
  <c r="N142" i="21"/>
  <c r="N139" i="21"/>
  <c r="N138" i="21"/>
  <c r="N137" i="21"/>
  <c r="N136" i="21"/>
  <c r="N135" i="21"/>
  <c r="N134" i="21"/>
  <c r="N133" i="21"/>
  <c r="N132" i="21"/>
  <c r="N131" i="21"/>
  <c r="N130" i="21"/>
  <c r="N129" i="21"/>
  <c r="N99" i="21"/>
  <c r="N90" i="21"/>
  <c r="N89" i="21"/>
  <c r="N88" i="21"/>
  <c r="N87" i="21"/>
  <c r="N86" i="21"/>
  <c r="N85" i="21"/>
  <c r="N84" i="21"/>
  <c r="N82" i="21"/>
  <c r="N81" i="21"/>
  <c r="N80" i="21"/>
  <c r="N79" i="21"/>
  <c r="N76" i="21"/>
  <c r="N75" i="21"/>
  <c r="N74" i="21"/>
  <c r="N73" i="21"/>
  <c r="N72" i="21"/>
  <c r="N71" i="21"/>
  <c r="N70" i="21"/>
  <c r="N69" i="21"/>
  <c r="N68" i="21"/>
  <c r="N67" i="21"/>
  <c r="N65" i="21"/>
  <c r="N64" i="21"/>
  <c r="N63" i="21"/>
  <c r="N62" i="21"/>
  <c r="N61" i="21"/>
  <c r="N60" i="21"/>
  <c r="N59" i="21"/>
  <c r="N58" i="21"/>
  <c r="N56" i="21"/>
  <c r="N55" i="21"/>
  <c r="N54" i="21"/>
  <c r="N53" i="21"/>
  <c r="N52" i="21"/>
  <c r="N51" i="21"/>
  <c r="N50" i="21"/>
  <c r="N49" i="21"/>
  <c r="N47" i="21"/>
  <c r="N46" i="21"/>
  <c r="N45" i="21"/>
  <c r="N44" i="21"/>
  <c r="N43" i="21"/>
  <c r="N42" i="21"/>
  <c r="N37" i="21"/>
  <c r="N36" i="21"/>
  <c r="N35" i="21"/>
  <c r="N33" i="21"/>
  <c r="N32" i="21"/>
  <c r="N31" i="21"/>
  <c r="N30" i="21"/>
  <c r="N29" i="21"/>
  <c r="N28" i="21"/>
  <c r="N22" i="21"/>
  <c r="N21" i="21"/>
  <c r="N20" i="21"/>
  <c r="N18" i="21"/>
  <c r="N17" i="21"/>
  <c r="N16" i="21"/>
  <c r="N11" i="21"/>
  <c r="N10" i="21"/>
  <c r="N9" i="21"/>
  <c r="N8" i="21"/>
  <c r="N7" i="21"/>
  <c r="N6" i="21"/>
  <c r="L184" i="21"/>
  <c r="L183" i="21"/>
  <c r="L180" i="21"/>
  <c r="L179" i="21"/>
  <c r="L178" i="21"/>
  <c r="L176" i="21"/>
  <c r="L174" i="21"/>
  <c r="L173" i="21"/>
  <c r="L171" i="21"/>
  <c r="L168" i="21"/>
  <c r="L167" i="21"/>
  <c r="L166" i="21"/>
  <c r="L165" i="21"/>
  <c r="L164" i="21"/>
  <c r="L163" i="21"/>
  <c r="L162" i="21"/>
  <c r="L155" i="21"/>
  <c r="L154" i="21"/>
  <c r="L151" i="21"/>
  <c r="L150" i="21"/>
  <c r="L149" i="21"/>
  <c r="L147" i="21"/>
  <c r="L146" i="21"/>
  <c r="L145" i="21"/>
  <c r="L144" i="21"/>
  <c r="L143" i="21"/>
  <c r="L142" i="21"/>
  <c r="L139" i="21"/>
  <c r="L138" i="21"/>
  <c r="L137" i="21"/>
  <c r="L136" i="21"/>
  <c r="L135" i="21"/>
  <c r="L134" i="21"/>
  <c r="L133" i="21"/>
  <c r="L132" i="21"/>
  <c r="L131" i="21"/>
  <c r="L130" i="21"/>
  <c r="L129" i="21"/>
  <c r="L99" i="21"/>
  <c r="L90" i="21"/>
  <c r="L89" i="21"/>
  <c r="L88" i="21"/>
  <c r="L87" i="21"/>
  <c r="L86" i="21"/>
  <c r="L85" i="21"/>
  <c r="L84" i="21"/>
  <c r="L82" i="21"/>
  <c r="L81" i="21"/>
  <c r="L80" i="21"/>
  <c r="L79" i="21"/>
  <c r="L76" i="21"/>
  <c r="L75" i="21"/>
  <c r="L74" i="21"/>
  <c r="L73" i="21"/>
  <c r="L71" i="21"/>
  <c r="L70" i="21"/>
  <c r="L69" i="21"/>
  <c r="L68" i="21"/>
  <c r="L67" i="21"/>
  <c r="L65" i="21"/>
  <c r="L64" i="21"/>
  <c r="L63" i="21"/>
  <c r="L62" i="21"/>
  <c r="L61" i="21"/>
  <c r="L60" i="21"/>
  <c r="L59" i="21"/>
  <c r="L58" i="21"/>
  <c r="L56" i="21"/>
  <c r="L55" i="21"/>
  <c r="L54" i="21"/>
  <c r="L53" i="21"/>
  <c r="L52" i="21"/>
  <c r="L51" i="21"/>
  <c r="L50" i="21"/>
  <c r="L49" i="21"/>
  <c r="L47" i="21"/>
  <c r="L46" i="21"/>
  <c r="L45" i="21"/>
  <c r="L44" i="21"/>
  <c r="L43" i="21"/>
  <c r="L42" i="21"/>
  <c r="L37" i="21"/>
  <c r="L36" i="21"/>
  <c r="L35" i="21"/>
  <c r="L33" i="21"/>
  <c r="L32" i="21"/>
  <c r="L31" i="21"/>
  <c r="L30" i="21"/>
  <c r="L29" i="21"/>
  <c r="L28" i="21"/>
  <c r="L22" i="21"/>
  <c r="L21" i="21"/>
  <c r="L20" i="21"/>
  <c r="L18" i="21"/>
  <c r="L17" i="21"/>
  <c r="L16" i="21"/>
  <c r="L11" i="21"/>
  <c r="L10" i="21"/>
  <c r="L9" i="21"/>
  <c r="L8" i="21"/>
  <c r="L7" i="21"/>
  <c r="L6" i="21"/>
  <c r="J184" i="21"/>
  <c r="J183" i="21"/>
  <c r="J180" i="21"/>
  <c r="J179" i="21"/>
  <c r="J178" i="21"/>
  <c r="J176" i="21"/>
  <c r="J174" i="21"/>
  <c r="J173" i="21"/>
  <c r="J171" i="21"/>
  <c r="J168" i="21"/>
  <c r="J167" i="21"/>
  <c r="J166" i="21"/>
  <c r="J165" i="21"/>
  <c r="J164" i="21"/>
  <c r="J163" i="21"/>
  <c r="J162" i="21"/>
  <c r="J155" i="21"/>
  <c r="J154" i="21"/>
  <c r="J151" i="21"/>
  <c r="J150" i="21"/>
  <c r="J149" i="21"/>
  <c r="J147" i="21"/>
  <c r="J146" i="21"/>
  <c r="J145" i="21"/>
  <c r="J144" i="21"/>
  <c r="J143" i="21"/>
  <c r="J142" i="21"/>
  <c r="J139" i="21"/>
  <c r="J138" i="21"/>
  <c r="J137" i="21"/>
  <c r="J136" i="21"/>
  <c r="J135" i="21"/>
  <c r="J134" i="21"/>
  <c r="J133" i="21"/>
  <c r="J132" i="21"/>
  <c r="J131" i="21"/>
  <c r="J130" i="21"/>
  <c r="J129" i="21"/>
  <c r="J99" i="21"/>
  <c r="J90" i="21"/>
  <c r="J89" i="21"/>
  <c r="J88" i="21"/>
  <c r="J87" i="21"/>
  <c r="J86" i="21"/>
  <c r="J85" i="21"/>
  <c r="J84" i="21"/>
  <c r="J82" i="21"/>
  <c r="J81" i="21"/>
  <c r="J80" i="21"/>
  <c r="J79" i="21"/>
  <c r="J76" i="21"/>
  <c r="J75" i="21"/>
  <c r="J74" i="21"/>
  <c r="J73" i="21"/>
  <c r="J72" i="21"/>
  <c r="J71" i="21"/>
  <c r="J70" i="21"/>
  <c r="J69" i="21"/>
  <c r="J68" i="21"/>
  <c r="J67" i="21"/>
  <c r="J65" i="21"/>
  <c r="J64" i="21"/>
  <c r="J63" i="21"/>
  <c r="J62" i="21"/>
  <c r="J61" i="21"/>
  <c r="J60" i="21"/>
  <c r="J59" i="21"/>
  <c r="J58" i="21"/>
  <c r="J56" i="21"/>
  <c r="J55" i="21"/>
  <c r="J54" i="21"/>
  <c r="J53" i="21"/>
  <c r="J52" i="21"/>
  <c r="J51" i="21"/>
  <c r="J50" i="21"/>
  <c r="J49" i="21"/>
  <c r="J47" i="21"/>
  <c r="J46" i="21"/>
  <c r="J45" i="21"/>
  <c r="J44" i="21"/>
  <c r="J43" i="21"/>
  <c r="J42" i="21"/>
  <c r="J37" i="21"/>
  <c r="J36" i="21"/>
  <c r="J35" i="21"/>
  <c r="J33" i="21"/>
  <c r="J32" i="21"/>
  <c r="J31" i="21"/>
  <c r="J30" i="21"/>
  <c r="J29" i="21"/>
  <c r="J28" i="21"/>
  <c r="J22" i="21"/>
  <c r="J21" i="21"/>
  <c r="J20" i="21"/>
  <c r="J18" i="21"/>
  <c r="J17" i="21"/>
  <c r="J16" i="21"/>
  <c r="J11" i="21"/>
  <c r="J10" i="21"/>
  <c r="J9" i="21"/>
  <c r="J8" i="21"/>
  <c r="J7" i="21"/>
  <c r="J6" i="21"/>
  <c r="F184" i="21"/>
  <c r="F183" i="21"/>
  <c r="F180" i="21"/>
  <c r="F179" i="21"/>
  <c r="F178" i="21"/>
  <c r="F176" i="21"/>
  <c r="F174" i="21"/>
  <c r="F173" i="21"/>
  <c r="F171" i="21"/>
  <c r="F168" i="21"/>
  <c r="F167" i="21"/>
  <c r="F166" i="21"/>
  <c r="F165" i="21"/>
  <c r="F164" i="21"/>
  <c r="F163" i="21"/>
  <c r="F162" i="21"/>
  <c r="F155" i="21"/>
  <c r="F154" i="21"/>
  <c r="F151" i="21"/>
  <c r="F150" i="21"/>
  <c r="F149" i="21"/>
  <c r="F147" i="21"/>
  <c r="F146" i="21"/>
  <c r="F145" i="21"/>
  <c r="F144" i="21"/>
  <c r="F143" i="21"/>
  <c r="F142" i="21"/>
  <c r="F139" i="21"/>
  <c r="F138" i="21"/>
  <c r="F137" i="21"/>
  <c r="F136" i="21"/>
  <c r="F135" i="21"/>
  <c r="F134" i="21"/>
  <c r="F133" i="21"/>
  <c r="F132" i="21"/>
  <c r="F131" i="21"/>
  <c r="F130" i="21"/>
  <c r="F129" i="21"/>
  <c r="F99" i="21"/>
  <c r="F90" i="21"/>
  <c r="F89" i="21"/>
  <c r="F88" i="21"/>
  <c r="F87" i="21"/>
  <c r="F86" i="21"/>
  <c r="F85" i="21"/>
  <c r="F84" i="21"/>
  <c r="F82" i="21"/>
  <c r="F81" i="21"/>
  <c r="F80" i="21"/>
  <c r="F79" i="21"/>
  <c r="F76" i="21"/>
  <c r="F75" i="21"/>
  <c r="F74" i="21"/>
  <c r="F73" i="21"/>
  <c r="F72" i="21"/>
  <c r="F71" i="21"/>
  <c r="F70" i="21"/>
  <c r="F69" i="21"/>
  <c r="F68" i="21"/>
  <c r="F67" i="21"/>
  <c r="F65" i="21"/>
  <c r="F64" i="21"/>
  <c r="F63" i="21"/>
  <c r="F62" i="21"/>
  <c r="F61" i="21"/>
  <c r="F60" i="21"/>
  <c r="F59" i="21"/>
  <c r="F58" i="21"/>
  <c r="F56" i="21"/>
  <c r="F55" i="21"/>
  <c r="F54" i="21"/>
  <c r="F53" i="21"/>
  <c r="F52" i="21"/>
  <c r="F51" i="21"/>
  <c r="F50" i="21"/>
  <c r="F49" i="21"/>
  <c r="F47" i="21"/>
  <c r="F46" i="21"/>
  <c r="F45" i="21"/>
  <c r="F44" i="21"/>
  <c r="F43" i="21"/>
  <c r="F42" i="21"/>
  <c r="F37" i="21"/>
  <c r="F36" i="21"/>
  <c r="F35" i="21"/>
  <c r="F33" i="21"/>
  <c r="F32" i="21"/>
  <c r="F31" i="21"/>
  <c r="F30" i="21"/>
  <c r="F29" i="21"/>
  <c r="F28" i="21"/>
  <c r="F22" i="21"/>
  <c r="F21" i="21"/>
  <c r="F20" i="21"/>
  <c r="F18" i="21"/>
  <c r="F17" i="21"/>
  <c r="F16" i="21"/>
  <c r="F11" i="21"/>
  <c r="F10" i="21"/>
  <c r="F9" i="21"/>
  <c r="F8" i="21"/>
  <c r="F7" i="21"/>
  <c r="F6" i="21"/>
  <c r="D184" i="21"/>
  <c r="D183" i="21"/>
  <c r="D180" i="21"/>
  <c r="D179" i="21"/>
  <c r="D178" i="21"/>
  <c r="D176" i="21"/>
  <c r="D174" i="21"/>
  <c r="D173" i="21"/>
  <c r="D171" i="21"/>
  <c r="D168" i="21"/>
  <c r="D167" i="21"/>
  <c r="D166" i="21"/>
  <c r="D165" i="21"/>
  <c r="D164" i="21"/>
  <c r="D163" i="21"/>
  <c r="D162" i="21"/>
  <c r="D155" i="21"/>
  <c r="D154" i="21"/>
  <c r="D151" i="21"/>
  <c r="D150" i="21"/>
  <c r="D149" i="21"/>
  <c r="D147" i="21"/>
  <c r="D146" i="21"/>
  <c r="D145" i="21"/>
  <c r="D144" i="21"/>
  <c r="D143" i="21"/>
  <c r="D142" i="21"/>
  <c r="D139" i="21"/>
  <c r="D138" i="21"/>
  <c r="D137" i="21"/>
  <c r="D136" i="21"/>
  <c r="D135" i="21"/>
  <c r="D134" i="21"/>
  <c r="D133" i="21"/>
  <c r="D132" i="21"/>
  <c r="D131" i="21"/>
  <c r="D130" i="21"/>
  <c r="D129" i="21"/>
  <c r="D99" i="21"/>
  <c r="D90" i="21"/>
  <c r="D89" i="21"/>
  <c r="D88" i="21"/>
  <c r="D87" i="21"/>
  <c r="D86" i="21"/>
  <c r="D85" i="21"/>
  <c r="D84" i="21"/>
  <c r="D82" i="21"/>
  <c r="D81" i="21"/>
  <c r="D80" i="21"/>
  <c r="D79" i="21"/>
  <c r="D76" i="21"/>
  <c r="D75" i="21"/>
  <c r="D74" i="21"/>
  <c r="D73" i="21"/>
  <c r="D72" i="21"/>
  <c r="D71" i="21"/>
  <c r="D70" i="21"/>
  <c r="D69" i="21"/>
  <c r="D68" i="21"/>
  <c r="D67" i="21"/>
  <c r="D65" i="21"/>
  <c r="D64" i="21"/>
  <c r="D63" i="21"/>
  <c r="D62" i="21"/>
  <c r="D61" i="21"/>
  <c r="D60" i="21"/>
  <c r="D59" i="21"/>
  <c r="D58" i="21"/>
  <c r="D56" i="21"/>
  <c r="D55" i="21"/>
  <c r="D54" i="21"/>
  <c r="D53" i="21"/>
  <c r="D52" i="21"/>
  <c r="D51" i="21"/>
  <c r="D50" i="21"/>
  <c r="D49" i="21"/>
  <c r="D47" i="21"/>
  <c r="D46" i="21"/>
  <c r="D45" i="21"/>
  <c r="D44" i="21"/>
  <c r="D43" i="21"/>
  <c r="D42" i="21"/>
  <c r="D37" i="21"/>
  <c r="D36" i="21"/>
  <c r="D35" i="21"/>
  <c r="D33" i="21"/>
  <c r="D32" i="21"/>
  <c r="D31" i="21"/>
  <c r="D30" i="21"/>
  <c r="D29" i="21"/>
  <c r="D28" i="21"/>
  <c r="D22" i="21"/>
  <c r="D21" i="21"/>
  <c r="D20" i="21"/>
  <c r="D18" i="21"/>
  <c r="D17" i="21"/>
  <c r="D16" i="21"/>
  <c r="D11" i="21"/>
  <c r="D10" i="21"/>
  <c r="D9" i="21"/>
  <c r="D8" i="21"/>
  <c r="D7" i="21"/>
  <c r="D6" i="21"/>
  <c r="B184" i="21"/>
  <c r="B183" i="21"/>
  <c r="B180" i="21"/>
  <c r="B179" i="21"/>
  <c r="B178" i="21"/>
  <c r="B176" i="21"/>
  <c r="B174" i="21"/>
  <c r="B173" i="21"/>
  <c r="B171" i="21"/>
  <c r="B168" i="21"/>
  <c r="B167" i="21"/>
  <c r="B166" i="21"/>
  <c r="B165" i="21"/>
  <c r="B164" i="21"/>
  <c r="B163" i="21"/>
  <c r="B162" i="21"/>
  <c r="B155" i="21"/>
  <c r="B154" i="21"/>
  <c r="B151" i="21"/>
  <c r="B150" i="21"/>
  <c r="B149" i="21"/>
  <c r="B147" i="21"/>
  <c r="B146" i="21"/>
  <c r="B145" i="21"/>
  <c r="B144" i="21"/>
  <c r="B143" i="21"/>
  <c r="B142" i="21"/>
  <c r="B139" i="21"/>
  <c r="B138" i="21"/>
  <c r="B137" i="21"/>
  <c r="B136" i="21"/>
  <c r="B135" i="21"/>
  <c r="B134" i="21"/>
  <c r="B133" i="21"/>
  <c r="B132" i="21"/>
  <c r="B131" i="21"/>
  <c r="B130" i="21"/>
  <c r="B129" i="21"/>
  <c r="B99" i="21"/>
  <c r="B90" i="21"/>
  <c r="B89" i="21"/>
  <c r="B88" i="21"/>
  <c r="B87" i="21"/>
  <c r="B86" i="21"/>
  <c r="B85" i="21"/>
  <c r="B84" i="21"/>
  <c r="B82" i="21"/>
  <c r="B81" i="21"/>
  <c r="B80" i="21"/>
  <c r="B79" i="21"/>
  <c r="B76" i="21"/>
  <c r="B75" i="21"/>
  <c r="B74" i="21"/>
  <c r="B73" i="21"/>
  <c r="B72" i="21"/>
  <c r="B71" i="21"/>
  <c r="B70" i="21"/>
  <c r="B69" i="21"/>
  <c r="B68" i="21"/>
  <c r="B67" i="21"/>
  <c r="B65" i="21"/>
  <c r="B64" i="21"/>
  <c r="B63" i="21"/>
  <c r="B62" i="21"/>
  <c r="B61" i="21"/>
  <c r="B60" i="21"/>
  <c r="B59" i="21"/>
  <c r="B58" i="21"/>
  <c r="B56" i="21"/>
  <c r="B55" i="21"/>
  <c r="B54" i="21"/>
  <c r="B53" i="21"/>
  <c r="B52" i="21"/>
  <c r="B51" i="21"/>
  <c r="B50" i="21"/>
  <c r="B49" i="21"/>
  <c r="B47" i="21"/>
  <c r="B46" i="21"/>
  <c r="B45" i="21"/>
  <c r="B44" i="21"/>
  <c r="B43" i="21"/>
  <c r="B42" i="21"/>
  <c r="B37" i="21"/>
  <c r="B36" i="21"/>
  <c r="B35" i="21"/>
  <c r="B33" i="21"/>
  <c r="B32" i="21"/>
  <c r="B31" i="21"/>
  <c r="B30" i="21"/>
  <c r="B29" i="21"/>
  <c r="B28" i="21"/>
  <c r="B22" i="21"/>
  <c r="B21" i="21"/>
  <c r="B20" i="21"/>
  <c r="B16" i="21"/>
  <c r="B11" i="21"/>
  <c r="B10" i="21"/>
  <c r="B9" i="21"/>
  <c r="B8" i="21"/>
  <c r="B7" i="21"/>
  <c r="B6" i="21"/>
  <c r="R78" i="25"/>
  <c r="R79" i="25"/>
  <c r="R80" i="25"/>
  <c r="R81" i="25"/>
  <c r="R82" i="25"/>
  <c r="R83" i="25"/>
  <c r="R84" i="25"/>
  <c r="R85" i="25"/>
  <c r="R86" i="25"/>
  <c r="R87" i="25"/>
  <c r="R88" i="25"/>
  <c r="R89" i="25"/>
  <c r="R90" i="25"/>
  <c r="R91" i="25"/>
  <c r="R92" i="25"/>
  <c r="R93" i="25"/>
  <c r="R94" i="25"/>
  <c r="R95" i="25"/>
  <c r="R96" i="25"/>
  <c r="R97" i="25"/>
  <c r="R98" i="25"/>
  <c r="R99" i="25"/>
  <c r="R100" i="25"/>
  <c r="R101" i="25"/>
  <c r="R102" i="25"/>
  <c r="R103" i="25"/>
  <c r="R104" i="25"/>
  <c r="R105" i="25"/>
  <c r="R106" i="25"/>
  <c r="R107" i="25"/>
  <c r="R108" i="25"/>
  <c r="R109" i="25"/>
  <c r="R110" i="25"/>
  <c r="R111" i="25"/>
  <c r="R112" i="25"/>
  <c r="R113" i="25"/>
  <c r="R114" i="25"/>
  <c r="R115" i="25"/>
  <c r="R116" i="25"/>
  <c r="R117" i="25"/>
  <c r="R118" i="25"/>
  <c r="R119" i="25"/>
  <c r="R120" i="25"/>
  <c r="R121" i="25"/>
  <c r="R122" i="25"/>
  <c r="R123" i="25"/>
  <c r="R124" i="25"/>
  <c r="R125" i="25"/>
  <c r="R126" i="25"/>
  <c r="R127" i="25"/>
  <c r="R128" i="25"/>
  <c r="R129" i="25"/>
  <c r="R130" i="25"/>
  <c r="R131" i="25"/>
  <c r="R132" i="25"/>
  <c r="R133" i="25"/>
  <c r="R6" i="25"/>
  <c r="R7" i="25"/>
  <c r="R8" i="25"/>
  <c r="R9" i="25"/>
  <c r="R10" i="25"/>
  <c r="R11" i="25"/>
  <c r="R12" i="25"/>
  <c r="R13" i="25"/>
  <c r="R14" i="25"/>
  <c r="R15" i="25"/>
  <c r="R16" i="25"/>
  <c r="R17" i="25"/>
  <c r="R18" i="25"/>
  <c r="R19" i="25"/>
  <c r="R20" i="25"/>
  <c r="R21" i="25"/>
  <c r="R22" i="25"/>
  <c r="R23" i="25"/>
  <c r="R24" i="25"/>
  <c r="R25" i="25"/>
  <c r="R26" i="25"/>
  <c r="R27" i="25"/>
  <c r="R28" i="25"/>
  <c r="R29" i="25"/>
  <c r="R30" i="25"/>
  <c r="R31" i="25"/>
  <c r="R32" i="25"/>
  <c r="R33" i="25"/>
  <c r="R34" i="25"/>
  <c r="R35" i="25"/>
  <c r="R36" i="25"/>
  <c r="R37" i="25"/>
  <c r="R38" i="25"/>
  <c r="R39" i="25"/>
  <c r="R40" i="25"/>
  <c r="R41" i="25"/>
  <c r="R42" i="25"/>
  <c r="R43" i="25"/>
  <c r="R44" i="25"/>
  <c r="R45" i="25"/>
  <c r="R46" i="25"/>
  <c r="R47" i="25"/>
  <c r="R48" i="25"/>
  <c r="R49" i="25"/>
  <c r="R50" i="25"/>
  <c r="R51" i="25"/>
  <c r="R52" i="25"/>
  <c r="R53" i="25"/>
  <c r="R54" i="25"/>
  <c r="R55" i="25"/>
  <c r="R56" i="25"/>
  <c r="R57" i="25"/>
  <c r="R58" i="25"/>
  <c r="R59" i="25"/>
  <c r="R60" i="25"/>
  <c r="R61" i="25"/>
  <c r="R62" i="25"/>
  <c r="R63" i="25"/>
  <c r="R64" i="25"/>
  <c r="R65" i="25"/>
  <c r="R66" i="25"/>
  <c r="R67" i="25"/>
  <c r="R68" i="25"/>
  <c r="R69" i="25"/>
  <c r="R70" i="25"/>
  <c r="R71" i="25"/>
  <c r="R72" i="25"/>
  <c r="R73" i="25"/>
  <c r="R74" i="25"/>
  <c r="R75" i="25"/>
  <c r="R76" i="25"/>
  <c r="R77" i="25"/>
  <c r="R5" i="25"/>
  <c r="E13" i="21" l="1"/>
  <c r="E15" i="21"/>
  <c r="E14" i="21"/>
  <c r="E12" i="21"/>
  <c r="G15" i="21"/>
  <c r="G14" i="21"/>
  <c r="G12" i="21"/>
  <c r="G13" i="21"/>
  <c r="K13" i="21"/>
  <c r="K15" i="21"/>
  <c r="K14" i="21"/>
  <c r="K12" i="21"/>
  <c r="M14" i="21"/>
  <c r="M13" i="21"/>
  <c r="M12" i="21"/>
  <c r="M15" i="21"/>
  <c r="O15" i="21"/>
  <c r="O14" i="21"/>
  <c r="O12" i="21"/>
  <c r="O13" i="21"/>
  <c r="S15" i="21"/>
  <c r="S12" i="21"/>
  <c r="S14" i="21"/>
  <c r="S13" i="21"/>
  <c r="U13" i="21"/>
  <c r="U14" i="21"/>
  <c r="U15" i="21"/>
  <c r="U12" i="21"/>
  <c r="W12" i="21"/>
  <c r="W14" i="21"/>
  <c r="W15" i="21"/>
  <c r="W13" i="21"/>
  <c r="AA14" i="21"/>
  <c r="AA12" i="21"/>
  <c r="AA13" i="21"/>
  <c r="AA15" i="21"/>
  <c r="AC12" i="21"/>
  <c r="AC13" i="21"/>
  <c r="AC15" i="21"/>
  <c r="AC14" i="21"/>
  <c r="AE12" i="21"/>
  <c r="AE13" i="21"/>
  <c r="AE15" i="21"/>
  <c r="AE14" i="21"/>
  <c r="C14" i="21"/>
  <c r="C13" i="21"/>
  <c r="C15" i="21"/>
  <c r="C12" i="21"/>
  <c r="C6" i="21"/>
  <c r="E6" i="21"/>
  <c r="AE8" i="21"/>
  <c r="E18" i="21"/>
  <c r="R19" i="21"/>
  <c r="S41" i="21" s="1"/>
  <c r="AB19" i="21"/>
  <c r="AC41" i="21" s="1"/>
  <c r="D19" i="21"/>
  <c r="E41" i="21" s="1"/>
  <c r="Z19" i="21"/>
  <c r="AA41" i="21" s="1"/>
  <c r="W17" i="21"/>
  <c r="C18" i="21"/>
  <c r="C9" i="21"/>
  <c r="C10" i="21"/>
  <c r="S9" i="21"/>
  <c r="C16" i="21"/>
  <c r="E7" i="21"/>
  <c r="AA7" i="21"/>
  <c r="W9" i="21"/>
  <c r="C17" i="21"/>
  <c r="C11" i="21"/>
  <c r="S11" i="21"/>
  <c r="AC7" i="21"/>
  <c r="AE10" i="21"/>
  <c r="U17" i="21"/>
  <c r="B19" i="21"/>
  <c r="C41" i="21" s="1"/>
  <c r="F19" i="21"/>
  <c r="G41" i="21" s="1"/>
  <c r="G18" i="21"/>
  <c r="L19" i="21"/>
  <c r="M41" i="21" s="1"/>
  <c r="V19" i="21"/>
  <c r="W41" i="21" s="1"/>
  <c r="G7" i="21"/>
  <c r="C8" i="21"/>
  <c r="E8" i="21"/>
  <c r="G10" i="21"/>
  <c r="J19" i="21"/>
  <c r="K41" i="21" s="1"/>
  <c r="N19" i="21"/>
  <c r="O41" i="21" s="1"/>
  <c r="O18" i="21"/>
  <c r="T19" i="21"/>
  <c r="U41" i="21" s="1"/>
  <c r="W10" i="21"/>
  <c r="AE18" i="21"/>
  <c r="AD19" i="21"/>
  <c r="AE41" i="21" s="1"/>
  <c r="AE9" i="21"/>
  <c r="AE11" i="21"/>
  <c r="AE16" i="21"/>
  <c r="AE17" i="21"/>
  <c r="AE6" i="21"/>
  <c r="AE7" i="21"/>
  <c r="AC8" i="21"/>
  <c r="AC9" i="21"/>
  <c r="AC10" i="21"/>
  <c r="AC11" i="21"/>
  <c r="AC16" i="21"/>
  <c r="AC17" i="21"/>
  <c r="AC6" i="21"/>
  <c r="AC18" i="21"/>
  <c r="AA8" i="21"/>
  <c r="AA9" i="21"/>
  <c r="AA10" i="21"/>
  <c r="AA11" i="21"/>
  <c r="AA16" i="21"/>
  <c r="AA17" i="21"/>
  <c r="AA6" i="21"/>
  <c r="AA18" i="21"/>
  <c r="W6" i="21"/>
  <c r="W18" i="21"/>
  <c r="W7" i="21"/>
  <c r="W8" i="21"/>
  <c r="W11" i="21"/>
  <c r="W16" i="21"/>
  <c r="U16" i="21"/>
  <c r="U10" i="21"/>
  <c r="U6" i="21"/>
  <c r="U18" i="21"/>
  <c r="U7" i="21"/>
  <c r="U8" i="21"/>
  <c r="U9" i="21"/>
  <c r="U11" i="21"/>
  <c r="S16" i="21"/>
  <c r="S17" i="21"/>
  <c r="S6" i="21"/>
  <c r="S18" i="21"/>
  <c r="S7" i="21"/>
  <c r="S8" i="21"/>
  <c r="S10" i="21"/>
  <c r="O10" i="21"/>
  <c r="O11" i="21"/>
  <c r="O16" i="21"/>
  <c r="O17" i="21"/>
  <c r="O8" i="21"/>
  <c r="O6" i="21"/>
  <c r="O7" i="21"/>
  <c r="O9" i="21"/>
  <c r="M6" i="21"/>
  <c r="M18" i="21"/>
  <c r="M8" i="21"/>
  <c r="M9" i="21"/>
  <c r="M10" i="21"/>
  <c r="M11" i="21"/>
  <c r="M16" i="21"/>
  <c r="M17" i="21"/>
  <c r="M7" i="21"/>
  <c r="K8" i="21"/>
  <c r="K6" i="21"/>
  <c r="K18" i="21"/>
  <c r="K9" i="21"/>
  <c r="K10" i="21"/>
  <c r="K11" i="21"/>
  <c r="K16" i="21"/>
  <c r="K17" i="21"/>
  <c r="K7" i="21"/>
  <c r="G16" i="21"/>
  <c r="G6" i="21"/>
  <c r="G8" i="21"/>
  <c r="G9" i="21"/>
  <c r="G11" i="21"/>
  <c r="G17" i="21"/>
  <c r="E9" i="21"/>
  <c r="E10" i="21"/>
  <c r="E11" i="21"/>
  <c r="E16" i="21"/>
  <c r="E17" i="21"/>
  <c r="K83" i="21" l="1"/>
  <c r="K39" i="21"/>
  <c r="G83" i="21"/>
  <c r="G39" i="21"/>
  <c r="C83" i="21"/>
  <c r="C39" i="21"/>
  <c r="AA83" i="21"/>
  <c r="AA39" i="21"/>
  <c r="AE83" i="21"/>
  <c r="AE39" i="21"/>
  <c r="E83" i="21"/>
  <c r="E39" i="21"/>
  <c r="O83" i="21"/>
  <c r="O39" i="21"/>
  <c r="S83" i="21"/>
  <c r="S39" i="21"/>
  <c r="U83" i="21"/>
  <c r="U39" i="21"/>
  <c r="W83" i="21"/>
  <c r="W39" i="21"/>
  <c r="AC83" i="21"/>
  <c r="AC39" i="21"/>
  <c r="M83" i="21"/>
  <c r="M39" i="21"/>
  <c r="AE158" i="21"/>
  <c r="E158" i="21"/>
  <c r="G158" i="21"/>
  <c r="C158" i="21"/>
  <c r="AA158" i="21"/>
  <c r="AC158" i="21"/>
  <c r="K158" i="21"/>
  <c r="U158" i="21"/>
  <c r="W158" i="21"/>
  <c r="M158" i="21"/>
  <c r="S158" i="21"/>
  <c r="O158" i="21"/>
  <c r="G181" i="21"/>
  <c r="G159" i="21"/>
  <c r="C181" i="21"/>
  <c r="C159" i="21"/>
  <c r="AA181" i="21"/>
  <c r="AA159" i="21"/>
  <c r="AE181" i="21"/>
  <c r="AE159" i="21"/>
  <c r="E181" i="21"/>
  <c r="E159" i="21"/>
  <c r="O181" i="21"/>
  <c r="O159" i="21"/>
  <c r="K181" i="21"/>
  <c r="K159" i="21"/>
  <c r="AC181" i="21"/>
  <c r="AC159" i="21"/>
  <c r="S181" i="21"/>
  <c r="S159" i="21"/>
  <c r="U181" i="21"/>
  <c r="U159" i="21"/>
  <c r="W181" i="21"/>
  <c r="W159" i="21"/>
  <c r="M181" i="21"/>
  <c r="M159" i="21"/>
  <c r="W170" i="21"/>
  <c r="W169" i="21"/>
  <c r="M170" i="21"/>
  <c r="M169" i="21"/>
  <c r="O170" i="21"/>
  <c r="O169" i="21"/>
  <c r="K170" i="21"/>
  <c r="K169" i="21"/>
  <c r="G170" i="21"/>
  <c r="G169" i="21"/>
  <c r="C170" i="21"/>
  <c r="C169" i="21"/>
  <c r="AA170" i="21"/>
  <c r="AA169" i="21"/>
  <c r="AC170" i="21"/>
  <c r="AC169" i="21"/>
  <c r="S170" i="21"/>
  <c r="S169" i="21"/>
  <c r="U170" i="21"/>
  <c r="U169" i="21"/>
  <c r="AE170" i="21"/>
  <c r="AE169" i="21"/>
  <c r="E170" i="21"/>
  <c r="E169" i="21"/>
  <c r="AE160" i="21"/>
  <c r="AE182" i="21"/>
  <c r="E160" i="21"/>
  <c r="E182" i="21"/>
  <c r="AC160" i="21"/>
  <c r="AC182" i="21"/>
  <c r="S160" i="21"/>
  <c r="S182" i="21"/>
  <c r="U160" i="21"/>
  <c r="U182" i="21"/>
  <c r="W160" i="21"/>
  <c r="W182" i="21"/>
  <c r="C160" i="21"/>
  <c r="C182" i="21"/>
  <c r="M160" i="21"/>
  <c r="M182" i="21"/>
  <c r="O160" i="21"/>
  <c r="O182" i="21"/>
  <c r="AA160" i="21"/>
  <c r="AA182" i="21"/>
  <c r="K160" i="21"/>
  <c r="K182" i="21"/>
  <c r="G160" i="21"/>
  <c r="G182" i="21"/>
  <c r="C78" i="21"/>
  <c r="C77" i="21"/>
  <c r="AE78" i="21"/>
  <c r="AE77" i="21"/>
  <c r="E77" i="21"/>
  <c r="E78" i="21"/>
  <c r="AC78" i="21"/>
  <c r="AC77" i="21"/>
  <c r="AA77" i="21"/>
  <c r="AA78" i="21"/>
  <c r="S77" i="21"/>
  <c r="S78" i="21"/>
  <c r="M78" i="21"/>
  <c r="M77" i="21"/>
  <c r="U78" i="21"/>
  <c r="U77" i="21"/>
  <c r="O78" i="21"/>
  <c r="O77" i="21"/>
  <c r="W78" i="21"/>
  <c r="W77" i="21"/>
  <c r="K77" i="21"/>
  <c r="K78" i="21"/>
  <c r="G78" i="21"/>
  <c r="G77" i="21"/>
  <c r="AE26" i="21"/>
  <c r="AE24" i="21"/>
  <c r="AE25" i="21"/>
  <c r="AE23" i="21"/>
  <c r="E26" i="21"/>
  <c r="E25" i="21"/>
  <c r="E24" i="21"/>
  <c r="E23" i="21"/>
  <c r="AC25" i="21"/>
  <c r="AC23" i="21"/>
  <c r="AC26" i="21"/>
  <c r="AC24" i="21"/>
  <c r="S26" i="21"/>
  <c r="S24" i="21"/>
  <c r="S25" i="21"/>
  <c r="S23" i="21"/>
  <c r="U25" i="21"/>
  <c r="U26" i="21"/>
  <c r="U23" i="21"/>
  <c r="U24" i="21"/>
  <c r="W26" i="21"/>
  <c r="W23" i="21"/>
  <c r="W24" i="21"/>
  <c r="W25" i="21"/>
  <c r="C26" i="21"/>
  <c r="C23" i="21"/>
  <c r="C24" i="21"/>
  <c r="C25" i="21"/>
  <c r="M24" i="21"/>
  <c r="M25" i="21"/>
  <c r="M26" i="21"/>
  <c r="M23" i="21"/>
  <c r="O26" i="21"/>
  <c r="O25" i="21"/>
  <c r="O24" i="21"/>
  <c r="O23" i="21"/>
  <c r="AA23" i="21"/>
  <c r="AA26" i="21"/>
  <c r="AA25" i="21"/>
  <c r="AA24" i="21"/>
  <c r="K24" i="21"/>
  <c r="K25" i="21"/>
  <c r="K26" i="21"/>
  <c r="K23" i="21"/>
  <c r="G25" i="21"/>
  <c r="G23" i="21"/>
  <c r="G26" i="21"/>
  <c r="G24" i="21"/>
  <c r="AE118" i="21"/>
  <c r="AE124" i="21"/>
  <c r="AE120" i="21"/>
  <c r="AE114" i="21"/>
  <c r="AE125" i="21"/>
  <c r="AE126" i="21"/>
  <c r="AE123" i="21"/>
  <c r="AE115" i="21"/>
  <c r="AE116" i="21"/>
  <c r="AE122" i="21"/>
  <c r="AE121" i="21"/>
  <c r="AE117" i="21"/>
  <c r="AE119" i="21"/>
  <c r="E116" i="21"/>
  <c r="E122" i="21"/>
  <c r="E119" i="21"/>
  <c r="E126" i="21"/>
  <c r="E125" i="21"/>
  <c r="E124" i="21"/>
  <c r="E115" i="21"/>
  <c r="E123" i="21"/>
  <c r="E118" i="21"/>
  <c r="E121" i="21"/>
  <c r="E114" i="21"/>
  <c r="E117" i="21"/>
  <c r="E120" i="21"/>
  <c r="C117" i="21"/>
  <c r="C123" i="21"/>
  <c r="C114" i="21"/>
  <c r="C119" i="21"/>
  <c r="C120" i="21"/>
  <c r="C124" i="21"/>
  <c r="C118" i="21"/>
  <c r="C122" i="21"/>
  <c r="C115" i="21"/>
  <c r="C126" i="21"/>
  <c r="C121" i="21"/>
  <c r="C125" i="21"/>
  <c r="C116" i="21"/>
  <c r="AA123" i="21"/>
  <c r="AA122" i="21"/>
  <c r="AA119" i="21"/>
  <c r="AA126" i="21"/>
  <c r="AA116" i="21"/>
  <c r="AA125" i="21"/>
  <c r="AA124" i="21"/>
  <c r="AA115" i="21"/>
  <c r="AA118" i="21"/>
  <c r="AA121" i="21"/>
  <c r="AA120" i="21"/>
  <c r="AA114" i="21"/>
  <c r="AA117" i="21"/>
  <c r="AC126" i="21"/>
  <c r="AC114" i="21"/>
  <c r="AC115" i="21"/>
  <c r="AC121" i="21"/>
  <c r="AC120" i="21"/>
  <c r="AC125" i="21"/>
  <c r="AC119" i="21"/>
  <c r="AC116" i="21"/>
  <c r="AC117" i="21"/>
  <c r="AC123" i="21"/>
  <c r="AC122" i="21"/>
  <c r="AC118" i="21"/>
  <c r="AC124" i="21"/>
  <c r="U124" i="21"/>
  <c r="U126" i="21"/>
  <c r="U116" i="21"/>
  <c r="U119" i="21"/>
  <c r="U118" i="21"/>
  <c r="U125" i="21"/>
  <c r="U120" i="21"/>
  <c r="U114" i="21"/>
  <c r="U121" i="21"/>
  <c r="U115" i="21"/>
  <c r="U122" i="21"/>
  <c r="U117" i="21"/>
  <c r="U123" i="21"/>
  <c r="W118" i="21"/>
  <c r="W125" i="21"/>
  <c r="W117" i="21"/>
  <c r="W123" i="21"/>
  <c r="W114" i="21"/>
  <c r="W120" i="21"/>
  <c r="W119" i="21"/>
  <c r="W116" i="21"/>
  <c r="W124" i="21"/>
  <c r="W122" i="21"/>
  <c r="W115" i="21"/>
  <c r="W126" i="21"/>
  <c r="W121" i="21"/>
  <c r="M122" i="21"/>
  <c r="M119" i="21"/>
  <c r="M124" i="21"/>
  <c r="M126" i="21"/>
  <c r="M118" i="21"/>
  <c r="M123" i="21"/>
  <c r="M116" i="21"/>
  <c r="M115" i="21"/>
  <c r="M121" i="21"/>
  <c r="M114" i="21"/>
  <c r="M125" i="21"/>
  <c r="M120" i="21"/>
  <c r="M117" i="21"/>
  <c r="O115" i="21"/>
  <c r="O121" i="21"/>
  <c r="O118" i="21"/>
  <c r="O125" i="21"/>
  <c r="O114" i="21"/>
  <c r="O117" i="21"/>
  <c r="O123" i="21"/>
  <c r="O120" i="21"/>
  <c r="O126" i="21"/>
  <c r="O116" i="21"/>
  <c r="O119" i="21"/>
  <c r="O124" i="21"/>
  <c r="O122" i="21"/>
  <c r="S119" i="21"/>
  <c r="S124" i="21"/>
  <c r="S116" i="21"/>
  <c r="S115" i="21"/>
  <c r="S122" i="21"/>
  <c r="S121" i="21"/>
  <c r="S126" i="21"/>
  <c r="S117" i="21"/>
  <c r="S118" i="21"/>
  <c r="S120" i="21"/>
  <c r="S123" i="21"/>
  <c r="S125" i="21"/>
  <c r="S114" i="21"/>
  <c r="K121" i="21"/>
  <c r="K116" i="21"/>
  <c r="K115" i="21"/>
  <c r="K114" i="21"/>
  <c r="K126" i="21"/>
  <c r="K118" i="21"/>
  <c r="K123" i="21"/>
  <c r="K117" i="21"/>
  <c r="K122" i="21"/>
  <c r="K120" i="21"/>
  <c r="K119" i="21"/>
  <c r="K125" i="21"/>
  <c r="K124" i="21"/>
  <c r="G126" i="21"/>
  <c r="G114" i="21"/>
  <c r="G115" i="21"/>
  <c r="G121" i="21"/>
  <c r="G120" i="21"/>
  <c r="G125" i="21"/>
  <c r="G116" i="21"/>
  <c r="G117" i="21"/>
  <c r="G123" i="21"/>
  <c r="G122" i="21"/>
  <c r="G118" i="21"/>
  <c r="G119" i="21"/>
  <c r="G124" i="21"/>
  <c r="AE113" i="21"/>
  <c r="AE110" i="21"/>
  <c r="AE111" i="21"/>
  <c r="AE127" i="21"/>
  <c r="AE128" i="21"/>
  <c r="E113" i="21"/>
  <c r="E111" i="21"/>
  <c r="E128" i="21"/>
  <c r="E127" i="21"/>
  <c r="E110" i="21"/>
  <c r="AA113" i="21"/>
  <c r="AA111" i="21"/>
  <c r="AA127" i="21"/>
  <c r="AA128" i="21"/>
  <c r="AA110" i="21"/>
  <c r="AC110" i="21"/>
  <c r="AC113" i="21"/>
  <c r="AC128" i="21"/>
  <c r="AC111" i="21"/>
  <c r="AC127" i="21"/>
  <c r="S110" i="21"/>
  <c r="S128" i="21"/>
  <c r="S127" i="21"/>
  <c r="S113" i="21"/>
  <c r="S111" i="21"/>
  <c r="C127" i="21"/>
  <c r="C111" i="21"/>
  <c r="C128" i="21"/>
  <c r="C113" i="21"/>
  <c r="C110" i="21"/>
  <c r="U110" i="21"/>
  <c r="U127" i="21"/>
  <c r="U128" i="21"/>
  <c r="U113" i="21"/>
  <c r="U111" i="21"/>
  <c r="W127" i="21"/>
  <c r="W128" i="21"/>
  <c r="W110" i="21"/>
  <c r="W111" i="21"/>
  <c r="W113" i="21"/>
  <c r="M127" i="21"/>
  <c r="M111" i="21"/>
  <c r="M128" i="21"/>
  <c r="M113" i="21"/>
  <c r="M110" i="21"/>
  <c r="O110" i="21"/>
  <c r="O111" i="21"/>
  <c r="O127" i="21"/>
  <c r="O128" i="21"/>
  <c r="O113" i="21"/>
  <c r="K127" i="21"/>
  <c r="K110" i="21"/>
  <c r="K111" i="21"/>
  <c r="K113" i="21"/>
  <c r="K128" i="21"/>
  <c r="G110" i="21"/>
  <c r="G111" i="21"/>
  <c r="G128" i="21"/>
  <c r="G113" i="21"/>
  <c r="G127" i="21"/>
  <c r="AE106" i="21"/>
  <c r="AE102" i="21"/>
  <c r="AE108" i="21"/>
  <c r="AE107" i="21"/>
  <c r="AE104" i="21"/>
  <c r="AE112" i="21"/>
  <c r="AE109" i="21"/>
  <c r="AE100" i="21"/>
  <c r="AE103" i="21"/>
  <c r="AE101" i="21"/>
  <c r="AE105" i="21"/>
  <c r="E103" i="21"/>
  <c r="E112" i="21"/>
  <c r="E104" i="21"/>
  <c r="E109" i="21"/>
  <c r="E100" i="21"/>
  <c r="E106" i="21"/>
  <c r="E105" i="21"/>
  <c r="E102" i="21"/>
  <c r="E101" i="21"/>
  <c r="E108" i="21"/>
  <c r="E107" i="21"/>
  <c r="AA104" i="21"/>
  <c r="AA112" i="21"/>
  <c r="AA109" i="21"/>
  <c r="AA100" i="21"/>
  <c r="AA103" i="21"/>
  <c r="AA107" i="21"/>
  <c r="AA106" i="21"/>
  <c r="AA105" i="21"/>
  <c r="AA102" i="21"/>
  <c r="AA101" i="21"/>
  <c r="AA108" i="21"/>
  <c r="S101" i="21"/>
  <c r="S109" i="21"/>
  <c r="S102" i="21"/>
  <c r="S108" i="21"/>
  <c r="S107" i="21"/>
  <c r="S103" i="21"/>
  <c r="S112" i="21"/>
  <c r="S104" i="21"/>
  <c r="S100" i="21"/>
  <c r="S106" i="21"/>
  <c r="S105" i="21"/>
  <c r="U107" i="21"/>
  <c r="U106" i="21"/>
  <c r="U103" i="21"/>
  <c r="U109" i="21"/>
  <c r="U100" i="21"/>
  <c r="U108" i="21"/>
  <c r="U101" i="21"/>
  <c r="U104" i="21"/>
  <c r="U105" i="21"/>
  <c r="U102" i="21"/>
  <c r="U112" i="21"/>
  <c r="W100" i="21"/>
  <c r="W107" i="21"/>
  <c r="W106" i="21"/>
  <c r="W102" i="21"/>
  <c r="W103" i="21"/>
  <c r="W108" i="21"/>
  <c r="W101" i="21"/>
  <c r="W105" i="21"/>
  <c r="W109" i="21"/>
  <c r="W112" i="21"/>
  <c r="W104" i="21"/>
  <c r="C106" i="21"/>
  <c r="C100" i="21"/>
  <c r="C101" i="21"/>
  <c r="C102" i="21"/>
  <c r="C109" i="21"/>
  <c r="C108" i="21"/>
  <c r="C103" i="21"/>
  <c r="C104" i="21"/>
  <c r="C107" i="21"/>
  <c r="C105" i="21"/>
  <c r="C112" i="21"/>
  <c r="M106" i="21"/>
  <c r="M100" i="21"/>
  <c r="M101" i="21"/>
  <c r="M108" i="21"/>
  <c r="M107" i="21"/>
  <c r="M102" i="21"/>
  <c r="M103" i="21"/>
  <c r="M105" i="21"/>
  <c r="M104" i="21"/>
  <c r="M112" i="21"/>
  <c r="M109" i="21"/>
  <c r="AC100" i="21"/>
  <c r="AC107" i="21"/>
  <c r="AC104" i="21"/>
  <c r="AC109" i="21"/>
  <c r="AC106" i="21"/>
  <c r="AC103" i="21"/>
  <c r="AC108" i="21"/>
  <c r="AC112" i="21"/>
  <c r="AC102" i="21"/>
  <c r="AC105" i="21"/>
  <c r="AC101" i="21"/>
  <c r="O108" i="21"/>
  <c r="O102" i="21"/>
  <c r="O104" i="21"/>
  <c r="O112" i="21"/>
  <c r="O100" i="21"/>
  <c r="O107" i="21"/>
  <c r="O101" i="21"/>
  <c r="O105" i="21"/>
  <c r="O109" i="21"/>
  <c r="O106" i="21"/>
  <c r="O103" i="21"/>
  <c r="K102" i="21"/>
  <c r="K105" i="21"/>
  <c r="K103" i="21"/>
  <c r="K107" i="21"/>
  <c r="K108" i="21"/>
  <c r="K104" i="21"/>
  <c r="K112" i="21"/>
  <c r="K101" i="21"/>
  <c r="K109" i="21"/>
  <c r="K100" i="21"/>
  <c r="K106" i="21"/>
  <c r="G104" i="21"/>
  <c r="G100" i="21"/>
  <c r="G106" i="21"/>
  <c r="G103" i="21"/>
  <c r="G108" i="21"/>
  <c r="G112" i="21"/>
  <c r="G101" i="21"/>
  <c r="G105" i="21"/>
  <c r="G109" i="21"/>
  <c r="G102" i="21"/>
  <c r="G107" i="21"/>
  <c r="C94" i="21"/>
  <c r="C91" i="21"/>
  <c r="C92" i="21"/>
  <c r="C93" i="21"/>
  <c r="AA91" i="21"/>
  <c r="AA94" i="21"/>
  <c r="AA92" i="21"/>
  <c r="AA93" i="21"/>
  <c r="AE92" i="21"/>
  <c r="AE93" i="21"/>
  <c r="AE91" i="21"/>
  <c r="AE94" i="21"/>
  <c r="E94" i="21"/>
  <c r="E92" i="21"/>
  <c r="E93" i="21"/>
  <c r="E91" i="21"/>
  <c r="S93" i="21"/>
  <c r="S94" i="21"/>
  <c r="S92" i="21"/>
  <c r="S91" i="21"/>
  <c r="U94" i="21"/>
  <c r="U91" i="21"/>
  <c r="U93" i="21"/>
  <c r="U92" i="21"/>
  <c r="W94" i="21"/>
  <c r="W91" i="21"/>
  <c r="W92" i="21"/>
  <c r="W93" i="21"/>
  <c r="M92" i="21"/>
  <c r="M93" i="21"/>
  <c r="M94" i="21"/>
  <c r="M91" i="21"/>
  <c r="O93" i="21"/>
  <c r="O94" i="21"/>
  <c r="O91" i="21"/>
  <c r="O92" i="21"/>
  <c r="AC91" i="21"/>
  <c r="AC94" i="21"/>
  <c r="AC92" i="21"/>
  <c r="AC93" i="21"/>
  <c r="K92" i="21"/>
  <c r="K93" i="21"/>
  <c r="K91" i="21"/>
  <c r="K94" i="21"/>
  <c r="G94" i="21"/>
  <c r="G92" i="21"/>
  <c r="G93" i="21"/>
  <c r="G91" i="21"/>
  <c r="AA96" i="21"/>
  <c r="AA38" i="21"/>
  <c r="AA40" i="21"/>
  <c r="S96" i="21"/>
  <c r="S40" i="21"/>
  <c r="S38" i="21"/>
  <c r="AC96" i="21"/>
  <c r="AC38" i="21"/>
  <c r="AC40" i="21"/>
  <c r="U96" i="21"/>
  <c r="U40" i="21"/>
  <c r="U38" i="21"/>
  <c r="W96" i="21"/>
  <c r="W38" i="21"/>
  <c r="W40" i="21"/>
  <c r="C38" i="21"/>
  <c r="C40" i="21"/>
  <c r="M96" i="21"/>
  <c r="M40" i="21"/>
  <c r="M38" i="21"/>
  <c r="AE96" i="21"/>
  <c r="AE40" i="21"/>
  <c r="AE38" i="21"/>
  <c r="O96" i="21"/>
  <c r="O38" i="21"/>
  <c r="O40" i="21"/>
  <c r="E96" i="21"/>
  <c r="E40" i="21"/>
  <c r="E38" i="21"/>
  <c r="K96" i="21"/>
  <c r="K38" i="21"/>
  <c r="K40" i="21"/>
  <c r="G96" i="21"/>
  <c r="G38" i="21"/>
  <c r="G40" i="21"/>
  <c r="C157" i="21"/>
  <c r="C96" i="21"/>
  <c r="AE175" i="21"/>
  <c r="AE157" i="21"/>
  <c r="E175" i="21"/>
  <c r="E157" i="21"/>
  <c r="AA175" i="21"/>
  <c r="AA157" i="21"/>
  <c r="AC175" i="21"/>
  <c r="AC157" i="21"/>
  <c r="S175" i="21"/>
  <c r="S157" i="21"/>
  <c r="U175" i="21"/>
  <c r="U157" i="21"/>
  <c r="W175" i="21"/>
  <c r="W157" i="21"/>
  <c r="M175" i="21"/>
  <c r="M157" i="21"/>
  <c r="O175" i="21"/>
  <c r="O157" i="21"/>
  <c r="K175" i="21"/>
  <c r="K157" i="21"/>
  <c r="G175" i="21"/>
  <c r="G157" i="21"/>
  <c r="C161" i="21"/>
  <c r="C175" i="21"/>
  <c r="AE97" i="21"/>
  <c r="AE161" i="21"/>
  <c r="E97" i="21"/>
  <c r="E161" i="21"/>
  <c r="AA97" i="21"/>
  <c r="AA161" i="21"/>
  <c r="AC97" i="21"/>
  <c r="AC161" i="21"/>
  <c r="S97" i="21"/>
  <c r="S161" i="21"/>
  <c r="U97" i="21"/>
  <c r="U161" i="21"/>
  <c r="W97" i="21"/>
  <c r="W161" i="21"/>
  <c r="M97" i="21"/>
  <c r="M161" i="21"/>
  <c r="O97" i="21"/>
  <c r="O161" i="21"/>
  <c r="K97" i="21"/>
  <c r="K161" i="21"/>
  <c r="G97" i="21"/>
  <c r="G161" i="21"/>
  <c r="C156" i="21"/>
  <c r="C97" i="21"/>
  <c r="AE156" i="21"/>
  <c r="E156" i="21"/>
  <c r="AA156" i="21"/>
  <c r="AC156" i="21"/>
  <c r="S156" i="21"/>
  <c r="U156" i="21"/>
  <c r="W156" i="21"/>
  <c r="M156" i="21"/>
  <c r="O156" i="21"/>
  <c r="K156" i="21"/>
  <c r="G156" i="21"/>
  <c r="C95" i="21"/>
  <c r="O27" i="21"/>
  <c r="O95" i="21"/>
  <c r="K27" i="21"/>
  <c r="K95" i="21"/>
  <c r="G27" i="21"/>
  <c r="G95" i="21"/>
  <c r="AA27" i="21"/>
  <c r="AA95" i="21"/>
  <c r="AE27" i="21"/>
  <c r="AE95" i="21"/>
  <c r="E27" i="21"/>
  <c r="E95" i="21"/>
  <c r="AC27" i="21"/>
  <c r="AC95" i="21"/>
  <c r="S27" i="21"/>
  <c r="S95" i="21"/>
  <c r="U27" i="21"/>
  <c r="U95" i="21"/>
  <c r="W27" i="21"/>
  <c r="W95" i="21"/>
  <c r="M27" i="21"/>
  <c r="M95" i="21"/>
  <c r="C57" i="21"/>
  <c r="C27" i="21"/>
  <c r="O57" i="21"/>
  <c r="K57" i="21"/>
  <c r="G57" i="21"/>
  <c r="AA57" i="21"/>
  <c r="AE57" i="21"/>
  <c r="E57" i="21"/>
  <c r="AC57" i="21"/>
  <c r="S57" i="21"/>
  <c r="U57" i="21"/>
  <c r="W57" i="21"/>
  <c r="M57" i="21"/>
  <c r="C98" i="21"/>
  <c r="O66" i="21"/>
  <c r="O48" i="21"/>
  <c r="K66" i="21"/>
  <c r="K48" i="21"/>
  <c r="G66" i="21"/>
  <c r="G48" i="21"/>
  <c r="C66" i="21"/>
  <c r="C48" i="21"/>
  <c r="AA66" i="21"/>
  <c r="AA48" i="21"/>
  <c r="E66" i="21"/>
  <c r="E48" i="21"/>
  <c r="AC66" i="21"/>
  <c r="AC48" i="21"/>
  <c r="AE66" i="21"/>
  <c r="AE48" i="21"/>
  <c r="S66" i="21"/>
  <c r="S48" i="21"/>
  <c r="U66" i="21"/>
  <c r="U48" i="21"/>
  <c r="W66" i="21"/>
  <c r="W48" i="21"/>
  <c r="M66" i="21"/>
  <c r="M48" i="21"/>
  <c r="AC178" i="21"/>
  <c r="O140" i="21"/>
  <c r="O141" i="21"/>
  <c r="U140" i="21"/>
  <c r="U141" i="21"/>
  <c r="K140" i="21"/>
  <c r="K141" i="21"/>
  <c r="G140" i="21"/>
  <c r="G141" i="21"/>
  <c r="C140" i="21"/>
  <c r="C141" i="21"/>
  <c r="AA140" i="21"/>
  <c r="AA141" i="21"/>
  <c r="AE140" i="21"/>
  <c r="AE141" i="21"/>
  <c r="E140" i="21"/>
  <c r="E141" i="21"/>
  <c r="AC140" i="21"/>
  <c r="AC141" i="21"/>
  <c r="S140" i="21"/>
  <c r="S141" i="21"/>
  <c r="W140" i="21"/>
  <c r="W141" i="21"/>
  <c r="M140" i="21"/>
  <c r="M141" i="21"/>
  <c r="O145" i="21"/>
  <c r="O98" i="21"/>
  <c r="K56" i="21"/>
  <c r="K98" i="21"/>
  <c r="G98" i="21"/>
  <c r="C168" i="21"/>
  <c r="AA68" i="21"/>
  <c r="AA98" i="21"/>
  <c r="AE60" i="21"/>
  <c r="AE98" i="21"/>
  <c r="E176" i="21"/>
  <c r="E98" i="21"/>
  <c r="AC174" i="21"/>
  <c r="AC98" i="21"/>
  <c r="S20" i="21"/>
  <c r="S98" i="21"/>
  <c r="U76" i="21"/>
  <c r="U98" i="21"/>
  <c r="W30" i="21"/>
  <c r="W98" i="21"/>
  <c r="M82" i="21"/>
  <c r="M98" i="21"/>
  <c r="E44" i="21"/>
  <c r="W135" i="21"/>
  <c r="W138" i="21"/>
  <c r="K183" i="21"/>
  <c r="K52" i="21"/>
  <c r="K130" i="21"/>
  <c r="W69" i="21"/>
  <c r="W49" i="21"/>
  <c r="K82" i="21"/>
  <c r="K28" i="21"/>
  <c r="W184" i="21"/>
  <c r="K184" i="21"/>
  <c r="K50" i="21"/>
  <c r="K84" i="21"/>
  <c r="G89" i="21"/>
  <c r="K74" i="21"/>
  <c r="G28" i="21"/>
  <c r="K22" i="21"/>
  <c r="W52" i="21"/>
  <c r="S143" i="21"/>
  <c r="M69" i="21"/>
  <c r="W64" i="21"/>
  <c r="W44" i="21"/>
  <c r="W21" i="21"/>
  <c r="W82" i="21"/>
  <c r="D34" i="21"/>
  <c r="D148" i="21" s="1"/>
  <c r="W81" i="21"/>
  <c r="M52" i="21"/>
  <c r="W90" i="21"/>
  <c r="M85" i="21"/>
  <c r="M36" i="21"/>
  <c r="W147" i="21"/>
  <c r="M58" i="21"/>
  <c r="M89" i="21"/>
  <c r="W171" i="21"/>
  <c r="M64" i="21"/>
  <c r="M154" i="21"/>
  <c r="W145" i="21"/>
  <c r="W142" i="21"/>
  <c r="W53" i="21"/>
  <c r="W76" i="21"/>
  <c r="M173" i="21"/>
  <c r="M180" i="21"/>
  <c r="W74" i="21"/>
  <c r="W29" i="21"/>
  <c r="W143" i="21"/>
  <c r="W132" i="21"/>
  <c r="M62" i="21"/>
  <c r="M72" i="21"/>
  <c r="W46" i="21"/>
  <c r="W20" i="21"/>
  <c r="M21" i="21"/>
  <c r="M44" i="21"/>
  <c r="W136" i="21"/>
  <c r="W166" i="21"/>
  <c r="W87" i="21"/>
  <c r="W33" i="21"/>
  <c r="O139" i="21"/>
  <c r="W129" i="21"/>
  <c r="W68" i="21"/>
  <c r="W180" i="21"/>
  <c r="W62" i="21"/>
  <c r="W131" i="21"/>
  <c r="W134" i="21"/>
  <c r="W183" i="21"/>
  <c r="W35" i="21"/>
  <c r="W43" i="21"/>
  <c r="W58" i="21"/>
  <c r="W165" i="21"/>
  <c r="W154" i="21"/>
  <c r="M73" i="21"/>
  <c r="W167" i="21"/>
  <c r="W63" i="21"/>
  <c r="W60" i="21"/>
  <c r="W163" i="21"/>
  <c r="W71" i="21"/>
  <c r="W19" i="21"/>
  <c r="W89" i="21"/>
  <c r="W45" i="21"/>
  <c r="W144" i="21"/>
  <c r="W65" i="21"/>
  <c r="W168" i="21"/>
  <c r="M146" i="21"/>
  <c r="M165" i="21"/>
  <c r="M137" i="21"/>
  <c r="M19" i="21"/>
  <c r="W75" i="21"/>
  <c r="W151" i="21"/>
  <c r="W55" i="21"/>
  <c r="W173" i="21"/>
  <c r="W79" i="21"/>
  <c r="W32" i="21"/>
  <c r="W54" i="21"/>
  <c r="W149" i="21"/>
  <c r="W70" i="21"/>
  <c r="W179" i="21"/>
  <c r="W162" i="21"/>
  <c r="W67" i="21"/>
  <c r="W176" i="21"/>
  <c r="W72" i="21"/>
  <c r="W178" i="21"/>
  <c r="M135" i="21"/>
  <c r="M71" i="21"/>
  <c r="M143" i="21"/>
  <c r="W22" i="21"/>
  <c r="W56" i="21"/>
  <c r="W99" i="21"/>
  <c r="W150" i="21"/>
  <c r="W88" i="21"/>
  <c r="W37" i="21"/>
  <c r="W61" i="21"/>
  <c r="W174" i="21"/>
  <c r="W73" i="21"/>
  <c r="W28" i="21"/>
  <c r="W130" i="21"/>
  <c r="W80" i="21"/>
  <c r="W164" i="21"/>
  <c r="W86" i="21"/>
  <c r="M35" i="21"/>
  <c r="M155" i="21"/>
  <c r="W146" i="21"/>
  <c r="W47" i="21"/>
  <c r="W85" i="21"/>
  <c r="W31" i="21"/>
  <c r="W133" i="21"/>
  <c r="W50" i="21"/>
  <c r="W155" i="21"/>
  <c r="V34" i="21"/>
  <c r="V148" i="21" s="1"/>
  <c r="W84" i="21"/>
  <c r="W36" i="21"/>
  <c r="W137" i="21"/>
  <c r="W139" i="21"/>
  <c r="G136" i="21"/>
  <c r="G150" i="21"/>
  <c r="G132" i="21"/>
  <c r="K31" i="21"/>
  <c r="K173" i="21"/>
  <c r="K73" i="21"/>
  <c r="K43" i="21"/>
  <c r="K68" i="21"/>
  <c r="J34" i="21"/>
  <c r="J148" i="21" s="1"/>
  <c r="K151" i="21"/>
  <c r="K86" i="21"/>
  <c r="K37" i="21"/>
  <c r="K138" i="21"/>
  <c r="K59" i="21"/>
  <c r="K162" i="21"/>
  <c r="G35" i="21"/>
  <c r="G20" i="21"/>
  <c r="G76" i="21"/>
  <c r="G60" i="21"/>
  <c r="K20" i="21"/>
  <c r="K90" i="21"/>
  <c r="K60" i="21"/>
  <c r="K85" i="21"/>
  <c r="K35" i="21"/>
  <c r="K36" i="21"/>
  <c r="K137" i="21"/>
  <c r="K58" i="21"/>
  <c r="K155" i="21"/>
  <c r="K72" i="21"/>
  <c r="K19" i="21"/>
  <c r="K89" i="21"/>
  <c r="G45" i="21"/>
  <c r="G130" i="21"/>
  <c r="G43" i="21"/>
  <c r="K88" i="21"/>
  <c r="K33" i="21"/>
  <c r="K134" i="21"/>
  <c r="K81" i="21"/>
  <c r="K99" i="21"/>
  <c r="K47" i="21"/>
  <c r="K49" i="21"/>
  <c r="K147" i="21"/>
  <c r="K171" i="21"/>
  <c r="K80" i="21"/>
  <c r="K32" i="21"/>
  <c r="G151" i="21"/>
  <c r="G180" i="21"/>
  <c r="G90" i="21"/>
  <c r="G29" i="21"/>
  <c r="K133" i="21"/>
  <c r="K45" i="21"/>
  <c r="K144" i="21"/>
  <c r="K21" i="21"/>
  <c r="K135" i="21"/>
  <c r="K64" i="21"/>
  <c r="K154" i="21"/>
  <c r="K71" i="21"/>
  <c r="K180" i="21"/>
  <c r="K44" i="21"/>
  <c r="K143" i="21"/>
  <c r="G144" i="21"/>
  <c r="G58" i="21"/>
  <c r="K146" i="21"/>
  <c r="K142" i="21"/>
  <c r="K54" i="21"/>
  <c r="K149" i="21"/>
  <c r="K46" i="21"/>
  <c r="K145" i="21"/>
  <c r="K75" i="21"/>
  <c r="K65" i="21"/>
  <c r="K168" i="21"/>
  <c r="K79" i="21"/>
  <c r="K30" i="21"/>
  <c r="K132" i="21"/>
  <c r="K53" i="21"/>
  <c r="K164" i="21"/>
  <c r="G81" i="21"/>
  <c r="G173" i="21"/>
  <c r="G55" i="21"/>
  <c r="G30" i="21"/>
  <c r="K62" i="21"/>
  <c r="K165" i="21"/>
  <c r="K55" i="21"/>
  <c r="K150" i="21"/>
  <c r="K129" i="21"/>
  <c r="K70" i="21"/>
  <c r="K179" i="21"/>
  <c r="K87" i="21"/>
  <c r="K42" i="21"/>
  <c r="K139" i="21"/>
  <c r="K61" i="21"/>
  <c r="K174" i="21"/>
  <c r="G19" i="21"/>
  <c r="G68" i="21"/>
  <c r="G51" i="21"/>
  <c r="K167" i="21"/>
  <c r="K163" i="21"/>
  <c r="K67" i="21"/>
  <c r="K176" i="21"/>
  <c r="K63" i="21"/>
  <c r="K166" i="21"/>
  <c r="K136" i="21"/>
  <c r="K76" i="21"/>
  <c r="K29" i="21"/>
  <c r="K131" i="21"/>
  <c r="K51" i="21"/>
  <c r="K178" i="21"/>
  <c r="AA75" i="21"/>
  <c r="AA166" i="21"/>
  <c r="AA50" i="21"/>
  <c r="AA142" i="21"/>
  <c r="AA22" i="21"/>
  <c r="AA129" i="21"/>
  <c r="AA171" i="21"/>
  <c r="AA150" i="21"/>
  <c r="AA62" i="21"/>
  <c r="AA28" i="21"/>
  <c r="AA73" i="21"/>
  <c r="AA49" i="21"/>
  <c r="AA80" i="21"/>
  <c r="AA165" i="21"/>
  <c r="AA130" i="21"/>
  <c r="AA183" i="21"/>
  <c r="AA164" i="21"/>
  <c r="AA21" i="21"/>
  <c r="AA147" i="21"/>
  <c r="AA43" i="21"/>
  <c r="AA88" i="21"/>
  <c r="AA32" i="21"/>
  <c r="AA53" i="21"/>
  <c r="AA67" i="21"/>
  <c r="AA176" i="21"/>
  <c r="Z34" i="21"/>
  <c r="Z148" i="21" s="1"/>
  <c r="AA36" i="21"/>
  <c r="AA137" i="21"/>
  <c r="AA58" i="21"/>
  <c r="AA155" i="21"/>
  <c r="AA72" i="21"/>
  <c r="AA31" i="21"/>
  <c r="AA133" i="21"/>
  <c r="AA44" i="21"/>
  <c r="AA143" i="21"/>
  <c r="AC168" i="21"/>
  <c r="AA84" i="21"/>
  <c r="AA46" i="21"/>
  <c r="AA35" i="21"/>
  <c r="AA136" i="21"/>
  <c r="AA154" i="21"/>
  <c r="AA71" i="21"/>
  <c r="AA180" i="21"/>
  <c r="AA52" i="21"/>
  <c r="AA61" i="21"/>
  <c r="AA174" i="21"/>
  <c r="AA20" i="21"/>
  <c r="AA90" i="21"/>
  <c r="AA55" i="21"/>
  <c r="AA47" i="21"/>
  <c r="AA146" i="21"/>
  <c r="AA65" i="21"/>
  <c r="AA168" i="21"/>
  <c r="AA79" i="21"/>
  <c r="AA30" i="21"/>
  <c r="AA132" i="21"/>
  <c r="AA60" i="21"/>
  <c r="AA163" i="21"/>
  <c r="AA145" i="21"/>
  <c r="AA33" i="21"/>
  <c r="AA134" i="21"/>
  <c r="AA63" i="21"/>
  <c r="AA56" i="21"/>
  <c r="AA151" i="21"/>
  <c r="AA70" i="21"/>
  <c r="AA179" i="21"/>
  <c r="AA87" i="21"/>
  <c r="AA42" i="21"/>
  <c r="AA139" i="21"/>
  <c r="AA173" i="21"/>
  <c r="AA135" i="21"/>
  <c r="AA45" i="21"/>
  <c r="AA144" i="21"/>
  <c r="AA74" i="21"/>
  <c r="AA64" i="21"/>
  <c r="AA167" i="21"/>
  <c r="AA76" i="21"/>
  <c r="AA29" i="21"/>
  <c r="AA131" i="21"/>
  <c r="AA51" i="21"/>
  <c r="AA184" i="21"/>
  <c r="AA82" i="21"/>
  <c r="AA99" i="21"/>
  <c r="AA54" i="21"/>
  <c r="AA149" i="21"/>
  <c r="AA85" i="21"/>
  <c r="AA69" i="21"/>
  <c r="AA178" i="21"/>
  <c r="AA86" i="21"/>
  <c r="AA37" i="21"/>
  <c r="AA138" i="21"/>
  <c r="AA59" i="21"/>
  <c r="AA162" i="21"/>
  <c r="AA81" i="21"/>
  <c r="AA19" i="21"/>
  <c r="AA89" i="21"/>
  <c r="AC65" i="21"/>
  <c r="S133" i="21"/>
  <c r="S165" i="21"/>
  <c r="AC75" i="21"/>
  <c r="S44" i="21"/>
  <c r="S69" i="21"/>
  <c r="AC79" i="21"/>
  <c r="S36" i="21"/>
  <c r="AC56" i="21"/>
  <c r="AC30" i="21"/>
  <c r="S171" i="21"/>
  <c r="S137" i="21"/>
  <c r="AC84" i="21"/>
  <c r="AC132" i="21"/>
  <c r="S80" i="21"/>
  <c r="S135" i="21"/>
  <c r="AC46" i="21"/>
  <c r="AC60" i="21"/>
  <c r="S31" i="21"/>
  <c r="S144" i="21"/>
  <c r="AC145" i="21"/>
  <c r="AC163" i="21"/>
  <c r="AC69" i="21"/>
  <c r="AC73" i="21"/>
  <c r="AC21" i="21"/>
  <c r="AC135" i="21"/>
  <c r="AC64" i="21"/>
  <c r="AC154" i="21"/>
  <c r="AC71" i="21"/>
  <c r="AC180" i="21"/>
  <c r="AC52" i="21"/>
  <c r="AC61" i="21"/>
  <c r="AC151" i="21"/>
  <c r="AC20" i="21"/>
  <c r="AC90" i="21"/>
  <c r="AC55" i="21"/>
  <c r="AC150" i="21"/>
  <c r="AC129" i="21"/>
  <c r="AC70" i="21"/>
  <c r="AC179" i="21"/>
  <c r="AC87" i="21"/>
  <c r="AC42" i="21"/>
  <c r="AC139" i="21"/>
  <c r="AC173" i="21"/>
  <c r="AC33" i="21"/>
  <c r="AC134" i="21"/>
  <c r="AC63" i="21"/>
  <c r="AC166" i="21"/>
  <c r="AC136" i="21"/>
  <c r="AC76" i="21"/>
  <c r="AC29" i="21"/>
  <c r="AC131" i="21"/>
  <c r="AC51" i="21"/>
  <c r="AC184" i="21"/>
  <c r="AC82" i="21"/>
  <c r="AC45" i="21"/>
  <c r="AC144" i="21"/>
  <c r="AC68" i="21"/>
  <c r="AB34" i="21"/>
  <c r="AC34" i="21" s="1"/>
  <c r="AC167" i="21"/>
  <c r="AC86" i="21"/>
  <c r="AC37" i="21"/>
  <c r="AC138" i="21"/>
  <c r="AC59" i="21"/>
  <c r="AC162" i="21"/>
  <c r="AC81" i="21"/>
  <c r="AC19" i="21"/>
  <c r="AC89" i="21"/>
  <c r="AC54" i="21"/>
  <c r="AC149" i="21"/>
  <c r="AC74" i="21"/>
  <c r="AC22" i="21"/>
  <c r="AC28" i="21"/>
  <c r="AC130" i="21"/>
  <c r="AC50" i="21"/>
  <c r="AC183" i="21"/>
  <c r="AC88" i="21"/>
  <c r="AC32" i="21"/>
  <c r="AC146" i="21"/>
  <c r="AC62" i="21"/>
  <c r="AC165" i="21"/>
  <c r="AC85" i="21"/>
  <c r="AC35" i="21"/>
  <c r="AC36" i="21"/>
  <c r="AC137" i="21"/>
  <c r="AC58" i="21"/>
  <c r="AC155" i="21"/>
  <c r="AC72" i="21"/>
  <c r="AC31" i="21"/>
  <c r="AC133" i="21"/>
  <c r="AC44" i="21"/>
  <c r="AC143" i="21"/>
  <c r="AC67" i="21"/>
  <c r="AC176" i="21"/>
  <c r="AC99" i="21"/>
  <c r="AC47" i="21"/>
  <c r="AC49" i="21"/>
  <c r="AC147" i="21"/>
  <c r="AC171" i="21"/>
  <c r="AC80" i="21"/>
  <c r="AC43" i="21"/>
  <c r="AC142" i="21"/>
  <c r="AC53" i="21"/>
  <c r="AC164" i="21"/>
  <c r="E143" i="21"/>
  <c r="E36" i="21"/>
  <c r="E137" i="21"/>
  <c r="E58" i="21"/>
  <c r="E155" i="21"/>
  <c r="E72" i="21"/>
  <c r="E68" i="21"/>
  <c r="E133" i="21"/>
  <c r="S50" i="21"/>
  <c r="S183" i="21"/>
  <c r="S81" i="21"/>
  <c r="S19" i="21"/>
  <c r="S89" i="21"/>
  <c r="S56" i="21"/>
  <c r="S178" i="21"/>
  <c r="S86" i="21"/>
  <c r="S151" i="21"/>
  <c r="S166" i="21"/>
  <c r="S62" i="21"/>
  <c r="S58" i="21"/>
  <c r="S155" i="21"/>
  <c r="S72" i="21"/>
  <c r="R34" i="21"/>
  <c r="S34" i="21" s="1"/>
  <c r="S88" i="21"/>
  <c r="S32" i="21"/>
  <c r="S64" i="21"/>
  <c r="S28" i="21"/>
  <c r="S130" i="21"/>
  <c r="S145" i="21"/>
  <c r="S150" i="21"/>
  <c r="S54" i="21"/>
  <c r="S46" i="21"/>
  <c r="S71" i="21"/>
  <c r="S180" i="21"/>
  <c r="S43" i="21"/>
  <c r="S142" i="21"/>
  <c r="S53" i="21"/>
  <c r="S164" i="21"/>
  <c r="S75" i="21"/>
  <c r="S49" i="21"/>
  <c r="S147" i="21"/>
  <c r="S99" i="21"/>
  <c r="S134" i="21"/>
  <c r="S149" i="21"/>
  <c r="S79" i="21"/>
  <c r="S30" i="21"/>
  <c r="S132" i="21"/>
  <c r="S52" i="21"/>
  <c r="S61" i="21"/>
  <c r="S174" i="21"/>
  <c r="S154" i="21"/>
  <c r="S85" i="21"/>
  <c r="S90" i="21"/>
  <c r="S176" i="21"/>
  <c r="S21" i="21"/>
  <c r="S87" i="21"/>
  <c r="S42" i="21"/>
  <c r="S139" i="21"/>
  <c r="S60" i="21"/>
  <c r="S163" i="21"/>
  <c r="S22" i="21"/>
  <c r="S129" i="21"/>
  <c r="S65" i="21"/>
  <c r="S168" i="21"/>
  <c r="S74" i="21"/>
  <c r="S84" i="21"/>
  <c r="U22" i="21"/>
  <c r="S29" i="21"/>
  <c r="S131" i="21"/>
  <c r="S51" i="21"/>
  <c r="S173" i="21"/>
  <c r="S35" i="21"/>
  <c r="S136" i="21"/>
  <c r="S70" i="21"/>
  <c r="S179" i="21"/>
  <c r="S68" i="21"/>
  <c r="S73" i="21"/>
  <c r="S37" i="21"/>
  <c r="S138" i="21"/>
  <c r="S59" i="21"/>
  <c r="S162" i="21"/>
  <c r="S184" i="21"/>
  <c r="S82" i="21"/>
  <c r="S47" i="21"/>
  <c r="S146" i="21"/>
  <c r="S76" i="21"/>
  <c r="S167" i="21"/>
  <c r="S63" i="21"/>
  <c r="S67" i="21"/>
  <c r="U46" i="21"/>
  <c r="W59" i="21"/>
  <c r="E74" i="21"/>
  <c r="E22" i="21"/>
  <c r="E129" i="21"/>
  <c r="E49" i="21"/>
  <c r="E147" i="21"/>
  <c r="E171" i="21"/>
  <c r="E80" i="21"/>
  <c r="E142" i="21"/>
  <c r="E53" i="21"/>
  <c r="E164" i="21"/>
  <c r="O73" i="21"/>
  <c r="O134" i="21"/>
  <c r="E85" i="21"/>
  <c r="E35" i="21"/>
  <c r="E136" i="21"/>
  <c r="E154" i="21"/>
  <c r="E71" i="21"/>
  <c r="E180" i="21"/>
  <c r="E61" i="21"/>
  <c r="E174" i="21"/>
  <c r="O64" i="21"/>
  <c r="O88" i="21"/>
  <c r="E20" i="21"/>
  <c r="E31" i="21"/>
  <c r="E99" i="21"/>
  <c r="E47" i="21"/>
  <c r="E146" i="21"/>
  <c r="E65" i="21"/>
  <c r="E168" i="21"/>
  <c r="E79" i="21"/>
  <c r="E30" i="21"/>
  <c r="E132" i="21"/>
  <c r="E163" i="21"/>
  <c r="E81" i="21"/>
  <c r="O167" i="21"/>
  <c r="O32" i="21"/>
  <c r="E33" i="21"/>
  <c r="E144" i="21"/>
  <c r="E21" i="21"/>
  <c r="E135" i="21"/>
  <c r="E56" i="21"/>
  <c r="E151" i="21"/>
  <c r="E70" i="21"/>
  <c r="E179" i="21"/>
  <c r="E87" i="21"/>
  <c r="E42" i="21"/>
  <c r="E139" i="21"/>
  <c r="E173" i="21"/>
  <c r="E52" i="21"/>
  <c r="O76" i="21"/>
  <c r="E134" i="21"/>
  <c r="E46" i="21"/>
  <c r="E145" i="21"/>
  <c r="E64" i="21"/>
  <c r="E167" i="21"/>
  <c r="E76" i="21"/>
  <c r="E29" i="21"/>
  <c r="E131" i="21"/>
  <c r="E51" i="21"/>
  <c r="E184" i="21"/>
  <c r="E82" i="21"/>
  <c r="E165" i="21"/>
  <c r="N34" i="21"/>
  <c r="N148" i="21" s="1"/>
  <c r="O68" i="21"/>
  <c r="E90" i="21"/>
  <c r="E55" i="21"/>
  <c r="E150" i="21"/>
  <c r="E69" i="21"/>
  <c r="E178" i="21"/>
  <c r="E86" i="21"/>
  <c r="E37" i="21"/>
  <c r="E138" i="21"/>
  <c r="E59" i="21"/>
  <c r="E162" i="21"/>
  <c r="E19" i="21"/>
  <c r="E89" i="21"/>
  <c r="O87" i="21"/>
  <c r="O31" i="21"/>
  <c r="E73" i="21"/>
  <c r="E63" i="21"/>
  <c r="E166" i="21"/>
  <c r="E75" i="21"/>
  <c r="E28" i="21"/>
  <c r="E130" i="21"/>
  <c r="E50" i="21"/>
  <c r="E183" i="21"/>
  <c r="E32" i="21"/>
  <c r="O42" i="21"/>
  <c r="E54" i="21"/>
  <c r="E84" i="21"/>
  <c r="E67" i="21"/>
  <c r="E62" i="21"/>
  <c r="S45" i="21"/>
  <c r="S55" i="21"/>
  <c r="E88" i="21"/>
  <c r="S33" i="21"/>
  <c r="AE28" i="21"/>
  <c r="E45" i="21"/>
  <c r="AE130" i="21"/>
  <c r="E149" i="21"/>
  <c r="E60" i="21"/>
  <c r="AE37" i="21"/>
  <c r="E43" i="21"/>
  <c r="C150" i="21"/>
  <c r="U79" i="21"/>
  <c r="U52" i="21"/>
  <c r="U84" i="21"/>
  <c r="U137" i="21"/>
  <c r="U171" i="21"/>
  <c r="U133" i="21"/>
  <c r="U176" i="21"/>
  <c r="AE49" i="21"/>
  <c r="C166" i="21"/>
  <c r="C64" i="21"/>
  <c r="U151" i="21"/>
  <c r="U44" i="21"/>
  <c r="U99" i="21"/>
  <c r="AE147" i="21"/>
  <c r="C162" i="21"/>
  <c r="U30" i="21"/>
  <c r="U61" i="21"/>
  <c r="U145" i="21"/>
  <c r="C144" i="21"/>
  <c r="U80" i="21"/>
  <c r="U143" i="21"/>
  <c r="U178" i="21"/>
  <c r="AE72" i="21"/>
  <c r="C90" i="21"/>
  <c r="U129" i="21"/>
  <c r="U132" i="21"/>
  <c r="U174" i="21"/>
  <c r="U36" i="21"/>
  <c r="AE162" i="21"/>
  <c r="U31" i="21"/>
  <c r="U67" i="21"/>
  <c r="U86" i="21"/>
  <c r="AE69" i="21"/>
  <c r="C33" i="21"/>
  <c r="AE58" i="21"/>
  <c r="AE61" i="21"/>
  <c r="C145" i="21"/>
  <c r="AE138" i="21"/>
  <c r="AE174" i="21"/>
  <c r="C135" i="21"/>
  <c r="AE155" i="21"/>
  <c r="AE90" i="21"/>
  <c r="W51" i="21"/>
  <c r="C46" i="21"/>
  <c r="C147" i="21"/>
  <c r="AE59" i="21"/>
  <c r="AE145" i="21"/>
  <c r="C137" i="21"/>
  <c r="C165" i="21"/>
  <c r="G129" i="21"/>
  <c r="G167" i="21"/>
  <c r="G184" i="21"/>
  <c r="G82" i="21"/>
  <c r="G33" i="21"/>
  <c r="G134" i="21"/>
  <c r="G63" i="21"/>
  <c r="G166" i="21"/>
  <c r="G86" i="21"/>
  <c r="G37" i="21"/>
  <c r="G42" i="21"/>
  <c r="G139" i="21"/>
  <c r="G52" i="21"/>
  <c r="M136" i="21"/>
  <c r="M60" i="21"/>
  <c r="M163" i="21"/>
  <c r="M67" i="21"/>
  <c r="M176" i="21"/>
  <c r="M99" i="21"/>
  <c r="M47" i="21"/>
  <c r="M49" i="21"/>
  <c r="M147" i="21"/>
  <c r="M171" i="21"/>
  <c r="M80" i="21"/>
  <c r="M32" i="21"/>
  <c r="U71" i="21"/>
  <c r="U180" i="21"/>
  <c r="U167" i="21"/>
  <c r="U43" i="21"/>
  <c r="U142" i="21"/>
  <c r="U53" i="21"/>
  <c r="U164" i="21"/>
  <c r="U73" i="21"/>
  <c r="U21" i="21"/>
  <c r="U135" i="21"/>
  <c r="U28" i="21"/>
  <c r="U130" i="21"/>
  <c r="AE75" i="21"/>
  <c r="AE36" i="21"/>
  <c r="AE137" i="21"/>
  <c r="AE50" i="21"/>
  <c r="AE183" i="21"/>
  <c r="AE163" i="21"/>
  <c r="AE20" i="21"/>
  <c r="AE134" i="21"/>
  <c r="AE167" i="21"/>
  <c r="C69" i="21"/>
  <c r="AE33" i="21"/>
  <c r="G75" i="21"/>
  <c r="G50" i="21"/>
  <c r="G88" i="21"/>
  <c r="G32" i="21"/>
  <c r="G54" i="21"/>
  <c r="G149" i="21"/>
  <c r="G74" i="21"/>
  <c r="G36" i="21"/>
  <c r="G137" i="21"/>
  <c r="G59" i="21"/>
  <c r="G162" i="21"/>
  <c r="M56" i="21"/>
  <c r="M184" i="21"/>
  <c r="M84" i="21"/>
  <c r="M46" i="21"/>
  <c r="M145" i="21"/>
  <c r="M75" i="21"/>
  <c r="M65" i="21"/>
  <c r="M168" i="21"/>
  <c r="M79" i="21"/>
  <c r="M30" i="21"/>
  <c r="M132" i="21"/>
  <c r="M53" i="21"/>
  <c r="M164" i="21"/>
  <c r="U87" i="21"/>
  <c r="U47" i="21"/>
  <c r="U42" i="21"/>
  <c r="U139" i="21"/>
  <c r="U60" i="21"/>
  <c r="U163" i="21"/>
  <c r="U20" i="21"/>
  <c r="U90" i="21"/>
  <c r="U55" i="21"/>
  <c r="U150" i="21"/>
  <c r="U49" i="21"/>
  <c r="U147" i="21"/>
  <c r="AE64" i="21"/>
  <c r="AE154" i="21"/>
  <c r="AE171" i="21"/>
  <c r="AE80" i="21"/>
  <c r="AE184" i="21"/>
  <c r="AE82" i="21"/>
  <c r="AE45" i="21"/>
  <c r="AE68" i="21"/>
  <c r="AE55" i="21"/>
  <c r="AE144" i="21"/>
  <c r="G69" i="21"/>
  <c r="G71" i="21"/>
  <c r="G133" i="21"/>
  <c r="G44" i="21"/>
  <c r="G143" i="21"/>
  <c r="G62" i="21"/>
  <c r="G165" i="21"/>
  <c r="G85" i="21"/>
  <c r="G49" i="21"/>
  <c r="G147" i="21"/>
  <c r="G79" i="21"/>
  <c r="G183" i="21"/>
  <c r="M167" i="21"/>
  <c r="M81" i="21"/>
  <c r="M20" i="21"/>
  <c r="M90" i="21"/>
  <c r="M55" i="21"/>
  <c r="M150" i="21"/>
  <c r="M70" i="21"/>
  <c r="M179" i="21"/>
  <c r="M87" i="21"/>
  <c r="M42" i="21"/>
  <c r="M139" i="21"/>
  <c r="M61" i="21"/>
  <c r="M174" i="21"/>
  <c r="U29" i="21"/>
  <c r="U131" i="21"/>
  <c r="U56" i="21"/>
  <c r="U51" i="21"/>
  <c r="U173" i="21"/>
  <c r="U33" i="21"/>
  <c r="U134" i="21"/>
  <c r="U63" i="21"/>
  <c r="U166" i="21"/>
  <c r="U154" i="21"/>
  <c r="AE22" i="21"/>
  <c r="AE56" i="21"/>
  <c r="AE65" i="21"/>
  <c r="AE168" i="21"/>
  <c r="AE71" i="21"/>
  <c r="AE180" i="21"/>
  <c r="AE81" i="21"/>
  <c r="AE19" i="21"/>
  <c r="AE89" i="21"/>
  <c r="AE62" i="21"/>
  <c r="AE74" i="21"/>
  <c r="AE46" i="21"/>
  <c r="AE173" i="21"/>
  <c r="AE63" i="21"/>
  <c r="G64" i="21"/>
  <c r="G87" i="21"/>
  <c r="G142" i="21"/>
  <c r="G53" i="21"/>
  <c r="G164" i="21"/>
  <c r="G67" i="21"/>
  <c r="G176" i="21"/>
  <c r="G99" i="21"/>
  <c r="G154" i="21"/>
  <c r="G131" i="21"/>
  <c r="G72" i="21"/>
  <c r="G178" i="21"/>
  <c r="M151" i="21"/>
  <c r="M88" i="21"/>
  <c r="M33" i="21"/>
  <c r="M134" i="21"/>
  <c r="M63" i="21"/>
  <c r="M166" i="21"/>
  <c r="M129" i="21"/>
  <c r="M76" i="21"/>
  <c r="M29" i="21"/>
  <c r="M131" i="21"/>
  <c r="M51" i="21"/>
  <c r="U37" i="21"/>
  <c r="U138" i="21"/>
  <c r="U64" i="21"/>
  <c r="U59" i="21"/>
  <c r="U162" i="21"/>
  <c r="U184" i="21"/>
  <c r="U82" i="21"/>
  <c r="U45" i="21"/>
  <c r="U144" i="21"/>
  <c r="U68" i="21"/>
  <c r="U35" i="21"/>
  <c r="U65" i="21"/>
  <c r="U168" i="21"/>
  <c r="AE146" i="21"/>
  <c r="AE47" i="21"/>
  <c r="AE70" i="21"/>
  <c r="AE179" i="21"/>
  <c r="AE79" i="21"/>
  <c r="AE30" i="21"/>
  <c r="AE132" i="21"/>
  <c r="AE88" i="21"/>
  <c r="AE32" i="21"/>
  <c r="AE67" i="21"/>
  <c r="AE85" i="21"/>
  <c r="AE178" i="21"/>
  <c r="C85" i="21"/>
  <c r="C84" i="21"/>
  <c r="C36" i="21"/>
  <c r="C88" i="21"/>
  <c r="G22" i="21"/>
  <c r="G56" i="21"/>
  <c r="G61" i="21"/>
  <c r="G174" i="21"/>
  <c r="G73" i="21"/>
  <c r="G21" i="21"/>
  <c r="G135" i="21"/>
  <c r="G65" i="21"/>
  <c r="G168" i="21"/>
  <c r="G138" i="21"/>
  <c r="G80" i="21"/>
  <c r="G31" i="21"/>
  <c r="M31" i="21"/>
  <c r="M133" i="21"/>
  <c r="M45" i="21"/>
  <c r="M144" i="21"/>
  <c r="M68" i="21"/>
  <c r="L34" i="21"/>
  <c r="L148" i="21" s="1"/>
  <c r="M178" i="21"/>
  <c r="M86" i="21"/>
  <c r="M37" i="21"/>
  <c r="M138" i="21"/>
  <c r="M59" i="21"/>
  <c r="M162" i="21"/>
  <c r="U50" i="21"/>
  <c r="U75" i="21"/>
  <c r="U183" i="21"/>
  <c r="U81" i="21"/>
  <c r="U19" i="21"/>
  <c r="U89" i="21"/>
  <c r="U54" i="21"/>
  <c r="U149" i="21"/>
  <c r="U74" i="21"/>
  <c r="U69" i="21"/>
  <c r="U70" i="21"/>
  <c r="U179" i="21"/>
  <c r="AE136" i="21"/>
  <c r="AE35" i="21"/>
  <c r="AE76" i="21"/>
  <c r="AD34" i="21"/>
  <c r="AE34" i="21" s="1"/>
  <c r="AE87" i="21"/>
  <c r="AE42" i="21"/>
  <c r="AE139" i="21"/>
  <c r="AE133" i="21"/>
  <c r="AE44" i="21"/>
  <c r="AE143" i="21"/>
  <c r="AE73" i="21"/>
  <c r="AE99" i="21"/>
  <c r="AE52" i="21"/>
  <c r="C68" i="21"/>
  <c r="C73" i="21"/>
  <c r="C183" i="21"/>
  <c r="G146" i="21"/>
  <c r="G47" i="21"/>
  <c r="G155" i="21"/>
  <c r="G163" i="21"/>
  <c r="F34" i="21"/>
  <c r="F148" i="21" s="1"/>
  <c r="G84" i="21"/>
  <c r="G46" i="21"/>
  <c r="G145" i="21"/>
  <c r="G70" i="21"/>
  <c r="G179" i="21"/>
  <c r="G171" i="21"/>
  <c r="M43" i="21"/>
  <c r="M142" i="21"/>
  <c r="M54" i="21"/>
  <c r="M149" i="21"/>
  <c r="M74" i="21"/>
  <c r="M22" i="21"/>
  <c r="M28" i="21"/>
  <c r="M130" i="21"/>
  <c r="M50" i="21"/>
  <c r="M183" i="21"/>
  <c r="U58" i="21"/>
  <c r="U155" i="21"/>
  <c r="U136" i="21"/>
  <c r="U72" i="21"/>
  <c r="T34" i="21"/>
  <c r="U34" i="21" s="1"/>
  <c r="U88" i="21"/>
  <c r="U32" i="21"/>
  <c r="U62" i="21"/>
  <c r="U165" i="21"/>
  <c r="U85" i="21"/>
  <c r="U146" i="21"/>
  <c r="AE129" i="21"/>
  <c r="AE21" i="21"/>
  <c r="AE86" i="21"/>
  <c r="AE29" i="21"/>
  <c r="AE131" i="21"/>
  <c r="AE51" i="21"/>
  <c r="AE142" i="21"/>
  <c r="AE53" i="21"/>
  <c r="AE164" i="21"/>
  <c r="AE84" i="21"/>
  <c r="AE135" i="21"/>
  <c r="C55" i="21"/>
  <c r="C45" i="21"/>
  <c r="B34" i="21"/>
  <c r="C58" i="21"/>
  <c r="C79" i="21"/>
  <c r="C87" i="21"/>
  <c r="C44" i="21"/>
  <c r="C32" i="21"/>
  <c r="C60" i="21"/>
  <c r="C133" i="21"/>
  <c r="C174" i="21"/>
  <c r="C138" i="21"/>
  <c r="C63" i="21"/>
  <c r="C134" i="21"/>
  <c r="C28" i="21"/>
  <c r="C22" i="21"/>
  <c r="C75" i="21"/>
  <c r="C167" i="21"/>
  <c r="C30" i="21"/>
  <c r="C163" i="21"/>
  <c r="C59" i="21"/>
  <c r="C131" i="21"/>
  <c r="C52" i="21"/>
  <c r="C51" i="21"/>
  <c r="C71" i="21"/>
  <c r="C151" i="21"/>
  <c r="C143" i="21"/>
  <c r="C139" i="21"/>
  <c r="C42" i="21"/>
  <c r="C130" i="21"/>
  <c r="C154" i="21"/>
  <c r="C56" i="21"/>
  <c r="C20" i="21"/>
  <c r="C43" i="21"/>
  <c r="C53" i="21"/>
  <c r="C82" i="21"/>
  <c r="C65" i="21"/>
  <c r="C132" i="21"/>
  <c r="C29" i="21"/>
  <c r="C50" i="21"/>
  <c r="AE43" i="21"/>
  <c r="W42" i="21"/>
  <c r="C99" i="21"/>
  <c r="C67" i="21"/>
  <c r="C184" i="21"/>
  <c r="C86" i="21"/>
  <c r="C146" i="21"/>
  <c r="C47" i="21"/>
  <c r="C178" i="21"/>
  <c r="C70" i="21"/>
  <c r="C176" i="21"/>
  <c r="C61" i="21"/>
  <c r="C37" i="21"/>
  <c r="C62" i="21"/>
  <c r="C173" i="21"/>
  <c r="C76" i="21"/>
  <c r="C136" i="21"/>
  <c r="C35" i="21"/>
  <c r="C89" i="21"/>
  <c r="C142" i="21"/>
  <c r="C31" i="21"/>
  <c r="C80" i="21"/>
  <c r="C180" i="21"/>
  <c r="C171" i="21"/>
  <c r="AE54" i="21"/>
  <c r="AE149" i="21"/>
  <c r="AE151" i="21"/>
  <c r="C74" i="21"/>
  <c r="C149" i="21"/>
  <c r="C54" i="21"/>
  <c r="C19" i="21"/>
  <c r="C49" i="21"/>
  <c r="C129" i="21"/>
  <c r="C21" i="21"/>
  <c r="C179" i="21"/>
  <c r="C81" i="21"/>
  <c r="C164" i="21"/>
  <c r="C72" i="21"/>
  <c r="C155" i="21"/>
  <c r="O54" i="21"/>
  <c r="O47" i="21"/>
  <c r="O146" i="21"/>
  <c r="O65" i="21"/>
  <c r="O168" i="21"/>
  <c r="O71" i="21"/>
  <c r="O180" i="21"/>
  <c r="O67" i="21"/>
  <c r="O184" i="21"/>
  <c r="O82" i="21"/>
  <c r="O55" i="21"/>
  <c r="O150" i="21"/>
  <c r="O62" i="21"/>
  <c r="O56" i="21"/>
  <c r="O151" i="21"/>
  <c r="O70" i="21"/>
  <c r="O179" i="21"/>
  <c r="O79" i="21"/>
  <c r="O30" i="21"/>
  <c r="O132" i="21"/>
  <c r="O84" i="21"/>
  <c r="O81" i="21"/>
  <c r="O19" i="21"/>
  <c r="O89" i="21"/>
  <c r="O63" i="21"/>
  <c r="O166" i="21"/>
  <c r="O90" i="21"/>
  <c r="O69" i="21"/>
  <c r="O178" i="21"/>
  <c r="O86" i="21"/>
  <c r="O29" i="21"/>
  <c r="O131" i="21"/>
  <c r="O51" i="21"/>
  <c r="O149" i="21"/>
  <c r="O133" i="21"/>
  <c r="O44" i="21"/>
  <c r="O143" i="21"/>
  <c r="O74" i="21"/>
  <c r="O43" i="21"/>
  <c r="O144" i="21"/>
  <c r="O75" i="21"/>
  <c r="O28" i="21"/>
  <c r="O130" i="21"/>
  <c r="O37" i="21"/>
  <c r="O138" i="21"/>
  <c r="O59" i="21"/>
  <c r="O162" i="21"/>
  <c r="O176" i="21"/>
  <c r="O142" i="21"/>
  <c r="O53" i="21"/>
  <c r="O164" i="21"/>
  <c r="O85" i="21"/>
  <c r="O165" i="21"/>
  <c r="O36" i="21"/>
  <c r="O137" i="21"/>
  <c r="O50" i="21"/>
  <c r="O183" i="21"/>
  <c r="O52" i="21"/>
  <c r="O61" i="21"/>
  <c r="O174" i="21"/>
  <c r="O99" i="21"/>
  <c r="AE165" i="21"/>
  <c r="AE150" i="21"/>
  <c r="AE31" i="21"/>
  <c r="O22" i="21"/>
  <c r="O129" i="21"/>
  <c r="O49" i="21"/>
  <c r="O147" i="21"/>
  <c r="O58" i="21"/>
  <c r="O155" i="21"/>
  <c r="O72" i="21"/>
  <c r="O33" i="21"/>
  <c r="O60" i="21"/>
  <c r="O163" i="21"/>
  <c r="O21" i="21"/>
  <c r="O135" i="21"/>
  <c r="AE176" i="21"/>
  <c r="AE166" i="21"/>
  <c r="K69" i="21"/>
  <c r="O20" i="21"/>
  <c r="O35" i="21"/>
  <c r="O136" i="21"/>
  <c r="O154" i="21"/>
  <c r="O171" i="21"/>
  <c r="O80" i="21"/>
  <c r="O45" i="21"/>
  <c r="O173" i="21"/>
  <c r="O46" i="21"/>
  <c r="AB148" i="21" l="1"/>
  <c r="AC148" i="21" s="1"/>
  <c r="O34" i="21"/>
  <c r="M34" i="21"/>
  <c r="K34" i="21"/>
  <c r="R148" i="21"/>
  <c r="R172" i="21" s="1"/>
  <c r="E34" i="21"/>
  <c r="AD148" i="21"/>
  <c r="AD172" i="21" s="1"/>
  <c r="W34" i="21"/>
  <c r="AA34" i="21"/>
  <c r="T148" i="21"/>
  <c r="U148" i="21" s="1"/>
  <c r="G34" i="21"/>
  <c r="B148" i="21"/>
  <c r="C34" i="21"/>
  <c r="AA148" i="21"/>
  <c r="Z172" i="21"/>
  <c r="V172" i="21"/>
  <c r="W148" i="21"/>
  <c r="N172" i="21"/>
  <c r="O148" i="21"/>
  <c r="M148" i="21"/>
  <c r="L172" i="21"/>
  <c r="K148" i="21"/>
  <c r="J172" i="21"/>
  <c r="F172" i="21"/>
  <c r="G148" i="21"/>
  <c r="E148" i="21"/>
  <c r="D172" i="21"/>
  <c r="AB172" i="21" l="1"/>
  <c r="AC172" i="21" s="1"/>
  <c r="S148" i="21"/>
  <c r="T172" i="21"/>
  <c r="T177" i="21" s="1"/>
  <c r="AE148" i="21"/>
  <c r="C148" i="21"/>
  <c r="B172" i="21"/>
  <c r="AE172" i="21"/>
  <c r="AD177" i="21"/>
  <c r="AA172" i="21"/>
  <c r="Z177" i="21"/>
  <c r="W172" i="21"/>
  <c r="V177" i="21"/>
  <c r="R177" i="21"/>
  <c r="S172" i="21"/>
  <c r="O172" i="21"/>
  <c r="N177" i="21"/>
  <c r="M172" i="21"/>
  <c r="L177" i="21"/>
  <c r="K172" i="21"/>
  <c r="J177" i="21"/>
  <c r="G172" i="21"/>
  <c r="F177" i="21"/>
  <c r="E172" i="21"/>
  <c r="D177" i="21"/>
  <c r="H180" i="21"/>
  <c r="P180" i="21"/>
  <c r="X180" i="21"/>
  <c r="AF180" i="21"/>
  <c r="AH180" i="21"/>
  <c r="H184" i="21"/>
  <c r="P184" i="21"/>
  <c r="X184" i="21"/>
  <c r="AF184" i="21"/>
  <c r="AH184" i="21"/>
  <c r="H131" i="21"/>
  <c r="P131" i="21"/>
  <c r="X131" i="21"/>
  <c r="AF131" i="21"/>
  <c r="AH131" i="21"/>
  <c r="H147" i="21"/>
  <c r="P147" i="21"/>
  <c r="X147" i="21"/>
  <c r="AF147" i="21"/>
  <c r="AH147" i="21"/>
  <c r="H146" i="21"/>
  <c r="P146" i="21"/>
  <c r="X146" i="21"/>
  <c r="AF146" i="21"/>
  <c r="AH146" i="21"/>
  <c r="P74" i="21"/>
  <c r="H73" i="21"/>
  <c r="X87" i="21"/>
  <c r="H79" i="21"/>
  <c r="X70" i="21"/>
  <c r="H86" i="21"/>
  <c r="H71" i="21"/>
  <c r="H84" i="21"/>
  <c r="X85" i="21"/>
  <c r="H80" i="21"/>
  <c r="AF87" i="21"/>
  <c r="X71" i="21"/>
  <c r="P75" i="21"/>
  <c r="AH81" i="21"/>
  <c r="P70" i="21"/>
  <c r="P71" i="21"/>
  <c r="X81" i="21"/>
  <c r="P86" i="21"/>
  <c r="AF69" i="21"/>
  <c r="P72" i="21"/>
  <c r="AF81" i="21"/>
  <c r="AF84" i="21"/>
  <c r="AF70" i="21"/>
  <c r="AF73" i="21"/>
  <c r="P81" i="21"/>
  <c r="P82" i="21"/>
  <c r="H70" i="21"/>
  <c r="AH70" i="21"/>
  <c r="AH71" i="21"/>
  <c r="X75" i="21"/>
  <c r="AF80" i="21"/>
  <c r="P79" i="21"/>
  <c r="P69" i="21"/>
  <c r="H72" i="21"/>
  <c r="AH73" i="21"/>
  <c r="X80" i="21"/>
  <c r="X69" i="21"/>
  <c r="AF71" i="21"/>
  <c r="AF72" i="21"/>
  <c r="AH75" i="21"/>
  <c r="H75" i="21"/>
  <c r="AH76" i="21"/>
  <c r="H69" i="21"/>
  <c r="AH69" i="21"/>
  <c r="X73" i="21"/>
  <c r="AF79" i="21"/>
  <c r="AF74" i="21"/>
  <c r="AF86" i="21"/>
  <c r="AF75" i="21"/>
  <c r="X76" i="21"/>
  <c r="AH80" i="21"/>
  <c r="AH84" i="21"/>
  <c r="AH86" i="21"/>
  <c r="AF82" i="21"/>
  <c r="X86" i="21"/>
  <c r="AH87" i="21"/>
  <c r="P76" i="21"/>
  <c r="H82" i="21"/>
  <c r="X84" i="21"/>
  <c r="P85" i="21"/>
  <c r="P87" i="21"/>
  <c r="AH79" i="21"/>
  <c r="AH82" i="21"/>
  <c r="X72" i="21"/>
  <c r="AH72" i="21"/>
  <c r="P73" i="21"/>
  <c r="H74" i="21"/>
  <c r="AH74" i="21"/>
  <c r="AF76" i="21"/>
  <c r="X82" i="21"/>
  <c r="AF85" i="21"/>
  <c r="X74" i="21"/>
  <c r="H76" i="21"/>
  <c r="X79" i="21"/>
  <c r="P80" i="21"/>
  <c r="H81" i="21"/>
  <c r="P84" i="21"/>
  <c r="H85" i="21"/>
  <c r="AH85" i="21"/>
  <c r="H87" i="21"/>
  <c r="X64" i="21"/>
  <c r="AF58" i="21"/>
  <c r="H64" i="21"/>
  <c r="AF67" i="21"/>
  <c r="P64" i="21"/>
  <c r="AF64" i="21"/>
  <c r="X67" i="21"/>
  <c r="X65" i="21"/>
  <c r="X53" i="21"/>
  <c r="AH64" i="21"/>
  <c r="H65" i="21"/>
  <c r="AF65" i="21"/>
  <c r="P65" i="21"/>
  <c r="AH65" i="21"/>
  <c r="H67" i="21"/>
  <c r="P67" i="21"/>
  <c r="AH67" i="21"/>
  <c r="H47" i="21"/>
  <c r="AF43" i="21"/>
  <c r="P43" i="21"/>
  <c r="X47" i="21"/>
  <c r="X58" i="21"/>
  <c r="H59" i="21"/>
  <c r="X59" i="21"/>
  <c r="AF52" i="21"/>
  <c r="P52" i="21"/>
  <c r="P59" i="21"/>
  <c r="AF59" i="21"/>
  <c r="AH53" i="21"/>
  <c r="P54" i="21"/>
  <c r="AF54" i="21"/>
  <c r="AH54" i="21"/>
  <c r="P55" i="21"/>
  <c r="AF55" i="21"/>
  <c r="H52" i="21"/>
  <c r="X52" i="21"/>
  <c r="AH55" i="21"/>
  <c r="H58" i="21"/>
  <c r="AH58" i="21"/>
  <c r="H54" i="21"/>
  <c r="X54" i="21"/>
  <c r="AH51" i="21"/>
  <c r="AH43" i="21"/>
  <c r="P44" i="21"/>
  <c r="AF44" i="21"/>
  <c r="H49" i="21"/>
  <c r="X49" i="21"/>
  <c r="AH52" i="21"/>
  <c r="P53" i="21"/>
  <c r="AF53" i="21"/>
  <c r="AH44" i="21"/>
  <c r="P45" i="21"/>
  <c r="AF45" i="21"/>
  <c r="H50" i="21"/>
  <c r="X50" i="21"/>
  <c r="AH45" i="21"/>
  <c r="P46" i="21"/>
  <c r="AF46" i="21"/>
  <c r="H51" i="21"/>
  <c r="X51" i="21"/>
  <c r="H43" i="21"/>
  <c r="X43" i="21"/>
  <c r="AH46" i="21"/>
  <c r="P47" i="21"/>
  <c r="AF47" i="21"/>
  <c r="H44" i="21"/>
  <c r="X44" i="21"/>
  <c r="AH47" i="21"/>
  <c r="P49" i="21"/>
  <c r="AF49" i="21"/>
  <c r="H53" i="21"/>
  <c r="H45" i="21"/>
  <c r="X45" i="21"/>
  <c r="AH49" i="21"/>
  <c r="P50" i="21"/>
  <c r="AF50" i="21"/>
  <c r="H46" i="21"/>
  <c r="X46" i="21"/>
  <c r="AH50" i="21"/>
  <c r="P51" i="21"/>
  <c r="AF51" i="21"/>
  <c r="H55" i="21"/>
  <c r="X55" i="21"/>
  <c r="P58" i="21"/>
  <c r="H56" i="21"/>
  <c r="P56" i="21"/>
  <c r="X56" i="21"/>
  <c r="AF56" i="21"/>
  <c r="AH59" i="21"/>
  <c r="H60" i="21"/>
  <c r="P60" i="21"/>
  <c r="X60" i="21"/>
  <c r="AF60" i="21"/>
  <c r="AH56" i="21"/>
  <c r="AH60" i="21"/>
  <c r="H61" i="21"/>
  <c r="P61" i="21"/>
  <c r="X61" i="21"/>
  <c r="AF61" i="21"/>
  <c r="AH61" i="21"/>
  <c r="H33" i="21"/>
  <c r="P33" i="21"/>
  <c r="X33" i="21"/>
  <c r="AF33" i="21"/>
  <c r="AH33" i="21"/>
  <c r="AB177" i="21" l="1"/>
  <c r="AB185" i="21" s="1"/>
  <c r="AC185" i="21" s="1"/>
  <c r="U172" i="21"/>
  <c r="C172" i="21"/>
  <c r="B177" i="21"/>
  <c r="AD185" i="21"/>
  <c r="AE185" i="21" s="1"/>
  <c r="AE177" i="21"/>
  <c r="Z185" i="21"/>
  <c r="AA185" i="21" s="1"/>
  <c r="AA177" i="21"/>
  <c r="V185" i="21"/>
  <c r="W185" i="21" s="1"/>
  <c r="W177" i="21"/>
  <c r="T185" i="21"/>
  <c r="U185" i="21" s="1"/>
  <c r="U177" i="21"/>
  <c r="R185" i="21"/>
  <c r="S185" i="21" s="1"/>
  <c r="S177" i="21"/>
  <c r="N185" i="21"/>
  <c r="O185" i="21" s="1"/>
  <c r="O177" i="21"/>
  <c r="L185" i="21"/>
  <c r="M185" i="21" s="1"/>
  <c r="M177" i="21"/>
  <c r="J185" i="21"/>
  <c r="K185" i="21" s="1"/>
  <c r="K177" i="21"/>
  <c r="F185" i="21"/>
  <c r="G185" i="21" s="1"/>
  <c r="G177" i="21"/>
  <c r="D185" i="21"/>
  <c r="E185" i="21" s="1"/>
  <c r="E177" i="21"/>
  <c r="AC177" i="21" l="1"/>
  <c r="C177" i="21"/>
  <c r="B185" i="21"/>
  <c r="C185" i="21" s="1"/>
  <c r="X151" i="21"/>
  <c r="P151" i="21"/>
  <c r="AF151" i="21"/>
  <c r="AH151" i="21"/>
  <c r="H151" i="21"/>
  <c r="AH154" i="21"/>
  <c r="AF154" i="21"/>
  <c r="X154" i="21"/>
  <c r="P154" i="21"/>
  <c r="H154" i="21"/>
  <c r="H29" i="21"/>
  <c r="P29" i="21"/>
  <c r="X29" i="21"/>
  <c r="AF29" i="21"/>
  <c r="AH29" i="21"/>
  <c r="AH134" i="21"/>
  <c r="AF134" i="21"/>
  <c r="X134" i="21"/>
  <c r="P134" i="21"/>
  <c r="H134" i="21"/>
  <c r="H145" i="21"/>
  <c r="X145" i="21"/>
  <c r="AF145" i="21"/>
  <c r="P145" i="21"/>
  <c r="AH145" i="21"/>
  <c r="H32" i="21"/>
  <c r="P32" i="21"/>
  <c r="AF32" i="21"/>
  <c r="X32" i="21"/>
  <c r="AH32" i="21"/>
  <c r="AF136" i="21" l="1"/>
  <c r="AF142" i="21"/>
  <c r="AF133" i="21"/>
  <c r="AF143" i="21"/>
  <c r="AF165" i="21"/>
  <c r="AF149" i="21"/>
  <c r="AF99" i="21"/>
  <c r="AF138" i="21"/>
  <c r="AF88" i="21"/>
  <c r="AF139" i="21"/>
  <c r="AF179" i="21"/>
  <c r="AF137" i="21"/>
  <c r="AF171" i="21"/>
  <c r="AF176" i="21"/>
  <c r="AF166" i="21"/>
  <c r="AF183" i="21"/>
  <c r="AF174" i="21"/>
  <c r="AF31" i="21"/>
  <c r="AF16" i="21"/>
  <c r="P9" i="21"/>
  <c r="AF90" i="21"/>
  <c r="X18" i="21"/>
  <c r="H130" i="21"/>
  <c r="AF144" i="21"/>
  <c r="H183" i="21"/>
  <c r="P133" i="21"/>
  <c r="P143" i="21"/>
  <c r="AF18" i="21"/>
  <c r="P139" i="21"/>
  <c r="X22" i="21"/>
  <c r="AF11" i="21"/>
  <c r="H7" i="21"/>
  <c r="H28" i="21"/>
  <c r="H63" i="21"/>
  <c r="P63" i="21"/>
  <c r="P90" i="21"/>
  <c r="X142" i="21"/>
  <c r="X174" i="21"/>
  <c r="P138" i="21"/>
  <c r="P149" i="21"/>
  <c r="X17" i="21"/>
  <c r="X143" i="21"/>
  <c r="P37" i="21"/>
  <c r="P88" i="21"/>
  <c r="AF28" i="21"/>
  <c r="P155" i="21"/>
  <c r="P176" i="21"/>
  <c r="X183" i="21"/>
  <c r="P22" i="21"/>
  <c r="P136" i="21"/>
  <c r="P144" i="21"/>
  <c r="P165" i="21"/>
  <c r="X30" i="21"/>
  <c r="X149" i="21"/>
  <c r="H22" i="21"/>
  <c r="H137" i="21"/>
  <c r="X11" i="21"/>
  <c r="X37" i="21"/>
  <c r="X130" i="21"/>
  <c r="X139" i="21"/>
  <c r="X171" i="21"/>
  <c r="AF17" i="21"/>
  <c r="AF42" i="21"/>
  <c r="X42" i="21"/>
  <c r="P130" i="21"/>
  <c r="AH16" i="21"/>
  <c r="H16" i="21"/>
  <c r="AH142" i="21"/>
  <c r="H142" i="21"/>
  <c r="AH174" i="21"/>
  <c r="H174" i="21"/>
  <c r="P17" i="21"/>
  <c r="P142" i="21"/>
  <c r="AF168" i="21"/>
  <c r="H133" i="21"/>
  <c r="P174" i="21"/>
  <c r="AH18" i="21"/>
  <c r="H18" i="21"/>
  <c r="AH162" i="21"/>
  <c r="H162" i="21"/>
  <c r="AH179" i="21"/>
  <c r="H179" i="21"/>
  <c r="AF130" i="21"/>
  <c r="AH9" i="21"/>
  <c r="AH99" i="21"/>
  <c r="H99" i="21"/>
  <c r="AH138" i="21"/>
  <c r="AH149" i="21"/>
  <c r="P31" i="21"/>
  <c r="P99" i="21"/>
  <c r="P179" i="21"/>
  <c r="X16" i="21"/>
  <c r="X88" i="21"/>
  <c r="X138" i="21"/>
  <c r="AF37" i="21"/>
  <c r="H9" i="21"/>
  <c r="AH31" i="21"/>
  <c r="AH11" i="21"/>
  <c r="AH37" i="21"/>
  <c r="AH88" i="21"/>
  <c r="H88" i="21"/>
  <c r="AH139" i="21"/>
  <c r="H139" i="21"/>
  <c r="AH171" i="21"/>
  <c r="H171" i="21"/>
  <c r="P16" i="21"/>
  <c r="P166" i="21"/>
  <c r="X168" i="21"/>
  <c r="H37" i="21"/>
  <c r="H149" i="21"/>
  <c r="AH168" i="21"/>
  <c r="H11" i="21"/>
  <c r="AH17" i="21"/>
  <c r="AH42" i="21"/>
  <c r="AH133" i="21"/>
  <c r="AH143" i="21"/>
  <c r="AH176" i="21"/>
  <c r="H176" i="21"/>
  <c r="P18" i="21"/>
  <c r="P42" i="21"/>
  <c r="P168" i="21"/>
  <c r="P183" i="21"/>
  <c r="X133" i="21"/>
  <c r="H42" i="21"/>
  <c r="H17" i="21"/>
  <c r="H138" i="21"/>
  <c r="AF22" i="21"/>
  <c r="AH136" i="21"/>
  <c r="H136" i="21"/>
  <c r="AH144" i="21"/>
  <c r="H144" i="21"/>
  <c r="AH165" i="21"/>
  <c r="H165" i="21"/>
  <c r="P171" i="21"/>
  <c r="X7" i="21"/>
  <c r="X28" i="21"/>
  <c r="X136" i="21"/>
  <c r="X144" i="21"/>
  <c r="X155" i="21"/>
  <c r="X162" i="21"/>
  <c r="X176" i="21"/>
  <c r="AF7" i="21"/>
  <c r="H31" i="21"/>
  <c r="AH130" i="21"/>
  <c r="AH22" i="21"/>
  <c r="AH137" i="21"/>
  <c r="AH166" i="21"/>
  <c r="H166" i="21"/>
  <c r="P7" i="21"/>
  <c r="P28" i="21"/>
  <c r="X9" i="21"/>
  <c r="X63" i="21"/>
  <c r="X90" i="21"/>
  <c r="X137" i="21"/>
  <c r="X165" i="21"/>
  <c r="X179" i="21"/>
  <c r="AF9" i="21"/>
  <c r="AF30" i="21"/>
  <c r="AF63" i="21"/>
  <c r="AF155" i="21"/>
  <c r="AF162" i="21"/>
  <c r="H143" i="21"/>
  <c r="P11" i="21"/>
  <c r="AH7" i="21"/>
  <c r="AH28" i="21"/>
  <c r="AH63" i="21"/>
  <c r="AH90" i="21"/>
  <c r="H90" i="21"/>
  <c r="H168" i="21"/>
  <c r="AH183" i="21"/>
  <c r="P137" i="21"/>
  <c r="P162" i="21"/>
  <c r="X31" i="21"/>
  <c r="X99" i="21"/>
  <c r="X166" i="21"/>
  <c r="P30" i="21"/>
  <c r="H30" i="21"/>
  <c r="AF129" i="21" l="1"/>
  <c r="AF132" i="21"/>
  <c r="X150" i="21"/>
  <c r="P150" i="21"/>
  <c r="P167" i="21"/>
  <c r="AH167" i="21"/>
  <c r="P164" i="21"/>
  <c r="P68" i="21"/>
  <c r="P132" i="21"/>
  <c r="X132" i="21"/>
  <c r="P135" i="21"/>
  <c r="X167" i="21"/>
  <c r="AF167" i="21"/>
  <c r="X68" i="21"/>
  <c r="AF135" i="21"/>
  <c r="X129" i="21"/>
  <c r="P89" i="21"/>
  <c r="AF8" i="21"/>
  <c r="X178" i="21"/>
  <c r="P21" i="21"/>
  <c r="AF68" i="21"/>
  <c r="AH132" i="21"/>
  <c r="Z34" i="25" s="1"/>
  <c r="H132" i="21"/>
  <c r="P6" i="21"/>
  <c r="AH155" i="21"/>
  <c r="H155" i="21"/>
  <c r="X10" i="21"/>
  <c r="AF10" i="21"/>
  <c r="AH6" i="21"/>
  <c r="H6" i="21"/>
  <c r="AF178" i="21"/>
  <c r="P129" i="21"/>
  <c r="P178" i="21"/>
  <c r="AH30" i="21"/>
  <c r="AH10" i="21"/>
  <c r="H10" i="21"/>
  <c r="AF173" i="21"/>
  <c r="AH89" i="21"/>
  <c r="Z32" i="25" s="1"/>
  <c r="H89" i="21"/>
  <c r="AF89" i="21"/>
  <c r="C7" i="21"/>
  <c r="X135" i="21"/>
  <c r="P62" i="21"/>
  <c r="X6" i="21"/>
  <c r="AF62" i="21"/>
  <c r="X173" i="21"/>
  <c r="AH21" i="21"/>
  <c r="H21" i="21"/>
  <c r="X164" i="21"/>
  <c r="AF164" i="21"/>
  <c r="AF150" i="21"/>
  <c r="AH164" i="21"/>
  <c r="H164" i="21"/>
  <c r="P36" i="21"/>
  <c r="AH8" i="21"/>
  <c r="H8" i="21"/>
  <c r="H178" i="21"/>
  <c r="AH178" i="21"/>
  <c r="AH173" i="21"/>
  <c r="H173" i="21"/>
  <c r="H167" i="21"/>
  <c r="X8" i="21"/>
  <c r="AH36" i="21"/>
  <c r="Z28" i="25" s="1"/>
  <c r="H36" i="21"/>
  <c r="X62" i="21"/>
  <c r="AF6" i="21"/>
  <c r="AH68" i="21"/>
  <c r="Z33" i="25" s="1"/>
  <c r="H68" i="21"/>
  <c r="AH135" i="21"/>
  <c r="Z30" i="25" s="1"/>
  <c r="H135" i="21"/>
  <c r="P8" i="21"/>
  <c r="X89" i="21"/>
  <c r="AF21" i="21"/>
  <c r="X36" i="21"/>
  <c r="P173" i="21"/>
  <c r="AH62" i="21"/>
  <c r="Z35" i="25" s="1"/>
  <c r="H62" i="21"/>
  <c r="P10" i="21"/>
  <c r="X21" i="21"/>
  <c r="AF36" i="21"/>
  <c r="Q6" i="21" l="1"/>
  <c r="Q15" i="21"/>
  <c r="Q12" i="21"/>
  <c r="Q14" i="21"/>
  <c r="Q13" i="21"/>
  <c r="I6" i="21"/>
  <c r="I13" i="21"/>
  <c r="I12" i="21"/>
  <c r="I15" i="21"/>
  <c r="I14" i="21"/>
  <c r="Y6" i="21"/>
  <c r="Y15" i="21"/>
  <c r="Y13" i="21"/>
  <c r="Y14" i="21"/>
  <c r="Y12" i="21"/>
  <c r="AI15" i="21"/>
  <c r="AI14" i="21"/>
  <c r="AI13" i="21"/>
  <c r="AI12" i="21"/>
  <c r="AG6" i="21"/>
  <c r="AG15" i="21"/>
  <c r="AG14" i="21"/>
  <c r="AG13" i="21"/>
  <c r="AG12" i="21"/>
  <c r="Q8" i="21"/>
  <c r="AI6" i="21"/>
  <c r="R2" i="21"/>
  <c r="T2" i="21"/>
  <c r="V2" i="21"/>
  <c r="Z2" i="21"/>
  <c r="F2" i="21"/>
  <c r="J2" i="21"/>
  <c r="AD2" i="21"/>
  <c r="AB2" i="21"/>
  <c r="L2" i="21"/>
  <c r="N2" i="21"/>
  <c r="Q10" i="21"/>
  <c r="I8" i="21"/>
  <c r="I10" i="21"/>
  <c r="AG10" i="21"/>
  <c r="AG7" i="21"/>
  <c r="AG9" i="21"/>
  <c r="AG18" i="21"/>
  <c r="AG16" i="21"/>
  <c r="AG11" i="21"/>
  <c r="AG8" i="21"/>
  <c r="AG17" i="21"/>
  <c r="Y8" i="21"/>
  <c r="Y11" i="21"/>
  <c r="Y9" i="21"/>
  <c r="Y10" i="21"/>
  <c r="Y18" i="21"/>
  <c r="Y16" i="21"/>
  <c r="Y7" i="21"/>
  <c r="Y17" i="21"/>
  <c r="Q16" i="21"/>
  <c r="Q9" i="21"/>
  <c r="Q11" i="21"/>
  <c r="Q17" i="21"/>
  <c r="Q18" i="21"/>
  <c r="AI8" i="21"/>
  <c r="Q7" i="21"/>
  <c r="AI16" i="21"/>
  <c r="I9" i="21"/>
  <c r="I7" i="21"/>
  <c r="AI18" i="21"/>
  <c r="I18" i="21"/>
  <c r="AI11" i="21"/>
  <c r="AI9" i="21"/>
  <c r="I16" i="21"/>
  <c r="AI7" i="21"/>
  <c r="I11" i="21"/>
  <c r="AI10" i="21"/>
  <c r="I17" i="21"/>
  <c r="AI17" i="21"/>
  <c r="P19" i="21"/>
  <c r="Q41" i="21" s="1"/>
  <c r="AF163" i="21"/>
  <c r="AF35" i="21"/>
  <c r="P163" i="21"/>
  <c r="P35" i="21"/>
  <c r="X163" i="21"/>
  <c r="X20" i="21"/>
  <c r="X35" i="21"/>
  <c r="AH19" i="21"/>
  <c r="AI41" i="21" s="1"/>
  <c r="H19" i="21"/>
  <c r="I41" i="21" s="1"/>
  <c r="P20" i="21"/>
  <c r="AH20" i="21"/>
  <c r="H20" i="21"/>
  <c r="AF19" i="21"/>
  <c r="AG41" i="21" s="1"/>
  <c r="AH163" i="21"/>
  <c r="H163" i="21"/>
  <c r="AH150" i="21"/>
  <c r="H150" i="21"/>
  <c r="X19" i="21"/>
  <c r="Y41" i="21" s="1"/>
  <c r="AF20" i="21"/>
  <c r="Y83" i="21" l="1"/>
  <c r="Y39" i="21"/>
  <c r="I83" i="21"/>
  <c r="I39" i="21"/>
  <c r="AG83" i="21"/>
  <c r="AG39" i="21"/>
  <c r="AI83" i="21"/>
  <c r="AI39" i="21"/>
  <c r="Q83" i="21"/>
  <c r="Q39" i="21"/>
  <c r="AG158" i="21"/>
  <c r="Y158" i="21"/>
  <c r="AI158" i="21"/>
  <c r="I158" i="21"/>
  <c r="Q158" i="21"/>
  <c r="I181" i="21"/>
  <c r="I159" i="21"/>
  <c r="Y181" i="21"/>
  <c r="Y159" i="21"/>
  <c r="AI181" i="21"/>
  <c r="AI159" i="21"/>
  <c r="Q181" i="21"/>
  <c r="Q159" i="21"/>
  <c r="AG181" i="21"/>
  <c r="AG159" i="21"/>
  <c r="Q170" i="21"/>
  <c r="Q169" i="21"/>
  <c r="AG170" i="21"/>
  <c r="AG169" i="21"/>
  <c r="Y170" i="21"/>
  <c r="Y169" i="21"/>
  <c r="AI170" i="21"/>
  <c r="AI169" i="21"/>
  <c r="I170" i="21"/>
  <c r="I169" i="21"/>
  <c r="I160" i="21"/>
  <c r="I182" i="21"/>
  <c r="Q160" i="21"/>
  <c r="Q182" i="21"/>
  <c r="AI160" i="21"/>
  <c r="AI182" i="21"/>
  <c r="Y160" i="21"/>
  <c r="Y182" i="21"/>
  <c r="AG160" i="21"/>
  <c r="AG182" i="21"/>
  <c r="Q78" i="21"/>
  <c r="Q77" i="21"/>
  <c r="I77" i="21"/>
  <c r="I78" i="21"/>
  <c r="AI78" i="21"/>
  <c r="AI77" i="21"/>
  <c r="AG77" i="21"/>
  <c r="AG78" i="21"/>
  <c r="Y78" i="21"/>
  <c r="Y77" i="21"/>
  <c r="I24" i="21"/>
  <c r="I23" i="21"/>
  <c r="I25" i="21"/>
  <c r="I26" i="21"/>
  <c r="AI25" i="21"/>
  <c r="AI23" i="21"/>
  <c r="AI24" i="21"/>
  <c r="AI26" i="21"/>
  <c r="Q26" i="21"/>
  <c r="Q24" i="21"/>
  <c r="Q23" i="21"/>
  <c r="Q25" i="21"/>
  <c r="Y25" i="21"/>
  <c r="Y23" i="21"/>
  <c r="Y24" i="21"/>
  <c r="Y26" i="21"/>
  <c r="AG25" i="21"/>
  <c r="AG23" i="21"/>
  <c r="AG24" i="21"/>
  <c r="AG26" i="21"/>
  <c r="Y119" i="21"/>
  <c r="Y122" i="21"/>
  <c r="Y121" i="21"/>
  <c r="Y126" i="21"/>
  <c r="Y120" i="21"/>
  <c r="Y124" i="21"/>
  <c r="Y117" i="21"/>
  <c r="Y125" i="21"/>
  <c r="Y116" i="21"/>
  <c r="Y118" i="21"/>
  <c r="Y114" i="21"/>
  <c r="Y123" i="21"/>
  <c r="Y115" i="21"/>
  <c r="I126" i="21"/>
  <c r="I115" i="21"/>
  <c r="I118" i="21"/>
  <c r="I125" i="21"/>
  <c r="I114" i="21"/>
  <c r="I116" i="21"/>
  <c r="I121" i="21"/>
  <c r="I124" i="21"/>
  <c r="I117" i="21"/>
  <c r="I120" i="21"/>
  <c r="I123" i="21"/>
  <c r="I122" i="21"/>
  <c r="I119" i="21"/>
  <c r="Q116" i="21"/>
  <c r="Q125" i="21"/>
  <c r="Q120" i="21"/>
  <c r="Q122" i="21"/>
  <c r="Q121" i="21"/>
  <c r="Q118" i="21"/>
  <c r="Q126" i="21"/>
  <c r="Q114" i="21"/>
  <c r="Q124" i="21"/>
  <c r="Q119" i="21"/>
  <c r="Q115" i="21"/>
  <c r="Q123" i="21"/>
  <c r="Q117" i="21"/>
  <c r="AI117" i="21"/>
  <c r="AI121" i="21"/>
  <c r="AI123" i="21"/>
  <c r="AI120" i="21"/>
  <c r="AI124" i="21"/>
  <c r="AI122" i="21"/>
  <c r="AI119" i="21"/>
  <c r="AI115" i="21"/>
  <c r="AI114" i="21"/>
  <c r="AI125" i="21"/>
  <c r="AI118" i="21"/>
  <c r="AI126" i="21"/>
  <c r="AI116" i="21"/>
  <c r="AG124" i="21"/>
  <c r="AG116" i="21"/>
  <c r="AG118" i="21"/>
  <c r="AG122" i="21"/>
  <c r="AG117" i="21"/>
  <c r="AG126" i="21"/>
  <c r="AG121" i="21"/>
  <c r="AG115" i="21"/>
  <c r="AG120" i="21"/>
  <c r="AG119" i="21"/>
  <c r="AG123" i="21"/>
  <c r="AG125" i="21"/>
  <c r="AG114" i="21"/>
  <c r="Y128" i="21"/>
  <c r="Y127" i="21"/>
  <c r="Y110" i="21"/>
  <c r="Y113" i="21"/>
  <c r="Y111" i="21"/>
  <c r="Q111" i="21"/>
  <c r="Q113" i="21"/>
  <c r="Q127" i="21"/>
  <c r="Q110" i="21"/>
  <c r="Q128" i="21"/>
  <c r="I111" i="21"/>
  <c r="I127" i="21"/>
  <c r="I128" i="21"/>
  <c r="I110" i="21"/>
  <c r="I113" i="21"/>
  <c r="AI110" i="21"/>
  <c r="AI127" i="21"/>
  <c r="AI111" i="21"/>
  <c r="AI113" i="21"/>
  <c r="AI128" i="21"/>
  <c r="AG113" i="21"/>
  <c r="AG127" i="21"/>
  <c r="AG128" i="21"/>
  <c r="AG110" i="21"/>
  <c r="AG111" i="21"/>
  <c r="Y103" i="21"/>
  <c r="Y112" i="21"/>
  <c r="Y105" i="21"/>
  <c r="Y101" i="21"/>
  <c r="Y100" i="21"/>
  <c r="Y102" i="21"/>
  <c r="Y104" i="21"/>
  <c r="Y109" i="21"/>
  <c r="Y108" i="21"/>
  <c r="Y106" i="21"/>
  <c r="Y107" i="21"/>
  <c r="Q105" i="21"/>
  <c r="Q101" i="21"/>
  <c r="Q109" i="21"/>
  <c r="Q107" i="21"/>
  <c r="Q100" i="21"/>
  <c r="Q103" i="21"/>
  <c r="Q106" i="21"/>
  <c r="Q102" i="21"/>
  <c r="Q104" i="21"/>
  <c r="Q112" i="21"/>
  <c r="Q108" i="21"/>
  <c r="AG102" i="21"/>
  <c r="AG108" i="21"/>
  <c r="AG107" i="21"/>
  <c r="AG104" i="21"/>
  <c r="AG112" i="21"/>
  <c r="AG101" i="21"/>
  <c r="AG100" i="21"/>
  <c r="AG106" i="21"/>
  <c r="AG105" i="21"/>
  <c r="AG109" i="21"/>
  <c r="AG103" i="21"/>
  <c r="I101" i="21"/>
  <c r="I109" i="21"/>
  <c r="I105" i="21"/>
  <c r="I107" i="21"/>
  <c r="I100" i="21"/>
  <c r="I112" i="21"/>
  <c r="I106" i="21"/>
  <c r="I104" i="21"/>
  <c r="I102" i="21"/>
  <c r="I103" i="21"/>
  <c r="I108" i="21"/>
  <c r="AI108" i="21"/>
  <c r="AI103" i="21"/>
  <c r="AI105" i="21"/>
  <c r="AI102" i="21"/>
  <c r="AI106" i="21"/>
  <c r="AI109" i="21"/>
  <c r="AI101" i="21"/>
  <c r="AI112" i="21"/>
  <c r="AI104" i="21"/>
  <c r="AI107" i="21"/>
  <c r="AI100" i="21"/>
  <c r="I92" i="21"/>
  <c r="I91" i="21"/>
  <c r="I93" i="21"/>
  <c r="I94" i="21"/>
  <c r="Q94" i="21"/>
  <c r="Q92" i="21"/>
  <c r="Q93" i="21"/>
  <c r="Q91" i="21"/>
  <c r="Y93" i="21"/>
  <c r="Y91" i="21"/>
  <c r="Y92" i="21"/>
  <c r="Y94" i="21"/>
  <c r="AI94" i="21"/>
  <c r="AI93" i="21"/>
  <c r="AI91" i="21"/>
  <c r="AI92" i="21"/>
  <c r="AG93" i="21"/>
  <c r="AG92" i="21"/>
  <c r="AG94" i="21"/>
  <c r="AG91" i="21"/>
  <c r="I96" i="21"/>
  <c r="I40" i="21"/>
  <c r="I38" i="21"/>
  <c r="Y96" i="21"/>
  <c r="Y40" i="21"/>
  <c r="Y38" i="21"/>
  <c r="AI96" i="21"/>
  <c r="AI38" i="21"/>
  <c r="AI40" i="21"/>
  <c r="AG96" i="21"/>
  <c r="AG40" i="21"/>
  <c r="AG38" i="21"/>
  <c r="Q96" i="21"/>
  <c r="Q38" i="21"/>
  <c r="Q40" i="21"/>
  <c r="Y175" i="21"/>
  <c r="Y157" i="21"/>
  <c r="I175" i="21"/>
  <c r="I157" i="21"/>
  <c r="Q175" i="21"/>
  <c r="Q157" i="21"/>
  <c r="AG175" i="21"/>
  <c r="AG157" i="21"/>
  <c r="AI175" i="21"/>
  <c r="AI157" i="21"/>
  <c r="Y97" i="21"/>
  <c r="Y161" i="21"/>
  <c r="Q97" i="21"/>
  <c r="Q161" i="21"/>
  <c r="AI97" i="21"/>
  <c r="AI161" i="21"/>
  <c r="I97" i="21"/>
  <c r="I161" i="21"/>
  <c r="AG97" i="21"/>
  <c r="AG161" i="21"/>
  <c r="Y156" i="21"/>
  <c r="I156" i="21"/>
  <c r="AI156" i="21"/>
  <c r="Q156" i="21"/>
  <c r="AG156" i="21"/>
  <c r="AI27" i="21"/>
  <c r="AI95" i="21"/>
  <c r="Q27" i="21"/>
  <c r="Q95" i="21"/>
  <c r="AG27" i="21"/>
  <c r="AG95" i="21"/>
  <c r="Y27" i="21"/>
  <c r="Y95" i="21"/>
  <c r="I27" i="21"/>
  <c r="I95" i="21"/>
  <c r="AI57" i="21"/>
  <c r="AG57" i="21"/>
  <c r="Q57" i="21"/>
  <c r="Y57" i="21"/>
  <c r="I57" i="21"/>
  <c r="Y66" i="21"/>
  <c r="Y48" i="21"/>
  <c r="I66" i="21"/>
  <c r="I48" i="21"/>
  <c r="AI66" i="21"/>
  <c r="AI48" i="21"/>
  <c r="Q66" i="21"/>
  <c r="Q48" i="21"/>
  <c r="AG66" i="21"/>
  <c r="AG48" i="21"/>
  <c r="Q140" i="21"/>
  <c r="Q141" i="21"/>
  <c r="AI140" i="21"/>
  <c r="AI141" i="21"/>
  <c r="I140" i="21"/>
  <c r="I141" i="21"/>
  <c r="AG140" i="21"/>
  <c r="AG141" i="21"/>
  <c r="Y140" i="21"/>
  <c r="Y141" i="21"/>
  <c r="AI155" i="21"/>
  <c r="AI98" i="21"/>
  <c r="AG164" i="21"/>
  <c r="AG98" i="21"/>
  <c r="Q173" i="21"/>
  <c r="Q98" i="21"/>
  <c r="Y68" i="21"/>
  <c r="Y98" i="21"/>
  <c r="I155" i="21"/>
  <c r="I98" i="21"/>
  <c r="AI150" i="21"/>
  <c r="I150" i="21"/>
  <c r="I178" i="21"/>
  <c r="AG20" i="21"/>
  <c r="AG89" i="21"/>
  <c r="AG35" i="21"/>
  <c r="AG163" i="21"/>
  <c r="AG68" i="21"/>
  <c r="AG178" i="21"/>
  <c r="AG150" i="21"/>
  <c r="AG36" i="21"/>
  <c r="AG135" i="21"/>
  <c r="AG21" i="21"/>
  <c r="AG173" i="21"/>
  <c r="AG62" i="21"/>
  <c r="AG132" i="21"/>
  <c r="AG19" i="21"/>
  <c r="AG61" i="21"/>
  <c r="AG180" i="21"/>
  <c r="AG60" i="21"/>
  <c r="AG55" i="21"/>
  <c r="AG58" i="21"/>
  <c r="AG59" i="21"/>
  <c r="AG73" i="21"/>
  <c r="AG52" i="21"/>
  <c r="AG65" i="21"/>
  <c r="AG44" i="21"/>
  <c r="AG33" i="21"/>
  <c r="AG43" i="21"/>
  <c r="AG81" i="21"/>
  <c r="AG56" i="21"/>
  <c r="AG80" i="21"/>
  <c r="AG47" i="21"/>
  <c r="AG146" i="21"/>
  <c r="AG84" i="21"/>
  <c r="AG67" i="21"/>
  <c r="AG64" i="21"/>
  <c r="AG45" i="21"/>
  <c r="AG82" i="21"/>
  <c r="AG147" i="21"/>
  <c r="AG85" i="21"/>
  <c r="AG76" i="21"/>
  <c r="AG71" i="21"/>
  <c r="AG70" i="21"/>
  <c r="AG184" i="21"/>
  <c r="AG53" i="21"/>
  <c r="AG50" i="21"/>
  <c r="AG79" i="21"/>
  <c r="AG51" i="21"/>
  <c r="AG75" i="21"/>
  <c r="AG86" i="21"/>
  <c r="AG69" i="21"/>
  <c r="AG49" i="21"/>
  <c r="AG87" i="21"/>
  <c r="AG74" i="21"/>
  <c r="AG46" i="21"/>
  <c r="AG131" i="21"/>
  <c r="AG72" i="21"/>
  <c r="AG54" i="21"/>
  <c r="AG154" i="21"/>
  <c r="AG32" i="21"/>
  <c r="AG29" i="21"/>
  <c r="AG151" i="21"/>
  <c r="AG145" i="21"/>
  <c r="AG134" i="21"/>
  <c r="AG130" i="21"/>
  <c r="AG22" i="21"/>
  <c r="AG149" i="21"/>
  <c r="AG143" i="21"/>
  <c r="AG28" i="21"/>
  <c r="AG138" i="21"/>
  <c r="AG162" i="21"/>
  <c r="AG63" i="21"/>
  <c r="AG166" i="21"/>
  <c r="AG168" i="21"/>
  <c r="AG42" i="21"/>
  <c r="AG183" i="21"/>
  <c r="AG88" i="21"/>
  <c r="AG144" i="21"/>
  <c r="AG139" i="21"/>
  <c r="AG136" i="21"/>
  <c r="AG90" i="21"/>
  <c r="AG165" i="21"/>
  <c r="AG174" i="21"/>
  <c r="AG142" i="21"/>
  <c r="AG30" i="21"/>
  <c r="AG176" i="21"/>
  <c r="AG155" i="21"/>
  <c r="AG179" i="21"/>
  <c r="AG37" i="21"/>
  <c r="AG99" i="21"/>
  <c r="AG31" i="21"/>
  <c r="AG133" i="21"/>
  <c r="AG171" i="21"/>
  <c r="AG137" i="21"/>
  <c r="AG167" i="21"/>
  <c r="AG129" i="21"/>
  <c r="Y135" i="21"/>
  <c r="Y178" i="21"/>
  <c r="Y19" i="21"/>
  <c r="Y33" i="21"/>
  <c r="Y84" i="21"/>
  <c r="Y80" i="21"/>
  <c r="Y49" i="21"/>
  <c r="Y46" i="21"/>
  <c r="Y47" i="21"/>
  <c r="Y86" i="21"/>
  <c r="Y87" i="21"/>
  <c r="Y64" i="21"/>
  <c r="Y75" i="21"/>
  <c r="Y53" i="21"/>
  <c r="Y60" i="21"/>
  <c r="Y72" i="21"/>
  <c r="Y55" i="21"/>
  <c r="Y73" i="21"/>
  <c r="Y67" i="21"/>
  <c r="Y43" i="21"/>
  <c r="Y76" i="21"/>
  <c r="Y81" i="21"/>
  <c r="Y79" i="21"/>
  <c r="Y71" i="21"/>
  <c r="Y44" i="21"/>
  <c r="Y69" i="21"/>
  <c r="Y82" i="21"/>
  <c r="Y58" i="21"/>
  <c r="Y131" i="21"/>
  <c r="Y50" i="21"/>
  <c r="Y45" i="21"/>
  <c r="Y147" i="21"/>
  <c r="Y61" i="21"/>
  <c r="Y65" i="21"/>
  <c r="Y51" i="21"/>
  <c r="Y52" i="21"/>
  <c r="Y54" i="21"/>
  <c r="Y59" i="21"/>
  <c r="Y56" i="21"/>
  <c r="Y184" i="21"/>
  <c r="Y85" i="21"/>
  <c r="Y74" i="21"/>
  <c r="Y180" i="21"/>
  <c r="Y70" i="21"/>
  <c r="Y146" i="21"/>
  <c r="Y145" i="21"/>
  <c r="Y154" i="21"/>
  <c r="Y29" i="21"/>
  <c r="Y134" i="21"/>
  <c r="Y32" i="21"/>
  <c r="Y151" i="21"/>
  <c r="Y63" i="21"/>
  <c r="Y30" i="21"/>
  <c r="Y165" i="21"/>
  <c r="Y31" i="21"/>
  <c r="Y142" i="21"/>
  <c r="Y162" i="21"/>
  <c r="Y37" i="21"/>
  <c r="Y136" i="21"/>
  <c r="Y22" i="21"/>
  <c r="Y143" i="21"/>
  <c r="Y149" i="21"/>
  <c r="Y130" i="21"/>
  <c r="Y90" i="21"/>
  <c r="Y42" i="21"/>
  <c r="Y174" i="21"/>
  <c r="Y137" i="21"/>
  <c r="Y144" i="21"/>
  <c r="Y183" i="21"/>
  <c r="Y166" i="21"/>
  <c r="Y179" i="21"/>
  <c r="Y155" i="21"/>
  <c r="Y133" i="21"/>
  <c r="Y99" i="21"/>
  <c r="Y176" i="21"/>
  <c r="Y168" i="21"/>
  <c r="Y88" i="21"/>
  <c r="Y28" i="21"/>
  <c r="Y171" i="21"/>
  <c r="Y139" i="21"/>
  <c r="Y138" i="21"/>
  <c r="Y36" i="21"/>
  <c r="Y164" i="21"/>
  <c r="Y132" i="21"/>
  <c r="Y89" i="21"/>
  <c r="Y150" i="21"/>
  <c r="Y35" i="21"/>
  <c r="Y20" i="21"/>
  <c r="Y21" i="21"/>
  <c r="Y129" i="21"/>
  <c r="Y163" i="21"/>
  <c r="Y62" i="21"/>
  <c r="Y167" i="21"/>
  <c r="Y173" i="21"/>
  <c r="Q21" i="21"/>
  <c r="Q163" i="21"/>
  <c r="Q20" i="21"/>
  <c r="Q150" i="21"/>
  <c r="Q167" i="21"/>
  <c r="Q89" i="21"/>
  <c r="Q62" i="21"/>
  <c r="Q129" i="21"/>
  <c r="Q35" i="21"/>
  <c r="Q164" i="21"/>
  <c r="Q135" i="21"/>
  <c r="Q19" i="21"/>
  <c r="Q52" i="21"/>
  <c r="Q54" i="21"/>
  <c r="Q69" i="21"/>
  <c r="Q64" i="21"/>
  <c r="Q61" i="21"/>
  <c r="Q50" i="21"/>
  <c r="Q59" i="21"/>
  <c r="Q81" i="21"/>
  <c r="Q180" i="21"/>
  <c r="Q147" i="21"/>
  <c r="Q85" i="21"/>
  <c r="Q53" i="21"/>
  <c r="Q71" i="21"/>
  <c r="Q80" i="21"/>
  <c r="Q60" i="21"/>
  <c r="Q70" i="21"/>
  <c r="Q79" i="21"/>
  <c r="Q82" i="21"/>
  <c r="Q73" i="21"/>
  <c r="Q55" i="21"/>
  <c r="Q43" i="21"/>
  <c r="Q33" i="21"/>
  <c r="Q72" i="21"/>
  <c r="Q67" i="21"/>
  <c r="Q84" i="21"/>
  <c r="Q146" i="21"/>
  <c r="Q44" i="21"/>
  <c r="Q86" i="21"/>
  <c r="Q51" i="21"/>
  <c r="Q131" i="21"/>
  <c r="Q76" i="21"/>
  <c r="Q65" i="21"/>
  <c r="Q45" i="21"/>
  <c r="Q46" i="21"/>
  <c r="Q184" i="21"/>
  <c r="Q75" i="21"/>
  <c r="Q74" i="21"/>
  <c r="Q49" i="21"/>
  <c r="Q58" i="21"/>
  <c r="Q47" i="21"/>
  <c r="Q56" i="21"/>
  <c r="Q87" i="21"/>
  <c r="Q145" i="21"/>
  <c r="Q29" i="21"/>
  <c r="Q134" i="21"/>
  <c r="Q32" i="21"/>
  <c r="Q151" i="21"/>
  <c r="Q154" i="21"/>
  <c r="Q88" i="21"/>
  <c r="Q37" i="21"/>
  <c r="Q165" i="21"/>
  <c r="Q149" i="21"/>
  <c r="Q133" i="21"/>
  <c r="Q28" i="21"/>
  <c r="Q171" i="21"/>
  <c r="Q90" i="21"/>
  <c r="Q166" i="21"/>
  <c r="Q139" i="21"/>
  <c r="Q42" i="21"/>
  <c r="Q142" i="21"/>
  <c r="Q30" i="21"/>
  <c r="Q137" i="21"/>
  <c r="Q176" i="21"/>
  <c r="Q99" i="21"/>
  <c r="Q136" i="21"/>
  <c r="Q130" i="21"/>
  <c r="Q168" i="21"/>
  <c r="Q155" i="21"/>
  <c r="Q174" i="21"/>
  <c r="Q63" i="21"/>
  <c r="Q22" i="21"/>
  <c r="Q179" i="21"/>
  <c r="Q143" i="21"/>
  <c r="Q31" i="21"/>
  <c r="Q183" i="21"/>
  <c r="Q138" i="21"/>
  <c r="Q162" i="21"/>
  <c r="Q144" i="21"/>
  <c r="Q178" i="21"/>
  <c r="Q68" i="21"/>
  <c r="Q132" i="21"/>
  <c r="Q36" i="21"/>
  <c r="AI21" i="21"/>
  <c r="AI178" i="21"/>
  <c r="I167" i="21"/>
  <c r="AI135" i="21"/>
  <c r="AI167" i="21"/>
  <c r="I68" i="21"/>
  <c r="I62" i="21"/>
  <c r="I21" i="21"/>
  <c r="AI132" i="21"/>
  <c r="I164" i="21"/>
  <c r="AI163" i="21"/>
  <c r="AI68" i="21"/>
  <c r="AI62" i="21"/>
  <c r="AI36" i="21"/>
  <c r="I36" i="21"/>
  <c r="AI89" i="21"/>
  <c r="I163" i="21"/>
  <c r="AI164" i="21"/>
  <c r="I135" i="21"/>
  <c r="AI19" i="21"/>
  <c r="AI44" i="21"/>
  <c r="AI81" i="21"/>
  <c r="AI60" i="21"/>
  <c r="AI184" i="21"/>
  <c r="AI74" i="21"/>
  <c r="AI64" i="21"/>
  <c r="AI59" i="21"/>
  <c r="AI67" i="21"/>
  <c r="AI45" i="21"/>
  <c r="AI72" i="21"/>
  <c r="AI54" i="21"/>
  <c r="AI75" i="21"/>
  <c r="AI71" i="21"/>
  <c r="AI43" i="21"/>
  <c r="AI147" i="21"/>
  <c r="AI55" i="21"/>
  <c r="AI87" i="21"/>
  <c r="AI85" i="21"/>
  <c r="AI79" i="21"/>
  <c r="AI82" i="21"/>
  <c r="AI73" i="21"/>
  <c r="AI146" i="21"/>
  <c r="AI53" i="21"/>
  <c r="AI52" i="21"/>
  <c r="AI80" i="21"/>
  <c r="AI50" i="21"/>
  <c r="AI76" i="21"/>
  <c r="AI33" i="21"/>
  <c r="AI56" i="21"/>
  <c r="AI58" i="21"/>
  <c r="AI70" i="21"/>
  <c r="AI47" i="21"/>
  <c r="AI61" i="21"/>
  <c r="AI49" i="21"/>
  <c r="AI86" i="21"/>
  <c r="AI46" i="21"/>
  <c r="AI131" i="21"/>
  <c r="AI65" i="21"/>
  <c r="AI180" i="21"/>
  <c r="AI51" i="21"/>
  <c r="AI84" i="21"/>
  <c r="AI69" i="21"/>
  <c r="AI29" i="21"/>
  <c r="AI154" i="21"/>
  <c r="AI134" i="21"/>
  <c r="AI145" i="21"/>
  <c r="AI151" i="21"/>
  <c r="AI32" i="21"/>
  <c r="AI99" i="21"/>
  <c r="AI22" i="21"/>
  <c r="AI142" i="21"/>
  <c r="AI179" i="21"/>
  <c r="AI162" i="21"/>
  <c r="AI63" i="21"/>
  <c r="AI176" i="21"/>
  <c r="AI42" i="21"/>
  <c r="AI31" i="21"/>
  <c r="AI136" i="21"/>
  <c r="AI171" i="21"/>
  <c r="AI28" i="21"/>
  <c r="AI165" i="21"/>
  <c r="AI168" i="21"/>
  <c r="AI149" i="21"/>
  <c r="AI137" i="21"/>
  <c r="AI90" i="21"/>
  <c r="AI174" i="21"/>
  <c r="AI183" i="21"/>
  <c r="AI143" i="21"/>
  <c r="AI130" i="21"/>
  <c r="AI166" i="21"/>
  <c r="AI88" i="21"/>
  <c r="AI133" i="21"/>
  <c r="AI139" i="21"/>
  <c r="AI144" i="21"/>
  <c r="AI138" i="21"/>
  <c r="AI37" i="21"/>
  <c r="AI173" i="21"/>
  <c r="I132" i="21"/>
  <c r="I19" i="21"/>
  <c r="I43" i="21"/>
  <c r="I73" i="21"/>
  <c r="I65" i="21"/>
  <c r="I46" i="21"/>
  <c r="I58" i="21"/>
  <c r="I85" i="21"/>
  <c r="I67" i="21"/>
  <c r="I45" i="21"/>
  <c r="I69" i="21"/>
  <c r="I50" i="21"/>
  <c r="I131" i="21"/>
  <c r="I64" i="21"/>
  <c r="I33" i="21"/>
  <c r="I61" i="21"/>
  <c r="I54" i="21"/>
  <c r="I72" i="21"/>
  <c r="I82" i="21"/>
  <c r="I147" i="21"/>
  <c r="I79" i="21"/>
  <c r="I52" i="21"/>
  <c r="I56" i="21"/>
  <c r="I180" i="21"/>
  <c r="I47" i="21"/>
  <c r="I184" i="21"/>
  <c r="I80" i="21"/>
  <c r="I76" i="21"/>
  <c r="I75" i="21"/>
  <c r="I87" i="21"/>
  <c r="I86" i="21"/>
  <c r="I55" i="21"/>
  <c r="I59" i="21"/>
  <c r="I146" i="21"/>
  <c r="I60" i="21"/>
  <c r="I53" i="21"/>
  <c r="I81" i="21"/>
  <c r="I51" i="21"/>
  <c r="I74" i="21"/>
  <c r="I70" i="21"/>
  <c r="I44" i="21"/>
  <c r="I71" i="21"/>
  <c r="I84" i="21"/>
  <c r="I49" i="21"/>
  <c r="I154" i="21"/>
  <c r="I151" i="21"/>
  <c r="I32" i="21"/>
  <c r="I134" i="21"/>
  <c r="I145" i="21"/>
  <c r="I29" i="21"/>
  <c r="I90" i="21"/>
  <c r="I99" i="21"/>
  <c r="I174" i="21"/>
  <c r="I171" i="21"/>
  <c r="I31" i="21"/>
  <c r="I133" i="21"/>
  <c r="I143" i="21"/>
  <c r="I137" i="21"/>
  <c r="I37" i="21"/>
  <c r="I168" i="21"/>
  <c r="I63" i="21"/>
  <c r="I28" i="21"/>
  <c r="I166" i="21"/>
  <c r="I88" i="21"/>
  <c r="I183" i="21"/>
  <c r="I138" i="21"/>
  <c r="I30" i="21"/>
  <c r="I42" i="21"/>
  <c r="I139" i="21"/>
  <c r="I176" i="21"/>
  <c r="I162" i="21"/>
  <c r="I144" i="21"/>
  <c r="I22" i="21"/>
  <c r="I142" i="21"/>
  <c r="I149" i="21"/>
  <c r="I136" i="21"/>
  <c r="I130" i="21"/>
  <c r="I179" i="21"/>
  <c r="I165" i="21"/>
  <c r="I20" i="21"/>
  <c r="AI20" i="21"/>
  <c r="I173" i="21"/>
  <c r="I89" i="21"/>
  <c r="AI30" i="21"/>
  <c r="AH34" i="21"/>
  <c r="AI34" i="21" s="1"/>
  <c r="P34" i="21"/>
  <c r="Q34" i="21" s="1"/>
  <c r="X34" i="21"/>
  <c r="Y34" i="21" s="1"/>
  <c r="AF34" i="21"/>
  <c r="AG34" i="21" s="1"/>
  <c r="H34" i="21"/>
  <c r="I34" i="21" s="1"/>
  <c r="AF148" i="21" l="1"/>
  <c r="AG148" i="21" s="1"/>
  <c r="X148" i="21"/>
  <c r="Y148" i="21" s="1"/>
  <c r="P148" i="21"/>
  <c r="Q148" i="21" s="1"/>
  <c r="P172" i="21" l="1"/>
  <c r="Q172" i="21" s="1"/>
  <c r="AF172" i="21"/>
  <c r="AG172" i="21" s="1"/>
  <c r="X172" i="21"/>
  <c r="Y172" i="21" s="1"/>
  <c r="AF177" i="21" l="1"/>
  <c r="AG177" i="21" s="1"/>
  <c r="X177" i="21"/>
  <c r="Y177" i="21" s="1"/>
  <c r="P177" i="21"/>
  <c r="Q177" i="21" s="1"/>
  <c r="P185" i="21" l="1"/>
  <c r="Q185" i="21" s="1"/>
  <c r="AF185" i="21"/>
  <c r="AG185" i="21" s="1"/>
  <c r="X185" i="21"/>
  <c r="Y185" i="21" s="1"/>
  <c r="AH129" i="21"/>
  <c r="H129" i="21"/>
  <c r="I129" i="21" s="1"/>
  <c r="H35" i="21"/>
  <c r="I35" i="21" s="1"/>
  <c r="AI129" i="21" l="1"/>
  <c r="Z36" i="25"/>
  <c r="AH35" i="21"/>
  <c r="AI35" i="21" l="1"/>
  <c r="Z37" i="25"/>
  <c r="AB34" i="25" s="1"/>
  <c r="AH148" i="21"/>
  <c r="AI148" i="21" s="1"/>
  <c r="H148" i="21"/>
  <c r="I148" i="21" s="1"/>
  <c r="AB28" i="25" l="1"/>
  <c r="AA28" i="25"/>
  <c r="AB31" i="25"/>
  <c r="AB30" i="25"/>
  <c r="AB29" i="25"/>
  <c r="AB33" i="25"/>
  <c r="AB36" i="25"/>
  <c r="AB32" i="25"/>
  <c r="AB35" i="25"/>
  <c r="H172" i="21"/>
  <c r="I172" i="21" s="1"/>
  <c r="AH172" i="21"/>
  <c r="AI172" i="21" s="1"/>
  <c r="AH177" i="21" l="1"/>
  <c r="AI177" i="21" s="1"/>
  <c r="H177" i="21"/>
  <c r="I177" i="21" s="1"/>
  <c r="AH185" i="21" l="1"/>
  <c r="AI185" i="21" s="1"/>
  <c r="H185" i="21"/>
  <c r="I185" i="21" s="1"/>
  <c r="AA29" i="25" l="1"/>
  <c r="AA30" i="25" l="1"/>
  <c r="AA31" i="25" s="1"/>
  <c r="AA32" i="25" s="1"/>
  <c r="AA33" i="25" s="1"/>
  <c r="AA34" i="25" s="1"/>
  <c r="AA35" i="25" s="1"/>
  <c r="AA36" i="25" s="1"/>
</calcChain>
</file>

<file path=xl/sharedStrings.xml><?xml version="1.0" encoding="utf-8"?>
<sst xmlns="http://schemas.openxmlformats.org/spreadsheetml/2006/main" count="16032" uniqueCount="3677">
  <si>
    <t>Despesas Administrativas</t>
  </si>
  <si>
    <t>Transferência Recebida</t>
  </si>
  <si>
    <t>Transferência Emitida</t>
  </si>
  <si>
    <t>Mês</t>
  </si>
  <si>
    <t>Devolução / Estorno de Pagamento</t>
  </si>
  <si>
    <t>Juros Recebidos</t>
  </si>
  <si>
    <t>Ajustes</t>
  </si>
  <si>
    <t>IPTU</t>
  </si>
  <si>
    <t>Crédito</t>
  </si>
  <si>
    <t>Débito</t>
  </si>
  <si>
    <t>Saldo</t>
  </si>
  <si>
    <t>Entrada por Empréstimos</t>
  </si>
  <si>
    <t>Serviços de Terceiros</t>
  </si>
  <si>
    <t>Saldo Anterior</t>
  </si>
  <si>
    <t>ISS</t>
  </si>
  <si>
    <t>PIS</t>
  </si>
  <si>
    <t>COFINS</t>
  </si>
  <si>
    <t>Impostos sobre vendas</t>
  </si>
  <si>
    <t>Despesas Financeiras</t>
  </si>
  <si>
    <t>Classificação da empresa</t>
  </si>
  <si>
    <t>Aquisição de Bens de Pequeno Valor</t>
  </si>
  <si>
    <t>CSLL</t>
  </si>
  <si>
    <t>IRPJ</t>
  </si>
  <si>
    <t>Aquisição de Maquinas e Equipamentos</t>
  </si>
  <si>
    <t>Despesas com pessoal</t>
  </si>
  <si>
    <t>IRPJ/CSLL</t>
  </si>
  <si>
    <t>Fornecedores</t>
  </si>
  <si>
    <t xml:space="preserve">Investimentos </t>
  </si>
  <si>
    <t>Data</t>
  </si>
  <si>
    <t>Despesas com Pessoal</t>
  </si>
  <si>
    <t>Impostos sobre Vendas</t>
  </si>
  <si>
    <t xml:space="preserve">Compras de Bens movéis </t>
  </si>
  <si>
    <t>Despesas Não Operacionais</t>
  </si>
  <si>
    <t>Recebimentos Não Operacionais</t>
  </si>
  <si>
    <t>Pró-Labore</t>
  </si>
  <si>
    <t>(-)Depreciação Imobilizado</t>
  </si>
  <si>
    <t>(=)RESULTADO ANTES DO IR</t>
  </si>
  <si>
    <t>(-)IRPJ/CSLL</t>
  </si>
  <si>
    <t>(-)Investimentos</t>
  </si>
  <si>
    <t>(=)RESULTADO LÍQUIDO</t>
  </si>
  <si>
    <t>(=)RESULTADO GERENCIAL</t>
  </si>
  <si>
    <t>(+)Receita Bruta</t>
  </si>
  <si>
    <t>Rubrica</t>
  </si>
  <si>
    <t>Natureza</t>
  </si>
  <si>
    <t>C. Mês</t>
  </si>
  <si>
    <t>Empresa</t>
  </si>
  <si>
    <t>Antecipação de Recebíveis</t>
  </si>
  <si>
    <t>Aporte de Capital</t>
  </si>
  <si>
    <t>Convênio</t>
  </si>
  <si>
    <t>Devolução / Estorno de Recebimento</t>
  </si>
  <si>
    <t>Empréstimo Sócio x Empresa</t>
  </si>
  <si>
    <t>Farmacia Popular</t>
  </si>
  <si>
    <t>ICMS</t>
  </si>
  <si>
    <t>Integralização de Cotas</t>
  </si>
  <si>
    <t>Investimentos em Imobilizado</t>
  </si>
  <si>
    <t>Outros Recebimentos Não Operacionais</t>
  </si>
  <si>
    <t>Pagamento de Antecipação</t>
  </si>
  <si>
    <t>Pagamento de Empréstimos</t>
  </si>
  <si>
    <t>Pagamento Empréstimo Sócio x Empresa</t>
  </si>
  <si>
    <t>Parcelamentos de Impostos</t>
  </si>
  <si>
    <t>Venda de Produtos</t>
  </si>
  <si>
    <t>Serviços Terceirizados</t>
  </si>
  <si>
    <t>Simples Nacional</t>
  </si>
  <si>
    <t>Conta Pai</t>
  </si>
  <si>
    <t>Conta Filho</t>
  </si>
  <si>
    <t>CSLL DARF</t>
  </si>
  <si>
    <t>Gastos Administrativos</t>
  </si>
  <si>
    <t>(+/-)Despesas e Receitas Financeiras</t>
  </si>
  <si>
    <t>(+/-)Despesas e Recebimentos Não Operacionais</t>
  </si>
  <si>
    <t>(-)Custos Variavéis</t>
  </si>
  <si>
    <t>(-)Gastos Fixos</t>
  </si>
  <si>
    <t>(=)RESULTADO OPERACIONAL</t>
  </si>
  <si>
    <t>Despesas com Infraestrutura</t>
  </si>
  <si>
    <t>Dinheiro</t>
  </si>
  <si>
    <t>Descontos sobre vendas</t>
  </si>
  <si>
    <t>Faturamento</t>
  </si>
  <si>
    <t>Total Geral</t>
  </si>
  <si>
    <t>Rótulos de Linha</t>
  </si>
  <si>
    <t>Valor</t>
  </si>
  <si>
    <t xml:space="preserve"> Valor</t>
  </si>
  <si>
    <t>(Tudo)</t>
  </si>
  <si>
    <t>Rótulos de Coluna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</si>
  <si>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</si>
  <si>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</si>
  <si>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</si>
  <si>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</si>
  <si>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</si>
  <si>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</si>
  <si>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</si>
  <si>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</si>
  <si>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</si>
  <si>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</si>
  <si>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</si>
  <si>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</si>
  <si>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%Jan</t>
  </si>
  <si>
    <t>%Fev</t>
  </si>
  <si>
    <t>%Mar</t>
  </si>
  <si>
    <t>%Abr</t>
  </si>
  <si>
    <t>%Mai</t>
  </si>
  <si>
    <t>1ºTRI</t>
  </si>
  <si>
    <t>%1ºTRI</t>
  </si>
  <si>
    <t>%Jun</t>
  </si>
  <si>
    <t>%Jul</t>
  </si>
  <si>
    <t>2ºTRI</t>
  </si>
  <si>
    <t>%2ºTRI</t>
  </si>
  <si>
    <t>%Ago</t>
  </si>
  <si>
    <t>%Set</t>
  </si>
  <si>
    <t>3ºTRI</t>
  </si>
  <si>
    <t>%3ºTRI</t>
  </si>
  <si>
    <t>%Out</t>
  </si>
  <si>
    <t>%Nov</t>
  </si>
  <si>
    <t>%Dez</t>
  </si>
  <si>
    <t>4ºTRI</t>
  </si>
  <si>
    <t>%4ºTRI</t>
  </si>
  <si>
    <t>ANO</t>
  </si>
  <si>
    <t>%ANO</t>
  </si>
  <si>
    <t>DEMONSTRATIVO DE RESULTADO GERENCIAL</t>
  </si>
  <si>
    <t>(-)Deduções sobre vendas</t>
  </si>
  <si>
    <t>(=)Receita Líquida</t>
  </si>
  <si>
    <t>Gastos Comerciais</t>
  </si>
  <si>
    <t>(=)Margem de Contribuição</t>
  </si>
  <si>
    <t>Roubo</t>
  </si>
  <si>
    <t>Vendas de Produtos</t>
  </si>
  <si>
    <t>Pagamento Cartão de Crédito</t>
  </si>
  <si>
    <t>Devolução Empréstimo Acionista</t>
  </si>
  <si>
    <t>Empréstimo de Sócios para Empresa</t>
  </si>
  <si>
    <t>Reserva para pagamento do Simples</t>
  </si>
  <si>
    <t>Devolução de Pagamento Recebido</t>
  </si>
  <si>
    <t>Devolução Pagamento</t>
  </si>
  <si>
    <t>Resgate de Aplicações</t>
  </si>
  <si>
    <t>Aplicações</t>
  </si>
  <si>
    <t>Compra de Ativos</t>
  </si>
  <si>
    <t>Histórico</t>
  </si>
  <si>
    <t>Banco</t>
  </si>
  <si>
    <t>Cod</t>
  </si>
  <si>
    <t>YFLUXO</t>
  </si>
  <si>
    <t>Ano</t>
  </si>
  <si>
    <t>(=)RECEITA LÍQUIDA DE VENDAS</t>
  </si>
  <si>
    <t>(=)MARGEM DE CONTRIBUIÇÃO</t>
  </si>
  <si>
    <t>(=)EBITDA</t>
  </si>
  <si>
    <t>MARGEM DE CONTRIBUIÇÃO (% RL)</t>
  </si>
  <si>
    <t>EBITDA (% RL)</t>
  </si>
  <si>
    <t>CUSTOS VARIÁVEIS (R$)</t>
  </si>
  <si>
    <t>GASTOS FIXOS (R$)</t>
  </si>
  <si>
    <t>OUTROS PAGAMENTOS NÃO OPERACIONAIS</t>
  </si>
  <si>
    <t>DESPESAS NÃO OPERACIONAIS</t>
  </si>
  <si>
    <t>CUSTOS VARIÁVEIS (% RL)</t>
  </si>
  <si>
    <t>GASTOS FIXOS (% RL)</t>
  </si>
  <si>
    <t>Gastos Fixos</t>
  </si>
  <si>
    <t>PARETO</t>
  </si>
  <si>
    <t>80-20</t>
  </si>
  <si>
    <t>%Representatividade</t>
  </si>
  <si>
    <t>Saldo Final CEF</t>
  </si>
  <si>
    <t>Saldo Final BB</t>
  </si>
  <si>
    <t>Saldo Final Dinheiro</t>
  </si>
  <si>
    <t>cofins</t>
  </si>
  <si>
    <t>pis</t>
  </si>
  <si>
    <t>SALDO DIA</t>
  </si>
  <si>
    <t>(=)Receita Bruta</t>
  </si>
  <si>
    <t>(-) Despesas Não Operacionais</t>
  </si>
  <si>
    <t>(+) Recebimentos Não Operacionais</t>
  </si>
  <si>
    <t>(-) Despesas Financeiras</t>
  </si>
  <si>
    <t>(+) Receitas Financeiras</t>
  </si>
  <si>
    <t>Empréstimo Sócios x Empresa</t>
  </si>
  <si>
    <t>Ano Fluxo</t>
  </si>
  <si>
    <t>C.M</t>
  </si>
  <si>
    <t>Saldo inicial Dinheiro</t>
  </si>
  <si>
    <t>Saldo inicial CEF</t>
  </si>
  <si>
    <t>Saldo inicial BB</t>
  </si>
  <si>
    <t>segurança do trabalho</t>
  </si>
  <si>
    <t>Seguros Financeiros</t>
  </si>
  <si>
    <t>Seguros Gerais</t>
  </si>
  <si>
    <t xml:space="preserve">Parcelamento de Impostos Exercicio Anterior </t>
  </si>
  <si>
    <t>Aluguel de Maquinetas</t>
  </si>
  <si>
    <t>Serviços de Informática</t>
  </si>
  <si>
    <t>Consórcio</t>
  </si>
  <si>
    <t>Empréstimos de Terceiros</t>
  </si>
  <si>
    <t>(vazio)</t>
  </si>
  <si>
    <t>IRPJ Adicional</t>
  </si>
  <si>
    <t>Despesas com Veículos e Equipamentos</t>
  </si>
  <si>
    <t>SALARIO</t>
  </si>
  <si>
    <t>13° SALARIO</t>
  </si>
  <si>
    <t xml:space="preserve">FERIAS </t>
  </si>
  <si>
    <t>MULTA RESCISORIAS FGTS</t>
  </si>
  <si>
    <t>REFEIÇÕES COLABORADORES</t>
  </si>
  <si>
    <t>ALIMENTAÇÃO ADM</t>
  </si>
  <si>
    <t xml:space="preserve">ACERTO RESCISORIOS </t>
  </si>
  <si>
    <t xml:space="preserve">TRANSPORTE DE COLABORADORES </t>
  </si>
  <si>
    <t xml:space="preserve">SINDICATO </t>
  </si>
  <si>
    <t>PASSAGENS COLABORADORES</t>
  </si>
  <si>
    <t xml:space="preserve">PLANO DE SAUDE </t>
  </si>
  <si>
    <t xml:space="preserve">ASSISTENCIA MEDICA ADM </t>
  </si>
  <si>
    <t xml:space="preserve">SEGUROS DE VIDA </t>
  </si>
  <si>
    <t>VALE ALIMENTAÇÃO</t>
  </si>
  <si>
    <t xml:space="preserve">FGTS FUNCIONARIOS </t>
  </si>
  <si>
    <t xml:space="preserve">DCTFWEB </t>
  </si>
  <si>
    <t>PLR</t>
  </si>
  <si>
    <t>BONIFICAÇOES</t>
  </si>
  <si>
    <t xml:space="preserve">COMISSÃO </t>
  </si>
  <si>
    <t>EPIS</t>
  </si>
  <si>
    <t>UNIFORMES</t>
  </si>
  <si>
    <t>EXAMES MÉDICOS</t>
  </si>
  <si>
    <t xml:space="preserve">CURSOS / TREINAMENTOS </t>
  </si>
  <si>
    <t xml:space="preserve">PROGRAMA DE SEGURANÇA DO TRABALHO </t>
  </si>
  <si>
    <t xml:space="preserve">ALUGUEL ALOJAMENTO </t>
  </si>
  <si>
    <t>AGUA ALOJAMENTO</t>
  </si>
  <si>
    <t>ENERGIA ALOJAMENTO</t>
  </si>
  <si>
    <t xml:space="preserve">MOVEIS OBRAS </t>
  </si>
  <si>
    <t>SERVIÇO LIMPEZA ALOJAMENTO/ESCRITORIO</t>
  </si>
  <si>
    <t>ALUGUEIS ADM</t>
  </si>
  <si>
    <t>AGUA ADM</t>
  </si>
  <si>
    <t>ENERGIA ADM</t>
  </si>
  <si>
    <t xml:space="preserve">INTERNET / TELEFONE ADM </t>
  </si>
  <si>
    <t xml:space="preserve">INTERNET OBRAS </t>
  </si>
  <si>
    <t xml:space="preserve">SERVIÇO MECANICO </t>
  </si>
  <si>
    <t xml:space="preserve">SERVIÇO ELETRICO </t>
  </si>
  <si>
    <t xml:space="preserve">SERVIÇO SERRALHEIRO </t>
  </si>
  <si>
    <t>SERVIÇO LAUDO TECNICO</t>
  </si>
  <si>
    <t>IPVA</t>
  </si>
  <si>
    <t xml:space="preserve">MULTAS DE TRANSITO </t>
  </si>
  <si>
    <t>MANUTENÇÃO/PEÇAS  VEICULOS</t>
  </si>
  <si>
    <t>COMBUSTIVEL VEICULOS</t>
  </si>
  <si>
    <t xml:space="preserve">SEGUROS DE VEICULOS </t>
  </si>
  <si>
    <t xml:space="preserve">PEDAGIOS </t>
  </si>
  <si>
    <t>DESPACHANTE</t>
  </si>
  <si>
    <t>CUSTOS E GUIAS DE TRANSFERENCIA VEICULOS</t>
  </si>
  <si>
    <t xml:space="preserve">GUINCHO </t>
  </si>
  <si>
    <t>SERVIÇO LAVA JATO</t>
  </si>
  <si>
    <t>Despesas com Locações</t>
  </si>
  <si>
    <t>LOCAÇÃO MUNCK / GUINDASTES</t>
  </si>
  <si>
    <t>LOCAÇÃO COMPRESSORES</t>
  </si>
  <si>
    <t>LOCAÇÃO GERADOR</t>
  </si>
  <si>
    <t xml:space="preserve">LOCAÇÃO EQUIPAMENTOS </t>
  </si>
  <si>
    <t>LOCAÇÃO EMPILHADEIRA</t>
  </si>
  <si>
    <t xml:space="preserve">LOCAÇÃO CONTAINER </t>
  </si>
  <si>
    <t>LOCAÇÃO ANDAIMES</t>
  </si>
  <si>
    <t xml:space="preserve">LOCAÇAO VEICULOS </t>
  </si>
  <si>
    <t xml:space="preserve">LOCAÇAO CAÇAMBA P/ RESIDUOS </t>
  </si>
  <si>
    <t>LOCAÇAO RADIOS DE COMUNICAÇÃO</t>
  </si>
  <si>
    <t xml:space="preserve">LOCAÇAO BANHEIRO QUIMICO </t>
  </si>
  <si>
    <t>LOCAÇAO PLATAFORMA ELEVATORIA</t>
  </si>
  <si>
    <t xml:space="preserve">LOCAÇÃO AMBULANCIA / PRIMEIROS SOCORROS </t>
  </si>
  <si>
    <t>Despesas com Máquinas e Equipamentos</t>
  </si>
  <si>
    <t xml:space="preserve">MAQUINAS / FERRAMENTAS COMBUSTÃO </t>
  </si>
  <si>
    <t>MAQUINAS / FERRAMENTAS ELETRICAS</t>
  </si>
  <si>
    <t>MAQUINAS / FERRAMENTAS PNEUMATICAS</t>
  </si>
  <si>
    <t xml:space="preserve">MAQUINAS / EQUIPAMENTOS </t>
  </si>
  <si>
    <t xml:space="preserve">MATERIAIS / FERRAMENTAS  MANUAIS </t>
  </si>
  <si>
    <t>MANGUEIRAS / CONEXÕES</t>
  </si>
  <si>
    <t xml:space="preserve">MATERIAL ELETRICO </t>
  </si>
  <si>
    <t xml:space="preserve">MATERIAIS DE CONSUMO EM OBRAS </t>
  </si>
  <si>
    <t xml:space="preserve">MATERIAIS PINCEL / ROLOS / LIXAS </t>
  </si>
  <si>
    <t xml:space="preserve">MATERIAS DE ESCRITORIO / PAPELARIA </t>
  </si>
  <si>
    <t xml:space="preserve">MATERIAIS DE LIMPEZA / HIGIENE </t>
  </si>
  <si>
    <t>EQUIPAMENTOS DE AFERIÇÃO</t>
  </si>
  <si>
    <t>COMBUSTIVEL EQUIPAMENTOS</t>
  </si>
  <si>
    <t>MANUTENÇÃO/PEÇAS MAQUINAS E EQUIPAMENTOS</t>
  </si>
  <si>
    <t>FRETE MATERIAIS E EQUIPAMENTOS</t>
  </si>
  <si>
    <t xml:space="preserve">FRETE ABRASIVOS </t>
  </si>
  <si>
    <t>FRETE TINTAS E SOLVENTE</t>
  </si>
  <si>
    <t>FRETE TRANSPORTADORA</t>
  </si>
  <si>
    <t>TINTAS E SOLVENTES</t>
  </si>
  <si>
    <t>ABRASIVOS</t>
  </si>
  <si>
    <t>OUTROS MATERIAIS DE APLICAÇÃO</t>
  </si>
  <si>
    <t>TARIFAS BANCARIAS</t>
  </si>
  <si>
    <t>Despesas com Viagens e Hospedagens</t>
  </si>
  <si>
    <t xml:space="preserve">HOTEL COLABORADORES </t>
  </si>
  <si>
    <t>LAVANDERIA</t>
  </si>
  <si>
    <t xml:space="preserve">SISTEMA / SERVIDOR </t>
  </si>
  <si>
    <t xml:space="preserve">SERVIÇOS DE CONSULTORIA </t>
  </si>
  <si>
    <t>HONORÁRIOS ADVOCATÍCIOS</t>
  </si>
  <si>
    <t>HONORÁRIOS CONTÁBEIS</t>
  </si>
  <si>
    <t xml:space="preserve">DESPESA CARTAO DE CREDITO </t>
  </si>
  <si>
    <t>MATERIAIS DE INFORMATICA / COMPUTADOR</t>
  </si>
  <si>
    <t>SERVIÇO SERASA</t>
  </si>
  <si>
    <t>SERVIÇO GOOGLE ADS</t>
  </si>
  <si>
    <t xml:space="preserve">SERVIÇO MOTOBOY / UBER </t>
  </si>
  <si>
    <t xml:space="preserve">SERVIÇO GRAFICA / IMPRESSAO </t>
  </si>
  <si>
    <t>SERVIÇO ART</t>
  </si>
  <si>
    <t>SERVIÇO ABRACO ANUIDADE</t>
  </si>
  <si>
    <t>SERVIÇO CARTORIO</t>
  </si>
  <si>
    <t>SERVIÇO TELEMETRIA / FADIGA</t>
  </si>
  <si>
    <t>SERVIÇO CREA ANUIDADE</t>
  </si>
  <si>
    <t xml:space="preserve">SERVIÇO PLOTAGEM / ADESIVO / PLACAS / CRACHAS </t>
  </si>
  <si>
    <t xml:space="preserve">SERVIÇO E-MAILS </t>
  </si>
  <si>
    <t>SERVIÇO ALVARAS E LICENCIAMENTO</t>
  </si>
  <si>
    <t>SERVIÇO BRINDES E ACESSORIOS</t>
  </si>
  <si>
    <t>Centro de Custo - Obra</t>
  </si>
  <si>
    <t>6470 - AIDEAL SOLUÇÕES ANTICORROSIVAS LTDA</t>
  </si>
  <si>
    <t>1.2.3 - Origens Financeiras</t>
  </si>
  <si>
    <t>ADMINISTRATIVO</t>
  </si>
  <si>
    <t>6572 - CMOC BRASIL MINERAÇAO INDUSTRIAL E PARTICIPAÇOES</t>
  </si>
  <si>
    <t>1.1.1 - Recebimento de Clientes</t>
  </si>
  <si>
    <t>CMOC CONTRATO VIEGENCIA</t>
  </si>
  <si>
    <t>6574 - VLI MULTIMODAL S.A</t>
  </si>
  <si>
    <t>VLI PINTURA</t>
  </si>
  <si>
    <t>6645 - AIDEAL SOLUÇÕES ANTICORROSIVAS LTDA</t>
  </si>
  <si>
    <t>6672 - AIDEAL SOLUÇÕES ANTICORROSIVAS LTDA</t>
  </si>
  <si>
    <t>6673 - AIDEAL SOLUÇÕES ANTICORROSIVAS LTDA</t>
  </si>
  <si>
    <t>6702 - AIDEAL SOLUÇÕES ANTICORROSIVAS LTDA</t>
  </si>
  <si>
    <t>6741 - MOSAIC FERTILIZANTES DO BRASIL LTDA UBERABA ROTINA</t>
  </si>
  <si>
    <t>MOSAIC UBERABA CONTRAT0 3 ANOS</t>
  </si>
  <si>
    <t>6776 - AIDEAL SOLUÇÕES ANTICORROSIVAS LTDA</t>
  </si>
  <si>
    <t>6793 - CMOC BRASIL MINERAÇAO INDUSTRIAL E PARTICIPAÇOES</t>
  </si>
  <si>
    <t>6802 - AIDEAL SOLUÇÕES ANTICORROSIVAS LTDA</t>
  </si>
  <si>
    <t>6852 - AIDEAL SOLUÇÕES ANTICORROSIVAS LTDA</t>
  </si>
  <si>
    <t>6872 - AIDEAL SOLUÇÕES ANTICORROSIVAS LTDA</t>
  </si>
  <si>
    <t>6860 - CMOC BRASIL MINERAÇAO INDUSTRIAL E PARTICIPAÇOES</t>
  </si>
  <si>
    <t>6873 - AIDEAL SOLUÇÕES ANTICORROSIVAS LTDA</t>
  </si>
  <si>
    <t>6871 - CMOC BRASIL MINERAÇAO INDUSTRIAL E PARTICIPAÇOES</t>
  </si>
  <si>
    <t>6891 - MOSAIC FERTILIZANTES DO BRASIL LTDA UBERABA ROTINA</t>
  </si>
  <si>
    <t>6908 - AIDEAL SOLUÇÕES ANTICORROSIVAS LTDA</t>
  </si>
  <si>
    <t>6968 - DELTA 3 IV ENERGIA SA</t>
  </si>
  <si>
    <t>SERENA 21 TORRES 2024</t>
  </si>
  <si>
    <t>6934 - AIDEAL SOLUÇÕES ANTICORROSIVAS LTDA</t>
  </si>
  <si>
    <t>6935 - CMOC BRASIL MINERAÇAO INDUSTRIAL E PARTICIPAÇOES</t>
  </si>
  <si>
    <t>6936 - SALITRE FERTILIZANTES LTDA</t>
  </si>
  <si>
    <t>EUROCHEM SERRA DO SALITRE</t>
  </si>
  <si>
    <t>6937 - SALITRE FERTILIZANTES LTDA</t>
  </si>
  <si>
    <t>6942 - SALITRE FERTILIZANTES LTDA</t>
  </si>
  <si>
    <t>6943 - DELTA 3 IV ENERGIA SA</t>
  </si>
  <si>
    <t>6949 - DELTA 3 IV ENERGIA SA</t>
  </si>
  <si>
    <t>6958 - AIDEAL SOLUÇÕES ANTICORROSIVAS LTDA</t>
  </si>
  <si>
    <t>6939 - SALITRE FERTILIZANTES LTDA</t>
  </si>
  <si>
    <t>6983 - AIDEAL SOLUÇÕES ANTICORROSIVAS LTDA</t>
  </si>
  <si>
    <t>6996 - AIDEAL SOLUÇÕES ANTICORROSIVAS LTDA</t>
  </si>
  <si>
    <t>7010 - ANGLO AMERICAN NIQUEL BRASIL LTDA</t>
  </si>
  <si>
    <t>ANGLO AMERICAN</t>
  </si>
  <si>
    <t>7035 - AIDEAL SOLUÇÕES ANTICORROSIVAS LTDA</t>
  </si>
  <si>
    <t>7054 - AIDEAL SOLUÇÕES ANTICORROSIVAS LTDA</t>
  </si>
  <si>
    <t>7203 - AIDEAL SOLUÇÕES ANTICORROSIVAS LTDA</t>
  </si>
  <si>
    <t>7223 - AIDEAL SOLUÇÕES ANTICORROSIVAS LTDA</t>
  </si>
  <si>
    <t>7245 - AIDEAL SOLUÇÕES ANTICORROSIVAS LTDA</t>
  </si>
  <si>
    <t>7305 - AIDEAL SOLUÇÕES ANTICORROSIVAS LTDA</t>
  </si>
  <si>
    <t>3862 - GUERRA CONSULTORES ASSOCIADOS LTDA</t>
  </si>
  <si>
    <t xml:space="preserve">9.1 - HONORARIOS ADVOCATICIOS </t>
  </si>
  <si>
    <t>5880 - ALUGUEIS OBRAS</t>
  </si>
  <si>
    <t xml:space="preserve">5.3 - ALUGUEL ALOJAMENTO </t>
  </si>
  <si>
    <t>5881 - ALUGUEIS OBRAS</t>
  </si>
  <si>
    <t>5882 - ALUGUEIS OBRAS</t>
  </si>
  <si>
    <t>5883 - ALUGUEIS OBRAS</t>
  </si>
  <si>
    <t>6169 - ADCONT LTDA</t>
  </si>
  <si>
    <t>11.10 - CONTABILIDADE</t>
  </si>
  <si>
    <t>6651 - HAPVIDA ASSISTENCIA MEDICA S.A.</t>
  </si>
  <si>
    <t xml:space="preserve">12.10 - PLANO DE SAUDE </t>
  </si>
  <si>
    <t>5967 - BONIFICAÇOES</t>
  </si>
  <si>
    <t>16.4 - CASA DE CALDAS GILVAN / GENILDO</t>
  </si>
  <si>
    <t xml:space="preserve">RETIRADA </t>
  </si>
  <si>
    <t>6216 - CONCIERGE BLINDADO SERVICOS AUTOMOTIVOS LTDA</t>
  </si>
  <si>
    <t>3.14 - SERVIÇO TELEMETRIA / FADIGA</t>
  </si>
  <si>
    <t xml:space="preserve">VEICULOS </t>
  </si>
  <si>
    <t>6452 - RESTAURANTES OBRAS</t>
  </si>
  <si>
    <t>12.5 - REFEIÇÕES COLABORADORES</t>
  </si>
  <si>
    <t>ETERNIT S_A GOIÂNIA PCOM 1008-24 - JATEAMENTO E PINTURA DE TELHAS INTERCALAR</t>
  </si>
  <si>
    <t>6453 - ALUGUEIS OBRAS</t>
  </si>
  <si>
    <t>6463 - TRANSPORTADORA OBRAS</t>
  </si>
  <si>
    <t>10.4 - FRETE TRANSPORTADORA</t>
  </si>
  <si>
    <t>6464 - DESPESAS DE VIAGEM</t>
  </si>
  <si>
    <t>12.9 - PASSAGENS COLABORADORES</t>
  </si>
  <si>
    <t>6466 - BANCO CAIXA</t>
  </si>
  <si>
    <t xml:space="preserve">18.1 - JUROS BANCARIOS </t>
  </si>
  <si>
    <t>6467 - BANCO MERCANTIL</t>
  </si>
  <si>
    <t>18.2 - TARIFAS BANCARIAS</t>
  </si>
  <si>
    <t>6468 - BANCO MERCANTIL</t>
  </si>
  <si>
    <t>6469 - BANCO CAIXA</t>
  </si>
  <si>
    <t>6476 - SINDICATO DO TRABALHADORES NAS INDUSTRIAIS DA CONSTRUÇAO EDO MOBILIARIA DE UBERABA</t>
  </si>
  <si>
    <t xml:space="preserve">12.8 - SINDICATO </t>
  </si>
  <si>
    <t>6485 - GERALDO PACHECO DE MELO</t>
  </si>
  <si>
    <t>6.4 - COMBUSTIVEL VEICULOS</t>
  </si>
  <si>
    <t>6491 - SH LOCACAO DE ANDAIMES</t>
  </si>
  <si>
    <t>7.7 - LOCAÇÃO ANDAIMES</t>
  </si>
  <si>
    <t>6571 - LOC RADIO - LOCAÇAO E SERVIÇOS</t>
  </si>
  <si>
    <t>7.10 - LOCAÇAO RADIOS DE COMUNICAÇÃO</t>
  </si>
  <si>
    <t>6573 - POSTO FERREIRA MATIAS COMBUSTIVEL LTDA</t>
  </si>
  <si>
    <t>6575 - JC RESTAURANTE INDUSTRIAL NIQUELANDIA LTDA</t>
  </si>
  <si>
    <t>6576 - MARCOS CONTAINER LTDA M.E</t>
  </si>
  <si>
    <t xml:space="preserve">7.6 - LOCAÇÃO CONTAINER </t>
  </si>
  <si>
    <t>6577 - MATA FOME REFEICAO COLETIVA LTDA</t>
  </si>
  <si>
    <t>6578 - CAIXA CARTÕES PRÉ-PAGOS S.A</t>
  </si>
  <si>
    <t xml:space="preserve">6.6 - PEDAGIOS </t>
  </si>
  <si>
    <t>6579 - JC RESTAURANTE INDUSTRIAL NIQUELANDIA LTDA</t>
  </si>
  <si>
    <t>6580 - REDE DE POSTOS 2000 III DE COMBUSTIVEIS LTDA - UBERABA</t>
  </si>
  <si>
    <t>6582 - HELIO APARECIDO BIAQUINI</t>
  </si>
  <si>
    <t xml:space="preserve">11.14 - INTERNET OBRAS </t>
  </si>
  <si>
    <t>6583 - GUSA DO BRASIL MOBILIARIO E CONTAINER</t>
  </si>
  <si>
    <t>6899 - A S TURISMO</t>
  </si>
  <si>
    <t xml:space="preserve">12.7 - TRANSPORTE DE COLABORADORES </t>
  </si>
  <si>
    <t>6933 - TECSUPORT RADIOCOM E TELECOM LTDA</t>
  </si>
  <si>
    <t>7013 - UNIMED COOPERATIVA DE TRABALHO MEDICO</t>
  </si>
  <si>
    <t>6168 - ADCONT LTDA</t>
  </si>
  <si>
    <t>6471 - RESTAURANTES OBRAS</t>
  </si>
  <si>
    <t>6472 - UBER JULIANO</t>
  </si>
  <si>
    <t>6473 - RESTAURANTE EL SHADAY</t>
  </si>
  <si>
    <t>6484 - AQUARELA LANCHONETE E CONVENIENCIA LTDA</t>
  </si>
  <si>
    <t>6490 - BANCO ITAU</t>
  </si>
  <si>
    <t>6493 - DESPESAS LOTE TRINDADE AIDEAL</t>
  </si>
  <si>
    <t xml:space="preserve">15.4 - DESPESAS C/ CONSTRUÇÃO ESCRITORIO ADM </t>
  </si>
  <si>
    <t xml:space="preserve">LOTE TRINDADE </t>
  </si>
  <si>
    <t>6499 - DESPESAS DE VIAGEM</t>
  </si>
  <si>
    <t>6500 - REFEIÇÃO OBRAS</t>
  </si>
  <si>
    <t>6501 - REFEIÇÃO OBRAS</t>
  </si>
  <si>
    <t>6502 - RESCISOES / FGTS</t>
  </si>
  <si>
    <t xml:space="preserve">12.6 - ACERTO RESCISORIOS </t>
  </si>
  <si>
    <t>6503 - RESCISOES / FGTS</t>
  </si>
  <si>
    <t>12.4 - MULTA RESCISORIAS FGTS</t>
  </si>
  <si>
    <t>6504 - PASSAGEM AEREA</t>
  </si>
  <si>
    <t xml:space="preserve">GASTOS COMERCIAIS </t>
  </si>
  <si>
    <t>6507 - DESPESAS VEICULOS</t>
  </si>
  <si>
    <t>6.3 - MANUTENÇÃO/PEÇAS  VEICULOS</t>
  </si>
  <si>
    <t>6508 - BANCO ITAU</t>
  </si>
  <si>
    <t>6509 - BANCO ITAU</t>
  </si>
  <si>
    <t>6510 - BANCO ITAU</t>
  </si>
  <si>
    <t>6511 - BANCO ITAU</t>
  </si>
  <si>
    <t>6512 - BANCO ITAU</t>
  </si>
  <si>
    <t>6513 - DESPESAS DE VIAGEM</t>
  </si>
  <si>
    <t>6515 - DESPESAS DE VIAGEM</t>
  </si>
  <si>
    <t>6516 - BANCO ITAU</t>
  </si>
  <si>
    <t>6523 - NEOBETEL EPI, EQUIPAMENTOS DE PROTECAO INDIVIDUAL LTDA</t>
  </si>
  <si>
    <t>13.1 - EPIS</t>
  </si>
  <si>
    <t>6588 - REDE MAQUINAS COMERCIO E SERVIÇOS DE MAQUINAS</t>
  </si>
  <si>
    <t>6607 - REAL BORRACHA EIRELI</t>
  </si>
  <si>
    <t>6611 - JC RESTAURANTE INDUSTRIAL NIQUELANDIA LTDA</t>
  </si>
  <si>
    <t>6612 - JC RESTAURANTE INDUSTRIAL NIQUELANDIA LTDA</t>
  </si>
  <si>
    <t>6519 - STILO WEB</t>
  </si>
  <si>
    <t xml:space="preserve">11.8 - SISTEMA / SERVIDOR </t>
  </si>
  <si>
    <t>5990 - ALUGUEIS OBRAS</t>
  </si>
  <si>
    <t>5992 - ALUGUEIS OBRAS</t>
  </si>
  <si>
    <t>6289 - FLORENCE SOARES SILVA SOCIEDADE INDIVIDUAL DE ADVOCACIA</t>
  </si>
  <si>
    <t>6528 - CONNECT INF. E TECNOLOGIA</t>
  </si>
  <si>
    <t>3.4 - SERVIÇO SERASA</t>
  </si>
  <si>
    <t>6599 - ALUGUEIS OBRAS</t>
  </si>
  <si>
    <t>4125 - SYNERGON CONSULTORIA E CONTABILIDADE</t>
  </si>
  <si>
    <t xml:space="preserve">3.3 - SERVIÇOS DE CONSULTORIA </t>
  </si>
  <si>
    <t>4292 - BANCO CAIXA</t>
  </si>
  <si>
    <t>11.9 - PAGAMENTOS EMPRESTIMOS</t>
  </si>
  <si>
    <t xml:space="preserve">EMPRESTIMOS </t>
  </si>
  <si>
    <t>6494 - FGTS</t>
  </si>
  <si>
    <t xml:space="preserve">12.14 - FGTS FUNCIONARIOS </t>
  </si>
  <si>
    <t>6495 - FGTS</t>
  </si>
  <si>
    <t>6517 - FERIAS</t>
  </si>
  <si>
    <t xml:space="preserve">12.3 - FERIAS </t>
  </si>
  <si>
    <t>6518 - SINDICATO EM MONTAGENS INDUSTRIAIS CEARA</t>
  </si>
  <si>
    <t>6520 - POUPAY</t>
  </si>
  <si>
    <t>3.13 - SERVIÇO CARTORIO</t>
  </si>
  <si>
    <t>6521 - POUPAY</t>
  </si>
  <si>
    <t>6522 - RESTAURANTE EL SHADAY</t>
  </si>
  <si>
    <t>6524 - ENCOMENDA DE CATALAO</t>
  </si>
  <si>
    <t>6525 - HOTEIS OBRAS</t>
  </si>
  <si>
    <t xml:space="preserve">5.1 - HOTEL COLABORADORES </t>
  </si>
  <si>
    <t>6526 - DESPESAS DE VIAGEM</t>
  </si>
  <si>
    <t>6527 - VALDMAR AUGUSTO</t>
  </si>
  <si>
    <t>6565 - CLINICA OBRAS</t>
  </si>
  <si>
    <t xml:space="preserve">14.1 - EXAMES </t>
  </si>
  <si>
    <t>6566 - ALUGUEIS OBRAS</t>
  </si>
  <si>
    <t>6567 - FERIAS</t>
  </si>
  <si>
    <t>6568 - RHTRON INFORMATICA LTDA</t>
  </si>
  <si>
    <t>6569 - EQUATORIAL DISTRIBUIDORA DE ENERGIA S.A.</t>
  </si>
  <si>
    <t>11.3 - ENERGIA ADM</t>
  </si>
  <si>
    <t>6589 - CREA</t>
  </si>
  <si>
    <t>3.15 - SERVIÇO CREA ANUIDADE</t>
  </si>
  <si>
    <t>6593 - DESPESAS DE VIAGEM</t>
  </si>
  <si>
    <t>6594 - DESPESAS VEICULOS</t>
  </si>
  <si>
    <t>6595 - FERRAGISTA OBRAS</t>
  </si>
  <si>
    <t xml:space="preserve">8.8 - MATERIAIS DE CONSUMO EM OBRAS </t>
  </si>
  <si>
    <t>6596 - POSTO OBRAS</t>
  </si>
  <si>
    <t>8.13 - COMBUSTIVEL EQUIPAMENTOS</t>
  </si>
  <si>
    <t>6597 - RESTAURANTE MARINA LTDA</t>
  </si>
  <si>
    <t>6601 - REFEIÇÃO OBRAS</t>
  </si>
  <si>
    <t>6602 - REFEIÇÃO OBRAS</t>
  </si>
  <si>
    <t>6603 - REFEIÇÃO OBRAS</t>
  </si>
  <si>
    <t>6604 - POSTO OBRAS</t>
  </si>
  <si>
    <t>6614 - NEOBETEL EPI, EQUIPAMENTOS DE PROTECAO INDIVIDUAL LTDA</t>
  </si>
  <si>
    <t>6615 - NEOBETEL EPI, EQUIPAMENTOS DE PROTECAO INDIVIDUAL LTDA</t>
  </si>
  <si>
    <t>6616 - NEOBETEL EPI, EQUIPAMENTOS DE PROTECAO INDIVIDUAL LTDA</t>
  </si>
  <si>
    <t>6617 - NEOBETEL EPI, EQUIPAMENTOS DE PROTECAO INDIVIDUAL LTDA</t>
  </si>
  <si>
    <t>6618 - NEOBETEL EPI, EQUIPAMENTOS DE PROTECAO INDIVIDUAL LTDA</t>
  </si>
  <si>
    <t>6662 - NUCLEO DE SAUDE DO TRABALHADOR CLINICA MEDICA LTDA</t>
  </si>
  <si>
    <t>6663 - BRASLIMP TRANSPORTES ESPECIALIZADOS LTDA</t>
  </si>
  <si>
    <t xml:space="preserve">7.9 - LOCAÇAO CAÇAMBA P/ RESIDUOS </t>
  </si>
  <si>
    <t>6761 - JOTUN BRASIL IMP. EXP. E INDUSTRIAL</t>
  </si>
  <si>
    <t>4.1 - TINTAS E SOLVENTES</t>
  </si>
  <si>
    <t>8133 - MARCOS CONTAINER LTDA M.E</t>
  </si>
  <si>
    <t>6273 - SANEAMENTO DE GOIA S.A</t>
  </si>
  <si>
    <t>11.2 - AGUA ADM</t>
  </si>
  <si>
    <t>6598 - MANOEL NUNES DE SOUZA LTDA</t>
  </si>
  <si>
    <t>6605 - RESTAURANTE EL SHADAY</t>
  </si>
  <si>
    <t>6609 - JVC - SERVICOS MEDICOS EIRELI-ME</t>
  </si>
  <si>
    <t>6613 - NEOBETEL EPI, EQUIPAMENTOS DE PROTECAO INDIVIDUAL LTDA</t>
  </si>
  <si>
    <t>6620 - POSTO OBRAS</t>
  </si>
  <si>
    <t>6621 - EQUATORIAL DISTRIBUIDORA DE ENERGIA S.A.</t>
  </si>
  <si>
    <t>5.5 - ENERGIA ALOJAMENTO</t>
  </si>
  <si>
    <t>6622 - SANEAMENTO DE GOIA S.A</t>
  </si>
  <si>
    <t>5.4 - AGUA ALOJAMENTO</t>
  </si>
  <si>
    <t>6623 - EQUATORIAL DISTRIBUIDORA DE ENERGIA S.A.</t>
  </si>
  <si>
    <t>6624 - SAE AGUAS DE CATALAO</t>
  </si>
  <si>
    <t>6625 - EQUATORIAL DISTRIBUIDORA DE ENERGIA S.A.</t>
  </si>
  <si>
    <t>6626 - SAE AGUAS DE CATALAO</t>
  </si>
  <si>
    <t>6627 - SAE AGUAS DE CATALAO</t>
  </si>
  <si>
    <t>6628 - EQUATORIAL DISTRIBUIDORA DE ENERGIA S.A.</t>
  </si>
  <si>
    <t>6629 - INDUSTRIALLY ALIMENTAÇÃO EMPRESARIAL LTDA</t>
  </si>
  <si>
    <t>6630 - SAE AGUAS DE CATALAO</t>
  </si>
  <si>
    <t>6631 - VALDMAR AUGUSTO</t>
  </si>
  <si>
    <t>3.7 - SERVIÇO LIMPEZA ALOJAMENTO/ESCRITORIO</t>
  </si>
  <si>
    <t>6632 - EQUATORIAL DISTRIBUIDORA DE ENERGIA S.A.</t>
  </si>
  <si>
    <t>6633 - SANEAMENTO DE GOIA S.A</t>
  </si>
  <si>
    <t>6634 - FOLHA DE PAGAMENTO</t>
  </si>
  <si>
    <t>12.1 - SALARIO</t>
  </si>
  <si>
    <t>6636 - FOLHA DE PAGAMENTO</t>
  </si>
  <si>
    <t>6637 - REFEIÇÃO OBRAS</t>
  </si>
  <si>
    <t>6638 - FOLHA DE PAGAMENTO</t>
  </si>
  <si>
    <t>6640 - EDUARDO RODRIGUES</t>
  </si>
  <si>
    <t>6641 - LENCOIS PETROLEO LTDA</t>
  </si>
  <si>
    <t>6644 - FOLHA DE PAGAMENTO</t>
  </si>
  <si>
    <t>TVV - LOGIN</t>
  </si>
  <si>
    <t>6649 - POSTO A+ COMERCIO DE COMBUSTIVEL LTDA</t>
  </si>
  <si>
    <t>6650 - TRANSTUR GS&amp;F</t>
  </si>
  <si>
    <t>6652 - FUNDAÇAO SAO FRANCISCO XAVIER</t>
  </si>
  <si>
    <t>6653 - NEOBETEL EPI, EQUIPAMENTOS DE PROTECAO INDIVIDUAL LTDA</t>
  </si>
  <si>
    <t>6680 - A PONTEC RELOGIOS E COMERCIO LTDA</t>
  </si>
  <si>
    <t>6639 - FOLHA DE PAGAMENTO</t>
  </si>
  <si>
    <t>6642 - ENCOMENDA DE CATALAO</t>
  </si>
  <si>
    <t>6646 - RESTAURANTE EL SHADAY</t>
  </si>
  <si>
    <t>6647 - DETRAN - GO</t>
  </si>
  <si>
    <t xml:space="preserve">6.2 - MULTAS DE TRANSITO </t>
  </si>
  <si>
    <t>6648 - DESPESAS DE VIAGEM</t>
  </si>
  <si>
    <t>6654 - VALE ALIMENTAÇÃO OBRAS</t>
  </si>
  <si>
    <t>12.13 - VALE ALIMENTAÇÃO</t>
  </si>
  <si>
    <t>6655 - VALE ALIMENTAÇÃO OBRAS</t>
  </si>
  <si>
    <t>6656 - VALE ALIMENTAÇÃO OBRAS</t>
  </si>
  <si>
    <t>6657 - VALE ALIMENTAÇÃO OBRAS</t>
  </si>
  <si>
    <t>6658 - VALE ALIMENTAÇÃO OBRAS</t>
  </si>
  <si>
    <t>6659 - VALE ALIMENTAÇÃO OBRAS</t>
  </si>
  <si>
    <t>6661 - VALE ALIMENTAÇÃO OBRAS</t>
  </si>
  <si>
    <t>6664 - AMHIGO ASSITENCIA MECANICA HID. DE GOIAS LTDA</t>
  </si>
  <si>
    <t>8.6 - MANGUEIRAS / CONEXÕES</t>
  </si>
  <si>
    <t>6666 - REFEIÇÃO OBRAS</t>
  </si>
  <si>
    <t>6667 - RODOVIARIA MATEUS CABEÇA BRANCA</t>
  </si>
  <si>
    <t>6668 - REFEIÇÃO OBRAS</t>
  </si>
  <si>
    <t>6669 - PASSAGEM OBRAS</t>
  </si>
  <si>
    <t>6670 - FGTS</t>
  </si>
  <si>
    <t>6671 - BANCO ITAU</t>
  </si>
  <si>
    <t>6678 - PRO MINAS MATERIAIS DE SEGURANÇA LTDA</t>
  </si>
  <si>
    <t>6711 - ESTRELA ENCOMENDAS LTDA</t>
  </si>
  <si>
    <t>6674 - UBER MOACIR</t>
  </si>
  <si>
    <t xml:space="preserve">3.8 - SERVIÇO MOTOBOY / UBER </t>
  </si>
  <si>
    <t>6675 - ALUGUEIS OBRAS</t>
  </si>
  <si>
    <t>11.4 - IPTU</t>
  </si>
  <si>
    <t>6676 - DESPESAS DE VIAGEM</t>
  </si>
  <si>
    <t>6677 - DESPESAS VEICULOS</t>
  </si>
  <si>
    <t>6.7 - DESPACHANTE</t>
  </si>
  <si>
    <t>6679 - GENILDO</t>
  </si>
  <si>
    <t>6681 - CREA</t>
  </si>
  <si>
    <t>6682 - CREA</t>
  </si>
  <si>
    <t>6683 - CREA</t>
  </si>
  <si>
    <t>6684 - CREA</t>
  </si>
  <si>
    <t>6685 - RESCISOES / FGTS</t>
  </si>
  <si>
    <t>6686 - RESCISOES / FGTS</t>
  </si>
  <si>
    <t>6687 - RESCISOES / FGTS</t>
  </si>
  <si>
    <t>6688 - CAIXA ROTATIVO OBRAS</t>
  </si>
  <si>
    <t xml:space="preserve">8.11 - MATERIAIS DE LIMPEZA / HIGIENE </t>
  </si>
  <si>
    <t>10.1 - FRETE MATERIAIS E EQUIPAMENTOS</t>
  </si>
  <si>
    <t>6689 - RESCISOES / FGTS</t>
  </si>
  <si>
    <t>6690 - AUTOENGE SOLUTIONS LTDA</t>
  </si>
  <si>
    <t>3.12 - SERVIÇO LAUDO TECNICO</t>
  </si>
  <si>
    <t>6691 - NEOBETEL EPI, EQUIPAMENTOS DE PROTECAO INDIVIDUAL LTDA</t>
  </si>
  <si>
    <t>6692 - FRETE OBRAS</t>
  </si>
  <si>
    <t>6693 - CREA</t>
  </si>
  <si>
    <t>6694 - DESPESAS VEICULOS</t>
  </si>
  <si>
    <t>6695 - REFEIÇÃO OBRAS</t>
  </si>
  <si>
    <t>6697 - REFEIÇÃO OBRAS</t>
  </si>
  <si>
    <t>6698 - PAPELARIA OBRAS</t>
  </si>
  <si>
    <t xml:space="preserve">3.16 - SERVIÇO PLOTAGEM / ADESIVO / PLACAS / CRACHAS </t>
  </si>
  <si>
    <t>6699 - EDUARDO RODRIGUES</t>
  </si>
  <si>
    <t>6700 - VALE ALIMENTAÇÃO OBRAS</t>
  </si>
  <si>
    <t>6703 - BANCO ITAU</t>
  </si>
  <si>
    <t>6705 - MM CLINICA MEDICA DE SERRA DO SALITRE</t>
  </si>
  <si>
    <t>6708 - LARA LUCIO FERREIRA</t>
  </si>
  <si>
    <t>3405 - BONIFICAÇOES</t>
  </si>
  <si>
    <t>12.17 - BONIFICAÇOES</t>
  </si>
  <si>
    <t>PARADA MOSAIC UBA 2024</t>
  </si>
  <si>
    <t>6138 - ALUGUEIS OBRAS</t>
  </si>
  <si>
    <t>6139 - ALUGUEIS OBRAS</t>
  </si>
  <si>
    <t>6140 - ALUGUEL GALPAO ADM FRANK ANTONIO</t>
  </si>
  <si>
    <t>11.1 - ALUGUEIS ADM</t>
  </si>
  <si>
    <t>6141 - ALUGUEIS OBRAS</t>
  </si>
  <si>
    <t>6142 - ALUGUEIS OBRAS</t>
  </si>
  <si>
    <t>6143 - ALUGUEIS OBRAS</t>
  </si>
  <si>
    <t>6150 - SR APRIGIO RODRIGUES</t>
  </si>
  <si>
    <t>6155 - BANCO CAIXA</t>
  </si>
  <si>
    <t>11.7 - FINANCIAMENTO</t>
  </si>
  <si>
    <t xml:space="preserve">IMOBILIZADO / INVESTIMENTO </t>
  </si>
  <si>
    <t>6172 - UNIMED COOPERATIVA DE TRABALHO MEDICO</t>
  </si>
  <si>
    <t>16.3 - PLANO DE SAUDE GILVAN / GENILDO</t>
  </si>
  <si>
    <t>6173 - UNIMED COOPERATIVA DE TRABALHO MEDICO</t>
  </si>
  <si>
    <t>6227 - SISTEMA VICTORY</t>
  </si>
  <si>
    <t>6696 - BRASIL INSPECAO DE EQUIPAMENTOS INDUSTRIAL LTDA</t>
  </si>
  <si>
    <t>6701 - ALEX INFORMATICA XCELL CELULARES E COMPUTADORES</t>
  </si>
  <si>
    <t>6704 - ENCOMENDA DE CATALAO</t>
  </si>
  <si>
    <t>6707 - POSTO OBRAS</t>
  </si>
  <si>
    <t>6709 - FOLHA DE PAGAMENTO</t>
  </si>
  <si>
    <t>6710 - YCARO GOMES</t>
  </si>
  <si>
    <t>6712 - IMPOSTO A IDEAL ISOLAMENTO</t>
  </si>
  <si>
    <t>17.7 - SIMPLES NASCIONAL</t>
  </si>
  <si>
    <t xml:space="preserve">IMPOSTOS </t>
  </si>
  <si>
    <t>6713 - RESTAURANTE EL SHADAY</t>
  </si>
  <si>
    <t>6714 - DESPESAS LOTE TRINDADE AIDEAL</t>
  </si>
  <si>
    <t>6715 - DESPESAS LOTE TRINDADE AIDEAL</t>
  </si>
  <si>
    <t>6716 - DESPESAS LOTE TRINDADE AIDEAL</t>
  </si>
  <si>
    <t xml:space="preserve">15.1 - DESPESAS C/ MURO </t>
  </si>
  <si>
    <t>6717 - DESPESAS LOTE TRINDADE AIDEAL</t>
  </si>
  <si>
    <t>6718 - DESPESAS LOTE TRINDADE AIDEAL</t>
  </si>
  <si>
    <t>6725 - VIVA LOCADORA LTDA</t>
  </si>
  <si>
    <t>6726 - MERCADO</t>
  </si>
  <si>
    <t>11.5 - ALIMENTAÇÃO ADM</t>
  </si>
  <si>
    <t>6737 - REFEIÇÃO OBRAS</t>
  </si>
  <si>
    <t>6738 - REFEIÇÃO OBRAS</t>
  </si>
  <si>
    <t>6739 - FRETE OBRAS</t>
  </si>
  <si>
    <t>6740 - MANUTENÇÃO EQUIPAMENTOS</t>
  </si>
  <si>
    <t>8.14 - MANUTENÇÃO/PEÇAS MAQUINAS E EQUIPAMENTOS</t>
  </si>
  <si>
    <t>6746 - BANCO CAIXA</t>
  </si>
  <si>
    <t>6763 - MATRIX CONSULTORIA E GESTAO DE TREINAMENTO EIRELI</t>
  </si>
  <si>
    <t xml:space="preserve">14.2 - CURSOS / TREINAMENTOS </t>
  </si>
  <si>
    <t>6764 - MATRIX CONSULTORIA E GESTAO DE TREINAMENTO EIRELI</t>
  </si>
  <si>
    <t>6956 - VIVA LOCADORA LTDA</t>
  </si>
  <si>
    <t>6277 - EQUATORIAL DISTRIBUIDORA DE ENERGIA S.A.</t>
  </si>
  <si>
    <t>6278 - EQUATORIAL DISTRIBUIDORA DE ENERGIA S.A.</t>
  </si>
  <si>
    <t>6279 - EQUATORIAL DISTRIBUIDORA DE ENERGIA S.A.</t>
  </si>
  <si>
    <t>6735 - UBER JULIANO</t>
  </si>
  <si>
    <t>6742 - POSTO CINQUENTAO</t>
  </si>
  <si>
    <t>6743 - MAGNO</t>
  </si>
  <si>
    <t>6744 - RESCISOES / FGTS</t>
  </si>
  <si>
    <t>6745 - FGTS</t>
  </si>
  <si>
    <t>6747 - HOTEL GOIAS NORTE</t>
  </si>
  <si>
    <t>6748 - GASTOS COMERCIAL</t>
  </si>
  <si>
    <t>6749 - RESTAURANTE EL SHADAY</t>
  </si>
  <si>
    <t>6750 - CARTAO CREDITO EDUARDO</t>
  </si>
  <si>
    <t>6751 - CARTAO CREDITO EDUARDO</t>
  </si>
  <si>
    <t xml:space="preserve">6.5 - SEGUROS DE VEICULOS </t>
  </si>
  <si>
    <t>6752 - CARTAO CREDITO EDUARDO</t>
  </si>
  <si>
    <t>6753 - CARTAO CREDITO EDUARDO</t>
  </si>
  <si>
    <t>6754 - CARTAO CREDITO EDUARDO</t>
  </si>
  <si>
    <t>6755 - CARTAO CREDITO EDUARDO</t>
  </si>
  <si>
    <t>6756 - CARTAO CREDITO EDUARDO</t>
  </si>
  <si>
    <t>6757 - CARTAO CREDITO EDUARDO</t>
  </si>
  <si>
    <t>6758 - CARTAO CREDITO EDUARDO</t>
  </si>
  <si>
    <t>6759 - CARTAO CREDITO EDUARDO</t>
  </si>
  <si>
    <t>6760 - CARTAO CREDITO EDUARDO</t>
  </si>
  <si>
    <t>6762 - CLARO TELEFONIA</t>
  </si>
  <si>
    <t xml:space="preserve">11.6 - INTERNET / TELEFONE ADM </t>
  </si>
  <si>
    <t>6767 - FGTS</t>
  </si>
  <si>
    <t>6768 - DCTF WEB</t>
  </si>
  <si>
    <t xml:space="preserve">12.15 - DCTFWEB </t>
  </si>
  <si>
    <t>6769 - SEGUROS SURA S/A</t>
  </si>
  <si>
    <t xml:space="preserve">12.12 - SEGUROS DE VIDA </t>
  </si>
  <si>
    <t>6770 - MERCADO LIVRE</t>
  </si>
  <si>
    <t>11.13 - MATERIAIS DE INFORMATICA / COMPUTADOR</t>
  </si>
  <si>
    <t>6771 - REFEIÇÃO OBRAS</t>
  </si>
  <si>
    <t>6774 - OI TELEFONIA</t>
  </si>
  <si>
    <t>6787 - F G DA SILVA</t>
  </si>
  <si>
    <t>6813 - POSTO A+ COMERCIO DE COMBUSTIVEL LTDA</t>
  </si>
  <si>
    <t>6174 - WILLIAM ADM</t>
  </si>
  <si>
    <t>6772 - ENCOMENDA DE CATALAO</t>
  </si>
  <si>
    <t>6773 - RESTAURANTE EL SHADAY</t>
  </si>
  <si>
    <t>6775 - GILVAN</t>
  </si>
  <si>
    <t>6777 - RODOVIARIA MATEUS CABEÇA BRANCA</t>
  </si>
  <si>
    <t>6778 - DESPESAS DE VIAGEM</t>
  </si>
  <si>
    <t>6780 - DESPESAS VEICULOS</t>
  </si>
  <si>
    <t>6781 - PREFEITURA DE GOIANIA</t>
  </si>
  <si>
    <t>3.18 - SERVIÇO ALVARAS E LICENCIAMENTO</t>
  </si>
  <si>
    <t>6782 - PREFEITURA DE GOIANIA</t>
  </si>
  <si>
    <t>6783 - PREFEITURA DE GOIANIA</t>
  </si>
  <si>
    <t>6784 - PREFEITURA DE GOIANIA</t>
  </si>
  <si>
    <t>6785 - PREFEITURA DE GOIANIA</t>
  </si>
  <si>
    <t>6786 - POTENCIA COMERCIO DE EXTINTORES LTDA</t>
  </si>
  <si>
    <t xml:space="preserve">8.4 - MAQUINAS / EQUIPAMENTOS </t>
  </si>
  <si>
    <t>6788 - FERRAGISTA OBRAS</t>
  </si>
  <si>
    <t>6789 - JACINTO FERNANDES</t>
  </si>
  <si>
    <t>6790 - JACINTO FERNANDES</t>
  </si>
  <si>
    <t>6791 - JACINTO FERNANDES</t>
  </si>
  <si>
    <t>6792 - AMHIGO ASSITENCIA MECANICA HID. DE GOIAS LTDA</t>
  </si>
  <si>
    <t>6794 - VALDMAR AUGUSTO</t>
  </si>
  <si>
    <t>6795 - ALEX INFORMATICA XCELL CELULARES E COMPUTADORES</t>
  </si>
  <si>
    <t>6796 - REFEIÇÃO OBRAS</t>
  </si>
  <si>
    <t>6797 - PASSAGEM OBRAS</t>
  </si>
  <si>
    <t>6798 - FRETE OBRAS</t>
  </si>
  <si>
    <t>6799 - FERRAGISTA OBRAS</t>
  </si>
  <si>
    <t>4.2 - ABRASIVOS</t>
  </si>
  <si>
    <t>6806 - CREA</t>
  </si>
  <si>
    <t>6807 - NEOBETEL EPI, EQUIPAMENTOS DE PROTECAO INDIVIDUAL LTDA</t>
  </si>
  <si>
    <t>6808 - NEOBETEL EPI, EQUIPAMENTOS DE PROTECAO INDIVIDUAL LTDA</t>
  </si>
  <si>
    <t>6858 - F G DA SILVA</t>
  </si>
  <si>
    <t>7009 - TECHGEL COMERCIAL LTDA</t>
  </si>
  <si>
    <t xml:space="preserve">8.5 - MATERIAIS / FERRAMENTAS  MANUAIS </t>
  </si>
  <si>
    <t>4258 - TRIBUNAL REGIONAL DO TRABALHO</t>
  </si>
  <si>
    <t>9.2 - GUIAS TRABALHISTAS E PROCESSO</t>
  </si>
  <si>
    <t>PROCESSO TRABALHISTA</t>
  </si>
  <si>
    <t>6213 - ALUGUEIS OBRAS</t>
  </si>
  <si>
    <t>6287 - ALUGUEIS OBRAS</t>
  </si>
  <si>
    <t>6313 - ALUGUEIS OBRAS</t>
  </si>
  <si>
    <t>6800 - RODRIGO ELETRICISTA</t>
  </si>
  <si>
    <t xml:space="preserve">3.2 - SERVIÇO ELETRICO </t>
  </si>
  <si>
    <t>6801 - DESPESAS DE VIAGEM</t>
  </si>
  <si>
    <t>6803 - MERCADO LIVRE</t>
  </si>
  <si>
    <t>6804 - LOC BEM - VILMAR</t>
  </si>
  <si>
    <t>7.2 - LOCAÇÃO COMPRESSORES</t>
  </si>
  <si>
    <t>6805 - GENILDO</t>
  </si>
  <si>
    <t>6810 - RESTAURANTE EL SHADAY</t>
  </si>
  <si>
    <t>6811 - CENTRO DE MEDICINA HUMANA S/C LTDA</t>
  </si>
  <si>
    <t>6812 - MAGNO</t>
  </si>
  <si>
    <t>6818 - BANCO CAIXA</t>
  </si>
  <si>
    <t>11.12 - CONSÓRCIO</t>
  </si>
  <si>
    <t>6820 - SANEAMENTO E ACOES URBANAS</t>
  </si>
  <si>
    <t>6821 - SANEAMENTO E ACOES URBANAS</t>
  </si>
  <si>
    <t>6822 - SANEAMENTO E ACOES URBANAS</t>
  </si>
  <si>
    <t>6842 - PAPELARIA TRIBUTARIA LTDA</t>
  </si>
  <si>
    <t xml:space="preserve">8.10 - MATERIAS DE ESCRITORIO / PAPELARIA </t>
  </si>
  <si>
    <t>6843 - PAPELARIA TRIBUTARIA LTDA</t>
  </si>
  <si>
    <t>6850 - DESPESAS LOTE TRINDADE AIDEAL</t>
  </si>
  <si>
    <t>6880 - MATA FOME REFEICAO COLETIVA LTDA</t>
  </si>
  <si>
    <t>6897 - ROCHELLI LIMA CAMPEZONI</t>
  </si>
  <si>
    <t>6826 - POSTO OBRAS</t>
  </si>
  <si>
    <t>6827 - RESTAURANTES OBRAS</t>
  </si>
  <si>
    <t>6828 - GOOGLE INTERNET LTDA</t>
  </si>
  <si>
    <t>3.5 - SERVIÇO GOOGLE ADS</t>
  </si>
  <si>
    <t>6829 - GENILDO</t>
  </si>
  <si>
    <t>6830 - INTERNET OBRAS</t>
  </si>
  <si>
    <t>6844 - DESPESAS DE VIAGEM</t>
  </si>
  <si>
    <t>6845 - REINALDO DIAS</t>
  </si>
  <si>
    <t>6846 - REINALDO DIAS</t>
  </si>
  <si>
    <t>6847 - RESTAURANTES OBRAS</t>
  </si>
  <si>
    <t>6848 - AMHIGO ASSITENCIA MECANICA HID. DE GOIAS LTDA</t>
  </si>
  <si>
    <t>8.3 - MAQUINAS / FERRAMENTAS PNEUMATICAS</t>
  </si>
  <si>
    <t>6849 - POSTO FERREIRA MATIAS COMBUSTIVEL LTDA</t>
  </si>
  <si>
    <t>6851 - RESTAURANTE EL SHADAY</t>
  </si>
  <si>
    <t>6853 - CARTAO PRA TODOS</t>
  </si>
  <si>
    <t xml:space="preserve">12.11 - ASSISTENCIA MEDICA ADM </t>
  </si>
  <si>
    <t>6854 - POSTO OBRAS</t>
  </si>
  <si>
    <t>6855 - BANCO ITAU</t>
  </si>
  <si>
    <t>6856 - MERCADO</t>
  </si>
  <si>
    <t>6857 - MERCADO</t>
  </si>
  <si>
    <t>6859 - NEOBETEL EPI, EQUIPAMENTOS DE PROTECAO INDIVIDUAL LTDA</t>
  </si>
  <si>
    <t>6862 - REFEIÇÃO OBRAS</t>
  </si>
  <si>
    <t>6863 - REFEIÇÃO OBRAS</t>
  </si>
  <si>
    <t>6864 - REFEIÇÃO OBRAS</t>
  </si>
  <si>
    <t>6865 - REFEIÇÃO OBRAS</t>
  </si>
  <si>
    <t>6866 - EXPRESS MANOEL CARGAS</t>
  </si>
  <si>
    <t>6877 - LOCALIZA RENT A CAR SA</t>
  </si>
  <si>
    <t xml:space="preserve">7.8 - LOCAÇAO VEICULOS </t>
  </si>
  <si>
    <t>6878 - V A PINT LOCAÇOES SERVIÇOS E PINTURA LTDA</t>
  </si>
  <si>
    <t>6879 - V A PINT LOCAÇOES SERVIÇOS E PINTURA LTDA</t>
  </si>
  <si>
    <t xml:space="preserve">7.4 - LOCAÇÃO EQUIPAMENTOS </t>
  </si>
  <si>
    <t>6892 - GRAFIMIDIAS COMERCIO DE INFORMATICA LTDA</t>
  </si>
  <si>
    <t>6814 - RESCISOES / FGTS</t>
  </si>
  <si>
    <t>6815 - RESCISOES / FGTS</t>
  </si>
  <si>
    <t>6867 - RIBEIRO REMOÇOES LEVES E PESADOS</t>
  </si>
  <si>
    <t>6868 - PREGAO OBRAS</t>
  </si>
  <si>
    <t xml:space="preserve">5.6 - MOVEIS OBRAS </t>
  </si>
  <si>
    <t>6869 - DESPESAS VEICULOS</t>
  </si>
  <si>
    <t>6870 - ALUGUEIS OBRAS</t>
  </si>
  <si>
    <t>6874 - AUTO SOCORRO EZEQUIEL HIDRAULICA</t>
  </si>
  <si>
    <t>6875 - MERCADO LIVRE</t>
  </si>
  <si>
    <t>6876 - RESCISOES / FGTS</t>
  </si>
  <si>
    <t>6881 - AR BRASIL COMPRESSORES LTDA</t>
  </si>
  <si>
    <t>6882 - VALDMAR AUGUSTO</t>
  </si>
  <si>
    <t>6883 - EDIEL FRETE</t>
  </si>
  <si>
    <t>6885 - PASSAGEM OBRAS</t>
  </si>
  <si>
    <t>6886 - DESPESAS LOTE TRINDADE AIDEAL</t>
  </si>
  <si>
    <t>6887 - DESPESAS LOTE TRINDADE AIDEAL</t>
  </si>
  <si>
    <t>6888 - DESPESAS LOTE TRINDADE AIDEAL</t>
  </si>
  <si>
    <t>6889 - DESPESAS LOTE TRINDADE AIDEAL</t>
  </si>
  <si>
    <t>6890 - W&amp;W INSTRUMENTOS DE MEDICAO E ENSAIO LTDA</t>
  </si>
  <si>
    <t>6893 - PIS</t>
  </si>
  <si>
    <t>17.2 - PIS</t>
  </si>
  <si>
    <t>6894 - COFINS</t>
  </si>
  <si>
    <t xml:space="preserve">17.3 - COFINS </t>
  </si>
  <si>
    <t>6895 - IRPJ</t>
  </si>
  <si>
    <t>17.4 - IRPJ</t>
  </si>
  <si>
    <t>6896 - CSLL</t>
  </si>
  <si>
    <t>17.5 - CSLL</t>
  </si>
  <si>
    <t>6898 - MAGNO</t>
  </si>
  <si>
    <t>6900 - PANNE BELLO LTDA</t>
  </si>
  <si>
    <t>6901 - PANNE BELLO LTDA</t>
  </si>
  <si>
    <t>6902 - RESTAURANTES OBRAS</t>
  </si>
  <si>
    <t>6904 - REFEIÇÃO OBRAS</t>
  </si>
  <si>
    <t>6905 - ADVOGADO</t>
  </si>
  <si>
    <t>6906 - UBER MOACIR</t>
  </si>
  <si>
    <t>6907 - RESTAURANTE EL SHADAY</t>
  </si>
  <si>
    <t>6911 - AMO ASSESSORIA MEDICA OCUPACIONAL LTDA</t>
  </si>
  <si>
    <t>6994 - ESTRELA ENCOMENDAS LTDA</t>
  </si>
  <si>
    <t>7510 - ZERO ONE TECNLOGIA DA INFORMAÇAO LTDA</t>
  </si>
  <si>
    <t>4317 - BANCO CAIXA</t>
  </si>
  <si>
    <t>6294 - ALUGUEIS OBRAS</t>
  </si>
  <si>
    <t>SERENA 18 TORRES 2023</t>
  </si>
  <si>
    <t>6295 - ADVOGADO</t>
  </si>
  <si>
    <t>6497 - PRUDENTIAL DO BRASIL SEGURO DE VIDAS</t>
  </si>
  <si>
    <t>16.5 - SEGURO DE VIDA GILVAN / GENILDO</t>
  </si>
  <si>
    <t>6498 - PRUDENTIAL DO BRASIL SEGURO DE VIDAS</t>
  </si>
  <si>
    <t>6903 - TRIBUNAL REGIONAL DO TRABALHO</t>
  </si>
  <si>
    <t>6909 - UBER JULIANO</t>
  </si>
  <si>
    <t>6910 - MERCADO LIVRE</t>
  </si>
  <si>
    <t>6912 - MADEREIRA AMERICA</t>
  </si>
  <si>
    <t>6913 - CORDEIRO GUINDASTES</t>
  </si>
  <si>
    <t>6914 - EL SHADDAI PARAFUSOS E FERRAMENTAS</t>
  </si>
  <si>
    <t>6915 - RESTAURANTE EL SHADAY</t>
  </si>
  <si>
    <t>6916 - REFEIÇÃO OBRAS</t>
  </si>
  <si>
    <t>6917 - JC RESTAURANTE INDUSTRIAL NIQUELANDIA LTDA</t>
  </si>
  <si>
    <t>6918 - FOLHA DE PAGAMENTO</t>
  </si>
  <si>
    <t>6919 - FERIAS</t>
  </si>
  <si>
    <t>6920 - EQUATORIAL DISTRIBUIDORA DE ENERGIA S.A.</t>
  </si>
  <si>
    <t>6921 - EQUATORIAL DISTRIBUIDORA DE ENERGIA S.A.</t>
  </si>
  <si>
    <t>6922 - VALDMAR AUGUSTO</t>
  </si>
  <si>
    <t>6923 - MERCADO</t>
  </si>
  <si>
    <t>6930 - UBER OBRAS</t>
  </si>
  <si>
    <t>6931 - FOLHA DE PAGAMENTO</t>
  </si>
  <si>
    <t>6932 - CLINICA OBRAS</t>
  </si>
  <si>
    <t>6941 - RESTAURANTE MARINA LTDA</t>
  </si>
  <si>
    <t>6944 - RESTAURANTE EL SHADAY</t>
  </si>
  <si>
    <t>6945 - AGNALDO BASILIO ENG SEGURANÇA</t>
  </si>
  <si>
    <t>6946 - VAN OBRAS</t>
  </si>
  <si>
    <t>6947 - DESPESAS DE VIAGEM</t>
  </si>
  <si>
    <t>6948 - RODOVIARIA MATEUS CABEÇA BRANCA</t>
  </si>
  <si>
    <t>6950 - EQUATORIAL DISTRIBUIDORA DE ENERGIA S.A.</t>
  </si>
  <si>
    <t>6951 - EQUATORIAL DISTRIBUIDORA DE ENERGIA S.A.</t>
  </si>
  <si>
    <t>6952 - POSTO A+ COMERCIO DE COMBUSTIVEL LTDA</t>
  </si>
  <si>
    <t>6953 - POSTO OBRAS</t>
  </si>
  <si>
    <t>6954 - FRETE OBRAS</t>
  </si>
  <si>
    <t>6955 - POSTO OBRAS</t>
  </si>
  <si>
    <t>6959 - CREA</t>
  </si>
  <si>
    <t>6974 - QUALI TINTAS</t>
  </si>
  <si>
    <t>7011 - AGSMB ASSOSIAÇAO GOIANIA DE SOCORRO</t>
  </si>
  <si>
    <t>6816 - RESCISOES / FGTS</t>
  </si>
  <si>
    <t>6817 - RESCISOES / FGTS</t>
  </si>
  <si>
    <t>6957 - JOSE OLIVEIRA SILVA MAT DE CONSTRUCAO</t>
  </si>
  <si>
    <t>6960 - RESTAURANTE EL SHADAY</t>
  </si>
  <si>
    <t>6961 - REAL BORRACHA EIRELI</t>
  </si>
  <si>
    <t>6962 - ALUGUEIS OBRAS</t>
  </si>
  <si>
    <t>6963 - DESPESAS VEICULOS</t>
  </si>
  <si>
    <t>6964 - JAA COMPRESSORES LTDA</t>
  </si>
  <si>
    <t xml:space="preserve">MANUTENÇÃO DE EQUIPAMENTOS </t>
  </si>
  <si>
    <t>6965 - CLARUS COM DE EPI'S E FERRAMENTAS LTDA</t>
  </si>
  <si>
    <t>6967 - FONTEBRAS HOME CENTER COM. DE MAT.</t>
  </si>
  <si>
    <t>6969 - RESCISOES / FGTS</t>
  </si>
  <si>
    <t>6970 - RESCISOES / FGTS</t>
  </si>
  <si>
    <t>6971 - REFEIÇÃO OBRAS</t>
  </si>
  <si>
    <t>6972 - NAVESA NACIONAL DE VEICULOS LTDA</t>
  </si>
  <si>
    <t>6975 - QUALI TINTAS</t>
  </si>
  <si>
    <t>6977 - QUALI TINTAS</t>
  </si>
  <si>
    <t>6978 - QUALI TINTAS</t>
  </si>
  <si>
    <t>6982 - BANCO CAIXA</t>
  </si>
  <si>
    <t>6984 - TONIM PLACAS LTDA</t>
  </si>
  <si>
    <t>6985 - UNIODONTO UBERABA - COOP. DE ASSISTENCIA A SAUDE ODONTOLOGICA LTDA</t>
  </si>
  <si>
    <t>6991 - SUPORTE LOCAÇOES E SERVIÇOS LTDA</t>
  </si>
  <si>
    <t>6992 - ENERMONT COMERCIO LTDA</t>
  </si>
  <si>
    <t>7060 - NS BRAZIL TECNOLOGIA EM PISOS E REVESTIMENTOS LTDA</t>
  </si>
  <si>
    <t>6973 - LARA LUCIO FERREIRA</t>
  </si>
  <si>
    <t>6976 - RESTAURANTE EL SHADAY</t>
  </si>
  <si>
    <t>6980 - ALUGUEIS OBRAS</t>
  </si>
  <si>
    <t>6981 - POSTO OBRAS</t>
  </si>
  <si>
    <t>6986 - ENGREMAT ENGENHARIA INSPENÇAO</t>
  </si>
  <si>
    <t>6987 - MAGNO</t>
  </si>
  <si>
    <t>6988 - MERCADO LIVRE</t>
  </si>
  <si>
    <t>6989 - EL SHADDAI PARAFUSOS E FERRAMENTAS</t>
  </si>
  <si>
    <t>CÉU DE MINAS</t>
  </si>
  <si>
    <t>6990 - CREA</t>
  </si>
  <si>
    <t>6997 - IDELFONSO SOARES DOS REIS - ME</t>
  </si>
  <si>
    <t>6998 - NEOBETEL EPI, EQUIPAMENTOS DE PROTECAO INDIVIDUAL LTDA</t>
  </si>
  <si>
    <t>7000 - MERCADO LIVRE</t>
  </si>
  <si>
    <t>7037 - AMOSTRA ASSISTENCIA MEDICA LTDA</t>
  </si>
  <si>
    <t>7234 - JOTUN BRASIL IMP. EXP. E INDUSTRIAL</t>
  </si>
  <si>
    <t>6995 - EPIFER EPIS E FERRAMENTAS LTDA</t>
  </si>
  <si>
    <t>6999 - AMHIGO ASSITENCIA MECANICA HID. DE GOIAS LTDA</t>
  </si>
  <si>
    <t>7001 - RESTAURANTE EL SHADAY</t>
  </si>
  <si>
    <t>7002 - CEMIG DISTRIBUIÇÃO S.A</t>
  </si>
  <si>
    <t>7003 - PREFEITURA DE GOIANIA</t>
  </si>
  <si>
    <t>7004 - PREFEITURA DE GOIANIA</t>
  </si>
  <si>
    <t>7005 - PREFEITURA DE GOIANIA</t>
  </si>
  <si>
    <t>7006 - PREFEITURA DE GOIANIA</t>
  </si>
  <si>
    <t>7007 - TECHGEL COMERCIAL LTDA</t>
  </si>
  <si>
    <t>7008 - COPASA SANEAMENTO</t>
  </si>
  <si>
    <t>7017 - DESPESAS LOTE TRINDADE AIDEAL</t>
  </si>
  <si>
    <t>7018 - DESPESAS LOTE TRINDADE AIDEAL</t>
  </si>
  <si>
    <t>7019 - SERVIÇOS DE LIMPEZA / FAXINA</t>
  </si>
  <si>
    <t>7020 - DESPESAS LOTE TRINDADE AIDEAL</t>
  </si>
  <si>
    <t>7021 - DESPESAS LOTE TRINDADE AIDEAL</t>
  </si>
  <si>
    <t xml:space="preserve">15.7 - DESPESAS C/ GALPÃO ALMOXARIFADO </t>
  </si>
  <si>
    <t>7022 - DESPESAS LOTE TRINDADE AIDEAL</t>
  </si>
  <si>
    <t>7023 - HELTON GOMES</t>
  </si>
  <si>
    <t>7024 - HELTON GOMES</t>
  </si>
  <si>
    <t>7025 - LENCOIS PETROLEO LTDA</t>
  </si>
  <si>
    <t>7026 - VAN OBRAS</t>
  </si>
  <si>
    <t>7028 - DESPESAS DE VIAGEM</t>
  </si>
  <si>
    <t>7029 - FERRAGISTA OBRAS</t>
  </si>
  <si>
    <t>7033 - PASSAGEM OBRAS</t>
  </si>
  <si>
    <t>7059 - PANAMERICANO LOG TRANSP. ROD. DE CARGAS E COBRANÇAS EXTRAJUDICIAL LTDA</t>
  </si>
  <si>
    <t>6530 - BANCO ITAU</t>
  </si>
  <si>
    <t>7027 - INDUSTRIALLY ALIMENTAÇÃO EMPRESARIAL LTDA</t>
  </si>
  <si>
    <t>7030 - DESPESAS VEICULOS</t>
  </si>
  <si>
    <t>7031 - RESTAURANTES OBRAS</t>
  </si>
  <si>
    <t>7032 - ENCOMENDA DE CATALAO</t>
  </si>
  <si>
    <t>7034 - RESTAURANTE EL SHADAY</t>
  </si>
  <si>
    <t>7036 - ENERGIA OBRAS</t>
  </si>
  <si>
    <t>7038 - VALE TRANSPORTE</t>
  </si>
  <si>
    <t>7039 - VALE TRANSPORTE</t>
  </si>
  <si>
    <t>7040 - VALE TRANSPORTE</t>
  </si>
  <si>
    <t>7041 - VALE TRANSPORTE</t>
  </si>
  <si>
    <t>7046 - EXPRESS MANOEL CARGAS</t>
  </si>
  <si>
    <t>7047 - GENILDO</t>
  </si>
  <si>
    <t>7048 - CVAL ALUGUEL DE VEÍCULOS LTDA</t>
  </si>
  <si>
    <t>7049 - LAVA JATO OBRAS</t>
  </si>
  <si>
    <t>6.10 - SERVIÇO LAVA JATO</t>
  </si>
  <si>
    <t>7050 - FERRAGISTA OBRAS</t>
  </si>
  <si>
    <t>7052 - NEOBETEL EPI, EQUIPAMENTOS DE PROTECAO INDIVIDUAL LTDA</t>
  </si>
  <si>
    <t>13.2 - UNIFORMES</t>
  </si>
  <si>
    <t>7058 - POSTO A+ COMERCIO DE COMBUSTIVEL LTDA</t>
  </si>
  <si>
    <t>5405 - PGFN</t>
  </si>
  <si>
    <t>17.1 - PARCELAMENTO</t>
  </si>
  <si>
    <t>5464 - PGFN</t>
  </si>
  <si>
    <t>5505 - PGFN</t>
  </si>
  <si>
    <t>7042 - RESCISOES / FGTS</t>
  </si>
  <si>
    <t>7051 - UBER JULIANO</t>
  </si>
  <si>
    <t>7055 - REFEIÇÃO OBRAS</t>
  </si>
  <si>
    <t>7056 - ALEX INFORMATICA XCELL CELULARES E COMPUTADORES</t>
  </si>
  <si>
    <t>7057 - REFEIÇÃO OBRAS</t>
  </si>
  <si>
    <t>7061 - DESPESAS DE VIAGEM</t>
  </si>
  <si>
    <t>7062 - RODOVIARIA MATEUS CABEÇA BRANCA</t>
  </si>
  <si>
    <t>7063 - QUALI TINTAS</t>
  </si>
  <si>
    <t>7064 - BIRCK &amp; AMP ROCHA LTDA</t>
  </si>
  <si>
    <t>7065 - CLINICA OBRAS</t>
  </si>
  <si>
    <t>7066 - FONTEBRAS HOME CENTER COM. DE MAT.</t>
  </si>
  <si>
    <t>7067 - RESCISOES / FGTS</t>
  </si>
  <si>
    <t>7068 - DETRAN - GO</t>
  </si>
  <si>
    <t>6.1 - IPVA</t>
  </si>
  <si>
    <t>7078 - DETRAN - GO</t>
  </si>
  <si>
    <t>7087 - DETRAN - GO</t>
  </si>
  <si>
    <t>7097 - DETRAN - GO</t>
  </si>
  <si>
    <t>7107 - DETRAN - GO</t>
  </si>
  <si>
    <t>7108 - DETRAN - GO</t>
  </si>
  <si>
    <t>7118 - DETRAN - GO</t>
  </si>
  <si>
    <t>7130 - DETRAN - GO</t>
  </si>
  <si>
    <t>7140 - DETRAN - GO</t>
  </si>
  <si>
    <t>7150 - DETRAN - GO</t>
  </si>
  <si>
    <t>7160 - DETRAN - GO</t>
  </si>
  <si>
    <t>7171 - DETRAN - GO</t>
  </si>
  <si>
    <t>7201 - DESPESAS DE VIAGEM</t>
  </si>
  <si>
    <t>7212 - FARDAS EXPRESS LTDA</t>
  </si>
  <si>
    <t>7213 - NEOBETEL EPI, EQUIPAMENTOS DE PROTECAO INDIVIDUAL LTDA</t>
  </si>
  <si>
    <t>7217 - PGR COMERCIAL LTDA</t>
  </si>
  <si>
    <t>7224 - TRANSPORTADORA AQUINO E DINIZ LTDA</t>
  </si>
  <si>
    <t>7128 - INTERNET OBRAS</t>
  </si>
  <si>
    <t>7161 - CABANHA E FACAS &amp; BRINDES</t>
  </si>
  <si>
    <t>3.19 - SERVIÇO BRINDES E ACESSORIOS</t>
  </si>
  <si>
    <t>7181 - DETRAN - GO</t>
  </si>
  <si>
    <t>7191 - DETRAN - GO</t>
  </si>
  <si>
    <t>7202 - RESTAURANTE EL SHADAY</t>
  </si>
  <si>
    <t>7204 - ENCOMENDA DE CATALAO</t>
  </si>
  <si>
    <t>7206 - ATELIE STUDIO CRIATIVO</t>
  </si>
  <si>
    <t>16.6 - DOAÇÕES BENEFICENTES</t>
  </si>
  <si>
    <t>7207 - MERCADO</t>
  </si>
  <si>
    <t>7208 - BANCO ITAU</t>
  </si>
  <si>
    <t>7209 - ALUGUEIS OBRAS</t>
  </si>
  <si>
    <t>7210 - RODRIGO ELETRICISTA</t>
  </si>
  <si>
    <t>7211 - FERIAS</t>
  </si>
  <si>
    <t>7214 - CLINICA OBRAS</t>
  </si>
  <si>
    <t>7215 - RG COMERCIAL TINTAS EIRELI</t>
  </si>
  <si>
    <t>7216 - PGR COMERCIAL LTDA</t>
  </si>
  <si>
    <t>7218 - POSTO OBRAS</t>
  </si>
  <si>
    <t>7219 - AGNALDO BASILIO ENG SEGURANÇA</t>
  </si>
  <si>
    <t>7221 - PAPELARIA OBRAS</t>
  </si>
  <si>
    <t xml:space="preserve">3.9 - SERVIÇO GRAFICA / IMPRESSAO </t>
  </si>
  <si>
    <t>7222 - DESPESAS DE VIAGEM</t>
  </si>
  <si>
    <t>7226 - GUSA DO BRASIL MOBILIARIO E CONTAINER</t>
  </si>
  <si>
    <t>7230 - DESTAQUE MANUTENÇAO INDUSTRIAL LTDA</t>
  </si>
  <si>
    <t xml:space="preserve">14.3 - PROGRAMA DE SEGURANÇA DO TRABALHO </t>
  </si>
  <si>
    <t>7231 - DESTAQUE MANUTENÇAO INDUSTRIAL LTDA</t>
  </si>
  <si>
    <t>7301 - JOTUN BRASIL IMP. EXP. E INDUSTRIAL</t>
  </si>
  <si>
    <t>4170 - PGFN</t>
  </si>
  <si>
    <t>4232 - PGFN</t>
  </si>
  <si>
    <t>5648 - DARF</t>
  </si>
  <si>
    <t>5662 - RFB</t>
  </si>
  <si>
    <t>5782 - PGFN</t>
  </si>
  <si>
    <t>5842 - PGFN</t>
  </si>
  <si>
    <t>6375 - PGFN</t>
  </si>
  <si>
    <t>7044 - RESCISOES / FGTS</t>
  </si>
  <si>
    <t>7220 - POSTO OBRAS</t>
  </si>
  <si>
    <t>7225 - RESTAURANTE EL SHADAY</t>
  </si>
  <si>
    <t>7227 - RESCISOES / FGTS</t>
  </si>
  <si>
    <t>7228 - MANUTENÇÃO EQUIPAMENTOS</t>
  </si>
  <si>
    <t>7229 - CONTEINERES BARRO ALTO LTDA</t>
  </si>
  <si>
    <t>7232 - MATERCON ENTULHOS LTDA</t>
  </si>
  <si>
    <t>7233 - REDE EPI FERRAMENTAS PROF. E EQUIP. DE SEG. LTDA</t>
  </si>
  <si>
    <t>7235 - PAPELARIA OBRAS</t>
  </si>
  <si>
    <t>7237 - UBER MOACIR</t>
  </si>
  <si>
    <t>7238 - DARF</t>
  </si>
  <si>
    <t>7239 - MANUTENÇÃO EQUIPAMENTOS</t>
  </si>
  <si>
    <t>7240 - DESPESAS DE VIAGEM</t>
  </si>
  <si>
    <t>7241 - VALE TRANSPORTE</t>
  </si>
  <si>
    <t>7242 - PREGAO OBRAS</t>
  </si>
  <si>
    <t>PARADA 2025 GABRIELLE MOSAIC CATALÃO</t>
  </si>
  <si>
    <t>7243 - UBER OBRAS</t>
  </si>
  <si>
    <t>7244 - FERRAGISTA OBRAS</t>
  </si>
  <si>
    <t>7250 - CREA</t>
  </si>
  <si>
    <t>7299 - ALCON ENGENHARIA DE SISTEMA LTDA</t>
  </si>
  <si>
    <t>7303 - BIRCK &amp; AMP ROCHA LTDA</t>
  </si>
  <si>
    <t>7411 - COLORTECH INDUSTRIA E COMERCIO DE TINTAS LTDA</t>
  </si>
  <si>
    <t>5722 - PGFN</t>
  </si>
  <si>
    <t>7043 - RESCISOES / FGTS</t>
  </si>
  <si>
    <t>7246 - ESPEDITO ADESIVOS</t>
  </si>
  <si>
    <t>7247 - ZEQUINHA BORDADOS LTDA</t>
  </si>
  <si>
    <t>7248 - RESTAURANTE EL SHADAY</t>
  </si>
  <si>
    <t>7249 - ENGREMAT ENGENHARIA INSPENÇAO</t>
  </si>
  <si>
    <t>7251 - QUALI TINTAS</t>
  </si>
  <si>
    <t>7252 - PANNE BELLO LTDA</t>
  </si>
  <si>
    <t>7253 - PREGAO OBRAS</t>
  </si>
  <si>
    <t>7254 - MERCADO</t>
  </si>
  <si>
    <t>7255 - RESCISOES / FGTS</t>
  </si>
  <si>
    <t>7256 - RESCISOES / FGTS</t>
  </si>
  <si>
    <t>7257 - CVAL ALUGUEL DE VEÍCULOS LTDA</t>
  </si>
  <si>
    <t>7258 - DESPESAS LOTE TRINDADE AIDEAL</t>
  </si>
  <si>
    <t>7259 - DESPESAS LOTE TRINDADE AIDEAL</t>
  </si>
  <si>
    <t>7260 - DESPESAS LOTE TRINDADE AIDEAL</t>
  </si>
  <si>
    <t>7261 - DESPESAS LOTE TRINDADE AIDEAL</t>
  </si>
  <si>
    <t>7262 - DESPESAS LOTE TRINDADE AIDEAL</t>
  </si>
  <si>
    <t>7263 - DESPESAS LOTE TRINDADE AIDEAL</t>
  </si>
  <si>
    <t>7264 - AJEL MATERIAIS ELETRICOS LTDA</t>
  </si>
  <si>
    <t>7265 - LARA LUCIO FERREIRA</t>
  </si>
  <si>
    <t>7266 - DESPESAS DE VIAGEM</t>
  </si>
  <si>
    <t>7267 - REFEIÇÃO OBRAS</t>
  </si>
  <si>
    <t>7268 - MANUTENÇÃO EQUIPAMENTOS</t>
  </si>
  <si>
    <t>7269 - REFEIÇÃO OBRAS</t>
  </si>
  <si>
    <t>7270 - REFEIÇÃO OBRAS</t>
  </si>
  <si>
    <t>7271 - REFEIÇÃO OBRAS</t>
  </si>
  <si>
    <t>7272 - REFEIÇÃO OBRAS</t>
  </si>
  <si>
    <t>7273 - REFEIÇÃO OBRAS</t>
  </si>
  <si>
    <t>7274 - PREGAO OBRAS</t>
  </si>
  <si>
    <t>7275 - ALEX INFORMATICA XCELL CELULARES E COMPUTADORES</t>
  </si>
  <si>
    <t>7306 - IMPOSTOS</t>
  </si>
  <si>
    <t>7332 - SODEXO DO BRASIL COMERCIAL S.A</t>
  </si>
  <si>
    <t>7352 - ALFA TRANSPORTES LTDA</t>
  </si>
  <si>
    <t>IR</t>
  </si>
  <si>
    <t>INSS</t>
  </si>
  <si>
    <t>Tarifa de Antecipação</t>
  </si>
  <si>
    <t>7320 - AIDEAL SOLUÇÕES ANTICORROSIVAS LTDA</t>
  </si>
  <si>
    <t>7354 - VLI MULTIMODAL S.A</t>
  </si>
  <si>
    <t>7356 - AIDEAL SOLUÇÕES ANTICORROSIVAS LTDA</t>
  </si>
  <si>
    <t>7355 - CMOC BRASIL MINERAÇAO INDUSTRIAL E PARTICIPAÇOES</t>
  </si>
  <si>
    <t>7383 - AIDEAL SOLUÇÕES ANTICORROSIVAS LTDA</t>
  </si>
  <si>
    <t>7421 - CMOC BRASIL MINERAÇAO INDUSTRIAL E PARTICIPAÇOES</t>
  </si>
  <si>
    <t>7426 - ETERNIT S/A</t>
  </si>
  <si>
    <t>7428 - AIDEAL SOLUÇÕES ANTICORROSIVAS LTDA</t>
  </si>
  <si>
    <t>7427 - MOSAIC FERTILIZANTES DO BRASIL LTDA UBERABA ROTINA</t>
  </si>
  <si>
    <t>7470 - AIDEAL SOLUÇÕES ANTICORROSIVAS LTDA</t>
  </si>
  <si>
    <t>7546 - AIDEAL SOLUÇÕES ANTICORROSIVAS LTDA</t>
  </si>
  <si>
    <t>7592 - A IDEAL SOLUÇÕES ANTICORROSIVAS LTDA</t>
  </si>
  <si>
    <t xml:space="preserve">9.3 - DESPESAS COM PROCESSOS </t>
  </si>
  <si>
    <t>7578 - CMOC BRASIL MINERAÇAO INDUSTRIAL E PARTICIPAÇOES</t>
  </si>
  <si>
    <t>7580 - CMOC BRASIL MINERAÇAO INDUSTRIAL E PARTICIPAÇOES</t>
  </si>
  <si>
    <t>7591 - A IDEAL SOLUÇÕES ANTICORROSIVAS LTDA</t>
  </si>
  <si>
    <t>7593 - AIDEAL SOLUÇÕES ANTICORROSIVAS LTDA</t>
  </si>
  <si>
    <t>7604 - CMOC BRASIL MINERAÇAO INDUSTRIAL E PARTICIPAÇOES</t>
  </si>
  <si>
    <t>7619 - AIDEAL SOLUÇÕES ANTICORROSIVAS LTDA</t>
  </si>
  <si>
    <t>7638 - MOSAIC FERTILIZANTES DO BRASIL LTDA UBERABA ROTINA</t>
  </si>
  <si>
    <t>7639 - MOSAIC FERTILIZANTES DO BRASIL LTDA UBERABA ROTINA</t>
  </si>
  <si>
    <t>7641 - CMOC BRASIL MINERAÇAO INDUSTRIAL E PARTICIPAÇOES</t>
  </si>
  <si>
    <t>7642 - CMOC BRASIL MINERAÇAO INDUSTRIAL E PARTICIPAÇOES</t>
  </si>
  <si>
    <t>7674 - AIDEAL SOLUÇÕES ANTICORROSIVAS LTDA</t>
  </si>
  <si>
    <t>7714 - AIDEAL SOLUÇÕES ANTICORROSIVAS LTDA</t>
  </si>
  <si>
    <t>7730 - AIDEAL SOLUÇÕES ANTICORROSIVAS LTDA</t>
  </si>
  <si>
    <t>7743 - AIDEAL SOLUÇÕES ANTICORROSIVAS LTDA</t>
  </si>
  <si>
    <t>7859 - DELTA 3 IV ENERGIA SA</t>
  </si>
  <si>
    <t>7860 - DELTA 3 IV ENERGIA SA</t>
  </si>
  <si>
    <t>7861 - DELTA 3 IV ENERGIA SA</t>
  </si>
  <si>
    <t>7862 - DELTA 3 IV ENERGIA SA</t>
  </si>
  <si>
    <t>7863 - DELTA 3 IV ENERGIA SA</t>
  </si>
  <si>
    <t>7864 - DELTA 3 IV ENERGIA SA</t>
  </si>
  <si>
    <t>7771 - AIDEAL SOLUÇÕES ANTICORROSIVAS LTDA</t>
  </si>
  <si>
    <t>7807 - AIDEAL SOLUÇÕES ANTICORROSIVAS LTDA</t>
  </si>
  <si>
    <t>7837 - AIDEAL SOLUÇÕES ANTICORROSIVAS LTDA</t>
  </si>
  <si>
    <t>7867 - SALITRE FERTILIZANTES LTDA</t>
  </si>
  <si>
    <t>7868 - SALITRE FERTILIZANTES LTDA</t>
  </si>
  <si>
    <t>7869 - ANGLO AMERICAN NIQUEL BRASIL LTDA</t>
  </si>
  <si>
    <t>7870 - ETERNIT S/A</t>
  </si>
  <si>
    <t>7884 - AIDEAL SOLUÇÕES ANTICORROSIVAS LTDA</t>
  </si>
  <si>
    <t>7876 - ETERNIT S/A</t>
  </si>
  <si>
    <t>7939 - AIDEAL SOLUÇÕES ANTICORROSIVAS LTDA</t>
  </si>
  <si>
    <t>7990 - AIDEAL SOLUÇÕES ANTICORROSIVAS LTDA</t>
  </si>
  <si>
    <t>6457 - ALUGUEIS OBRAS</t>
  </si>
  <si>
    <t>6458 - ALUGUEIS OBRAS</t>
  </si>
  <si>
    <t>6459 - ALUGUEIS OBRAS</t>
  </si>
  <si>
    <t>6460 - ALUGUEIS OBRAS</t>
  </si>
  <si>
    <t>6938 - ADCONT LTDA</t>
  </si>
  <si>
    <t>6940 - ADCONT LTDA</t>
  </si>
  <si>
    <t>6993 - ALUGUEIS OBRAS</t>
  </si>
  <si>
    <t>7295 - REAL BORRACHA EIRELI</t>
  </si>
  <si>
    <t>7338 - MATA FOME REFEICAO COLETIVA LTDA</t>
  </si>
  <si>
    <t>7430 - HAPVIDA ASSISTENCIA MEDICA S.A.</t>
  </si>
  <si>
    <t>3863 - GUERRA CONSULTORES ASSOCIADOS LTDA</t>
  </si>
  <si>
    <t>7014 - UNIMED COOPERATIVA DE TRABALHO MEDICO</t>
  </si>
  <si>
    <t>7276 - VAN OBRAS</t>
  </si>
  <si>
    <t>7277 - DESPESAS DE VIAGEM</t>
  </si>
  <si>
    <t>7278 - CLINICA OBRAS</t>
  </si>
  <si>
    <t>7279 - GENILDO</t>
  </si>
  <si>
    <t>7280 - MANUTENÇÃO EQUIPAMENTOS</t>
  </si>
  <si>
    <t>7281 - RESTAURANTES OBRAS</t>
  </si>
  <si>
    <t>7282 - IPOG</t>
  </si>
  <si>
    <t>7283 - RESTAURANTE EL SHADAY</t>
  </si>
  <si>
    <t>7284 - TAMBORES BRASIL LTDA</t>
  </si>
  <si>
    <t>7285 - CEMIG DISTRIBUIÇÃO S.A</t>
  </si>
  <si>
    <t>7286 - CEMIG DISTRIBUIÇÃO S.A</t>
  </si>
  <si>
    <t>7287 - SANEAMENTO E ACOES URBANAS</t>
  </si>
  <si>
    <t>7288 - SANEAMENTO E ACOES URBANAS</t>
  </si>
  <si>
    <t>7289 - SANEAMENTO E ACOES URBANAS</t>
  </si>
  <si>
    <t>7290 - UBER JULIANO</t>
  </si>
  <si>
    <t>7291 - CLINICA OBRAS</t>
  </si>
  <si>
    <t>7292 - WMO BUSINESS LTDA</t>
  </si>
  <si>
    <t>7293 - RODRIGO ELETRICISTA</t>
  </si>
  <si>
    <t>7294 - RESTAURANTE MARINA LTDA</t>
  </si>
  <si>
    <t>7296 - HELIO APARECIDO BIAQUINI</t>
  </si>
  <si>
    <t>7297 - CAIXA CARTÕES PRÉ-PAGOS S.A</t>
  </si>
  <si>
    <t>7298 - SINDICATO DO TRABALHADORES NAS INDUSTRIAIS DA CONSTRUÇAO EDO MOBILIARIA DE UBERABA</t>
  </si>
  <si>
    <t>7300 - LIMP + QUIMICOS E DESCARTAVEIS EIRELI</t>
  </si>
  <si>
    <t>7302 - CEMIG DISTRIBUIÇÃO S.A</t>
  </si>
  <si>
    <t>7304 - POSTO FERREIRA MATIAS COMBUSTIVEL LTDA</t>
  </si>
  <si>
    <t>7307 - FERRAGISTA OBRAS</t>
  </si>
  <si>
    <t>7308 - POSTO OBRAS</t>
  </si>
  <si>
    <t>7309 - POSTO OBRAS</t>
  </si>
  <si>
    <t>7316 - REFEIÇÃO OBRAS</t>
  </si>
  <si>
    <t>7317 - REFEIÇÃO OBRAS</t>
  </si>
  <si>
    <t>7318 - BANCO CAIXA</t>
  </si>
  <si>
    <t>7319 - BANCO MERCANTIL</t>
  </si>
  <si>
    <t>7323 - AQUARELA LANCHONETE E CONVENIENCIA LTDA</t>
  </si>
  <si>
    <t>7327 - MARCOS CONTAINER LTDA M.E</t>
  </si>
  <si>
    <t>7328 - FONTEBRAS HOME CENTER COM. DE MAT.</t>
  </si>
  <si>
    <t>7330 - FONTEBRAS HOME CENTER COM. DE MAT.</t>
  </si>
  <si>
    <t>7331 - TECSUPORT RADIOCOM E TELECOM LTDA</t>
  </si>
  <si>
    <t>7340 - JC RESTAURANTE INDUSTRIAL NIQUELANDIA LTDA</t>
  </si>
  <si>
    <t>7408 - REDE DE POSTOS 2000 III DE COMBUSTIVEIS LTDA - UBERABA</t>
  </si>
  <si>
    <t>7412 - TRANSPORTADORA AQUINO E DINIZ LTDA</t>
  </si>
  <si>
    <t>7414 - LOC RADIO - LOCAÇAO E SERVIÇOS</t>
  </si>
  <si>
    <t>7432 - POSTO A+ COMERCIO DE COMBUSTIVEL LTDA</t>
  </si>
  <si>
    <t>7315 - MANOEL NUNES DE SOUZA LTDA</t>
  </si>
  <si>
    <t>7321 - VALDMAR AUGUSTO</t>
  </si>
  <si>
    <t>7322 - CBS TREINAMENTOS LTDA</t>
  </si>
  <si>
    <t>7324 - YCARO GOMES</t>
  </si>
  <si>
    <t>7325 - PREGAO OBRAS</t>
  </si>
  <si>
    <t>7326 - PREGAO OBRAS</t>
  </si>
  <si>
    <t>7329 - RESTAURANTE EL SHADAY</t>
  </si>
  <si>
    <t>7333 - PREGAO OBRAS</t>
  </si>
  <si>
    <t>7334 - AGUILERA AUTOPECAS DE GOIAS LTDA</t>
  </si>
  <si>
    <t>7335 - DESPESAS DE VIAGEM</t>
  </si>
  <si>
    <t>7336 - RODOVIARIA MATEUS CABEÇA BRANCA</t>
  </si>
  <si>
    <t>7337 - VATIC TECNOLOGIA VILMAR</t>
  </si>
  <si>
    <t>7339 - CREA</t>
  </si>
  <si>
    <t>7341 - MAGNO</t>
  </si>
  <si>
    <t>7342 - UBER OBRAS</t>
  </si>
  <si>
    <t>7343 - FERIAS</t>
  </si>
  <si>
    <t>7344 - REAL BORRACHA EIRELI</t>
  </si>
  <si>
    <t>7345 - SINDICATO EM MONTAGENS INDUSTRIAIS CEARA</t>
  </si>
  <si>
    <t>7346 - REDE MAQUINAS COMERCIO E SERVIÇOS DE MAQUINAS</t>
  </si>
  <si>
    <t>7347 - DESPESAS VEICULOS</t>
  </si>
  <si>
    <t>7348 - RIBEIRO REMOÇOES LEVES E PESADOS</t>
  </si>
  <si>
    <t>7349 - MANUTENÇÃO EQUIPAMENTOS</t>
  </si>
  <si>
    <t>7350 - BANCO ITAU</t>
  </si>
  <si>
    <t>7351 - BANCO ITAU</t>
  </si>
  <si>
    <t>7353 - BANCO ITAU</t>
  </si>
  <si>
    <t>7393 - LARA LUCIO FERREIRA</t>
  </si>
  <si>
    <t>7394 - LARA LUCIO FERREIRA</t>
  </si>
  <si>
    <t>7396 - JC RESTAURANTE INDUSTRIAL NIQUELANDIA LTDA</t>
  </si>
  <si>
    <t>7409 - CLINICA OBRAS</t>
  </si>
  <si>
    <t>7413 - RHTRON INFORMATICA LTDA</t>
  </si>
  <si>
    <t>7415 - MARCOS CONTAINER LTDA M.E</t>
  </si>
  <si>
    <t>7416 - NUCLEO DE SAUDE DO TRABALHADOR CLINICA MEDICA LTDA</t>
  </si>
  <si>
    <t>7440 - MERCADO</t>
  </si>
  <si>
    <t>6590 - FINANCIAMENTO</t>
  </si>
  <si>
    <t>6591 - ALUGUEIS OBRAS</t>
  </si>
  <si>
    <t>7053 - ALUGUEIS OBRAS</t>
  </si>
  <si>
    <t>7357 - RODOVIARIAS OBRAS</t>
  </si>
  <si>
    <t>7358 - RODOVIARIAS OBRAS</t>
  </si>
  <si>
    <t>7359 - UBER OBRAS</t>
  </si>
  <si>
    <t>7360 - MERCADO LIVRE</t>
  </si>
  <si>
    <t>7361 - RESTAURANTE EL SHADAY</t>
  </si>
  <si>
    <t>7362 - JVC - SERVICOS MEDICOS EIRELI-ME</t>
  </si>
  <si>
    <t>7363 - QUALI TINTAS</t>
  </si>
  <si>
    <t>7364 - REFEIÇÃO OBRAS</t>
  </si>
  <si>
    <t>7365 - FRETE OBRAS</t>
  </si>
  <si>
    <t>7366 - FERRAGISTA OBRAS</t>
  </si>
  <si>
    <t>7367 - DESPESAS VEICULOS</t>
  </si>
  <si>
    <t>7374 - SYNERGON CONSULTORIA E CONTABILIDADE</t>
  </si>
  <si>
    <t>7375 - SYNERGON CONSULTORIA E CONTABILIDADE</t>
  </si>
  <si>
    <t>7376 - FERRAGISTA OBRAS</t>
  </si>
  <si>
    <t>7377 - FERRAGISTA OBRAS</t>
  </si>
  <si>
    <t>7381 - DESPESAS LOTE TRINDADE AIDEAL</t>
  </si>
  <si>
    <t>7382 - BANCO SAFRA</t>
  </si>
  <si>
    <t>7391 - BIRCK &amp; AMP ROCHA LTDA</t>
  </si>
  <si>
    <t>7392 - BRASILIA MAQ. ELETRICAS E EQUIP. LTDA</t>
  </si>
  <si>
    <t>7417 - STILO WEB</t>
  </si>
  <si>
    <t>7434 - CONCIERGE BLINDADO SERVICOS AUTOMOTIVOS LTDA</t>
  </si>
  <si>
    <t>4293 - BANCO CAIXA</t>
  </si>
  <si>
    <t>7371 - ENCOMENDA DE CATALAO</t>
  </si>
  <si>
    <t>7372 - POSTO OBRAS</t>
  </si>
  <si>
    <t>7373 - FRETE OBRAS</t>
  </si>
  <si>
    <t>7378 - FERRAGISTA OBRAS</t>
  </si>
  <si>
    <t>7379 - FERRAGISTA OBRAS</t>
  </si>
  <si>
    <t>7380 - RESTAURANTE EL SHADAY</t>
  </si>
  <si>
    <t>7384 - CLINICA OBRAS</t>
  </si>
  <si>
    <t>7385 - FOLHA DE PAGAMENTO</t>
  </si>
  <si>
    <t>7386 - DESTAQUE MANUTENÇAO INDUSTRIAL LTDA</t>
  </si>
  <si>
    <t>7387 - HOTEIS OBRAS</t>
  </si>
  <si>
    <t>7388 - INDUSTRIALLY ALIMENTAÇÃO EMPRESARIAL LTDA</t>
  </si>
  <si>
    <t>7389 - CONNECT INF. E TECNOLOGIA</t>
  </si>
  <si>
    <t>7390 - ENCOMENDA BARRO ALTO</t>
  </si>
  <si>
    <t>7395 - RODRIGO ELETRICISTA</t>
  </si>
  <si>
    <t>7397 - PREGAO OBRAS</t>
  </si>
  <si>
    <t>7398 - BERTI &amp; JARDIM</t>
  </si>
  <si>
    <t>7399 - BANCO ITAU</t>
  </si>
  <si>
    <t>7400 - FERRAGISTA OBRAS</t>
  </si>
  <si>
    <t>7401 - PEDAGIOS OBRAS</t>
  </si>
  <si>
    <t>7402 - FOLHA DE PAGAMENTO</t>
  </si>
  <si>
    <t>7406 - AJEL MATERIAIS ELETRICOS LTDA</t>
  </si>
  <si>
    <t xml:space="preserve">8.7 - MATERIAL ELETRICO </t>
  </si>
  <si>
    <t>7407 - AJEL MONTAGEM E AUTOMACAO IND. LTDA</t>
  </si>
  <si>
    <t>7419 - BANCO ITAU</t>
  </si>
  <si>
    <t>7449 - FOLHA DE PAGAMENTO</t>
  </si>
  <si>
    <t>7450 - BANCO CAIXA</t>
  </si>
  <si>
    <t>7403 - SERVIÇOS DE LIMPEZA / FAXINA</t>
  </si>
  <si>
    <t>7404 - NUCLEO DE SAUDE DO TRABALHADOR CLINICA MEDICA LTDA</t>
  </si>
  <si>
    <t>7405 - ALEX INFORMATICA XCELL CELULARES E COMPUTADORES</t>
  </si>
  <si>
    <t>7410 - RESTAURANTE EL SHADAY</t>
  </si>
  <si>
    <t>7418 - VALDMAR AUGUSTO</t>
  </si>
  <si>
    <t>7420 - PREGAO OBRAS</t>
  </si>
  <si>
    <t>7422 - DESPESAS LOTE TRINDADE AIDEAL</t>
  </si>
  <si>
    <t>7423 - DESPESAS LOTE TRINDADE AIDEAL</t>
  </si>
  <si>
    <t>7424 - DESPESAS LOTE TRINDADE AIDEAL</t>
  </si>
  <si>
    <t>7425 - DESPESAS LOTE TRINDADE AIDEAL</t>
  </si>
  <si>
    <t>7429 - FUNDAÇAO SAO FRANCISCO XAVIER</t>
  </si>
  <si>
    <t>7431 - FERIAS</t>
  </si>
  <si>
    <t>7433 - SH LOCACAO DE ANDAIMES</t>
  </si>
  <si>
    <t>7435 - AUTO ALIANCE SEGURO DE VEICULO</t>
  </si>
  <si>
    <t>7436 - FERIAS</t>
  </si>
  <si>
    <t>7437 - FERIAS</t>
  </si>
  <si>
    <t>7438 - FERIAS</t>
  </si>
  <si>
    <t>7439 - MAGNO</t>
  </si>
  <si>
    <t>7441 - VALE ALIMENTAÇÃO OBRAS</t>
  </si>
  <si>
    <t>7442 - VALE ALIMENTAÇÃO OBRAS</t>
  </si>
  <si>
    <t>7443 - VALE ALIMENTAÇÃO OBRAS</t>
  </si>
  <si>
    <t>7444 - VALE ALIMENTAÇÃO OBRAS</t>
  </si>
  <si>
    <t>7445 - VALE ALIMENTAÇÃO OBRAS</t>
  </si>
  <si>
    <t>7446 - VALE ALIMENTAÇÃO OBRAS</t>
  </si>
  <si>
    <t>7447 - VALE ALIMENTAÇÃO OBRAS</t>
  </si>
  <si>
    <t>7448 - VALE ALIMENTAÇÃO OBRAS</t>
  </si>
  <si>
    <t>7451 - RESCISOES / FGTS</t>
  </si>
  <si>
    <t>7452 - RESCISOES / FGTS</t>
  </si>
  <si>
    <t>7453 - REFEIÇÃO OBRAS</t>
  </si>
  <si>
    <t>7454 - REFEIÇÃO OBRAS</t>
  </si>
  <si>
    <t>7455 - CAMINHAO MUNCK</t>
  </si>
  <si>
    <t>7.1 - LOCAÇÃO MUNCK / GUINDASTES</t>
  </si>
  <si>
    <t>7456 - JOSE OLIVEIRA SILVA MAT DE CONSTRUCAO</t>
  </si>
  <si>
    <t>7458 - TRIBUNAL REGIONAL DO TRABALHO</t>
  </si>
  <si>
    <t>7459 - TRIBUNAL REGIONAL DO TRABALHO</t>
  </si>
  <si>
    <t>7460 - FGTS</t>
  </si>
  <si>
    <t>7461 - FGTS</t>
  </si>
  <si>
    <t>7468 - BANCO ITAU</t>
  </si>
  <si>
    <t>7469 - BANCO ITAU</t>
  </si>
  <si>
    <t>7478 - KAPITÃO AMERICA EQUIPAMENTOS DE SEG LTDA</t>
  </si>
  <si>
    <t>7480 - MATRIX CONSULTORIA E GESTAO DE TREINAMENTO EIRELI</t>
  </si>
  <si>
    <t>7524 - A PONTEC RELOGIOS E COMERCIO LTDA</t>
  </si>
  <si>
    <t>7643 - FARDAS EXPRESS LTDA</t>
  </si>
  <si>
    <t>7606 - GERALDO PACHECO DE MELO</t>
  </si>
  <si>
    <t>7679 - TRANSTUR GS&amp;F</t>
  </si>
  <si>
    <t>3406 - BONIFICAÇOES</t>
  </si>
  <si>
    <t>6454 - ALUGUEIS OBRAS</t>
  </si>
  <si>
    <t>6727 - ALUGUEIS OBRAS</t>
  </si>
  <si>
    <t>6728 - ALUGUEIS OBRAS</t>
  </si>
  <si>
    <t>6729 - ALUGUEL GALPAO ADM FRANK ANTONIO</t>
  </si>
  <si>
    <t>6730 - ALUGUEIS OBRAS</t>
  </si>
  <si>
    <t>6731 - ALUGUEIS OBRAS</t>
  </si>
  <si>
    <t>6732 - ALUGUEIS OBRAS</t>
  </si>
  <si>
    <t>6736 - SR APRIGIO RODRIGUES</t>
  </si>
  <si>
    <t>7015 - UNIMED COOPERATIVA DE TRABALHO MEDICO</t>
  </si>
  <si>
    <t>7016 - UNIMED COOPERATIVA DE TRABALHO MEDICO</t>
  </si>
  <si>
    <t>7457 - GENILDO</t>
  </si>
  <si>
    <t>7462 - DESPESAS VEICULOS</t>
  </si>
  <si>
    <t>7463 - RESTAURANTES OBRAS</t>
  </si>
  <si>
    <t>7464 - RESTAURANTES OBRAS</t>
  </si>
  <si>
    <t>7465 - UBER JULIANO</t>
  </si>
  <si>
    <t>7466 - RESTAURANTES OBRAS</t>
  </si>
  <si>
    <t>7467 - DESPESAS DE VIAGEM</t>
  </si>
  <si>
    <t>7471 - FOLHA DE PAGAMENTO</t>
  </si>
  <si>
    <t>7472 - TRIBUNAL REGIONAL DO TRABALHO</t>
  </si>
  <si>
    <t>7473 - RESTAURANTE EL SHADAY</t>
  </si>
  <si>
    <t>7474 - JACINTO FERNANDES</t>
  </si>
  <si>
    <t>7475 - REFEIÇÃO OBRAS</t>
  </si>
  <si>
    <t>7476 - A S TURISMO</t>
  </si>
  <si>
    <t>7479 - MATRIX CONSULTORIA E GESTAO DE TREINAMENTO EIRELI</t>
  </si>
  <si>
    <t>7481 - ENCOMENDA DE CATALAO</t>
  </si>
  <si>
    <t>7482 - F G DA SILVA</t>
  </si>
  <si>
    <t>7483 - AJEL MONTAGEM E AUTOMACAO IND. LTDA</t>
  </si>
  <si>
    <t>7498 - ALR AUTOMACAO INDUSTRIAL</t>
  </si>
  <si>
    <t>7499 - ALR AUTOMACAO INDUSTRIAL</t>
  </si>
  <si>
    <t>7500 - PREGAO OBRAS</t>
  </si>
  <si>
    <t>7501 - PREGAO OBRAS</t>
  </si>
  <si>
    <t>7502 - VIVA LOCADORA LTDA</t>
  </si>
  <si>
    <t>7503 - VIVA LOCADORA LTDA</t>
  </si>
  <si>
    <t>7522 - BRASLIMP TRANSPORTES ESPECIALIZADOS LTDA</t>
  </si>
  <si>
    <t>7526 - POSTO A+ COMERCIO DE COMBUSTIVEL LTDA</t>
  </si>
  <si>
    <t>7538 - JAA COMPRESSORES LTDA</t>
  </si>
  <si>
    <t>7543 - BANCO CAIXA</t>
  </si>
  <si>
    <t>7544 - BANCO CAIXA</t>
  </si>
  <si>
    <t>7545 - BANCO CAIXA</t>
  </si>
  <si>
    <t>7561 - SEGUROS SURA S/A</t>
  </si>
  <si>
    <t>7614 - TRANSPORTADORA AQUINO E DINIZ LTDA</t>
  </si>
  <si>
    <t>7484 - MATERIAL DE CONSTRUÇÃO</t>
  </si>
  <si>
    <t>7485 - VALDMAR AUGUSTO</t>
  </si>
  <si>
    <t>7504 - ALUGUEIS OBRAS</t>
  </si>
  <si>
    <t>7505 - CLARO TELEFONIA</t>
  </si>
  <si>
    <t>7506 - ALUGUEIS OBRAS</t>
  </si>
  <si>
    <t>7507 - LAVA JATO OBRAS</t>
  </si>
  <si>
    <t>7508 - PAPELARIA OBRAS</t>
  </si>
  <si>
    <t>7509 - RESTAURANTE EL SHADAY</t>
  </si>
  <si>
    <t>7515 - DESPESAS LOTE TRINDADE AIDEAL</t>
  </si>
  <si>
    <t>7516 - EQUATORIAL DISTRIBUIDORA DE ENERGIA S.A.</t>
  </si>
  <si>
    <t>7517 - FERRAGISTA OBRAS</t>
  </si>
  <si>
    <t>7518 - RODOVIARIA MATEUS CABEÇA BRANCA</t>
  </si>
  <si>
    <t>7519 - DESPESAS DE VIAGEM</t>
  </si>
  <si>
    <t>7521 - VAN OBRAS</t>
  </si>
  <si>
    <t>7523 - PAPELARIA TRIBUTARIA LTDA</t>
  </si>
  <si>
    <t>7525 - COPASA SANEAMENTO</t>
  </si>
  <si>
    <t>7527 - REINALDO DIAS</t>
  </si>
  <si>
    <t>7528 - R &amp; L FERRAGENS E EPI LTDA</t>
  </si>
  <si>
    <t>7529 - EQUATORIAL DISTRIBUIDORA DE ENERGIA S.A.</t>
  </si>
  <si>
    <t>7530 - SAE AGUAS DE CATALAO</t>
  </si>
  <si>
    <t>7531 - SAE AGUAS DE CATALAO</t>
  </si>
  <si>
    <t>7532 - SAE AGUAS DE CATALAO</t>
  </si>
  <si>
    <t>7534 - URCA FRANCE AUTOMOVEIS LTDA</t>
  </si>
  <si>
    <t>7535 - ENCOMENDA BARRO ALTO</t>
  </si>
  <si>
    <t>7536 - REFEIÇÃO OBRAS</t>
  </si>
  <si>
    <t>7537 - ADEMIR AUTO ELETRICA</t>
  </si>
  <si>
    <t>7542 - OI TELEFONIA</t>
  </si>
  <si>
    <t>7577 - RG COMERCIAL TINTAS EIRELI</t>
  </si>
  <si>
    <t>7579 - NEOBETEL EPI, EQUIPAMENTOS DE PROTECAO INDIVIDUAL LTDA</t>
  </si>
  <si>
    <t>7581 - NEOBETEL EPI, EQUIPAMENTOS DE PROTECAO INDIVIDUAL LTDA</t>
  </si>
  <si>
    <t>4259 - TRIBUNAL REGIONAL DO TRABALHO</t>
  </si>
  <si>
    <t>7511 - RESCISOES / FGTS</t>
  </si>
  <si>
    <t>7512 - RESCISOES / FGTS</t>
  </si>
  <si>
    <t>7513 - RESCISOES / FGTS</t>
  </si>
  <si>
    <t>7514 - RESCISOES / FGTS</t>
  </si>
  <si>
    <t>7539 - RODRIGO ELETRICISTA</t>
  </si>
  <si>
    <t>7547 - PEDAGIOS OBRAS</t>
  </si>
  <si>
    <t>7549 - RESTAURANTE EL SHADAY</t>
  </si>
  <si>
    <t>7550 - J L TUBOS E CONEXOES LTDA</t>
  </si>
  <si>
    <t>7551 - CORREIOS OBRAS</t>
  </si>
  <si>
    <t>7552 - FERRAGISTA OBRAS</t>
  </si>
  <si>
    <t>7553 - RESCISOES / FGTS</t>
  </si>
  <si>
    <t>7554 - RESCISOES / FGTS</t>
  </si>
  <si>
    <t>7555 - RESCISOES / FGTS</t>
  </si>
  <si>
    <t>7556 - RESCISOES / FGTS</t>
  </si>
  <si>
    <t>7557 - EQUATORIAL DISTRIBUIDORA DE ENERGIA S.A.</t>
  </si>
  <si>
    <t>7560 - ALUGUEIS OBRAS</t>
  </si>
  <si>
    <t>7562 - CARTAO CREDITO EDUARDO</t>
  </si>
  <si>
    <t>7563 - CARTAO CREDITO EDUARDO</t>
  </si>
  <si>
    <t>7564 - CARTAO CREDITO EDUARDO</t>
  </si>
  <si>
    <t>7565 - CARTAO CREDITO EDUARDO</t>
  </si>
  <si>
    <t>7566 - CARTAO CREDITO EDUARDO</t>
  </si>
  <si>
    <t>7567 - CARTAO CREDITO EDUARDO</t>
  </si>
  <si>
    <t>7568 - CARTAO CREDITO EDUARDO</t>
  </si>
  <si>
    <t>7569 - CARTAO CREDITO EDUARDO</t>
  </si>
  <si>
    <t>7570 - CARTAO CREDITO EDUARDO</t>
  </si>
  <si>
    <t>7571 - CARTAO CREDITO EDUARDO</t>
  </si>
  <si>
    <t>7572 - CARTAO CREDITO EDUARDO</t>
  </si>
  <si>
    <t>7573 - CARTAO CREDITO EDUARDO</t>
  </si>
  <si>
    <t>7574 - CARTAO CREDITO EDUARDO</t>
  </si>
  <si>
    <t>7575 - CARTAO CREDITO EDUARDO</t>
  </si>
  <si>
    <t>7576 - LOC BEM - VILMAR</t>
  </si>
  <si>
    <t>7582 - EQUATORIAL DISTRIBUIDORA DE ENERGIA S.A.</t>
  </si>
  <si>
    <t>7583 - SAE AGUAS DE CATALAO</t>
  </si>
  <si>
    <t>7584 - EQUATORIAL DISTRIBUIDORA DE ENERGIA S.A.</t>
  </si>
  <si>
    <t>7585 - SAE AGUAS DE CATALAO</t>
  </si>
  <si>
    <t>7586 - ADIANTAMENTO SALARIAL</t>
  </si>
  <si>
    <t>7587 - SAE AGUAS DE CATALAO</t>
  </si>
  <si>
    <t>7588 - EQUATORIAL DISTRIBUIDORA DE ENERGIA S.A.</t>
  </si>
  <si>
    <t>7589 - CAIXA ROTATIVO OBRAS</t>
  </si>
  <si>
    <t>7590 - SILAS FRETE</t>
  </si>
  <si>
    <t>7603 - HS7 COLORS LTDA</t>
  </si>
  <si>
    <t>7610 - SABOR MINEIRO COMERCIO DE ALIMENTOS LTDA</t>
  </si>
  <si>
    <t>7613 - CLARUS COM DE EPI'S E FERRAMENTAS LTDA</t>
  </si>
  <si>
    <t>7829 - JOTUN BRASIL IMP. EXP. E INDUSTRIAL</t>
  </si>
  <si>
    <t>7830 - JOTUN BRASIL IMP. EXP. E INDUSTRIAL</t>
  </si>
  <si>
    <t>7594 - EQUATORIAL DISTRIBUIDORA DE ENERGIA S.A.</t>
  </si>
  <si>
    <t>7595 - SAE AGUAS DE CATALAO</t>
  </si>
  <si>
    <t>7596 - EQUATORIAL DISTRIBUIDORA DE ENERGIA S.A.</t>
  </si>
  <si>
    <t>7597 - EQUATORIAL DISTRIBUIDORA DE ENERGIA S.A.</t>
  </si>
  <si>
    <t>7598 - RESTAURANTE EL SHADAY</t>
  </si>
  <si>
    <t>7599 - RESTAURANTES OBRAS</t>
  </si>
  <si>
    <t>7600 - ALUGUEIS OBRAS</t>
  </si>
  <si>
    <t>7601 - QUALI TINTAS</t>
  </si>
  <si>
    <t>7602 - R &amp; L FERRAGENS E EPI LTDA</t>
  </si>
  <si>
    <t>7605 - CAIXA ROTATIVO OBRAS</t>
  </si>
  <si>
    <t>7607 - GERALDO PACHECO DE MELO</t>
  </si>
  <si>
    <t>7608 - PAPELARIA TRIBUTARIA LTDA</t>
  </si>
  <si>
    <t>7609 - CLARO TELEFONIA</t>
  </si>
  <si>
    <t>7611 - SEGURANÇA E SAUDE NO TRABALHO LTDA</t>
  </si>
  <si>
    <t>7612 - CLARUS COM DE EPI'S E FERRAMENTAS LTDA</t>
  </si>
  <si>
    <t>7615 - MARCOS CONTAINER LTDA M.E</t>
  </si>
  <si>
    <t>7616 - DESPESAS VEICULOS</t>
  </si>
  <si>
    <t>7617 - CREA</t>
  </si>
  <si>
    <t>7618 - NEOBETEL EPI, EQUIPAMENTOS DE PROTECAO INDIVIDUAL LTDA</t>
  </si>
  <si>
    <t>7620 - POSTO OBRAS</t>
  </si>
  <si>
    <t>7747 - FERIAS</t>
  </si>
  <si>
    <t>7558 - RESCISOES / FGTS</t>
  </si>
  <si>
    <t>7559 - RESCISOES / FGTS</t>
  </si>
  <si>
    <t>7621 - ALEX INFORMATICA XCELL CELULARES E COMPUTADORES</t>
  </si>
  <si>
    <t>7622 - MAGNO</t>
  </si>
  <si>
    <t>7623 - FERRAGISTA OBRAS</t>
  </si>
  <si>
    <t>7624 - POSTO OBRAS</t>
  </si>
  <si>
    <t>7625 - ADEMIR AUTO ELETRICA</t>
  </si>
  <si>
    <t>7626 - ALUGUEIS OBRAS</t>
  </si>
  <si>
    <t>7627 - INFORMATICA OBRAS</t>
  </si>
  <si>
    <t>7628 - SOFTEN SISTEMAS DE INFORMATICA LTDA</t>
  </si>
  <si>
    <t>7629 - EPIS</t>
  </si>
  <si>
    <t>7630 - CORDEIRO GUINDASTES</t>
  </si>
  <si>
    <t>7631 - LAVA JATO OBRAS</t>
  </si>
  <si>
    <t>7632 - DESPESAS LOTE TRINDADE AIDEAL</t>
  </si>
  <si>
    <t>7633 - DESPESAS LOTE TRINDADE AIDEAL</t>
  </si>
  <si>
    <t>7634 - DESPESAS LOTE TRINDADE AIDEAL</t>
  </si>
  <si>
    <t>7635 - DESPESAS LOTE TRINDADE AIDEAL</t>
  </si>
  <si>
    <t>7636 - POSTO OBRAS</t>
  </si>
  <si>
    <t>7637 - PEDAGIOS OBRAS</t>
  </si>
  <si>
    <t>7640 - MERCADO</t>
  </si>
  <si>
    <t>7644 - AMHIGO ASSITENCIA MECANICA HID. DE GOIAS LTDA</t>
  </si>
  <si>
    <t>7645 - RESCISOES / FGTS</t>
  </si>
  <si>
    <t>7646 - FGTS</t>
  </si>
  <si>
    <t>7647 - DESPESAS DE VIAGEM</t>
  </si>
  <si>
    <t>7648 - UBER MOACIR</t>
  </si>
  <si>
    <t>7655 - VALDMAR AUGUSTO</t>
  </si>
  <si>
    <t>7656 - BERTI &amp; JARDIM</t>
  </si>
  <si>
    <t>7657 - POSTO OBRAS</t>
  </si>
  <si>
    <t>7658 - REFEIÇÃO OBRAS</t>
  </si>
  <si>
    <t>7661 - REFEIÇÃO OBRAS</t>
  </si>
  <si>
    <t>7663 - REFEIÇÃO OBRAS</t>
  </si>
  <si>
    <t>7665 - REFEIÇÃO OBRAS</t>
  </si>
  <si>
    <t>7667 - REFEIÇÃO OBRAS</t>
  </si>
  <si>
    <t>7669 - REFEIÇÃO OBRAS</t>
  </si>
  <si>
    <t>7671 - REFEIÇÃO OBRAS</t>
  </si>
  <si>
    <t>7809 - ESTRELA ENCOMENDAS LTDA</t>
  </si>
  <si>
    <t>6719 - SISTEMA VICTORY</t>
  </si>
  <si>
    <t>6823 - WILLIAM ADM</t>
  </si>
  <si>
    <t>6824 - ALUGUEIS OBRAS</t>
  </si>
  <si>
    <t>6825 - ALUGUEIS OBRAS</t>
  </si>
  <si>
    <t>6831 - INTERNET OBRAS</t>
  </si>
  <si>
    <t>6861 - ALUGUEIS OBRAS</t>
  </si>
  <si>
    <t>7236 - ALUGUEIS OBRAS</t>
  </si>
  <si>
    <t>7533 - ALUGUEIS OBRAS</t>
  </si>
  <si>
    <t>7678 - R &amp; L FERRAGENS E EPI LTDA</t>
  </si>
  <si>
    <t>7685 - LIMP + QUIMICOS E DESCARTAVEIS EIRELI</t>
  </si>
  <si>
    <t>7736 - MATA FOME REFEICAO COLETIVA LTDA</t>
  </si>
  <si>
    <t>7069 - DETRAN - GO</t>
  </si>
  <si>
    <t>7079 - DETRAN - GO</t>
  </si>
  <si>
    <t>7088 - DETRAN - GO</t>
  </si>
  <si>
    <t>7098 - DETRAN - GO</t>
  </si>
  <si>
    <t>7109 - DETRAN - GO</t>
  </si>
  <si>
    <t>7119 - DETRAN - GO</t>
  </si>
  <si>
    <t>7131 - DETRAN - GO</t>
  </si>
  <si>
    <t>7141 - DETRAN - GO</t>
  </si>
  <si>
    <t>7151 - DETRAN - GO</t>
  </si>
  <si>
    <t>7162 - DETRAN - GO</t>
  </si>
  <si>
    <t>7172 - DETRAN - GO</t>
  </si>
  <si>
    <t>7182 - DETRAN - GO</t>
  </si>
  <si>
    <t>7192 - DETRAN - GO</t>
  </si>
  <si>
    <t>7649 - VAN OBRAS</t>
  </si>
  <si>
    <t>7650 - SILAS FRETE</t>
  </si>
  <si>
    <t>7651 - ROBERTO SERVIÇOS</t>
  </si>
  <si>
    <t>7652 - VALDMAR AUGUSTO</t>
  </si>
  <si>
    <t>7653 - POSTO OBRAS</t>
  </si>
  <si>
    <t>7654 - FGTS</t>
  </si>
  <si>
    <t>7659 - REFEIÇÃO OBRAS</t>
  </si>
  <si>
    <t>7673 - ROBERTO SERVIÇOS</t>
  </si>
  <si>
    <t>7675 - RESTAURANTE EL SHADAY</t>
  </si>
  <si>
    <t>7676 - DCTF WEB</t>
  </si>
  <si>
    <t>7677 - JOSE HUMBERTO MOTA TREINAMENTOS</t>
  </si>
  <si>
    <t>7680 - SD COMERCIAL EQUIPAMENTOS LTDA</t>
  </si>
  <si>
    <t>7681 - SANEAMENTO DE GOIA S.A</t>
  </si>
  <si>
    <t>7682 - WERLEYANO INDIO DO CARIRI FILHO LTDA</t>
  </si>
  <si>
    <t>7683 - JACINTO FERNANDES</t>
  </si>
  <si>
    <t>7684 - UBER JULIANO</t>
  </si>
  <si>
    <t>7686 - MM CLINICA MEDICA DE SERRA DO SALITRE</t>
  </si>
  <si>
    <t>7687 - COPASA SANEAMENTO</t>
  </si>
  <si>
    <t>7688 - ENCOMENDA DE CATALAO</t>
  </si>
  <si>
    <t>7689 - FONTEBRAS HOME CENTER COM. DE MAT.</t>
  </si>
  <si>
    <t>7690 - POSTO FERREIRA MATIAS COMBUSTIVEL LTDA</t>
  </si>
  <si>
    <t>7691 - BANCO ITAU</t>
  </si>
  <si>
    <t>7692 - POSTO OBRAS</t>
  </si>
  <si>
    <t>7693 - CORREIOS OBRAS</t>
  </si>
  <si>
    <t>7694 - EPIFER EPIS E FERRAMENTAS LTDA</t>
  </si>
  <si>
    <t>7695 - EPIFER EPIS E FERRAMENTAS LTDA</t>
  </si>
  <si>
    <t>7696 - ALUGUEIS OBRAS</t>
  </si>
  <si>
    <t>7704 - REFEIÇÃO OBRAS</t>
  </si>
  <si>
    <t>7705 - HOTEIS OBRAS</t>
  </si>
  <si>
    <t>7707 - DANIEL BATISTA  DE LIMA</t>
  </si>
  <si>
    <t>7709 - DESPESAS LOTE TRINDADE AIDEAL</t>
  </si>
  <si>
    <t>7717 - ROCHELLI LIMA CAMPEZONI</t>
  </si>
  <si>
    <t>7718 - ROCHELLI LIMA CAMPEZONI</t>
  </si>
  <si>
    <t>4318 - BANCO CAIXA</t>
  </si>
  <si>
    <t>7706 - CEMIG DISTRIBUIÇÃO S.A</t>
  </si>
  <si>
    <t>7708 - FERRAGISTA OBRAS</t>
  </si>
  <si>
    <t>7710 - ADIANTAMENTO SALARIAL</t>
  </si>
  <si>
    <t>7711 - RESTAURANTE EL SHADAY</t>
  </si>
  <si>
    <t>7712 - FRETE OBRAS</t>
  </si>
  <si>
    <t>7713 - AGSMB ASSOSIAÇAO GOIANIA DE SOCORRO</t>
  </si>
  <si>
    <t>7715 - NAVESA NACIONAL DE VEICULOS LTDA</t>
  </si>
  <si>
    <t>7716 - POSTO OBRAS</t>
  </si>
  <si>
    <t>7719 - FERIAS</t>
  </si>
  <si>
    <t>7720 - FERIAS</t>
  </si>
  <si>
    <t>7721 - FERIAS</t>
  </si>
  <si>
    <t>7722 - FERIAS</t>
  </si>
  <si>
    <t>7723 - FERIAS</t>
  </si>
  <si>
    <t>7724 - FERIAS</t>
  </si>
  <si>
    <t>7725 - FERIAS</t>
  </si>
  <si>
    <t>7726 - REFEIÇÃO OBRAS</t>
  </si>
  <si>
    <t>7727 - BANCO ITAU</t>
  </si>
  <si>
    <t>7728 - ROBERTO SERVIÇOS</t>
  </si>
  <si>
    <t>7729 - DESPESAS VEICULOS</t>
  </si>
  <si>
    <t>7733 - POSTO A+ COMERCIO DE COMBUSTIVEL LTDA</t>
  </si>
  <si>
    <t>7735 - IDELFONSO SOARES DOS REIS - ME</t>
  </si>
  <si>
    <t>7742 - DESPESAS LOTE TRINDADE AIDEAL</t>
  </si>
  <si>
    <t>7750 - RESTAURANTE MARINA LTDA</t>
  </si>
  <si>
    <t>7755 - SEGURANÇA E SAUDE NO TRABALHO LTDA</t>
  </si>
  <si>
    <t>7789 - NEOBETEL EPI, EQUIPAMENTOS DE PROTECAO INDIVIDUAL LTDA</t>
  </si>
  <si>
    <t>7817 - NEOBETEL EPI, EQUIPAMENTOS DE PROTECAO INDIVIDUAL LTDA</t>
  </si>
  <si>
    <t>7818 - NEOBETEL EPI, EQUIPAMENTOS DE PROTECAO INDIVIDUAL LTDA</t>
  </si>
  <si>
    <t>7819 - NEOBETEL EPI, EQUIPAMENTOS DE PROTECAO INDIVIDUAL LTDA</t>
  </si>
  <si>
    <t>7820 - NEOBETEL EPI, EQUIPAMENTOS DE PROTECAO INDIVIDUAL LTDA</t>
  </si>
  <si>
    <t>7731 - RESTAURANTES OBRAS</t>
  </si>
  <si>
    <t>7732 - SANEAMENTO DE GOIA S.A</t>
  </si>
  <si>
    <t>7734 - GLOBAL UNIFORMES</t>
  </si>
  <si>
    <t>7737 - ZERO ONE TECNLOGIA DA INFORMAÇAO LTDA</t>
  </si>
  <si>
    <t>7738 - RODOVIARIA MATEUS CABEÇA BRANCA</t>
  </si>
  <si>
    <t>7739 - DESPESAS DE VIAGEM</t>
  </si>
  <si>
    <t>7740 - FERIAS</t>
  </si>
  <si>
    <t>7741 - MATRIX CONSULTORIA E GESTAO DE TREINAMENTO EIRELI</t>
  </si>
  <si>
    <t>7744 - HOTEL GOIAS NORTE</t>
  </si>
  <si>
    <t>7745 - ALUGUEIS OBRAS</t>
  </si>
  <si>
    <t>7746 - RESTAURANTE EL SHADAY</t>
  </si>
  <si>
    <t>7748 - DESPESAS LOTE TRINDADE AIDEAL</t>
  </si>
  <si>
    <t>7749 - DESPESAS LOTE TRINDADE AIDEAL</t>
  </si>
  <si>
    <t>7751 - HOTEIS OBRAS</t>
  </si>
  <si>
    <t>7752 - CEMIG DISTRIBUIÇÃO S.A</t>
  </si>
  <si>
    <t>7753 - CEMIG DISTRIBUIÇÃO S.A</t>
  </si>
  <si>
    <t>7754 - CVAL ALUGUEL DE VEÍCULOS LTDA</t>
  </si>
  <si>
    <t>7756 - AJEL MATERIAIS ELETRICOS LTDA</t>
  </si>
  <si>
    <t>7757 - SMART BOSS SERVIÇOS LTDA</t>
  </si>
  <si>
    <t>7767 - SMART BOSS SERVIÇOS LTDA</t>
  </si>
  <si>
    <t>7772 - POSTO OBRAS</t>
  </si>
  <si>
    <t>7773 - VALDMAR AUGUSTO</t>
  </si>
  <si>
    <t>7774 - DESPESAS VEICULOS</t>
  </si>
  <si>
    <t>7775 - FERRAGISTA OBRAS</t>
  </si>
  <si>
    <t>4.3 - OUTROS MATERIAIS DE APLICAÇÃO</t>
  </si>
  <si>
    <t>7776 - PREGAO OBRAS</t>
  </si>
  <si>
    <t>7777 - ROBERTO SERVIÇOS</t>
  </si>
  <si>
    <t>7778 - POSTO OBRAS</t>
  </si>
  <si>
    <t>7784 - CLARUS COM DE EPI'S E FERRAMENTAS LTDA</t>
  </si>
  <si>
    <t>7785 - STOCK MINAS GOIAS LTDA. ME</t>
  </si>
  <si>
    <t>7821 - QUALI TINTAS</t>
  </si>
  <si>
    <t>8274 - LIMP + QUIMICOS E DESCARTAVEIS EIRELI</t>
  </si>
  <si>
    <t>6927 - FLORENCE SOARES SILVA SOCIEDADE INDIVIDUAL DE ADVOCACIA</t>
  </si>
  <si>
    <t>6928 - ALUGUEIS OBRAS</t>
  </si>
  <si>
    <t>6929 - ADVOGADO</t>
  </si>
  <si>
    <t>7779 - ENCOMENDA GOIANÉSIA</t>
  </si>
  <si>
    <t>7780 - ASA BRANCA TRANSPORTADORA DE ENCOMENDAS LTDA</t>
  </si>
  <si>
    <t>7783 - GERENCIE SOLUCOES ONLINE LTDA</t>
  </si>
  <si>
    <t>7786 - MERCADO LIVRE</t>
  </si>
  <si>
    <t>7787 - RESTAURANTE EL SHADAY</t>
  </si>
  <si>
    <t>7788 - FERIAS</t>
  </si>
  <si>
    <t>7790 - NEOBETEL EPI, EQUIPAMENTOS DE PROTECAO INDIVIDUAL LTDA</t>
  </si>
  <si>
    <t>7793 - CAIXA ROTATIVO OBRAS</t>
  </si>
  <si>
    <t>7794 - PLR - PARTICIPAÇÃO LUCROS</t>
  </si>
  <si>
    <t>12.16 - PLR</t>
  </si>
  <si>
    <t>7795 - CARBRAZ AGUA</t>
  </si>
  <si>
    <t>7799 - ADIANTAMENTO SALARIAL</t>
  </si>
  <si>
    <t>7800 - PREGAO OBRAS</t>
  </si>
  <si>
    <t>7801 - HOTEL GOIAS NORTE</t>
  </si>
  <si>
    <t>7802 - ROBERTO SERVIÇOS</t>
  </si>
  <si>
    <t>7803 - ZEQUINHA BORDADOS LTDA</t>
  </si>
  <si>
    <t>7805 - LAVA JATO OBRAS</t>
  </si>
  <si>
    <t>7822 - REDE EPI FERRAMENTAS PROF. E EQUIP. DE SEG. LTDA</t>
  </si>
  <si>
    <t>7791 - RESCISOES / FGTS</t>
  </si>
  <si>
    <t>7792 - RESCISOES / FGTS</t>
  </si>
  <si>
    <t>7804 - UBER MOACIR</t>
  </si>
  <si>
    <t>7806 - DESPESAS LOTE TRINDADE AIDEAL</t>
  </si>
  <si>
    <t>7808 - JUNÃO</t>
  </si>
  <si>
    <t>7810 - MAGNO</t>
  </si>
  <si>
    <t>7811 - RESTAURANTE EL SHADAY</t>
  </si>
  <si>
    <t>7812 - DESPESAS LOTE TRINDADE AIDEAL</t>
  </si>
  <si>
    <t>7813 - DESPESAS LOTE TRINDADE AIDEAL</t>
  </si>
  <si>
    <t>7814 - DESPESAS LOTE TRINDADE AIDEAL</t>
  </si>
  <si>
    <t>7815 - DESPESAS LOTE TRINDADE AIDEAL</t>
  </si>
  <si>
    <t>7816 - DESPESAS LOTE TRINDADE AIDEAL</t>
  </si>
  <si>
    <t>7823 - HOTEIS OBRAS</t>
  </si>
  <si>
    <t>7827 - TRIBUNAL REGIONAL DO TRABALHO</t>
  </si>
  <si>
    <t>7828 - TRIBUNAL REGIONAL DO TRABALHO</t>
  </si>
  <si>
    <t>7831 - VAN OBRAS</t>
  </si>
  <si>
    <t>7832 - MERCADO</t>
  </si>
  <si>
    <t>7833 - VALDMAR AUGUSTO</t>
  </si>
  <si>
    <t>7834 - JOSE OLIVEIRA SILVA MAT DE CONSTRUCAO</t>
  </si>
  <si>
    <t>7835 - CURSOS/TREINAMENTOS OBRAS</t>
  </si>
  <si>
    <t>7836 - RESCISOES / FGTS</t>
  </si>
  <si>
    <t>7842 - KLEBER AUGUSTO L. C. DE BERNARDO</t>
  </si>
  <si>
    <t>7845 - PRO MINAS MATERIAIS DE SEGURANÇA LTDA</t>
  </si>
  <si>
    <t>7846 - AMO ASSESSORIA MEDICA OCUPACIONAL LTDA</t>
  </si>
  <si>
    <t>7857 - UNIODONTO UBERABA - COOP. DE ASSISTENCIA A SAUDE ODONTOLOGICA LTDA</t>
  </si>
  <si>
    <t>7839 - REAL BORRACHA EIRELI</t>
  </si>
  <si>
    <t>7858 - CARTAO PRA TODOS</t>
  </si>
  <si>
    <t>7838 - ADVOGADO</t>
  </si>
  <si>
    <t>7840 - GENILDO</t>
  </si>
  <si>
    <t>7841 - RESTAURANTE EL SHADAY</t>
  </si>
  <si>
    <t>7843 - PRUDENTIAL DO BRASIL SEGURO DE VIDAS</t>
  </si>
  <si>
    <t>7844 - PRUDENTIAL DO BRASIL SEGURO DE VIDAS</t>
  </si>
  <si>
    <t>7847 - CAMINHAO MUNCK</t>
  </si>
  <si>
    <t>7848 - UBER JULIANO</t>
  </si>
  <si>
    <t>7849 - FERNANDES BORGES SERVICOS LTDA</t>
  </si>
  <si>
    <t>7850 - MAURO ARTE NOVA PLOTAGEM</t>
  </si>
  <si>
    <t>7851 - RESTAURANTES OBRAS</t>
  </si>
  <si>
    <t>7852 - POSTO OBRAS</t>
  </si>
  <si>
    <t>7853 - JACINTO FERNANDES</t>
  </si>
  <si>
    <t>7854 - PIS</t>
  </si>
  <si>
    <t>7855 - COFINS</t>
  </si>
  <si>
    <t>7856 - MATRIX CONSULTORIA E GESTAO DE TREINAMENTO EIRELI</t>
  </si>
  <si>
    <t>7865 - MATRIX CONSULTORIA E GESTAO DE TREINAMENTO EIRELI</t>
  </si>
  <si>
    <t>7866 - PANNE BELLO LTDA</t>
  </si>
  <si>
    <t>7871 - VALDMAR AUGUSTO</t>
  </si>
  <si>
    <t>7873 - REFEIÇÃO OBRAS</t>
  </si>
  <si>
    <t>7874 - DESPESAS VEICULOS</t>
  </si>
  <si>
    <t>7875 - SERVIÇOS DE LIMPEZA / FAXINA</t>
  </si>
  <si>
    <t>7877 - VEICULO</t>
  </si>
  <si>
    <t xml:space="preserve">6.11 - COMPRA DE VEICULO </t>
  </si>
  <si>
    <t>7878 - DESPACHANTES</t>
  </si>
  <si>
    <t>7879 - DESPESAS VEICULOS</t>
  </si>
  <si>
    <t>7880 - DESPACHANTES</t>
  </si>
  <si>
    <t>7882 - BANCO CAIXA</t>
  </si>
  <si>
    <t>7883 - BANCO MERCANTIL</t>
  </si>
  <si>
    <t>7909 - AMOSTRA ASSISTENCIA MEDICA LTDA</t>
  </si>
  <si>
    <t>7944 - FARDAS EXPRESS LTDA</t>
  </si>
  <si>
    <t>5406 - PGFN</t>
  </si>
  <si>
    <t>5465 - PGFN</t>
  </si>
  <si>
    <t>5506 - PGFN</t>
  </si>
  <si>
    <t>7881 - AGSMB ASSOSIAÇAO GOIANIA DE SOCORRO</t>
  </si>
  <si>
    <t>7885 - ENCOMENDA DE CATALAO</t>
  </si>
  <si>
    <t>7886 - FONTEBRAS HOME CENTER COM. DE MAT.</t>
  </si>
  <si>
    <t>7887 - RESTAURANTE EL SHADAY</t>
  </si>
  <si>
    <t>7888 - DESPESAS LOTE TRINDADE AIDEAL</t>
  </si>
  <si>
    <t>7889 - DESTAQUE MANUTENÇAO INDUSTRIAL LTDA</t>
  </si>
  <si>
    <t>7890 - FERIAS</t>
  </si>
  <si>
    <t>7891 - DCTF WEB</t>
  </si>
  <si>
    <t>7892 - DESPESAS DE VIAGEM</t>
  </si>
  <si>
    <t>7893 - TRIBUNAL REGIONAL DO TRABALHO</t>
  </si>
  <si>
    <t>7894 - POSTO OBRAS</t>
  </si>
  <si>
    <t>7895 - DESPESAS VEICULOS</t>
  </si>
  <si>
    <t>7896 - MERCADO LIVRE</t>
  </si>
  <si>
    <t>7897 - BANCO ITAU</t>
  </si>
  <si>
    <t>7898 - CENTRAL LOGISTICA TRANSPORTES LTDA</t>
  </si>
  <si>
    <t>10.3 - FRETE TINTAS E SOLVENTE</t>
  </si>
  <si>
    <t>7899 - DESPESAS VEICULOS</t>
  </si>
  <si>
    <t>7900 - POSTO A+ COMERCIO DE COMBUSTIVEL LTDA</t>
  </si>
  <si>
    <t>7901 - GUSA DO BRASIL MOBILIARIO E CONTAINER</t>
  </si>
  <si>
    <t>7998 - QUALI TINTAS</t>
  </si>
  <si>
    <t>8009 - QUALI TINTAS</t>
  </si>
  <si>
    <t>8054 - ALCON ENGENHARIA DE SISTEMA LTDA</t>
  </si>
  <si>
    <t>7129 - INTERNET OBRAS</t>
  </si>
  <si>
    <t>7902 - DESTAQUE MANUTENÇAO INDUSTRIAL LTDA</t>
  </si>
  <si>
    <t>7903 - DESTAQUE MANUTENÇAO INDUSTRIAL LTDA</t>
  </si>
  <si>
    <t>7904 - DESTAQUE MANUTENÇAO INDUSTRIAL LTDA</t>
  </si>
  <si>
    <t>7905 - AGSMB ASSOSIAÇAO GOIANIA DE SOCORRO</t>
  </si>
  <si>
    <t>7906 - RODOVIARIA MATEUS CABEÇA BRANCA</t>
  </si>
  <si>
    <t>7907 - DESPESAS DE VIAGEM</t>
  </si>
  <si>
    <t>7908 - PREGAO OBRAS</t>
  </si>
  <si>
    <t>7910 - FERRAGISTA OBRAS</t>
  </si>
  <si>
    <t>7911 - DESPESAS VEICULOS</t>
  </si>
  <si>
    <t>7912 - PLANETA EMBALAGENS</t>
  </si>
  <si>
    <t>7913 - EPIFER EPIS E FERRAMENTAS LTDA</t>
  </si>
  <si>
    <t>7914 - AJEL MATERIAIS ELETRICOS LTDA</t>
  </si>
  <si>
    <t>7915 - FERRAGISTA OBRAS</t>
  </si>
  <si>
    <t>7916 - UBER OBRAS</t>
  </si>
  <si>
    <t>7917 - CLINICA OBRAS</t>
  </si>
  <si>
    <t>7946 - RENOVE SOLUCOES EM SEGURANCA EIRELI</t>
  </si>
  <si>
    <t>7947 - RENOVE SOLUCOES EM SEGURANCA EIRELI</t>
  </si>
  <si>
    <t>4171 - PGFN</t>
  </si>
  <si>
    <t>4233 - PGFN</t>
  </si>
  <si>
    <t>5783 - PGFN</t>
  </si>
  <si>
    <t>5843 - PGFN</t>
  </si>
  <si>
    <t>6531 - BANCO ITAU</t>
  </si>
  <si>
    <t>7180 - DETRAN - GO</t>
  </si>
  <si>
    <t>7921 - JUNÃO</t>
  </si>
  <si>
    <t>7922 - ENCOMENDA DE CATALAO</t>
  </si>
  <si>
    <t>7923 - CARTORIO</t>
  </si>
  <si>
    <t>7924 - POSTO OBRAS</t>
  </si>
  <si>
    <t>7925 - RESTAURANTE EL SHADAY</t>
  </si>
  <si>
    <t>7926 - CLINICA OBRAS</t>
  </si>
  <si>
    <t>7927 - EL SHADDAI PARAFUSOS E FERRAMENTAS</t>
  </si>
  <si>
    <t>7928 - MERCADO LIVRE</t>
  </si>
  <si>
    <t>7929 - IDELFONSO SOARES DOS REIS - ME</t>
  </si>
  <si>
    <t>7930 - VALE TRANSPORTE</t>
  </si>
  <si>
    <t>7931 - VALE TRANSPORTE</t>
  </si>
  <si>
    <t>7932 - VALE TRANSPORTE</t>
  </si>
  <si>
    <t>7933 - VALE TRANSPORTE</t>
  </si>
  <si>
    <t>7934 - FERRAGISTA OBRAS</t>
  </si>
  <si>
    <t>7935 - BIRCK &amp; AMP ROCHA LTDA</t>
  </si>
  <si>
    <t>7936 - FERRAGISTA OBRAS</t>
  </si>
  <si>
    <t>7937 - TRIBUNAL REGIONAL DO TRABALHO</t>
  </si>
  <si>
    <t>7938 - AMHIGO ASSITENCIA MECANICA HID. DE GOIAS LTDA</t>
  </si>
  <si>
    <t>7940 - BERTI &amp; JARDIM</t>
  </si>
  <si>
    <t>7941 - MAGNO</t>
  </si>
  <si>
    <t>7942 - VAN OBRAS</t>
  </si>
  <si>
    <t>7943 - EQUATORIAL DISTRIBUIDORA DE ENERGIA S.A.</t>
  </si>
  <si>
    <t>7945 - ENCOMENDA BARRO ALTO</t>
  </si>
  <si>
    <t>7948 - UBER MOACIR</t>
  </si>
  <si>
    <t>7949 - UBER OBRAS</t>
  </si>
  <si>
    <t>7968 - AJEL MATERIAIS ELETRICOS LTDA</t>
  </si>
  <si>
    <t>8078 - ESTRELA ENCOMENDAS LTDA</t>
  </si>
  <si>
    <t>8528 - POSTO MAIS LTDA</t>
  </si>
  <si>
    <t>5649 - DARF</t>
  </si>
  <si>
    <t>7950 - GENILDO</t>
  </si>
  <si>
    <t>7951 - POSTO MAIS LTDA</t>
  </si>
  <si>
    <t>7952 - EL SHADDAI PARAFUSOS E FERRAMENTAS</t>
  </si>
  <si>
    <t>7954 - R &amp; L FERRAGENS E EPI LTDA</t>
  </si>
  <si>
    <t>7955 - MASTER TUR TRANSPORTE DE PASSAGEIROS LTDA</t>
  </si>
  <si>
    <t>7956 - JUNÃO</t>
  </si>
  <si>
    <t>7957 - RESTAURANTE EL SHADAY</t>
  </si>
  <si>
    <t>7959 - EL SHADDAI PARAFUSOS E FERRAMENTAS</t>
  </si>
  <si>
    <t>7961 - PAPELARIA TRIBUTARIA LTDA</t>
  </si>
  <si>
    <t>7962 - PAPELARIA TRIBUTARIA LTDA</t>
  </si>
  <si>
    <t>7963 - POSTO OBRAS</t>
  </si>
  <si>
    <t>7964 - DESPESAS VEICULOS</t>
  </si>
  <si>
    <t>7965 - MERCADO</t>
  </si>
  <si>
    <t>7966 - FERRAGISTA OBRAS</t>
  </si>
  <si>
    <t>7967 - FERRAGISTA OBRAS</t>
  </si>
  <si>
    <t>7969 - DESPESAS LOTE TRINDADE AIDEAL</t>
  </si>
  <si>
    <t>7970 - DESPESAS LOTE TRINDADE AIDEAL</t>
  </si>
  <si>
    <t>7971 - DESPESAS LOTE TRINDADE AIDEAL</t>
  </si>
  <si>
    <t>7972 - TRIBUNAL REGIONAL DO TRABALHO</t>
  </si>
  <si>
    <t>7973 - DARF</t>
  </si>
  <si>
    <t>7974 - PAPELARIA OBRAS</t>
  </si>
  <si>
    <t>7975 - DESPESAS VEICULOS</t>
  </si>
  <si>
    <t>7976 - CLINICA OBRAS</t>
  </si>
  <si>
    <t>7977 - ROCHELLI LIMA CAMPEZONI</t>
  </si>
  <si>
    <t>7978 - JOSE OLIVEIRA SILVA MAT DE CONSTRUCAO</t>
  </si>
  <si>
    <t>7979 - INDUSTRIALLY ALIMENTAÇÃO EMPRESARIAL LTDA</t>
  </si>
  <si>
    <t>7980 - TAMBORES BRASIL LTDA</t>
  </si>
  <si>
    <t>7989 - IMPOSTOS</t>
  </si>
  <si>
    <t>8010 - NEOBETEL EPI, EQUIPAMENTOS DE PROTECAO INDIVIDUAL LTDA</t>
  </si>
  <si>
    <t>8076 - AJEL MONTAGEM E AUTOMACAO IND. LTDA</t>
  </si>
  <si>
    <t>8077 - QUALISOL INDUSTRIA E COMERCIO DE PRODUTOS QUIMICOS LTDA</t>
  </si>
  <si>
    <t>Juros Bancários</t>
  </si>
  <si>
    <t>Construção da Nova Sede</t>
  </si>
  <si>
    <t>Empréstimos Bancários</t>
  </si>
  <si>
    <t>Despesas com Processos</t>
  </si>
  <si>
    <t>Parcelamento impostos exercicios anteriores</t>
  </si>
  <si>
    <t>Compra de veiculos</t>
  </si>
  <si>
    <t>Financiamento</t>
  </si>
  <si>
    <t>Consorcios</t>
  </si>
  <si>
    <t>IR Retido</t>
  </si>
  <si>
    <t>ISS Retido</t>
  </si>
  <si>
    <t>INSS Retido</t>
  </si>
  <si>
    <t>6572-CMOC BRASIL MINERAÇAO INDUSTRIAL E PARTICIPAÇOES</t>
  </si>
  <si>
    <t>6793-CMOC BRASIL MINERAÇAO INDUSTRIAL E PARTICIPAÇOES</t>
  </si>
  <si>
    <t>6860-CMOC BRASIL MINERAÇAO INDUSTRIAL E PARTICIPAÇOES</t>
  </si>
  <si>
    <t>6871-CMOC BRASIL MINERAÇAO INDUSTRIAL E PARTICIPAÇOES</t>
  </si>
  <si>
    <t>6935-CMOC BRASIL MINERAÇAO INDUSTRIAL E PARTICIPAÇOES</t>
  </si>
  <si>
    <t>6943-DELTA 3 IV ENERGIA SA</t>
  </si>
  <si>
    <t>6949-DELTA 3 IV ENERGIA SA</t>
  </si>
  <si>
    <t>6574-VLI MULTIMODAL S.A</t>
  </si>
  <si>
    <t>6891-MOSAIC FERTILIZANTES DO BRASIL LTDA UBERABA ROTINA</t>
  </si>
  <si>
    <t>6936-SALITRE FERTILIZANTES LTDA</t>
  </si>
  <si>
    <t>6937-SALITRE FERTILIZANTES LTDA</t>
  </si>
  <si>
    <t>6939-SALITRE FERTILIZANTES LTDA</t>
  </si>
  <si>
    <t>7010-ANGLO AMERICAN NIQUEL BRASIL LTDA</t>
  </si>
  <si>
    <t>NIOBIO CMOC CONTRATO</t>
  </si>
  <si>
    <t>FOSFATO CMOC CONTRAT</t>
  </si>
  <si>
    <t xml:space="preserve">2.2 - Recebimento de empréstimo </t>
  </si>
  <si>
    <t>3864 - GUERRA CONSULTORES ASSOCIADOS LTDA</t>
  </si>
  <si>
    <t>7310 - ALUGUEIS OBRAS</t>
  </si>
  <si>
    <t>7311 - ALUGUEIS OBRAS</t>
  </si>
  <si>
    <t>7312 - ALUGUEIS OBRAS</t>
  </si>
  <si>
    <t>7314 - ALUGUEIS OBRAS</t>
  </si>
  <si>
    <t>7781 - ADCONT LTDA</t>
  </si>
  <si>
    <t>7981 - REFEIÇÃO OBRAS</t>
  </si>
  <si>
    <t>7982 - REFEIÇÃO OBRAS</t>
  </si>
  <si>
    <t>7983 - REFEIÇÃO OBRAS</t>
  </si>
  <si>
    <t>7984 - REFEIÇÃO OBRAS</t>
  </si>
  <si>
    <t>7985 - REFEIÇÃO OBRAS</t>
  </si>
  <si>
    <t>7986 - REFEIÇÃO OBRAS</t>
  </si>
  <si>
    <t>7987 - REFEIÇÃO OBRAS</t>
  </si>
  <si>
    <t>7988 - POSTO OBRAS</t>
  </si>
  <si>
    <t>8041 - JC RESTAURANTE INDUSTRIAL NIQUELANDIA LTDA</t>
  </si>
  <si>
    <t>8043 - JC RESTAURANTE INDUSTRIAL NIQUELANDIA LTDA</t>
  </si>
  <si>
    <t>8087 - MATA FOME REFEICAO COLETIVA LTDA</t>
  </si>
  <si>
    <t>8090 - HAPVIDA ASSISTENCIA MEDICA S.A.</t>
  </si>
  <si>
    <t>8084 - CAIXA CARTÕES PRÉ-PAGOS S.A</t>
  </si>
  <si>
    <t>7782 - ADCONT LTDA</t>
  </si>
  <si>
    <t>8047 - TECSUPORT RADIOCOM E TELECOM LTDA</t>
  </si>
  <si>
    <t>8049 - LOC RADIO - LOCAÇAO E SERVIÇOS</t>
  </si>
  <si>
    <t>8052 - HELIO APARECIDO BIAQUINI</t>
  </si>
  <si>
    <t>8055 - TRANSTUR GS&amp;F</t>
  </si>
  <si>
    <t>8085 - POSTO FERREIRA MATIAS COMBUSTIVEL LTDA</t>
  </si>
  <si>
    <t>8175 - RHTRON INFORMATICA LTDA</t>
  </si>
  <si>
    <t>8177 - REDE DE POSTOS 2000 III DE COMBUSTIVEIS LTDA - UBERABA</t>
  </si>
  <si>
    <t>7369 - ALUGUEIS OBRAS</t>
  </si>
  <si>
    <t>7370 - ALUGUEIS OBRAS</t>
  </si>
  <si>
    <t>7548 - FINANCIAMENTO</t>
  </si>
  <si>
    <t>7953 - SYNERGON CONSULTORIA E CONTABILIDADE</t>
  </si>
  <si>
    <t>7991 - RESTAURANTE EL SHADAY</t>
  </si>
  <si>
    <t>7992 - VAN OBRAS</t>
  </si>
  <si>
    <t>7993 - JACINTO FERNANDES</t>
  </si>
  <si>
    <t>7994 - RESTAURANTES OBRAS</t>
  </si>
  <si>
    <t>7995 - RODOVIARIA MATEUS CABEÇA BRANCA</t>
  </si>
  <si>
    <t>7996 - DESPESAS DE VIAGEM</t>
  </si>
  <si>
    <t>7997 - UBER JULIANO</t>
  </si>
  <si>
    <t>7999 - CLINICA OBRAS</t>
  </si>
  <si>
    <t>8000 - VALE ALIMENTAÇÃO OBRAS</t>
  </si>
  <si>
    <t>8001 - VALE ALIMENTAÇÃO OBRAS</t>
  </si>
  <si>
    <t>8002 - VALE ALIMENTAÇÃO OBRAS</t>
  </si>
  <si>
    <t>8003 - VALE ALIMENTAÇÃO OBRAS</t>
  </si>
  <si>
    <t>8004 - VALE ALIMENTAÇÃO OBRAS</t>
  </si>
  <si>
    <t>8005 - VALE ALIMENTAÇÃO OBRAS</t>
  </si>
  <si>
    <t>8006 - VALE ALIMENTAÇÃO OBRAS</t>
  </si>
  <si>
    <t>8007 - VALE ALIMENTAÇÃO OBRAS</t>
  </si>
  <si>
    <t>8008 - VALE ALIMENTAÇÃO OBRAS</t>
  </si>
  <si>
    <t>8011 - AJEL MATERIAIS ELETRICOS LTDA</t>
  </si>
  <si>
    <t>8012 - IDELFONSO SOARES DOS REIS - ME</t>
  </si>
  <si>
    <t>8022 - SILAS FRETE</t>
  </si>
  <si>
    <t>8023 - ALUGUEIS OBRAS</t>
  </si>
  <si>
    <t>8025 - BANCO CAIXA</t>
  </si>
  <si>
    <t>8026 - BANCO MERCANTIL</t>
  </si>
  <si>
    <t>8027 - BANCO MERCANTIL</t>
  </si>
  <si>
    <t>8035 - AQUARELA LANCHONETE E CONVENIENCIA LTDA</t>
  </si>
  <si>
    <t>8044 - LIMP + QUIMICOS E DESCARTAVEIS EIRELI</t>
  </si>
  <si>
    <t>8045 - V A PINT LOCAÇOES SERVIÇOS E PINTURA LTDA</t>
  </si>
  <si>
    <t>8056 - MARCOS CONTAINER LTDA M.E</t>
  </si>
  <si>
    <t>8088 - REDE MAQUINAS COMERCIO E SERVIÇOS DE MAQUINAS</t>
  </si>
  <si>
    <t>8208 - REAL BORRACHA EIRELI</t>
  </si>
  <si>
    <t>4294 - BANCO CAIXA</t>
  </si>
  <si>
    <t>7796 - FLORENCE SOARES SILVA SOCIEDADE INDIVIDUAL DE ADVOCACIA</t>
  </si>
  <si>
    <t>8029 - RODRIGO ELETRICISTA</t>
  </si>
  <si>
    <t>8030 - SANEAMENTO DE GOIA S.A</t>
  </si>
  <si>
    <t>8031 - SANEAMENTO DE GOIA S.A</t>
  </si>
  <si>
    <t>8032 - SANEAMENTO DE GOIA S.A</t>
  </si>
  <si>
    <t>8033 - EQUATORIAL DISTRIBUIDORA DE ENERGIA S.A.</t>
  </si>
  <si>
    <t>8034 - EQUATORIAL DISTRIBUIDORA DE ENERGIA S.A.</t>
  </si>
  <si>
    <t>8036 - LAVANDERIA OBRAS</t>
  </si>
  <si>
    <t>5.2 - LAVANDERIA</t>
  </si>
  <si>
    <t>8037 - MARCIO ROBERTO NOVATO PESSOA</t>
  </si>
  <si>
    <t>8038 - HOTEIS OBRAS</t>
  </si>
  <si>
    <t>8039 - JUNÃO</t>
  </si>
  <si>
    <t xml:space="preserve">6.9 - GUINCHO </t>
  </si>
  <si>
    <t>8040 - MARCOS EMPILHADEIRA</t>
  </si>
  <si>
    <t>7.5 - LOCAÇÃO EMPILHADEIRA</t>
  </si>
  <si>
    <t>8042 - SINDICATO DO TRABALHADORES NAS INDUSTRIAIS DA CONSTRUÇAO EDO MOBILIARIA DE UBERABA</t>
  </si>
  <si>
    <t>8046 - RIBEIRO REMOÇOES LEVES E PESADOS</t>
  </si>
  <si>
    <t>8048 - CONTEINERES BARRO ALTO LTDA</t>
  </si>
  <si>
    <t>8050 - FOLHA DE PAGAMENTO</t>
  </si>
  <si>
    <t>8051 - DESPESAS LOTE TRINDADE AIDEAL</t>
  </si>
  <si>
    <t>8053 - IPOG</t>
  </si>
  <si>
    <t>8057 - VATIC TECNOLOGIA VILMAR</t>
  </si>
  <si>
    <t>8058 - CONNECT INF. E TECNOLOGIA</t>
  </si>
  <si>
    <t>8059 - DESPESAS VEICULOS</t>
  </si>
  <si>
    <t>8060 - TRIBUNAL DE JUSTICA DO ESTADO DE GOIAS</t>
  </si>
  <si>
    <t>8061 - FOLHA DE PAGAMENTO</t>
  </si>
  <si>
    <t>8062 - FOLHA DE PAGAMENTO</t>
  </si>
  <si>
    <t>8063 - FOLHA DE PAGAMENTO</t>
  </si>
  <si>
    <t>8065 - BANCO ITAU</t>
  </si>
  <si>
    <t>8066 - BANCO ITAU</t>
  </si>
  <si>
    <t>8068 - BANCO CAIXA</t>
  </si>
  <si>
    <t>8069 - BANCO ITAU</t>
  </si>
  <si>
    <t>8097 - BELCAR CAMINHOES DISTRIBUIDORA DE PECAS LTDA</t>
  </si>
  <si>
    <t>8129 - POSTO A+ COMERCIO DE COMBUSTIVEL LTDA</t>
  </si>
  <si>
    <t>8130 - NUCLEO DE SAUDE DO TRABALHADOR CLINICA MEDICA LTDA</t>
  </si>
  <si>
    <t>8167 - JVC - SERVICOS MEDICOS EIRELI-ME</t>
  </si>
  <si>
    <t>8168 - JVC - SERVICOS MEDICOS EIRELI-ME</t>
  </si>
  <si>
    <t>8170 - CONCIERGE BLINDADO SERVICOS AUTOMOTIVOS LTDA</t>
  </si>
  <si>
    <t>8589 - REAL BORRACHA EIRELI</t>
  </si>
  <si>
    <t>8590 - REAL BORRACHA EIRELI</t>
  </si>
  <si>
    <t>8064 - R &amp; L FERRAGENS E EPI LTDA</t>
  </si>
  <si>
    <t>8067 - PREGAO OBRAS</t>
  </si>
  <si>
    <t>8071 - POSTO OBRAS</t>
  </si>
  <si>
    <t>8072 - MERCADO LIVRE</t>
  </si>
  <si>
    <t>8073 - RESCISOES / FGTS</t>
  </si>
  <si>
    <t>8074 - RESCISOES / FGTS</t>
  </si>
  <si>
    <t>8075 - SILAS FRETE</t>
  </si>
  <si>
    <t>8079 - UBER MOACIR</t>
  </si>
  <si>
    <t>8080 - RESTAURANTE EL SHADAY</t>
  </si>
  <si>
    <t>8081 - LAVA JATO OBRAS</t>
  </si>
  <si>
    <t>8082 - DESPESAS VEICULOS</t>
  </si>
  <si>
    <t>8083 - FRETE OBRAS</t>
  </si>
  <si>
    <t>8086 - RESTAURANTES OBRAS</t>
  </si>
  <si>
    <t>8089 - FERRAGISTA OBRAS</t>
  </si>
  <si>
    <t>8091 - FUNDAÇAO SAO FRANCISCO XAVIER</t>
  </si>
  <si>
    <t>8092 - EQUATORIAL DISTRIBUIDORA DE ENERGIA S.A.</t>
  </si>
  <si>
    <t>8093 - SAE AGUAS DE CATALAO</t>
  </si>
  <si>
    <t>8094 - ENERMONT COMERCIO LTDA</t>
  </si>
  <si>
    <t>8095 - AUTO ALIANCE SEGURO DE VEICULO</t>
  </si>
  <si>
    <t>8096 - YCARO GOMES</t>
  </si>
  <si>
    <t>8098 - DESPESAS LOTE TRINDADE AIDEAL</t>
  </si>
  <si>
    <t>8099 - DESPESAS LOTE TRINDADE AIDEAL</t>
  </si>
  <si>
    <t>8100 - DESPESAS LOTE TRINDADE AIDEAL</t>
  </si>
  <si>
    <t>8101 - DESPESAS LOTE TRINDADE AIDEAL</t>
  </si>
  <si>
    <t>8102 - DESPESAS LOTE TRINDADE AIDEAL</t>
  </si>
  <si>
    <t>8112 - GENILDO</t>
  </si>
  <si>
    <t>8113 - FOLHA DE PAGAMENTO</t>
  </si>
  <si>
    <t>8114 - TRIBUNAL DE JUSTICA DO ESTADO DE GOIAS</t>
  </si>
  <si>
    <t>8127 - PANNE BELLO LTDA</t>
  </si>
  <si>
    <t>8158 - TONIM PLACAS LTDA</t>
  </si>
  <si>
    <t>8161 - MARCOS CONTAINER LTDA M.E</t>
  </si>
  <si>
    <t>8162 - MARCOS CONTAINER LTDA M.E</t>
  </si>
  <si>
    <t>8166 - 54.666.752 FRANCISCO RERISON DE ALMEIDA</t>
  </si>
  <si>
    <t>8182 - RENOVE SOLUCOES EM SEGURANCA EIRELI</t>
  </si>
  <si>
    <t>8377 - RESTAURANTES OBRAS</t>
  </si>
  <si>
    <t>7486 - ALUGUEIS OBRAS</t>
  </si>
  <si>
    <t>7487 - ALUGUEIS OBRAS</t>
  </si>
  <si>
    <t>7488 - ALUGUEIS OBRAS</t>
  </si>
  <si>
    <t>7489 - ALUGUEL GALPAO ADM FRANK ANTONIO</t>
  </si>
  <si>
    <t>7491 - ALUGUEIS OBRAS</t>
  </si>
  <si>
    <t>7492 - ALUGUEIS OBRAS</t>
  </si>
  <si>
    <t>7493 - ALUGUEIS OBRAS</t>
  </si>
  <si>
    <t>7494 - SR APRIGIO RODRIGUES</t>
  </si>
  <si>
    <t>16.1 - SR APRIGIO</t>
  </si>
  <si>
    <t>7495 - UNIMED COOPERATIVA DE TRABALHO MEDICO</t>
  </si>
  <si>
    <t>7496 - UNIMED COOPERATIVA DE TRABALHO MEDICO</t>
  </si>
  <si>
    <t>7497 - UNIMED COOPERATIVA DE TRABALHO MEDICO</t>
  </si>
  <si>
    <t>8103 - DESPESAS VEICULOS</t>
  </si>
  <si>
    <t>8104 - DESPESAS VEICULOS</t>
  </si>
  <si>
    <t>8105 - REFEIÇÃO OBRAS</t>
  </si>
  <si>
    <t>8106 - EQUATORIAL DISTRIBUIDORA DE ENERGIA S.A.</t>
  </si>
  <si>
    <t>8107 - SAE AGUAS DE CATALAO</t>
  </si>
  <si>
    <t>8108 - SAE AGUAS DE CATALAO</t>
  </si>
  <si>
    <t>8109 - EQUATORIAL DISTRIBUIDORA DE ENERGIA S.A.</t>
  </si>
  <si>
    <t>8110 - EQUATORIAL DISTRIBUIDORA DE ENERGIA S.A.</t>
  </si>
  <si>
    <t>8111 - SAE AGUAS DE CATALAO</t>
  </si>
  <si>
    <t>8115 - RESTAURANTE EL SHADAY</t>
  </si>
  <si>
    <t>8116 - DESPACHANTES</t>
  </si>
  <si>
    <t>6.8 - CUSTOS E GUIAS DE TRANSFERENCIA VEICULOS</t>
  </si>
  <si>
    <t>8117 - POSTO OBRAS</t>
  </si>
  <si>
    <t>8119 - JACINTO FERNANDES</t>
  </si>
  <si>
    <t>8120 - MAURO ARTE NOVA PLOTAGEM</t>
  </si>
  <si>
    <t>8121 - UBER MOACIR</t>
  </si>
  <si>
    <t>8122 - ENCOMENDA BARRO ALTO</t>
  </si>
  <si>
    <t>8123 - INDUSTRIALLY ALIMENTAÇÃO EMPRESARIAL LTDA</t>
  </si>
  <si>
    <t>8124 - FERRAGISTA OBRAS</t>
  </si>
  <si>
    <t>8125 - EL SHADDAI PARAFUSOS E FERRAMENTAS</t>
  </si>
  <si>
    <t>8131 - POSTO OBRAS</t>
  </si>
  <si>
    <t>8132 - VAN OBRAS</t>
  </si>
  <si>
    <t>8145 - DESPESAS VEICULOS</t>
  </si>
  <si>
    <t>8146 - SINDICATO EM MONTAGENS INDUSTRIAIS CEARA</t>
  </si>
  <si>
    <t>8147 - FOLHA DE PAGAMENTO</t>
  </si>
  <si>
    <t>8148 - BANCO CAIXA</t>
  </si>
  <si>
    <t>8150 - BANCO CAIXA</t>
  </si>
  <si>
    <t>8165 - SH LOCACAO DE ANDAIMES</t>
  </si>
  <si>
    <t>8171 - MATRIX CONSULTORIA E GESTAO DE TREINAMENTO EIRELI</t>
  </si>
  <si>
    <t>8210 - REAL BORRACHA EIRELI</t>
  </si>
  <si>
    <t>8290 - ENGREMAT ENGENHARIA INSPENÇAO</t>
  </si>
  <si>
    <t>8134 - CEMIG DISTRIBUIÇÃO S.A</t>
  </si>
  <si>
    <t>8152 - RESTAURANTE EL SHADAY</t>
  </si>
  <si>
    <t>8153 - MAGNO</t>
  </si>
  <si>
    <t>8154 - UBER JULIANO</t>
  </si>
  <si>
    <t>8155 - POSTO OBRAS</t>
  </si>
  <si>
    <t>8156 - RODOVIARIA MATEUS CABEÇA BRANCA</t>
  </si>
  <si>
    <t>8157 - CAIXA ROTATIVO OBRAS</t>
  </si>
  <si>
    <t>8159 - SEGUROS SURA S/A</t>
  </si>
  <si>
    <t>8160 - POSTO A+ COMERCIO DE COMBUSTIVEL LTDA</t>
  </si>
  <si>
    <t>8163 - FOLHA DE PAGAMENTO</t>
  </si>
  <si>
    <t>8164 - VALE TRANSPORTE</t>
  </si>
  <si>
    <t>8169 - ABRACO ASSOCIAÇAO BRASILEIRA DE CORROSAO</t>
  </si>
  <si>
    <t>3.11 - SERVIÇO ABRACO ANUIDADE</t>
  </si>
  <si>
    <t>8172 - EDUARDO RODRIGUES</t>
  </si>
  <si>
    <t>8173 - EDUARDO RODRIGUES</t>
  </si>
  <si>
    <t>8174 - EDUARDO RODRIGUES</t>
  </si>
  <si>
    <t>8176 - EDUARDO RODRIGUES</t>
  </si>
  <si>
    <t>8178 - EDUARDO RODRIGUES</t>
  </si>
  <si>
    <t>8179 - EDUARDO RODRIGUES</t>
  </si>
  <si>
    <t>8180 - EDUARDO RODRIGUES</t>
  </si>
  <si>
    <t>8181 - STILO WEB</t>
  </si>
  <si>
    <t>8183 - AGUIA COMERCIO E CENTRO AUTOMOTIVO LTDA</t>
  </si>
  <si>
    <t>8184 - FRETE OBRAS</t>
  </si>
  <si>
    <t>8185 - PREGAO OBRAS</t>
  </si>
  <si>
    <t>8186 - EQUATORIAL DISTRIBUIDORA DE ENERGIA S.A.</t>
  </si>
  <si>
    <t>8187 - EQUATORIAL DISTRIBUIDORA DE ENERGIA S.A.</t>
  </si>
  <si>
    <t>8188 - DESPESAS VEICULOS</t>
  </si>
  <si>
    <t>8189 - UBER OBRAS</t>
  </si>
  <si>
    <t>8192 - MAGNO</t>
  </si>
  <si>
    <t xml:space="preserve">12.18 - COMISSÃO </t>
  </si>
  <si>
    <t>8193 - DESPESAS VEICULOS</t>
  </si>
  <si>
    <t>8194 - COPASA SANEAMENTO</t>
  </si>
  <si>
    <t>8195 - BANCO CAIXA</t>
  </si>
  <si>
    <t>8197 - DEMEP COMERCIAL LTDA</t>
  </si>
  <si>
    <t>8198 - PREGAO OBRAS</t>
  </si>
  <si>
    <t>8199 - UBER MOACIR</t>
  </si>
  <si>
    <t>8200 - BANCO ITAU</t>
  </si>
  <si>
    <t>8201 - OI TELEFONIA</t>
  </si>
  <si>
    <t>8202 - RESTAURANTE EL SHADAY</t>
  </si>
  <si>
    <t>8207 - QUALI TINTAS</t>
  </si>
  <si>
    <t>OMEGA MONJOLOS SERRA DAS AGULHAS</t>
  </si>
  <si>
    <t>8211 - REAL BORRACHA EIRELI</t>
  </si>
  <si>
    <t>8232 - MATRIX CONSULTORIA E GESTAO DE TREINAMENTO EIRELI</t>
  </si>
  <si>
    <t>8233 - MATRIX CONSULTORIA E GESTAO DE TREINAMENTO EIRELI</t>
  </si>
  <si>
    <t>8259 - GERALDO PACHECO DE MELO</t>
  </si>
  <si>
    <t>8264 - TRANSPORTADORA AQUINO E DINIZ LTDA</t>
  </si>
  <si>
    <t>8704 - MARCOS CONTAINER LTDA M.E</t>
  </si>
  <si>
    <t>4260 - TRIBUNAL REGIONAL DO TRABALHO</t>
  </si>
  <si>
    <t>7698 - WILLIAM ADM</t>
  </si>
  <si>
    <t>8190 - MANUTENÇÃO EQUIPAMENTOS</t>
  </si>
  <si>
    <t>8191 - RODRIGO ELETRICISTA</t>
  </si>
  <si>
    <t>8205 - MERCADO</t>
  </si>
  <si>
    <t>8206 - MERCADO</t>
  </si>
  <si>
    <t>8209 - RESTAURANTE EL SHADAY</t>
  </si>
  <si>
    <t>8212 - DESPESAS LOTE TRINDADE AIDEAL</t>
  </si>
  <si>
    <t>8213 - POTENCIA COMERCIO DE EXTINTORES LTDA</t>
  </si>
  <si>
    <t>8214 - KAPITÃO AMERICA EQUIPAMENTOS DE SEG LTDA</t>
  </si>
  <si>
    <t>8215 - EPIFER EPIS E FERRAMENTAS LTDA</t>
  </si>
  <si>
    <t>8216 - CARTAO CREDITO EDUARDO</t>
  </si>
  <si>
    <t>8217 - CARTAO CREDITO EDUARDO</t>
  </si>
  <si>
    <t>8218 - CARTAO CREDITO EDUARDO</t>
  </si>
  <si>
    <t>8219 - CARTAO CREDITO EDUARDO</t>
  </si>
  <si>
    <t>8220 - CARTAO CREDITO EDUARDO</t>
  </si>
  <si>
    <t>8221 - CARTAO CREDITO EDUARDO</t>
  </si>
  <si>
    <t>8222 - CARTAO CREDITO EDUARDO</t>
  </si>
  <si>
    <t>8223 - CARTAO CREDITO EDUARDO</t>
  </si>
  <si>
    <t>8224 - CARTAO CREDITO EDUARDO</t>
  </si>
  <si>
    <t>8225 - CARTAO CREDITO EDUARDO</t>
  </si>
  <si>
    <t>8226 - CARTAO CREDITO EDUARDO</t>
  </si>
  <si>
    <t>8227 - CARTAO CREDITO EDUARDO</t>
  </si>
  <si>
    <t>8228 - CARTAO CREDITO EDUARDO</t>
  </si>
  <si>
    <t>8229 - CARTAO CREDITO EDUARDO</t>
  </si>
  <si>
    <t>8230 - CARTAO CREDITO EDUARDO</t>
  </si>
  <si>
    <t>8231 - CARTAO CREDITO EDUARDO</t>
  </si>
  <si>
    <t>8234 - POSTO OBRAS</t>
  </si>
  <si>
    <t>8235 - PAPELARIA OBRAS</t>
  </si>
  <si>
    <t>8236 - FERRAGISTA OBRAS</t>
  </si>
  <si>
    <t>8237 - FERRAGISTA OBRAS</t>
  </si>
  <si>
    <t>8238 - WALTERCIDES DE PAIVA JUNIOR 59364505115</t>
  </si>
  <si>
    <t>8239 - PREFEITURA DE GOIANIA</t>
  </si>
  <si>
    <t>8249 - FERRAGISTA OBRAS</t>
  </si>
  <si>
    <t>8250 - BANCO CAIXA</t>
  </si>
  <si>
    <t>8251 - BANCO SAFRA</t>
  </si>
  <si>
    <t>8252 - BANCO SAFRA</t>
  </si>
  <si>
    <t>8263 - MATRIX CONSULTORIA E GESTAO DE TREINAMENTO EIRELI</t>
  </si>
  <si>
    <t>8265 - CLARUS COM DE EPI'S E FERRAMENTAS LTDA</t>
  </si>
  <si>
    <t>8273 - FONTEBRAS HOME CENTER COM. DE MAT.</t>
  </si>
  <si>
    <t>8255 - FERRAGISTA OBRAS</t>
  </si>
  <si>
    <t>8256 - ENCOMENDA DE CATALAO</t>
  </si>
  <si>
    <t>8258 - CORDEIRO GUINDASTES</t>
  </si>
  <si>
    <t>8260 - REINALDO DIAS</t>
  </si>
  <si>
    <t xml:space="preserve">3.6 - SERVIÇO SERRALHEIRO </t>
  </si>
  <si>
    <t>8261 - CLARO TELEFONIA</t>
  </si>
  <si>
    <t>8262 - MAXXIMO PNEUS E RODAS</t>
  </si>
  <si>
    <t>8268 - EQUATORIAL DISTRIBUIDORA DE ENERGIA S.A.</t>
  </si>
  <si>
    <t>8269 - EQUATORIAL DISTRIBUIDORA DE ENERGIA S.A.</t>
  </si>
  <si>
    <t>8270 - SAE AGUAS DE CATALAO</t>
  </si>
  <si>
    <t>8271 - POSTO OBRAS</t>
  </si>
  <si>
    <t>8272 - VALDMAR AUGUSTO</t>
  </si>
  <si>
    <t>8275 - LOC BEM - VILMAR</t>
  </si>
  <si>
    <t>8276 - RESTAURANTE MARINA LTDA</t>
  </si>
  <si>
    <t>8277 - MAGNO</t>
  </si>
  <si>
    <t>8278 - VALDMAR AUGUSTO</t>
  </si>
  <si>
    <t>8279 - DESPESAS LOTE TRINDADE AIDEAL</t>
  </si>
  <si>
    <t>8280 - IPOG</t>
  </si>
  <si>
    <t>8281 - DESPESAS VEICULOS</t>
  </si>
  <si>
    <t>8282 - MERCADO LIVRE</t>
  </si>
  <si>
    <t>8284 - SOFTEN SISTEMAS DE INFORMATICA LTDA</t>
  </si>
  <si>
    <t>8285 - DESPESAS DE VIAGEM</t>
  </si>
  <si>
    <t>8286 - FERRAGISTA OBRAS</t>
  </si>
  <si>
    <t>8289 - BANCO ITAU</t>
  </si>
  <si>
    <t>8292 - QUALI TINTAS</t>
  </si>
  <si>
    <t>8373 - REAL BORRACHA EIRELI</t>
  </si>
  <si>
    <t>8374 - REAL BORRACHA EIRELI</t>
  </si>
  <si>
    <t>8415 - TRANSPORTADORA AQUINO E DINIZ LTDA</t>
  </si>
  <si>
    <t>6720 - SISTEMA VICTORY</t>
  </si>
  <si>
    <t>8283 - CLAUDIO ARANTES DA SILVA</t>
  </si>
  <si>
    <t>8287 - DESPESAS DE VIAGEM</t>
  </si>
  <si>
    <t>8288 - Rsk Locacao LTDA</t>
  </si>
  <si>
    <t>8291 - MERCADO</t>
  </si>
  <si>
    <t>8293 - RG COMERCIAL TINTAS EIRELI</t>
  </si>
  <si>
    <t>8294 - ROBERTO SERVIÇOS</t>
  </si>
  <si>
    <t>8296 - SISTEMA VICTORY</t>
  </si>
  <si>
    <t>8297 - VALDMAR AUGUSTO</t>
  </si>
  <si>
    <t>8298 - MM CLINICA MEDICA DE SERRA DO SALITRE</t>
  </si>
  <si>
    <t>8299 - EQUATORIAL DISTRIBUIDORA DE ENERGIA S.A.</t>
  </si>
  <si>
    <t>8300 - RESTAURANTE EL SHADAY</t>
  </si>
  <si>
    <t>8301 - ALEX INFORMATICA XCELL CELULARES E COMPUTADORES</t>
  </si>
  <si>
    <t>8302 - DETRAN - GO</t>
  </si>
  <si>
    <t>8311 - VALDMAR AUGUSTO</t>
  </si>
  <si>
    <t>8312 - PREFEITURA DE GOIANIA</t>
  </si>
  <si>
    <t>8323 - PREFEITURA DE GOIANIA</t>
  </si>
  <si>
    <t>8335 - DESPESAS LOTE TRINDADE AIDEAL</t>
  </si>
  <si>
    <t>8336 - DESPESAS LOTE TRINDADE AIDEAL</t>
  </si>
  <si>
    <t xml:space="preserve">15.2 - DESPESAS C/ FUNDAÇÃO TERRAPLANAGEM </t>
  </si>
  <si>
    <t>8337 - DESPESAS LOTE TRINDADE AIDEAL</t>
  </si>
  <si>
    <t>8338 - CORREIOS OBRAS</t>
  </si>
  <si>
    <t>8340 - PREGAO OBRAS</t>
  </si>
  <si>
    <t>8341 - DESPESAS VEICULOS</t>
  </si>
  <si>
    <t>8342 - REFEIÇÃO OBRAS</t>
  </si>
  <si>
    <t>8343 - LAVA JATO OBRAS</t>
  </si>
  <si>
    <t>8344 - REFEIÇÃO OBRAS</t>
  </si>
  <si>
    <t>8345 - REFEIÇÃO OBRAS</t>
  </si>
  <si>
    <t>8346 - REFEIÇÃO OBRAS</t>
  </si>
  <si>
    <t>8347 - REFEIÇÃO OBRAS</t>
  </si>
  <si>
    <t>8348 - REFEIÇÃO OBRAS</t>
  </si>
  <si>
    <t>8349 - REFEIÇÃO OBRAS</t>
  </si>
  <si>
    <t>8350 - REFEIÇÃO OBRAS</t>
  </si>
  <si>
    <t>8351 - INDUSTRIALLY ALIMENTAÇÃO EMPRESARIAL LTDA</t>
  </si>
  <si>
    <t>8416 - MATRIX CONSULTORIA E GESTAO DE TREINAMENTO EIRELI</t>
  </si>
  <si>
    <t>8417 - ROCHELLI LIMA CAMPEZONI</t>
  </si>
  <si>
    <t>8418 - CASARAO MATERIAIS E CONSTRUCOES LTDA</t>
  </si>
  <si>
    <t>8420 - ZERO ONE TECNLOGIA DA INFORMAÇAO LTDA</t>
  </si>
  <si>
    <t>6832 - INTERNET OBRAS</t>
  </si>
  <si>
    <t>7699 - ALUGUEIS OBRAS</t>
  </si>
  <si>
    <t>7700 - ALUGUEIS OBRAS</t>
  </si>
  <si>
    <t>7701 - ALUGUEIS OBRAS</t>
  </si>
  <si>
    <t>7702 - ALUGUEIS OBRAS</t>
  </si>
  <si>
    <t>7703 - ALUGUEIS OBRAS</t>
  </si>
  <si>
    <t>7070 - DETRAN - GO</t>
  </si>
  <si>
    <t>7080 - DETRAN - GO</t>
  </si>
  <si>
    <t>7089 - DETRAN - GO</t>
  </si>
  <si>
    <t>7099 - DETRAN - GO</t>
  </si>
  <si>
    <t>7110 - DETRAN - GO</t>
  </si>
  <si>
    <t>7120 - DETRAN - GO</t>
  </si>
  <si>
    <t>7132 - DETRAN - GO</t>
  </si>
  <si>
    <t>7142 - DETRAN - GO</t>
  </si>
  <si>
    <t>7152 - DETRAN - GO</t>
  </si>
  <si>
    <t>7163 - DETRAN - GO</t>
  </si>
  <si>
    <t>7173 - DETRAN - GO</t>
  </si>
  <si>
    <t>7183 - DETRAN - GO</t>
  </si>
  <si>
    <t>7193 - DETRAN - GO</t>
  </si>
  <si>
    <t>8303 - DETRAN - GO</t>
  </si>
  <si>
    <t>8304 - DETRAN - GO</t>
  </si>
  <si>
    <t>8339 - REFEIÇÃO OBRAS</t>
  </si>
  <si>
    <t>8352 - JACINTO FERNANDES</t>
  </si>
  <si>
    <t>8356 - RESTAURANTES OBRAS</t>
  </si>
  <si>
    <t>8357 - PREFEITURA DE GOIANIA</t>
  </si>
  <si>
    <t>8367 - RESTAURANTE EL SHADAY</t>
  </si>
  <si>
    <t>8368 - UBER JULIANO</t>
  </si>
  <si>
    <t>8375 - POSTO FERREIRA MATIAS COMBUSTIVEL LTDA</t>
  </si>
  <si>
    <t>8383 - DESPESAS DE VIAGEM</t>
  </si>
  <si>
    <t>8384 - JC RESTAURANTE INDUSTRIAL NIQUELANDIA LTDA</t>
  </si>
  <si>
    <t>8385 - ASA BRANCA TRANSPORTADORA DE ENCOMENDAS LTDA</t>
  </si>
  <si>
    <t>8386 - DESPESAS VEICULOS</t>
  </si>
  <si>
    <t>8388 - DESPESAS VEICULOS</t>
  </si>
  <si>
    <t>8389 - DESPESAS VEICULOS</t>
  </si>
  <si>
    <t>8390 - DESPESAS VEICULOS</t>
  </si>
  <si>
    <t>8391 - DESPESAS VEICULOS</t>
  </si>
  <si>
    <t>8393 - BANCO MERCANTIL</t>
  </si>
  <si>
    <t>8414 - POSTO A+ COMERCIO DE COMBUSTIVEL LTDA</t>
  </si>
  <si>
    <t>8442 - REAL BORRACHA EIRELI</t>
  </si>
  <si>
    <t>8444 - REAL BORRACHA EIRELI</t>
  </si>
  <si>
    <t>4319 - BANCO CAIXA</t>
  </si>
  <si>
    <t>7824 - SANEAMENTO E ACOES URBANAS</t>
  </si>
  <si>
    <t>7825 - CEMIG DISTRIBUIÇÃO S.A</t>
  </si>
  <si>
    <t>7826 - SANEAMENTO E ACOES URBANAS</t>
  </si>
  <si>
    <t>7960 - CEMIG DISTRIBUIÇÃO S.A</t>
  </si>
  <si>
    <t>8376 - BIO SEG  PLANO DE MANUTENÇÃO</t>
  </si>
  <si>
    <t>8392 - POSTO OBRAS</t>
  </si>
  <si>
    <t>8395 - RESTAURANTE EL SHADAY</t>
  </si>
  <si>
    <t>8396 - FOLHA DE PAGAMENTO</t>
  </si>
  <si>
    <t>8397 - ENCOMENDA BARRO ALTO</t>
  </si>
  <si>
    <t>8398 - EQUATORIAL DISTRIBUIDORA DE ENERGIA S.A.</t>
  </si>
  <si>
    <t>8403 - VALE ALIMENTAÇÃO OBRAS</t>
  </si>
  <si>
    <t>8405 - DCTF WEB</t>
  </si>
  <si>
    <t>8407 - FGTS</t>
  </si>
  <si>
    <t>8409 - RESCISOES / FGTS</t>
  </si>
  <si>
    <t>8411 - FGTS</t>
  </si>
  <si>
    <t>8412 - ADIANTAMENTO SALARIAL</t>
  </si>
  <si>
    <t>8413 - HS7 COLORS LTDA</t>
  </si>
  <si>
    <t>8419 - DESTAQUE MANUTENÇAO INDUSTRIAL LTDA</t>
  </si>
  <si>
    <t>8421 - RODOVIARIA MATEUS CABEÇA BRANCA</t>
  </si>
  <si>
    <t>8422 - DESPESAS DE VIAGEM</t>
  </si>
  <si>
    <t>8423 - RESTAURANTE MARINA LTDA</t>
  </si>
  <si>
    <t>8426 - GENILDO</t>
  </si>
  <si>
    <t>8427 - URCA FRANCE AUTOMOVEIS LTDA</t>
  </si>
  <si>
    <t>8428 - DESPESAS VEICULOS</t>
  </si>
  <si>
    <t>8430 - BANCO MERCANTIL</t>
  </si>
  <si>
    <t>8437 - C &amp; A COMERCIAL DE PRODUTOS ALIMENTICIOS LTDA</t>
  </si>
  <si>
    <t>8440 - PANNE BELLO LTDA</t>
  </si>
  <si>
    <t>8441 - NEOBETEL EPI, EQUIPAMENTOS DE PROTECAO INDIVIDUAL LTDA</t>
  </si>
  <si>
    <t>8458 - MATA FOME REFEICAO COLETIVA LTDA</t>
  </si>
  <si>
    <t>7872 - ALEX INFORMATICA XCELL CELULARES E COMPUTADORES</t>
  </si>
  <si>
    <t>8424 - GENILDO</t>
  </si>
  <si>
    <t>8425 - ENCOMENDA DE CATALAO</t>
  </si>
  <si>
    <t>8431 - DESPESAS VEICULOS</t>
  </si>
  <si>
    <t>8432 - DESPESAS VEICULOS</t>
  </si>
  <si>
    <t>8433 - DESPESAS VEICULOS</t>
  </si>
  <si>
    <t>8434 - KAPITÃO AMERICA EQUIPAMENTOS DE SEG LTDA</t>
  </si>
  <si>
    <t>8435 - RESTAURANTE EL SHADAY</t>
  </si>
  <si>
    <t>8436 - POSTO OBRAS</t>
  </si>
  <si>
    <t>8438 - CAIXA ROTATIVO OBRAS</t>
  </si>
  <si>
    <t>8439 - HELTON GOMES</t>
  </si>
  <si>
    <t>8443 - MERCADO LIVRE</t>
  </si>
  <si>
    <t>8447 - FERIAS</t>
  </si>
  <si>
    <t>8448 - DESPESAS VEICULOS</t>
  </si>
  <si>
    <t>8449 - PREFEITURA DE GOIANIA</t>
  </si>
  <si>
    <t>8452 - JATO DE AREIA</t>
  </si>
  <si>
    <t>8453 - LAVA JATO OBRAS</t>
  </si>
  <si>
    <t>8477 - FONTEBRAS HOME CENTER COM. DE MAT. PARA CONST. LTDA - EPP</t>
  </si>
  <si>
    <t>7797 - ALUGUEIS OBRAS</t>
  </si>
  <si>
    <t>7798 - ADVOGADO</t>
  </si>
  <si>
    <t>8450 - FERRAGISTA OBRAS</t>
  </si>
  <si>
    <t>8451 - POSTO OBRAS</t>
  </si>
  <si>
    <t>8456 - INDUSTRIALLY ALIMENTAÇÃO EMPRESARIAL LTDA</t>
  </si>
  <si>
    <t>8459 - RESTAURANTE EL SHADAY</t>
  </si>
  <si>
    <t>8460 - RESCISOES / FGTS</t>
  </si>
  <si>
    <t>8461 - MAGNO</t>
  </si>
  <si>
    <t>8466 - ADIANTAMENTO SALARIAL</t>
  </si>
  <si>
    <t>8469 - MAGNO</t>
  </si>
  <si>
    <t>8470 - ISS</t>
  </si>
  <si>
    <t>8471 - DESPESAS DE VIAGEM</t>
  </si>
  <si>
    <t>8472 - DESPESAS DE VIAGEM</t>
  </si>
  <si>
    <t>8473 - ADIANTAMENTO SALARIAL</t>
  </si>
  <si>
    <t>8474 - SILAS FRETE</t>
  </si>
  <si>
    <t>8475 - IDELFONSO SOARES DOS REIS - ME</t>
  </si>
  <si>
    <t>8499 - CLARUS COM DE EPI'S E FERRAMENTAS LTDA</t>
  </si>
  <si>
    <t>8500 - CLARUS COM DE EPI'S E FERRAMENTAS LTDA</t>
  </si>
  <si>
    <t>8546 - MATRIX CONSULTORIA E GESTAO DE TREINAMENTO EIRELI</t>
  </si>
  <si>
    <t>8468 - REFEIÇÃO OBRAS</t>
  </si>
  <si>
    <t>8476 - MERCADO LIVRE</t>
  </si>
  <si>
    <t>8478 - CAMINHAO MUNCK</t>
  </si>
  <si>
    <t>8480 - ISS</t>
  </si>
  <si>
    <t xml:space="preserve">17.8 - ISS </t>
  </si>
  <si>
    <t>8483 - ISS</t>
  </si>
  <si>
    <t>8484 - PIS / COFINS</t>
  </si>
  <si>
    <t>8485 - POSTO OBRAS</t>
  </si>
  <si>
    <t>8486 - A S TURISMO</t>
  </si>
  <si>
    <t>8487 - FOLHA DE PAGAMENTO</t>
  </si>
  <si>
    <t xml:space="preserve"> - FOLHA DE PAGAMENTO</t>
  </si>
  <si>
    <t>8488 - VAN OBRAS</t>
  </si>
  <si>
    <t>8489 - DESPESAS VEICULOS</t>
  </si>
  <si>
    <t>8490 - UBER MOACIR</t>
  </si>
  <si>
    <t>8491 - RESTAURANTE EL SHADAY</t>
  </si>
  <si>
    <t>8497 - PRO MINAS MATERIAIS DE SEGURANÇA LTDA</t>
  </si>
  <si>
    <t>8501 - LIMP + QUIMICOS E DESCARTAVEIS EIRELI</t>
  </si>
  <si>
    <t>5466 - PGFN</t>
  </si>
  <si>
    <t>7919 - PRUDENTIAL DO BRASIL SEGURO DE VIDAS</t>
  </si>
  <si>
    <t>7920 - PRUDENTIAL DO BRASIL SEGURO DE VIDAS</t>
  </si>
  <si>
    <t>8492 - REFEIÇÃO OBRAS</t>
  </si>
  <si>
    <t>8493 - DESPESAS DE VIAGEM</t>
  </si>
  <si>
    <t>8494 - SILAS FRETE</t>
  </si>
  <si>
    <t>8495 - ADEMIR AUTO ELETRICA</t>
  </si>
  <si>
    <t>8498 - VAN OBRAS</t>
  </si>
  <si>
    <t>8502 - RESTAURANTE EL SHADAY</t>
  </si>
  <si>
    <t>8503 - VALDMAR AUGUSTO</t>
  </si>
  <si>
    <t>8504 - DESPESAS LOTE TRINDADE AIDEAL</t>
  </si>
  <si>
    <t>8505 - DESPESAS LOTE TRINDADE AIDEAL</t>
  </si>
  <si>
    <t>8506 - DESPESAS LOTE TRINDADE AIDEAL</t>
  </si>
  <si>
    <t>8507 - GENILDO</t>
  </si>
  <si>
    <t>8508 - GUSA DO BRASIL MOBILIARIO E CONTAINER</t>
  </si>
  <si>
    <t>8509 - MERCADO</t>
  </si>
  <si>
    <t>8510 - MERCADO</t>
  </si>
  <si>
    <t>8511 - MERCADO</t>
  </si>
  <si>
    <t>8512 - POSTO OBRAS</t>
  </si>
  <si>
    <t>8513 - UBER JULIANO</t>
  </si>
  <si>
    <t>8514 - VAN OBRAS</t>
  </si>
  <si>
    <t>8515 - ISS</t>
  </si>
  <si>
    <t>8517 - PREGAO OBRAS</t>
  </si>
  <si>
    <t>8519 - EPIS</t>
  </si>
  <si>
    <t>8520 - CABANHA E FACAS &amp; BRINDES</t>
  </si>
  <si>
    <t>8521 - POSTO OBRAS</t>
  </si>
  <si>
    <t>8522 - JUNÃO</t>
  </si>
  <si>
    <t>8524 - BANCO CAIXA</t>
  </si>
  <si>
    <t>8525 - DESPESAS LOTE TRINDADE AIDEAL</t>
  </si>
  <si>
    <t>8529 - MATRIX CONSULTORIA E GESTAO DE TREINAMENTO EIRELI</t>
  </si>
  <si>
    <t>8530 - NEOBETEL EPI, EQUIPAMENTOS DE PROTECAO INDIVIDUAL LTDA</t>
  </si>
  <si>
    <t>8531 - CAB INDUSTRIAL LTDA</t>
  </si>
  <si>
    <t>8544 - UNIODONTO UBERABA - COOP. DE ASSISTENCIA A SAUDE ODONTOLOGICA LTDA</t>
  </si>
  <si>
    <t>8608 - JOTUN BRASIL IMP. EXP. E INDUSTRIAL</t>
  </si>
  <si>
    <t>8610 - JOTUN BRASIL IMP. EXP. E INDUSTRIAL</t>
  </si>
  <si>
    <t>8864 - POSTO A+ COMERCIO DE COMBUSTIVEL LTDA</t>
  </si>
  <si>
    <t>5407 - PGFN</t>
  </si>
  <si>
    <t>5507 - PGFN</t>
  </si>
  <si>
    <t>8523 - AUTOTECH DISTRIBUIDORA DE ACESSORIOS E PECAS PARA VEICULOS LTDA</t>
  </si>
  <si>
    <t>8527 - RESTAURANTE EL SHADAY</t>
  </si>
  <si>
    <t>8532 - CEMIG DISTRIBUIÇÃO S.A</t>
  </si>
  <si>
    <t>8533 - FERIAS</t>
  </si>
  <si>
    <t>8534 - FERIAS</t>
  </si>
  <si>
    <t>8535 - FERIAS</t>
  </si>
  <si>
    <t>8536 - FERIAS</t>
  </si>
  <si>
    <t>8537 - FERIAS</t>
  </si>
  <si>
    <t>8538 - FERIAS</t>
  </si>
  <si>
    <t>8539 - FERIAS</t>
  </si>
  <si>
    <t>8540 - FERIAS</t>
  </si>
  <si>
    <t>8541 - FERIAS</t>
  </si>
  <si>
    <t>8542 - FERIAS</t>
  </si>
  <si>
    <t>8543 - CARTAO PRA TODOS</t>
  </si>
  <si>
    <t>8545 - VALDMAR AUGUSTO</t>
  </si>
  <si>
    <t>8548 - DESPESAS DE VIAGEM</t>
  </si>
  <si>
    <t>8549 - RODOVIARIA MATEUS CABEÇA BRANCA</t>
  </si>
  <si>
    <t>8551 - PREGAO OBRAS</t>
  </si>
  <si>
    <t>8553 - LS MANGUEIRAS LTDA</t>
  </si>
  <si>
    <t>8554 - DESPESAS DE VIAGEM</t>
  </si>
  <si>
    <t>8555 - HOTEIS OBRAS</t>
  </si>
  <si>
    <t>8556 - DESPESAS DE VIAGEM</t>
  </si>
  <si>
    <t>8557 - VALE ALIMENTAÇÃO OBRAS</t>
  </si>
  <si>
    <t>8558 - DESPESAS DE VIAGEM</t>
  </si>
  <si>
    <t>8559 - UBER OBRAS</t>
  </si>
  <si>
    <t>8574 - MATRIX CONSULTORIA E GESTAO DE TREINAMENTO EIRELI</t>
  </si>
  <si>
    <t>8575 - QUALI TINTAS</t>
  </si>
  <si>
    <t>8609 - AMOSTRA ASSISTENCIA MEDICA LTDA</t>
  </si>
  <si>
    <t>8643 - JOTUN BRASIL IMP. EXP. E INDUSTRIAL</t>
  </si>
  <si>
    <t>7918 - INTERNET OBRAS</t>
  </si>
  <si>
    <t>8552 - ADVOGADO</t>
  </si>
  <si>
    <t>8564 - POSTO OBRAS</t>
  </si>
  <si>
    <t>8565 - REINALDO DIAS</t>
  </si>
  <si>
    <t>8566 - UBER MOACIR</t>
  </si>
  <si>
    <t>8567 - POSTO OBRAS</t>
  </si>
  <si>
    <t>8568 - FERIAS</t>
  </si>
  <si>
    <t>8569 - FERIAS</t>
  </si>
  <si>
    <t>8571 - JUNÃO</t>
  </si>
  <si>
    <t>8572 - RESTAURANTE EL SHADAY</t>
  </si>
  <si>
    <t>8576 - GENILDO</t>
  </si>
  <si>
    <t>8577 - POUPAY</t>
  </si>
  <si>
    <t>8578 - MORIA ELETROMOVEIS LTDA</t>
  </si>
  <si>
    <t>8579 - EL SHADDAI PARAFUSOS E FERRAMENTAS</t>
  </si>
  <si>
    <t>8580 - ALEX INFORMATICA XCELL CELULARES E COMPUTADORES</t>
  </si>
  <si>
    <t>8586 - QUALI TINTAS</t>
  </si>
  <si>
    <t>8587 - IDELFONSO SOARES DOS REIS - ME</t>
  </si>
  <si>
    <t>6532 - BANCO ITAU</t>
  </si>
  <si>
    <t>8584 - POSTO OBRAS</t>
  </si>
  <si>
    <t>8585 - AGSMB ASSOSIAÇAO GOIANIA DE SOCORRO</t>
  </si>
  <si>
    <t>8588 - RESTAURANTE EL SHADAY</t>
  </si>
  <si>
    <t>8591 - LAILA CRISTINA</t>
  </si>
  <si>
    <t>8592 - ADEMIR AUTO ELETRICA</t>
  </si>
  <si>
    <t>8593 - DESPESAS DE VIAGEM</t>
  </si>
  <si>
    <t>8594 - PEDAGIOS OBRAS</t>
  </si>
  <si>
    <t>8597 - NEOBETEL EPI, EQUIPAMENTOS DE PROTECAO INDIVIDUAL LTDA</t>
  </si>
  <si>
    <t>8598 - PAPELARIA TRIBUTARIA LTDA</t>
  </si>
  <si>
    <t>8599 - PAPELARIA TRIBUTARIA LTDA</t>
  </si>
  <si>
    <t>8600 - POSTO OBRAS</t>
  </si>
  <si>
    <t>8595 - SERVIÇOS DE LIMPEZA / FAXINA</t>
  </si>
  <si>
    <t>8601 - RESTAURANTE EL SHADAY</t>
  </si>
  <si>
    <t>8602 - CORREIOS OBRAS</t>
  </si>
  <si>
    <t>8603 - VALE TRANSPORTE</t>
  </si>
  <si>
    <t>8604 - VALE TRANSPORTE</t>
  </si>
  <si>
    <t>8605 - VALE TRANSPORTE</t>
  </si>
  <si>
    <t>8606 - RESTAURANTES OBRAS</t>
  </si>
  <si>
    <t>8607 - RG COMERCIAL TINTAS EIRELI</t>
  </si>
  <si>
    <t>8611 - VALE TRANSPORTE</t>
  </si>
  <si>
    <t>8612 - MAGNO</t>
  </si>
  <si>
    <t>8613 - FERRAGISTA OBRAS</t>
  </si>
  <si>
    <t>8614 - DESPESAS LOTE TRINDADE AIDEAL</t>
  </si>
  <si>
    <t>8615 - DESPESAS LOTE TRINDADE AIDEAL</t>
  </si>
  <si>
    <t>8616 - DESPESAS LOTE TRINDADE AIDEAL</t>
  </si>
  <si>
    <t>8617 - VAN OBRAS</t>
  </si>
  <si>
    <t>8618 - POSTO OBRAS</t>
  </si>
  <si>
    <t>8619 - FGTS</t>
  </si>
  <si>
    <t>8620 - HOTEIS OBRAS</t>
  </si>
  <si>
    <t>8621 - SILAS FRETE</t>
  </si>
  <si>
    <t>8623 - VALDMAR AUGUSTO</t>
  </si>
  <si>
    <t>8624 - UBER MOACIR</t>
  </si>
  <si>
    <t>8629 - AMHIGO ASSITENCIA MECANICA HID. DE GOIAS LTDA</t>
  </si>
  <si>
    <t>8664 - QUALISOL INDUSTRIA E COMERCIO DE PRODUTOS QUIMICOS LTDA</t>
  </si>
  <si>
    <t>5650 - DARF</t>
  </si>
  <si>
    <t>8622 - DESPESAS VEICULOS</t>
  </si>
  <si>
    <t>8625 - CABANHA E FACAS &amp; BRINDES</t>
  </si>
  <si>
    <t>8626 - MERCADO</t>
  </si>
  <si>
    <t>8627 - ENCOMENDA DE CATALAO</t>
  </si>
  <si>
    <t>8628 - AUTO SOCORRO EZEQUIEL HIDRAULICA</t>
  </si>
  <si>
    <t>8630 - RESTAURANTE EL SHADAY</t>
  </si>
  <si>
    <t>8632 - DESPESAS VEICULOS</t>
  </si>
  <si>
    <t>8633 - UBER MOACIR</t>
  </si>
  <si>
    <t>8635 - AQUARELA LANCHONETE E CONVENIENCIA LTDA</t>
  </si>
  <si>
    <t>8649 - NEOBETEL EPI, EQUIPAMENTOS DE PROTECAO INDIVIDUAL LTDA</t>
  </si>
  <si>
    <t>8650 - NEOBETEL EPI, EQUIPAMENTOS DE PROTECAO INDIVIDUAL LTDA</t>
  </si>
  <si>
    <t>8651 - NEOBETEL EPI, EQUIPAMENTOS DE PROTECAO INDIVIDUAL LTDA</t>
  </si>
  <si>
    <t>8652 - NEOBETEL EPI, EQUIPAMENTOS DE PROTECAO INDIVIDUAL LTDA</t>
  </si>
  <si>
    <t>8655 - POSTO A+ COMERCIO DE COMBUSTIVEL LTDA</t>
  </si>
  <si>
    <t>8660 - MATA FOME REFEICAO COLETIVA LTDA</t>
  </si>
  <si>
    <t>8663 - POSTO MAIS LTDA</t>
  </si>
  <si>
    <t>8682 - IMPOSTOS</t>
  </si>
  <si>
    <t>8683 - BANCO MERCANTIL</t>
  </si>
  <si>
    <t>8126-CMOC BRASIL MINERAÇAO INDUSTRIAL E PARTICIPAÇOES</t>
  </si>
  <si>
    <t>8204-ETERNIT S/A</t>
  </si>
  <si>
    <t>8257-CMOC BRASIL MINERAÇAO INDUSTRIAL E PARTICIPAÇOES</t>
  </si>
  <si>
    <t>8330-CMOC BRASIL MINERAÇAO INDUSTRIAL E PARTICIPAÇOES</t>
  </si>
  <si>
    <t>8369-CMOC BRASIL MINERAÇAO INDUSTRIAL E PARTICIPAÇOES</t>
  </si>
  <si>
    <t>8370-CMOC BRASIL MINERAÇAO INDUSTRIAL E PARTICIPAÇOES</t>
  </si>
  <si>
    <t>8371-CMOC BRASIL MINERAÇAO INDUSTRIAL E PARTICIPAÇOES</t>
  </si>
  <si>
    <t>8372-CMOC BRASIL MINERAÇAO INDUSTRIAL E PARTICIPAÇOES</t>
  </si>
  <si>
    <t>8404-CMOC BRASIL MINERAÇAO INDUSTRIAL E PARTICIPAÇOES</t>
  </si>
  <si>
    <t>8406-CMOC BRASIL MINERAÇAO INDUSTRIAL E PARTICIPAÇOES</t>
  </si>
  <si>
    <t>8408-CMOC BRASIL MINERAÇAO INDUSTRIAL E PARTICIPAÇOES</t>
  </si>
  <si>
    <t>8410-CMOC BRASIL MINERAÇAO INDUSTRIAL E PARTICIPAÇOES</t>
  </si>
  <si>
    <t>8445-CMOC BRASIL MINERAÇAO INDUSTRIAL E PARTICIPAÇOES</t>
  </si>
  <si>
    <t>8446-CMOC BRASIL MINERAÇAO INDUSTRIAL E PARTICIPAÇOES</t>
  </si>
  <si>
    <t>8128-CMOC BRASIL MINERAÇAO INDUSTRIAL E PARTICIPAÇOES</t>
  </si>
  <si>
    <t>8454-CMOC BRASIL MINERAÇAO INDUSTRIAL E PARTICIPAÇOES</t>
  </si>
  <si>
    <t>8013-VLI MULTIMODAL S.A</t>
  </si>
  <si>
    <t>8399-MOSAIC FERTILIZANTES DO BRASIL LTDA UBERABA ROTINA</t>
  </si>
  <si>
    <t>8400-MOSAIC FERTILIZANTES DO BRASIL LTDA UBERABA ROTINA</t>
  </si>
  <si>
    <t>8401-MOSAIC FERTILIZANTES DO BRASIL LTDA UBERABA ROTINA</t>
  </si>
  <si>
    <t>8402-MOSAIC FERTILIZANTES DO BRASIL LTDA UBERABA ROTINA</t>
  </si>
  <si>
    <t>8479-SALITRE FERTILIZANTES LTDA</t>
  </si>
  <si>
    <t>8481-SALITRE FERTILIZANTES LTDA</t>
  </si>
  <si>
    <t>8482-SALITRE FERTILIZANTES LTDA</t>
  </si>
  <si>
    <t>8547-ANGLO AMERICAN NIQUEL BRASIL LTDA</t>
  </si>
  <si>
    <t>Recebimentos de emprestimos</t>
  </si>
  <si>
    <t>Entrada emprestimos</t>
  </si>
  <si>
    <t>8640-CMOC BRASIL MINERAÇAO INDUSTRIAL E PARTICIPAÇOES</t>
  </si>
  <si>
    <t>8641-CMOC BRASIL MINERAÇAO INDUSTRIAL E PARTICIPAÇOES</t>
  </si>
  <si>
    <t>8656-MOSAIC FERTILIZANTES DO BRASIL LTDA UBERABA ROTINA</t>
  </si>
  <si>
    <t>8657-VLI MULTIMODAL S.A</t>
  </si>
  <si>
    <t>8658-MOSAIC FERTILIZANTES P&amp;K LTDA CATALÃO - PARADA GABRIELE</t>
  </si>
  <si>
    <t>8659-MOSAIC FERTILIZANTES P&amp;K LTDA CATALÃO - PARADA GABRIELE</t>
  </si>
  <si>
    <t>8710-AIDEAL SOLUÇÕES ANTICORROSIVAS LTDA</t>
  </si>
  <si>
    <t>8734-AIDEAL SOLUÇÕES ANTICORROSIVAS LTDA</t>
  </si>
  <si>
    <t>8835-AIDEAL SOLUÇÕES ANTICORROSIVAS LTDA</t>
  </si>
  <si>
    <t>8836-AIDEAL SOLUÇÕES ANTICORROSIVAS LTDA</t>
  </si>
  <si>
    <t>8844-CMOC BRASIL MINERAÇAO INDUSTRIAL E PARTICIPAÇOES</t>
  </si>
  <si>
    <t>8846-CMOC BRASIL MINERAÇAO INDUSTRIAL E PARTICIPAÇOES</t>
  </si>
  <si>
    <t>8863-AIDEAL SOLUÇÕES ANTICORROSIVAS LTDA</t>
  </si>
  <si>
    <t>8896-CMOC BRASIL MINERAÇAO INDUSTRIAL E PARTICIPAÇOES</t>
  </si>
  <si>
    <t>8913-CMOC BRASIL MINERAÇAO INDUSTRIAL E PARTICIPAÇOES</t>
  </si>
  <si>
    <t>8970-AIDEAL SOLUÇÕES ANTICORROSIVAS LTDA</t>
  </si>
  <si>
    <t>8939-MOSAIC FERTILIZANTES P&amp;K LTDA CATALÃO - PARADA GABRIELE</t>
  </si>
  <si>
    <t>8988-A IDEAL SOLUÇÕES ANTICORROSIVAS LTDA</t>
  </si>
  <si>
    <t>8980-CMOC BRASIL MINERAÇAO INDUSTRIAL E PARTICIPAÇOES</t>
  </si>
  <si>
    <t>8995-CMOC BRASIL MINERAÇAO INDUSTRIAL E PARTICIPAÇOES</t>
  </si>
  <si>
    <t>8999-CMOC BRASIL MINERAÇAO INDUSTRIAL E PARTICIPAÇOES</t>
  </si>
  <si>
    <t>9014-CMOC BRASIL MINERAÇAO INDUSTRIAL E PARTICIPAÇOES</t>
  </si>
  <si>
    <t>9015-CMOC BRASIL MINERAÇAO INDUSTRIAL E PARTICIPAÇOES</t>
  </si>
  <si>
    <t>9071-MOSAIC FERTILIZANTES DO BRASIL LTDA UBERABA ROTINA</t>
  </si>
  <si>
    <t>9072-MOSAIC FERTILIZANTES DO BRASIL LTDA UBERABA ROTINA</t>
  </si>
  <si>
    <t>9073-MOSAIC FERTILIZANTES DO BRASIL LTDA UBERABA ROTINA</t>
  </si>
  <si>
    <t>9074-MOSAIC FERTILIZANTES DO BRASIL LTDA UBERABA ROTINA</t>
  </si>
  <si>
    <t>9076-MOSAIC FERTILIZANTES DO BRASIL LTDA UBERABA ROTINA</t>
  </si>
  <si>
    <t>9091-SALITRE FERTILIZANTES LTDA</t>
  </si>
  <si>
    <t>9092-SALITRE FERTILIZANTES LTDA</t>
  </si>
  <si>
    <t>9093-SALITRE FERTILIZANTES LTDA</t>
  </si>
  <si>
    <t>9127-SALITRE FERTILIZANTES LTDA</t>
  </si>
  <si>
    <t>9128-SALITRE FERTILIZANTES LTDA</t>
  </si>
  <si>
    <t>9129-SALITRE FERTILIZANTES LTDA</t>
  </si>
  <si>
    <t>9161-VLI MULTIMODAL S.A</t>
  </si>
  <si>
    <t>9169-MOSAIC FERTILIZANTES P&amp;K LTDA CATALÃO - PARADA GABRIELE</t>
  </si>
  <si>
    <t>9259-ANGLO AMERICAN NIQUEL BRASIL LTDA</t>
  </si>
  <si>
    <t>7660-REFEIÇÃO OBRAS</t>
  </si>
  <si>
    <t>7662-REFEIÇÃO OBRAS</t>
  </si>
  <si>
    <t>7664-REFEIÇÃO OBRAS</t>
  </si>
  <si>
    <t>7666-REFEIÇÃO OBRAS</t>
  </si>
  <si>
    <t>7668-REFEIÇÃO OBRAS</t>
  </si>
  <si>
    <t>7670-REFEIÇÃO OBRAS</t>
  </si>
  <si>
    <t>7672-REFEIÇÃO OBRAS</t>
  </si>
  <si>
    <t>8015-ALUGUEIS OBRAS</t>
  </si>
  <si>
    <t>8017-ALUGUEIS OBRAS</t>
  </si>
  <si>
    <t>8020-ADCONT LTDA</t>
  </si>
  <si>
    <t>8024-ALUGUEIS OBRAS</t>
  </si>
  <si>
    <t>8562-ALUGUEIS OBRAS</t>
  </si>
  <si>
    <t>8563-ALUGUEIS OBRAS</t>
  </si>
  <si>
    <t>8634-UBER JULIANO</t>
  </si>
  <si>
    <t>8637-SINDICATO DO TRABALHADORES NAS INDUSTRIAIS DA CONSTRUÇAO EDO MOBILIARIA DE UBERABA</t>
  </si>
  <si>
    <t>8638-SINDICATO EM MONTAGENS INDUSTRIAIS CEARA</t>
  </si>
  <si>
    <t>8639-ISS</t>
  </si>
  <si>
    <t>8642-YCARO GOMES</t>
  </si>
  <si>
    <t>8644-CONTEINERES BARRO ALTO LTDA</t>
  </si>
  <si>
    <t>8645-CEMIG DISTRIBUIÇÃO S.A</t>
  </si>
  <si>
    <t>8646-COPASA SANEAMENTO</t>
  </si>
  <si>
    <t>8647-V A PINT LOCAÇOES SERVIÇOS E PINTURA LTDA</t>
  </si>
  <si>
    <t>8648-SYNERGON CONSULTORIA E CONTABILIDADE</t>
  </si>
  <si>
    <t>8653-POUPAY</t>
  </si>
  <si>
    <t>8654-RESTAURANTE EL SHADAY</t>
  </si>
  <si>
    <t>8661-DESPESAS LOTE TRINDADE AIDEAL</t>
  </si>
  <si>
    <t>8662-DESPESAS LOTE TRINDADE AIDEAL</t>
  </si>
  <si>
    <t>8665-FERRAGISTA OBRAS</t>
  </si>
  <si>
    <t>8666-FERRAGISTA OBRAS</t>
  </si>
  <si>
    <t>8.10 - MATERIAS DE ESCRITORIO</t>
  </si>
  <si>
    <t>8672-REFEIÇÃO OBRAS</t>
  </si>
  <si>
    <t>8674-EXPRESS MANOEL CARGAS</t>
  </si>
  <si>
    <t xml:space="preserve">10.2 - FRETE ABRASIVOS </t>
  </si>
  <si>
    <t>8675-MAGNO</t>
  </si>
  <si>
    <t>8676-SABOR MINEIRO COMERCIO DE ALIMENTOS LTDA</t>
  </si>
  <si>
    <t>8677-POSTO FERREIRA MATIAS COMBUSTIVEL LTDA</t>
  </si>
  <si>
    <t>8678-REDE DE POSTOS 2000 III DE COMBUSTIVEIS LTDA - UBERABA</t>
  </si>
  <si>
    <t>8685-BANCO CAIXA</t>
  </si>
  <si>
    <t>8686-GILVAN</t>
  </si>
  <si>
    <t>8687-BANCO MERCANTIL</t>
  </si>
  <si>
    <t>8688-BANCO MERCANTIL</t>
  </si>
  <si>
    <t>8691-CONCIERGE BLINDADO SERVICOS AUTOMOTIVOS LTDA</t>
  </si>
  <si>
    <t>8693-BASAU INDUSTRIA E COMERCIO DE MINERAIS LTDA</t>
  </si>
  <si>
    <t>8739-LOC RADIO - LOCAÇAO E SERVIÇOS</t>
  </si>
  <si>
    <t>8740-TECSUPORT RADIOCOM E TELECOM LTDA</t>
  </si>
  <si>
    <t>8758-A S TURISMO</t>
  </si>
  <si>
    <t>8842-HAPVIDA ASSISTENCIA MEDICA S.A.</t>
  </si>
  <si>
    <t>9101-MARCOS CONTAINER LTDA M.E</t>
  </si>
  <si>
    <t>9102-MARCOS CONTAINER LTDA M.E</t>
  </si>
  <si>
    <t>9103-MARCOS CONTAINER LTDA M.E</t>
  </si>
  <si>
    <t>8463-FLORENCE SOARES SILVA SOCIEDADE INDIVIDUAL DE ADVOCACIA</t>
  </si>
  <si>
    <t>8673-ENCOMENDA BARRO ALTO</t>
  </si>
  <si>
    <t>8679-CEMIG DISTRIBUIÇÃO S.A</t>
  </si>
  <si>
    <t>8680-RHTRON INFORMATICA LTDA</t>
  </si>
  <si>
    <t>8681-HELIO APARECIDO BIAQUINI</t>
  </si>
  <si>
    <t>8689-VALDMAR AUGUSTO</t>
  </si>
  <si>
    <t>8690-IPOG</t>
  </si>
  <si>
    <t>8692-MASTER TUR TRANSPORTE DE PASSAGEIROS LTDA</t>
  </si>
  <si>
    <t>8694-REINALDO DIAS</t>
  </si>
  <si>
    <t>8695-REINALDO DIAS</t>
  </si>
  <si>
    <t>8696-DESPESAS LOTE TRINDADE AIDEAL</t>
  </si>
  <si>
    <t>8699-DESPESAS VEICULOS</t>
  </si>
  <si>
    <t>8700-REFEIÇÃO OBRAS</t>
  </si>
  <si>
    <t>8701-RODOVIARIA MATEUS CABEÇA BRANCA</t>
  </si>
  <si>
    <t>8702-DESPESAS DE VIAGEM</t>
  </si>
  <si>
    <t>8705-RESTAURANTE EL SHADAY</t>
  </si>
  <si>
    <t>8706-BANCO ITAU</t>
  </si>
  <si>
    <t>8707-BANCO ITAU</t>
  </si>
  <si>
    <t>8708-BANCO ITAU</t>
  </si>
  <si>
    <t>8709-DESPESAS LOTE TRINDADE AIDEAL</t>
  </si>
  <si>
    <t>8711-RESTAURANTE MARINA LTDA</t>
  </si>
  <si>
    <t>8715-SOLUÇOES CLINICA MEDICA LTDA</t>
  </si>
  <si>
    <t>8730-BIRCK &amp; AMP ROCHA LTDA</t>
  </si>
  <si>
    <t>8736-MARCOS CONTAINER LTDA M.E</t>
  </si>
  <si>
    <t>8743-ENERMONT COMERCIO LTDA</t>
  </si>
  <si>
    <t>8745-REAL BORRACHA EIRELI</t>
  </si>
  <si>
    <t>8746-REAL BORRACHA EIRELI</t>
  </si>
  <si>
    <t>8747-REAL BORRACHA EIRELI</t>
  </si>
  <si>
    <t>8749-SHERWIN - WILLIAMS DO BRASIL INDUSTRIAL E COMERCIO LTDA</t>
  </si>
  <si>
    <t>8799-SILAS FRETE</t>
  </si>
  <si>
    <t>8810-JC RESTAURANTE INDUSTRIAL NIQUELANDIA LTDA</t>
  </si>
  <si>
    <t>8969-54.666.752 FRANCISCO RERISON DE ALMEIDA</t>
  </si>
  <si>
    <t>8021-ADCONT LTDA</t>
  </si>
  <si>
    <t>8698-DESPESAS DE VIAGEM</t>
  </si>
  <si>
    <t>8712-MANUTENÇÃO EQUIPAMENTOS</t>
  </si>
  <si>
    <t>8713-IPOG</t>
  </si>
  <si>
    <t>8714-AMO ASSESSORIA MEDICA OCUPACIONAL LTDA</t>
  </si>
  <si>
    <t>8716-RESCISOES / FGTS</t>
  </si>
  <si>
    <t>8717-VALE ALIMENTAÇÃO OBRAS</t>
  </si>
  <si>
    <t>8718-VALE ALIMENTAÇÃO OBRAS</t>
  </si>
  <si>
    <t>8719-CEMIG DISTRIBUIÇÃO S.A</t>
  </si>
  <si>
    <t>8720-SANEAMENTO E ACOES URBANAS</t>
  </si>
  <si>
    <t>8721-GENILDO</t>
  </si>
  <si>
    <t>8722-ENCOMENDA BARRO ALTO</t>
  </si>
  <si>
    <t>8723-ALEX INFORMATICA XCELL CELULARES E COMPUTADORES</t>
  </si>
  <si>
    <t>8724-RESTAURANTE EL SHADAY</t>
  </si>
  <si>
    <t>8725-CORREIOS OBRAS</t>
  </si>
  <si>
    <t>8726-FOLHA DE PAGAMENTO</t>
  </si>
  <si>
    <t>8727-SANEAMENTO E ACOES URBANAS</t>
  </si>
  <si>
    <t>8728-SANEAMENTO E ACOES URBANAS</t>
  </si>
  <si>
    <t>8729-QUALI TINTAS</t>
  </si>
  <si>
    <t>8731-REFEIÇÃO OBRAS</t>
  </si>
  <si>
    <t>8732-DESPESAS VEICULOS</t>
  </si>
  <si>
    <t>8733-DESPESAS DE VIAGEM</t>
  </si>
  <si>
    <t>8738-BRASLIMP TRANSPORTES ESPECIALIZADOS LTDA</t>
  </si>
  <si>
    <t>8744-OLIVEIRA COMERCIO DE EQUIPAMENTOS LTDA</t>
  </si>
  <si>
    <t>8753-JC RESTAURANTE INDUSTRIAL NIQUELANDIA LTDA</t>
  </si>
  <si>
    <t>8754-JC RESTAURANTE INDUSTRIAL NIQUELANDIA LTDA</t>
  </si>
  <si>
    <t>8755-NEOBETEL EPI, EQUIPAMENTOS DE PROTECAO INDIVIDUAL LTDA</t>
  </si>
  <si>
    <t>8820-JVC - SERVICOS MEDICOS EIRELI-ME</t>
  </si>
  <si>
    <t>8821-JVC - SERVICOS MEDICOS EIRELI-ME</t>
  </si>
  <si>
    <t>8825-JVC - SERVICOS MEDICOS EIRELI-ME</t>
  </si>
  <si>
    <t>8884-TRANSPORTADORA AQUINO E DINIZ LTDA</t>
  </si>
  <si>
    <t>9122-THIAGO RIBEIRO MEDEIROS ME</t>
  </si>
  <si>
    <t>8735-VAN OBRAS</t>
  </si>
  <si>
    <t>8737-ALCON ENGENHARIA DE SISTEMA LTDA</t>
  </si>
  <si>
    <t>8741-VATIC TECNOLOGIA VILMAR</t>
  </si>
  <si>
    <t>8742-ESTRELA ENCOMENDAS LTDA</t>
  </si>
  <si>
    <t>8748-RESTAURANTE EL SHADAY</t>
  </si>
  <si>
    <t>8750-MERCADO</t>
  </si>
  <si>
    <t>8751-MAGNO</t>
  </si>
  <si>
    <t>8752-CAIXA ROTATIVO OBRAS</t>
  </si>
  <si>
    <t>8756-SH LOCACAO DE ANDAIMES</t>
  </si>
  <si>
    <t>8759-EQUATORIAL DISTRIBUIDORA DE ENERGIA S.A.</t>
  </si>
  <si>
    <t>8760-SAE AGUAS DE CATALAO</t>
  </si>
  <si>
    <t>8761-EQUATORIAL DISTRIBUIDORA DE ENERGIA S.A.</t>
  </si>
  <si>
    <t>8762-SAE AGUAS DE CATALAO</t>
  </si>
  <si>
    <t>8763-EQUATORIAL DISTRIBUIDORA DE ENERGIA S.A.</t>
  </si>
  <si>
    <t>8764-SAE AGUAS DE CATALAO</t>
  </si>
  <si>
    <t>8765-EQUATORIAL DISTRIBUIDORA DE ENERGIA S.A.</t>
  </si>
  <si>
    <t>8766-SAE AGUAS DE CATALAO</t>
  </si>
  <si>
    <t>8767-SAE AGUAS DE CATALAO</t>
  </si>
  <si>
    <t>8768-REDE MAQUINAS COMERCIO E SERVIÇOS DE MAQUINAS</t>
  </si>
  <si>
    <t>8769-FONTEBRAS HOME CENTER COM. DE MAT. PARA CONST. LTDA - EPP</t>
  </si>
  <si>
    <t>8770-PAPELARIA TRIBUTARIA LTDA</t>
  </si>
  <si>
    <t>8771-JACINTO FERNANDES</t>
  </si>
  <si>
    <t>8772-JACINTO FERNANDES</t>
  </si>
  <si>
    <t>8773-SOFTEN SISTEMAS DE INFORMATICA LTDA</t>
  </si>
  <si>
    <t>8774-FOLHA DE PAGAMENTO</t>
  </si>
  <si>
    <t>8775-DESPESAS LOTE TRINDADE AIDEAL</t>
  </si>
  <si>
    <t>8776-DESPESAS LOTE TRINDADE AIDEAL</t>
  </si>
  <si>
    <t>8777-DESPESAS LOTE TRINDADE AIDEAL</t>
  </si>
  <si>
    <t>8778-DESPESAS LOTE TRINDADE AIDEAL</t>
  </si>
  <si>
    <t>8779-DESPESAS LOTE TRINDADE AIDEAL</t>
  </si>
  <si>
    <t>8780-DESPESAS LOTE TRINDADE AIDEAL</t>
  </si>
  <si>
    <t>8781-PROTEGE DISTRIBUIDORA DE EPI EPC E SINALIZACAO LTDA</t>
  </si>
  <si>
    <t>8782-NEOBETEL EPI, EQUIPAMENTOS DE PROTECAO INDIVIDUAL LTDA</t>
  </si>
  <si>
    <t>8783-MAGNO</t>
  </si>
  <si>
    <t>8784-EDUARDO RODRIGUES</t>
  </si>
  <si>
    <t>8785-EDUARDO RODRIGUES</t>
  </si>
  <si>
    <t>8786-EDUARDO RODRIGUES</t>
  </si>
  <si>
    <t>8787-EDUARDO RODRIGUES</t>
  </si>
  <si>
    <t>8788-EDUARDO RODRIGUES</t>
  </si>
  <si>
    <t>8789-EDUARDO RODRIGUES</t>
  </si>
  <si>
    <t>8790-EDUARDO RODRIGUES</t>
  </si>
  <si>
    <t>8791-EDUARDO RODRIGUES</t>
  </si>
  <si>
    <t>8792-EDUARDO RODRIGUES</t>
  </si>
  <si>
    <t>8793-EDUARDO RODRIGUES</t>
  </si>
  <si>
    <t>8802-FOLHA DE PAGAMENTO</t>
  </si>
  <si>
    <t>8804-FOLHA DE PAGAMENTO</t>
  </si>
  <si>
    <t>8806-IDELFONSO SOARES DOS REIS - ME</t>
  </si>
  <si>
    <t>8851-BIRCK &amp; AMP ROCHA LTDA</t>
  </si>
  <si>
    <t>9203-LIMP + QUIMICOS E DESCARTAVEIS EIRELI</t>
  </si>
  <si>
    <t>8018-ALUGUEIS OBRAS</t>
  </si>
  <si>
    <t>8019-ALUGUEIS OBRAS</t>
  </si>
  <si>
    <t>8841-FUNDAÇAO SAO FRANCISCO XAVIER</t>
  </si>
  <si>
    <t>9126-TRANSTUR GS&amp;F</t>
  </si>
  <si>
    <t>4295-BANCO CAIXA</t>
  </si>
  <si>
    <t>8794-RESTAURANTE EL SHADAY</t>
  </si>
  <si>
    <t>8795-HOTEIS OBRAS</t>
  </si>
  <si>
    <t>8796-DESPESAS DE VIAGEM</t>
  </si>
  <si>
    <t>8797-DESPESAS DE OBRAS</t>
  </si>
  <si>
    <t>8798-ENCOMENDA DE CATALAO</t>
  </si>
  <si>
    <t>8800-SILAS FRETE</t>
  </si>
  <si>
    <t>8801-DESPESAS LOTE TRINDADE AIDEAL</t>
  </si>
  <si>
    <t>8803-ZEQUINHA BORDADOS LTDA</t>
  </si>
  <si>
    <t>8805-CONNECT INF. E TECNOLOGIA</t>
  </si>
  <si>
    <t>8807-STILO WEB</t>
  </si>
  <si>
    <t>8808-ESPEDITO ADESIVOS</t>
  </si>
  <si>
    <t>8809-BETO BATERIAS E AUTO ELETRICA LTDA</t>
  </si>
  <si>
    <t>8813-OPÇÃO UNIFORMES LTDA</t>
  </si>
  <si>
    <t>8814-UBER MOACIR</t>
  </si>
  <si>
    <t>8833-BANCO MERCANTIL</t>
  </si>
  <si>
    <t>8834-BANCO SAFRA</t>
  </si>
  <si>
    <t>8837-CLM FUNDO DE INVESTIMENTO EM DIREITOS CREDITORIOS MULTISSETORIAL</t>
  </si>
  <si>
    <t>8847-QUALI TINTAS</t>
  </si>
  <si>
    <t>8848-STOCK MINAS GOIAS LTDA. ME</t>
  </si>
  <si>
    <t>8855-QUALI TINTAS</t>
  </si>
  <si>
    <t>8885-GERALDO PACHECO DE MELO</t>
  </si>
  <si>
    <t>8897-TECHGEL COMERCIAL LTDA</t>
  </si>
  <si>
    <t>9007-FINANCIAMENTO</t>
  </si>
  <si>
    <t>16.2 - RETIRADAS GILVAN / GENILDO</t>
  </si>
  <si>
    <t>8815-JACINTO FERNANDES</t>
  </si>
  <si>
    <t>8816-ASA BRANCA TRANSPORTADORA DE ENCOMENDAS LTDA</t>
  </si>
  <si>
    <t>8817-DESPESAS DE VIAGEM</t>
  </si>
  <si>
    <t>8818-UBER JULIANO</t>
  </si>
  <si>
    <t>8819-CLINICA OBRAS</t>
  </si>
  <si>
    <t>8822-FOLGA DE CAMPO</t>
  </si>
  <si>
    <t>8823-RESCISOES / FGTS</t>
  </si>
  <si>
    <t>8824-RESCISOES / FGTS</t>
  </si>
  <si>
    <t>8826-FGTS</t>
  </si>
  <si>
    <t>8827-FGTS</t>
  </si>
  <si>
    <t>8828-DCTF WEB</t>
  </si>
  <si>
    <t>8830-RESCISOES / FGTS</t>
  </si>
  <si>
    <t>8831-RESCISOES / FGTS</t>
  </si>
  <si>
    <t>8832-RESCISOES / FGTS</t>
  </si>
  <si>
    <t>8838-FERRAGISTA OBRAS</t>
  </si>
  <si>
    <t>8839-AUTO ALIANCE SEGURO DE VEICULO</t>
  </si>
  <si>
    <t>8840-CVAL ALUGUEL DE VEÍCULOS LTDA</t>
  </si>
  <si>
    <t>8843-RESCISOES / FGTS</t>
  </si>
  <si>
    <t>8845-FGTS</t>
  </si>
  <si>
    <t>8849-VALDMAR AUGUSTO</t>
  </si>
  <si>
    <t>8850-POSTO A+ COMERCIO DE COMBUSTIVEL LTDA</t>
  </si>
  <si>
    <t>8853-PLANETA EMBALAGENS</t>
  </si>
  <si>
    <t>8854-POSTO OBRAS</t>
  </si>
  <si>
    <t>8856-COSTA COMERCIO DE EMBALAGENS LTDA</t>
  </si>
  <si>
    <t>8858-MANUTENÇÃO EQUIPAMENTOS</t>
  </si>
  <si>
    <t>8859-FOLHA DE PAGAMENTO</t>
  </si>
  <si>
    <t>8860-TRANSPORTADORA OBRAS</t>
  </si>
  <si>
    <t>8861-BANCO ITAU</t>
  </si>
  <si>
    <t>8862-BANCO CAIXA</t>
  </si>
  <si>
    <t>8893-FONTEBRAS HOME CENTER COM. DE MAT. PARA CONST. LTDA - EPP</t>
  </si>
  <si>
    <t>8757-WERLEYANO INDIO DO CARIRI FILHO LTDA</t>
  </si>
  <si>
    <t>8857-MERCADO LIVRE</t>
  </si>
  <si>
    <t>8865-UNIMED COOPERATIVA DE TRABALHO MEDICO</t>
  </si>
  <si>
    <t>8866-UNIMED COOPERATIVA DE TRABALHO MEDICO</t>
  </si>
  <si>
    <t>8867-UNIMED COOPERATIVA DE TRABALHO MEDICO</t>
  </si>
  <si>
    <t>8868-EQUATORIAL DISTRIBUIDORA DE ENERGIA S.A.</t>
  </si>
  <si>
    <t>8869-SANEAMENTO DE GOIA S.A</t>
  </si>
  <si>
    <t>8870-GRAFIMIDIAS COMERCIO DE INFORMATICA LTDA</t>
  </si>
  <si>
    <t>8871-VAN OBRAS</t>
  </si>
  <si>
    <t>8872-CAIXA CARTÕES PRÉ-PAGOS S.A</t>
  </si>
  <si>
    <t>8873-JOSE OLIVEIRA SILVA MAT DE CONSTRUCAO</t>
  </si>
  <si>
    <t>8874-UBER MOACIR</t>
  </si>
  <si>
    <t>8875-ZEQUINHA BORDADOS LTDA</t>
  </si>
  <si>
    <t>8876-DESPESAS LOTE TRINDADE AIDEAL</t>
  </si>
  <si>
    <t>8877-DESPESAS DE VIAGEM</t>
  </si>
  <si>
    <t>8878-RODOVIARIA MATEUS CABEÇA BRANCA</t>
  </si>
  <si>
    <t>8879-MARCIO ROBERTO NOVATO PESSOA</t>
  </si>
  <si>
    <t>8880-RESTAURANTE EL SHADAY</t>
  </si>
  <si>
    <t>8891-BIRCK &amp; AMP ROCHA LTDA</t>
  </si>
  <si>
    <t>9359-LIMP + QUIMICOS E DESCARTAVEIS EIRELI</t>
  </si>
  <si>
    <t>8135-ALUGUEIS OBRAS</t>
  </si>
  <si>
    <t>8136-ALUGUEIS OBRAS</t>
  </si>
  <si>
    <t>8137-ALUGUEIS OBRAS</t>
  </si>
  <si>
    <t>8138-ALUGUEL GALPAO ADM FRANK ANTONIO</t>
  </si>
  <si>
    <t>8139-ALUGUEIS OBRAS</t>
  </si>
  <si>
    <t>8140-ALUGUEIS OBRAS</t>
  </si>
  <si>
    <t>8141-ALUGUEIS OBRAS</t>
  </si>
  <si>
    <t>8149-BANCO CAIXA</t>
  </si>
  <si>
    <t>8516-SR APRIGIO RODRIGUES</t>
  </si>
  <si>
    <t>8881-LAVA JATO OBRAS</t>
  </si>
  <si>
    <t>8882-CREA</t>
  </si>
  <si>
    <t>8883-MCZA INFORMATICA COMERCIO DE SERVICO LTDA</t>
  </si>
  <si>
    <t>8886-GERALDO PACHECO DE MELO</t>
  </si>
  <si>
    <t>8887-RESTAURANTE EL SHADAY</t>
  </si>
  <si>
    <t>8888-POSTO OBRAS</t>
  </si>
  <si>
    <t>8889-JOSE OLIVEIRA SILVA MAT DE CONSTRUCAO</t>
  </si>
  <si>
    <t>8890-SOFTEN SISTEMAS DE INFORMATICA LTDA</t>
  </si>
  <si>
    <t>8892-FOLHA DE PAGAMENTO</t>
  </si>
  <si>
    <t>8894-QUALI TINTAS</t>
  </si>
  <si>
    <t>8906-GENILDO</t>
  </si>
  <si>
    <t>8907-GENILDO</t>
  </si>
  <si>
    <t>8908-DESPESAS DE VIAGEM</t>
  </si>
  <si>
    <t>8909-VALDMAR AUGUSTO</t>
  </si>
  <si>
    <t>8910-DESPESAS DE OBRAS</t>
  </si>
  <si>
    <t>8911-OPÇÃO UNIFORMES LTDA</t>
  </si>
  <si>
    <t>8912-BANCO CAIXA</t>
  </si>
  <si>
    <t>8930-EL SHADDAI PARAFUSOS E FERRAMENTAS</t>
  </si>
  <si>
    <t>9017-TECHGEL COMERCIAL LTDA</t>
  </si>
  <si>
    <t>8914-REFEIÇÃO OBRAS</t>
  </si>
  <si>
    <t>8915-MERCADO LIVRE</t>
  </si>
  <si>
    <t>8916-UBER JULIANO</t>
  </si>
  <si>
    <t>8917-DESPESAS DE OBRAS</t>
  </si>
  <si>
    <t>8918-PIS / COFINS</t>
  </si>
  <si>
    <t>8919-CSLL / IRPJ</t>
  </si>
  <si>
    <t>8920-PROMA PROMOCOES LTDA</t>
  </si>
  <si>
    <t>8921-EQUATORIAL DISTRIBUIDORA DE ENERGIA S.A.</t>
  </si>
  <si>
    <t>8922-EQUATORIAL DISTRIBUIDORA DE ENERGIA S.A.</t>
  </si>
  <si>
    <t>8923-SAE AGUAS DE CATALAO</t>
  </si>
  <si>
    <t>8924-EQUATORIAL DISTRIBUIDORA DE ENERGIA S.A.</t>
  </si>
  <si>
    <t>8925-SAE AGUAS DE CATALAO</t>
  </si>
  <si>
    <t>8926-POSTO OBRAS</t>
  </si>
  <si>
    <t>8927-DESPESAS LOTE TRINDADE AIDEAL</t>
  </si>
  <si>
    <t>8928-DESPESAS LOTE TRINDADE AIDEAL</t>
  </si>
  <si>
    <t>8929-TRIBUNAL DE JUSTICA DO ESTADO DE GOIAS</t>
  </si>
  <si>
    <t>8932-CAMINHAO MUNCK</t>
  </si>
  <si>
    <t>8933-DESPESAS VEICULOS</t>
  </si>
  <si>
    <t>8934-VALDMAR AUGUSTO</t>
  </si>
  <si>
    <t>8935-DESPESAS DE VIAGEM</t>
  </si>
  <si>
    <t>8936-RESTAURANTE EL SHADAY</t>
  </si>
  <si>
    <t>8937-OI TELEFONIA</t>
  </si>
  <si>
    <t>8985-MM CLINICA MEDICA DE SERRA DO SALITRE</t>
  </si>
  <si>
    <t>8931-MCZA INFORMATICA COMERCIO DE SERVICO LTDA</t>
  </si>
  <si>
    <t>8938-CLARO TELEFONIA</t>
  </si>
  <si>
    <t>8940-DESPESAS LOTE TRINDADE AIDEAL</t>
  </si>
  <si>
    <t>8941-VAN OBRAS</t>
  </si>
  <si>
    <t>8942-DESPESAS DE VIAGEM</t>
  </si>
  <si>
    <t>8943-RESTAURANTE EL SHADAY</t>
  </si>
  <si>
    <t>8944-CASA PACK DISTRIBUICAO DE EMBALAGENS LTDA</t>
  </si>
  <si>
    <t>8945-MERCADO LIVRE</t>
  </si>
  <si>
    <t>8946-CARTAO CREDITO EDUARDO</t>
  </si>
  <si>
    <t>8947-CARTAO CREDITO EDUARDO</t>
  </si>
  <si>
    <t>8948-CARTAO CREDITO EDUARDO</t>
  </si>
  <si>
    <t>8949-CARTAO CREDITO EDUARDO</t>
  </si>
  <si>
    <t>8950-CARTAO CREDITO EDUARDO</t>
  </si>
  <si>
    <t>8951-CARTAO CREDITO EDUARDO</t>
  </si>
  <si>
    <t>8952-CARTAO CREDITO EDUARDO</t>
  </si>
  <si>
    <t>8953-CARTAO CREDITO EDUARDO</t>
  </si>
  <si>
    <t>8954-CARTAO CREDITO EDUARDO</t>
  </si>
  <si>
    <t>8955-CARTAO CREDITO EDUARDO</t>
  </si>
  <si>
    <t>8956-CARTAO CREDITO EDUARDO</t>
  </si>
  <si>
    <t>8957-CARTAO CREDITO EDUARDO</t>
  </si>
  <si>
    <t>8958-CARTAO CREDITO EDUARDO</t>
  </si>
  <si>
    <t>8959-CARTAO CREDITO EDUARDO</t>
  </si>
  <si>
    <t>8960-CARTAO CREDITO EDUARDO</t>
  </si>
  <si>
    <t>8961-CARTAO CREDITO EDUARDO</t>
  </si>
  <si>
    <t>8962-CARTAO CREDITO EDUARDO</t>
  </si>
  <si>
    <t>8963-CARTAO CREDITO EDUARDO</t>
  </si>
  <si>
    <t>8964-ENCOMENDA BARRO ALTO</t>
  </si>
  <si>
    <t>8965-CARTAO CREDITO EDUARDO</t>
  </si>
  <si>
    <t>8966-CARTAO CREDITO EDUARDO</t>
  </si>
  <si>
    <t>8967-CARTAO CREDITO EDUARDO</t>
  </si>
  <si>
    <t>8968-CARTAO CREDITO EDUARDO</t>
  </si>
  <si>
    <t>8971-MAGNO</t>
  </si>
  <si>
    <t>8972-ALEX INFORMATICA XCELL CELULARES E COMPUTADORES</t>
  </si>
  <si>
    <t>8973-ESTRELA ENCOMENDAS LTDA</t>
  </si>
  <si>
    <t>8974-DESPESAS VEICULOS</t>
  </si>
  <si>
    <t>8975-DESPESAS DE VIAGEM</t>
  </si>
  <si>
    <t>8976-DESPESAS VEICULOS</t>
  </si>
  <si>
    <t>8977-RODOVIARIA MATEUS CABEÇA BRANCA</t>
  </si>
  <si>
    <t>8979-DESPESAS DE VIAGEM</t>
  </si>
  <si>
    <t>9022-FONTEBRAS HOME CENTER COM. DE MAT. PARA CONST. LTDA - EPP</t>
  </si>
  <si>
    <t>9050-ZERO ONE TECNOLOGIA DA INFORMAÇAO LTDA</t>
  </si>
  <si>
    <t>9088-ESSIBE TRANSPORTE, LOGISTICA LTDA</t>
  </si>
  <si>
    <t>6833-INTERNET OBRAS</t>
  </si>
  <si>
    <t>7071-DETRAN - GO</t>
  </si>
  <si>
    <t>7081-DETRAN - GO</t>
  </si>
  <si>
    <t>7090-DETRAN - GO</t>
  </si>
  <si>
    <t>7100-DETRAN - GO</t>
  </si>
  <si>
    <t>7111-DETRAN - GO</t>
  </si>
  <si>
    <t>7121-DETRAN - GO</t>
  </si>
  <si>
    <t>7133-DETRAN - GO</t>
  </si>
  <si>
    <t>7143-DETRAN - GO</t>
  </si>
  <si>
    <t>7153-DETRAN - GO</t>
  </si>
  <si>
    <t>7164-DETRAN - GO</t>
  </si>
  <si>
    <t>7174-DETRAN - GO</t>
  </si>
  <si>
    <t>7184-DETRAN - GO</t>
  </si>
  <si>
    <t>7194-DETRAN - GO</t>
  </si>
  <si>
    <t>8305-DETRAN - GO</t>
  </si>
  <si>
    <t>8378-ALUGUEIS OBRAS</t>
  </si>
  <si>
    <t>8379-ALUGUEIS OBRAS</t>
  </si>
  <si>
    <t>8380-ALUGUEIS OBRAS</t>
  </si>
  <si>
    <t>8381-ALUGUEIS OBRAS</t>
  </si>
  <si>
    <t>8382-ALUGUEIS OBRAS</t>
  </si>
  <si>
    <t>8457-SANEAMENTO DE GOIA S.A</t>
  </si>
  <si>
    <t>8573-COPASA SANEAMENTO</t>
  </si>
  <si>
    <t>8978-ENCOMENDA DE CATALAO</t>
  </si>
  <si>
    <t>8981-CORDEIRO GUINDASTES</t>
  </si>
  <si>
    <t>8982-HOTEIS OBRAS</t>
  </si>
  <si>
    <t>8983-RESCISOES / FGTS</t>
  </si>
  <si>
    <t>8984-ADIANTAMENTO SALARIAL</t>
  </si>
  <si>
    <t>8987-VALDMAR AUGUSTO</t>
  </si>
  <si>
    <t>8989-FERIAS</t>
  </si>
  <si>
    <t>8990-SEGUROS SURA S/A</t>
  </si>
  <si>
    <t>8991-INFORMATICA OBRAS</t>
  </si>
  <si>
    <t>8992-MERCADO LIVRE</t>
  </si>
  <si>
    <t>8993-DESPESAS DE OBRAS</t>
  </si>
  <si>
    <t>8994-DESTAQUE MANUTENÇAO INDUSTRIAL LTDA</t>
  </si>
  <si>
    <t>9000-RESTAURANTE EL SHADAY</t>
  </si>
  <si>
    <t>9001-MERCADO LIVRE</t>
  </si>
  <si>
    <t>9002-DESPESAS DE VIAGEM</t>
  </si>
  <si>
    <t>9003-HOTEIS OBRAS</t>
  </si>
  <si>
    <t>9009-VALDMAR AUGUSTO</t>
  </si>
  <si>
    <t>9010-BONIFICAÇOES</t>
  </si>
  <si>
    <t>9011-BERTI &amp; JARDIM</t>
  </si>
  <si>
    <t>9012-BANCO ITAU</t>
  </si>
  <si>
    <t>9013-IDELFONSO SOARES DOS REIS - ME</t>
  </si>
  <si>
    <t>9016-AJEL MATERIAIS ELETRICOS LTDA</t>
  </si>
  <si>
    <t>9019-AMHIGO ASSITENCIA MECANICA HID. DE GOIAS LTDA</t>
  </si>
  <si>
    <t>9038-POSTO A+ COMERCIO DE COMBUSTIVEL LTDA</t>
  </si>
  <si>
    <t>9051-MATA FOME REFEICAO COLETIVA LTDA</t>
  </si>
  <si>
    <t>4261-TRIBUNAL REGIONAL DO TRABALHO</t>
  </si>
  <si>
    <t>4262-TRIBUNAL REGIONAL DO TRABALHO</t>
  </si>
  <si>
    <t>8240-PREFEITURA DE GOIANIA</t>
  </si>
  <si>
    <t>8313-PREFEITURA DE GOIANIA</t>
  </si>
  <si>
    <t>8324-PREFEITURA DE GOIANIA</t>
  </si>
  <si>
    <t>8358-PREFEITURA DE GOIANIA</t>
  </si>
  <si>
    <t>8550-WILLIAM ADM</t>
  </si>
  <si>
    <t>9004-CORREIOS OBRAS</t>
  </si>
  <si>
    <t>9005-RESTAURANTES OBRAS</t>
  </si>
  <si>
    <t>9006-COPASA SANEAMENTO</t>
  </si>
  <si>
    <t>9020-LOC BEM - VILMAR</t>
  </si>
  <si>
    <t>9021-RESCISOES / FGTS</t>
  </si>
  <si>
    <t>9023-FERRAGISTA OBRAS</t>
  </si>
  <si>
    <t>9024-FERRAGISTA OBRAS</t>
  </si>
  <si>
    <t>9028-REFEIÇÃO OBRAS</t>
  </si>
  <si>
    <t>9029-REFEIÇÃO OBRAS</t>
  </si>
  <si>
    <t>9030-REFEIÇÃO OBRAS</t>
  </si>
  <si>
    <t>9031-REFEIÇÃO OBRAS</t>
  </si>
  <si>
    <t>9032-REFEIÇÃO OBRAS</t>
  </si>
  <si>
    <t>9033-REFEIÇÃO OBRAS</t>
  </si>
  <si>
    <t>9034-REFEIÇÃO OBRAS</t>
  </si>
  <si>
    <t>9035-CARTORIO</t>
  </si>
  <si>
    <t>9036-UBER MOACIR</t>
  </si>
  <si>
    <t>9037-PREVIDENCIA SOCIAL GPS 3º</t>
  </si>
  <si>
    <t>9052-BIRCK &amp; AMP ROCHA LTDA</t>
  </si>
  <si>
    <t>9055-POSTO FERREIRA MATIAS COMBUSTIVEL LTDA</t>
  </si>
  <si>
    <t>9062-PROTEGE DISTRIBUIDORA DE EPI EPC E SINALIZACAO LTDA</t>
  </si>
  <si>
    <t>9027-PAPELARIA OBRAS</t>
  </si>
  <si>
    <t>9039-FERIAS</t>
  </si>
  <si>
    <t>9040-VALE TRANSPORTE</t>
  </si>
  <si>
    <t>9041-RESTAURANTE EL SHADAY</t>
  </si>
  <si>
    <t>9042-FERIAS</t>
  </si>
  <si>
    <t>9043-FERIAS</t>
  </si>
  <si>
    <t>9044-FERIAS</t>
  </si>
  <si>
    <t>9045-FERIAS</t>
  </si>
  <si>
    <t>9046-FGTS</t>
  </si>
  <si>
    <t>9047-FGTS</t>
  </si>
  <si>
    <t>9048-FGTS</t>
  </si>
  <si>
    <t>9049-FERIAS</t>
  </si>
  <si>
    <t>9053-LAVANDERIA OBRAS</t>
  </si>
  <si>
    <t>9056-FERRAGISTA OBRAS</t>
  </si>
  <si>
    <t>9057-GENILDO</t>
  </si>
  <si>
    <t>9058-DESPESAS LOTE TRINDADE AIDEAL</t>
  </si>
  <si>
    <t>9059-DESPESAS LOTE TRINDADE AIDEAL</t>
  </si>
  <si>
    <t>9060-DESPESAS LOTE TRINDADE AIDEAL</t>
  </si>
  <si>
    <t>9061-DESPESAS LOTE TRINDADE AIDEAL</t>
  </si>
  <si>
    <t>9063-ENCOMENDA BARRO ALTO</t>
  </si>
  <si>
    <t>9064-ADIANTAMENTO SALARIAL</t>
  </si>
  <si>
    <t>9065-DESPESAS DE VIAGEM</t>
  </si>
  <si>
    <t>9066-DESPESAS VEICULOS</t>
  </si>
  <si>
    <t>9068-BONIFICAÇOES</t>
  </si>
  <si>
    <t>9069-DESPESAS VEICULOS</t>
  </si>
  <si>
    <t>9087-PROTEGE DISTRIBUIDORA DE EPI EPC E SINALIZACAO LTDA</t>
  </si>
  <si>
    <t>9176-JVC - SERVICOS MEDICOS EIRELI-ME</t>
  </si>
  <si>
    <t>9195-JKOM CONFECCOES  LTDA</t>
  </si>
  <si>
    <t>9231-JC RESTAURANTE IND. NIQUELANDIA LTDA</t>
  </si>
  <si>
    <t>9238-MARCOS CONTAINER LTDA M.E</t>
  </si>
  <si>
    <t>8464-ALUGUEIS OBRAS</t>
  </si>
  <si>
    <t>8465-ADVOGADO</t>
  </si>
  <si>
    <t>9120-CBS TREINAMENTOS LTDA</t>
  </si>
  <si>
    <t>4320-BANCO CAIXA</t>
  </si>
  <si>
    <t>5408-PGFN</t>
  </si>
  <si>
    <t>5467-PGFN</t>
  </si>
  <si>
    <t>5508-PGFN</t>
  </si>
  <si>
    <t>9070-UBER JULIANO</t>
  </si>
  <si>
    <t>9075-PRUDENTIAL DO BRASIL SEGURO DE VIDAS</t>
  </si>
  <si>
    <t>9077-PRUDENTIAL DO BRASIL SEGURO DE VIDAS</t>
  </si>
  <si>
    <t>9078-MERCADO LIVRE</t>
  </si>
  <si>
    <t>9079-RESTAURANTE EL SHADAY</t>
  </si>
  <si>
    <t>9080-VALDMAR AUGUSTO</t>
  </si>
  <si>
    <t>9081-DESPESAS DE VIAGEM</t>
  </si>
  <si>
    <t>9082-MAGNO</t>
  </si>
  <si>
    <t>9083-RODOVIARIA MATEUS CABEÇA BRANCA</t>
  </si>
  <si>
    <t>9086-LAVA JATO OBRAS</t>
  </si>
  <si>
    <t>9089-REAL BORRACHA EIRELI</t>
  </si>
  <si>
    <t>9090-VAN OBRAS</t>
  </si>
  <si>
    <t>9096-ISS</t>
  </si>
  <si>
    <t>9097-ISS</t>
  </si>
  <si>
    <t>9098-LAVA JATO OBRAS</t>
  </si>
  <si>
    <t>9099-KAPITÃO AMERICA EQUIPAMENTOS DE SEG LTDA</t>
  </si>
  <si>
    <t>9104-PGFN</t>
  </si>
  <si>
    <t>9110-PGFN</t>
  </si>
  <si>
    <t>9116-REFEIÇÃO OBRAS</t>
  </si>
  <si>
    <t>9117-ISS</t>
  </si>
  <si>
    <t>9124-POSTO A+ COMERCIO DE COMBUSTIVEL LTDA</t>
  </si>
  <si>
    <t>9150-PROTEGE DISTRIBUIDORA DE EPI EPC E SINALIZACAO LTDA</t>
  </si>
  <si>
    <t>9159-UNIODONTO UBERABA - COOP. DE ASSISTENCIA A SAUDE ODONTOLOGICA LTDA</t>
  </si>
  <si>
    <t>5651-DARF</t>
  </si>
  <si>
    <t>8581-INTERNET OBRAS</t>
  </si>
  <si>
    <t>8582-ADVOGADO</t>
  </si>
  <si>
    <t>9100-DESPESAS VEICULOS</t>
  </si>
  <si>
    <t>9119-POSTO OBRAS</t>
  </si>
  <si>
    <t>9121-RESTAURANTE EL SHADAY</t>
  </si>
  <si>
    <t>9123-SILAS FRETE</t>
  </si>
  <si>
    <t>9130-LAILA CRISTINA</t>
  </si>
  <si>
    <t>9131-PENTAGONO EQUIP DE PROT INDIV EIRELI EPP</t>
  </si>
  <si>
    <t>9132-KAPITÃO AMERICA EQUIPAMENTOS DE SEG LTDA</t>
  </si>
  <si>
    <t>9133-CABANHA E FACAS &amp; BRINDES</t>
  </si>
  <si>
    <t>9134-CORREIOS OBRAS</t>
  </si>
  <si>
    <t>9137-POSTO OBRAS</t>
  </si>
  <si>
    <t>9141-BANCO CAIXA</t>
  </si>
  <si>
    <t>9157-AMO ASSESSORIA MEDICA OCUPACIONAL LTDA</t>
  </si>
  <si>
    <t>9177-MARCOS CONTAINER LTDA M.E</t>
  </si>
  <si>
    <t>9178-MARCOS CONTAINER LTDA M.E</t>
  </si>
  <si>
    <t>9194-PANAMERICANO LOG TRANSP. ROD. DE CARGAS E COBRANÇAS EXTRAJUDICIAL LTDA</t>
  </si>
  <si>
    <t>9222-AMOSTRA ASSISTENCIA MEDICA LTDA</t>
  </si>
  <si>
    <t>9138-TRANSPORTADORA OBRAS</t>
  </si>
  <si>
    <t>9139-WALTERCIDES DE PAIVA JUNIOR 59364505115</t>
  </si>
  <si>
    <t>9140-TRIBUNAL REGIONAL DO TRABALHO</t>
  </si>
  <si>
    <t>9142-CREA</t>
  </si>
  <si>
    <t>9143-MERCADO LIVRE</t>
  </si>
  <si>
    <t>9144-RESTAURANTE EL SHADAY</t>
  </si>
  <si>
    <t>9145-FRETE OBRAS</t>
  </si>
  <si>
    <t>9146-PAPELARIA OBRAS</t>
  </si>
  <si>
    <t>9147-FERRAGISTA OBRAS</t>
  </si>
  <si>
    <t>9148-GENILDO</t>
  </si>
  <si>
    <t>9149-REINALDO DIAS</t>
  </si>
  <si>
    <t>9151-ZERO ONE TECNOLOGIA DA INFORMAÇAO LTDA</t>
  </si>
  <si>
    <t>9152-SERVIÇOS DE LIMPEZA / FAXINA</t>
  </si>
  <si>
    <t>9153-CVAL ALUGUEL DE VEÍCULOS LTDA</t>
  </si>
  <si>
    <t>9154-RESCISOES / FGTS</t>
  </si>
  <si>
    <t>9155-RESCISOES / FGTS</t>
  </si>
  <si>
    <t>9156-RESCISOES / FGTS</t>
  </si>
  <si>
    <t>9158-CARTAO PRA TODOS</t>
  </si>
  <si>
    <t>9160-FERIAS</t>
  </si>
  <si>
    <t>9162-DESPESAS DE VIAGEM</t>
  </si>
  <si>
    <t>9164-ALUGUEIS OBRAS</t>
  </si>
  <si>
    <t>9166-HOTEIS OBRAS</t>
  </si>
  <si>
    <t>9170-FONTEBRAS HOME CENTER COM. DE MAT. PARA CONST. LTDA - EPP</t>
  </si>
  <si>
    <t>9181-SEGURANÇA E SAUDE NO TRABALHO LTDA</t>
  </si>
  <si>
    <t>9167-LAVA JATO OBRAS</t>
  </si>
  <si>
    <t>9168-CEMIG DISTRIBUIÇÃO S.A</t>
  </si>
  <si>
    <t>9171-PAPELARIA OBRAS</t>
  </si>
  <si>
    <t>9172-MAGNO</t>
  </si>
  <si>
    <t>9173-PAPELARIA OBRAS</t>
  </si>
  <si>
    <t>9174-POSTO OBRAS</t>
  </si>
  <si>
    <t>9180-EDUARDO RODRIGUES</t>
  </si>
  <si>
    <t>9182-DESPESAS LOTE TRINDADE AIDEAL</t>
  </si>
  <si>
    <t>9183-DESPESAS LOTE TRINDADE AIDEAL</t>
  </si>
  <si>
    <t>9184-DESPESAS LOTE TRINDADE AIDEAL</t>
  </si>
  <si>
    <t>9185-DESPESAS LOTE TRINDADE AIDEAL</t>
  </si>
  <si>
    <t>9186-DESPESAS LOTE TRINDADE AIDEAL</t>
  </si>
  <si>
    <t>9187-DESPESAS DE VIAGEM</t>
  </si>
  <si>
    <t>9188-VALDMAR AUGUSTO</t>
  </si>
  <si>
    <t>9191-RESTAURANTE EL SHADAY</t>
  </si>
  <si>
    <t>9192-DESPESAS VEICULOS</t>
  </si>
  <si>
    <t>9193-EPIFER EPIS E FERRAMENTAS LTDA</t>
  </si>
  <si>
    <t>9196-PRO MINAS MATERIAIS DE SEGURANÇA LTDA</t>
  </si>
  <si>
    <t>9201-MATRIX CONSULTORIA E GESTAO DE TREINAMENTO EIRELI</t>
  </si>
  <si>
    <t>6533-BANCO ITAU</t>
  </si>
  <si>
    <t>9189-VAN OBRAS</t>
  </si>
  <si>
    <t>9190-REFEIÇÃO OBRAS</t>
  </si>
  <si>
    <t>9197-MASTER TUR TRANSPORTE DE PASSAGEIROS LTDA</t>
  </si>
  <si>
    <t>9198-IFPG - INSTITUTO FOCO DE POS GRADUACAO LTDA</t>
  </si>
  <si>
    <t>9199-QUALI TINTAS</t>
  </si>
  <si>
    <t>9200-QUALI TINTAS</t>
  </si>
  <si>
    <t>9202-VALDMAR AUGUSTO</t>
  </si>
  <si>
    <t>9204-POSTO OBRAS</t>
  </si>
  <si>
    <t>9205-CORREIOS OBRAS</t>
  </si>
  <si>
    <t>9207-ALUGUEIS OBRAS</t>
  </si>
  <si>
    <t>9208-RESTAURANTE EL SHADAY</t>
  </si>
  <si>
    <t>9209-ALEX INFORMATICA XCELL CELULARES E COMPUTADORES</t>
  </si>
  <si>
    <t>9211-BERTI &amp; JARDIM</t>
  </si>
  <si>
    <t>9214-BANCO MERCANTIL</t>
  </si>
  <si>
    <t>9228-DETRAN - GO</t>
  </si>
  <si>
    <t>9229-CLARUS COM DE EPI'S E FERRAMENTAS LTDA</t>
  </si>
  <si>
    <t>9291-MATERCON ENTULHOS LTDA</t>
  </si>
  <si>
    <t>9292-AMHIGO ASSITENCIA MECANICA HID. DE GOIAS LTDA</t>
  </si>
  <si>
    <t>9296-MATRIX CONSULTORIA E GESTAO DE TREINAMENTO EIRELI</t>
  </si>
  <si>
    <t>9299-POSTO A+ COMERCIO DE COMBUSTIVEL LTDA</t>
  </si>
  <si>
    <t>9301-REAL BORRACHA EIRELI</t>
  </si>
  <si>
    <t>5785-PGFN</t>
  </si>
  <si>
    <t>5845-PGFN</t>
  </si>
  <si>
    <t>9212-ENCOMENDA DE CATALAO</t>
  </si>
  <si>
    <t>9213-SR APRIGIO RODRIGUES</t>
  </si>
  <si>
    <t>9215-FERIAS</t>
  </si>
  <si>
    <t>9216-RESCISOES / FGTS</t>
  </si>
  <si>
    <t>9217-FGTS</t>
  </si>
  <si>
    <t>9218-RESCISOES / FGTS</t>
  </si>
  <si>
    <t>9219-RESCISOES / FGTS</t>
  </si>
  <si>
    <t>9220-RESCISOES / FGTS</t>
  </si>
  <si>
    <t>9221-MARCIO ROBERTO NOVATO PESSOA</t>
  </si>
  <si>
    <t>9223-VALE TRANSPORTE</t>
  </si>
  <si>
    <t>9224-VALE TRANSPORTE</t>
  </si>
  <si>
    <t>9225-VALE TRANSPORTE</t>
  </si>
  <si>
    <t>9226-VALE TRANSPORTE</t>
  </si>
  <si>
    <t>9227-VALE TRANSPORTE</t>
  </si>
  <si>
    <t>9230-GENILDO</t>
  </si>
  <si>
    <t>9232-FERRAGISTA OBRAS</t>
  </si>
  <si>
    <t>9233-POSTO OBRAS</t>
  </si>
  <si>
    <t>9234-RESTAURANTE EL SHADAY</t>
  </si>
  <si>
    <t>9235-UBER MOACIR</t>
  </si>
  <si>
    <t>9236-MANUTENÇÃO EQUIPAMENTOS</t>
  </si>
  <si>
    <t>9239-LOCALIZA RENT A CAR SA</t>
  </si>
  <si>
    <t>9240-MORIA ELETROMOVEIS LTDA</t>
  </si>
  <si>
    <t>9241-V A PINT LOCAÇOES SERVIÇOS E PINTURA LTDA</t>
  </si>
  <si>
    <t>9242-DESPESAS DE VIAGEM</t>
  </si>
  <si>
    <t>9243-RODOVIARIA MATEUS CABEÇA BRANCA</t>
  </si>
  <si>
    <t>9244-PLANETA EMBALAGENS</t>
  </si>
  <si>
    <t>9245-DESPESAS LOTE TRINDADE AIDEAL</t>
  </si>
  <si>
    <t>9246-DESPESAS LOTE TRINDADE AIDEAL</t>
  </si>
  <si>
    <t>9247-TAMBORES BRASIL LTDA</t>
  </si>
  <si>
    <t>9293-BRASILIA MAQ. ELETRICAS E EQUIP. LTDA</t>
  </si>
  <si>
    <t>9237-ZEQUINHA BORDADOS LTDA</t>
  </si>
  <si>
    <t>9248-POSTO OBRAS</t>
  </si>
  <si>
    <t>9249-DESPESAS VEICULOS</t>
  </si>
  <si>
    <t>9250-ALEX INFORMATICA XCELL CELULARES E COMPUTADORES</t>
  </si>
  <si>
    <t>9251-FERRAGISTA OBRAS</t>
  </si>
  <si>
    <t>9252-RESTAURANTE EL SHADAY</t>
  </si>
  <si>
    <t>9253-RESTAURANTE EL SHADAY</t>
  </si>
  <si>
    <t>9254-ENCOMENDA BARRO ALTO</t>
  </si>
  <si>
    <t>9255-DESPESAS VEICULOS</t>
  </si>
  <si>
    <t>9256-LAVA JATO OBRAS</t>
  </si>
  <si>
    <t>9257-DESPESAS DE VIAGEM</t>
  </si>
  <si>
    <t>9258-CONTEINERES BARRO ALTO LTDA</t>
  </si>
  <si>
    <t>9262-IMPOSTOS</t>
  </si>
  <si>
    <t>9294-MATRIX CONSULTORIA E GESTAO DE TREINAMENTO EIRELI</t>
  </si>
  <si>
    <t>9336-MATA FOME REFEICAO COLETIVA LTDA</t>
  </si>
  <si>
    <t>9340-SODEXO DO BRASIL COMERCIAL S.A</t>
  </si>
  <si>
    <t>9355-CG ENGENHARIA E CONSULTORIA LTDA</t>
  </si>
  <si>
    <t>9357-ALCON ENGENHARIA DE SISTEMA LTDA</t>
  </si>
  <si>
    <t>9259- ANGLO AMERICAN</t>
  </si>
  <si>
    <t xml:space="preserve">2441-ANGLO AMERICAN </t>
  </si>
  <si>
    <t>MOSAIC ARAXA</t>
  </si>
  <si>
    <t>9450-CMOC BRASIL MINERAÇAO INDUSTRIAL E PARTICIPAÇOES</t>
  </si>
  <si>
    <t>9485-A IDEAL SOLUÇÕES ANTICORROSIVAS LTDA</t>
  </si>
  <si>
    <t>9529-CMOC BRASIL MINERAÇAO INDUSTRIAL E PARTICIPAÇOES</t>
  </si>
  <si>
    <t>9677-CMOC BRASIL MINERAÇAO INDUSTRIAL E PARTICIPAÇOES</t>
  </si>
  <si>
    <t>9747-ANGLO AMERICAN NIQUEL BRASIL LTDA</t>
  </si>
  <si>
    <t>9687-CMOC BRASIL MINERAÇAO INDUSTRIAL E PARTICIPAÇOES</t>
  </si>
  <si>
    <t>9688-CMOC BRASIL MINERAÇAO INDUSTRIAL E PARTICIPAÇOES</t>
  </si>
  <si>
    <t>9689-CMOC BRASIL MINERAÇAO INDUSTRIAL E PARTICIPAÇOES</t>
  </si>
  <si>
    <t>9690-CMOC BRASIL MINERAÇAO INDUSTRIAL E PARTICIPAÇOES</t>
  </si>
  <si>
    <t>9691-CMOC BRASIL MINERAÇAO INDUSTRIAL E PARTICIPAÇOES</t>
  </si>
  <si>
    <t>9701-SALITRE FERTILIZANTES LTDA</t>
  </si>
  <si>
    <t>9702-SALITRE FERTILIZANTES LTDA</t>
  </si>
  <si>
    <t>9703-SALITRE FERTILIZANTES LTDA</t>
  </si>
  <si>
    <t>9704-SALITRE FERTILIZANTES LTDA</t>
  </si>
  <si>
    <t>9705-SALITRE FERTILIZANTES LTDA</t>
  </si>
  <si>
    <t>9715-MOSAIC FERTILIZANTES DO BRASIL LTDA UBERABA ROTINA</t>
  </si>
  <si>
    <t>9716-MOSAIC FERTILIZANTES DO BRASIL LTDA UBERABA ROTINA</t>
  </si>
  <si>
    <t>9717-MOSAIC FERTILIZANTES DO BRASIL LTDA UBERABA ROTINA</t>
  </si>
  <si>
    <t>9743-MOSAIC FERTILIZANTE P&amp;K LTDA MOSAIC ARAXA</t>
  </si>
  <si>
    <t>9744-MOSAIC FERTILIZANTE P&amp;K LTDA MOSAIC ARAXA</t>
  </si>
  <si>
    <t>9745-MOSAIC FERTILIZANTE P&amp;K LTDA MOSAIC ARAXA</t>
  </si>
  <si>
    <t>9746-MOSAIC FERTILIZANTE P&amp;K LTDA MOSAIC ARAXA</t>
  </si>
  <si>
    <t>9748-ANGLO AMERICAN NIQUEL BRASIL LTDA</t>
  </si>
  <si>
    <t>9749-ANGLO AMERICAN NIQUEL BRASIL LTDA</t>
  </si>
  <si>
    <t>9753-SALITRE FERTILIZANTES LTDA</t>
  </si>
  <si>
    <t>9897-VLI MULTIMODAL S.A</t>
  </si>
  <si>
    <t>8667-ALUGUEIS OBRAS</t>
  </si>
  <si>
    <t>8668-ALUGUEIS OBRAS</t>
  </si>
  <si>
    <t>8669-ALUGUEIS OBRAS</t>
  </si>
  <si>
    <t>8670-ALUGUEIS OBRAS</t>
  </si>
  <si>
    <t>8671-ALUGUEIS OBRAS</t>
  </si>
  <si>
    <t>9084-ADCONT LTDA</t>
  </si>
  <si>
    <t>9269-TRANSPORTADORA OBRAS</t>
  </si>
  <si>
    <t>9270-REFEIÇÃO OBRAS</t>
  </si>
  <si>
    <t>9271-REFEIÇÃO OBRAS</t>
  </si>
  <si>
    <t>9272-REFEIÇÃO OBRAS</t>
  </si>
  <si>
    <t>9273-REFEIÇÃO OBRAS</t>
  </si>
  <si>
    <t>9274-REFEIÇÃO OBRAS</t>
  </si>
  <si>
    <t>9275-REFEIÇÃO OBRAS</t>
  </si>
  <si>
    <t>9276-REFEIÇÃO OBRAS</t>
  </si>
  <si>
    <t>9277-BANCO CAIXA</t>
  </si>
  <si>
    <t>9317-LOC RADIO - LOCAÇAO E SERVIÇOS</t>
  </si>
  <si>
    <t>9323-A S TURISMO</t>
  </si>
  <si>
    <t>9278-DESPESAS LOTE TRINDADE AIDEAL</t>
  </si>
  <si>
    <t>9279-DESPESAS LOTE TRINDADE AIDEAL</t>
  </si>
  <si>
    <t>9280-DESPESAS LOTE TRINDADE AIDEAL</t>
  </si>
  <si>
    <t>9281-DESPESAS LOTE TRINDADE AIDEAL</t>
  </si>
  <si>
    <t>9282-BANCO MERCANTIL</t>
  </si>
  <si>
    <t>9283-BANCO MERCANTIL</t>
  </si>
  <si>
    <t>9286-RESTAURANTE MARINA LTDA</t>
  </si>
  <si>
    <t>9300-REAL BORRACHA EIRELI</t>
  </si>
  <si>
    <t>9303-JC RESTAURANTE INDUSTRIAL NIQUELANDIA LTDA</t>
  </si>
  <si>
    <t>9312-POSTO FERREIRA MATIAS COMBUSTIVEL LTDA</t>
  </si>
  <si>
    <t>9334-AUTOENGE SOLUTIONS LTDA</t>
  </si>
  <si>
    <t>9335-CONCIERGE BLINDADO SERVICOS AUTOMOTIVOS LTDA</t>
  </si>
  <si>
    <t>9349-HAPVIDA ASSISTENCIA MEDICA S.A.</t>
  </si>
  <si>
    <t>9352-AQUARELA LANCHONETE E CONVENIENCIA LTDA</t>
  </si>
  <si>
    <t>9406-JC RESTAURANTE INDUSTRIAL NIQUELANDIA LTDA</t>
  </si>
  <si>
    <t>9407-JC RESTAURANTE INDUSTRIAL NIQUELANDIA LTDA</t>
  </si>
  <si>
    <t>9507-JC RESTAURANTE INDUSTRIAL NIQUELANDIA LTDA</t>
  </si>
  <si>
    <t>9571-CAIXA CARTÕES PRÉ-PAGOS S.A</t>
  </si>
  <si>
    <t>9723-REDE DE POSTOS 2000 III DE COMBUSTIVEIS LTDA - UBERABA</t>
  </si>
  <si>
    <t>9724-REDE DE POSTOS 2000 III DE COMBUSTIVEIS LTDA - UBERABA</t>
  </si>
  <si>
    <t>9085-ADCONT LTDA</t>
  </si>
  <si>
    <t>9289-SYNERGON CONSULTORIA E CONTABILIDADE</t>
  </si>
  <si>
    <t>9805-CORDEIRO REMOCOES GUINDASTES E TRANSPORTES LTDA</t>
  </si>
  <si>
    <t>9302-LAVANDERIA OBRAS</t>
  </si>
  <si>
    <t>8811-ALUGUEIS OBRAS</t>
  </si>
  <si>
    <t>8812-ALUGUEIS OBRAS</t>
  </si>
  <si>
    <t>9008-FINANCIAMENTO</t>
  </si>
  <si>
    <t>9094-FLORENCE SOARES SILVA SOCIEDADE INDIVIDUAL DE ADVOCACIA</t>
  </si>
  <si>
    <t>9263-BONIFICAÇOES</t>
  </si>
  <si>
    <t>9284-REFEIÇÃO OBRAS</t>
  </si>
  <si>
    <t>9285-DESPESAS DE VIAGEM</t>
  </si>
  <si>
    <t>9287-PAPELARIA OBRAS</t>
  </si>
  <si>
    <t>9288-REFEIÇÃO OBRAS</t>
  </si>
  <si>
    <t>9290-IPOG</t>
  </si>
  <si>
    <t>9295-RESTAURANTE EL SHADAY</t>
  </si>
  <si>
    <t>9297-RESTAURANTES OBRAS</t>
  </si>
  <si>
    <t>9298-RESTAURANTES OBRAS</t>
  </si>
  <si>
    <t>9304-SANEAMENTO DE GOIA S.A</t>
  </si>
  <si>
    <t>9305-EQUATORIAL DISTRIBUIDORA DE ENERGIA S.A.</t>
  </si>
  <si>
    <t>9306-SAE AGUAS DE CATALAO</t>
  </si>
  <si>
    <t>9307-EQUATORIAL DISTRIBUIDORA DE ENERGIA S.A.</t>
  </si>
  <si>
    <t>9308-EQUATORIAL DISTRIBUIDORA DE ENERGIA S.A.</t>
  </si>
  <si>
    <t>9309-SAE AGUAS DE CATALAO</t>
  </si>
  <si>
    <t>9310-SAE AGUAS DE CATALAO</t>
  </si>
  <si>
    <t>9311-SAE AGUAS DE CATALAO</t>
  </si>
  <si>
    <t>9313-TRANSPORTADORA AQUINO E DINIZ LTDA</t>
  </si>
  <si>
    <t>9315-MARCOS CONTAINER LTDA M.E</t>
  </si>
  <si>
    <t>9316-IPOG</t>
  </si>
  <si>
    <t>9318-RHTRON INFORMATICA LTDA</t>
  </si>
  <si>
    <t>9319-AGSMB ASSOSIAÇAO GOIANIA DE SOCORRO</t>
  </si>
  <si>
    <t>9320-HELIO APARECIDO BIAQUINI</t>
  </si>
  <si>
    <t>9324-LOC BEM - VILMAR</t>
  </si>
  <si>
    <t>9325-POSTO OBRAS</t>
  </si>
  <si>
    <t>9326-UBER MOACIR</t>
  </si>
  <si>
    <t>9327-FERRAGISTA OBRAS</t>
  </si>
  <si>
    <t>9328-RODOVIARIA MATEUS CABEÇA BRANCA</t>
  </si>
  <si>
    <t>9329-BANCO ITAU</t>
  </si>
  <si>
    <t>9330-BANCO ITAU</t>
  </si>
  <si>
    <t>9331-AGUIA COMERCIO E CENTRO AUTOMOTIVO LTDA</t>
  </si>
  <si>
    <t>9332-BANCO ITAU</t>
  </si>
  <si>
    <t>9333-BANCO SAFRA</t>
  </si>
  <si>
    <t>9338-MASTER TUR TRANSPORTE DE PASSAGEIROS LTDA</t>
  </si>
  <si>
    <t>9339-GUSA DO BRASIL MOBILIARIO E CONTAINER</t>
  </si>
  <si>
    <t>9342-AMHIGO ASSITENCIA MECANICA HID. DE GOIAS LTDA</t>
  </si>
  <si>
    <t>9343-AMHIGO ASSITENCIA MECANICA HID. DE GOIAS LTDA</t>
  </si>
  <si>
    <t>9344-AMHIGO ASSITENCIA MECANICA HID. DE GOIAS LTDA</t>
  </si>
  <si>
    <t>9360-SH LOCACAO DE ANDAIMES</t>
  </si>
  <si>
    <t>9371-POSTO A+ COMERCIO DE COMBUSTIVEL LTDA</t>
  </si>
  <si>
    <t>9392-FONTEBRAS HOME CENTER COM. DE MAT. PARA CONST. LTDA - EPP</t>
  </si>
  <si>
    <t>9393-FONTEBRAS HOME CENTER COM. DE MAT. PARA CONST. LTDA - EPP</t>
  </si>
  <si>
    <t>10002-REDE MAQUINAS COMERCIO E SERVIÇOS DE MAQUINAS</t>
  </si>
  <si>
    <t>4296-BANCO CAIXA</t>
  </si>
  <si>
    <t>9337-JC RESTAURANTE IND. NIQUELANDIA LTDA</t>
  </si>
  <si>
    <t>9341-VATIC TECNOLOGIA VILMAR</t>
  </si>
  <si>
    <t>9345-VALE ALIMENTAÇÃO OBRAS</t>
  </si>
  <si>
    <t>9346-RESTAURANTE EL SHADAY</t>
  </si>
  <si>
    <t>9347-SINDICATO DO TRABALHADORES NAS INDUSTRIAIS DA CONSTRUÇAO EDO MOBILIARIA DE UBERABA</t>
  </si>
  <si>
    <t>9348-SINDICATO EM MONTAGENS INDUSTRIAIS CEARA</t>
  </si>
  <si>
    <t>9351-RESCISOES / FGTS</t>
  </si>
  <si>
    <t>9353-LAVA JATO OBRAS</t>
  </si>
  <si>
    <t>9354-PAPELARIA OBRAS</t>
  </si>
  <si>
    <t>9356-VALE ALIMENTAÇÃO OBRAS</t>
  </si>
  <si>
    <t>9358-FOLHA DE PAGAMENTO</t>
  </si>
  <si>
    <t>9361-YCARO GOMES</t>
  </si>
  <si>
    <t>9362-FERRAGISTA OBRAS</t>
  </si>
  <si>
    <t>9363-FERRAGISTA OBRAS</t>
  </si>
  <si>
    <t>9364-FERRAGISTA OBRAS</t>
  </si>
  <si>
    <t>9365-FERRAGISTA OBRAS</t>
  </si>
  <si>
    <t>9366-FERRAGISTA OBRAS</t>
  </si>
  <si>
    <t>9367-MAGNO</t>
  </si>
  <si>
    <t>9368-MAGNO</t>
  </si>
  <si>
    <t>9369-LAILA CRISTINA</t>
  </si>
  <si>
    <t>9370-VALDMAR AUGUSTO</t>
  </si>
  <si>
    <t>9373-MERCADO LIVRE</t>
  </si>
  <si>
    <t>9374-RICARDO RODRIGUES - COMERCIAL</t>
  </si>
  <si>
    <t>9375-DESPESAS DE VIAGEM</t>
  </si>
  <si>
    <t>9376-KUKA TRANSPORTES AUTO SOCORRO LTDA -ME</t>
  </si>
  <si>
    <t>9377-IDELFONSO SOARES DOS REIS - ME</t>
  </si>
  <si>
    <t>9378-IDELFONSO SOARES DOS REIS - ME</t>
  </si>
  <si>
    <t>9379-BONIFICAÇOES</t>
  </si>
  <si>
    <t>9380-IDELFONSO SOARES DOS REIS - ME</t>
  </si>
  <si>
    <t>9381-IDELFONSO SOARES DOS REIS - ME</t>
  </si>
  <si>
    <t>9437-LIMP + QUIMICOS E DESCARTAVEIS EIRELI</t>
  </si>
  <si>
    <t>9444-NEOBETEL EPI, EQUIPAMENTOS DE PROTECAO INDIVIDUAL LTDA</t>
  </si>
  <si>
    <t>9447-NEOBETEL EPI, EQUIPAMENTOS DE PROTECAO INDIVIDUAL LTDA</t>
  </si>
  <si>
    <t>9470-FUNDAÇAO SAO FRANCISCO XAVIER</t>
  </si>
  <si>
    <t>9471-FUNDAÇAO SAO FRANCISCO XAVIER</t>
  </si>
  <si>
    <t>9563-JVC - SERVICOS MEDICOS EIRELI-ME</t>
  </si>
  <si>
    <t>9591-OLIVEIRA COMERCIO DE EQUIPAMENTOS LTDA</t>
  </si>
  <si>
    <t>9840-TECSUPORT RADIOCOM E TELECOM LTDA</t>
  </si>
  <si>
    <t>9018-SANEAMENTO DE GOIA S.A</t>
  </si>
  <si>
    <t>9054-CEMIG DISTRIBUIÇÃO S.A</t>
  </si>
  <si>
    <t>9125-COPASA SANEAMENTO</t>
  </si>
  <si>
    <t>9136-ADVOGADO</t>
  </si>
  <si>
    <t>9175-COPASA SANEAMENTO</t>
  </si>
  <si>
    <t>9382-GILVAN</t>
  </si>
  <si>
    <t>9383-DESPESAS LOTE TRINDADE AIDEAL</t>
  </si>
  <si>
    <t>9384-VALDMAR AUGUSTO</t>
  </si>
  <si>
    <t>9385-HOTEIS OBRAS</t>
  </si>
  <si>
    <t>9386-LAVA JATO OBRAS</t>
  </si>
  <si>
    <t>9387-MARIA DE FE VIDAL PASCOA COMBUSTIVEL LTDA</t>
  </si>
  <si>
    <t>9388-AUTO ALIANCE SEGURO DE VEICULO</t>
  </si>
  <si>
    <t>9389-MARCOS CONTAINER LTDA M.E</t>
  </si>
  <si>
    <t>9390-DANIEL BATISTA  DE LIMA</t>
  </si>
  <si>
    <t>9391-MERCADO</t>
  </si>
  <si>
    <t>9394-VALDMAR AUGUSTO</t>
  </si>
  <si>
    <t>9395-MARCOS CONTAINER LTDA M.E</t>
  </si>
  <si>
    <t>9396-FERRAGISTA OBRAS</t>
  </si>
  <si>
    <t>9397-DESPESAS DE VIAGEM</t>
  </si>
  <si>
    <t>9398-FOLHA DE PAGAMENTO</t>
  </si>
  <si>
    <t>9399-FOLHA DE PAGAMENTO</t>
  </si>
  <si>
    <t>9400-GERALDO PACHECO DE MELO</t>
  </si>
  <si>
    <t>9445-NEOBETEL EPI, EQUIPAMENTOS DE PROTECAO INDIVIDUAL LTDA</t>
  </si>
  <si>
    <t>9446-NEOBETEL EPI, EQUIPAMENTOS DE PROTECAO INDIVIDUAL LTDA</t>
  </si>
  <si>
    <t>9401-GERALDO PACHECO DE MELO</t>
  </si>
  <si>
    <t>9402-CLARUS COM DE EPI'S E FERRAMENTAS LTDA</t>
  </si>
  <si>
    <t>9403-ENCOMENDA BARRO ALTO</t>
  </si>
  <si>
    <t>9404-RESTAURANTE EL SHADAY</t>
  </si>
  <si>
    <t>9405-RICARDO RODRIGUES - COMERCIAL</t>
  </si>
  <si>
    <t>9410-DETRAN - GO</t>
  </si>
  <si>
    <t>9411-CEMIG DISTRIBUIÇÃO S.A</t>
  </si>
  <si>
    <t>9412-EQUATORIAL DISTRIBUIDORA DE ENERGIA S.A.</t>
  </si>
  <si>
    <t>9413-EQUATORIAL DISTRIBUIDORA DE ENERGIA S.A.</t>
  </si>
  <si>
    <t>9414-GILVAN</t>
  </si>
  <si>
    <t>9415-EQUATORIAL DISTRIBUIDORA DE ENERGIA S.A.</t>
  </si>
  <si>
    <t>9416-EQUATORIAL DISTRIBUIDORA DE ENERGIA S.A.</t>
  </si>
  <si>
    <t>9417-SAE AGUAS DE CATALAO</t>
  </si>
  <si>
    <t>9418-EQUATORIAL DISTRIBUIDORA DE ENERGIA S.A.</t>
  </si>
  <si>
    <t>9419-ALEX INFORMATICA XCELL CELULARES E COMPUTADORES</t>
  </si>
  <si>
    <t>9420-STILO WEB</t>
  </si>
  <si>
    <t>9421-FERRAGISTA OBRAS</t>
  </si>
  <si>
    <t>9422-RIBEIRO REMOÇOES LEVES E PESADOS</t>
  </si>
  <si>
    <t>9423-VAN OBRAS</t>
  </si>
  <si>
    <t>9425-MERCADO LIVRE</t>
  </si>
  <si>
    <t>9426-FGTS</t>
  </si>
  <si>
    <t>9427-LAVA JATO OBRAS</t>
  </si>
  <si>
    <t>9429-BANCO ITAU</t>
  </si>
  <si>
    <t>9432-EMPILHADEIRA SANTANA LTDA</t>
  </si>
  <si>
    <t>9433-FONTEBRAS HOME CENTER COM. DE MAT. PARA CONST. LTDA - EPP</t>
  </si>
  <si>
    <t>9434-REDE EPI FERRAMENTAS PROF. E EQUIP. DE SEG. LTDA</t>
  </si>
  <si>
    <t>9435-REDE EPI FERRAMENTAS PROF. E EQUIP. DE SEG. LTDA</t>
  </si>
  <si>
    <t>9436-LIMP + QUIMICOS E DESCARTAVEIS EIRELI</t>
  </si>
  <si>
    <t>9438-CASARAO MATERIAIS E CONSTRUCOES LTDA</t>
  </si>
  <si>
    <t>9440-REDE EPI FERRAMENTAS PROF. E EQUIP. DE SEG. LTDA</t>
  </si>
  <si>
    <t>9441-LUBRIFICANTES SAO JOAO LTDA</t>
  </si>
  <si>
    <t>9643-MATRIX CONSULTORIA E GESTAO DE TREINAMENTO EIRELI</t>
  </si>
  <si>
    <t>10199-EXATA LAVADORAS E COMPRESSORES</t>
  </si>
  <si>
    <t>9428-SANEAMENTO DE GOIA S.A</t>
  </si>
  <si>
    <t>9430-FOLHA DE PAGAMENTO</t>
  </si>
  <si>
    <t>9439-CORREIOS OBRAS</t>
  </si>
  <si>
    <t>9442-SERVIÇOS DE LIMPEZA / FAXINA</t>
  </si>
  <si>
    <t>9443-RESTAURANTE EL SHADAY</t>
  </si>
  <si>
    <t>9448-MAGNO</t>
  </si>
  <si>
    <t>9449-CAIXA ROTATIVO OBRAS</t>
  </si>
  <si>
    <t>9451-DESPESAS LOTE TRINDADE AIDEAL</t>
  </si>
  <si>
    <t>9452-DESPESAS LOTE TRINDADE AIDEAL</t>
  </si>
  <si>
    <t>9453-DESPESAS LOTE TRINDADE AIDEAL</t>
  </si>
  <si>
    <t>9454-CEMIG DISTRIBUIÇÃO S.A</t>
  </si>
  <si>
    <t>9455-SANEAMENTO E ACOES URBANAS</t>
  </si>
  <si>
    <t>9456-CARTORIO</t>
  </si>
  <si>
    <t>9457-CARTORIO</t>
  </si>
  <si>
    <t>9458-HOTEL GOIAS NORTE</t>
  </si>
  <si>
    <t>9459-DESPESAS VEICULOS</t>
  </si>
  <si>
    <t>9461-FGTS</t>
  </si>
  <si>
    <t>9462-FGTS</t>
  </si>
  <si>
    <t>9463-CARTORIO</t>
  </si>
  <si>
    <t>9475-BANCO CAIXA</t>
  </si>
  <si>
    <t>8898-ALUGUEIS OBRAS</t>
  </si>
  <si>
    <t>8899-ALUGUEIS OBRAS</t>
  </si>
  <si>
    <t>8900-ALUGUEIS OBRAS</t>
  </si>
  <si>
    <t>8901-ALUGUEIS OBRAS</t>
  </si>
  <si>
    <t>8902-ALUGUEIS OBRAS</t>
  </si>
  <si>
    <t>8903-ALUGUEIS OBRAS</t>
  </si>
  <si>
    <t>8905-BANCO CAIXA</t>
  </si>
  <si>
    <t>9477-MARCOS CONTAINER LTDA M.E</t>
  </si>
  <si>
    <t>9478-GRAFIMIDIAS COMERCIO DE INFORMATICA LTDA</t>
  </si>
  <si>
    <t>9567-UNIMED COOPERATIVA DE TRABALHO MEDICO</t>
  </si>
  <si>
    <t>9568-UNIMED COOPERATIVA DE TRABALHO MEDICO</t>
  </si>
  <si>
    <t>9578-ALUGUEL GALPAO ADM FRANK ANTONIO</t>
  </si>
  <si>
    <t>9464-ENCOMENDA DE CATALAO</t>
  </si>
  <si>
    <t>9465-SERVIÇOS DE LIMPEZA / FAXINA</t>
  </si>
  <si>
    <t>9466-REFEIÇÃO OBRAS</t>
  </si>
  <si>
    <t>9472-CARTORIO</t>
  </si>
  <si>
    <t>9473-TRIBUNAL REGIONAL DO TRABALHO</t>
  </si>
  <si>
    <t>9474-TRIBUNAL REGIONAL DO TRABALHO</t>
  </si>
  <si>
    <t>9476-CLARO TELEFONIA</t>
  </si>
  <si>
    <t>9479-MORIA ELETROMOVEIS LTDA</t>
  </si>
  <si>
    <t>9480-CAIXA ROTATIVO OBRAS</t>
  </si>
  <si>
    <t>9481-LOC BEM - VILMAR</t>
  </si>
  <si>
    <t>9482-UBER JULIANO</t>
  </si>
  <si>
    <t>9483-WERLEYANO INDIO DO CARIRI FILHO LTDA</t>
  </si>
  <si>
    <t>9484-VALDMAR AUGUSTO</t>
  </si>
  <si>
    <t>9486-BONIFICAÇOES</t>
  </si>
  <si>
    <t>9487-EQUATORIAL DISTRIBUIDORA DE ENERGIA S.A.</t>
  </si>
  <si>
    <t>9488-EQUATORIAL DISTRIBUIDORA DE ENERGIA S.A.</t>
  </si>
  <si>
    <t>9489-ESPEDITO ADESIVOS</t>
  </si>
  <si>
    <t>9490-CAB INDUSTRIAL LTDA</t>
  </si>
  <si>
    <t>9492-JACINTO FERNANDES</t>
  </si>
  <si>
    <t>9501-CARTORIO</t>
  </si>
  <si>
    <t>9502-DESPESAS DE VIAGEM</t>
  </si>
  <si>
    <t>9503-RODOVIARIA MATEUS CABEÇA BRANCA</t>
  </si>
  <si>
    <t>9504-DESPESAS DE VIAGEM</t>
  </si>
  <si>
    <t>9505-OI TELEFONIA</t>
  </si>
  <si>
    <t>9506-RESTAURANTE EL SHADAY</t>
  </si>
  <si>
    <t>9509-NEOBETEL EPI, EQUIPAMENTOS DE PROTECAO INDIVIDUAL LTDA</t>
  </si>
  <si>
    <t>9550-TRANSPORTADORA AQUINO E DINIZ LTDA</t>
  </si>
  <si>
    <t>9572-BANCO CAIXA</t>
  </si>
  <si>
    <t>9508-LOCALIZA RENT A CAR SA</t>
  </si>
  <si>
    <t>9510-DESPESAS DE VIAGEM</t>
  </si>
  <si>
    <t>9513-CARTAO CREDITO EDUARDO</t>
  </si>
  <si>
    <t>9514-CARTAO CREDITO EDUARDO</t>
  </si>
  <si>
    <t>9515-CARTAO CREDITO EDUARDO</t>
  </si>
  <si>
    <t>9516-CARTAO CREDITO EDUARDO</t>
  </si>
  <si>
    <t>9517-CARTAO CREDITO EDUARDO</t>
  </si>
  <si>
    <t>9518-CARTAO CREDITO EDUARDO</t>
  </si>
  <si>
    <t>9519-CARTAO CREDITO EDUARDO</t>
  </si>
  <si>
    <t>9520-CARTAO CREDITO EDUARDO</t>
  </si>
  <si>
    <t>9521-CARTAO CREDITO EDUARDO</t>
  </si>
  <si>
    <t>9522-CARTAO CREDITO EDUARDO</t>
  </si>
  <si>
    <t>9523-CARTAO CREDITO EDUARDO</t>
  </si>
  <si>
    <t>9524-CARTAO CREDITO EDUARDO</t>
  </si>
  <si>
    <t>9525-CARTAO CREDITO EDUARDO</t>
  </si>
  <si>
    <t>9526-CARTAO CREDITO EDUARDO</t>
  </si>
  <si>
    <t>9527-CARTAO CREDITO EDUARDO</t>
  </si>
  <si>
    <t>9528-CARTAO CREDITO EDUARDO</t>
  </si>
  <si>
    <t>9530-CARTAO CREDITO EDUARDO</t>
  </si>
  <si>
    <t>9531-CARTAO CREDITO EDUARDO</t>
  </si>
  <si>
    <t>9532-CARTAO CREDITO EDUARDO</t>
  </si>
  <si>
    <t>9533-CARTAO CREDITO EDUARDO</t>
  </si>
  <si>
    <t>9534-CARTAO CREDITO EDUARDO</t>
  </si>
  <si>
    <t>9535-CARTAO CREDITO EDUARDO</t>
  </si>
  <si>
    <t>9536-CARTAO CREDITO EDUARDO</t>
  </si>
  <si>
    <t>9537-CARTAO CREDITO EDUARDO</t>
  </si>
  <si>
    <t>9538-CARTAO CREDITO EDUARDO</t>
  </si>
  <si>
    <t>9539-CARTAO CREDITO EDUARDO</t>
  </si>
  <si>
    <t>9540-CARTAO CREDITO EDUARDO</t>
  </si>
  <si>
    <t>9541-CARTAO CREDITO EDUARDO</t>
  </si>
  <si>
    <t>9542-CARTAO CREDITO EDUARDO</t>
  </si>
  <si>
    <t>9543-CARTAO CREDITO EDUARDO</t>
  </si>
  <si>
    <t>9544-CARTAO CREDITO EDUARDO</t>
  </si>
  <si>
    <t>9545-CARTAO CREDITO EDUARDO</t>
  </si>
  <si>
    <t>9546-CARTAO CREDITO EDUARDO</t>
  </si>
  <si>
    <t>9547-CONNECT INF. E TECNOLOGIA</t>
  </si>
  <si>
    <t>9548-CEMIG DISTRIBUIÇÃO S.A</t>
  </si>
  <si>
    <t>9549-SANEAMENTO E ACOES URBANAS</t>
  </si>
  <si>
    <t>9551-EL SHADDAI PARAFUSOS E FERRAMENTAS</t>
  </si>
  <si>
    <t>9552-RESTAURANTE EL SHADAY</t>
  </si>
  <si>
    <t>9553-GILVAN</t>
  </si>
  <si>
    <t>9554-HOTEIS OBRAS</t>
  </si>
  <si>
    <t>9555-GILVAN</t>
  </si>
  <si>
    <t>9560-RESCISOES / FGTS</t>
  </si>
  <si>
    <t>9561-DCTF WEB</t>
  </si>
  <si>
    <t>9562-SEGUROS SURA S/A</t>
  </si>
  <si>
    <t>9564-FGTS</t>
  </si>
  <si>
    <t>9565-SO FILTROS</t>
  </si>
  <si>
    <t>9566-UNIMED COOPERATIVA DE TRABALHO MEDICO</t>
  </si>
  <si>
    <t>9573-PAPELARIA OBRAS</t>
  </si>
  <si>
    <t>9575-IMPERIAL COM DE PARF FERR MAQ LTDA</t>
  </si>
  <si>
    <t>9576-DESPESAS DE VIAGEM</t>
  </si>
  <si>
    <t>9577-BIRCK &amp; AMP ROCHA LTDA</t>
  </si>
  <si>
    <t>9581-DESPESAS DE VIAGEM</t>
  </si>
  <si>
    <t>9583-JC RESTAURANTE IND. NIQUELANDIA LTDA</t>
  </si>
  <si>
    <t>9584-NEOBETEL EPI, EQUIPAMENTOS DE PROTECAO INDIVIDUAL LTDA</t>
  </si>
  <si>
    <t>9585-BANCO CAIXA</t>
  </si>
  <si>
    <t>9594-HOTEIS OBRAS</t>
  </si>
  <si>
    <t>9595-ENERMONT COMERCIO LTDA</t>
  </si>
  <si>
    <t>9596-REAL BORRACHA EIRELI</t>
  </si>
  <si>
    <t>9597-POSTO A+ COMERCIO DE COMBUSTIVEL LTDA</t>
  </si>
  <si>
    <t>8241-PREFEITURA DE GOIANIA</t>
  </si>
  <si>
    <t>9580-FERRAGISTA OBRAS</t>
  </si>
  <si>
    <t>9587-RESTAURANTE EL SHADAY</t>
  </si>
  <si>
    <t>9588-EVA FASHION SERVICOS DA MODA LTDA</t>
  </si>
  <si>
    <t>9589-IDELFONSO SOARES DOS REIS - ME</t>
  </si>
  <si>
    <t>9590-ENGREMAT ENGENHARIA INSPENÇAO</t>
  </si>
  <si>
    <t>9592-FERRAGISTA OBRAS</t>
  </si>
  <si>
    <t>9593-FERRAGISTA OBRAS</t>
  </si>
  <si>
    <t>9599-DESPESAS DE VIAGEM</t>
  </si>
  <si>
    <t>9600-DESPESAS DE VIAGEM</t>
  </si>
  <si>
    <t>9601-DESPESAS DE VIAGEM</t>
  </si>
  <si>
    <t>9602-CLINICA OBRAS</t>
  </si>
  <si>
    <t>9603-DESPESAS LOTE TRINDADE AIDEAL</t>
  </si>
  <si>
    <t>9604-DESPESAS LOTE TRINDADE AIDEAL</t>
  </si>
  <si>
    <t>9608-LABORATORIO POPULAR LTDA.</t>
  </si>
  <si>
    <t>9609-LABORATORIO POPULAR LTDA.</t>
  </si>
  <si>
    <t>9611-AMO ASSESSORIA MEDICA OCUPACIONAL LTDA</t>
  </si>
  <si>
    <t>9612-MM CLINICA MEDICA DE SERRA DO SALITRE</t>
  </si>
  <si>
    <t>9629-PRO MINAS MATERIAIS DE SEGURANÇA LTDA</t>
  </si>
  <si>
    <t>6834-INTERNET OBRAS</t>
  </si>
  <si>
    <t>7072-DETRAN - GO</t>
  </si>
  <si>
    <t>7082-DETRAN - GO</t>
  </si>
  <si>
    <t>7091-DETRAN - GO</t>
  </si>
  <si>
    <t>7101-DETRAN - GO</t>
  </si>
  <si>
    <t>7112-DETRAN - GO</t>
  </si>
  <si>
    <t>7122-DETRAN - GO</t>
  </si>
  <si>
    <t>7134-DETRAN - GO</t>
  </si>
  <si>
    <t>7144-DETRAN - GO</t>
  </si>
  <si>
    <t>7154-DETRAN - GO</t>
  </si>
  <si>
    <t>7165-DETRAN - GO</t>
  </si>
  <si>
    <t>7175-DETRAN - GO</t>
  </si>
  <si>
    <t>7185-DETRAN - GO</t>
  </si>
  <si>
    <t>7195-DETRAN - GO</t>
  </si>
  <si>
    <t>8306-DETRAN - GO</t>
  </si>
  <si>
    <t>8996-ALUGUEIS OBRAS</t>
  </si>
  <si>
    <t>8997-ALUGUEIS OBRAS</t>
  </si>
  <si>
    <t>8998-ALUGUEIS OBRAS</t>
  </si>
  <si>
    <t>9605-VAN OBRAS</t>
  </si>
  <si>
    <t>9606-DESPESAS DE VIAGEM</t>
  </si>
  <si>
    <t>9607-DESPESAS DE VIAGEM</t>
  </si>
  <si>
    <t>9610-RESTAURANTE EL SHADAY</t>
  </si>
  <si>
    <t>9613-ADIANTAMENTO SALARIAL</t>
  </si>
  <si>
    <t>-FOLHA DE PAGAMENTO</t>
  </si>
  <si>
    <t>-RICARDO RODRIGUES - COMERCIAL</t>
  </si>
  <si>
    <t>-ADIANTAMENTO SALARIAL</t>
  </si>
  <si>
    <t>9627-POSTO OBRAS</t>
  </si>
  <si>
    <t>9628-CLARUS COM DE EPI'S E FERRAMENTAS LTDA</t>
  </si>
  <si>
    <t>9631-GERENCIE SOLUCOES ONLINE LTDA</t>
  </si>
  <si>
    <t>9632-RIBEIRO REMOÇOES LEVES E PESADOS</t>
  </si>
  <si>
    <t>9633-PREGAO OBRAS</t>
  </si>
  <si>
    <t>9638-UBER MOACIR</t>
  </si>
  <si>
    <t>9639-BANCO ITAU</t>
  </si>
  <si>
    <t>9641-KUKA TRANSPORTES AUTO SOCORRO LTDA -ME</t>
  </si>
  <si>
    <t>9642-DESPESAS LOTE TRINDADE AIDEAL</t>
  </si>
  <si>
    <t>9788-TRANSPORTADORA AQUINO E DINIZ LTDA</t>
  </si>
  <si>
    <t>9789-MATA FOME REFEICAO COLETIVA LTDA</t>
  </si>
  <si>
    <t>9835-PGR COMERCIAL LTDA</t>
  </si>
  <si>
    <t>7758-SMART BOSS SERVIÇOS LTDA</t>
  </si>
  <si>
    <t>9206-WILLIAM ADM</t>
  </si>
  <si>
    <t>9640-ENCOMENDA BARRO ALTO</t>
  </si>
  <si>
    <t>9644-RESTAURANTE EL SHADAY</t>
  </si>
  <si>
    <t>9645-EVA FASHION SERVICOS DA MODA LTDA</t>
  </si>
  <si>
    <t>9646-EQUATORIAL DISTRIBUIDORA DE ENERGIA S.A.</t>
  </si>
  <si>
    <t>9647-DESPESAS DE VIAGEM</t>
  </si>
  <si>
    <t>9650-MAGNO</t>
  </si>
  <si>
    <t>9651-CAIXA ROTATIVO OBRAS</t>
  </si>
  <si>
    <t>9652-CAIXA ROTATIVO OBRAS</t>
  </si>
  <si>
    <t>9653-MASTER TUR TRANSPORTE DE PASSAGEIROS LTDA</t>
  </si>
  <si>
    <t>9654-DESPESAS VEICULOS</t>
  </si>
  <si>
    <t>9655-CARTORIO</t>
  </si>
  <si>
    <t>9656-RODOVIARIA MATEUS CABEÇA BRANCA</t>
  </si>
  <si>
    <t>9657-REFEIÇÃO OBRAS</t>
  </si>
  <si>
    <t>9658-REFEIÇÃO OBRAS</t>
  </si>
  <si>
    <t>9659-REFEIÇÃO OBRAS</t>
  </si>
  <si>
    <t>9660-54.666.752 FRANCISCO RERISON DE ALMEIDA</t>
  </si>
  <si>
    <t>9661-REFEIÇÃO OBRAS</t>
  </si>
  <si>
    <t>9662-REFEIÇÃO OBRAS</t>
  </si>
  <si>
    <t>9663-REFEIÇÃO OBRAS</t>
  </si>
  <si>
    <t>9664-REFEIÇÃO OBRAS</t>
  </si>
  <si>
    <t>9665-VAN OBRAS</t>
  </si>
  <si>
    <t>9666-DESPESAS DE VIAGEM</t>
  </si>
  <si>
    <t>9667-52891012 ERIKA BARBOSA DE MENEZES</t>
  </si>
  <si>
    <t>9668-DESPESAS VEICULOS</t>
  </si>
  <si>
    <t>9669-ALEX INFORMATICA XCELL CELULARES E COMPUTADORES</t>
  </si>
  <si>
    <t>9670-SERVIÇOS DE LIMPEZA / FAXINA</t>
  </si>
  <si>
    <t>9671-DESPESAS LOTE TRINDADE AIDEAL</t>
  </si>
  <si>
    <t>9672-DESPESAS LOTE TRINDADE AIDEAL</t>
  </si>
  <si>
    <t>9673-LAVA JATO OBRAS</t>
  </si>
  <si>
    <t>9674-DESTAQUE MANUTENÇAO INDUSTRIAL LTDA</t>
  </si>
  <si>
    <t>9675-VALDMAR AUGUSTO</t>
  </si>
  <si>
    <t>9676-MANUTENÇÃO EQUIPAMENTOS</t>
  </si>
  <si>
    <t>9678-MATRIX CONSULTORIA E GESTAO DE TREINAMENTO EIRELI</t>
  </si>
  <si>
    <t>9692-POSTO FERREIRA MATIAS COMBUSTIVEL LTDA</t>
  </si>
  <si>
    <t>9754-BANCO MERCANTIL</t>
  </si>
  <si>
    <t>9787-ROCHELLI LIMA CAMPEZONI</t>
  </si>
  <si>
    <t>4321-BANCO CAIXA</t>
  </si>
  <si>
    <t>8314-PREFEITURA DE GOIANIA</t>
  </si>
  <si>
    <t>8326-PREFEITURA DE GOIANIA</t>
  </si>
  <si>
    <t>8359-PREFEITURA DE GOIANIA</t>
  </si>
  <si>
    <t>9135-INTERNET OBRAS</t>
  </si>
  <si>
    <t>9210-ALEX INFORMATICA XCELL CELULARES E COMPUTADORES</t>
  </si>
  <si>
    <t>9680-DESPESAS LOTE TRINDADE AIDEAL</t>
  </si>
  <si>
    <t>9681-DESPESAS VEICULOS</t>
  </si>
  <si>
    <t>9682-REFEIÇÃO OBRAS</t>
  </si>
  <si>
    <t>9683-REFEIÇÃO OBRAS</t>
  </si>
  <si>
    <t>9684-REFEIÇÃO OBRAS</t>
  </si>
  <si>
    <t>9685-DESPESAS DE VIAGEM</t>
  </si>
  <si>
    <t>9686-POSTO OBRAS</t>
  </si>
  <si>
    <t>9693-FERRAGISTA OBRAS</t>
  </si>
  <si>
    <t>9694-PAPELARIA OBRAS</t>
  </si>
  <si>
    <t>9695-RESTAURANTE EL SHADAY</t>
  </si>
  <si>
    <t>9696-COMPUCARD INDUSTRIA, COMERCIO E SERVICOS DE IMPRESSAO LTDA</t>
  </si>
  <si>
    <t>9697-GENILDO</t>
  </si>
  <si>
    <t>9698-BIRCK &amp; AMP ROCHA LTDA</t>
  </si>
  <si>
    <t>9780-PRO MINAS MATERIAIS DE SEGURANÇA LTDA</t>
  </si>
  <si>
    <t>9783-V A PINT LOCAÇOES SERVIÇOS E PINTURA LTDA</t>
  </si>
  <si>
    <t>9790-JOTUN BRASIL IMP. EXP. E INDUSTRIAL</t>
  </si>
  <si>
    <t>9793-JOTUN BRASIL IMP. EXP. E INDUSTRIAL</t>
  </si>
  <si>
    <t>9796-POSTO A+ COMERCIO DE COMBUSTIVEL LTDA</t>
  </si>
  <si>
    <t>7768-SMART BOSS SERVIÇOS LTDA</t>
  </si>
  <si>
    <t>8852-ADVOGADO</t>
  </si>
  <si>
    <t>9095-ALUGUEIS OBRAS</t>
  </si>
  <si>
    <t>9165-ALUGUEIS OBRAS</t>
  </si>
  <si>
    <t>9699-RESTAURANTE EL SHADAY</t>
  </si>
  <si>
    <t>9700-VALDMAR AUGUSTO</t>
  </si>
  <si>
    <t>9706-VAN OBRAS</t>
  </si>
  <si>
    <t>9707-CLINICA OBRAS</t>
  </si>
  <si>
    <t>9708-DESPESAS DE VIAGEM</t>
  </si>
  <si>
    <t>9779-CVAL ALUGUEL DE VEÍCULOS LTDA</t>
  </si>
  <si>
    <t>9781-CAB INDUSTRIAL LTDA</t>
  </si>
  <si>
    <t>9782-CAB INDUSTRIAL LTDA</t>
  </si>
  <si>
    <t>10052-BR HIDRAULICA EIRELI</t>
  </si>
  <si>
    <t>9713-REFEIÇÃO OBRAS</t>
  </si>
  <si>
    <t>9714-REFEIÇÃO OBRAS</t>
  </si>
  <si>
    <t>9719-RESCISOES / FGTS</t>
  </si>
  <si>
    <t>9720-MAGNO</t>
  </si>
  <si>
    <t>9722-RESCISOES / FGTS</t>
  </si>
  <si>
    <t>9725-DESPESAS LOTE TRINDADE AIDEAL</t>
  </si>
  <si>
    <t>9726-RESTAURANTE EL SHADAY</t>
  </si>
  <si>
    <t>9879-AMOSTRA ASSISTENCIA MEDICA LTDA</t>
  </si>
  <si>
    <t>9727-EXPLORERNET TECNOLOGIA E COMUNICACAO LTDA</t>
  </si>
  <si>
    <t>9729-FGTS</t>
  </si>
  <si>
    <t>9730-CARTAO PRA TODOS</t>
  </si>
  <si>
    <t>9731-CLINICA OBRAS</t>
  </si>
  <si>
    <t>9732-RESTAURANTE EL SHADAY</t>
  </si>
  <si>
    <t>9734-FGTS</t>
  </si>
  <si>
    <t>9736-POSTO OBRAS</t>
  </si>
  <si>
    <t>9737-FERRAGISTA OBRAS</t>
  </si>
  <si>
    <t>9738-CORREIOS OBRAS</t>
  </si>
  <si>
    <t>9739-POSTO OBRAS</t>
  </si>
  <si>
    <t>9740-ZEQUINHA BORDADOS LTDA</t>
  </si>
  <si>
    <t>9755-DESPESAS LOTE TRINDADE AIDEAL</t>
  </si>
  <si>
    <t>9784-JOSE HUMBERTO MOTA TREINAMENTOS</t>
  </si>
  <si>
    <t>9811-UNIODONTO UBERABA - COOP. DE ASSISTENCIA A SAUDE ODONTOLOGICA LTDA</t>
  </si>
  <si>
    <t>9741-RESTAURANTE EL SHADAY</t>
  </si>
  <si>
    <t>9742-FRETE OBRAS</t>
  </si>
  <si>
    <t>9750-CLINICA OBRAS</t>
  </si>
  <si>
    <t>9751-DESPESAS DE VIAGEM</t>
  </si>
  <si>
    <t>9752-DESPESAS DE VIAGEM</t>
  </si>
  <si>
    <t>9756-DESPESAS LOTE TRINDADE AIDEAL</t>
  </si>
  <si>
    <t>9757-DESPESAS LOTE TRINDADE AIDEAL</t>
  </si>
  <si>
    <t>9758-DESPESAS LOTE TRINDADE AIDEAL</t>
  </si>
  <si>
    <t>9759-DESPESAS LOTE TRINDADE AIDEAL</t>
  </si>
  <si>
    <t>9794-FONTEBRAS HOME CENTER COM. DE MAT. PARA CONST. LTDA - EPP</t>
  </si>
  <si>
    <t>9795-PRO MINAS MATERIAIS DE SEGURANÇA LTDA</t>
  </si>
  <si>
    <t>9819-SEGURANÇA E SAUDE NO TRABALHO LTDA</t>
  </si>
  <si>
    <t>9821-QUALISOL INDUSTRIA E COMERCIO DE PRODUTOS QUIMICOS LTDA</t>
  </si>
  <si>
    <t>9828-RESTAURANTE MARINA LTDA</t>
  </si>
  <si>
    <t>9760-DESPESAS DE VIAGEM</t>
  </si>
  <si>
    <t>9761-VAN OBRAS</t>
  </si>
  <si>
    <t>9762-BANCO CAIXA</t>
  </si>
  <si>
    <t>9763-DESPESAS VEICULOS</t>
  </si>
  <si>
    <t>9764-UBER JULIANO</t>
  </si>
  <si>
    <t>9765-PRUDENTIAL DO BRASIL SEGURO DE VIDAS</t>
  </si>
  <si>
    <t>9766-PRUDENTIAL DO BRASIL SEGURO DE VIDAS</t>
  </si>
  <si>
    <t>9767-GASTOS COMERCIAL</t>
  </si>
  <si>
    <t>9768-EQUATORIAL DISTRIBUIDORA DE ENERGIA S.A.</t>
  </si>
  <si>
    <t>9769-EQUATORIAL DISTRIBUIDORA DE ENERGIA S.A.</t>
  </si>
  <si>
    <t>9770-EQUATORIAL DISTRIBUIDORA DE ENERGIA S.A.</t>
  </si>
  <si>
    <t>9771-EQUATORIAL DISTRIBUIDORA DE ENERGIA S.A.</t>
  </si>
  <si>
    <t>9772-DESPESAS DE VIAGEM</t>
  </si>
  <si>
    <t>9774-RODOVIARIA MATEUS CABEÇA BRANCA</t>
  </si>
  <si>
    <t>9775-INFORMATICA OBRAS</t>
  </si>
  <si>
    <t>9776-RESTAURANTE EL SHADAY</t>
  </si>
  <si>
    <t>9786-ZERO ONE TECNOLOGIA DA INFORMAÇAO LTDA</t>
  </si>
  <si>
    <t>9791-VAN OBRAS</t>
  </si>
  <si>
    <t>9792-DESTAQUE MANUTENÇAO INDUSTRIAL LTDA</t>
  </si>
  <si>
    <t>9797-DESPESAS VEICULOS</t>
  </si>
  <si>
    <t>9798-LAILA CRISTINA</t>
  </si>
  <si>
    <t>9799-POSTO A+ COMERCIO DE COMBUSTIVEL LTDA</t>
  </si>
  <si>
    <t>9800-SILAS FRETE</t>
  </si>
  <si>
    <t>9801-DESPESAS VEICULOS</t>
  </si>
  <si>
    <t>9803-POSTO OBRAS</t>
  </si>
  <si>
    <t>9820-DESTAQUE MANUTENÇAO INDUSTRIAL LTDA</t>
  </si>
  <si>
    <t>9854-BANCO MERCANTIL</t>
  </si>
  <si>
    <t>6534-BANCO ITAU</t>
  </si>
  <si>
    <t>9802-YCARO GOMES</t>
  </si>
  <si>
    <t>9804-VIVO TELEFONIA</t>
  </si>
  <si>
    <t>9808-FGTS</t>
  </si>
  <si>
    <t>9810-FGTS</t>
  </si>
  <si>
    <t>9813-FGTS</t>
  </si>
  <si>
    <t>9814-RESCISOES / FGTS</t>
  </si>
  <si>
    <t>9815-FOLGA DE CAMPO</t>
  </si>
  <si>
    <t>9816-FOLGA DE CAMPO</t>
  </si>
  <si>
    <t>9817-FOLGA DE CAMPO</t>
  </si>
  <si>
    <t>9818-RESCISOES / FGTS</t>
  </si>
  <si>
    <t>9822-RESTAURANTE EL SHADAY</t>
  </si>
  <si>
    <t>9823-ENCOMENDA DE CATALAO</t>
  </si>
  <si>
    <t>9824-AUTO SOCORRO EZEQUIEL HIDRAULICA</t>
  </si>
  <si>
    <t>9825-POSTO OBRAS</t>
  </si>
  <si>
    <t>9826-CORREIOS OBRAS</t>
  </si>
  <si>
    <t>9827-NEOBETEL EPI, EQUIPAMENTOS DE PROTECAO INDIVIDUAL LTDA</t>
  </si>
  <si>
    <t>9829-DESPESAS LOTE TRINDADE AIDEAL</t>
  </si>
  <si>
    <t>9830-LAVA JATO OBRAS</t>
  </si>
  <si>
    <t>9831-FERRAGISTA OBRAS</t>
  </si>
  <si>
    <t>9832-DESPESAS DE VIAGEM</t>
  </si>
  <si>
    <t>9834-IDELFONSO SOARES DOS REIS - ME</t>
  </si>
  <si>
    <t>9833-LUBRIFICANTES SAO JOAO LTDA</t>
  </si>
  <si>
    <t>9836-DESPESAS LOTE TRINDADE AIDEAL</t>
  </si>
  <si>
    <t>9838-MAGNO</t>
  </si>
  <si>
    <t>9839-RESTAURANTE EL SHADAY</t>
  </si>
  <si>
    <t>9841-FERRAGISTA OBRAS</t>
  </si>
  <si>
    <t>9842-PREFEITURA DE GOIANIA</t>
  </si>
  <si>
    <t>9843-PREFEITURA DE GOIANIA</t>
  </si>
  <si>
    <t>9844-PREFEITURA DE GOIANIA</t>
  </si>
  <si>
    <t>9845-PREFEITURA DE GOIANIA</t>
  </si>
  <si>
    <t>9846-PREFEITURA DE GOIANIA</t>
  </si>
  <si>
    <t>9847-PAPELARIA OBRAS</t>
  </si>
  <si>
    <t>9848-BR HIDRAULICA EIRELI</t>
  </si>
  <si>
    <t>9849-QUALI TINTAS</t>
  </si>
  <si>
    <t>9850-QUALI TINTAS</t>
  </si>
  <si>
    <t>9851-QUALI TINTAS</t>
  </si>
  <si>
    <t>9852-REFEIÇÃO OBRAS</t>
  </si>
  <si>
    <t>9853-POSTO OBRAS</t>
  </si>
  <si>
    <t>9855-DESPESAS VEICULOS</t>
  </si>
  <si>
    <t>9856-UBER MOACIR</t>
  </si>
  <si>
    <t>9857-AGUIA COMERCIO E CENTRO AUTOMOTIVO LTDA</t>
  </si>
  <si>
    <t>9858-AGUIA COMERCIO E CENTRO AUTOMOTIVO LTDA</t>
  </si>
  <si>
    <t>9859-ENERGIA OBRAS</t>
  </si>
  <si>
    <t>9860-BANCO SICREDI</t>
  </si>
  <si>
    <t>9861-PGFN</t>
  </si>
  <si>
    <t>9862-CARTORIO</t>
  </si>
  <si>
    <t>9866-DESPESAS LOTE TRINDADE AIDEAL</t>
  </si>
  <si>
    <t>9867-DESPESAS LOTE TRINDADE AIDEAL</t>
  </si>
  <si>
    <t>9874-ENERMONT COMERCIO LTDA</t>
  </si>
  <si>
    <t>9881-HS7 COLORS LTDA</t>
  </si>
  <si>
    <t>9884-LOCALIZA RENT A CAR SA</t>
  </si>
  <si>
    <t>9985-VEICULO</t>
  </si>
  <si>
    <t>10005-PROTEGE DISTRIBUIDORA DE EPI EPC E SINALIZACAO LTDA</t>
  </si>
  <si>
    <t>9863-REFEIÇÃO OBRAS</t>
  </si>
  <si>
    <t>9864-RESTAURANTE EL SHADAY</t>
  </si>
  <si>
    <t>9868-PORTO SEGUROS VEICULOS</t>
  </si>
  <si>
    <t>9875-VALE TRANSPORTE</t>
  </si>
  <si>
    <t>9876-VALE TRANSPORTE</t>
  </si>
  <si>
    <t>9877-VALE TRANSPORTE</t>
  </si>
  <si>
    <t>9878-VALE TRANSPORTE</t>
  </si>
  <si>
    <t>9883-MATRIX CONSULTORIA E GESTAO DE TREINAMENTO EIRELI</t>
  </si>
  <si>
    <t>9888-POSTO OBRAS</t>
  </si>
  <si>
    <t>9889-DESPESAS VEICULOS</t>
  </si>
  <si>
    <t>9890-EDUARDO RODRIGUES</t>
  </si>
  <si>
    <t>9891-POSTO OBRAS</t>
  </si>
  <si>
    <t>9978-LAVANDERIA OBRAS</t>
  </si>
  <si>
    <t>10007-REAL BORRACHA EIRELI</t>
  </si>
  <si>
    <t>5409-PGFN</t>
  </si>
  <si>
    <t>5468-PGFN</t>
  </si>
  <si>
    <t>5509-PGFN</t>
  </si>
  <si>
    <t>5786-PGFN</t>
  </si>
  <si>
    <t>6379-PGFN</t>
  </si>
  <si>
    <t>9105-PGFN</t>
  </si>
  <si>
    <t>9111-PGFN</t>
  </si>
  <si>
    <t>9885-MAGNO</t>
  </si>
  <si>
    <t>9886-RESTAURANTES OBRAS</t>
  </si>
  <si>
    <t>9887-VALDMAR AUGUSTO</t>
  </si>
  <si>
    <t>9892-DESPESAS DE VIAGEM</t>
  </si>
  <si>
    <t>9893-RESTAURANTE EL SHADAY</t>
  </si>
  <si>
    <t>9895-ROBERTO SERVIÇOS</t>
  </si>
  <si>
    <t>9896-PGFN</t>
  </si>
  <si>
    <t>9951-DESPESAS LOTE TRINDADE AIDEAL</t>
  </si>
  <si>
    <t>9952-DESPESAS LOTE TRINDADE AIDEAL</t>
  </si>
  <si>
    <t>9953-DESPESAS LOTE TRINDADE AIDEAL</t>
  </si>
  <si>
    <t>9954-DESPESAS LOTE TRINDADE AIDEAL</t>
  </si>
  <si>
    <t>9955-DESPESAS LOTE TRINDADE AIDEAL</t>
  </si>
  <si>
    <t>9956-DESPESAS LOTE TRINDADE AIDEAL</t>
  </si>
  <si>
    <t>9957-POSTO OBRAS</t>
  </si>
  <si>
    <t>9958-HOTEIS OBRAS</t>
  </si>
  <si>
    <t>9962-PROENGE ENGENHARIA &amp; INFRAESTRUTURA LTDA</t>
  </si>
  <si>
    <t>9963-DEMEP COMERCIAL LTDA</t>
  </si>
  <si>
    <t>9973-IMPOSTOS</t>
  </si>
  <si>
    <t>9974-DARF</t>
  </si>
  <si>
    <t>9975-BANCO MERCANTIL</t>
  </si>
  <si>
    <t>9976-DESPESAS LOTE TRINDADE AIDEAL</t>
  </si>
  <si>
    <t>9980-FONTEBRAS HOME CENTER COM. DE MAT. PARA CONST. LTDA - EPP</t>
  </si>
  <si>
    <t>9981-FONTEBRAS HOME CENTER COM. DE MAT. PARA CONST. LTDA - EPP</t>
  </si>
  <si>
    <t>9994-ROCHELLI LIMA CAMPEZONI</t>
  </si>
  <si>
    <t>9995-JOSE HUMBERTO MOTA TREINAMENTOS</t>
  </si>
  <si>
    <t>10004-POSTO MAIS LTDA</t>
  </si>
  <si>
    <t>10006-GUSA DO BRASIL MOBILIARIO E CONTAINER</t>
  </si>
  <si>
    <t>10051-SYNERGON CONSULTORIA E CONTABILIDADE</t>
  </si>
  <si>
    <t>7.12 - LOCAÇAO PLATAFORMA ELEVATORIA</t>
  </si>
  <si>
    <t>12.3 - PREVISÃO 13°</t>
  </si>
  <si>
    <t xml:space="preserve">3.1 - SERVIÇO MECANICO </t>
  </si>
  <si>
    <t>12.70 - PREVISÃO FÉRIAS</t>
  </si>
  <si>
    <t>CANTEIRO DE OBRA</t>
  </si>
  <si>
    <t>13° PREVISAO</t>
  </si>
  <si>
    <t>PREVISAO FÉRIAS</t>
  </si>
</sst>
</file>

<file path=xl/styles.xml><?xml version="1.0" encoding="utf-8"?>
<styleSheet xmlns="http://schemas.openxmlformats.org/spreadsheetml/2006/main">
  <numFmts count="6">
    <numFmt numFmtId="164" formatCode="_-* #,##0.00_-;\-* #,##0.00_-;_-* &quot;-&quot;??_-;_-@_-"/>
    <numFmt numFmtId="165" formatCode="_-* #,##0_-;\-* #,##0_-;_-* &quot;-&quot;??_-;_-@_-"/>
    <numFmt numFmtId="166" formatCode="#,##0.00_ ;[Red]\-#,##0.00\ "/>
    <numFmt numFmtId="167" formatCode="00"/>
    <numFmt numFmtId="168" formatCode="0.0%"/>
    <numFmt numFmtId="169" formatCode="_(&quot;$&quot;* #,##0.00_);_(&quot;$&quot;* \(#,##0.00\);_(&quot;$&quot;* &quot;-&quot;??_);_(@_)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11"/>
    </font>
    <font>
      <name val="Arial"/>
      <family val="2"/>
      <sz val="10"/>
    </font>
    <font>
      <name val="Calibri"/>
      <family val="2"/>
      <b val="1"/>
      <color theme="0"/>
      <sz val="12"/>
      <scheme val="minor"/>
    </font>
    <font>
      <name val="Calibri Light"/>
      <family val="2"/>
      <color theme="1"/>
      <sz val="11"/>
      <scheme val="major"/>
    </font>
    <font>
      <name val="Calibri Light"/>
      <family val="2"/>
      <b val="1"/>
      <color rgb="FF000000"/>
      <sz val="11"/>
      <scheme val="major"/>
    </font>
    <font>
      <name val="Calibri"/>
      <family val="2"/>
      <sz val="11"/>
      <scheme val="minor"/>
    </font>
    <font>
      <name val="Calibri"/>
      <family val="2"/>
      <b val="1"/>
      <sz val="12"/>
      <scheme val="minor"/>
    </font>
    <font>
      <name val="Calibri"/>
      <family val="2"/>
      <sz val="8"/>
      <scheme val="minor"/>
    </font>
    <font>
      <name val="Arial"/>
      <family val="2"/>
      <sz val="9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dashDot">
        <color auto="1"/>
      </bottom>
      <diagonal/>
    </border>
    <border>
      <left/>
      <right style="thin">
        <color theme="0" tint="-0.249946592608417"/>
      </right>
      <top/>
      <bottom/>
      <diagonal/>
    </border>
    <border>
      <left/>
      <right style="thin">
        <color theme="0" tint="-0.249946592608417"/>
      </right>
      <top/>
      <bottom style="dashDot">
        <color auto="1"/>
      </bottom>
      <diagonal/>
    </border>
    <border>
      <left/>
      <right style="thin">
        <color theme="0" tint="-0.3499862666707358"/>
      </right>
      <top/>
      <bottom/>
      <diagonal/>
    </border>
    <border>
      <left/>
      <right style="thin">
        <color theme="0" tint="-0.3499862666707358"/>
      </right>
      <top/>
      <bottom style="dashDot">
        <color auto="1"/>
      </bottom>
      <diagonal/>
    </border>
    <border>
      <left/>
      <right style="thin">
        <color theme="0" tint="-0.3499862666707358"/>
      </right>
      <top style="double">
        <color rgb="FF002060"/>
      </top>
      <bottom style="double">
        <color rgb="FF002060"/>
      </bottom>
      <diagonal/>
    </border>
    <border>
      <left/>
      <right/>
      <top style="double">
        <color rgb="FF002060"/>
      </top>
      <bottom style="double">
        <color rgb="FF002060"/>
      </bottom>
      <diagonal/>
    </border>
    <border>
      <left/>
      <right style="thin">
        <color theme="0" tint="-0.249946592608417"/>
      </right>
      <top style="double">
        <color rgb="FF002060"/>
      </top>
      <bottom style="double">
        <color rgb="FF002060"/>
      </bottom>
      <diagonal/>
    </border>
    <border>
      <left/>
      <right style="thin">
        <color theme="0" tint="-0.3499862666707358"/>
      </right>
      <top/>
      <bottom style="double">
        <color rgb="FF002060"/>
      </bottom>
      <diagonal/>
    </border>
    <border>
      <left/>
      <right/>
      <top/>
      <bottom style="double">
        <color rgb="FF002060"/>
      </bottom>
      <diagonal/>
    </border>
    <border>
      <left/>
      <right style="thin">
        <color theme="0" tint="-0.249946592608417"/>
      </right>
      <top/>
      <bottom style="double">
        <color rgb="FF002060"/>
      </bottom>
      <diagonal/>
    </border>
  </borders>
  <cellStyleXfs count="8">
    <xf numFmtId="0" fontId="1" fillId="0" borderId="0"/>
    <xf numFmtId="43" fontId="1" fillId="0" borderId="0"/>
    <xf numFmtId="9" fontId="1" fillId="0" borderId="0"/>
    <xf numFmtId="0" fontId="2" fillId="0" borderId="0"/>
    <xf numFmtId="0" fontId="3" fillId="0" borderId="0"/>
    <xf numFmtId="43" fontId="3" fillId="0" borderId="0"/>
    <xf numFmtId="9" fontId="3" fillId="0" borderId="0"/>
    <xf numFmtId="169" fontId="3" fillId="0" borderId="0"/>
  </cellStyleXfs>
  <cellXfs count="96">
    <xf numFmtId="0" fontId="0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14" fontId="6" fillId="0" borderId="0" applyAlignment="1" pivotButton="0" quotePrefix="0" xfId="0">
      <alignment horizontal="center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164" fontId="5" fillId="0" borderId="0" pivotButton="0" quotePrefix="0" xfId="0"/>
    <xf numFmtId="0" fontId="7" fillId="0" borderId="0" pivotButton="0" quotePrefix="0" xfId="0"/>
    <xf numFmtId="3" fontId="0" fillId="0" borderId="0" pivotButton="0" quotePrefix="0" xfId="0"/>
    <xf numFmtId="9" fontId="0" fillId="0" borderId="0" pivotButton="0" quotePrefix="0" xfId="2"/>
    <xf numFmtId="165" fontId="0" fillId="0" borderId="0" pivotButton="0" quotePrefix="0" xfId="1"/>
    <xf numFmtId="0" fontId="10" fillId="0" borderId="0" applyAlignment="1" pivotButton="0" quotePrefix="0" xfId="0">
      <alignment horizontal="left"/>
    </xf>
    <xf numFmtId="166" fontId="10" fillId="0" borderId="0" applyAlignment="1" pivotButton="0" quotePrefix="0" xfId="0">
      <alignment horizontal="right"/>
    </xf>
    <xf numFmtId="14" fontId="10" fillId="0" borderId="0" applyAlignment="1" pivotButton="0" quotePrefix="0" xfId="0">
      <alignment horizontal="center"/>
    </xf>
    <xf numFmtId="167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166" fontId="6" fillId="0" borderId="0" applyAlignment="1" pivotButton="0" quotePrefix="0" xfId="0">
      <alignment horizontal="center"/>
    </xf>
    <xf numFmtId="167" fontId="6" fillId="0" borderId="0" applyAlignment="1" pivotButton="0" quotePrefix="0" xfId="0">
      <alignment horizontal="center"/>
    </xf>
    <xf numFmtId="14" fontId="5" fillId="0" borderId="0" applyAlignment="1" pivotButton="0" quotePrefix="0" xfId="0">
      <alignment horizontal="left"/>
    </xf>
    <xf numFmtId="164" fontId="5" fillId="0" borderId="0" pivotButton="0" quotePrefix="0" xfId="1"/>
    <xf numFmtId="0" fontId="11" fillId="0" borderId="0" pivotButton="0" quotePrefix="0" xfId="0"/>
    <xf numFmtId="168" fontId="0" fillId="0" borderId="0" pivotButton="0" quotePrefix="0" xfId="2"/>
    <xf numFmtId="164" fontId="0" fillId="0" borderId="0" pivotButton="0" quotePrefix="0" xfId="0"/>
    <xf numFmtId="10" fontId="0" fillId="0" borderId="0" pivotButton="0" quotePrefix="0" xfId="2"/>
    <xf numFmtId="0" fontId="0" fillId="0" borderId="0" applyAlignment="1" pivotButton="0" quotePrefix="0" xfId="0">
      <alignment vertical="center"/>
    </xf>
    <xf numFmtId="164" fontId="7" fillId="0" borderId="0" applyAlignment="1" pivotButton="0" quotePrefix="0" xfId="1">
      <alignment horizontal="center" vertical="center"/>
    </xf>
    <xf numFmtId="9" fontId="7" fillId="0" borderId="0" applyAlignment="1" pivotButton="0" quotePrefix="0" xfId="2">
      <alignment horizontal="center" vertical="center"/>
    </xf>
    <xf numFmtId="10" fontId="7" fillId="0" borderId="0" applyAlignment="1" pivotButton="0" quotePrefix="0" xfId="2">
      <alignment horizontal="center" vertical="center"/>
    </xf>
    <xf numFmtId="165" fontId="7" fillId="0" borderId="0" applyAlignment="1" pivotButton="0" quotePrefix="0" xfId="1">
      <alignment horizontal="center" vertical="center"/>
    </xf>
    <xf numFmtId="165" fontId="8" fillId="0" borderId="0" applyAlignment="1" pivotButton="0" quotePrefix="0" xfId="1">
      <alignment horizontal="center" vertical="center"/>
    </xf>
    <xf numFmtId="0" fontId="7" fillId="0" borderId="0" applyAlignment="1" pivotButton="0" quotePrefix="0" xfId="0">
      <alignment horizontal="center" vertical="center"/>
    </xf>
    <xf numFmtId="9" fontId="7" fillId="0" borderId="0" applyAlignment="1" pivotButton="0" quotePrefix="0" xfId="2">
      <alignment horizontal="center" vertical="center"/>
    </xf>
    <xf numFmtId="10" fontId="7" fillId="0" borderId="0" applyAlignment="1" pivotButton="0" quotePrefix="0" xfId="2">
      <alignment horizontal="center" vertical="center"/>
    </xf>
    <xf numFmtId="165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indent="4"/>
    </xf>
    <xf numFmtId="164" fontId="8" fillId="0" borderId="1" applyAlignment="1" pivotButton="0" quotePrefix="0" xfId="1">
      <alignment horizontal="left" indent="2"/>
    </xf>
    <xf numFmtId="165" fontId="8" fillId="0" borderId="1" applyAlignment="1" pivotButton="0" quotePrefix="0" xfId="1">
      <alignment horizontal="center" vertical="center"/>
    </xf>
    <xf numFmtId="9" fontId="7" fillId="0" borderId="2" applyAlignment="1" pivotButton="0" quotePrefix="0" xfId="2">
      <alignment horizontal="center" vertical="center"/>
    </xf>
    <xf numFmtId="9" fontId="8" fillId="0" borderId="3" applyAlignment="1" pivotButton="0" quotePrefix="0" xfId="2">
      <alignment horizontal="center" vertical="center"/>
    </xf>
    <xf numFmtId="9" fontId="8" fillId="0" borderId="2" applyAlignment="1" pivotButton="0" quotePrefix="0" xfId="2">
      <alignment horizontal="center" vertical="center"/>
    </xf>
    <xf numFmtId="9" fontId="8" fillId="0" borderId="4" applyAlignment="1" pivotButton="0" quotePrefix="0" xfId="2">
      <alignment horizontal="center" vertical="center"/>
    </xf>
    <xf numFmtId="9" fontId="8" fillId="0" borderId="5" applyAlignment="1" pivotButton="0" quotePrefix="0" xfId="2">
      <alignment horizontal="center" vertical="center"/>
    </xf>
    <xf numFmtId="165" fontId="8" fillId="0" borderId="0" applyAlignment="1" pivotButton="0" quotePrefix="0" xfId="1">
      <alignment horizontal="center" vertical="center"/>
    </xf>
    <xf numFmtId="10" fontId="7" fillId="0" borderId="0" pivotButton="0" quotePrefix="0" xfId="2"/>
    <xf numFmtId="164" fontId="4" fillId="2" borderId="0" applyAlignment="1" pivotButton="0" quotePrefix="0" xfId="1">
      <alignment horizontal="center" vertical="center"/>
    </xf>
    <xf numFmtId="165" fontId="4" fillId="2" borderId="0" applyAlignment="1" pivotButton="0" quotePrefix="0" xfId="1">
      <alignment horizontal="center" vertical="center"/>
    </xf>
    <xf numFmtId="9" fontId="4" fillId="2" borderId="2" applyAlignment="1" pivotButton="0" quotePrefix="0" xfId="2">
      <alignment horizontal="center" vertical="center"/>
    </xf>
    <xf numFmtId="9" fontId="4" fillId="2" borderId="4" applyAlignment="1" pivotButton="0" quotePrefix="0" xfId="2">
      <alignment horizontal="center" vertical="center"/>
    </xf>
    <xf numFmtId="164" fontId="4" fillId="2" borderId="0" applyAlignment="1" pivotButton="0" quotePrefix="0" xfId="1">
      <alignment horizontal="left"/>
    </xf>
    <xf numFmtId="164" fontId="4" fillId="2" borderId="0" applyAlignment="1" pivotButton="0" quotePrefix="0" xfId="1">
      <alignment horizontal="left"/>
    </xf>
    <xf numFmtId="165" fontId="4" fillId="2" borderId="0" applyAlignment="1" pivotButton="0" quotePrefix="0" xfId="1">
      <alignment horizontal="center" vertical="center"/>
    </xf>
    <xf numFmtId="164" fontId="8" fillId="0" borderId="7" applyAlignment="1" pivotButton="0" quotePrefix="0" xfId="1">
      <alignment horizontal="left" indent="1"/>
    </xf>
    <xf numFmtId="165" fontId="8" fillId="0" borderId="7" applyAlignment="1" pivotButton="0" quotePrefix="0" xfId="1">
      <alignment horizontal="center" vertical="center"/>
    </xf>
    <xf numFmtId="9" fontId="8" fillId="0" borderId="8" applyAlignment="1" pivotButton="0" quotePrefix="0" xfId="2">
      <alignment horizontal="center" vertical="center"/>
    </xf>
    <xf numFmtId="9" fontId="8" fillId="0" borderId="6" applyAlignment="1" pivotButton="0" quotePrefix="0" xfId="2">
      <alignment horizontal="center" vertical="center"/>
    </xf>
    <xf numFmtId="164" fontId="8" fillId="0" borderId="10" applyAlignment="1" pivotButton="0" quotePrefix="0" xfId="1">
      <alignment horizontal="left" indent="1"/>
    </xf>
    <xf numFmtId="165" fontId="8" fillId="0" borderId="10" applyAlignment="1" pivotButton="0" quotePrefix="0" xfId="1">
      <alignment horizontal="center" vertical="center"/>
    </xf>
    <xf numFmtId="9" fontId="8" fillId="0" borderId="11" applyAlignment="1" pivotButton="0" quotePrefix="0" xfId="2">
      <alignment horizontal="center" vertical="center"/>
    </xf>
    <xf numFmtId="9" fontId="8" fillId="0" borderId="9" applyAlignment="1" pivotButton="0" quotePrefix="0" xfId="2">
      <alignment horizontal="center" vertical="center"/>
    </xf>
    <xf numFmtId="164" fontId="8" fillId="0" borderId="0" applyAlignment="1" pivotButton="0" quotePrefix="0" xfId="1">
      <alignment horizontal="left" indent="1"/>
    </xf>
    <xf numFmtId="14" fontId="5" fillId="0" borderId="0" applyAlignment="1" pivotButton="0" quotePrefix="0" xfId="0">
      <alignment horizontal="center"/>
    </xf>
    <xf numFmtId="164" fontId="5" fillId="0" borderId="0" applyAlignment="1" pivotButton="0" quotePrefix="0" xfId="1">
      <alignment horizontal="right"/>
    </xf>
    <xf numFmtId="0" fontId="5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2"/>
    </xf>
    <xf numFmtId="14" fontId="5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left"/>
    </xf>
    <xf numFmtId="164" fontId="5" fillId="3" borderId="0" applyAlignment="1" pivotButton="0" quotePrefix="0" xfId="1">
      <alignment horizontal="right"/>
    </xf>
    <xf numFmtId="0" fontId="5" fillId="3" borderId="0" applyAlignment="1" pivotButton="0" quotePrefix="0" xfId="0">
      <alignment horizontal="right"/>
    </xf>
    <xf numFmtId="0" fontId="5" fillId="3" borderId="0" applyAlignment="1" pivotButton="0" quotePrefix="0" xfId="0">
      <alignment horizontal="center"/>
    </xf>
    <xf numFmtId="164" fontId="5" fillId="3" borderId="0" pivotButton="0" quotePrefix="0" xfId="0"/>
    <xf numFmtId="0" fontId="5" fillId="3" borderId="0" pivotButton="0" quotePrefix="0" xfId="0"/>
    <xf numFmtId="165" fontId="7" fillId="0" borderId="0" applyAlignment="1" pivotButton="0" quotePrefix="0" xfId="0">
      <alignment horizontal="center" vertical="center"/>
    </xf>
    <xf numFmtId="164" fontId="7" fillId="0" borderId="0" applyAlignment="1" pivotButton="0" quotePrefix="0" xfId="1">
      <alignment horizontal="center" vertical="center"/>
    </xf>
    <xf numFmtId="165" fontId="7" fillId="0" borderId="0" applyAlignment="1" pivotButton="0" quotePrefix="0" xfId="1">
      <alignment horizontal="center" vertical="center"/>
    </xf>
    <xf numFmtId="164" fontId="4" fillId="2" borderId="0" applyAlignment="1" pivotButton="0" quotePrefix="0" xfId="1">
      <alignment horizontal="center" vertical="center"/>
    </xf>
    <xf numFmtId="165" fontId="4" fillId="2" borderId="0" applyAlignment="1" pivotButton="0" quotePrefix="0" xfId="1">
      <alignment horizontal="center" vertical="center"/>
    </xf>
    <xf numFmtId="164" fontId="4" fillId="2" borderId="0" applyAlignment="1" pivotButton="0" quotePrefix="0" xfId="1">
      <alignment horizontal="left"/>
    </xf>
    <xf numFmtId="165" fontId="8" fillId="0" borderId="0" applyAlignment="1" pivotButton="0" quotePrefix="0" xfId="1">
      <alignment horizontal="center" vertical="center"/>
    </xf>
    <xf numFmtId="164" fontId="8" fillId="0" borderId="7" applyAlignment="1" pivotButton="0" quotePrefix="0" xfId="1">
      <alignment horizontal="left" indent="1"/>
    </xf>
    <xf numFmtId="165" fontId="8" fillId="0" borderId="7" applyAlignment="1" pivotButton="0" quotePrefix="0" xfId="1">
      <alignment horizontal="center" vertical="center"/>
    </xf>
    <xf numFmtId="164" fontId="8" fillId="0" borderId="1" applyAlignment="1" pivotButton="0" quotePrefix="0" xfId="1">
      <alignment horizontal="left" indent="2"/>
    </xf>
    <xf numFmtId="165" fontId="8" fillId="0" borderId="1" applyAlignment="1" pivotButton="0" quotePrefix="0" xfId="1">
      <alignment horizontal="center" vertical="center"/>
    </xf>
    <xf numFmtId="164" fontId="8" fillId="0" borderId="10" applyAlignment="1" pivotButton="0" quotePrefix="0" xfId="1">
      <alignment horizontal="left" indent="1"/>
    </xf>
    <xf numFmtId="165" fontId="8" fillId="0" borderId="10" applyAlignment="1" pivotButton="0" quotePrefix="0" xfId="1">
      <alignment horizontal="center" vertical="center"/>
    </xf>
    <xf numFmtId="164" fontId="8" fillId="0" borderId="0" applyAlignment="1" pivotButton="0" quotePrefix="0" xfId="1">
      <alignment horizontal="left" indent="1"/>
    </xf>
    <xf numFmtId="164" fontId="5" fillId="0" borderId="0" pivotButton="0" quotePrefix="0" xfId="1"/>
    <xf numFmtId="164" fontId="5" fillId="0" borderId="0" pivotButton="0" quotePrefix="0" xfId="0"/>
    <xf numFmtId="164" fontId="5" fillId="0" borderId="0" applyAlignment="1" pivotButton="0" quotePrefix="0" xfId="1">
      <alignment horizontal="right"/>
    </xf>
    <xf numFmtId="164" fontId="5" fillId="3" borderId="0" applyAlignment="1" pivotButton="0" quotePrefix="0" xfId="1">
      <alignment horizontal="right"/>
    </xf>
    <xf numFmtId="164" fontId="5" fillId="3" borderId="0" pivotButton="0" quotePrefix="0" xfId="0"/>
    <xf numFmtId="165" fontId="0" fillId="0" borderId="0" pivotButton="0" quotePrefix="0" xfId="1"/>
    <xf numFmtId="168" fontId="0" fillId="0" borderId="0" pivotButton="0" quotePrefix="0" xfId="2"/>
    <xf numFmtId="164" fontId="0" fillId="0" borderId="0" pivotButton="0" quotePrefix="0" xfId="0"/>
  </cellXfs>
  <cellStyles count="8">
    <cellStyle name="Normal" xfId="0" builtinId="0"/>
    <cellStyle name="Vírgula" xfId="1" builtinId="3"/>
    <cellStyle name="Porcentagem" xfId="2" builtinId="5"/>
    <cellStyle name="Normal 2" xfId="3"/>
    <cellStyle name="Normal 3" xfId="4"/>
    <cellStyle name="Vírgula 2" xfId="5"/>
    <cellStyle name="Porcentagem 2" xfId="6"/>
    <cellStyle name="Moeda 2" xfId="7"/>
  </cellStyles>
  <dxfs count="58">
    <dxf>
      <font>
        <color rgb="FF9C0006"/>
      </font>
      <fill>
        <patternFill>
          <bgColor rgb="FFFFC7CE"/>
        </patternFill>
      </fill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35" formatCode="_-* #,##0.00_-;\-* #,##0.00_-;_-* &quot;-&quot;??_-;_-@_-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  <alignment horizontal="left" vertical="bottom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  <alignment horizontal="center" vertical="bottom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  <alignment horizontal="right" vertical="bottom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0" formatCode="General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  <numFmt numFmtId="19" formatCode="dd/mm/yyyy"/>
    </dxf>
    <dxf>
      <font>
        <name val="Calibri Light"/>
        <family val="2"/>
        <strike val="0"/>
        <outline val="0"/>
        <shadow val="0"/>
        <condense val="0"/>
        <color theme="1"/>
        <extend val="0"/>
        <sz val="11"/>
        <vertAlign val="baseline"/>
        <scheme val="major"/>
      </font>
    </dxf>
    <dxf>
      <font>
        <name val="Calibri Light"/>
        <family val="2"/>
        <b val="1"/>
        <strike val="0"/>
        <outline val="0"/>
        <shadow val="0"/>
        <condense val="0"/>
        <color rgb="FF000000"/>
        <extend val="0"/>
        <sz val="11"/>
        <vertAlign val="baseline"/>
        <scheme val="major"/>
      </font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3499862666707358"/>
        </right>
        <top/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 patternType="solid">
          <fgColor indexed="64"/>
          <bgColor rgb="FF017CC2"/>
        </patternFill>
      </fill>
      <alignment horizontal="center" vertical="center"/>
      <border>
        <left/>
        <right style="thin">
          <color theme="0" tint="-0.3499862666707358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4" formatCode="0.00%"/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 patternType="solid">
          <fgColor indexed="64"/>
          <bgColor rgb="FF017CC2"/>
        </patternFill>
      </fill>
      <alignment horizontal="center" vertical="center"/>
      <border>
        <left/>
        <right style="thin">
          <color theme="0" tint="-0.3499862666707358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4" formatCode="0.00%"/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3499862666707358"/>
        </right>
        <top/>
        <bottom/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3499862666707358"/>
        </right>
        <top/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 patternType="solid">
          <fgColor indexed="64"/>
          <bgColor rgb="FF017CC2"/>
        </patternFill>
      </fill>
      <alignment horizontal="center" vertical="center"/>
      <border>
        <left/>
        <right style="thin">
          <color theme="0" tint="-0.3499862666707358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4" formatCode="0.00%"/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 patternType="solid">
          <fgColor indexed="64"/>
          <bgColor rgb="FF017CC2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4" formatCode="0.00%"/>
      <fill>
        <patternFill>
          <fgColor indexed="64"/>
          <bgColor indexed="65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2"/>
        <vertAlign val="baseline"/>
        <scheme val="minor"/>
      </font>
      <numFmt numFmtId="168" formatCode="_-* #,##0_-;\-* #,##0_-;_-* &quot;-&quot;??_-;_-@_-"/>
      <fill>
        <patternFill>
          <fgColor indexed="64"/>
          <bgColor indexed="65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 patternType="solid">
          <fgColor indexed="64"/>
          <bgColor rgb="FF017CC2"/>
        </patternFill>
      </fill>
      <alignment horizontal="center" vertical="center"/>
      <border>
        <left/>
        <right style="thin">
          <color theme="0" tint="-0.249946592608417"/>
        </right>
        <vertic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 patternType="solid">
          <fgColor indexed="64"/>
          <bgColor rgb="FF017CC2"/>
        </patternFill>
      </fill>
      <alignment horizontal="left" vertical="bottom" indent="3"/>
    </dxf>
    <dxf>
      <font>
        <name val="Calibri"/>
        <family val="2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 patternType="solid">
          <fgColor indexed="64"/>
          <bgColor rgb="FF017CC2"/>
        </patternFill>
      </fill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2"/>
        <vertAlign val="baseline"/>
        <scheme val="minor"/>
      </font>
      <fill>
        <patternFill patternType="solid">
          <fgColor indexed="64"/>
          <bgColor rgb="FF4D8F35"/>
        </patternFill>
      </fill>
      <alignment vertical="center"/>
    </dxf>
  </dxfs>
  <tableStyles count="0" defaultTableStyle="TableStyleMedium2" defaultPivotStyle="PivotStyleLight16"/>
  <colors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7" Type="http://schemas.microsoft.com/office/2007/relationships/slicerCache" Target="slicerCaches/slicerCache1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5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10" Type="http://schemas.microsoft.com/office/2007/relationships/slicerCache" Target="slicerCaches/slicerCache4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8" Type="http://schemas.microsoft.com/office/2007/relationships/slicerCache" Target="slicerCaches/slicerCache2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1.3203378478169608E-2"/>
          <c:y val="0.12293143044619423"/>
          <c:w val="0.98679662152183034"/>
          <c:h val="0.662101377952755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APOIO!$Y$14</c:f>
              <c:strCache>
                <c:ptCount val="1"/>
                <c:pt idx="0">
                  <c:v>(=)RECEITA LÍQUIDA DE VENDAS</c:v>
                </c:pt>
              </c:strCache>
            </c:strRef>
          </c:tx>
          <c:spPr>
            <a:noFill/>
            <a:ln w="34925">
              <a:solidFill>
                <a:srgbClr val="345A12"/>
              </a:solidFill>
            </a:ln>
            <a:effectLst/>
          </c:spPr>
          <c:invertIfNegative val="0"/>
          <c:dLbls>
            <c:numFmt formatCode="[&gt;999999]\ 0.000,,\ &quot;M&quot;;\ 0.0,\ &quot;K&quot;" sourceLinked="0"/>
            <c:spPr>
              <a:solidFill>
                <a:srgbClr val="455F51">
                  <a:lumMod val="20000"/>
                  <a:lumOff val="8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APOIO!$Z$5:$AL$5</c15:sqref>
                  </c15:fullRef>
                </c:ext>
              </c:extLst>
              <c:f>APOIO!$Z$5:$AB$5</c:f>
              <c:strCache>
                <c:ptCount val="3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APOIO!$Z$14:$AL$14</c15:sqref>
                  </c15:fullRef>
                </c:ext>
              </c:extLst>
              <c:f>APOIO!$Z$14:$AB$14</c:f>
              <c:numCache>
                <c:formatCode>_-* #,##0_-;\-* #,##0_-;_-* "-"??_-;_-@_-</c:formatCode>
                <c:ptCount val="3"/>
                <c:pt idx="0">
                  <c:v>789205</c:v>
                </c:pt>
                <c:pt idx="1">
                  <c:v>1503466.91</c:v>
                </c:pt>
                <c:pt idx="2">
                  <c:v>1616858.5200029996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37-43B7-B21B-113E57B122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27"/>
        <c:axId val="611296511"/>
        <c:axId val="611293599"/>
      </c:barChart>
      <c:catAx>
        <c:axId val="61129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3599"/>
        <c:crosses val="autoZero"/>
        <c:auto val="1"/>
        <c:lblAlgn val="ctr"/>
        <c:lblOffset val="100"/>
        <c:noMultiLvlLbl val="0"/>
      </c:catAx>
      <c:valAx>
        <c:axId val="611293599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6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APOIO!$Y$15</c:f>
              <c:strCache>
                <c:ptCount val="1"/>
                <c:pt idx="0">
                  <c:v>(=)MARGEM DE CONTRIBUIÇÃO</c:v>
                </c:pt>
              </c:strCache>
            </c:strRef>
          </c:tx>
          <c:spPr>
            <a:noFill/>
            <a:ln w="34925">
              <a:solidFill>
                <a:srgbClr val="345A12"/>
              </a:solidFill>
            </a:ln>
            <a:effectLst/>
          </c:spPr>
          <c:invertIfNegative val="0"/>
          <c:dLbls>
            <c:numFmt formatCode="[&gt;999999]\ 0.000,,\ &quot;M&quot;;\ 0.0,\ &quot;K&quot;" sourceLinked="0"/>
            <c:spPr>
              <a:solidFill>
                <a:srgbClr val="455F51">
                  <a:lumMod val="20000"/>
                  <a:lumOff val="8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APOIO!$Z$5:$AL$5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ANO</c:v>
                </c:pt>
              </c:strCache>
            </c:strRef>
          </c:cat>
          <c:val>
            <c:numRef>
              <c:f>APOIO!$Z$15:$AL$15</c:f>
              <c:numCache>
                <c:formatCode>_-* #,##0_-;\-* #,##0_-;_-* "-"??_-;_-@_-</c:formatCode>
                <c:ptCount val="13"/>
                <c:pt idx="0">
                  <c:v>697694.48</c:v>
                </c:pt>
                <c:pt idx="1">
                  <c:v>1383935.79</c:v>
                </c:pt>
                <c:pt idx="2">
                  <c:v>1517715.0400029996</c:v>
                </c:pt>
                <c:pt idx="3">
                  <c:v>1915858.4500039995</c:v>
                </c:pt>
                <c:pt idx="4">
                  <c:v>1391345.8028370002</c:v>
                </c:pt>
                <c:pt idx="5">
                  <c:v>6906549.5628440008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1E-4470-84B2-E4ED363E7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27"/>
        <c:axId val="1501804159"/>
        <c:axId val="1501802079"/>
      </c:barChart>
      <c:lineChart>
        <c:grouping val="standard"/>
        <c:varyColors val="0"/>
        <c:ser>
          <c:idx val="1"/>
          <c:order val="1"/>
          <c:tx>
            <c:strRef>
              <c:f>APOIO!$Y$20</c:f>
              <c:strCache>
                <c:ptCount val="1"/>
                <c:pt idx="0">
                  <c:v>MARGEM DE CONTRIBUIÇÃO (% RL)</c:v>
                </c:pt>
              </c:strCache>
            </c:strRef>
          </c:tx>
          <c:spPr>
            <a:ln w="28575" cap="rnd">
              <a:solidFill>
                <a:srgbClr val="DD640E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5085314768588102E-2"/>
                  <c:y val="-3.08988215294242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992-4181-9756-2E4F4120E8DD}"/>
                </c:ext>
              </c:extLst>
            </c:dLbl>
            <c:dLbl>
              <c:idx val="1"/>
              <c:layout>
                <c:manualLayout>
                  <c:x val="-3.6127848685456633E-2"/>
                  <c:y val="-2.78102151658665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EFF-4371-B135-0A9305EE481C}"/>
                </c:ext>
              </c:extLst>
            </c:dLbl>
            <c:spPr>
              <a:solidFill>
                <a:srgbClr val="455F51">
                  <a:lumMod val="20000"/>
                  <a:lumOff val="8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APOIO!$Z$5:$AL$5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ANO</c:v>
                </c:pt>
              </c:strCache>
            </c:strRef>
          </c:cat>
          <c:val>
            <c:numRef>
              <c:f>APOIO!$Z$20:$AL$20</c:f>
              <c:numCache>
                <c:formatCode>0.0%</c:formatCode>
                <c:ptCount val="13"/>
                <c:pt idx="0">
                  <c:v>0.88404721206784043</c:v>
                </c:pt>
                <c:pt idx="1">
                  <c:v>0.92049634135280045</c:v>
                </c:pt>
                <c:pt idx="2">
                  <c:v>0.93868141289207174</c:v>
                </c:pt>
                <c:pt idx="3">
                  <c:v>0.97221777350679661</c:v>
                </c:pt>
                <c:pt idx="4">
                  <c:v>0.95804779213859848</c:v>
                </c:pt>
                <c:pt idx="5">
                  <c:v>0.94192099940229945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1E-4470-84B2-E4ED363E7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1296511"/>
        <c:axId val="611293599"/>
      </c:lineChart>
      <c:catAx>
        <c:axId val="61129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3599"/>
        <c:crosses val="autoZero"/>
        <c:auto val="1"/>
        <c:lblAlgn val="ctr"/>
        <c:lblOffset val="100"/>
        <c:noMultiLvlLbl val="0"/>
      </c:catAx>
      <c:valAx>
        <c:axId val="611293599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6511"/>
        <c:crosses val="autoZero"/>
        <c:crossBetween val="between"/>
      </c:valAx>
      <c:valAx>
        <c:axId val="1501802079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1804159"/>
        <c:crosses val="max"/>
        <c:crossBetween val="between"/>
      </c:valAx>
      <c:catAx>
        <c:axId val="15018041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018020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APOIO!$Y$16</c:f>
              <c:strCache>
                <c:ptCount val="1"/>
                <c:pt idx="0">
                  <c:v>(=)EBITDA</c:v>
                </c:pt>
              </c:strCache>
            </c:strRef>
          </c:tx>
          <c:spPr>
            <a:solidFill>
              <a:sysClr val="window" lastClr="FFFFFF"/>
            </a:solidFill>
            <a:ln w="34925">
              <a:solidFill>
                <a:srgbClr val="006600"/>
              </a:solidFill>
            </a:ln>
            <a:effectLst/>
          </c:spPr>
          <c:invertIfNegative val="0"/>
          <c:dLbls>
            <c:numFmt formatCode="[&gt;999999]\ 0.000,,\ &quot;M&quot;;\ 0.0,\ &quot;K&quot;" sourceLinked="0"/>
            <c:spPr>
              <a:solidFill>
                <a:srgbClr val="0066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APOIO!$Z$5:$AL$5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ANO</c:v>
                </c:pt>
              </c:strCache>
            </c:strRef>
          </c:cat>
          <c:val>
            <c:numRef>
              <c:f>APOIO!$Z$16:$AL$16</c:f>
              <c:numCache>
                <c:formatCode>_-* #,##0_-;\-* #,##0_-;_-* "-"??_-;_-@_-</c:formatCode>
                <c:ptCount val="13"/>
                <c:pt idx="0">
                  <c:v>-906805.32999600074</c:v>
                </c:pt>
                <c:pt idx="1">
                  <c:v>-238189.92000000039</c:v>
                </c:pt>
                <c:pt idx="2">
                  <c:v>117910.79000300029</c:v>
                </c:pt>
                <c:pt idx="3">
                  <c:v>390060.5300049996</c:v>
                </c:pt>
                <c:pt idx="4">
                  <c:v>-151249.01675647963</c:v>
                </c:pt>
                <c:pt idx="5">
                  <c:v>-788272.94674447924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3E-4EBC-A019-EF4AC81462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"/>
        <c:overlap val="-27"/>
        <c:axId val="1501804159"/>
        <c:axId val="1501802079"/>
      </c:barChart>
      <c:lineChart>
        <c:grouping val="standard"/>
        <c:varyColors val="0"/>
        <c:ser>
          <c:idx val="1"/>
          <c:order val="1"/>
          <c:tx>
            <c:strRef>
              <c:f>APOIO!$Y$21</c:f>
              <c:strCache>
                <c:ptCount val="1"/>
                <c:pt idx="0">
                  <c:v>EBITDA (% RL)</c:v>
                </c:pt>
              </c:strCache>
            </c:strRef>
          </c:tx>
          <c:spPr>
            <a:ln w="28575" cap="rnd">
              <a:solidFill>
                <a:srgbClr val="DD640E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4710129190628333E-2"/>
                  <c:y val="-3.63187919719537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45E-4D89-9B21-5C6638A2794D}"/>
                </c:ext>
              </c:extLst>
            </c:dLbl>
            <c:dLbl>
              <c:idx val="1"/>
              <c:layout>
                <c:manualLayout>
                  <c:x val="-2.6755815178347152E-2"/>
                  <c:y val="-3.70082649675793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45E-4D89-9B21-5C6638A2794D}"/>
                </c:ext>
              </c:extLst>
            </c:dLbl>
            <c:dLbl>
              <c:idx val="2"/>
              <c:layout>
                <c:manualLayout>
                  <c:x val="-1.8245719396378746E-2"/>
                  <c:y val="-2.15317721729706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66D-4ECF-867A-824C3E84DB18}"/>
                </c:ext>
              </c:extLst>
            </c:dLbl>
            <c:numFmt formatCode="0%" sourceLinked="0"/>
            <c:spPr>
              <a:solidFill>
                <a:sysClr val="window" lastClr="FFFFFF">
                  <a:lumMod val="85000"/>
                </a:sys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APOIO!$Z$5:$AL$5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ANO</c:v>
                </c:pt>
              </c:strCache>
            </c:strRef>
          </c:cat>
          <c:val>
            <c:numRef>
              <c:f>APOIO!$Z$21:$AL$21</c:f>
              <c:numCache>
                <c:formatCode>0.0%</c:formatCode>
                <c:ptCount val="13"/>
                <c:pt idx="0">
                  <c:v>-1.1490111314500044</c:v>
                </c:pt>
                <c:pt idx="1">
                  <c:v>-0.15842711164158604</c:v>
                </c:pt>
                <c:pt idx="2">
                  <c:v>7.292585501097619E-2</c:v>
                </c:pt>
                <c:pt idx="3">
                  <c:v>0.1979393519461472</c:v>
                </c:pt>
                <c:pt idx="4">
                  <c:v>-0.10414649346784643</c:v>
                </c:pt>
                <c:pt idx="5">
                  <c:v>-0.10750532303334551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3E-4EBC-A019-EF4AC814623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11296511"/>
        <c:axId val="611293599"/>
      </c:lineChart>
      <c:catAx>
        <c:axId val="61129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3599"/>
        <c:crosses val="autoZero"/>
        <c:auto val="1"/>
        <c:lblAlgn val="ctr"/>
        <c:lblOffset val="700"/>
        <c:noMultiLvlLbl val="0"/>
      </c:catAx>
      <c:valAx>
        <c:axId val="611293599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6511"/>
        <c:crosses val="autoZero"/>
        <c:crossBetween val="between"/>
      </c:valAx>
      <c:valAx>
        <c:axId val="1501802079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1804159"/>
        <c:crosses val="max"/>
        <c:crossBetween val="between"/>
      </c:valAx>
      <c:catAx>
        <c:axId val="15018041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018020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APOIO!$Y$22</c:f>
              <c:strCache>
                <c:ptCount val="1"/>
                <c:pt idx="0">
                  <c:v>CUSTOS VARIÁVEIS (R$)</c:v>
                </c:pt>
              </c:strCache>
            </c:strRef>
          </c:tx>
          <c:spPr>
            <a:noFill/>
            <a:ln w="34925">
              <a:solidFill>
                <a:srgbClr val="345A12"/>
              </a:solidFill>
            </a:ln>
            <a:effectLst/>
          </c:spPr>
          <c:invertIfNegative val="0"/>
          <c:dLbls>
            <c:numFmt formatCode="[&gt;999999]\ 0.000,,\ &quot;M&quot;;\ 0.0,\ &quot;K&quot;" sourceLinked="0"/>
            <c:spPr>
              <a:solidFill>
                <a:srgbClr val="455F51">
                  <a:lumMod val="20000"/>
                  <a:lumOff val="8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APOIO!$Z$5:$AL$5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ANO</c:v>
                </c:pt>
              </c:strCache>
            </c:strRef>
          </c:cat>
          <c:val>
            <c:numRef>
              <c:f>APOIO!$Z$22:$AL$22</c:f>
              <c:numCache>
                <c:formatCode>_-* #,##0_-;\-* #,##0_-;_-* "-"??_-;_-@_-</c:formatCode>
                <c:ptCount val="13"/>
                <c:pt idx="0">
                  <c:v>91510.51999999999</c:v>
                </c:pt>
                <c:pt idx="1">
                  <c:v>119531.11999999992</c:v>
                </c:pt>
                <c:pt idx="2">
                  <c:v>99143.479999999981</c:v>
                </c:pt>
                <c:pt idx="3">
                  <c:v>54747.829999999994</c:v>
                </c:pt>
                <c:pt idx="4">
                  <c:v>60926.008918000007</c:v>
                </c:pt>
                <c:pt idx="5">
                  <c:v>425858.95891799987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D3-46E5-92C6-09388F5FFA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"/>
        <c:overlap val="-27"/>
        <c:axId val="1501804159"/>
        <c:axId val="1501802079"/>
      </c:barChart>
      <c:lineChart>
        <c:grouping val="standard"/>
        <c:varyColors val="0"/>
        <c:ser>
          <c:idx val="1"/>
          <c:order val="1"/>
          <c:tx>
            <c:strRef>
              <c:f>APOIO!$Y$23</c:f>
              <c:strCache>
                <c:ptCount val="1"/>
                <c:pt idx="0">
                  <c:v>CUSTOS VARIÁVEIS (% RL)</c:v>
                </c:pt>
              </c:strCache>
            </c:strRef>
          </c:tx>
          <c:spPr>
            <a:ln w="28575" cap="rnd">
              <a:solidFill>
                <a:srgbClr val="DD640E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9070423892667025E-2"/>
                  <c:y val="-4.66334045027455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E36-4EE0-B9F0-ED5195A428D4}"/>
                </c:ext>
              </c:extLst>
            </c:dLbl>
            <c:dLbl>
              <c:idx val="1"/>
              <c:layout>
                <c:manualLayout>
                  <c:x val="-3.0849519602132561E-2"/>
                  <c:y val="-4.66334045027455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CE2-49E3-805B-8A3FF9C21986}"/>
                </c:ext>
              </c:extLst>
            </c:dLbl>
            <c:numFmt formatCode="0%" sourceLinked="0"/>
            <c:spPr>
              <a:solidFill>
                <a:srgbClr val="455F51">
                  <a:lumMod val="20000"/>
                  <a:lumOff val="8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APOIO!$Z$5:$AL$5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ANO</c:v>
                </c:pt>
              </c:strCache>
            </c:strRef>
          </c:cat>
          <c:val>
            <c:numRef>
              <c:f>APOIO!$Z$23:$AL$23</c:f>
              <c:numCache>
                <c:formatCode>0.0%</c:formatCode>
                <c:ptCount val="13"/>
                <c:pt idx="0">
                  <c:v>0.11595278793215956</c:v>
                </c:pt>
                <c:pt idx="1">
                  <c:v>7.9503658647199577E-2</c:v>
                </c:pt>
                <c:pt idx="2">
                  <c:v>6.1318587107928313E-2</c:v>
                </c:pt>
                <c:pt idx="3">
                  <c:v>2.7782226493203339E-2</c:v>
                </c:pt>
                <c:pt idx="4">
                  <c:v>4.1952207861401559E-2</c:v>
                </c:pt>
                <c:pt idx="5">
                  <c:v>5.8079000597700554E-2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D3-46E5-92C6-09388F5FFA4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11296511"/>
        <c:axId val="611293599"/>
      </c:lineChart>
      <c:catAx>
        <c:axId val="61129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3599"/>
        <c:crosses val="autoZero"/>
        <c:auto val="1"/>
        <c:lblAlgn val="ctr"/>
        <c:lblOffset val="100"/>
        <c:noMultiLvlLbl val="0"/>
      </c:catAx>
      <c:valAx>
        <c:axId val="611293599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6511"/>
        <c:crosses val="autoZero"/>
        <c:crossBetween val="between"/>
      </c:valAx>
      <c:valAx>
        <c:axId val="1501802079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1804159"/>
        <c:crosses val="max"/>
        <c:crossBetween val="between"/>
      </c:valAx>
      <c:catAx>
        <c:axId val="15018041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018020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APOIO!$Y$24</c:f>
              <c:strCache>
                <c:ptCount val="1"/>
                <c:pt idx="0">
                  <c:v>GASTOS FIXOS (R$)</c:v>
                </c:pt>
              </c:strCache>
            </c:strRef>
          </c:tx>
          <c:spPr>
            <a:noFill/>
            <a:ln w="34925">
              <a:solidFill>
                <a:srgbClr val="345A12"/>
              </a:solidFill>
            </a:ln>
            <a:effectLst/>
          </c:spPr>
          <c:invertIfNegative val="0"/>
          <c:dLbls>
            <c:numFmt formatCode="[&gt;999999]\ 0.000,,\ &quot;M&quot;;\ 0.0,\ &quot;K&quot;" sourceLinked="0"/>
            <c:spPr>
              <a:solidFill>
                <a:srgbClr val="455F51">
                  <a:lumMod val="20000"/>
                  <a:lumOff val="8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APOIO!$Z$5:$AL$5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ANO</c:v>
                </c:pt>
              </c:strCache>
            </c:strRef>
          </c:cat>
          <c:val>
            <c:numRef>
              <c:f>APOIO!$Z$24:$AL$24</c:f>
              <c:numCache>
                <c:formatCode>_-* #,##0_-;\-* #,##0_-;_-* "-"??_-;_-@_-</c:formatCode>
                <c:ptCount val="13"/>
                <c:pt idx="0">
                  <c:v>1604499.8099960007</c:v>
                </c:pt>
                <c:pt idx="1">
                  <c:v>1622125.7100000004</c:v>
                </c:pt>
                <c:pt idx="2">
                  <c:v>1399804.2499999993</c:v>
                </c:pt>
                <c:pt idx="3">
                  <c:v>1525797.9199989999</c:v>
                </c:pt>
                <c:pt idx="4">
                  <c:v>1542594.8195934799</c:v>
                </c:pt>
                <c:pt idx="5">
                  <c:v>7694822.50958848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24-4909-8870-52ED7B71115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"/>
        <c:overlap val="-27"/>
        <c:axId val="1501804159"/>
        <c:axId val="1501802079"/>
      </c:barChart>
      <c:lineChart>
        <c:grouping val="standard"/>
        <c:varyColors val="0"/>
        <c:ser>
          <c:idx val="1"/>
          <c:order val="1"/>
          <c:tx>
            <c:strRef>
              <c:f>APOIO!$Y$25</c:f>
              <c:strCache>
                <c:ptCount val="1"/>
                <c:pt idx="0">
                  <c:v>GASTOS FIXOS (% RL)</c:v>
                </c:pt>
              </c:strCache>
            </c:strRef>
          </c:tx>
          <c:spPr>
            <a:ln w="28575" cap="rnd">
              <a:solidFill>
                <a:srgbClr val="DD640E"/>
              </a:solidFill>
              <a:round/>
            </a:ln>
            <a:effectLst/>
          </c:spPr>
          <c:marker>
            <c:symbol val="none"/>
          </c:marker>
          <c:dLbls>
            <c:numFmt formatCode="0%" sourceLinked="0"/>
            <c:spPr>
              <a:solidFill>
                <a:srgbClr val="455F51">
                  <a:lumMod val="20000"/>
                  <a:lumOff val="8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APOIO!$Z$5:$AL$5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ANO</c:v>
                </c:pt>
              </c:strCache>
            </c:strRef>
          </c:cat>
          <c:val>
            <c:numRef>
              <c:f>APOIO!$Z$25:$AL$25</c:f>
              <c:numCache>
                <c:formatCode>0%</c:formatCode>
                <c:ptCount val="13"/>
                <c:pt idx="0">
                  <c:v>2.0330583435178449</c:v>
                </c:pt>
                <c:pt idx="1">
                  <c:v>1.0789234529943865</c:v>
                </c:pt>
                <c:pt idx="2">
                  <c:v>0.86575555788109548</c:v>
                </c:pt>
                <c:pt idx="3">
                  <c:v>0.77427842156064941</c:v>
                </c:pt>
                <c:pt idx="4">
                  <c:v>1.062194285606445</c:v>
                </c:pt>
                <c:pt idx="5">
                  <c:v>1.049426322435645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24-4909-8870-52ED7B71115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11296511"/>
        <c:axId val="611293599"/>
      </c:lineChart>
      <c:catAx>
        <c:axId val="61129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3599"/>
        <c:crosses val="autoZero"/>
        <c:auto val="1"/>
        <c:lblAlgn val="ctr"/>
        <c:lblOffset val="100"/>
        <c:noMultiLvlLbl val="0"/>
      </c:catAx>
      <c:valAx>
        <c:axId val="611293599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6511"/>
        <c:crosses val="autoZero"/>
        <c:crossBetween val="between"/>
      </c:valAx>
      <c:valAx>
        <c:axId val="1501802079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1804159"/>
        <c:crosses val="max"/>
        <c:crossBetween val="between"/>
      </c:valAx>
      <c:catAx>
        <c:axId val="15018041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018020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APOIO!$Z$27</c:f>
              <c:strCache>
                <c:ptCount val="1"/>
                <c:pt idx="0">
                  <c:v>Gastos Fixos</c:v>
                </c:pt>
              </c:strCache>
            </c:strRef>
          </c:tx>
          <c:spPr>
            <a:noFill/>
            <a:ln w="34925">
              <a:solidFill>
                <a:srgbClr val="006600"/>
              </a:solidFill>
            </a:ln>
            <a:effectLst/>
          </c:spPr>
          <c:invertIfNegative val="0"/>
          <c:dLbls>
            <c:numFmt formatCode="[&gt;999999]\ 0.000,,\ &quot;M&quot;;\ 0.0,\ &quot;K&quot;" sourceLinked="0"/>
            <c:spPr>
              <a:solidFill>
                <a:srgbClr val="0066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APOIO!$Y$28:$Y$36</c:f>
              <c:strCache>
                <c:ptCount val="9"/>
                <c:pt idx="0">
                  <c:v> Despesas com Pessoal </c:v>
                </c:pt>
                <c:pt idx="1">
                  <c:v> Despesas com Locações </c:v>
                </c:pt>
                <c:pt idx="2">
                  <c:v> Despesas com Infraestrutura </c:v>
                </c:pt>
                <c:pt idx="3">
                  <c:v> Despesas com Máquinas e Equipamentos </c:v>
                </c:pt>
                <c:pt idx="4">
                  <c:v> Despesas com Veículos e Equipamentos </c:v>
                </c:pt>
                <c:pt idx="5">
                  <c:v> Despesas Administrativas </c:v>
                </c:pt>
                <c:pt idx="6">
                  <c:v> Despesas Financeiras </c:v>
                </c:pt>
                <c:pt idx="7">
                  <c:v> Serviços de Terceiros </c:v>
                </c:pt>
                <c:pt idx="8">
                  <c:v> Despesas com Viagens e Hospedagens </c:v>
                </c:pt>
              </c:strCache>
            </c:strRef>
          </c:cat>
          <c:val>
            <c:numRef>
              <c:f>APOIO!$Z$28:$Z$36</c:f>
              <c:numCache>
                <c:formatCode>_(* #,##0.00_);_(* \(#,##0.00\);_(* "-"??_);_(@_)</c:formatCode>
                <c:ptCount val="9"/>
                <c:pt idx="0">
                  <c:v>615896.17420391506</c:v>
                </c:pt>
                <c:pt idx="1">
                  <c:v>8650.119999999999</c:v>
                </c:pt>
                <c:pt idx="2">
                  <c:v>9985.742000000002</c:v>
                </c:pt>
                <c:pt idx="3">
                  <c:v>5246.1299999999992</c:v>
                </c:pt>
                <c:pt idx="4">
                  <c:v>32742.021453000001</c:v>
                </c:pt>
                <c:pt idx="5">
                  <c:v>1484.3276209999999</c:v>
                </c:pt>
                <c:pt idx="6">
                  <c:v>0</c:v>
                </c:pt>
                <c:pt idx="7">
                  <c:v>0</c:v>
                </c:pt>
                <c:pt idx="8">
                  <c:v>8390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D3-46E5-92C6-09388F5FFA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"/>
        <c:overlap val="-27"/>
        <c:axId val="611296511"/>
        <c:axId val="611293599"/>
      </c:barChart>
      <c:lineChart>
        <c:grouping val="standard"/>
        <c:varyColors val="0"/>
        <c:ser>
          <c:idx val="2"/>
          <c:order val="2"/>
          <c:tx>
            <c:strRef>
              <c:f>APOIO!$AB$27</c:f>
              <c:strCache>
                <c:ptCount val="1"/>
                <c:pt idx="0">
                  <c:v>%Representatividade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9728175064559954E-2"/>
                  <c:y val="-0.7340384280677895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68D-4D61-91C5-3AE7043F700D}"/>
                </c:ext>
              </c:extLst>
            </c:dLbl>
            <c:dLbl>
              <c:idx val="1"/>
              <c:layout>
                <c:manualLayout>
                  <c:x val="-2.913133355731751E-2"/>
                  <c:y val="-0.7306114463886493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68D-4D61-91C5-3AE7043F700D}"/>
                </c:ext>
              </c:extLst>
            </c:dLbl>
            <c:dLbl>
              <c:idx val="2"/>
              <c:layout>
                <c:manualLayout>
                  <c:x val="-3.1825065724617158E-2"/>
                  <c:y val="-0.7374654097469295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68D-4D61-91C5-3AE7043F700D}"/>
                </c:ext>
              </c:extLst>
            </c:dLbl>
            <c:dLbl>
              <c:idx val="3"/>
              <c:layout>
                <c:manualLayout>
                  <c:x val="-2.7927583098854056E-2"/>
                  <c:y val="-0.7337753330176193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68D-4D61-91C5-3AE7043F700D}"/>
                </c:ext>
              </c:extLst>
            </c:dLbl>
            <c:dLbl>
              <c:idx val="4"/>
              <c:layout>
                <c:manualLayout>
                  <c:x val="-2.9975715745916665E-2"/>
                  <c:y val="-0.7369392196465891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68D-4D61-91C5-3AE7043F700D}"/>
                </c:ext>
              </c:extLst>
            </c:dLbl>
            <c:dLbl>
              <c:idx val="5"/>
              <c:layout>
                <c:manualLayout>
                  <c:x val="-3.1722022474482976E-2"/>
                  <c:y val="-0.730348351338479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68D-4D61-91C5-3AE7043F700D}"/>
                </c:ext>
              </c:extLst>
            </c:dLbl>
            <c:dLbl>
              <c:idx val="6"/>
              <c:layout>
                <c:manualLayout>
                  <c:x val="-2.7944460872582969E-2"/>
                  <c:y val="-0.7337753330176193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68D-4D61-91C5-3AE7043F700D}"/>
                </c:ext>
              </c:extLst>
            </c:dLbl>
            <c:dLbl>
              <c:idx val="7"/>
              <c:layout>
                <c:manualLayout>
                  <c:x val="-3.012406249395469E-2"/>
                  <c:y val="-0.730348351338479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68D-4D61-91C5-3AE7043F700D}"/>
                </c:ext>
              </c:extLst>
            </c:dLbl>
            <c:dLbl>
              <c:idx val="8"/>
              <c:layout>
                <c:manualLayout>
                  <c:x val="-3.5097873321549816E-2"/>
                  <c:y val="-0.7230931342985548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4E8-437F-986B-B7DAD19282E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APOIO!$Y$28:$Y$36</c:f>
              <c:strCache>
                <c:ptCount val="9"/>
                <c:pt idx="0">
                  <c:v> Despesas com Pessoal </c:v>
                </c:pt>
                <c:pt idx="1">
                  <c:v> Despesas com Locações </c:v>
                </c:pt>
                <c:pt idx="2">
                  <c:v> Despesas com Infraestrutura </c:v>
                </c:pt>
                <c:pt idx="3">
                  <c:v> Despesas com Máquinas e Equipamentos </c:v>
                </c:pt>
                <c:pt idx="4">
                  <c:v> Despesas com Veículos e Equipamentos </c:v>
                </c:pt>
                <c:pt idx="5">
                  <c:v> Despesas Administrativas </c:v>
                </c:pt>
                <c:pt idx="6">
                  <c:v> Despesas Financeiras </c:v>
                </c:pt>
                <c:pt idx="7">
                  <c:v> Serviços de Terceiros </c:v>
                </c:pt>
                <c:pt idx="8">
                  <c:v> Despesas com Viagens e Hospedagens </c:v>
                </c:pt>
              </c:strCache>
            </c:strRef>
          </c:cat>
          <c:val>
            <c:numRef>
              <c:f>APOIO!$AB$28:$AB$36</c:f>
              <c:numCache>
                <c:formatCode>0.00%</c:formatCode>
                <c:ptCount val="9"/>
                <c:pt idx="0">
                  <c:v>0.90255147193421137</c:v>
                </c:pt>
                <c:pt idx="1">
                  <c:v>1.267612767443934E-2</c:v>
                </c:pt>
                <c:pt idx="2">
                  <c:v>1.46333854924569E-2</c:v>
                </c:pt>
                <c:pt idx="3">
                  <c:v>7.6878255650449298E-3</c:v>
                </c:pt>
                <c:pt idx="4">
                  <c:v>4.7981073587124792E-2</c:v>
                </c:pt>
                <c:pt idx="5">
                  <c:v>2.1751751923086396E-3</c:v>
                </c:pt>
                <c:pt idx="6">
                  <c:v>0</c:v>
                </c:pt>
                <c:pt idx="7">
                  <c:v>0</c:v>
                </c:pt>
                <c:pt idx="8">
                  <c:v>1.2294940554413819E-2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834-4BF2-9270-8E18CF734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1296511"/>
        <c:axId val="611293599"/>
      </c:lineChart>
      <c:lineChart>
        <c:grouping val="standard"/>
        <c:varyColors val="0"/>
        <c:ser>
          <c:idx val="1"/>
          <c:order val="1"/>
          <c:tx>
            <c:strRef>
              <c:f>APOIO!$AA$27</c:f>
              <c:strCache>
                <c:ptCount val="1"/>
                <c:pt idx="0">
                  <c:v>80-20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6012714323474469E-2"/>
                  <c:y val="-1.34456721183959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55C-4465-958F-385E179C3EBD}"/>
                </c:ext>
              </c:extLst>
            </c:dLbl>
            <c:numFmt formatCode="0%" sourceLinked="0"/>
            <c:spPr>
              <a:solidFill>
                <a:sysClr val="window" lastClr="FFFFFF">
                  <a:lumMod val="85000"/>
                </a:sys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APOIO!$Y$28:$Y$36</c:f>
              <c:strCache>
                <c:ptCount val="9"/>
                <c:pt idx="0">
                  <c:v> Despesas com Pessoal </c:v>
                </c:pt>
                <c:pt idx="1">
                  <c:v> Despesas com Locações </c:v>
                </c:pt>
                <c:pt idx="2">
                  <c:v> Despesas com Infraestrutura </c:v>
                </c:pt>
                <c:pt idx="3">
                  <c:v> Despesas com Máquinas e Equipamentos </c:v>
                </c:pt>
                <c:pt idx="4">
                  <c:v> Despesas com Veículos e Equipamentos </c:v>
                </c:pt>
                <c:pt idx="5">
                  <c:v> Despesas Administrativas </c:v>
                </c:pt>
                <c:pt idx="6">
                  <c:v> Despesas Financeiras </c:v>
                </c:pt>
                <c:pt idx="7">
                  <c:v> Serviços de Terceiros </c:v>
                </c:pt>
                <c:pt idx="8">
                  <c:v> Despesas com Viagens e Hospedagens </c:v>
                </c:pt>
              </c:strCache>
            </c:strRef>
          </c:cat>
          <c:val>
            <c:numRef>
              <c:f>APOIO!$AA$28:$AA$36</c:f>
              <c:numCache>
                <c:formatCode>0.00%</c:formatCode>
                <c:ptCount val="9"/>
                <c:pt idx="0">
                  <c:v>0.90255147193421137</c:v>
                </c:pt>
                <c:pt idx="1">
                  <c:v>0.91522759960865074</c:v>
                </c:pt>
                <c:pt idx="2">
                  <c:v>0.9298609851011076</c:v>
                </c:pt>
                <c:pt idx="3">
                  <c:v>0.93754881066615248</c:v>
                </c:pt>
                <c:pt idx="4">
                  <c:v>0.98552988425327726</c:v>
                </c:pt>
                <c:pt idx="5">
                  <c:v>0.98770505944558584</c:v>
                </c:pt>
                <c:pt idx="6">
                  <c:v>0.98770505944558584</c:v>
                </c:pt>
                <c:pt idx="7">
                  <c:v>0.98770505944558584</c:v>
                </c:pt>
                <c:pt idx="8">
                  <c:v>0.99999999999999967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D3-46E5-92C6-09388F5FFA4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01804159"/>
        <c:axId val="1501802079"/>
      </c:lineChart>
      <c:catAx>
        <c:axId val="61129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3599"/>
        <c:crosses val="autoZero"/>
        <c:auto val="1"/>
        <c:lblAlgn val="ctr"/>
        <c:lblOffset val="100"/>
        <c:noMultiLvlLbl val="0"/>
      </c:catAx>
      <c:valAx>
        <c:axId val="611293599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6511"/>
        <c:crosses val="autoZero"/>
        <c:crossBetween val="between"/>
      </c:valAx>
      <c:valAx>
        <c:axId val="1501802079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1804159"/>
        <c:crosses val="max"/>
        <c:crossBetween val="between"/>
      </c:valAx>
      <c:catAx>
        <c:axId val="15018041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018020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195172601391992"/>
          <c:y val="1.8826272266948382E-2"/>
          <c:w val="0.56225429147769301"/>
          <c:h val="6.49666503073361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3.png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74083</xdr:colOff>
      <xdr:row>3</xdr:row>
      <xdr:rowOff>31749</xdr:rowOff>
    </xdr:from>
    <xdr:to>
      <xdr:col>11</xdr:col>
      <xdr:colOff>370415</xdr:colOff>
      <xdr:row>16</xdr:row>
      <xdr:rowOff>54821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5392139-8BBA-48B5-BDCF-000381167E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429947</xdr:colOff>
      <xdr:row>3</xdr:row>
      <xdr:rowOff>10583</xdr:rowOff>
    </xdr:from>
    <xdr:to>
      <xdr:col>22</xdr:col>
      <xdr:colOff>514614</xdr:colOff>
      <xdr:row>16</xdr:row>
      <xdr:rowOff>42334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6021A74-1283-49CA-B3F7-3B97ED15B8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74085</xdr:colOff>
      <xdr:row>17</xdr:row>
      <xdr:rowOff>0</xdr:rowOff>
    </xdr:from>
    <xdr:to>
      <xdr:col>11</xdr:col>
      <xdr:colOff>370418</xdr:colOff>
      <xdr:row>32</xdr:row>
      <xdr:rowOff>152099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03F4580-D9B8-44B7-9C06-6411298706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42334</xdr:colOff>
      <xdr:row>33</xdr:row>
      <xdr:rowOff>21166</xdr:rowOff>
    </xdr:from>
    <xdr:to>
      <xdr:col>11</xdr:col>
      <xdr:colOff>370417</xdr:colOff>
      <xdr:row>48</xdr:row>
      <xdr:rowOff>21167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8F55195-5C92-4A65-B7F3-CF09752BD0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424655</xdr:colOff>
      <xdr:row>16</xdr:row>
      <xdr:rowOff>187854</xdr:rowOff>
    </xdr:from>
    <xdr:to>
      <xdr:col>22</xdr:col>
      <xdr:colOff>488156</xdr:colOff>
      <xdr:row>31</xdr:row>
      <xdr:rowOff>187855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FA1BD191-2868-4377-B31A-A249ACE20D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5</xdr:col>
      <xdr:colOff>370415</xdr:colOff>
      <xdr:row>0</xdr:row>
      <xdr:rowOff>0</xdr:rowOff>
    </xdr:from>
    <xdr:to>
      <xdr:col>7</xdr:col>
      <xdr:colOff>232835</xdr:colOff>
      <xdr:row>2</xdr:row>
      <xdr:rowOff>317499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7" name="Empresa 1">
              <a:extLst>
                <a:ext uri="{FF2B5EF4-FFF2-40B4-BE49-F238E27FC236}">
                  <a16:creationId xmlns:a16="http://schemas.microsoft.com/office/drawing/2014/main" id="{8AEBD3C6-DC68-475C-8EAC-AE42D7705B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mpres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39582" y="0"/>
              <a:ext cx="1090086" cy="9101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10582</xdr:colOff>
      <xdr:row>0</xdr:row>
      <xdr:rowOff>10583</xdr:rowOff>
    </xdr:from>
    <xdr:to>
      <xdr:col>5</xdr:col>
      <xdr:colOff>370415</xdr:colOff>
      <xdr:row>2</xdr:row>
      <xdr:rowOff>317500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8" name="Ano 1">
              <a:extLst>
                <a:ext uri="{FF2B5EF4-FFF2-40B4-BE49-F238E27FC236}">
                  <a16:creationId xmlns:a16="http://schemas.microsoft.com/office/drawing/2014/main" id="{DCBBC43C-95CD-4D8B-BAC1-C574FA8AC9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65915" y="10583"/>
              <a:ext cx="973667" cy="89958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264584</xdr:colOff>
      <xdr:row>0</xdr:row>
      <xdr:rowOff>0</xdr:rowOff>
    </xdr:from>
    <xdr:to>
      <xdr:col>14</xdr:col>
      <xdr:colOff>497416</xdr:colOff>
      <xdr:row>2</xdr:row>
      <xdr:rowOff>317500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9" name="Mês">
              <a:extLst>
                <a:ext uri="{FF2B5EF4-FFF2-40B4-BE49-F238E27FC236}">
                  <a16:creationId xmlns:a16="http://schemas.microsoft.com/office/drawing/2014/main" id="{FE430360-DA65-44E8-9B6D-F1307569939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61417" y="0"/>
              <a:ext cx="4529666" cy="9101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529167</xdr:colOff>
      <xdr:row>0</xdr:row>
      <xdr:rowOff>0</xdr:rowOff>
    </xdr:from>
    <xdr:to>
      <xdr:col>22</xdr:col>
      <xdr:colOff>529167</xdr:colOff>
      <xdr:row>2</xdr:row>
      <xdr:rowOff>285750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Conta Pai">
              <a:extLst>
                <a:ext uri="{FF2B5EF4-FFF2-40B4-BE49-F238E27FC236}">
                  <a16:creationId xmlns:a16="http://schemas.microsoft.com/office/drawing/2014/main" id="{B0A9CDFA-CA40-CCC5-8E15-57AF2DE6012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ta Pai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17811" y="0"/>
              <a:ext cx="4907797" cy="8830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172356</xdr:colOff>
      <xdr:row>0</xdr:row>
      <xdr:rowOff>90715</xdr:rowOff>
    </xdr:from>
    <xdr:to>
      <xdr:col>9</xdr:col>
      <xdr:colOff>154213</xdr:colOff>
      <xdr:row>3</xdr:row>
      <xdr:rowOff>381000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entro de Custo - Obra 1">
              <a:extLst>
                <a:ext uri="{FF2B5EF4-FFF2-40B4-BE49-F238E27FC236}">
                  <a16:creationId xmlns:a16="http://schemas.microsoft.com/office/drawing/2014/main" id="{C6E68460-D01E-45E5-9D9F-A5309CF209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entro de Custo - Obr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63142" y="90715"/>
              <a:ext cx="4980214" cy="12064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680357</xdr:colOff>
      <xdr:row>1</xdr:row>
      <xdr:rowOff>154215</xdr:rowOff>
    </xdr:from>
    <xdr:to>
      <xdr:col>0</xdr:col>
      <xdr:colOff>3033128</xdr:colOff>
      <xdr:row>3</xdr:row>
      <xdr:rowOff>129428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BF3723C-DFDA-4963-94F5-F82645164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357" y="517072"/>
          <a:ext cx="2352771" cy="7099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1156530</xdr:colOff>
      <xdr:row>40</xdr:row>
      <xdr:rowOff>162718</xdr:rowOff>
    </xdr:from>
    <xdr:to>
      <xdr:col>44</xdr:col>
      <xdr:colOff>277813</xdr:colOff>
      <xdr:row>60</xdr:row>
      <xdr:rowOff>58603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1158BEFD-F189-490E-8F0F-006D4E29B359}"/>
            </a:ext>
          </a:extLst>
        </xdr:cNvPr>
        <xdr:cNvGrpSpPr/>
      </xdr:nvGrpSpPr>
      <xdr:grpSpPr>
        <a:xfrm>
          <a:off x="19949355" y="7401718"/>
          <a:ext cx="14266033" cy="3515385"/>
          <a:chOff x="20233256" y="6524268"/>
          <a:chExt cx="9022090" cy="3254670"/>
        </a:xfrm>
      </xdr:grpSpPr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5531AEC5-C9B5-4CA7-90ED-8DBCFB6DA8E1}"/>
              </a:ext>
            </a:extLst>
          </xdr:cNvPr>
          <xdr:cNvGraphicFramePr/>
        </xdr:nvGraphicFramePr>
        <xdr:xfrm>
          <a:off x="20247197" y="6524268"/>
          <a:ext cx="8998369" cy="325467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pic>
        <xdr:nvPicPr>
          <xdr:cNvPr id="4" name="Gráfico 3" descr="Apresentação com gráfico de barras">
            <a:extLst>
              <a:ext uri="{FF2B5EF4-FFF2-40B4-BE49-F238E27FC236}">
                <a16:creationId xmlns:a16="http://schemas.microsoft.com/office/drawing/2014/main" id="{B9CAB852-DDBE-48A3-84BC-0ACC6DCEDAF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24317764" y="6582763"/>
            <a:ext cx="296809" cy="213954"/>
          </a:xfrm>
          <a:prstGeom prst="rect">
            <a:avLst/>
          </a:prstGeom>
        </xdr:spPr>
      </xdr:pic>
      <xdr:cxnSp macro="">
        <xdr:nvCxnSpPr>
          <xdr:cNvPr id="6" name="Conector reto 5">
            <a:extLst>
              <a:ext uri="{FF2B5EF4-FFF2-40B4-BE49-F238E27FC236}">
                <a16:creationId xmlns:a16="http://schemas.microsoft.com/office/drawing/2014/main" id="{34BC5D6F-BD0F-47AB-B6DA-5A5BF294870D}"/>
              </a:ext>
            </a:extLst>
          </xdr:cNvPr>
          <xdr:cNvCxnSpPr/>
        </xdr:nvCxnSpPr>
        <xdr:spPr>
          <a:xfrm>
            <a:off x="20255346" y="6974477"/>
            <a:ext cx="9000000" cy="0"/>
          </a:xfrm>
          <a:prstGeom prst="line">
            <a:avLst/>
          </a:prstGeom>
          <a:ln w="22225">
            <a:solidFill>
              <a:srgbClr val="0066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pic>
        <xdr:nvPicPr>
          <xdr:cNvPr id="7" name="Gráfico 6" descr="Apresentação com gráfico de barras">
            <a:extLst>
              <a:ext uri="{FF2B5EF4-FFF2-40B4-BE49-F238E27FC236}">
                <a16:creationId xmlns:a16="http://schemas.microsoft.com/office/drawing/2014/main" id="{7867E63F-D68E-48F5-B705-B503C78FD5E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20233256" y="6675951"/>
            <a:ext cx="242453" cy="242453"/>
          </a:xfrm>
          <a:prstGeom prst="rect">
            <a:avLst/>
          </a:prstGeom>
        </xdr:spPr>
      </xdr:pic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835.389853356479" createdVersion="7" refreshedVersion="8" minRefreshableVersion="3" xr:uid="{F57055E0-94B2-4437-88A3-8CC4A7A15239}" refreshOnLoad="1" saveData="0" recordCount="0">
  <cacheSource type="worksheet">
    <worksheetSource name="BD_FLUXO1"/>
  </cacheSource>
  <cacheFields count="18">
    <cacheField name="Data" numFmtId="14">
      <sharedItems containsNonDate="0" containsDate="1" containsString="0" containsBlank="1" minDate="2025-01-01T00:00:00" maxDate="2025-06-01T00:00:00"/>
    </cacheField>
    <cacheField name="Histórico" numFmtId="0">
      <sharedItems containsMixedTypes="1" containsNumber="1" containsInteger="1" minValue="8013" maxValue="8684"/>
    </cacheField>
    <cacheField name="Crédito" numFmtId="43">
      <sharedItems containsString="0" containsBlank="1" containsNumber="1" minValue="0.11" maxValue="612659.54"/>
    </cacheField>
    <cacheField name="Débito" numFmtId="43">
      <sharedItems containsString="0" containsBlank="1" containsNumber="1" minValue="0.08" maxValue="150000"/>
    </cacheField>
    <cacheField name="Saldo" numFmtId="43">
      <sharedItems containsNonDate="0" containsString="0" containsBlank="1"/>
    </cacheField>
    <cacheField name="Natureza" numFmtId="0">
      <sharedItems/>
    </cacheField>
    <cacheField name="Centro de Custo - Obra" numFmtId="0">
      <sharedItems containsBlank="1" count="28">
        <s v="ADMINISTRATIVO"/>
        <s v="CMOC CONTRATO VIEGENCIA"/>
        <s v="VLI PINTURA"/>
        <s v="MOSAIC UBERABA CONTRAT0 3 ANOS"/>
        <s v="SERENA 21 TORRES 2024"/>
        <s v="EUROCHEM SERRA DO SALITRE"/>
        <s v="ANGLO AMERICAN"/>
        <s v="RETIRADA "/>
        <s v="VEICULOS "/>
        <s v="ETERNIT S_A GOIÂNIA PCOM 1008-24 - JATEAMENTO E PINTURA DE TELHAS INTERCALAR"/>
        <s v="LOTE TRINDADE "/>
        <s v="GASTOS COMERCIAIS "/>
        <s v="EMPRESTIMOS "/>
        <s v="TVV - LOGIN"/>
        <s v="PARADA MOSAIC UBA 2024"/>
        <s v="IMOBILIZADO / INVESTIMENTO "/>
        <s v="IMPOSTOS "/>
        <s v="PROCESSO TRABALHISTA"/>
        <s v="SERENA 18 TORRES 2023"/>
        <s v="MANUTENÇÃO DE EQUIPAMENTOS "/>
        <s v="CÉU DE MINAS"/>
        <s v="PARADA 2025 GABRIELLE MOSAIC CATALÃO"/>
        <s v="NIOBIO CMOC CONTRATO"/>
        <s v="FOSFATO CMOC CONTRAT"/>
        <s v="OMEGA MONJOLOS SERRA DAS AGULHAS"/>
        <m/>
        <s v="MOSAIC ARAXA"/>
        <s v="CANTEIRO DE OBRA"/>
      </sharedItems>
    </cacheField>
    <cacheField name="Ano Fluxo" numFmtId="0">
      <sharedItems containsSemiMixedTypes="0" containsString="0" containsNumber="1" containsInteger="1" minValue="1900" maxValue="2025"/>
    </cacheField>
    <cacheField name="C. Mês" numFmtId="0">
      <sharedItems containsSemiMixedTypes="0" containsString="0" containsNumber="1" containsInteger="1" minValue="1" maxValue="5"/>
    </cacheField>
    <cacheField name="Mês" numFmtId="0">
      <sharedItems containsBlank="1" count="17">
        <s v="Jan"/>
        <s v="Fev"/>
        <s v="Mar"/>
        <s v="Abr"/>
        <s v="Mai"/>
        <m u="1"/>
        <s v="Jun" u="1"/>
        <s v="Jul" u="1"/>
        <s v="Ago" u="1"/>
        <s v="Set" u="1"/>
        <s v="Out" u="1"/>
        <s v="Nov" u="1"/>
        <s v="Dez" u="1"/>
        <s v="Abril" u="1"/>
        <s v="Abr " u="1"/>
        <s v="JANEIRO" u="1"/>
        <s v="DEZEMBRO" u="1"/>
      </sharedItems>
    </cacheField>
    <cacheField name="Banco" numFmtId="0">
      <sharedItems containsNonDate="0" containsString="0" containsBlank="1"/>
    </cacheField>
    <cacheField name="Empresa" numFmtId="0">
      <sharedItems containsNonDate="0" containsBlank="1" count="7">
        <m/>
        <s v="Uniagro" u="1"/>
        <s v="Oasis" u="1"/>
        <s v="Natural" u="1"/>
        <s v="Vita" u="1"/>
        <s v="Santo Remédio" u="1"/>
        <s v="Drogaria do Beco" u="1"/>
      </sharedItems>
    </cacheField>
    <cacheField name="Valor" numFmtId="43">
      <sharedItems containsSemiMixedTypes="0" containsString="0" containsNumber="1" minValue="-150000" maxValue="612659.54"/>
    </cacheField>
    <cacheField name="Rubrica" numFmtId="0">
      <sharedItems containsMixedTypes="1" containsNumber="1" containsInteger="1" minValue="0" maxValue="0" count="119">
        <s v="Juros Recebidos"/>
        <s v="Faturamento"/>
        <s v="HONORÁRIOS ADVOCATÍCIOS"/>
        <s v="ALUGUEL ALOJAMENTO "/>
        <s v="HONORÁRIOS CONTÁBEIS"/>
        <s v="PLANO DE SAUDE "/>
        <s v="Pró-Labore"/>
        <s v="SERVIÇO TELEMETRIA / FADIGA"/>
        <s v="REFEIÇÕES COLABORADORES"/>
        <s v="FRETE TRANSPORTADORA"/>
        <s v="PASSAGENS COLABORADORES"/>
        <s v="Juros Bancários"/>
        <s v="TARIFAS BANCARIAS"/>
        <s v="SINDICATO "/>
        <s v="COMBUSTIVEL VEICULOS"/>
        <s v="LOCAÇÃO ANDAIMES"/>
        <s v="LOCAÇAO RADIOS DE COMUNICAÇÃO"/>
        <s v="LOCAÇÃO CONTAINER "/>
        <s v="PEDAGIOS "/>
        <s v="INTERNET OBRAS "/>
        <s v="TRANSPORTE DE COLABORADORES "/>
        <s v="Construção da Nova Sede"/>
        <s v="ACERTO RESCISORIOS "/>
        <s v="MULTA RESCISORIAS FGTS"/>
        <s v="MANUTENÇÃO/PEÇAS  VEICULOS"/>
        <s v="EPIS"/>
        <s v="SISTEMA / SERVIDOR "/>
        <s v="SERVIÇO SERASA"/>
        <s v="SERVIÇOS DE CONSULTORIA "/>
        <s v="Empréstimos Bancários"/>
        <s v="FGTS FUNCIONARIOS "/>
        <s v="FERIAS "/>
        <s v="SERVIÇO CARTORIO"/>
        <s v="HOTEL COLABORADORES "/>
        <s v="EXAMES MÉDICOS"/>
        <s v="ENERGIA ADM"/>
        <s v="SERVIÇO CREA ANUIDADE"/>
        <s v="MATERIAIS DE CONSUMO EM OBRAS "/>
        <s v="COMBUSTIVEL EQUIPAMENTOS"/>
        <s v="LOCAÇAO CAÇAMBA P/ RESIDUOS "/>
        <s v="TINTAS E SOLVENTES"/>
        <s v="AGUA ADM"/>
        <s v="ENERGIA ALOJAMENTO"/>
        <s v="AGUA ALOJAMENTO"/>
        <s v="SERVIÇO LIMPEZA ALOJAMENTO/ESCRITORIO"/>
        <s v="SALARIO"/>
        <s v="MULTAS DE TRANSITO "/>
        <s v="VALE ALIMENTAÇÃO"/>
        <s v="MANGUEIRAS / CONEXÕES"/>
        <s v="SERVIÇO MOTOBOY / UBER "/>
        <s v="IPTU"/>
        <s v="DESPACHANTE"/>
        <s v="MATERIAIS DE LIMPEZA / HIGIENE "/>
        <s v="FRETE MATERIAIS E EQUIPAMENTOS"/>
        <s v="SERVIÇO LAUDO TECNICO"/>
        <s v="SERVIÇO PLOTAGEM / ADESIVO / PLACAS / CRACHAS "/>
        <s v="BONIFICAÇOES"/>
        <s v="ALUGUEIS ADM"/>
        <s v="Financiamento"/>
        <s v="Simples Nacional"/>
        <s v="ALIMENTAÇÃO ADM"/>
        <s v="MANUTENÇÃO/PEÇAS MAQUINAS E EQUIPAMENTOS"/>
        <s v="CURSOS / TREINAMENTOS "/>
        <s v="SEGUROS DE VEICULOS "/>
        <s v="INTERNET / TELEFONE ADM "/>
        <s v="DCTFWEB "/>
        <s v="SEGUROS DE VIDA "/>
        <s v="MATERIAIS DE INFORMATICA / COMPUTADOR"/>
        <s v="SERVIÇO ALVARAS E LICENCIAMENTO"/>
        <s v="Aquisição de Maquinas e Equipamentos"/>
        <s v="ABRASIVOS"/>
        <s v="MATERIAIS / FERRAMENTAS  MANUAIS "/>
        <s v="Despesas com Processos"/>
        <s v="SERVIÇO ELETRICO "/>
        <s v="LOCAÇÃO COMPRESSORES"/>
        <s v="Consorcios"/>
        <s v="MATERIAS DE ESCRITORIO / PAPELARIA "/>
        <s v="SERVIÇO GOOGLE ADS"/>
        <s v="ASSISTENCIA MEDICA ADM "/>
        <s v="LOCAÇAO VEICULOS "/>
        <s v="LOCAÇÃO EQUIPAMENTOS "/>
        <s v="MOVEIS OBRAS "/>
        <s v="pis"/>
        <s v="cofins"/>
        <s v="IRPJ"/>
        <s v="CSLL"/>
        <s v="SERVIÇO LAVA JATO"/>
        <s v="UNIFORMES"/>
        <s v="Parcelamento impostos exercicios anteriores"/>
        <s v="IPVA"/>
        <s v="SERVIÇO BRINDES E ACESSORIOS"/>
        <s v="SERVIÇO GRAFICA / IMPRESSAO "/>
        <s v="PROGRAMA DE SEGURANÇA DO TRABALHO "/>
        <s v="IR Retido"/>
        <s v="ISS Retido"/>
        <s v="INSS Retido"/>
        <s v="Tarifa de Antecipação"/>
        <s v="Recebimentos Não Operacionais"/>
        <s v="MATERIAL ELETRICO "/>
        <s v="LOCAÇÃO MUNCK / GUINDASTES"/>
        <s v="OUTROS MATERIAIS DE APLICAÇÃO"/>
        <s v="PLR"/>
        <s v="Compra de veiculos"/>
        <s v="FRETE TINTAS E SOLVENTE"/>
        <s v="Recebimentos de emprestimos"/>
        <s v="LAVANDERIA"/>
        <s v="GUINCHO "/>
        <s v="LOCAÇÃO EMPILHADEIRA"/>
        <s v="CUSTOS E GUIAS DE TRANSFERENCIA VEICULOS"/>
        <s v="SERVIÇO ABRACO ANUIDADE"/>
        <s v="COMISSÃO "/>
        <s v="SERVIÇO SERRALHEIRO "/>
        <s v="ISS"/>
        <s v="FRETE ABRASIVOS "/>
        <s v="LOCAÇAO PLATAFORMA ELEVATORIA"/>
        <s v="13° PREVISAO"/>
        <s v="SERVIÇO MECANICO "/>
        <s v="PREVISAO FÉRIAS"/>
        <n v="0" u="1"/>
      </sharedItems>
    </cacheField>
    <cacheField name="Conta Filho" numFmtId="0">
      <sharedItems containsMixedTypes="1" containsNumber="1" containsInteger="1" minValue="0" maxValue="0" count="20">
        <s v="(+) Receitas Financeiras"/>
        <s v="(+)Receita Bruta"/>
        <s v="Despesas Administrativas"/>
        <s v="Despesas com Infraestrutura"/>
        <s v="Despesas com Pessoal"/>
        <s v="(-) Despesas Não Operacionais"/>
        <s v="Fornecedores"/>
        <s v="(-) Despesas Financeiras"/>
        <s v="Despesas Financeiras"/>
        <s v="Despesas com Veículos e Equipamentos"/>
        <s v="Despesas com Locações"/>
        <s v="Investimentos "/>
        <s v="Despesas com Viagens e Hospedagens"/>
        <s v="Despesas com Máquinas e Equipamentos"/>
        <s v="Serviços de Terceiros"/>
        <s v="Impostos sobre Vendas"/>
        <s v="IRPJ/CSLL"/>
        <s v="(+) Recebimentos Não Operacionais"/>
        <s v="Gastos Comerciais"/>
        <n v="0" u="1"/>
      </sharedItems>
    </cacheField>
    <cacheField name="Conta Pai" numFmtId="0">
      <sharedItems containsMixedTypes="1" containsNumber="1" containsInteger="1" minValue="0" maxValue="0" count="9">
        <s v="(+/-)Despesas e Receitas Financeiras"/>
        <s v="(=)Receita Bruta"/>
        <s v="(-)Gastos Fixos"/>
        <s v="(+/-)Despesas e Recebimentos Não Operacionais"/>
        <s v="(-)Custos Variavéis"/>
        <s v="(-)Investimentos"/>
        <s v="(-)Deduções sobre vendas"/>
        <s v="(-)IRPJ/CSLL"/>
        <n v="0" u="1"/>
      </sharedItems>
    </cacheField>
    <cacheField name="Cod" numFmtId="0">
      <sharedItems containsSemiMixedTypes="0" containsString="0" containsNumber="1" containsInteger="1" minValue="1" maxValue="9" count="9">
        <n v="6"/>
        <n v="1"/>
        <n v="4"/>
        <n v="5"/>
        <n v="3"/>
        <n v="8"/>
        <n v="2"/>
        <n v="7"/>
        <n v="9" u="1"/>
      </sharedItems>
    </cacheField>
    <cacheField name="Ano" numFmtId="0">
      <sharedItems containsSemiMixedTypes="0" containsString="0" containsNumber="1" containsInteger="1" minValue="1900" maxValue="2025" count="6">
        <n v="2025"/>
        <n v="1900"/>
        <n v="2023" u="1"/>
        <n v="2024" u="1"/>
        <n v="2021" u="1"/>
        <n v="2022" u="1"/>
      </sharedItems>
    </cacheField>
  </cacheFields>
  <extLst>
    <ext xmlns:x14="http://schemas.microsoft.com/office/spreadsheetml/2009/9/main" uri="{725AE2AE-9491-48be-B2B4-4EB974FC3084}">
      <x14:pivotCacheDefinition pivotCacheId="135803805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0"/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3916F6-927C-45EE-8FC9-849B4B310A8C}" name="Tabela dinâmica3" cacheId="0" applyNumberFormats="0" applyBorderFormats="0" applyFontFormats="0" applyPatternFormats="0" applyAlignmentFormats="0" applyWidthHeightFormats="1" dataCaption="Valores" grandTotalCaption="ANO" updatedVersion="8" minRefreshableVersion="3" useAutoFormatting="1" rowGrandTotals="0" itemPrintTitles="1" createdVersion="7" indent="0" outline="1" outlineData="1" multipleFieldFilters="0">
  <location ref="X4:AE12" firstHeaderRow="1" firstDataRow="2" firstDataCol="2" rowPageCount="2" colPageCount="1"/>
  <pivotFields count="18"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x="1"/>
        <item x="2"/>
        <item x="3"/>
        <item x="4"/>
        <item m="1" x="6"/>
        <item m="1" x="7"/>
        <item m="1" x="8"/>
        <item m="1" x="9"/>
        <item m="1" x="10"/>
        <item m="1" x="11"/>
        <item m="1" x="12"/>
        <item m="1" x="16"/>
        <item m="1" x="15"/>
        <item m="1" x="14"/>
        <item m="1" x="5"/>
        <item m="1" x="13"/>
        <item t="default"/>
      </items>
    </pivotField>
    <pivotField showAll="0"/>
    <pivotField axis="axisPage" multipleItemSelectionAllowed="1" showAll="0">
      <items count="8">
        <item m="1" x="6"/>
        <item m="1" x="5"/>
        <item m="1" x="2"/>
        <item m="1" x="3"/>
        <item m="1" x="4"/>
        <item x="0"/>
        <item m="1" x="1"/>
        <item t="default"/>
      </items>
    </pivotField>
    <pivotField dataField="1" showAll="0"/>
    <pivotField showAll="0" sortType="ascending"/>
    <pivotField showAll="0"/>
    <pivotField axis="axisRow" showAll="0">
      <items count="10">
        <item m="1" x="8"/>
        <item x="0"/>
        <item x="1"/>
        <item x="2"/>
        <item x="3"/>
        <item x="6"/>
        <item x="7"/>
        <item x="4"/>
        <item x="5"/>
        <item t="default"/>
      </items>
    </pivotField>
    <pivotField axis="axisRow" outline="0" showAll="0" defaultSubtotal="0">
      <items count="9">
        <item x="1"/>
        <item x="6"/>
        <item x="4"/>
        <item x="2"/>
        <item x="3"/>
        <item x="0"/>
        <item x="5"/>
        <item h="1" m="1" x="8"/>
        <item h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multipleItemSelectionAllowed="1" showAll="0">
      <items count="7">
        <item m="1" x="4"/>
        <item m="1" x="5"/>
        <item m="1" x="2"/>
        <item m="1" x="3"/>
        <item x="0"/>
        <item x="1"/>
        <item t="default"/>
      </items>
    </pivotField>
  </pivotFields>
  <rowFields count="2">
    <field x="16"/>
    <field x="15"/>
  </rowFields>
  <rowItems count="7">
    <i>
      <x/>
      <x v="2"/>
    </i>
    <i>
      <x v="1"/>
      <x v="5"/>
    </i>
    <i>
      <x v="2"/>
      <x v="7"/>
    </i>
    <i>
      <x v="3"/>
      <x v="3"/>
    </i>
    <i>
      <x v="4"/>
      <x v="4"/>
    </i>
    <i>
      <x v="5"/>
      <x v="1"/>
    </i>
    <i>
      <x v="6"/>
      <x v="8"/>
    </i>
  </rowItems>
  <colFields count="1">
    <field x="9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11" hier="-1"/>
    <pageField fld="17" hier="-1"/>
  </pageFields>
  <dataFields count="1">
    <dataField name=" Valor" fld="12" baseField="11" baseItem="64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1FD53C-E310-4095-8B0E-0A1E5A6B8E97}" name="TB_dre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>
  <location ref="A4:H69" firstHeaderRow="1" firstDataRow="2" firstDataCol="2" rowPageCount="2" colPageCount="1"/>
  <pivotFields count="18">
    <pivotField numFmtId="14" showAll="0"/>
    <pivotField showAll="0"/>
    <pivotField showAll="0"/>
    <pivotField showAll="0"/>
    <pivotField showAll="0"/>
    <pivotField showAll="0"/>
    <pivotField showAll="0">
      <items count="29">
        <item h="1" x="0"/>
        <item h="1" x="6"/>
        <item h="1" x="27"/>
        <item h="1" x="20"/>
        <item h="1" x="1"/>
        <item h="1" x="12"/>
        <item h="1" x="9"/>
        <item h="1" x="5"/>
        <item h="1" x="23"/>
        <item h="1" x="11"/>
        <item h="1" x="15"/>
        <item h="1" x="16"/>
        <item h="1" x="10"/>
        <item h="1" x="19"/>
        <item h="1" x="26"/>
        <item h="1" x="3"/>
        <item h="1" x="22"/>
        <item h="1" x="24"/>
        <item h="1" x="21"/>
        <item h="1" x="14"/>
        <item h="1" x="17"/>
        <item h="1" x="7"/>
        <item h="1" x="18"/>
        <item x="4"/>
        <item h="1" x="13"/>
        <item h="1" x="8"/>
        <item h="1" x="2"/>
        <item h="1" x="25"/>
        <item t="default"/>
      </items>
    </pivotField>
    <pivotField showAll="0"/>
    <pivotField showAll="0"/>
    <pivotField axis="axisCol" showAll="0">
      <items count="18">
        <item x="0"/>
        <item x="1"/>
        <item x="2"/>
        <item x="3"/>
        <item x="4"/>
        <item m="1" x="6"/>
        <item m="1" x="7"/>
        <item m="1" x="8"/>
        <item m="1" x="9"/>
        <item m="1" x="10"/>
        <item m="1" x="11"/>
        <item m="1" x="12"/>
        <item m="1" x="16"/>
        <item m="1" x="15"/>
        <item m="1" x="14"/>
        <item m="1" x="5"/>
        <item m="1" x="13"/>
        <item t="default"/>
      </items>
    </pivotField>
    <pivotField showAll="0"/>
    <pivotField axis="axisPage" multipleItemSelectionAllowed="1" showAll="0">
      <items count="8">
        <item m="1" x="6"/>
        <item m="1" x="5"/>
        <item m="1" x="2"/>
        <item m="1" x="3"/>
        <item m="1" x="4"/>
        <item x="0"/>
        <item m="1" x="1"/>
        <item t="default"/>
      </items>
    </pivotField>
    <pivotField dataField="1" showAll="0"/>
    <pivotField axis="axisRow" showAll="0" sortType="ascending">
      <items count="120">
        <item m="1" x="118"/>
        <item x="115"/>
        <item x="70"/>
        <item x="22"/>
        <item x="41"/>
        <item x="43"/>
        <item x="60"/>
        <item x="57"/>
        <item x="3"/>
        <item x="69"/>
        <item x="78"/>
        <item x="56"/>
        <item x="83"/>
        <item x="38"/>
        <item x="14"/>
        <item x="110"/>
        <item x="102"/>
        <item x="75"/>
        <item x="21"/>
        <item x="85"/>
        <item x="62"/>
        <item x="108"/>
        <item x="65"/>
        <item x="51"/>
        <item x="72"/>
        <item x="29"/>
        <item x="35"/>
        <item x="42"/>
        <item x="25"/>
        <item x="34"/>
        <item x="1"/>
        <item x="31"/>
        <item x="30"/>
        <item x="58"/>
        <item x="113"/>
        <item x="53"/>
        <item x="103"/>
        <item x="9"/>
        <item x="106"/>
        <item x="2"/>
        <item x="4"/>
        <item x="33"/>
        <item x="95"/>
        <item x="64"/>
        <item x="19"/>
        <item x="50"/>
        <item x="89"/>
        <item x="93"/>
        <item x="84"/>
        <item x="112"/>
        <item x="94"/>
        <item x="11"/>
        <item x="0"/>
        <item x="105"/>
        <item x="15"/>
        <item x="39"/>
        <item x="74"/>
        <item x="17"/>
        <item x="107"/>
        <item x="80"/>
        <item x="99"/>
        <item x="114"/>
        <item x="16"/>
        <item x="79"/>
        <item x="48"/>
        <item x="24"/>
        <item x="61"/>
        <item x="71"/>
        <item x="37"/>
        <item x="67"/>
        <item x="52"/>
        <item x="98"/>
        <item x="76"/>
        <item x="81"/>
        <item x="23"/>
        <item x="46"/>
        <item x="100"/>
        <item x="88"/>
        <item x="10"/>
        <item x="18"/>
        <item x="82"/>
        <item x="5"/>
        <item x="101"/>
        <item x="117"/>
        <item x="92"/>
        <item x="6"/>
        <item x="104"/>
        <item x="97"/>
        <item x="8"/>
        <item x="45"/>
        <item x="63"/>
        <item x="66"/>
        <item x="109"/>
        <item x="68"/>
        <item x="90"/>
        <item x="32"/>
        <item x="36"/>
        <item x="73"/>
        <item x="77"/>
        <item x="91"/>
        <item x="54"/>
        <item x="86"/>
        <item x="44"/>
        <item x="116"/>
        <item x="49"/>
        <item x="55"/>
        <item x="27"/>
        <item x="111"/>
        <item x="7"/>
        <item x="28"/>
        <item x="59"/>
        <item x="13"/>
        <item x="26"/>
        <item x="96"/>
        <item x="12"/>
        <item x="40"/>
        <item x="20"/>
        <item x="87"/>
        <item x="47"/>
        <item t="default"/>
      </items>
    </pivotField>
    <pivotField axis="axisRow" showAll="0">
      <items count="21">
        <item m="1" x="19"/>
        <item x="0"/>
        <item x="1"/>
        <item x="2"/>
        <item x="3"/>
        <item x="4"/>
        <item x="5"/>
        <item x="15"/>
        <item x="16"/>
        <item x="6"/>
        <item x="7"/>
        <item x="8"/>
        <item x="9"/>
        <item x="10"/>
        <item x="11"/>
        <item x="12"/>
        <item x="13"/>
        <item x="17"/>
        <item x="14"/>
        <item x="18"/>
        <item t="default"/>
      </items>
    </pivotField>
    <pivotField axis="axisRow" showAll="0">
      <items count="10">
        <item m="1" x="8"/>
        <item x="0"/>
        <item x="1"/>
        <item x="2"/>
        <item x="3"/>
        <item x="6"/>
        <item x="7"/>
        <item x="4"/>
        <item x="5"/>
        <item t="default"/>
      </items>
    </pivotField>
    <pivotField axis="axisRow" outline="0" showAll="0" sortType="ascending" defaultSubtotal="0">
      <items count="9">
        <item x="1"/>
        <item x="6"/>
        <item x="4"/>
        <item x="2"/>
        <item x="3"/>
        <item x="0"/>
        <item x="7"/>
        <item x="5"/>
        <item h="1" m="1"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multipleItemSelectionAllowed="1" showAll="0">
      <items count="7">
        <item m="1" x="4"/>
        <item m="1" x="5"/>
        <item m="1" x="2"/>
        <item m="1" x="3"/>
        <item x="0"/>
        <item x="1"/>
        <item t="default"/>
      </items>
    </pivotField>
  </pivotFields>
  <rowFields count="4">
    <field x="16"/>
    <field x="15"/>
    <field x="14"/>
    <field x="13"/>
  </rowFields>
  <rowItems count="64">
    <i>
      <x/>
      <x v="2"/>
    </i>
    <i r="2">
      <x v="2"/>
    </i>
    <i r="3">
      <x v="30"/>
    </i>
    <i>
      <x v="1"/>
      <x v="5"/>
    </i>
    <i r="2">
      <x v="7"/>
    </i>
    <i r="3">
      <x v="12"/>
    </i>
    <i r="3">
      <x v="42"/>
    </i>
    <i r="3">
      <x v="47"/>
    </i>
    <i r="3">
      <x v="50"/>
    </i>
    <i r="3">
      <x v="80"/>
    </i>
    <i>
      <x v="2"/>
      <x v="7"/>
    </i>
    <i r="2">
      <x v="9"/>
    </i>
    <i r="3">
      <x v="35"/>
    </i>
    <i r="3">
      <x v="36"/>
    </i>
    <i r="3">
      <x v="37"/>
    </i>
    <i r="3">
      <x v="115"/>
    </i>
    <i>
      <x v="3"/>
      <x v="3"/>
    </i>
    <i r="2">
      <x v="3"/>
    </i>
    <i r="3">
      <x v="95"/>
    </i>
    <i r="3">
      <x v="96"/>
    </i>
    <i r="3">
      <x v="105"/>
    </i>
    <i r="2">
      <x v="4"/>
    </i>
    <i r="3">
      <x v="8"/>
    </i>
    <i r="3">
      <x v="27"/>
    </i>
    <i r="3">
      <x v="43"/>
    </i>
    <i r="3">
      <x v="102"/>
    </i>
    <i r="2">
      <x v="5"/>
    </i>
    <i r="3">
      <x v="1"/>
    </i>
    <i r="3">
      <x v="3"/>
    </i>
    <i r="3">
      <x v="10"/>
    </i>
    <i r="3">
      <x v="20"/>
    </i>
    <i r="3">
      <x v="22"/>
    </i>
    <i r="3">
      <x v="28"/>
    </i>
    <i r="3">
      <x v="29"/>
    </i>
    <i r="3">
      <x v="31"/>
    </i>
    <i r="3">
      <x v="32"/>
    </i>
    <i r="3">
      <x v="74"/>
    </i>
    <i r="3">
      <x v="78"/>
    </i>
    <i r="3">
      <x v="83"/>
    </i>
    <i r="3">
      <x v="88"/>
    </i>
    <i r="3">
      <x v="89"/>
    </i>
    <i r="3">
      <x v="91"/>
    </i>
    <i r="3">
      <x v="116"/>
    </i>
    <i r="3">
      <x v="118"/>
    </i>
    <i r="2">
      <x v="12"/>
    </i>
    <i r="3">
      <x v="14"/>
    </i>
    <i r="3">
      <x v="65"/>
    </i>
    <i r="3">
      <x v="79"/>
    </i>
    <i r="3">
      <x v="101"/>
    </i>
    <i r="2">
      <x v="13"/>
    </i>
    <i r="3">
      <x v="57"/>
    </i>
    <i r="2">
      <x v="15"/>
    </i>
    <i r="3">
      <x v="41"/>
    </i>
    <i r="2">
      <x v="16"/>
    </i>
    <i r="3">
      <x v="13"/>
    </i>
    <i r="3">
      <x v="67"/>
    </i>
    <i r="3">
      <x v="68"/>
    </i>
    <i>
      <x v="5"/>
      <x v="1"/>
    </i>
    <i r="2">
      <x v="10"/>
    </i>
    <i r="3">
      <x v="51"/>
    </i>
    <i>
      <x v="6"/>
      <x v="6"/>
    </i>
    <i r="2">
      <x v="8"/>
    </i>
    <i r="3">
      <x v="19"/>
    </i>
    <i t="grand">
      <x/>
    </i>
  </rowItems>
  <colFields count="1">
    <field x="9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11" hier="-1"/>
    <pageField fld="17" hier="-1"/>
  </pageFields>
  <dataFields count="1">
    <dataField name=" Valor" fld="12" baseField="11" baseItem="64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F9F9BB-BE85-48CA-A18A-B83EC0049E33}" name="tb_despesa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10">
  <location ref="T7:U27" firstHeaderRow="1" firstDataRow="1" firstDataCol="1" rowPageCount="4" colPageCount="1"/>
  <pivotFields count="18"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8">
        <item x="0"/>
        <item x="1"/>
        <item x="2"/>
        <item x="3"/>
        <item x="4"/>
        <item m="1" x="6"/>
        <item m="1" x="7"/>
        <item m="1" x="8"/>
        <item m="1" x="9"/>
        <item m="1" x="10"/>
        <item m="1" x="11"/>
        <item m="1" x="12"/>
        <item m="1" x="16"/>
        <item m="1" x="15"/>
        <item m="1" x="14"/>
        <item m="1" x="5"/>
        <item m="1" x="13"/>
        <item t="default"/>
      </items>
    </pivotField>
    <pivotField showAll="0"/>
    <pivotField axis="axisPage" multipleItemSelectionAllowed="1" showAll="0">
      <items count="8">
        <item m="1" x="6"/>
        <item m="1" x="5"/>
        <item m="1" x="2"/>
        <item m="1" x="3"/>
        <item m="1" x="4"/>
        <item x="0"/>
        <item m="1" x="1"/>
        <item t="default"/>
      </items>
    </pivotField>
    <pivotField dataField="1"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multipleItemSelectionAllowed="1" showAll="0" sortType="descending">
      <items count="21">
        <item m="1" x="19"/>
        <item x="0"/>
        <item x="1"/>
        <item x="2"/>
        <item x="3"/>
        <item x="4"/>
        <item x="5"/>
        <item x="15"/>
        <item x="16"/>
        <item x="6"/>
        <item x="7"/>
        <item x="8"/>
        <item x="9"/>
        <item x="10"/>
        <item x="11"/>
        <item x="12"/>
        <item x="13"/>
        <item x="17"/>
        <item x="14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10">
        <item m="1" x="8"/>
        <item x="0"/>
        <item x="1"/>
        <item x="2"/>
        <item x="3"/>
        <item x="6"/>
        <item x="7"/>
        <item x="4"/>
        <item x="5"/>
        <item t="default"/>
      </items>
    </pivotField>
    <pivotField showAll="0"/>
    <pivotField axis="axisPage" showAll="0">
      <items count="7">
        <item m="1" x="4"/>
        <item m="1" x="5"/>
        <item m="1" x="2"/>
        <item m="1" x="3"/>
        <item x="0"/>
        <item x="1"/>
        <item t="default"/>
      </items>
    </pivotField>
  </pivotFields>
  <rowFields count="1">
    <field x="14"/>
  </rowFields>
  <rowItems count="20">
    <i>
      <x v="2"/>
    </i>
    <i>
      <x v="1"/>
    </i>
    <i>
      <x v="17"/>
    </i>
    <i>
      <x v="19"/>
    </i>
    <i>
      <x v="18"/>
    </i>
    <i>
      <x v="15"/>
    </i>
    <i>
      <x v="11"/>
    </i>
    <i>
      <x v="16"/>
    </i>
    <i>
      <x v="3"/>
    </i>
    <i>
      <x v="12"/>
    </i>
    <i>
      <x v="4"/>
    </i>
    <i>
      <x v="6"/>
    </i>
    <i>
      <x v="8"/>
    </i>
    <i>
      <x v="13"/>
    </i>
    <i>
      <x v="9"/>
    </i>
    <i>
      <x v="10"/>
    </i>
    <i>
      <x v="14"/>
    </i>
    <i>
      <x v="7"/>
    </i>
    <i>
      <x v="5"/>
    </i>
    <i t="grand">
      <x/>
    </i>
  </rowItems>
  <colItems count="1">
    <i/>
  </colItems>
  <pageFields count="4">
    <pageField fld="11" hier="-1"/>
    <pageField fld="15" hier="-1"/>
    <pageField fld="17" hier="-1"/>
    <pageField fld="9" hier="-1"/>
  </pageFields>
  <dataFields count="1">
    <dataField name=" Valor" fld="12" baseField="0" baseItem="0" numFmtId="3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mpresa" xr10:uid="{FEE88A5C-F2F0-4C09-BB63-B41FB0DF1E2D}" sourceName="Empresa">
  <pivotTables>
    <pivotTable tabId="25" name="TB_dre"/>
    <pivotTable tabId="25" name="tb_despesas"/>
    <pivotTable tabId="25" name="Tabela dinâmica3"/>
  </pivotTables>
  <data>
    <tabular pivotCacheId="1358038053">
      <items count="0"/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8DC98CC7-0BBF-4F70-B761-6FF4379EE5DB}" sourceName="Ano">
  <pivotTables>
    <pivotTable tabId="25" name="TB_dre"/>
    <pivotTable tabId="25" name="Tabela dinâmica3"/>
  </pivotTables>
  <data>
    <tabular pivotCacheId="1358038053">
      <items count="0"/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4E7B663D-0618-4AB5-B3EA-7C139AA324F8}" sourceName="Mês">
  <pivotTables>
    <pivotTable tabId="25" name="tb_despesas"/>
  </pivotTables>
  <data>
    <tabular pivotCacheId="1358038053">
      <items count="0"/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nta_Pai" xr10:uid="{CCA6C2AB-9DDC-4914-88CF-60C7431F7066}" sourceName="Conta Pai">
  <pivotTables>
    <pivotTable tabId="25" name="tb_despesas"/>
  </pivotTables>
  <data>
    <tabular pivotCacheId="1358038053">
      <items count="0"/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entro_de_Custo___Obra" xr10:uid="{872058F2-BEFD-4FB4-96FA-687034F9AA68}" sourceName="Centro de Custo - Obra">
  <pivotTables>
    <pivotTable tabId="25" name="TB_dre"/>
  </pivotTables>
  <data>
    <tabular pivotCacheId="1358038053">
      <items count="0"/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mpresa 1" xr10:uid="{8EFF8591-3FF8-45DF-8971-83E0061C7BE2}" cache="SegmentaçãodeDados_Empresa" caption="Empresa" rowHeight="241300"/>
  <slicer name="Ano 1" xr10:uid="{0092C83F-1554-4A3C-A6BF-0E8D0C2F741F}" cache="SegmentaçãodeDados_Ano" caption="Ano" rowHeight="241300"/>
  <slicer name="Mês" xr10:uid="{CD5E587E-0B65-4EE1-97ED-34724F4A9D8C}" cache="SegmentaçãodeDados_Mês" caption="Mês" columnCount="6" rowHeight="241300"/>
  <slicer name="Conta Pai" xr10:uid="{C8C77194-DC00-4F13-BE6D-8C4AF34227DC}" cache="SegmentaçãodeDados_Conta_Pai" caption="Conta Pai" columnCount="3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entro de Custo - Obra 1" xr10:uid="{631CB523-3E6A-49B5-ADAF-A0169012D724}" cache="SegmentaçãodeDados_Centro_de_Custo___Obra" caption="Centro de Custo - Obra" startItem="25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5A90FE-94D0-4D0D-BFF8-630C82723368}" name="DRE" displayName="DRE" ref="A5:AI185" totalsRowShown="0" headerRowDxfId="57" dataDxfId="56" headerRowCellStyle="Porcentagem" dataCellStyle="Vírgula">
  <tableColumns count="35">
    <tableColumn id="1" xr3:uid="{09744A2E-9761-4F87-92B2-553C3A99B37B}" name="DEMONSTRATIVO DE RESULTADO GERENCIAL" dataDxfId="55"/>
    <tableColumn id="2" xr3:uid="{84CCEAE6-FE1C-4A24-9F1B-C3336A960500}" name="Jan" dataDxfId="54" dataCellStyle="Vírgula">
      <calculatedColumnFormula>IFERROR(VLOOKUP($A6,APOIO!$B:$N,MATCH(B$5,APOIO!$B$5:$N$5,0),FALSE),0)</calculatedColumnFormula>
    </tableColumn>
    <tableColumn id="3" xr3:uid="{61326907-A6BA-4BC7-9DC9-B5CFAC0D074D}" name="%Jan" dataDxfId="53" dataCellStyle="Porcentagem"/>
    <tableColumn id="4" xr3:uid="{F15E30D6-DDF2-4B3A-9D91-E5DE258806EF}" name="Fev" dataDxfId="52" dataCellStyle="Vírgula"/>
    <tableColumn id="5" xr3:uid="{264C59F2-B660-433D-9C3D-3B68B5DA6779}" name="%Fev" dataDxfId="51" dataCellStyle="Porcentagem"/>
    <tableColumn id="6" xr3:uid="{A1F86E4B-D86A-4163-8785-5D226549EDC1}" name="Mar" dataDxfId="50" dataCellStyle="Vírgula"/>
    <tableColumn id="7" xr3:uid="{EB429C2B-11E3-46A4-AD36-4B0188A6C9B0}" name="%Mar" dataDxfId="49" dataCellStyle="Porcentagem"/>
    <tableColumn id="8" xr3:uid="{5E876A85-721E-479C-923B-A0006CCCBFF7}" name="1ºTRI" dataDxfId="48" dataCellStyle="Vírgula">
      <calculatedColumnFormula>SUM(B6,D6,F6)</calculatedColumnFormula>
    </tableColumn>
    <tableColumn id="9" xr3:uid="{3818C47A-F896-4EFE-A555-3B8042165015}" name="%1ºTRI" dataDxfId="47" dataCellStyle="Porcentagem"/>
    <tableColumn id="10" xr3:uid="{7AC71E25-9DF9-454F-AB80-289D7F6324F9}" name="Abr" dataDxfId="46" dataCellStyle="Vírgula"/>
    <tableColumn id="11" xr3:uid="{F279680E-DE67-405F-9103-1B6DCA803FC8}" name="%Abr" dataDxfId="45" dataCellStyle="Porcentagem"/>
    <tableColumn id="12" xr3:uid="{670B6F04-6543-4B06-82A3-A76CC3AA1CCF}" name="Mai" dataDxfId="44" dataCellStyle="Vírgula"/>
    <tableColumn id="13" xr3:uid="{2A0CE318-26D7-415D-8950-4FE73FD9A472}" name="%Mai" dataDxfId="43" dataCellStyle="Porcentagem"/>
    <tableColumn id="14" xr3:uid="{BCFAF9BF-B03B-4E0A-B626-1EA78F4B51F0}" name="Jun" dataDxfId="42" dataCellStyle="Vírgula"/>
    <tableColumn id="15" xr3:uid="{8CCBF351-3B85-409A-B5AD-4868CEEDC361}" name="%Jun" dataDxfId="41" dataCellStyle="Porcentagem"/>
    <tableColumn id="16" xr3:uid="{A48EC73F-D0CA-470B-B797-27E458990FB5}" name="2ºTRI" dataDxfId="40" dataCellStyle="Vírgula">
      <calculatedColumnFormula>SUM(J6,L6,N6)</calculatedColumnFormula>
    </tableColumn>
    <tableColumn id="17" xr3:uid="{C296EB0D-5668-4844-A972-D5E5628D3CB7}" name="%2ºTRI" dataDxfId="39" dataCellStyle="Porcentagem"/>
    <tableColumn id="18" xr3:uid="{17ED1217-D326-434C-AC2D-98DBCE85A25C}" name="Jul" dataDxfId="38" dataCellStyle="Vírgula"/>
    <tableColumn id="19" xr3:uid="{25BB577B-E04B-4726-971C-B6ACAD23A8E6}" name="%Jul" dataDxfId="37" dataCellStyle="Porcentagem"/>
    <tableColumn id="20" xr3:uid="{77391BAC-3139-4359-93FD-7D151F72378E}" name="Ago" dataDxfId="36" dataCellStyle="Vírgula"/>
    <tableColumn id="21" xr3:uid="{39E4EBD2-22B0-4F4F-9668-A045B03FA4EF}" name="%Ago" dataDxfId="35" dataCellStyle="Porcentagem"/>
    <tableColumn id="22" xr3:uid="{A57E6DF9-4DD2-4F5B-8041-F4D52CC46177}" name="Set" dataDxfId="34" dataCellStyle="Vírgula"/>
    <tableColumn id="23" xr3:uid="{848F8A06-B084-48C8-8AE5-9FFEB4CE822C}" name="%Set" dataDxfId="33" dataCellStyle="Porcentagem"/>
    <tableColumn id="24" xr3:uid="{3ACC0ED5-1A45-455B-B333-9EA8522E682B}" name="3ºTRI" dataDxfId="32" dataCellStyle="Vírgula">
      <calculatedColumnFormula>SUM(R6,T6,V6)</calculatedColumnFormula>
    </tableColumn>
    <tableColumn id="25" xr3:uid="{F10F1E09-D3E3-4894-B168-F005886ABBF3}" name="%3ºTRI" dataDxfId="31" dataCellStyle="Porcentagem"/>
    <tableColumn id="26" xr3:uid="{2FC36C23-1FFF-4003-B6C3-81AC0D1DDC57}" name="Out" dataDxfId="30" dataCellStyle="Vírgula"/>
    <tableColumn id="27" xr3:uid="{2479ABB3-6439-4087-8664-8F0A450868D4}" name="%Out" dataDxfId="29" dataCellStyle="Porcentagem"/>
    <tableColumn id="28" xr3:uid="{54279E34-B708-4941-8046-70605081AE82}" name="Nov" dataDxfId="28" dataCellStyle="Vírgula"/>
    <tableColumn id="29" xr3:uid="{37C4459E-4BDE-496F-8DFF-7E04DAEDAE74}" name="%Nov" dataDxfId="27" dataCellStyle="Porcentagem"/>
    <tableColumn id="30" xr3:uid="{B0A9DCB1-AEA7-4296-8A0F-8B47D896034A}" name="Dez" dataDxfId="26" dataCellStyle="Vírgula"/>
    <tableColumn id="31" xr3:uid="{590E3B3D-4BC2-47FA-9B74-736D0D83BEFE}" name="%Dez" dataDxfId="25" dataCellStyle="Porcentagem"/>
    <tableColumn id="32" xr3:uid="{A03EA5FC-E863-4411-BA8B-3DD06FC14971}" name="4ºTRI" dataDxfId="24" dataCellStyle="Vírgula">
      <calculatedColumnFormula>SUM(Z6,AB6,AD6)</calculatedColumnFormula>
    </tableColumn>
    <tableColumn id="33" xr3:uid="{E123AAA6-6B61-4D54-AC0E-94836DE3AE45}" name="%4ºTRI" dataDxfId="23" dataCellStyle="Porcentagem"/>
    <tableColumn id="34" xr3:uid="{5864935B-1450-49A2-BF39-B37675EC1CD7}" name="ANO" dataDxfId="22" dataCellStyle="Vírgula">
      <calculatedColumnFormula>SUM(B6,D6,F6,J6,L6,N6,R6,T6,V6,Z6,AB6,AD6)</calculatedColumnFormula>
    </tableColumn>
    <tableColumn id="35" xr3:uid="{00DAB550-9C73-401F-A79C-8DCF5FAA6C88}" name="%ANO" dataDxfId="21" dataCellStyle="Porcentagem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519B2B-CCD0-43C6-8A4E-F21F097C7294}" name="BD_FLUXO1" displayName="BD_FLUXO1" ref="A1:R927" totalsRowShown="0" headerRowDxfId="20" dataDxfId="19">
  <autoFilter ref="A1:R927" xr:uid="{DC6404CF-39A4-4160-9653-4515263E3F41}"/>
  <tableColumns count="18">
    <tableColumn id="1" xr3:uid="{9177C873-E852-492F-810B-8DD758D8275C}" name="Data" dataDxfId="18"/>
    <tableColumn id="2" xr3:uid="{01DFF70A-E778-41E2-92C5-B76FDFAC7B31}" name="Histórico" dataDxfId="17"/>
    <tableColumn id="3" xr3:uid="{49DE5F65-02A3-46AC-BBD3-931049E414EE}" name="Crédito" dataDxfId="16" dataCellStyle="Vírgula"/>
    <tableColumn id="4" xr3:uid="{DDBB9912-2CD9-4172-8DC2-EB2FA41EC174}" name="Débito" dataDxfId="15" dataCellStyle="Vírgula"/>
    <tableColumn id="5" xr3:uid="{E65A0DA2-8228-4BFC-AAC5-6B92A5D86225}" name="Saldo" dataDxfId="14" dataCellStyle="Vírgula"/>
    <tableColumn id="6" xr3:uid="{FA66F093-A82A-45CC-96C3-5F2188885AE8}" name="Natureza" dataDxfId="13"/>
    <tableColumn id="14" xr3:uid="{3AD7206F-8F3B-4D30-B577-74FA63BA2FCD}" name="Centro de Custo - Obra" dataDxfId="12"/>
    <tableColumn id="13" xr3:uid="{56B94653-ED0F-4616-82F5-8C81A9D23484}" name="Ano Fluxo" dataDxfId="11"/>
    <tableColumn id="7" xr3:uid="{FBB17091-1BE4-4A05-A02F-79A910F27696}" name="C. Mês" dataDxfId="10"/>
    <tableColumn id="8" xr3:uid="{33F68A21-5A7D-45EA-8082-548A85CC854C}" name="Mês" dataDxfId="9"/>
    <tableColumn id="9" xr3:uid="{2BB3E248-6D28-4927-8019-0A1D1D96F1B0}" name="Banco" dataDxfId="8"/>
    <tableColumn id="10" xr3:uid="{DA0BA059-6FF1-41E6-B185-E2BD7C48FDCA}" name="Empresa" dataDxfId="7"/>
    <tableColumn id="15" xr3:uid="{15D063EB-17ED-4496-B6CC-8F5470F776E7}" name="Valor" dataDxfId="6"/>
    <tableColumn id="16" xr3:uid="{B50520A4-745B-47FA-8680-27666B741081}" name="Rubrica" dataDxfId="5"/>
    <tableColumn id="17" xr3:uid="{7732002E-A84F-4FC9-880F-72E75C212F1B}" name="Conta Filho" dataDxfId="4"/>
    <tableColumn id="18" xr3:uid="{42638CA3-A10A-40FE-B36E-70F666A5722D}" name="Conta Pai" dataDxfId="3"/>
    <tableColumn id="11" xr3:uid="{D9FCF9CF-88AD-43B8-A388-3DCF3F982105}" name="Cod" dataDxfId="2"/>
    <tableColumn id="12" xr3:uid="{831EF46C-48D0-44EC-8866-9E93221CAF95}" name="Ano" dataDxfId="1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AC642BA-7462-4DF2-9012-9D8E5CAA62A4}" name="PLANO_CONTAS" displayName="PLANO_CONTAS" ref="A1:E207" totalsRowShown="0">
  <autoFilter ref="A1:E207" xr:uid="{1AC642BA-7462-4DF2-9012-9D8E5CAA62A4}"/>
  <tableColumns count="5">
    <tableColumn id="1" xr3:uid="{EC12F92B-7BBF-43F6-817D-F50ADD4B91AF}" name="Classificação da empresa"/>
    <tableColumn id="2" xr3:uid="{0CAD04B3-44AB-4F32-B6ED-AF0501181E25}" name="Rubrica"/>
    <tableColumn id="3" xr3:uid="{E01CAF24-5003-41C0-8EB8-3DDCE0E73D7C}" name="Conta Filho"/>
    <tableColumn id="4" xr3:uid="{D07D7B01-F7B6-47CF-A6C9-740FCE52BA95}" name="Conta Pai"/>
    <tableColumn id="5" xr3:uid="{E352BBE0-A90C-4493-855E-2617FCA41CF4}" name="Cod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A1E41E-41D1-446F-9AC8-D742C8DC2C76}" name="Meses" displayName="Meses" ref="G1:H13" totalsRowShown="0">
  <autoFilter ref="G1:H13" xr:uid="{7BA1E41E-41D1-446F-9AC8-D742C8DC2C76}"/>
  <tableColumns count="2">
    <tableColumn id="1" xr3:uid="{33B3B313-0E3E-4052-8014-60342667C101}" name="C.M"/>
    <tableColumn id="2" xr3:uid="{DA1BBE1E-6294-41C0-957B-A67D2E523AE1}" name="Mê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Verde">
      <a:dk1>
        <a:sysClr val="windowText" lastClr="000000"/>
      </a:dk1>
      <a:lt1>
        <a:sysClr val="window" lastClr="FFFFFF"/>
      </a:lt1>
      <a:dk2>
        <a:srgbClr val="455F51"/>
      </a:dk2>
      <a:lt2>
        <a:srgbClr val="E3DED1"/>
      </a:lt2>
      <a:accent1>
        <a:srgbClr val="549E39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Vermelho Violeta">
    <a:dk1>
      <a:sysClr val="windowText" lastClr="000000"/>
    </a:dk1>
    <a:lt1>
      <a:sysClr val="window" lastClr="FFFFFF"/>
    </a:lt1>
    <a:dk2>
      <a:srgbClr val="454551"/>
    </a:dk2>
    <a:lt2>
      <a:srgbClr val="D8D9DC"/>
    </a:lt2>
    <a:accent1>
      <a:srgbClr val="E32D91"/>
    </a:accent1>
    <a:accent2>
      <a:srgbClr val="C830CC"/>
    </a:accent2>
    <a:accent3>
      <a:srgbClr val="4EA6DC"/>
    </a:accent3>
    <a:accent4>
      <a:srgbClr val="4775E7"/>
    </a:accent4>
    <a:accent5>
      <a:srgbClr val="8971E1"/>
    </a:accent5>
    <a:accent6>
      <a:srgbClr val="D54773"/>
    </a:accent6>
    <a:hlink>
      <a:srgbClr val="6B9F25"/>
    </a:hlink>
    <a:folHlink>
      <a:srgbClr val="8C8C8C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Vermelho Violeta">
    <a:dk1>
      <a:sysClr val="windowText" lastClr="000000"/>
    </a:dk1>
    <a:lt1>
      <a:sysClr val="window" lastClr="FFFFFF"/>
    </a:lt1>
    <a:dk2>
      <a:srgbClr val="454551"/>
    </a:dk2>
    <a:lt2>
      <a:srgbClr val="D8D9DC"/>
    </a:lt2>
    <a:accent1>
      <a:srgbClr val="E32D91"/>
    </a:accent1>
    <a:accent2>
      <a:srgbClr val="C830CC"/>
    </a:accent2>
    <a:accent3>
      <a:srgbClr val="4EA6DC"/>
    </a:accent3>
    <a:accent4>
      <a:srgbClr val="4775E7"/>
    </a:accent4>
    <a:accent5>
      <a:srgbClr val="8971E1"/>
    </a:accent5>
    <a:accent6>
      <a:srgbClr val="D54773"/>
    </a:accent6>
    <a:hlink>
      <a:srgbClr val="6B9F25"/>
    </a:hlink>
    <a:folHlink>
      <a:srgbClr val="8C8C8C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Vermelho Violeta">
    <a:dk1>
      <a:sysClr val="windowText" lastClr="000000"/>
    </a:dk1>
    <a:lt1>
      <a:sysClr val="window" lastClr="FFFFFF"/>
    </a:lt1>
    <a:dk2>
      <a:srgbClr val="454551"/>
    </a:dk2>
    <a:lt2>
      <a:srgbClr val="D8D9DC"/>
    </a:lt2>
    <a:accent1>
      <a:srgbClr val="E32D91"/>
    </a:accent1>
    <a:accent2>
      <a:srgbClr val="C830CC"/>
    </a:accent2>
    <a:accent3>
      <a:srgbClr val="4EA6DC"/>
    </a:accent3>
    <a:accent4>
      <a:srgbClr val="4775E7"/>
    </a:accent4>
    <a:accent5>
      <a:srgbClr val="8971E1"/>
    </a:accent5>
    <a:accent6>
      <a:srgbClr val="D54773"/>
    </a:accent6>
    <a:hlink>
      <a:srgbClr val="6B9F25"/>
    </a:hlink>
    <a:folHlink>
      <a:srgbClr val="8C8C8C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Vermelho Violeta">
    <a:dk1>
      <a:sysClr val="windowText" lastClr="000000"/>
    </a:dk1>
    <a:lt1>
      <a:sysClr val="window" lastClr="FFFFFF"/>
    </a:lt1>
    <a:dk2>
      <a:srgbClr val="454551"/>
    </a:dk2>
    <a:lt2>
      <a:srgbClr val="D8D9DC"/>
    </a:lt2>
    <a:accent1>
      <a:srgbClr val="E32D91"/>
    </a:accent1>
    <a:accent2>
      <a:srgbClr val="C830CC"/>
    </a:accent2>
    <a:accent3>
      <a:srgbClr val="4EA6DC"/>
    </a:accent3>
    <a:accent4>
      <a:srgbClr val="4775E7"/>
    </a:accent4>
    <a:accent5>
      <a:srgbClr val="8971E1"/>
    </a:accent5>
    <a:accent6>
      <a:srgbClr val="D54773"/>
    </a:accent6>
    <a:hlink>
      <a:srgbClr val="6B9F25"/>
    </a:hlink>
    <a:folHlink>
      <a:srgbClr val="8C8C8C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Vermelho Violeta">
    <a:dk1>
      <a:sysClr val="windowText" lastClr="000000"/>
    </a:dk1>
    <a:lt1>
      <a:sysClr val="window" lastClr="FFFFFF"/>
    </a:lt1>
    <a:dk2>
      <a:srgbClr val="454551"/>
    </a:dk2>
    <a:lt2>
      <a:srgbClr val="D8D9DC"/>
    </a:lt2>
    <a:accent1>
      <a:srgbClr val="E32D91"/>
    </a:accent1>
    <a:accent2>
      <a:srgbClr val="C830CC"/>
    </a:accent2>
    <a:accent3>
      <a:srgbClr val="4EA6DC"/>
    </a:accent3>
    <a:accent4>
      <a:srgbClr val="4775E7"/>
    </a:accent4>
    <a:accent5>
      <a:srgbClr val="8971E1"/>
    </a:accent5>
    <a:accent6>
      <a:srgbClr val="D54773"/>
    </a:accent6>
    <a:hlink>
      <a:srgbClr val="6B9F25"/>
    </a:hlink>
    <a:folHlink>
      <a:srgbClr val="8C8C8C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Vermelho Violeta">
    <a:dk1>
      <a:sysClr val="windowText" lastClr="000000"/>
    </a:dk1>
    <a:lt1>
      <a:sysClr val="window" lastClr="FFFFFF"/>
    </a:lt1>
    <a:dk2>
      <a:srgbClr val="454551"/>
    </a:dk2>
    <a:lt2>
      <a:srgbClr val="D8D9DC"/>
    </a:lt2>
    <a:accent1>
      <a:srgbClr val="E32D91"/>
    </a:accent1>
    <a:accent2>
      <a:srgbClr val="C830CC"/>
    </a:accent2>
    <a:accent3>
      <a:srgbClr val="4EA6DC"/>
    </a:accent3>
    <a:accent4>
      <a:srgbClr val="4775E7"/>
    </a:accent4>
    <a:accent5>
      <a:srgbClr val="8971E1"/>
    </a:accent5>
    <a:accent6>
      <a:srgbClr val="D54773"/>
    </a:accent6>
    <a:hlink>
      <a:srgbClr val="6B9F25"/>
    </a:hlink>
    <a:folHlink>
      <a:srgbClr val="8C8C8C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image" Target="../media/image1.pn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F94F3-9285-43F2-8D29-72B4583B4BE5}">
  <sheetPr>
    <tabColor theme="0" tint="-0.249977111117893"/>
  </sheetPr>
  <dimension ref="A1:W50"/>
  <sheetViews>
    <sheetView showGridLines="0" zoomScale="80" zoomScaleNormal="80" workbookViewId="0">
      <pane ySplit="3" topLeftCell="A4" activePane="bottomLeft" state="frozen"/>
      <selection pane="bottomLeft" activeCell="I5" sqref="I5"/>
    </sheetView>
  </sheetViews>
  <sheetFormatPr defaultColWidth="0" defaultRowHeight="15" customHeight="1" zeroHeight="1" x14ac:dyDescent="0.3"/>
  <cols>
    <col min="1" max="23" width="9.21875" customWidth="1"/>
    <col min="24" max="16384" width="9.21875" hidden="1"/>
  </cols>
  <sheetData>
    <row r="1" ht="23.25" customHeight="1" x14ac:dyDescent="0.3"/>
    <row r="2" ht="23.25" customHeight="1" x14ac:dyDescent="0.3"/>
    <row r="3" ht="27" customHeight="1" x14ac:dyDescent="0.3"/>
    <row r="4" ht="14.4" x14ac:dyDescent="0.3"/>
    <row r="5" ht="14.4" x14ac:dyDescent="0.3"/>
    <row r="6" ht="14.4" x14ac:dyDescent="0.3"/>
    <row r="7" ht="14.4" x14ac:dyDescent="0.3"/>
    <row r="8" ht="14.4" x14ac:dyDescent="0.3"/>
    <row r="9" ht="14.4" x14ac:dyDescent="0.3"/>
    <row r="10" ht="14.4" x14ac:dyDescent="0.3"/>
    <row r="11" ht="14.4" x14ac:dyDescent="0.3"/>
    <row r="12" ht="14.4" x14ac:dyDescent="0.3"/>
    <row r="13" ht="14.4" x14ac:dyDescent="0.3"/>
    <row r="14" ht="14.4" x14ac:dyDescent="0.3"/>
    <row r="15" ht="14.4" x14ac:dyDescent="0.3"/>
    <row r="16" ht="14.4" x14ac:dyDescent="0.3"/>
    <row r="17" ht="14.4" x14ac:dyDescent="0.3"/>
    <row r="18" ht="14.4" x14ac:dyDescent="0.3"/>
    <row r="19" ht="14.4" x14ac:dyDescent="0.3"/>
    <row r="20" ht="14.4" x14ac:dyDescent="0.3"/>
    <row r="21" ht="14.4" x14ac:dyDescent="0.3"/>
    <row r="22" ht="14.4" x14ac:dyDescent="0.3"/>
    <row r="23" ht="14.4" x14ac:dyDescent="0.3"/>
    <row r="24" ht="14.4" x14ac:dyDescent="0.3"/>
    <row r="25" ht="14.4" x14ac:dyDescent="0.3"/>
    <row r="26" ht="14.4" x14ac:dyDescent="0.3"/>
    <row r="27" ht="14.4" x14ac:dyDescent="0.3"/>
    <row r="28" ht="14.4" x14ac:dyDescent="0.3"/>
    <row r="29" ht="14.4" x14ac:dyDescent="0.3"/>
    <row r="30" ht="14.4" x14ac:dyDescent="0.3"/>
    <row r="31" ht="14.4" x14ac:dyDescent="0.3"/>
    <row r="32" ht="14.4" x14ac:dyDescent="0.3"/>
    <row r="33" ht="14.4" x14ac:dyDescent="0.3"/>
    <row r="34" ht="14.4" x14ac:dyDescent="0.3"/>
    <row r="35" ht="14.4" x14ac:dyDescent="0.3"/>
    <row r="36" ht="14.4" x14ac:dyDescent="0.3"/>
    <row r="37" ht="14.4" x14ac:dyDescent="0.3"/>
    <row r="38" ht="14.4" x14ac:dyDescent="0.3"/>
    <row r="39" ht="14.4" x14ac:dyDescent="0.3"/>
    <row r="40" ht="14.4" x14ac:dyDescent="0.3"/>
    <row r="41" ht="14.4" x14ac:dyDescent="0.3"/>
    <row r="42" ht="14.4" x14ac:dyDescent="0.3"/>
    <row r="43" ht="14.4" x14ac:dyDescent="0.3"/>
    <row r="44" ht="14.4" x14ac:dyDescent="0.3"/>
    <row r="45" ht="14.4" x14ac:dyDescent="0.3"/>
    <row r="46" ht="14.4" x14ac:dyDescent="0.3"/>
    <row r="47" ht="14.4" x14ac:dyDescent="0.3"/>
    <row r="48" ht="14.4" x14ac:dyDescent="0.3"/>
    <row r="49" ht="14.4" x14ac:dyDescent="0.3"/>
    <row r="50" ht="14.4" x14ac:dyDescent="0.3"/>
  </sheetData>
  <pageMargins left="0.511811024" right="0.511811024" top="0.78740157499999996" bottom="0.78740157499999996" header="0.31496062000000002" footer="0.31496062000000002"/>
  <drawing r:id="rId1"/>
  <picture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E5758-77F4-48A0-9D0B-98F66D7AF2A8}">
  <sheetPr>
    <tabColor rgb="FF28156D"/>
    <pageSetUpPr fitToPage="1"/>
  </sheetPr>
  <dimension ref="A1:AI211"/>
  <sheetViews>
    <sheetView showGridLines="0" tabSelected="1" zoomScale="70" zoomScaleNormal="70" workbookViewId="0">
      <pane xSplit="1" ySplit="5" topLeftCell="B36" activePane="bottomRight" state="frozen"/>
      <selection pane="topRight" activeCell="B1" sqref="B1"/>
      <selection pane="bottomLeft" activeCell="A6" sqref="A6"/>
      <selection pane="bottomRight" activeCell="AL150" sqref="AL149:AL150"/>
    </sheetView>
  </sheetViews>
  <sheetFormatPr defaultColWidth="12.21875" defaultRowHeight="14.4" zeroHeight="1" outlineLevelRow="1" outlineLevelCol="1" x14ac:dyDescent="0.3"/>
  <cols>
    <col min="1" max="1" width="61.44140625" style="7" customWidth="1"/>
    <col min="2" max="2" width="16.5546875" style="31" customWidth="1" outlineLevel="1" hidden="1"/>
    <col min="3" max="3" width="9.5546875" style="32" customWidth="1" outlineLevel="1" hidden="1"/>
    <col min="4" max="4" width="14.5546875" style="31" customWidth="1" outlineLevel="1" hidden="1"/>
    <col min="5" max="5" width="9.5546875" style="33" customWidth="1" outlineLevel="1" hidden="1"/>
    <col min="6" max="6" width="13" style="31" customWidth="1" outlineLevel="1" hidden="1"/>
    <col min="7" max="7" width="8.21875" style="31" customWidth="1" outlineLevel="1" hidden="1"/>
    <col min="8" max="8" width="15.44140625" style="31" customWidth="1" hidden="1"/>
    <col min="9" max="9" width="8.77734375" style="32" customWidth="1" hidden="1"/>
    <col min="10" max="10" width="13" style="31" customWidth="1" outlineLevel="1" hidden="1"/>
    <col min="11" max="11" width="8.21875" style="31" customWidth="1" outlineLevel="1" hidden="1"/>
    <col min="12" max="12" width="13" style="31" customWidth="1" outlineLevel="1" hidden="1"/>
    <col min="13" max="13" width="8.44140625" style="33" customWidth="1" outlineLevel="1" hidden="1"/>
    <col min="14" max="14" width="13" style="31" customWidth="1" outlineLevel="1"/>
    <col min="15" max="15" width="9.5546875" style="31" customWidth="1" outlineLevel="1"/>
    <col min="16" max="16" width="15.44140625" style="34" customWidth="1" hidden="1"/>
    <col min="17" max="17" width="8.77734375" style="32" customWidth="1" hidden="1"/>
    <col min="18" max="18" width="14.21875" style="31" customWidth="1" outlineLevel="1" hidden="1"/>
    <col min="19" max="19" width="8.77734375" style="31" customWidth="1" outlineLevel="1" hidden="1"/>
    <col min="20" max="20" width="14.21875" style="31" customWidth="1" outlineLevel="1" hidden="1"/>
    <col min="21" max="21" width="8.77734375" style="33" customWidth="1" outlineLevel="1" hidden="1"/>
    <col min="22" max="22" width="14.21875" style="31" customWidth="1" outlineLevel="1" hidden="1"/>
    <col min="23" max="23" width="8.77734375" style="31" customWidth="1" outlineLevel="1" hidden="1"/>
    <col min="24" max="24" width="15.44140625" style="34" customWidth="1" collapsed="1" hidden="1"/>
    <col min="25" max="25" width="9" style="32" customWidth="1" hidden="1"/>
    <col min="26" max="26" width="15.77734375" style="31" customWidth="1" outlineLevel="1" hidden="1"/>
    <col min="27" max="27" width="9.21875" style="31" customWidth="1" outlineLevel="1" hidden="1"/>
    <col min="28" max="28" width="15.77734375" style="31" customWidth="1" outlineLevel="1" hidden="1"/>
    <col min="29" max="29" width="9.21875" style="33" customWidth="1" outlineLevel="1" hidden="1"/>
    <col min="30" max="30" width="14.21875" style="31" customWidth="1" outlineLevel="1" hidden="1"/>
    <col min="31" max="31" width="7.44140625" style="31" customWidth="1" outlineLevel="1" hidden="1"/>
    <col min="32" max="32" width="15.44140625" style="34" customWidth="1" collapsed="1" hidden="1"/>
    <col min="33" max="33" width="9.21875" style="32" customWidth="1" hidden="1"/>
    <col min="34" max="34" width="16.5546875" style="31" customWidth="1"/>
    <col min="35" max="35" width="11.5546875" style="31" customWidth="1"/>
    <col min="36" max="36" width="0.77734375" customWidth="1"/>
  </cols>
  <sheetData>
    <row r="1" spans="1:35" x14ac:dyDescent="0.3">
      <c r="B1" s="26"/>
      <c r="C1" s="27"/>
      <c r="D1" s="26"/>
      <c r="E1" s="28"/>
      <c r="F1" s="26"/>
      <c r="G1" s="26"/>
      <c r="H1" s="26"/>
      <c r="I1" s="27"/>
      <c r="J1" s="26"/>
      <c r="K1" s="26"/>
      <c r="L1" s="26"/>
      <c r="M1" s="28"/>
      <c r="N1" s="26"/>
      <c r="O1" s="26"/>
      <c r="P1" s="29"/>
      <c r="Q1" s="27"/>
      <c r="R1" s="26"/>
      <c r="S1" s="26"/>
      <c r="T1" s="26"/>
      <c r="U1" s="28"/>
      <c r="V1" s="26"/>
      <c r="W1" s="26"/>
      <c r="X1" s="29"/>
      <c r="Y1" s="27"/>
      <c r="Z1" s="26"/>
      <c r="AA1" s="26"/>
      <c r="AB1" s="26"/>
      <c r="AC1" s="28"/>
      <c r="AD1" s="26"/>
      <c r="AE1" s="26"/>
      <c r="AF1" s="29"/>
      <c r="AG1" s="27"/>
      <c r="AH1" s="26"/>
      <c r="AI1" s="26"/>
    </row>
    <row r="2" spans="1:35" s="24" customFormat="1" x14ac:dyDescent="0.3">
      <c r="A2" s="44"/>
      <c r="B2" s="28"/>
      <c r="C2" s="28"/>
      <c r="D2" s="28"/>
      <c r="E2" s="28"/>
      <c r="F2" s="28">
        <f>F6/$AH$6</f>
        <v>0</v>
      </c>
      <c r="G2" s="28"/>
      <c r="H2" s="28"/>
      <c r="I2" s="28"/>
      <c r="J2" s="28">
        <f>J6/$AH$6</f>
        <v>0</v>
      </c>
      <c r="K2" s="28"/>
      <c r="L2" s="28">
        <f>L6/$AH$6</f>
        <v>0</v>
      </c>
      <c r="M2" s="28"/>
      <c r="N2" s="28">
        <f>N6/$AH$6</f>
        <v>0</v>
      </c>
      <c r="O2" s="28"/>
      <c r="P2" s="28"/>
      <c r="Q2" s="28"/>
      <c r="R2" s="28">
        <f>R6/$AH$6</f>
        <v>0</v>
      </c>
      <c r="S2" s="28"/>
      <c r="T2" s="28">
        <f>T6/$AH$6</f>
        <v>0</v>
      </c>
      <c r="U2" s="28"/>
      <c r="V2" s="28">
        <f>V6/$AH$6</f>
        <v>0</v>
      </c>
      <c r="W2" s="28"/>
      <c r="X2" s="28"/>
      <c r="Y2" s="28"/>
      <c r="Z2" s="28">
        <f>Z6/$AH$6</f>
        <v>0</v>
      </c>
      <c r="AA2" s="28"/>
      <c r="AB2" s="28">
        <f>AB6/$AH$6</f>
        <v>0</v>
      </c>
      <c r="AC2" s="28"/>
      <c r="AD2" s="28">
        <f>AD6/$AH$6</f>
        <v>0</v>
      </c>
      <c r="AE2" s="28"/>
      <c r="AF2" s="28"/>
      <c r="AG2" s="28"/>
      <c r="AH2" s="28"/>
      <c r="AI2" s="28"/>
    </row>
    <row r="3" spans="1:35" ht="43.5" customHeight="1" x14ac:dyDescent="0.3">
      <c r="B3" s="26"/>
      <c r="C3" s="27"/>
      <c r="D3" s="26"/>
      <c r="E3" s="28"/>
      <c r="F3" s="26"/>
      <c r="G3" s="26"/>
      <c r="H3" s="26"/>
      <c r="I3" s="27"/>
      <c r="J3" s="26"/>
      <c r="K3" s="26"/>
      <c r="L3" s="26"/>
      <c r="M3" s="28"/>
      <c r="N3" s="26"/>
      <c r="O3" s="26"/>
      <c r="P3" s="29"/>
      <c r="Q3" s="27"/>
      <c r="R3" s="26"/>
      <c r="S3" s="26"/>
      <c r="T3" s="26"/>
      <c r="U3" s="28"/>
      <c r="V3" s="26"/>
      <c r="W3" s="26"/>
      <c r="X3" s="29"/>
      <c r="Y3" s="27"/>
      <c r="Z3" s="26"/>
      <c r="AA3" s="26"/>
      <c r="AB3" s="26"/>
      <c r="AC3" s="28"/>
      <c r="AD3" s="26"/>
      <c r="AE3" s="26"/>
      <c r="AF3" s="29"/>
      <c r="AG3" s="27"/>
      <c r="AH3" s="26"/>
      <c r="AI3" s="26"/>
    </row>
    <row r="4" spans="1:35" ht="43.5" customHeight="1" x14ac:dyDescent="0.3">
      <c r="B4" s="26"/>
      <c r="C4" s="27"/>
      <c r="D4" s="26"/>
      <c r="E4" s="28"/>
      <c r="F4" s="26"/>
      <c r="G4" s="26"/>
      <c r="H4" s="26"/>
      <c r="I4" s="27"/>
      <c r="J4" s="26"/>
      <c r="K4" s="26"/>
      <c r="L4" s="26"/>
      <c r="M4" s="28"/>
      <c r="N4" s="26"/>
      <c r="O4" s="26"/>
      <c r="P4" s="29"/>
      <c r="Q4" s="27"/>
      <c r="R4" s="26"/>
      <c r="S4" s="26"/>
      <c r="T4" s="26"/>
      <c r="U4" s="28"/>
      <c r="V4" s="26"/>
      <c r="W4" s="26"/>
      <c r="X4" s="29"/>
      <c r="Y4" s="27"/>
      <c r="Z4" s="26"/>
      <c r="AA4" s="26"/>
      <c r="AB4" s="26"/>
      <c r="AC4" s="28"/>
      <c r="AD4" s="26"/>
      <c r="AE4" s="26"/>
      <c r="AF4" s="29"/>
      <c r="AG4" s="27"/>
      <c r="AH4" s="26"/>
      <c r="AI4" s="26"/>
    </row>
    <row r="5" spans="1:35" s="25" customFormat="1" ht="27" customHeight="1" x14ac:dyDescent="0.3">
      <c r="A5" s="45" t="s">
        <v>116</v>
      </c>
      <c r="B5" s="46" t="s">
        <v>82</v>
      </c>
      <c r="C5" s="47" t="s">
        <v>94</v>
      </c>
      <c r="D5" s="46" t="s">
        <v>83</v>
      </c>
      <c r="E5" s="47" t="s">
        <v>95</v>
      </c>
      <c r="F5" s="46" t="s">
        <v>84</v>
      </c>
      <c r="G5" s="47" t="s">
        <v>96</v>
      </c>
      <c r="H5" s="46" t="s">
        <v>99</v>
      </c>
      <c r="I5" s="47" t="s">
        <v>100</v>
      </c>
      <c r="J5" s="46" t="s">
        <v>85</v>
      </c>
      <c r="K5" s="47" t="s">
        <v>97</v>
      </c>
      <c r="L5" s="46" t="s">
        <v>86</v>
      </c>
      <c r="M5" s="47" t="s">
        <v>98</v>
      </c>
      <c r="N5" s="46" t="s">
        <v>87</v>
      </c>
      <c r="O5" s="47" t="s">
        <v>101</v>
      </c>
      <c r="P5" s="46" t="s">
        <v>103</v>
      </c>
      <c r="Q5" s="48" t="s">
        <v>104</v>
      </c>
      <c r="R5" s="46" t="s">
        <v>88</v>
      </c>
      <c r="S5" s="48" t="s">
        <v>102</v>
      </c>
      <c r="T5" s="46" t="s">
        <v>89</v>
      </c>
      <c r="U5" s="48" t="s">
        <v>105</v>
      </c>
      <c r="V5" s="46" t="s">
        <v>90</v>
      </c>
      <c r="W5" s="47" t="s">
        <v>106</v>
      </c>
      <c r="X5" s="46" t="s">
        <v>107</v>
      </c>
      <c r="Y5" s="48" t="s">
        <v>108</v>
      </c>
      <c r="Z5" s="46" t="s">
        <v>91</v>
      </c>
      <c r="AA5" s="47" t="s">
        <v>109</v>
      </c>
      <c r="AB5" s="46" t="s">
        <v>92</v>
      </c>
      <c r="AC5" s="47" t="s">
        <v>110</v>
      </c>
      <c r="AD5" s="46" t="s">
        <v>93</v>
      </c>
      <c r="AE5" s="47" t="s">
        <v>111</v>
      </c>
      <c r="AF5" s="46" t="s">
        <v>112</v>
      </c>
      <c r="AG5" s="48" t="s">
        <v>113</v>
      </c>
      <c r="AH5" s="46" t="s">
        <v>114</v>
      </c>
      <c r="AI5" s="48" t="s">
        <v>115</v>
      </c>
    </row>
    <row r="6" spans="1:35" ht="16.2" thickBot="1" x14ac:dyDescent="0.35">
      <c r="A6" s="49" t="s">
        <v>158</v>
      </c>
      <c r="B6" s="46">
        <f>IFERROR(VLOOKUP($A6,APOIO!$B:$N,MATCH(B$5,APOIO!$B$5:$N$5,0),FALSE),0)</f>
        <v>173156.44</v>
      </c>
      <c r="C6" s="47">
        <f>IFERROR(B6/B$6,0)</f>
        <v>1</v>
      </c>
      <c r="D6" s="46">
        <f>IFERROR(VLOOKUP($A6,APOIO!$B:$N,MATCH(D$5,APOIO!$B$5:$N$5,0),FALSE),0)</f>
        <v>420327.6</v>
      </c>
      <c r="E6" s="47">
        <f>IFERROR(D6/D$6,0)</f>
        <v>1</v>
      </c>
      <c r="F6" s="46">
        <f>IFERROR(VLOOKUP($A6,APOIO!$B:$N,MATCH(F$5,APOIO!$B$5:$N$5,0),FALSE),0)</f>
        <v>0</v>
      </c>
      <c r="G6" s="47">
        <f>IFERROR(F6/F$6,0)</f>
        <v>0</v>
      </c>
      <c r="H6" s="46">
        <f>SUM(B6,D6,F6)</f>
        <v>593484.04</v>
      </c>
      <c r="I6" s="47">
        <f>IFERROR(H6/H$6,0)</f>
        <v>1</v>
      </c>
      <c r="J6" s="46">
        <f>IFERROR(VLOOKUP($A6,APOIO!$B:$N,MATCH(J$5,APOIO!$B$5:$N$5,0),FALSE),0)</f>
        <v>0</v>
      </c>
      <c r="K6" s="47">
        <f>IFERROR(J6/J$6,0)</f>
        <v>0</v>
      </c>
      <c r="L6" s="46">
        <f>IFERROR(VLOOKUP($A6,APOIO!$B:$N,MATCH(L$5,APOIO!$B$5:$N$5,0),FALSE),0)</f>
        <v>0</v>
      </c>
      <c r="M6" s="47">
        <f>IFERROR(L6/L$6,0)</f>
        <v>0</v>
      </c>
      <c r="N6" s="46">
        <f>IFERROR(VLOOKUP($A6,APOIO!$B:$N,MATCH(N$5,APOIO!$B$5:$N$5,0),FALSE),0)</f>
        <v>0</v>
      </c>
      <c r="O6" s="47">
        <f>IFERROR(N6/N$6,0)</f>
        <v>0</v>
      </c>
      <c r="P6" s="46">
        <f>SUM(J6,L6,N6)</f>
        <v>0</v>
      </c>
      <c r="Q6" s="48">
        <f>IFERROR(P6/P$6,0)</f>
        <v>0</v>
      </c>
      <c r="R6" s="46">
        <f>IFERROR(VLOOKUP($A6,APOIO!$B:$N,MATCH(R$5,APOIO!$B$5:$N$5,0),FALSE),0)</f>
        <v>0</v>
      </c>
      <c r="S6" s="48">
        <f>IFERROR(R6/R$6,0)</f>
        <v>0</v>
      </c>
      <c r="T6" s="46">
        <f>IFERROR(VLOOKUP($A6,APOIO!$B:$N,MATCH(T$5,APOIO!$B$5:$N$5,0),FALSE),0)</f>
        <v>0</v>
      </c>
      <c r="U6" s="48">
        <f>IFERROR(T6/T$6,0)</f>
        <v>0</v>
      </c>
      <c r="V6" s="46">
        <f>IFERROR(VLOOKUP($A6,APOIO!$B:$N,MATCH(V$5,APOIO!$B$5:$N$5,0),FALSE),0)</f>
        <v>0</v>
      </c>
      <c r="W6" s="47">
        <f>IFERROR(V6/V$6,0)</f>
        <v>0</v>
      </c>
      <c r="X6" s="46">
        <f>SUM(R6,T6,V6)</f>
        <v>0</v>
      </c>
      <c r="Y6" s="48">
        <f>IFERROR(X6/X$6,0)</f>
        <v>0</v>
      </c>
      <c r="Z6" s="46">
        <f>IFERROR(VLOOKUP($A6,APOIO!$B:$N,MATCH(Z$5,APOIO!$B$5:$N$5,0),FALSE),0)</f>
        <v>0</v>
      </c>
      <c r="AA6" s="47">
        <f>IFERROR(Z6/Z$6,0)</f>
        <v>0</v>
      </c>
      <c r="AB6" s="46">
        <f>IFERROR(VLOOKUP($A6,APOIO!$B:$N,MATCH(AB$5,APOIO!$B$5:$N$5,0),FALSE),0)</f>
        <v>0</v>
      </c>
      <c r="AC6" s="47">
        <f>IFERROR(AB6/AB$6,0)</f>
        <v>0</v>
      </c>
      <c r="AD6" s="46">
        <f>IFERROR(VLOOKUP($A6,APOIO!$B:$N,MATCH(AD$5,APOIO!$B$5:$N$5,0),FALSE),0)</f>
        <v>0</v>
      </c>
      <c r="AE6" s="47">
        <f>IFERROR(AD6/AD$6,0)</f>
        <v>0</v>
      </c>
      <c r="AF6" s="46">
        <f>SUM(Z6,AB6,AD6)</f>
        <v>0</v>
      </c>
      <c r="AG6" s="48">
        <f>IFERROR(AF6/AF$6,0)</f>
        <v>0</v>
      </c>
      <c r="AH6" s="46">
        <f>SUM(B6,D6,F6,J6,L6,N6,R6,T6,V6,Z6,AB6,AD6)</f>
        <v>593484.04</v>
      </c>
      <c r="AI6" s="48">
        <f>IFERROR(AH6/AH$6,0)</f>
        <v>1</v>
      </c>
    </row>
    <row r="7" spans="1:35" ht="16.2" hidden="1" outlineLevel="1" thickBot="1" x14ac:dyDescent="0.35">
      <c r="A7" s="35" t="s">
        <v>75</v>
      </c>
      <c r="B7" s="29">
        <f>IFERROR(VLOOKUP($A7,APOIO!$B:$N,MATCH(B$5,APOIO!$B$5:$N$5,0),FALSE),0)</f>
        <v>173156.44</v>
      </c>
      <c r="C7" s="38">
        <f t="shared" ref="C7:AI7" si="0">B7/B$6</f>
        <v>1</v>
      </c>
      <c r="D7" s="29">
        <f>IFERROR(VLOOKUP($A7,APOIO!$B:$N,MATCH(D$5,APOIO!$B$5:$N$5,0),FALSE),0)</f>
        <v>420327.6</v>
      </c>
      <c r="E7" s="38">
        <f t="shared" si="0"/>
        <v>1</v>
      </c>
      <c r="F7" s="29">
        <f>IFERROR(VLOOKUP($A7,APOIO!$B:$N,MATCH(F$5,APOIO!$B$5:$N$5,0),FALSE),0)</f>
        <v>0</v>
      </c>
      <c r="G7" s="38" t="e">
        <f t="shared" si="0"/>
        <v>#DIV/0!</v>
      </c>
      <c r="H7" s="30">
        <f t="shared" ref="H7:H137" si="1">SUM(B7,D7,F7)</f>
        <v>593484.04</v>
      </c>
      <c r="I7" s="40">
        <f t="shared" si="0"/>
        <v>1</v>
      </c>
      <c r="J7" s="29">
        <f>IFERROR(VLOOKUP($A7,APOIO!$B:$N,MATCH(J$5,APOIO!$B$5:$N$5,0),FALSE),0)</f>
        <v>0</v>
      </c>
      <c r="K7" s="38" t="e">
        <f t="shared" si="0"/>
        <v>#DIV/0!</v>
      </c>
      <c r="L7" s="29">
        <f>IFERROR(VLOOKUP($A7,APOIO!$B:$N,MATCH(L$5,APOIO!$B$5:$N$5,0),FALSE),0)</f>
        <v>0</v>
      </c>
      <c r="M7" s="38" t="e">
        <f t="shared" si="0"/>
        <v>#DIV/0!</v>
      </c>
      <c r="N7" s="29">
        <f>IFERROR(VLOOKUP($A7,APOIO!$B:$N,MATCH(N$5,APOIO!$B$5:$N$5,0),FALSE),0)</f>
        <v>0</v>
      </c>
      <c r="O7" s="38" t="e">
        <f t="shared" si="0"/>
        <v>#DIV/0!</v>
      </c>
      <c r="P7" s="30">
        <f t="shared" ref="P7:P137" si="2">SUM(J7,L7,N7)</f>
        <v>0</v>
      </c>
      <c r="Q7" s="41" t="e">
        <f t="shared" si="0"/>
        <v>#DIV/0!</v>
      </c>
      <c r="R7" s="29">
        <f>IFERROR(VLOOKUP($A7,APOIO!$B:$N,MATCH(R$5,APOIO!$B$5:$N$5,0),FALSE),0)</f>
        <v>0</v>
      </c>
      <c r="S7" s="41" t="e">
        <f t="shared" si="0"/>
        <v>#DIV/0!</v>
      </c>
      <c r="T7" s="29">
        <f>IFERROR(VLOOKUP($A7,APOIO!$B:$N,MATCH(T$5,APOIO!$B$5:$N$5,0),FALSE),0)</f>
        <v>0</v>
      </c>
      <c r="U7" s="41" t="e">
        <f t="shared" si="0"/>
        <v>#DIV/0!</v>
      </c>
      <c r="V7" s="29">
        <f>IFERROR(VLOOKUP($A7,APOIO!$B:$N,MATCH(V$5,APOIO!$B$5:$N$5,0),FALSE),0)</f>
        <v>0</v>
      </c>
      <c r="W7" s="38" t="e">
        <f t="shared" si="0"/>
        <v>#DIV/0!</v>
      </c>
      <c r="X7" s="30">
        <f t="shared" ref="X7:X137" si="3">SUM(R7,T7,V7)</f>
        <v>0</v>
      </c>
      <c r="Y7" s="41" t="e">
        <f t="shared" si="0"/>
        <v>#DIV/0!</v>
      </c>
      <c r="Z7" s="29">
        <f>IFERROR(VLOOKUP($A7,APOIO!$B:$N,MATCH(Z$5,APOIO!$B$5:$N$5,0),FALSE),0)</f>
        <v>0</v>
      </c>
      <c r="AA7" s="38" t="e">
        <f t="shared" si="0"/>
        <v>#DIV/0!</v>
      </c>
      <c r="AB7" s="29">
        <f>IFERROR(VLOOKUP($A7,APOIO!$B:$N,MATCH(AB$5,APOIO!$B$5:$N$5,0),FALSE),0)</f>
        <v>0</v>
      </c>
      <c r="AC7" s="38" t="e">
        <f t="shared" si="0"/>
        <v>#DIV/0!</v>
      </c>
      <c r="AD7" s="29">
        <f>IFERROR(VLOOKUP($A7,APOIO!$B:$N,MATCH(AD$5,APOIO!$B$5:$N$5,0),FALSE),0)</f>
        <v>0</v>
      </c>
      <c r="AE7" s="38" t="e">
        <f t="shared" si="0"/>
        <v>#DIV/0!</v>
      </c>
      <c r="AF7" s="30">
        <f t="shared" ref="AF7:AF137" si="4">SUM(Z7,AB7,AD7)</f>
        <v>0</v>
      </c>
      <c r="AG7" s="41" t="e">
        <f t="shared" si="0"/>
        <v>#DIV/0!</v>
      </c>
      <c r="AH7" s="29">
        <f t="shared" ref="AH7:AH137" si="5">SUM(B7,D7,F7,J7,L7,N7,R7,T7,V7,Z7,AB7,AD7)</f>
        <v>593484.04</v>
      </c>
      <c r="AI7" s="41">
        <f t="shared" si="0"/>
        <v>1</v>
      </c>
    </row>
    <row r="8" spans="1:35" ht="16.8" collapsed="1" thickTop="1" thickBot="1" x14ac:dyDescent="0.35">
      <c r="A8" s="52" t="s">
        <v>117</v>
      </c>
      <c r="B8" s="53">
        <f>IFERROR(VLOOKUP($A8,APOIO!$B:$N,MATCH(B$5,APOIO!$B$5:$N$5,0),FALSE),0)</f>
        <v>-17981.980000000003</v>
      </c>
      <c r="C8" s="54">
        <f t="shared" ref="C8:E19" si="6">IFERROR(B8/B$6,0)</f>
        <v>-0.10384817336276954</v>
      </c>
      <c r="D8" s="53">
        <f>IFERROR(VLOOKUP($A8,APOIO!$B:$N,MATCH(D$5,APOIO!$B$5:$N$5,0),FALSE),0)</f>
        <v>-55263.83</v>
      </c>
      <c r="E8" s="54">
        <f t="shared" si="6"/>
        <v>-0.13147799478311681</v>
      </c>
      <c r="F8" s="53">
        <f>IFERROR(VLOOKUP($A8,APOIO!$B:$N,MATCH(F$5,APOIO!$B$5:$N$5,0),FALSE),0)</f>
        <v>0</v>
      </c>
      <c r="G8" s="54">
        <f t="shared" ref="G8" si="7">IFERROR(F8/F$6,0)</f>
        <v>0</v>
      </c>
      <c r="H8" s="53">
        <f t="shared" si="1"/>
        <v>-73245.81</v>
      </c>
      <c r="I8" s="54">
        <f t="shared" ref="I8" si="8">IFERROR(H8/H$6,0)</f>
        <v>-0.12341664655379779</v>
      </c>
      <c r="J8" s="53">
        <f>IFERROR(VLOOKUP($A8,APOIO!$B:$N,MATCH(J$5,APOIO!$B$5:$N$5,0),FALSE),0)</f>
        <v>0</v>
      </c>
      <c r="K8" s="54">
        <f t="shared" ref="K8" si="9">IFERROR(J8/J$6,0)</f>
        <v>0</v>
      </c>
      <c r="L8" s="53">
        <f>IFERROR(VLOOKUP($A8,APOIO!$B:$N,MATCH(L$5,APOIO!$B$5:$N$5,0),FALSE),0)</f>
        <v>0</v>
      </c>
      <c r="M8" s="54">
        <f t="shared" ref="M8" si="10">IFERROR(L8/L$6,0)</f>
        <v>0</v>
      </c>
      <c r="N8" s="53">
        <f>IFERROR(VLOOKUP($A8,APOIO!$B:$N,MATCH(N$5,APOIO!$B$5:$N$5,0),FALSE),0)</f>
        <v>0</v>
      </c>
      <c r="O8" s="54">
        <f t="shared" ref="O8" si="11">IFERROR(N8/N$6,0)</f>
        <v>0</v>
      </c>
      <c r="P8" s="53">
        <f t="shared" si="2"/>
        <v>0</v>
      </c>
      <c r="Q8" s="55">
        <f t="shared" ref="Q8" si="12">IFERROR(P8/P$6,0)</f>
        <v>0</v>
      </c>
      <c r="R8" s="53">
        <f>IFERROR(VLOOKUP($A8,APOIO!$B:$N,MATCH(R$5,APOIO!$B$5:$N$5,0),FALSE),0)</f>
        <v>0</v>
      </c>
      <c r="S8" s="55">
        <f t="shared" ref="S8" si="13">IFERROR(R8/R$6,0)</f>
        <v>0</v>
      </c>
      <c r="T8" s="53">
        <f>IFERROR(VLOOKUP($A8,APOIO!$B:$N,MATCH(T$5,APOIO!$B$5:$N$5,0),FALSE),0)</f>
        <v>0</v>
      </c>
      <c r="U8" s="55">
        <f t="shared" ref="U8" si="14">IFERROR(T8/T$6,0)</f>
        <v>0</v>
      </c>
      <c r="V8" s="53">
        <f>IFERROR(VLOOKUP($A8,APOIO!$B:$N,MATCH(V$5,APOIO!$B$5:$N$5,0),FALSE),0)</f>
        <v>0</v>
      </c>
      <c r="W8" s="54">
        <f t="shared" ref="W8" si="15">IFERROR(V8/V$6,0)</f>
        <v>0</v>
      </c>
      <c r="X8" s="53">
        <f t="shared" si="3"/>
        <v>0</v>
      </c>
      <c r="Y8" s="55">
        <f t="shared" ref="Y8" si="16">IFERROR(X8/X$6,0)</f>
        <v>0</v>
      </c>
      <c r="Z8" s="53">
        <f>IFERROR(VLOOKUP($A8,APOIO!$B:$N,MATCH(Z$5,APOIO!$B$5:$N$5,0),FALSE),0)</f>
        <v>0</v>
      </c>
      <c r="AA8" s="54">
        <f t="shared" ref="AA8" si="17">IFERROR(Z8/Z$6,0)</f>
        <v>0</v>
      </c>
      <c r="AB8" s="53">
        <f>IFERROR(VLOOKUP($A8,APOIO!$B:$N,MATCH(AB$5,APOIO!$B$5:$N$5,0),FALSE),0)</f>
        <v>0</v>
      </c>
      <c r="AC8" s="54">
        <f t="shared" ref="AC8" si="18">IFERROR(AB8/AB$6,0)</f>
        <v>0</v>
      </c>
      <c r="AD8" s="53">
        <f>IFERROR(VLOOKUP($A8,APOIO!$B:$N,MATCH(AD$5,APOIO!$B$5:$N$5,0),FALSE),0)</f>
        <v>0</v>
      </c>
      <c r="AE8" s="54">
        <f t="shared" ref="AE8" si="19">IFERROR(AD8/AD$6,0)</f>
        <v>0</v>
      </c>
      <c r="AF8" s="53">
        <f t="shared" si="4"/>
        <v>0</v>
      </c>
      <c r="AG8" s="55">
        <f t="shared" ref="AG8" si="20">IFERROR(AF8/AF$6,0)</f>
        <v>0</v>
      </c>
      <c r="AH8" s="53">
        <f t="shared" si="5"/>
        <v>-73245.81</v>
      </c>
      <c r="AI8" s="55">
        <f t="shared" ref="AI8" si="21">IFERROR(AH8/AH$6,0)</f>
        <v>-0.12341664655379779</v>
      </c>
    </row>
    <row r="9" spans="1:35" ht="16.2" hidden="1" outlineLevel="1" thickTop="1" x14ac:dyDescent="0.3">
      <c r="A9" s="35" t="s">
        <v>74</v>
      </c>
      <c r="B9" s="29">
        <f>IFERROR(VLOOKUP($A9,APOIO!$B:$N,MATCH(B$5,APOIO!$B$5:$N$5,0),FALSE),0)</f>
        <v>0</v>
      </c>
      <c r="C9" s="38">
        <f t="shared" si="6"/>
        <v>0</v>
      </c>
      <c r="D9" s="29">
        <f>IFERROR(VLOOKUP($A9,APOIO!$B:$N,MATCH(D$5,APOIO!$B$5:$N$5,0),FALSE),0)</f>
        <v>0</v>
      </c>
      <c r="E9" s="38">
        <f t="shared" si="6"/>
        <v>0</v>
      </c>
      <c r="F9" s="29">
        <f>IFERROR(VLOOKUP($A9,APOIO!$B:$N,MATCH(F$5,APOIO!$B$5:$N$5,0),FALSE),0)</f>
        <v>0</v>
      </c>
      <c r="G9" s="38">
        <f t="shared" ref="G9" si="22">IFERROR(F9/F$6,0)</f>
        <v>0</v>
      </c>
      <c r="H9" s="30">
        <f t="shared" si="1"/>
        <v>0</v>
      </c>
      <c r="I9" s="40">
        <f t="shared" ref="I9" si="23">IFERROR(H9/H$6,0)</f>
        <v>0</v>
      </c>
      <c r="J9" s="29">
        <f>IFERROR(VLOOKUP($A9,APOIO!$B:$N,MATCH(J$5,APOIO!$B$5:$N$5,0),FALSE),0)</f>
        <v>0</v>
      </c>
      <c r="K9" s="38">
        <f t="shared" ref="K9" si="24">IFERROR(J9/J$6,0)</f>
        <v>0</v>
      </c>
      <c r="L9" s="29">
        <f>IFERROR(VLOOKUP($A9,APOIO!$B:$N,MATCH(L$5,APOIO!$B$5:$N$5,0),FALSE),0)</f>
        <v>0</v>
      </c>
      <c r="M9" s="38">
        <f t="shared" ref="M9" si="25">IFERROR(L9/L$6,0)</f>
        <v>0</v>
      </c>
      <c r="N9" s="29">
        <f>IFERROR(VLOOKUP($A9,APOIO!$B:$N,MATCH(N$5,APOIO!$B$5:$N$5,0),FALSE),0)</f>
        <v>0</v>
      </c>
      <c r="O9" s="38">
        <f t="shared" ref="O9" si="26">IFERROR(N9/N$6,0)</f>
        <v>0</v>
      </c>
      <c r="P9" s="30">
        <f t="shared" si="2"/>
        <v>0</v>
      </c>
      <c r="Q9" s="41">
        <f t="shared" ref="Q9" si="27">IFERROR(P9/P$6,0)</f>
        <v>0</v>
      </c>
      <c r="R9" s="29">
        <f>IFERROR(VLOOKUP($A9,APOIO!$B:$N,MATCH(R$5,APOIO!$B$5:$N$5,0),FALSE),0)</f>
        <v>0</v>
      </c>
      <c r="S9" s="41">
        <f t="shared" ref="S9" si="28">IFERROR(R9/R$6,0)</f>
        <v>0</v>
      </c>
      <c r="T9" s="29">
        <f>IFERROR(VLOOKUP($A9,APOIO!$B:$N,MATCH(T$5,APOIO!$B$5:$N$5,0),FALSE),0)</f>
        <v>0</v>
      </c>
      <c r="U9" s="41">
        <f t="shared" ref="U9" si="29">IFERROR(T9/T$6,0)</f>
        <v>0</v>
      </c>
      <c r="V9" s="29">
        <f>IFERROR(VLOOKUP($A9,APOIO!$B:$N,MATCH(V$5,APOIO!$B$5:$N$5,0),FALSE),0)</f>
        <v>0</v>
      </c>
      <c r="W9" s="38">
        <f t="shared" ref="W9" si="30">IFERROR(V9/V$6,0)</f>
        <v>0</v>
      </c>
      <c r="X9" s="30">
        <f t="shared" si="3"/>
        <v>0</v>
      </c>
      <c r="Y9" s="41">
        <f t="shared" ref="Y9" si="31">IFERROR(X9/X$6,0)</f>
        <v>0</v>
      </c>
      <c r="Z9" s="29">
        <f>IFERROR(VLOOKUP($A9,APOIO!$B:$N,MATCH(Z$5,APOIO!$B$5:$N$5,0),FALSE),0)</f>
        <v>0</v>
      </c>
      <c r="AA9" s="38">
        <f t="shared" ref="AA9" si="32">IFERROR(Z9/Z$6,0)</f>
        <v>0</v>
      </c>
      <c r="AB9" s="29">
        <f>IFERROR(VLOOKUP($A9,APOIO!$B:$N,MATCH(AB$5,APOIO!$B$5:$N$5,0),FALSE),0)</f>
        <v>0</v>
      </c>
      <c r="AC9" s="38">
        <f t="shared" ref="AC9" si="33">IFERROR(AB9/AB$6,0)</f>
        <v>0</v>
      </c>
      <c r="AD9" s="29">
        <f>IFERROR(VLOOKUP($A9,APOIO!$B:$N,MATCH(AD$5,APOIO!$B$5:$N$5,0),FALSE),0)</f>
        <v>0</v>
      </c>
      <c r="AE9" s="38">
        <f t="shared" ref="AE9" si="34">IFERROR(AD9/AD$6,0)</f>
        <v>0</v>
      </c>
      <c r="AF9" s="30">
        <f t="shared" si="4"/>
        <v>0</v>
      </c>
      <c r="AG9" s="41">
        <f t="shared" ref="AG9" si="35">IFERROR(AF9/AF$6,0)</f>
        <v>0</v>
      </c>
      <c r="AH9" s="29">
        <f t="shared" si="5"/>
        <v>0</v>
      </c>
      <c r="AI9" s="41">
        <f t="shared" ref="AI9" si="36">IFERROR(AH9/AH$6,0)</f>
        <v>0</v>
      </c>
    </row>
    <row r="10" spans="1:35" ht="15.6" hidden="1" outlineLevel="1" x14ac:dyDescent="0.3">
      <c r="A10" s="36" t="s">
        <v>17</v>
      </c>
      <c r="B10" s="37">
        <f>IFERROR(VLOOKUP($A10,APOIO!$B:$N,MATCH(B$5,APOIO!$B$5:$N$5,0),FALSE),0)</f>
        <v>-17981.980000000003</v>
      </c>
      <c r="C10" s="39">
        <f t="shared" si="6"/>
        <v>-0.10384817336276954</v>
      </c>
      <c r="D10" s="37">
        <f>IFERROR(VLOOKUP($A10,APOIO!$B:$N,MATCH(D$5,APOIO!$B$5:$N$5,0),FALSE),0)</f>
        <v>-55263.83</v>
      </c>
      <c r="E10" s="39">
        <f t="shared" si="6"/>
        <v>-0.13147799478311681</v>
      </c>
      <c r="F10" s="37">
        <f>IFERROR(VLOOKUP($A10,APOIO!$B:$N,MATCH(F$5,APOIO!$B$5:$N$5,0),FALSE),0)</f>
        <v>0</v>
      </c>
      <c r="G10" s="39">
        <f t="shared" ref="G10" si="37">IFERROR(F10/F$6,0)</f>
        <v>0</v>
      </c>
      <c r="H10" s="37">
        <f t="shared" si="1"/>
        <v>-73245.81</v>
      </c>
      <c r="I10" s="39">
        <f t="shared" ref="I10" si="38">IFERROR(H10/H$6,0)</f>
        <v>-0.12341664655379779</v>
      </c>
      <c r="J10" s="37">
        <f>IFERROR(VLOOKUP($A10,APOIO!$B:$N,MATCH(J$5,APOIO!$B$5:$N$5,0),FALSE),0)</f>
        <v>0</v>
      </c>
      <c r="K10" s="39">
        <f t="shared" ref="K10" si="39">IFERROR(J10/J$6,0)</f>
        <v>0</v>
      </c>
      <c r="L10" s="37">
        <f>IFERROR(VLOOKUP($A10,APOIO!$B:$N,MATCH(L$5,APOIO!$B$5:$N$5,0),FALSE),0)</f>
        <v>0</v>
      </c>
      <c r="M10" s="39">
        <f t="shared" ref="M10" si="40">IFERROR(L10/L$6,0)</f>
        <v>0</v>
      </c>
      <c r="N10" s="37">
        <f>IFERROR(VLOOKUP($A10,APOIO!$B:$N,MATCH(N$5,APOIO!$B$5:$N$5,0),FALSE),0)</f>
        <v>0</v>
      </c>
      <c r="O10" s="39">
        <f t="shared" ref="O10" si="41">IFERROR(N10/N$6,0)</f>
        <v>0</v>
      </c>
      <c r="P10" s="37">
        <f t="shared" si="2"/>
        <v>0</v>
      </c>
      <c r="Q10" s="42">
        <f t="shared" ref="Q10" si="42">IFERROR(P10/P$6,0)</f>
        <v>0</v>
      </c>
      <c r="R10" s="37">
        <f>IFERROR(VLOOKUP($A10,APOIO!$B:$N,MATCH(R$5,APOIO!$B$5:$N$5,0),FALSE),0)</f>
        <v>0</v>
      </c>
      <c r="S10" s="42">
        <f t="shared" ref="S10" si="43">IFERROR(R10/R$6,0)</f>
        <v>0</v>
      </c>
      <c r="T10" s="37">
        <f>IFERROR(VLOOKUP($A10,APOIO!$B:$N,MATCH(T$5,APOIO!$B$5:$N$5,0),FALSE),0)</f>
        <v>0</v>
      </c>
      <c r="U10" s="42">
        <f t="shared" ref="U10" si="44">IFERROR(T10/T$6,0)</f>
        <v>0</v>
      </c>
      <c r="V10" s="37">
        <f>IFERROR(VLOOKUP($A10,APOIO!$B:$N,MATCH(V$5,APOIO!$B$5:$N$5,0),FALSE),0)</f>
        <v>0</v>
      </c>
      <c r="W10" s="39">
        <f t="shared" ref="W10" si="45">IFERROR(V10/V$6,0)</f>
        <v>0</v>
      </c>
      <c r="X10" s="37">
        <f t="shared" si="3"/>
        <v>0</v>
      </c>
      <c r="Y10" s="42">
        <f t="shared" ref="Y10" si="46">IFERROR(X10/X$6,0)</f>
        <v>0</v>
      </c>
      <c r="Z10" s="37">
        <f>IFERROR(VLOOKUP($A10,APOIO!$B:$N,MATCH(Z$5,APOIO!$B$5:$N$5,0),FALSE),0)</f>
        <v>0</v>
      </c>
      <c r="AA10" s="39">
        <f t="shared" ref="AA10" si="47">IFERROR(Z10/Z$6,0)</f>
        <v>0</v>
      </c>
      <c r="AB10" s="37">
        <f>IFERROR(VLOOKUP($A10,APOIO!$B:$N,MATCH(AB$5,APOIO!$B$5:$N$5,0),FALSE),0)</f>
        <v>0</v>
      </c>
      <c r="AC10" s="39">
        <f t="shared" ref="AC10" si="48">IFERROR(AB10/AB$6,0)</f>
        <v>0</v>
      </c>
      <c r="AD10" s="37">
        <f>IFERROR(VLOOKUP($A10,APOIO!$B:$N,MATCH(AD$5,APOIO!$B$5:$N$5,0),FALSE),0)</f>
        <v>0</v>
      </c>
      <c r="AE10" s="39">
        <f t="shared" ref="AE10" si="49">IFERROR(AD10/AD$6,0)</f>
        <v>0</v>
      </c>
      <c r="AF10" s="37">
        <f t="shared" si="4"/>
        <v>0</v>
      </c>
      <c r="AG10" s="42">
        <f t="shared" ref="AG10" si="50">IFERROR(AF10/AF$6,0)</f>
        <v>0</v>
      </c>
      <c r="AH10" s="37">
        <f t="shared" si="5"/>
        <v>-73245.81</v>
      </c>
      <c r="AI10" s="42">
        <f t="shared" ref="AI10" si="51">IFERROR(AH10/AH$6,0)</f>
        <v>-0.12341664655379779</v>
      </c>
    </row>
    <row r="11" spans="1:35" ht="15.6" hidden="1" outlineLevel="1" x14ac:dyDescent="0.3">
      <c r="A11" s="35" t="s">
        <v>62</v>
      </c>
      <c r="B11" s="29">
        <f>IFERROR(VLOOKUP($A11,APOIO!$B:$N,MATCH(B$5,APOIO!$B$5:$N$5,0),FALSE),0)</f>
        <v>0</v>
      </c>
      <c r="C11" s="38">
        <f t="shared" si="6"/>
        <v>0</v>
      </c>
      <c r="D11" s="29">
        <f>IFERROR(VLOOKUP($A11,APOIO!$B:$N,MATCH(D$5,APOIO!$B$5:$N$5,0),FALSE),0)</f>
        <v>0</v>
      </c>
      <c r="E11" s="38">
        <f t="shared" si="6"/>
        <v>0</v>
      </c>
      <c r="F11" s="29">
        <f>IFERROR(VLOOKUP($A11,APOIO!$B:$N,MATCH(F$5,APOIO!$B$5:$N$5,0),FALSE),0)</f>
        <v>0</v>
      </c>
      <c r="G11" s="38">
        <f t="shared" ref="G11:G15" si="52">IFERROR(F11/F$6,0)</f>
        <v>0</v>
      </c>
      <c r="H11" s="30">
        <f t="shared" si="1"/>
        <v>0</v>
      </c>
      <c r="I11" s="40">
        <f t="shared" ref="I11:I15" si="53">IFERROR(H11/H$6,0)</f>
        <v>0</v>
      </c>
      <c r="J11" s="29">
        <f>IFERROR(VLOOKUP($A11,APOIO!$B:$N,MATCH(J$5,APOIO!$B$5:$N$5,0),FALSE),0)</f>
        <v>0</v>
      </c>
      <c r="K11" s="38">
        <f t="shared" ref="K11:K15" si="54">IFERROR(J11/J$6,0)</f>
        <v>0</v>
      </c>
      <c r="L11" s="29">
        <f>IFERROR(VLOOKUP($A11,APOIO!$B:$N,MATCH(L$5,APOIO!$B$5:$N$5,0),FALSE),0)</f>
        <v>0</v>
      </c>
      <c r="M11" s="38">
        <f t="shared" ref="M11:M15" si="55">IFERROR(L11/L$6,0)</f>
        <v>0</v>
      </c>
      <c r="N11" s="29">
        <f>IFERROR(VLOOKUP($A11,APOIO!$B:$N,MATCH(N$5,APOIO!$B$5:$N$5,0),FALSE),0)</f>
        <v>0</v>
      </c>
      <c r="O11" s="38">
        <f t="shared" ref="O11:O15" si="56">IFERROR(N11/N$6,0)</f>
        <v>0</v>
      </c>
      <c r="P11" s="30">
        <f t="shared" si="2"/>
        <v>0</v>
      </c>
      <c r="Q11" s="41">
        <f t="shared" ref="Q11:Q15" si="57">IFERROR(P11/P$6,0)</f>
        <v>0</v>
      </c>
      <c r="R11" s="29">
        <f>IFERROR(VLOOKUP($A11,APOIO!$B:$N,MATCH(R$5,APOIO!$B$5:$N$5,0),FALSE),0)</f>
        <v>0</v>
      </c>
      <c r="S11" s="41">
        <f t="shared" ref="S11:S15" si="58">IFERROR(R11/R$6,0)</f>
        <v>0</v>
      </c>
      <c r="T11" s="29">
        <f>IFERROR(VLOOKUP($A11,APOIO!$B:$N,MATCH(T$5,APOIO!$B$5:$N$5,0),FALSE),0)</f>
        <v>0</v>
      </c>
      <c r="U11" s="41">
        <f t="shared" ref="U11:U15" si="59">IFERROR(T11/T$6,0)</f>
        <v>0</v>
      </c>
      <c r="V11" s="29">
        <f>IFERROR(VLOOKUP($A11,APOIO!$B:$N,MATCH(V$5,APOIO!$B$5:$N$5,0),FALSE),0)</f>
        <v>0</v>
      </c>
      <c r="W11" s="38">
        <f t="shared" ref="W11:W15" si="60">IFERROR(V11/V$6,0)</f>
        <v>0</v>
      </c>
      <c r="X11" s="30">
        <f t="shared" si="3"/>
        <v>0</v>
      </c>
      <c r="Y11" s="41">
        <f t="shared" ref="Y11:Y15" si="61">IFERROR(X11/X$6,0)</f>
        <v>0</v>
      </c>
      <c r="Z11" s="29">
        <f>IFERROR(VLOOKUP($A11,APOIO!$B:$N,MATCH(Z$5,APOIO!$B$5:$N$5,0),FALSE),0)</f>
        <v>0</v>
      </c>
      <c r="AA11" s="38">
        <f t="shared" ref="AA11:AA15" si="62">IFERROR(Z11/Z$6,0)</f>
        <v>0</v>
      </c>
      <c r="AB11" s="29">
        <f>IFERROR(VLOOKUP($A11,APOIO!$B:$N,MATCH(AB$5,APOIO!$B$5:$N$5,0),FALSE),0)</f>
        <v>0</v>
      </c>
      <c r="AC11" s="38">
        <f t="shared" ref="AC11:AC15" si="63">IFERROR(AB11/AB$6,0)</f>
        <v>0</v>
      </c>
      <c r="AD11" s="29">
        <f>IFERROR(VLOOKUP($A11,APOIO!$B:$N,MATCH(AD$5,APOIO!$B$5:$N$5,0),FALSE),0)</f>
        <v>0</v>
      </c>
      <c r="AE11" s="38">
        <f t="shared" ref="AE11:AE15" si="64">IFERROR(AD11/AD$6,0)</f>
        <v>0</v>
      </c>
      <c r="AF11" s="30">
        <f t="shared" si="4"/>
        <v>0</v>
      </c>
      <c r="AG11" s="41">
        <f t="shared" ref="AG11:AG15" si="65">IFERROR(AF11/AF$6,0)</f>
        <v>0</v>
      </c>
      <c r="AH11" s="29">
        <f t="shared" si="5"/>
        <v>0</v>
      </c>
      <c r="AI11" s="41">
        <f t="shared" ref="AI11:AI15" si="66">IFERROR(AH11/AH$6,0)</f>
        <v>0</v>
      </c>
    </row>
    <row r="12" spans="1:35" ht="15.6" hidden="1" outlineLevel="1" x14ac:dyDescent="0.3">
      <c r="A12" s="35" t="s">
        <v>1757</v>
      </c>
      <c r="B12" s="29">
        <f>IFERROR(VLOOKUP($A12,APOIO!$B:$N,MATCH(B$5,APOIO!$B$5:$N$5,0),FALSE),0)</f>
        <v>-1976.04</v>
      </c>
      <c r="C12" s="38">
        <f t="shared" ref="C12:C15" si="67">IFERROR(B12/B$6,0)</f>
        <v>-1.1411877028656861E-2</v>
      </c>
      <c r="D12" s="29">
        <f>IFERROR(VLOOKUP($A12,APOIO!$B:$N,MATCH(D$5,APOIO!$B$5:$N$5,0),FALSE),0)</f>
        <v>-6072.95</v>
      </c>
      <c r="E12" s="38">
        <f t="shared" ref="E12:E15" si="68">IFERROR(D12/D$6,0)</f>
        <v>-1.4448135216435943E-2</v>
      </c>
      <c r="F12" s="29">
        <f>IFERROR(VLOOKUP($A12,APOIO!$B:$N,MATCH(F$5,APOIO!$B$5:$N$5,0),FALSE),0)</f>
        <v>0</v>
      </c>
      <c r="G12" s="38">
        <f t="shared" si="52"/>
        <v>0</v>
      </c>
      <c r="H12" s="30">
        <f t="shared" ref="H12:H15" si="69">SUM(B12,D12,F12)</f>
        <v>-8048.99</v>
      </c>
      <c r="I12" s="40">
        <f t="shared" si="53"/>
        <v>-1.3562268666904673E-2</v>
      </c>
      <c r="J12" s="29">
        <f>IFERROR(VLOOKUP($A12,APOIO!$B:$N,MATCH(J$5,APOIO!$B$5:$N$5,0),FALSE),0)</f>
        <v>0</v>
      </c>
      <c r="K12" s="38">
        <f t="shared" si="54"/>
        <v>0</v>
      </c>
      <c r="L12" s="29">
        <f>IFERROR(VLOOKUP($A12,APOIO!$B:$N,MATCH(L$5,APOIO!$B$5:$N$5,0),FALSE),0)</f>
        <v>0</v>
      </c>
      <c r="M12" s="38">
        <f t="shared" si="55"/>
        <v>0</v>
      </c>
      <c r="N12" s="29">
        <f>IFERROR(VLOOKUP($A12,APOIO!$B:$N,MATCH(N$5,APOIO!$B$5:$N$5,0),FALSE),0)</f>
        <v>0</v>
      </c>
      <c r="O12" s="38">
        <f t="shared" si="56"/>
        <v>0</v>
      </c>
      <c r="P12" s="30">
        <f t="shared" ref="P12:P15" si="70">SUM(J12,L12,N12)</f>
        <v>0</v>
      </c>
      <c r="Q12" s="41">
        <f t="shared" si="57"/>
        <v>0</v>
      </c>
      <c r="R12" s="29">
        <f>IFERROR(VLOOKUP($A12,APOIO!$B:$N,MATCH(R$5,APOIO!$B$5:$N$5,0),FALSE),0)</f>
        <v>0</v>
      </c>
      <c r="S12" s="41">
        <f t="shared" si="58"/>
        <v>0</v>
      </c>
      <c r="T12" s="29">
        <f>IFERROR(VLOOKUP($A12,APOIO!$B:$N,MATCH(T$5,APOIO!$B$5:$N$5,0),FALSE),0)</f>
        <v>0</v>
      </c>
      <c r="U12" s="41">
        <f t="shared" si="59"/>
        <v>0</v>
      </c>
      <c r="V12" s="29">
        <f>IFERROR(VLOOKUP($A12,APOIO!$B:$N,MATCH(V$5,APOIO!$B$5:$N$5,0),FALSE),0)</f>
        <v>0</v>
      </c>
      <c r="W12" s="38">
        <f t="shared" si="60"/>
        <v>0</v>
      </c>
      <c r="X12" s="30">
        <f t="shared" ref="X12:X15" si="71">SUM(R12,T12,V12)</f>
        <v>0</v>
      </c>
      <c r="Y12" s="41">
        <f t="shared" si="61"/>
        <v>0</v>
      </c>
      <c r="Z12" s="29">
        <f>IFERROR(VLOOKUP($A12,APOIO!$B:$N,MATCH(Z$5,APOIO!$B$5:$N$5,0),FALSE),0)</f>
        <v>0</v>
      </c>
      <c r="AA12" s="38">
        <f t="shared" si="62"/>
        <v>0</v>
      </c>
      <c r="AB12" s="29">
        <f>IFERROR(VLOOKUP($A12,APOIO!$B:$N,MATCH(AB$5,APOIO!$B$5:$N$5,0),FALSE),0)</f>
        <v>0</v>
      </c>
      <c r="AC12" s="38">
        <f t="shared" si="63"/>
        <v>0</v>
      </c>
      <c r="AD12" s="29">
        <f>IFERROR(VLOOKUP($A12,APOIO!$B:$N,MATCH(AD$5,APOIO!$B$5:$N$5,0),FALSE),0)</f>
        <v>0</v>
      </c>
      <c r="AE12" s="38">
        <f t="shared" si="64"/>
        <v>0</v>
      </c>
      <c r="AF12" s="30">
        <f t="shared" ref="AF12:AF15" si="72">SUM(Z12,AB12,AD12)</f>
        <v>0</v>
      </c>
      <c r="AG12" s="41">
        <f t="shared" si="65"/>
        <v>0</v>
      </c>
      <c r="AH12" s="29">
        <f t="shared" ref="AH12:AH15" si="73">SUM(B12,D12,F12,J12,L12,N12,R12,T12,V12,Z12,AB12,AD12)</f>
        <v>-8048.99</v>
      </c>
      <c r="AI12" s="41">
        <f t="shared" si="66"/>
        <v>-1.3562268666904673E-2</v>
      </c>
    </row>
    <row r="13" spans="1:35" ht="15.6" hidden="1" outlineLevel="1" x14ac:dyDescent="0.3">
      <c r="A13" s="35" t="s">
        <v>1758</v>
      </c>
      <c r="B13" s="29">
        <f>IFERROR(VLOOKUP($A13,APOIO!$B:$N,MATCH(B$5,APOIO!$B$5:$N$5,0),FALSE),0)</f>
        <v>-6586.8099999999995</v>
      </c>
      <c r="C13" s="38">
        <f t="shared" si="67"/>
        <v>-3.8039647846767922E-2</v>
      </c>
      <c r="D13" s="29">
        <f>IFERROR(VLOOKUP($A13,APOIO!$B:$N,MATCH(D$5,APOIO!$B$5:$N$5,0),FALSE),0)</f>
        <v>-20243.16</v>
      </c>
      <c r="E13" s="38">
        <f t="shared" si="68"/>
        <v>-4.8160434860808572E-2</v>
      </c>
      <c r="F13" s="29">
        <f>IFERROR(VLOOKUP($A13,APOIO!$B:$N,MATCH(F$5,APOIO!$B$5:$N$5,0),FALSE),0)</f>
        <v>0</v>
      </c>
      <c r="G13" s="38">
        <f t="shared" si="52"/>
        <v>0</v>
      </c>
      <c r="H13" s="30">
        <f t="shared" si="69"/>
        <v>-26829.97</v>
      </c>
      <c r="I13" s="40">
        <f t="shared" si="53"/>
        <v>-4.5207567839566504E-2</v>
      </c>
      <c r="J13" s="29">
        <f>IFERROR(VLOOKUP($A13,APOIO!$B:$N,MATCH(J$5,APOIO!$B$5:$N$5,0),FALSE),0)</f>
        <v>0</v>
      </c>
      <c r="K13" s="38">
        <f t="shared" si="54"/>
        <v>0</v>
      </c>
      <c r="L13" s="29">
        <f>IFERROR(VLOOKUP($A13,APOIO!$B:$N,MATCH(L$5,APOIO!$B$5:$N$5,0),FALSE),0)</f>
        <v>0</v>
      </c>
      <c r="M13" s="38">
        <f t="shared" si="55"/>
        <v>0</v>
      </c>
      <c r="N13" s="29">
        <f>IFERROR(VLOOKUP($A13,APOIO!$B:$N,MATCH(N$5,APOIO!$B$5:$N$5,0),FALSE),0)</f>
        <v>0</v>
      </c>
      <c r="O13" s="38">
        <f t="shared" si="56"/>
        <v>0</v>
      </c>
      <c r="P13" s="30">
        <f t="shared" si="70"/>
        <v>0</v>
      </c>
      <c r="Q13" s="41">
        <f t="shared" si="57"/>
        <v>0</v>
      </c>
      <c r="R13" s="29">
        <f>IFERROR(VLOOKUP($A13,APOIO!$B:$N,MATCH(R$5,APOIO!$B$5:$N$5,0),FALSE),0)</f>
        <v>0</v>
      </c>
      <c r="S13" s="41">
        <f t="shared" si="58"/>
        <v>0</v>
      </c>
      <c r="T13" s="29">
        <f>IFERROR(VLOOKUP($A13,APOIO!$B:$N,MATCH(T$5,APOIO!$B$5:$N$5,0),FALSE),0)</f>
        <v>0</v>
      </c>
      <c r="U13" s="41">
        <f t="shared" si="59"/>
        <v>0</v>
      </c>
      <c r="V13" s="29">
        <f>IFERROR(VLOOKUP($A13,APOIO!$B:$N,MATCH(V$5,APOIO!$B$5:$N$5,0),FALSE),0)</f>
        <v>0</v>
      </c>
      <c r="W13" s="38">
        <f t="shared" si="60"/>
        <v>0</v>
      </c>
      <c r="X13" s="30">
        <f t="shared" si="71"/>
        <v>0</v>
      </c>
      <c r="Y13" s="41">
        <f t="shared" si="61"/>
        <v>0</v>
      </c>
      <c r="Z13" s="29">
        <f>IFERROR(VLOOKUP($A13,APOIO!$B:$N,MATCH(Z$5,APOIO!$B$5:$N$5,0),FALSE),0)</f>
        <v>0</v>
      </c>
      <c r="AA13" s="38">
        <f t="shared" si="62"/>
        <v>0</v>
      </c>
      <c r="AB13" s="29">
        <f>IFERROR(VLOOKUP($A13,APOIO!$B:$N,MATCH(AB$5,APOIO!$B$5:$N$5,0),FALSE),0)</f>
        <v>0</v>
      </c>
      <c r="AC13" s="38">
        <f t="shared" si="63"/>
        <v>0</v>
      </c>
      <c r="AD13" s="29">
        <f>IFERROR(VLOOKUP($A13,APOIO!$B:$N,MATCH(AD$5,APOIO!$B$5:$N$5,0),FALSE),0)</f>
        <v>0</v>
      </c>
      <c r="AE13" s="38">
        <f t="shared" si="64"/>
        <v>0</v>
      </c>
      <c r="AF13" s="30">
        <f t="shared" si="72"/>
        <v>0</v>
      </c>
      <c r="AG13" s="41">
        <f t="shared" si="65"/>
        <v>0</v>
      </c>
      <c r="AH13" s="29">
        <f t="shared" si="73"/>
        <v>-26829.97</v>
      </c>
      <c r="AI13" s="41">
        <f t="shared" si="66"/>
        <v>-4.5207567839566504E-2</v>
      </c>
    </row>
    <row r="14" spans="1:35" ht="15.6" hidden="1" outlineLevel="1" x14ac:dyDescent="0.3">
      <c r="A14" s="35" t="s">
        <v>1759</v>
      </c>
      <c r="B14" s="29">
        <f>IFERROR(VLOOKUP($A14,APOIO!$B:$N,MATCH(B$5,APOIO!$B$5:$N$5,0),FALSE),0)</f>
        <v>-4610.76</v>
      </c>
      <c r="C14" s="38">
        <f t="shared" si="67"/>
        <v>-2.662771306686601E-2</v>
      </c>
      <c r="D14" s="29">
        <f>IFERROR(VLOOKUP($A14,APOIO!$B:$N,MATCH(D$5,APOIO!$B$5:$N$5,0),FALSE),0)</f>
        <v>-14170.21</v>
      </c>
      <c r="E14" s="38">
        <f t="shared" si="68"/>
        <v>-3.3712299644372626E-2</v>
      </c>
      <c r="F14" s="29">
        <f>IFERROR(VLOOKUP($A14,APOIO!$B:$N,MATCH(F$5,APOIO!$B$5:$N$5,0),FALSE),0)</f>
        <v>0</v>
      </c>
      <c r="G14" s="38">
        <f t="shared" si="52"/>
        <v>0</v>
      </c>
      <c r="H14" s="30">
        <f t="shared" si="69"/>
        <v>-18780.97</v>
      </c>
      <c r="I14" s="40">
        <f t="shared" si="53"/>
        <v>-3.1645282323009054E-2</v>
      </c>
      <c r="J14" s="29">
        <f>IFERROR(VLOOKUP($A14,APOIO!$B:$N,MATCH(J$5,APOIO!$B$5:$N$5,0),FALSE),0)</f>
        <v>0</v>
      </c>
      <c r="K14" s="38">
        <f t="shared" si="54"/>
        <v>0</v>
      </c>
      <c r="L14" s="29">
        <f>IFERROR(VLOOKUP($A14,APOIO!$B:$N,MATCH(L$5,APOIO!$B$5:$N$5,0),FALSE),0)</f>
        <v>0</v>
      </c>
      <c r="M14" s="38">
        <f t="shared" si="55"/>
        <v>0</v>
      </c>
      <c r="N14" s="29">
        <f>IFERROR(VLOOKUP($A14,APOIO!$B:$N,MATCH(N$5,APOIO!$B$5:$N$5,0),FALSE),0)</f>
        <v>0</v>
      </c>
      <c r="O14" s="38">
        <f t="shared" si="56"/>
        <v>0</v>
      </c>
      <c r="P14" s="30">
        <f t="shared" si="70"/>
        <v>0</v>
      </c>
      <c r="Q14" s="41">
        <f t="shared" si="57"/>
        <v>0</v>
      </c>
      <c r="R14" s="29">
        <f>IFERROR(VLOOKUP($A14,APOIO!$B:$N,MATCH(R$5,APOIO!$B$5:$N$5,0),FALSE),0)</f>
        <v>0</v>
      </c>
      <c r="S14" s="41">
        <f t="shared" si="58"/>
        <v>0</v>
      </c>
      <c r="T14" s="29">
        <f>IFERROR(VLOOKUP($A14,APOIO!$B:$N,MATCH(T$5,APOIO!$B$5:$N$5,0),FALSE),0)</f>
        <v>0</v>
      </c>
      <c r="U14" s="41">
        <f t="shared" si="59"/>
        <v>0</v>
      </c>
      <c r="V14" s="29">
        <f>IFERROR(VLOOKUP($A14,APOIO!$B:$N,MATCH(V$5,APOIO!$B$5:$N$5,0),FALSE),0)</f>
        <v>0</v>
      </c>
      <c r="W14" s="38">
        <f t="shared" si="60"/>
        <v>0</v>
      </c>
      <c r="X14" s="30">
        <f t="shared" si="71"/>
        <v>0</v>
      </c>
      <c r="Y14" s="41">
        <f t="shared" si="61"/>
        <v>0</v>
      </c>
      <c r="Z14" s="29">
        <f>IFERROR(VLOOKUP($A14,APOIO!$B:$N,MATCH(Z$5,APOIO!$B$5:$N$5,0),FALSE),0)</f>
        <v>0</v>
      </c>
      <c r="AA14" s="38">
        <f t="shared" si="62"/>
        <v>0</v>
      </c>
      <c r="AB14" s="29">
        <f>IFERROR(VLOOKUP($A14,APOIO!$B:$N,MATCH(AB$5,APOIO!$B$5:$N$5,0),FALSE),0)</f>
        <v>0</v>
      </c>
      <c r="AC14" s="38">
        <f t="shared" si="63"/>
        <v>0</v>
      </c>
      <c r="AD14" s="29">
        <f>IFERROR(VLOOKUP($A14,APOIO!$B:$N,MATCH(AD$5,APOIO!$B$5:$N$5,0),FALSE),0)</f>
        <v>0</v>
      </c>
      <c r="AE14" s="38">
        <f t="shared" si="64"/>
        <v>0</v>
      </c>
      <c r="AF14" s="30">
        <f t="shared" si="72"/>
        <v>0</v>
      </c>
      <c r="AG14" s="41">
        <f t="shared" si="65"/>
        <v>0</v>
      </c>
      <c r="AH14" s="29">
        <f t="shared" si="73"/>
        <v>-18780.97</v>
      </c>
      <c r="AI14" s="41">
        <f t="shared" si="66"/>
        <v>-3.1645282323009054E-2</v>
      </c>
    </row>
    <row r="15" spans="1:35" ht="15.6" hidden="1" outlineLevel="1" x14ac:dyDescent="0.3">
      <c r="A15" s="35" t="s">
        <v>1040</v>
      </c>
      <c r="B15" s="29">
        <f>IFERROR(VLOOKUP($A15,APOIO!$B:$N,MATCH(B$5,APOIO!$B$5:$N$5,0),FALSE),0)</f>
        <v>0</v>
      </c>
      <c r="C15" s="38">
        <f t="shared" si="67"/>
        <v>0</v>
      </c>
      <c r="D15" s="29">
        <f>IFERROR(VLOOKUP($A15,APOIO!$B:$N,MATCH(D$5,APOIO!$B$5:$N$5,0),FALSE),0)</f>
        <v>0</v>
      </c>
      <c r="E15" s="38">
        <f t="shared" si="68"/>
        <v>0</v>
      </c>
      <c r="F15" s="29">
        <f>IFERROR(VLOOKUP($A15,APOIO!$B:$N,MATCH(F$5,APOIO!$B$5:$N$5,0),FALSE),0)</f>
        <v>0</v>
      </c>
      <c r="G15" s="38">
        <f t="shared" si="52"/>
        <v>0</v>
      </c>
      <c r="H15" s="30">
        <f t="shared" si="69"/>
        <v>0</v>
      </c>
      <c r="I15" s="40">
        <f t="shared" si="53"/>
        <v>0</v>
      </c>
      <c r="J15" s="29">
        <f>IFERROR(VLOOKUP($A15,APOIO!$B:$N,MATCH(J$5,APOIO!$B$5:$N$5,0),FALSE),0)</f>
        <v>0</v>
      </c>
      <c r="K15" s="38">
        <f t="shared" si="54"/>
        <v>0</v>
      </c>
      <c r="L15" s="29">
        <f>IFERROR(VLOOKUP($A15,APOIO!$B:$N,MATCH(L$5,APOIO!$B$5:$N$5,0),FALSE),0)</f>
        <v>0</v>
      </c>
      <c r="M15" s="38">
        <f t="shared" si="55"/>
        <v>0</v>
      </c>
      <c r="N15" s="29">
        <f>IFERROR(VLOOKUP($A15,APOIO!$B:$N,MATCH(N$5,APOIO!$B$5:$N$5,0),FALSE),0)</f>
        <v>0</v>
      </c>
      <c r="O15" s="38">
        <f t="shared" si="56"/>
        <v>0</v>
      </c>
      <c r="P15" s="30">
        <f t="shared" si="70"/>
        <v>0</v>
      </c>
      <c r="Q15" s="41">
        <f t="shared" si="57"/>
        <v>0</v>
      </c>
      <c r="R15" s="29">
        <f>IFERROR(VLOOKUP($A15,APOIO!$B:$N,MATCH(R$5,APOIO!$B$5:$N$5,0),FALSE),0)</f>
        <v>0</v>
      </c>
      <c r="S15" s="41">
        <f t="shared" si="58"/>
        <v>0</v>
      </c>
      <c r="T15" s="29">
        <f>IFERROR(VLOOKUP($A15,APOIO!$B:$N,MATCH(T$5,APOIO!$B$5:$N$5,0),FALSE),0)</f>
        <v>0</v>
      </c>
      <c r="U15" s="41">
        <f t="shared" si="59"/>
        <v>0</v>
      </c>
      <c r="V15" s="29">
        <f>IFERROR(VLOOKUP($A15,APOIO!$B:$N,MATCH(V$5,APOIO!$B$5:$N$5,0),FALSE),0)</f>
        <v>0</v>
      </c>
      <c r="W15" s="38">
        <f t="shared" si="60"/>
        <v>0</v>
      </c>
      <c r="X15" s="30">
        <f t="shared" si="71"/>
        <v>0</v>
      </c>
      <c r="Y15" s="41">
        <f t="shared" si="61"/>
        <v>0</v>
      </c>
      <c r="Z15" s="29">
        <f>IFERROR(VLOOKUP($A15,APOIO!$B:$N,MATCH(Z$5,APOIO!$B$5:$N$5,0),FALSE),0)</f>
        <v>0</v>
      </c>
      <c r="AA15" s="38">
        <f t="shared" si="62"/>
        <v>0</v>
      </c>
      <c r="AB15" s="29">
        <f>IFERROR(VLOOKUP($A15,APOIO!$B:$N,MATCH(AB$5,APOIO!$B$5:$N$5,0),FALSE),0)</f>
        <v>0</v>
      </c>
      <c r="AC15" s="38">
        <f t="shared" si="63"/>
        <v>0</v>
      </c>
      <c r="AD15" s="29">
        <f>IFERROR(VLOOKUP($A15,APOIO!$B:$N,MATCH(AD$5,APOIO!$B$5:$N$5,0),FALSE),0)</f>
        <v>0</v>
      </c>
      <c r="AE15" s="38">
        <f t="shared" si="64"/>
        <v>0</v>
      </c>
      <c r="AF15" s="30">
        <f t="shared" si="72"/>
        <v>0</v>
      </c>
      <c r="AG15" s="41">
        <f t="shared" si="65"/>
        <v>0</v>
      </c>
      <c r="AH15" s="29">
        <f t="shared" si="73"/>
        <v>0</v>
      </c>
      <c r="AI15" s="41">
        <f t="shared" si="66"/>
        <v>0</v>
      </c>
    </row>
    <row r="16" spans="1:35" ht="15.6" hidden="1" outlineLevel="1" x14ac:dyDescent="0.3">
      <c r="A16" s="35" t="s">
        <v>14</v>
      </c>
      <c r="B16" s="29">
        <f>IFERROR(VLOOKUP($A16,APOIO!$B:$N,MATCH(B$5,APOIO!$B$5:$N$5,0),FALSE),0)</f>
        <v>0</v>
      </c>
      <c r="C16" s="38">
        <f t="shared" si="6"/>
        <v>0</v>
      </c>
      <c r="D16" s="29">
        <f>IFERROR(VLOOKUP($A16,APOIO!$B:$N,MATCH(D$5,APOIO!$B$5:$N$5,0),FALSE),0)</f>
        <v>0</v>
      </c>
      <c r="E16" s="38">
        <f t="shared" si="6"/>
        <v>0</v>
      </c>
      <c r="F16" s="29">
        <f>IFERROR(VLOOKUP($A16,APOIO!$B:$N,MATCH(F$5,APOIO!$B$5:$N$5,0),FALSE),0)</f>
        <v>0</v>
      </c>
      <c r="G16" s="38">
        <f t="shared" ref="G16" si="74">IFERROR(F16/F$6,0)</f>
        <v>0</v>
      </c>
      <c r="H16" s="30">
        <f t="shared" si="1"/>
        <v>0</v>
      </c>
      <c r="I16" s="40">
        <f t="shared" ref="I16" si="75">IFERROR(H16/H$6,0)</f>
        <v>0</v>
      </c>
      <c r="J16" s="29">
        <f>IFERROR(VLOOKUP($A16,APOIO!$B:$N,MATCH(J$5,APOIO!$B$5:$N$5,0),FALSE),0)</f>
        <v>0</v>
      </c>
      <c r="K16" s="38">
        <f t="shared" ref="K16" si="76">IFERROR(J16/J$6,0)</f>
        <v>0</v>
      </c>
      <c r="L16" s="29">
        <f>IFERROR(VLOOKUP($A16,APOIO!$B:$N,MATCH(L$5,APOIO!$B$5:$N$5,0),FALSE),0)</f>
        <v>0</v>
      </c>
      <c r="M16" s="38">
        <f t="shared" ref="M16" si="77">IFERROR(L16/L$6,0)</f>
        <v>0</v>
      </c>
      <c r="N16" s="29">
        <f>IFERROR(VLOOKUP($A16,APOIO!$B:$N,MATCH(N$5,APOIO!$B$5:$N$5,0),FALSE),0)</f>
        <v>0</v>
      </c>
      <c r="O16" s="38">
        <f t="shared" ref="O16" si="78">IFERROR(N16/N$6,0)</f>
        <v>0</v>
      </c>
      <c r="P16" s="30">
        <f t="shared" si="2"/>
        <v>0</v>
      </c>
      <c r="Q16" s="41">
        <f t="shared" ref="Q16" si="79">IFERROR(P16/P$6,0)</f>
        <v>0</v>
      </c>
      <c r="R16" s="29">
        <f>IFERROR(VLOOKUP($A16,APOIO!$B:$N,MATCH(R$5,APOIO!$B$5:$N$5,0),FALSE),0)</f>
        <v>0</v>
      </c>
      <c r="S16" s="41">
        <f t="shared" ref="S16" si="80">IFERROR(R16/R$6,0)</f>
        <v>0</v>
      </c>
      <c r="T16" s="29">
        <f>IFERROR(VLOOKUP($A16,APOIO!$B:$N,MATCH(T$5,APOIO!$B$5:$N$5,0),FALSE),0)</f>
        <v>0</v>
      </c>
      <c r="U16" s="41">
        <f t="shared" ref="U16" si="81">IFERROR(T16/T$6,0)</f>
        <v>0</v>
      </c>
      <c r="V16" s="29">
        <f>IFERROR(VLOOKUP($A16,APOIO!$B:$N,MATCH(V$5,APOIO!$B$5:$N$5,0),FALSE),0)</f>
        <v>0</v>
      </c>
      <c r="W16" s="38">
        <f t="shared" ref="W16" si="82">IFERROR(V16/V$6,0)</f>
        <v>0</v>
      </c>
      <c r="X16" s="30">
        <f t="shared" si="3"/>
        <v>0</v>
      </c>
      <c r="Y16" s="41">
        <f t="shared" ref="Y16" si="83">IFERROR(X16/X$6,0)</f>
        <v>0</v>
      </c>
      <c r="Z16" s="29">
        <f>IFERROR(VLOOKUP($A16,APOIO!$B:$N,MATCH(Z$5,APOIO!$B$5:$N$5,0),FALSE),0)</f>
        <v>0</v>
      </c>
      <c r="AA16" s="38">
        <f t="shared" ref="AA16" si="84">IFERROR(Z16/Z$6,0)</f>
        <v>0</v>
      </c>
      <c r="AB16" s="29">
        <f>IFERROR(VLOOKUP($A16,APOIO!$B:$N,MATCH(AB$5,APOIO!$B$5:$N$5,0),FALSE),0)</f>
        <v>0</v>
      </c>
      <c r="AC16" s="38">
        <f t="shared" ref="AC16" si="85">IFERROR(AB16/AB$6,0)</f>
        <v>0</v>
      </c>
      <c r="AD16" s="29">
        <f>IFERROR(VLOOKUP($A16,APOIO!$B:$N,MATCH(AD$5,APOIO!$B$5:$N$5,0),FALSE),0)</f>
        <v>0</v>
      </c>
      <c r="AE16" s="38">
        <f t="shared" ref="AE16" si="86">IFERROR(AD16/AD$6,0)</f>
        <v>0</v>
      </c>
      <c r="AF16" s="30">
        <f t="shared" si="4"/>
        <v>0</v>
      </c>
      <c r="AG16" s="41">
        <f t="shared" ref="AG16" si="87">IFERROR(AF16/AF$6,0)</f>
        <v>0</v>
      </c>
      <c r="AH16" s="29">
        <f t="shared" si="5"/>
        <v>0</v>
      </c>
      <c r="AI16" s="41">
        <f t="shared" ref="AI16" si="88">IFERROR(AH16/AH$6,0)</f>
        <v>0</v>
      </c>
    </row>
    <row r="17" spans="1:35" ht="15.6" hidden="1" outlineLevel="1" x14ac:dyDescent="0.3">
      <c r="A17" s="35" t="s">
        <v>15</v>
      </c>
      <c r="B17" s="29">
        <f>IFERROR(VLOOKUP($A17,APOIO!$B:$N,MATCH(B$5,APOIO!$B$5:$N$5,0),FALSE),0)</f>
        <v>-856.29</v>
      </c>
      <c r="C17" s="38">
        <f t="shared" si="6"/>
        <v>-4.9451813631650084E-3</v>
      </c>
      <c r="D17" s="29">
        <f>IFERROR(VLOOKUP($A17,APOIO!$B:$N,MATCH(D$5,APOIO!$B$5:$N$5,0),FALSE),0)</f>
        <v>-2631.62</v>
      </c>
      <c r="E17" s="38">
        <f t="shared" si="6"/>
        <v>-6.2608784195946213E-3</v>
      </c>
      <c r="F17" s="29">
        <f>IFERROR(VLOOKUP($A17,APOIO!$B:$N,MATCH(F$5,APOIO!$B$5:$N$5,0),FALSE),0)</f>
        <v>0</v>
      </c>
      <c r="G17" s="38">
        <f t="shared" ref="G17" si="89">IFERROR(F17/F$6,0)</f>
        <v>0</v>
      </c>
      <c r="H17" s="30">
        <f t="shared" si="1"/>
        <v>-3487.91</v>
      </c>
      <c r="I17" s="40">
        <f t="shared" ref="I17" si="90">IFERROR(H17/H$6,0)</f>
        <v>-5.8770072401609988E-3</v>
      </c>
      <c r="J17" s="29">
        <f>IFERROR(VLOOKUP($A17,APOIO!$B:$N,MATCH(J$5,APOIO!$B$5:$N$5,0),FALSE),0)</f>
        <v>0</v>
      </c>
      <c r="K17" s="38">
        <f t="shared" ref="K17" si="91">IFERROR(J17/J$6,0)</f>
        <v>0</v>
      </c>
      <c r="L17" s="29">
        <f>IFERROR(VLOOKUP($A17,APOIO!$B:$N,MATCH(L$5,APOIO!$B$5:$N$5,0),FALSE),0)</f>
        <v>0</v>
      </c>
      <c r="M17" s="38">
        <f t="shared" ref="M17" si="92">IFERROR(L17/L$6,0)</f>
        <v>0</v>
      </c>
      <c r="N17" s="29">
        <f>IFERROR(VLOOKUP($A17,APOIO!$B:$N,MATCH(N$5,APOIO!$B$5:$N$5,0),FALSE),0)</f>
        <v>0</v>
      </c>
      <c r="O17" s="38">
        <f t="shared" ref="O17" si="93">IFERROR(N17/N$6,0)</f>
        <v>0</v>
      </c>
      <c r="P17" s="30">
        <f t="shared" si="2"/>
        <v>0</v>
      </c>
      <c r="Q17" s="41">
        <f t="shared" ref="Q17" si="94">IFERROR(P17/P$6,0)</f>
        <v>0</v>
      </c>
      <c r="R17" s="29">
        <f>IFERROR(VLOOKUP($A17,APOIO!$B:$N,MATCH(R$5,APOIO!$B$5:$N$5,0),FALSE),0)</f>
        <v>0</v>
      </c>
      <c r="S17" s="41">
        <f t="shared" ref="S17" si="95">IFERROR(R17/R$6,0)</f>
        <v>0</v>
      </c>
      <c r="T17" s="29">
        <f>IFERROR(VLOOKUP($A17,APOIO!$B:$N,MATCH(T$5,APOIO!$B$5:$N$5,0),FALSE),0)</f>
        <v>0</v>
      </c>
      <c r="U17" s="41">
        <f t="shared" ref="U17" si="96">IFERROR(T17/T$6,0)</f>
        <v>0</v>
      </c>
      <c r="V17" s="29">
        <f>IFERROR(VLOOKUP($A17,APOIO!$B:$N,MATCH(V$5,APOIO!$B$5:$N$5,0),FALSE),0)</f>
        <v>0</v>
      </c>
      <c r="W17" s="38">
        <f t="shared" ref="W17" si="97">IFERROR(V17/V$6,0)</f>
        <v>0</v>
      </c>
      <c r="X17" s="30">
        <f t="shared" si="3"/>
        <v>0</v>
      </c>
      <c r="Y17" s="41">
        <f t="shared" ref="Y17" si="98">IFERROR(X17/X$6,0)</f>
        <v>0</v>
      </c>
      <c r="Z17" s="29">
        <f>IFERROR(VLOOKUP($A17,APOIO!$B:$N,MATCH(Z$5,APOIO!$B$5:$N$5,0),FALSE),0)</f>
        <v>0</v>
      </c>
      <c r="AA17" s="38">
        <f t="shared" ref="AA17" si="99">IFERROR(Z17/Z$6,0)</f>
        <v>0</v>
      </c>
      <c r="AB17" s="29">
        <f>IFERROR(VLOOKUP($A17,APOIO!$B:$N,MATCH(AB$5,APOIO!$B$5:$N$5,0),FALSE),0)</f>
        <v>0</v>
      </c>
      <c r="AC17" s="38">
        <f t="shared" ref="AC17" si="100">IFERROR(AB17/AB$6,0)</f>
        <v>0</v>
      </c>
      <c r="AD17" s="29">
        <f>IFERROR(VLOOKUP($A17,APOIO!$B:$N,MATCH(AD$5,APOIO!$B$5:$N$5,0),FALSE),0)</f>
        <v>0</v>
      </c>
      <c r="AE17" s="38">
        <f t="shared" ref="AE17" si="101">IFERROR(AD17/AD$6,0)</f>
        <v>0</v>
      </c>
      <c r="AF17" s="30">
        <f t="shared" si="4"/>
        <v>0</v>
      </c>
      <c r="AG17" s="41">
        <f t="shared" ref="AG17" si="102">IFERROR(AF17/AF$6,0)</f>
        <v>0</v>
      </c>
      <c r="AH17" s="29">
        <f t="shared" si="5"/>
        <v>-3487.91</v>
      </c>
      <c r="AI17" s="41">
        <f t="shared" ref="AI17" si="103">IFERROR(AH17/AH$6,0)</f>
        <v>-5.8770072401609988E-3</v>
      </c>
    </row>
    <row r="18" spans="1:35" ht="15.6" hidden="1" outlineLevel="1" x14ac:dyDescent="0.3">
      <c r="A18" s="35" t="s">
        <v>16</v>
      </c>
      <c r="B18" s="29">
        <f>IFERROR(VLOOKUP($A18,APOIO!$B:$N,MATCH(B$5,APOIO!$B$5:$N$5,0),FALSE),0)</f>
        <v>-3952.08</v>
      </c>
      <c r="C18" s="38">
        <f t="shared" si="6"/>
        <v>-2.2823754057313721E-2</v>
      </c>
      <c r="D18" s="29">
        <f>IFERROR(VLOOKUP($A18,APOIO!$B:$N,MATCH(D$5,APOIO!$B$5:$N$5,0),FALSE),0)</f>
        <v>-12145.89</v>
      </c>
      <c r="E18" s="38">
        <f t="shared" si="6"/>
        <v>-2.889624664190503E-2</v>
      </c>
      <c r="F18" s="29">
        <f>IFERROR(VLOOKUP($A18,APOIO!$B:$N,MATCH(F$5,APOIO!$B$5:$N$5,0),FALSE),0)</f>
        <v>0</v>
      </c>
      <c r="G18" s="38">
        <f t="shared" ref="G18" si="104">IFERROR(F18/F$6,0)</f>
        <v>0</v>
      </c>
      <c r="H18" s="30">
        <f t="shared" si="1"/>
        <v>-16097.97</v>
      </c>
      <c r="I18" s="40">
        <f t="shared" ref="I18" si="105">IFERROR(H18/H$6,0)</f>
        <v>-2.7124520484156572E-2</v>
      </c>
      <c r="J18" s="29">
        <f>IFERROR(VLOOKUP($A18,APOIO!$B:$N,MATCH(J$5,APOIO!$B$5:$N$5,0),FALSE),0)</f>
        <v>0</v>
      </c>
      <c r="K18" s="38">
        <f t="shared" ref="K18" si="106">IFERROR(J18/J$6,0)</f>
        <v>0</v>
      </c>
      <c r="L18" s="29">
        <f>IFERROR(VLOOKUP($A18,APOIO!$B:$N,MATCH(L$5,APOIO!$B$5:$N$5,0),FALSE),0)</f>
        <v>0</v>
      </c>
      <c r="M18" s="38">
        <f t="shared" ref="M18" si="107">IFERROR(L18/L$6,0)</f>
        <v>0</v>
      </c>
      <c r="N18" s="29">
        <f>IFERROR(VLOOKUP($A18,APOIO!$B:$N,MATCH(N$5,APOIO!$B$5:$N$5,0),FALSE),0)</f>
        <v>0</v>
      </c>
      <c r="O18" s="38">
        <f t="shared" ref="O18" si="108">IFERROR(N18/N$6,0)</f>
        <v>0</v>
      </c>
      <c r="P18" s="30">
        <f t="shared" si="2"/>
        <v>0</v>
      </c>
      <c r="Q18" s="41">
        <f t="shared" ref="Q18" si="109">IFERROR(P18/P$6,0)</f>
        <v>0</v>
      </c>
      <c r="R18" s="29">
        <f>IFERROR(VLOOKUP($A18,APOIO!$B:$N,MATCH(R$5,APOIO!$B$5:$N$5,0),FALSE),0)</f>
        <v>0</v>
      </c>
      <c r="S18" s="41">
        <f t="shared" ref="S18" si="110">IFERROR(R18/R$6,0)</f>
        <v>0</v>
      </c>
      <c r="T18" s="29">
        <f>IFERROR(VLOOKUP($A18,APOIO!$B:$N,MATCH(T$5,APOIO!$B$5:$N$5,0),FALSE),0)</f>
        <v>0</v>
      </c>
      <c r="U18" s="41">
        <f t="shared" ref="U18" si="111">IFERROR(T18/T$6,0)</f>
        <v>0</v>
      </c>
      <c r="V18" s="29">
        <f>IFERROR(VLOOKUP($A18,APOIO!$B:$N,MATCH(V$5,APOIO!$B$5:$N$5,0),FALSE),0)</f>
        <v>0</v>
      </c>
      <c r="W18" s="38">
        <f t="shared" ref="W18" si="112">IFERROR(V18/V$6,0)</f>
        <v>0</v>
      </c>
      <c r="X18" s="30">
        <f t="shared" si="3"/>
        <v>0</v>
      </c>
      <c r="Y18" s="41">
        <f t="shared" ref="Y18" si="113">IFERROR(X18/X$6,0)</f>
        <v>0</v>
      </c>
      <c r="Z18" s="29">
        <f>IFERROR(VLOOKUP($A18,APOIO!$B:$N,MATCH(Z$5,APOIO!$B$5:$N$5,0),FALSE),0)</f>
        <v>0</v>
      </c>
      <c r="AA18" s="38">
        <f t="shared" ref="AA18" si="114">IFERROR(Z18/Z$6,0)</f>
        <v>0</v>
      </c>
      <c r="AB18" s="29">
        <f>IFERROR(VLOOKUP($A18,APOIO!$B:$N,MATCH(AB$5,APOIO!$B$5:$N$5,0),FALSE),0)</f>
        <v>0</v>
      </c>
      <c r="AC18" s="38">
        <f t="shared" ref="AC18" si="115">IFERROR(AB18/AB$6,0)</f>
        <v>0</v>
      </c>
      <c r="AD18" s="29">
        <f>IFERROR(VLOOKUP($A18,APOIO!$B:$N,MATCH(AD$5,APOIO!$B$5:$N$5,0),FALSE),0)</f>
        <v>0</v>
      </c>
      <c r="AE18" s="38">
        <f t="shared" ref="AE18" si="116">IFERROR(AD18/AD$6,0)</f>
        <v>0</v>
      </c>
      <c r="AF18" s="30">
        <f t="shared" si="4"/>
        <v>0</v>
      </c>
      <c r="AG18" s="41">
        <f t="shared" ref="AG18" si="117">IFERROR(AF18/AF$6,0)</f>
        <v>0</v>
      </c>
      <c r="AH18" s="29">
        <f t="shared" si="5"/>
        <v>-16097.97</v>
      </c>
      <c r="AI18" s="41">
        <f t="shared" ref="AI18" si="118">IFERROR(AH18/AH$6,0)</f>
        <v>-2.7124520484156572E-2</v>
      </c>
    </row>
    <row r="19" spans="1:35" ht="16.2" collapsed="1" thickTop="1" x14ac:dyDescent="0.3">
      <c r="A19" s="50" t="s">
        <v>118</v>
      </c>
      <c r="B19" s="51">
        <f>SUM(B8,B6)</f>
        <v>155174.46</v>
      </c>
      <c r="C19" s="47">
        <f t="shared" si="6"/>
        <v>0.89615182663723036</v>
      </c>
      <c r="D19" s="51">
        <f>SUM(D8,D6)</f>
        <v>365063.76999999996</v>
      </c>
      <c r="E19" s="47">
        <f t="shared" si="6"/>
        <v>0.86852200521688316</v>
      </c>
      <c r="F19" s="51">
        <f>SUM(F8,F6)</f>
        <v>0</v>
      </c>
      <c r="G19" s="47">
        <f t="shared" ref="G19" si="119">IFERROR(F19/F$6,0)</f>
        <v>0</v>
      </c>
      <c r="H19" s="51">
        <f t="shared" si="1"/>
        <v>520238.23</v>
      </c>
      <c r="I19" s="47">
        <f t="shared" ref="I19" si="120">IFERROR(H19/H$6,0)</f>
        <v>0.87658335344620208</v>
      </c>
      <c r="J19" s="51">
        <f>SUM(J8,J6)</f>
        <v>0</v>
      </c>
      <c r="K19" s="47">
        <f t="shared" ref="K19" si="121">IFERROR(J19/J$6,0)</f>
        <v>0</v>
      </c>
      <c r="L19" s="51">
        <f>SUM(L8,L6)</f>
        <v>0</v>
      </c>
      <c r="M19" s="47">
        <f t="shared" ref="M19" si="122">IFERROR(L19/L$6,0)</f>
        <v>0</v>
      </c>
      <c r="N19" s="51">
        <f>SUM(N8,N6)</f>
        <v>0</v>
      </c>
      <c r="O19" s="47">
        <f t="shared" ref="O19" si="123">IFERROR(N19/N$6,0)</f>
        <v>0</v>
      </c>
      <c r="P19" s="51">
        <f t="shared" si="2"/>
        <v>0</v>
      </c>
      <c r="Q19" s="48">
        <f t="shared" ref="Q19" si="124">IFERROR(P19/P$6,0)</f>
        <v>0</v>
      </c>
      <c r="R19" s="51">
        <f>SUM(R8,R6)</f>
        <v>0</v>
      </c>
      <c r="S19" s="48">
        <f t="shared" ref="S19" si="125">IFERROR(R19/R$6,0)</f>
        <v>0</v>
      </c>
      <c r="T19" s="51">
        <f>SUM(T8,T6)</f>
        <v>0</v>
      </c>
      <c r="U19" s="48">
        <f t="shared" ref="U19" si="126">IFERROR(T19/T$6,0)</f>
        <v>0</v>
      </c>
      <c r="V19" s="51">
        <f>SUM(V8,V6)</f>
        <v>0</v>
      </c>
      <c r="W19" s="47">
        <f t="shared" ref="W19" si="127">IFERROR(V19/V$6,0)</f>
        <v>0</v>
      </c>
      <c r="X19" s="51">
        <f t="shared" si="3"/>
        <v>0</v>
      </c>
      <c r="Y19" s="48">
        <f t="shared" ref="Y19" si="128">IFERROR(X19/X$6,0)</f>
        <v>0</v>
      </c>
      <c r="Z19" s="51">
        <f>SUM(Z8,Z6)</f>
        <v>0</v>
      </c>
      <c r="AA19" s="47">
        <f t="shared" ref="AA19" si="129">IFERROR(Z19/Z$6,0)</f>
        <v>0</v>
      </c>
      <c r="AB19" s="51">
        <f>SUM(AB8,AB6)</f>
        <v>0</v>
      </c>
      <c r="AC19" s="47">
        <f t="shared" ref="AC19" si="130">IFERROR(AB19/AB$6,0)</f>
        <v>0</v>
      </c>
      <c r="AD19" s="51">
        <f>SUM(AD8,AD6)</f>
        <v>0</v>
      </c>
      <c r="AE19" s="47">
        <f t="shared" ref="AE19" si="131">IFERROR(AD19/AD$6,0)</f>
        <v>0</v>
      </c>
      <c r="AF19" s="51">
        <f t="shared" si="4"/>
        <v>0</v>
      </c>
      <c r="AG19" s="48">
        <f t="shared" ref="AG19" si="132">IFERROR(AF19/AF$6,0)</f>
        <v>0</v>
      </c>
      <c r="AH19" s="51">
        <f t="shared" si="5"/>
        <v>520238.23</v>
      </c>
      <c r="AI19" s="48">
        <f t="shared" ref="AI19" si="133">IFERROR(AH19/AH$6,0)</f>
        <v>0.87658335344620208</v>
      </c>
    </row>
    <row r="20" spans="1:35" ht="16.2" thickBot="1" x14ac:dyDescent="0.35">
      <c r="A20" s="56" t="s">
        <v>69</v>
      </c>
      <c r="B20" s="57">
        <f>IFERROR(VLOOKUP($A20,APOIO!$B:$N,MATCH(B$5,APOIO!$B$5:$N$5,0),FALSE),0)</f>
        <v>-1314.12</v>
      </c>
      <c r="C20" s="58">
        <f>IFERROR(B20/B$19,0)</f>
        <v>-8.4686616599149115E-3</v>
      </c>
      <c r="D20" s="57">
        <f>IFERROR(VLOOKUP($A20,APOIO!$B:$N,MATCH(D$5,APOIO!$B$5:$N$5,0),FALSE),0)</f>
        <v>-20346.43</v>
      </c>
      <c r="E20" s="58">
        <f>IFERROR(D20/D$19,0)</f>
        <v>-5.5733906435031892E-2</v>
      </c>
      <c r="F20" s="57">
        <f>IFERROR(VLOOKUP($A20,APOIO!$B:$N,MATCH(F$5,APOIO!$B$5:$N$5,0),FALSE),0)</f>
        <v>-1333.20454</v>
      </c>
      <c r="G20" s="58">
        <f>IFERROR(F20/F$19,0)</f>
        <v>0</v>
      </c>
      <c r="H20" s="57">
        <f t="shared" si="1"/>
        <v>-22993.754539999998</v>
      </c>
      <c r="I20" s="58">
        <f>IFERROR(H20/H$19,0)</f>
        <v>-4.4198509863452362E-2</v>
      </c>
      <c r="J20" s="57">
        <f>IFERROR(VLOOKUP($A20,APOIO!$B:$N,MATCH(J$5,APOIO!$B$5:$N$5,0),FALSE),0)</f>
        <v>0</v>
      </c>
      <c r="K20" s="58">
        <f>IFERROR(J20/J$19,0)</f>
        <v>0</v>
      </c>
      <c r="L20" s="57">
        <f>IFERROR(VLOOKUP($A20,APOIO!$B:$N,MATCH(L$5,APOIO!$B$5:$N$5,0),FALSE),0)</f>
        <v>-312.58</v>
      </c>
      <c r="M20" s="58">
        <f>IFERROR(L20/L$19,0)</f>
        <v>0</v>
      </c>
      <c r="N20" s="57">
        <f>IFERROR(VLOOKUP($A20,APOIO!$B:$N,MATCH(N$5,APOIO!$B$5:$N$5,0),FALSE),0)</f>
        <v>0</v>
      </c>
      <c r="O20" s="58">
        <f>IFERROR(N20/N$19,0)</f>
        <v>0</v>
      </c>
      <c r="P20" s="57">
        <f t="shared" si="2"/>
        <v>-312.58</v>
      </c>
      <c r="Q20" s="59">
        <f>IFERROR(P20/P$19,0)</f>
        <v>0</v>
      </c>
      <c r="R20" s="57">
        <f>IFERROR(VLOOKUP($A20,APOIO!$B:$N,MATCH(R$5,APOIO!$B$5:$N$5,0),FALSE),0)</f>
        <v>0</v>
      </c>
      <c r="S20" s="59">
        <f>IFERROR(R20/R$19,0)</f>
        <v>0</v>
      </c>
      <c r="T20" s="57">
        <f>IFERROR(VLOOKUP($A20,APOIO!$B:$N,MATCH(T$5,APOIO!$B$5:$N$5,0),FALSE),0)</f>
        <v>0</v>
      </c>
      <c r="U20" s="59">
        <f>IFERROR(T20/T$19,0)</f>
        <v>0</v>
      </c>
      <c r="V20" s="57">
        <f>IFERROR(VLOOKUP($A20,APOIO!$B:$N,MATCH(V$5,APOIO!$B$5:$N$5,0),FALSE),0)</f>
        <v>0</v>
      </c>
      <c r="W20" s="58">
        <f>IFERROR(V20/V$19,0)</f>
        <v>0</v>
      </c>
      <c r="X20" s="57">
        <f t="shared" si="3"/>
        <v>0</v>
      </c>
      <c r="Y20" s="59">
        <f>IFERROR(X20/X$19,0)</f>
        <v>0</v>
      </c>
      <c r="Z20" s="57">
        <f>IFERROR(VLOOKUP($A20,APOIO!$B:$N,MATCH(Z$5,APOIO!$B$5:$N$5,0),FALSE),0)</f>
        <v>0</v>
      </c>
      <c r="AA20" s="58">
        <f>IFERROR(Z20/Z$19,0)</f>
        <v>0</v>
      </c>
      <c r="AB20" s="57">
        <f>IFERROR(VLOOKUP($A20,APOIO!$B:$N,MATCH(AB$5,APOIO!$B$5:$N$5,0),FALSE),0)</f>
        <v>0</v>
      </c>
      <c r="AC20" s="58">
        <f>IFERROR(AB20/AB$19,0)</f>
        <v>0</v>
      </c>
      <c r="AD20" s="57">
        <f>IFERROR(VLOOKUP($A20,APOIO!$B:$N,MATCH(AD$5,APOIO!$B$5:$N$5,0),FALSE),0)</f>
        <v>0</v>
      </c>
      <c r="AE20" s="58">
        <f>IFERROR(AD20/AD$19,0)</f>
        <v>0</v>
      </c>
      <c r="AF20" s="57">
        <f t="shared" si="4"/>
        <v>0</v>
      </c>
      <c r="AG20" s="59">
        <f>IFERROR(AF20/AF$19,0)</f>
        <v>0</v>
      </c>
      <c r="AH20" s="57">
        <f t="shared" si="5"/>
        <v>-23306.33454</v>
      </c>
      <c r="AI20" s="59">
        <f>IFERROR(AH20/AH$19,0)</f>
        <v>-4.4799349982410946E-2</v>
      </c>
    </row>
    <row r="21" spans="1:35" ht="16.2" hidden="1" outlineLevel="1" thickTop="1" x14ac:dyDescent="0.3">
      <c r="A21" s="36" t="s">
        <v>26</v>
      </c>
      <c r="B21" s="37">
        <f>IFERROR(VLOOKUP($A21,APOIO!$B:$N,MATCH(B$5,APOIO!$B$5:$N$5,0),FALSE),0)</f>
        <v>-1314.12</v>
      </c>
      <c r="C21" s="39">
        <f t="shared" ref="C21:E98" si="134">IFERROR(B21/B$19,0)</f>
        <v>-8.4686616599149115E-3</v>
      </c>
      <c r="D21" s="37">
        <f>IFERROR(VLOOKUP($A21,APOIO!$B:$N,MATCH(D$5,APOIO!$B$5:$N$5,0),FALSE),0)</f>
        <v>-20346.43</v>
      </c>
      <c r="E21" s="39">
        <f t="shared" si="134"/>
        <v>-5.5733906435031892E-2</v>
      </c>
      <c r="F21" s="37">
        <f>IFERROR(VLOOKUP($A21,APOIO!$B:$N,MATCH(F$5,APOIO!$B$5:$N$5,0),FALSE),0)</f>
        <v>-1333.20454</v>
      </c>
      <c r="G21" s="39">
        <f t="shared" ref="G21" si="135">IFERROR(F21/F$19,0)</f>
        <v>0</v>
      </c>
      <c r="H21" s="37">
        <f t="shared" si="1"/>
        <v>-22993.754539999998</v>
      </c>
      <c r="I21" s="39">
        <f t="shared" ref="I21" si="136">IFERROR(H21/H$19,0)</f>
        <v>-4.4198509863452362E-2</v>
      </c>
      <c r="J21" s="37">
        <f>IFERROR(VLOOKUP($A21,APOIO!$B:$N,MATCH(J$5,APOIO!$B$5:$N$5,0),FALSE),0)</f>
        <v>0</v>
      </c>
      <c r="K21" s="39">
        <f t="shared" ref="K21" si="137">IFERROR(J21/J$19,0)</f>
        <v>0</v>
      </c>
      <c r="L21" s="37">
        <f>IFERROR(VLOOKUP($A21,APOIO!$B:$N,MATCH(L$5,APOIO!$B$5:$N$5,0),FALSE),0)</f>
        <v>-312.58</v>
      </c>
      <c r="M21" s="39">
        <f t="shared" ref="M21" si="138">IFERROR(L21/L$19,0)</f>
        <v>0</v>
      </c>
      <c r="N21" s="37">
        <f>IFERROR(VLOOKUP($A21,APOIO!$B:$N,MATCH(N$5,APOIO!$B$5:$N$5,0),FALSE),0)</f>
        <v>0</v>
      </c>
      <c r="O21" s="39">
        <f t="shared" ref="O21" si="139">IFERROR(N21/N$19,0)</f>
        <v>0</v>
      </c>
      <c r="P21" s="37">
        <f t="shared" si="2"/>
        <v>-312.58</v>
      </c>
      <c r="Q21" s="42">
        <f t="shared" ref="Q21" si="140">IFERROR(P21/P$19,0)</f>
        <v>0</v>
      </c>
      <c r="R21" s="37">
        <f>IFERROR(VLOOKUP($A21,APOIO!$B:$N,MATCH(R$5,APOIO!$B$5:$N$5,0),FALSE),0)</f>
        <v>0</v>
      </c>
      <c r="S21" s="42">
        <f t="shared" ref="S21" si="141">IFERROR(R21/R$19,0)</f>
        <v>0</v>
      </c>
      <c r="T21" s="37">
        <f>IFERROR(VLOOKUP($A21,APOIO!$B:$N,MATCH(T$5,APOIO!$B$5:$N$5,0),FALSE),0)</f>
        <v>0</v>
      </c>
      <c r="U21" s="42">
        <f t="shared" ref="U21" si="142">IFERROR(T21/T$19,0)</f>
        <v>0</v>
      </c>
      <c r="V21" s="37">
        <f>IFERROR(VLOOKUP($A21,APOIO!$B:$N,MATCH(V$5,APOIO!$B$5:$N$5,0),FALSE),0)</f>
        <v>0</v>
      </c>
      <c r="W21" s="39">
        <f t="shared" ref="W21" si="143">IFERROR(V21/V$19,0)</f>
        <v>0</v>
      </c>
      <c r="X21" s="37">
        <f t="shared" si="3"/>
        <v>0</v>
      </c>
      <c r="Y21" s="42">
        <f t="shared" ref="Y21" si="144">IFERROR(X21/X$19,0)</f>
        <v>0</v>
      </c>
      <c r="Z21" s="37">
        <f>IFERROR(VLOOKUP($A21,APOIO!$B:$N,MATCH(Z$5,APOIO!$B$5:$N$5,0),FALSE),0)</f>
        <v>0</v>
      </c>
      <c r="AA21" s="39">
        <f t="shared" ref="AA21" si="145">IFERROR(Z21/Z$19,0)</f>
        <v>0</v>
      </c>
      <c r="AB21" s="37">
        <f>IFERROR(VLOOKUP($A21,APOIO!$B:$N,MATCH(AB$5,APOIO!$B$5:$N$5,0),FALSE),0)</f>
        <v>0</v>
      </c>
      <c r="AC21" s="39">
        <f t="shared" ref="AC21" si="146">IFERROR(AB21/AB$19,0)</f>
        <v>0</v>
      </c>
      <c r="AD21" s="37">
        <f>IFERROR(VLOOKUP($A21,APOIO!$B:$N,MATCH(AD$5,APOIO!$B$5:$N$5,0),FALSE),0)</f>
        <v>0</v>
      </c>
      <c r="AE21" s="39">
        <f t="shared" ref="AE21" si="147">IFERROR(AD21/AD$19,0)</f>
        <v>0</v>
      </c>
      <c r="AF21" s="37">
        <f t="shared" si="4"/>
        <v>0</v>
      </c>
      <c r="AG21" s="42">
        <f t="shared" ref="AG21" si="148">IFERROR(AF21/AF$19,0)</f>
        <v>0</v>
      </c>
      <c r="AH21" s="37">
        <f t="shared" si="5"/>
        <v>-23306.33454</v>
      </c>
      <c r="AI21" s="42">
        <f t="shared" ref="AI21" si="149">IFERROR(AH21/AH$19,0)</f>
        <v>-4.4799349982410946E-2</v>
      </c>
    </row>
    <row r="22" spans="1:35" ht="15.6" hidden="1" outlineLevel="1" x14ac:dyDescent="0.3">
      <c r="A22" s="35" t="s">
        <v>257</v>
      </c>
      <c r="B22" s="29">
        <f>IFERROR(VLOOKUP($A22,APOIO!$B:$N,MATCH(B$5,APOIO!$B$5:$N$5,0),FALSE),0)</f>
        <v>0</v>
      </c>
      <c r="C22" s="38">
        <f t="shared" si="134"/>
        <v>0</v>
      </c>
      <c r="D22" s="29">
        <f>IFERROR(VLOOKUP($A22,APOIO!$B:$N,MATCH(D$5,APOIO!$B$5:$N$5,0),FALSE),0)</f>
        <v>-2345.4700000000003</v>
      </c>
      <c r="E22" s="38">
        <f t="shared" si="134"/>
        <v>-6.4248227097419182E-3</v>
      </c>
      <c r="F22" s="29">
        <f>IFERROR(VLOOKUP($A22,APOIO!$B:$N,MATCH(F$5,APOIO!$B$5:$N$5,0),FALSE),0)</f>
        <v>0</v>
      </c>
      <c r="G22" s="38">
        <f t="shared" ref="G22:G23" si="150">IFERROR(F22/F$19,0)</f>
        <v>0</v>
      </c>
      <c r="H22" s="30">
        <f t="shared" si="1"/>
        <v>-2345.4700000000003</v>
      </c>
      <c r="I22" s="40">
        <f t="shared" ref="I22:I23" si="151">IFERROR(H22/H$19,0)</f>
        <v>-4.5084537520435593E-3</v>
      </c>
      <c r="J22" s="29">
        <f>IFERROR(VLOOKUP($A22,APOIO!$B:$N,MATCH(J$5,APOIO!$B$5:$N$5,0),FALSE),0)</f>
        <v>0</v>
      </c>
      <c r="K22" s="38">
        <f t="shared" ref="K22:K23" si="152">IFERROR(J22/J$19,0)</f>
        <v>0</v>
      </c>
      <c r="L22" s="29">
        <f>IFERROR(VLOOKUP($A22,APOIO!$B:$N,MATCH(L$5,APOIO!$B$5:$N$5,0),FALSE),0)</f>
        <v>0</v>
      </c>
      <c r="M22" s="38">
        <f t="shared" ref="M22:M23" si="153">IFERROR(L22/L$19,0)</f>
        <v>0</v>
      </c>
      <c r="N22" s="29">
        <f>IFERROR(VLOOKUP($A22,APOIO!$B:$N,MATCH(N$5,APOIO!$B$5:$N$5,0),FALSE),0)</f>
        <v>0</v>
      </c>
      <c r="O22" s="38">
        <f t="shared" ref="O22:O23" si="154">IFERROR(N22/N$19,0)</f>
        <v>0</v>
      </c>
      <c r="P22" s="30">
        <f t="shared" si="2"/>
        <v>0</v>
      </c>
      <c r="Q22" s="41">
        <f t="shared" ref="Q22:Q23" si="155">IFERROR(P22/P$19,0)</f>
        <v>0</v>
      </c>
      <c r="R22" s="29">
        <f>IFERROR(VLOOKUP($A22,APOIO!$B:$N,MATCH(R$5,APOIO!$B$5:$N$5,0),FALSE),0)</f>
        <v>0</v>
      </c>
      <c r="S22" s="41">
        <f t="shared" ref="S22:S23" si="156">IFERROR(R22/R$19,0)</f>
        <v>0</v>
      </c>
      <c r="T22" s="29">
        <f>IFERROR(VLOOKUP($A22,APOIO!$B:$N,MATCH(T$5,APOIO!$B$5:$N$5,0),FALSE),0)</f>
        <v>0</v>
      </c>
      <c r="U22" s="41">
        <f t="shared" ref="U22:U23" si="157">IFERROR(T22/T$19,0)</f>
        <v>0</v>
      </c>
      <c r="V22" s="29">
        <f>IFERROR(VLOOKUP($A22,APOIO!$B:$N,MATCH(V$5,APOIO!$B$5:$N$5,0),FALSE),0)</f>
        <v>0</v>
      </c>
      <c r="W22" s="38">
        <f t="shared" ref="W22:W23" si="158">IFERROR(V22/V$19,0)</f>
        <v>0</v>
      </c>
      <c r="X22" s="30">
        <f t="shared" si="3"/>
        <v>0</v>
      </c>
      <c r="Y22" s="41">
        <f t="shared" ref="Y22:Y23" si="159">IFERROR(X22/X$19,0)</f>
        <v>0</v>
      </c>
      <c r="Z22" s="29">
        <f>IFERROR(VLOOKUP($A22,APOIO!$B:$N,MATCH(Z$5,APOIO!$B$5:$N$5,0),FALSE),0)</f>
        <v>0</v>
      </c>
      <c r="AA22" s="38">
        <f t="shared" ref="AA22:AA23" si="160">IFERROR(Z22/Z$19,0)</f>
        <v>0</v>
      </c>
      <c r="AB22" s="29">
        <f>IFERROR(VLOOKUP($A22,APOIO!$B:$N,MATCH(AB$5,APOIO!$B$5:$N$5,0),FALSE),0)</f>
        <v>0</v>
      </c>
      <c r="AC22" s="38">
        <f t="shared" ref="AC22:AC23" si="161">IFERROR(AB22/AB$19,0)</f>
        <v>0</v>
      </c>
      <c r="AD22" s="29">
        <f>IFERROR(VLOOKUP($A22,APOIO!$B:$N,MATCH(AD$5,APOIO!$B$5:$N$5,0),FALSE),0)</f>
        <v>0</v>
      </c>
      <c r="AE22" s="38">
        <f t="shared" ref="AE22:AE23" si="162">IFERROR(AD22/AD$19,0)</f>
        <v>0</v>
      </c>
      <c r="AF22" s="30">
        <f t="shared" si="4"/>
        <v>0</v>
      </c>
      <c r="AG22" s="41">
        <f t="shared" ref="AG22:AG23" si="163">IFERROR(AF22/AF$19,0)</f>
        <v>0</v>
      </c>
      <c r="AH22" s="29">
        <f t="shared" si="5"/>
        <v>-2345.4700000000003</v>
      </c>
      <c r="AI22" s="41">
        <f t="shared" ref="AI22:AI23" si="164">IFERROR(AH22/AH$19,0)</f>
        <v>-4.5084537520435593E-3</v>
      </c>
    </row>
    <row r="23" spans="1:35" ht="15.6" hidden="1" outlineLevel="1" x14ac:dyDescent="0.3">
      <c r="A23" s="35" t="s">
        <v>258</v>
      </c>
      <c r="B23" s="29">
        <f>IFERROR(VLOOKUP($A23,APOIO!$B:$N,MATCH(B$5,APOIO!$B$5:$N$5,0),FALSE),0)</f>
        <v>0</v>
      </c>
      <c r="C23" s="38">
        <f t="shared" si="134"/>
        <v>0</v>
      </c>
      <c r="D23" s="29">
        <f>IFERROR(VLOOKUP($A23,APOIO!$B:$N,MATCH(D$5,APOIO!$B$5:$N$5,0),FALSE),0)</f>
        <v>0</v>
      </c>
      <c r="E23" s="38">
        <f t="shared" si="134"/>
        <v>0</v>
      </c>
      <c r="F23" s="29">
        <f>IFERROR(VLOOKUP($A23,APOIO!$B:$N,MATCH(F$5,APOIO!$B$5:$N$5,0),FALSE),0)</f>
        <v>0</v>
      </c>
      <c r="G23" s="38">
        <f t="shared" si="150"/>
        <v>0</v>
      </c>
      <c r="H23" s="30">
        <f t="shared" si="1"/>
        <v>0</v>
      </c>
      <c r="I23" s="40">
        <f t="shared" si="151"/>
        <v>0</v>
      </c>
      <c r="J23" s="29">
        <f>IFERROR(VLOOKUP($A23,APOIO!$B:$N,MATCH(J$5,APOIO!$B$5:$N$5,0),FALSE),0)</f>
        <v>0</v>
      </c>
      <c r="K23" s="38">
        <f t="shared" si="152"/>
        <v>0</v>
      </c>
      <c r="L23" s="29">
        <f>IFERROR(VLOOKUP($A23,APOIO!$B:$N,MATCH(L$5,APOIO!$B$5:$N$5,0),FALSE),0)</f>
        <v>0</v>
      </c>
      <c r="M23" s="38">
        <f t="shared" si="153"/>
        <v>0</v>
      </c>
      <c r="N23" s="29">
        <f>IFERROR(VLOOKUP($A23,APOIO!$B:$N,MATCH(N$5,APOIO!$B$5:$N$5,0),FALSE),0)</f>
        <v>0</v>
      </c>
      <c r="O23" s="38">
        <f t="shared" si="154"/>
        <v>0</v>
      </c>
      <c r="P23" s="30">
        <f t="shared" si="2"/>
        <v>0</v>
      </c>
      <c r="Q23" s="41">
        <f t="shared" si="155"/>
        <v>0</v>
      </c>
      <c r="R23" s="29">
        <f>IFERROR(VLOOKUP($A23,APOIO!$B:$N,MATCH(R$5,APOIO!$B$5:$N$5,0),FALSE),0)</f>
        <v>0</v>
      </c>
      <c r="S23" s="41">
        <f t="shared" si="156"/>
        <v>0</v>
      </c>
      <c r="T23" s="29">
        <f>IFERROR(VLOOKUP($A23,APOIO!$B:$N,MATCH(T$5,APOIO!$B$5:$N$5,0),FALSE),0)</f>
        <v>0</v>
      </c>
      <c r="U23" s="41">
        <f t="shared" si="157"/>
        <v>0</v>
      </c>
      <c r="V23" s="29">
        <f>IFERROR(VLOOKUP($A23,APOIO!$B:$N,MATCH(V$5,APOIO!$B$5:$N$5,0),FALSE),0)</f>
        <v>0</v>
      </c>
      <c r="W23" s="38">
        <f t="shared" si="158"/>
        <v>0</v>
      </c>
      <c r="X23" s="30">
        <f t="shared" si="3"/>
        <v>0</v>
      </c>
      <c r="Y23" s="41">
        <f t="shared" si="159"/>
        <v>0</v>
      </c>
      <c r="Z23" s="29">
        <f>IFERROR(VLOOKUP($A23,APOIO!$B:$N,MATCH(Z$5,APOIO!$B$5:$N$5,0),FALSE),0)</f>
        <v>0</v>
      </c>
      <c r="AA23" s="38">
        <f t="shared" si="160"/>
        <v>0</v>
      </c>
      <c r="AB23" s="29">
        <f>IFERROR(VLOOKUP($A23,APOIO!$B:$N,MATCH(AB$5,APOIO!$B$5:$N$5,0),FALSE),0)</f>
        <v>0</v>
      </c>
      <c r="AC23" s="38">
        <f t="shared" si="161"/>
        <v>0</v>
      </c>
      <c r="AD23" s="29">
        <f>IFERROR(VLOOKUP($A23,APOIO!$B:$N,MATCH(AD$5,APOIO!$B$5:$N$5,0),FALSE),0)</f>
        <v>0</v>
      </c>
      <c r="AE23" s="38">
        <f t="shared" si="162"/>
        <v>0</v>
      </c>
      <c r="AF23" s="30">
        <f t="shared" si="4"/>
        <v>0</v>
      </c>
      <c r="AG23" s="41">
        <f t="shared" si="163"/>
        <v>0</v>
      </c>
      <c r="AH23" s="29">
        <f t="shared" si="5"/>
        <v>0</v>
      </c>
      <c r="AI23" s="41">
        <f t="shared" si="164"/>
        <v>0</v>
      </c>
    </row>
    <row r="24" spans="1:35" ht="15.6" hidden="1" outlineLevel="1" x14ac:dyDescent="0.3">
      <c r="A24" s="35" t="s">
        <v>259</v>
      </c>
      <c r="B24" s="29">
        <f>IFERROR(VLOOKUP($A24,APOIO!$B:$N,MATCH(B$5,APOIO!$B$5:$N$5,0),FALSE),0)</f>
        <v>0</v>
      </c>
      <c r="C24" s="38">
        <f t="shared" ref="C24" si="165">IFERROR(B24/B$19,0)</f>
        <v>0</v>
      </c>
      <c r="D24" s="29">
        <f>IFERROR(VLOOKUP($A24,APOIO!$B:$N,MATCH(D$5,APOIO!$B$5:$N$5,0),FALSE),0)</f>
        <v>-953</v>
      </c>
      <c r="E24" s="38">
        <f t="shared" ref="E24" si="166">IFERROR(D24/D$19,0)</f>
        <v>-2.6105028170831635E-3</v>
      </c>
      <c r="F24" s="29">
        <f>IFERROR(VLOOKUP($A24,APOIO!$B:$N,MATCH(F$5,APOIO!$B$5:$N$5,0),FALSE),0)</f>
        <v>0</v>
      </c>
      <c r="G24" s="38">
        <f t="shared" ref="G24" si="167">IFERROR(F24/F$19,0)</f>
        <v>0</v>
      </c>
      <c r="H24" s="30">
        <f t="shared" ref="H24" si="168">SUM(B24,D24,F24)</f>
        <v>-953</v>
      </c>
      <c r="I24" s="40">
        <f t="shared" ref="I24" si="169">IFERROR(H24/H$19,0)</f>
        <v>-1.8318530723895475E-3</v>
      </c>
      <c r="J24" s="29">
        <f>IFERROR(VLOOKUP($A24,APOIO!$B:$N,MATCH(J$5,APOIO!$B$5:$N$5,0),FALSE),0)</f>
        <v>0</v>
      </c>
      <c r="K24" s="38">
        <f t="shared" ref="K24" si="170">IFERROR(J24/J$19,0)</f>
        <v>0</v>
      </c>
      <c r="L24" s="29">
        <f>IFERROR(VLOOKUP($A24,APOIO!$B:$N,MATCH(L$5,APOIO!$B$5:$N$5,0),FALSE),0)</f>
        <v>0</v>
      </c>
      <c r="M24" s="38">
        <f t="shared" ref="M24" si="171">IFERROR(L24/L$19,0)</f>
        <v>0</v>
      </c>
      <c r="N24" s="29">
        <f>IFERROR(VLOOKUP($A24,APOIO!$B:$N,MATCH(N$5,APOIO!$B$5:$N$5,0),FALSE),0)</f>
        <v>0</v>
      </c>
      <c r="O24" s="38">
        <f t="shared" ref="O24" si="172">IFERROR(N24/N$19,0)</f>
        <v>0</v>
      </c>
      <c r="P24" s="30">
        <f t="shared" ref="P24" si="173">SUM(J24,L24,N24)</f>
        <v>0</v>
      </c>
      <c r="Q24" s="41">
        <f t="shared" ref="Q24" si="174">IFERROR(P24/P$19,0)</f>
        <v>0</v>
      </c>
      <c r="R24" s="29">
        <f>IFERROR(VLOOKUP($A24,APOIO!$B:$N,MATCH(R$5,APOIO!$B$5:$N$5,0),FALSE),0)</f>
        <v>0</v>
      </c>
      <c r="S24" s="41">
        <f t="shared" ref="S24" si="175">IFERROR(R24/R$19,0)</f>
        <v>0</v>
      </c>
      <c r="T24" s="29">
        <f>IFERROR(VLOOKUP($A24,APOIO!$B:$N,MATCH(T$5,APOIO!$B$5:$N$5,0),FALSE),0)</f>
        <v>0</v>
      </c>
      <c r="U24" s="41">
        <f t="shared" ref="U24" si="176">IFERROR(T24/T$19,0)</f>
        <v>0</v>
      </c>
      <c r="V24" s="29">
        <f>IFERROR(VLOOKUP($A24,APOIO!$B:$N,MATCH(V$5,APOIO!$B$5:$N$5,0),FALSE),0)</f>
        <v>0</v>
      </c>
      <c r="W24" s="38">
        <f t="shared" ref="W24" si="177">IFERROR(V24/V$19,0)</f>
        <v>0</v>
      </c>
      <c r="X24" s="30">
        <f t="shared" ref="X24" si="178">SUM(R24,T24,V24)</f>
        <v>0</v>
      </c>
      <c r="Y24" s="41">
        <f t="shared" ref="Y24" si="179">IFERROR(X24/X$19,0)</f>
        <v>0</v>
      </c>
      <c r="Z24" s="29">
        <f>IFERROR(VLOOKUP($A24,APOIO!$B:$N,MATCH(Z$5,APOIO!$B$5:$N$5,0),FALSE),0)</f>
        <v>0</v>
      </c>
      <c r="AA24" s="38">
        <f t="shared" ref="AA24" si="180">IFERROR(Z24/Z$19,0)</f>
        <v>0</v>
      </c>
      <c r="AB24" s="29">
        <f>IFERROR(VLOOKUP($A24,APOIO!$B:$N,MATCH(AB$5,APOIO!$B$5:$N$5,0),FALSE),0)</f>
        <v>0</v>
      </c>
      <c r="AC24" s="38">
        <f t="shared" ref="AC24" si="181">IFERROR(AB24/AB$19,0)</f>
        <v>0</v>
      </c>
      <c r="AD24" s="29">
        <f>IFERROR(VLOOKUP($A24,APOIO!$B:$N,MATCH(AD$5,APOIO!$B$5:$N$5,0),FALSE),0)</f>
        <v>0</v>
      </c>
      <c r="AE24" s="38">
        <f t="shared" ref="AE24" si="182">IFERROR(AD24/AD$19,0)</f>
        <v>0</v>
      </c>
      <c r="AF24" s="30">
        <f t="shared" ref="AF24" si="183">SUM(Z24,AB24,AD24)</f>
        <v>0</v>
      </c>
      <c r="AG24" s="41">
        <f t="shared" ref="AG24" si="184">IFERROR(AF24/AF$19,0)</f>
        <v>0</v>
      </c>
      <c r="AH24" s="29">
        <f t="shared" ref="AH24" si="185">SUM(B24,D24,F24,J24,L24,N24,R24,T24,V24,Z24,AB24,AD24)</f>
        <v>-953</v>
      </c>
      <c r="AI24" s="41">
        <f t="shared" ref="AI24" si="186">IFERROR(AH24/AH$19,0)</f>
        <v>-1.8318530723895475E-3</v>
      </c>
    </row>
    <row r="25" spans="1:35" ht="15.6" hidden="1" outlineLevel="1" x14ac:dyDescent="0.3">
      <c r="A25" s="35" t="s">
        <v>260</v>
      </c>
      <c r="B25" s="29">
        <f>IFERROR(VLOOKUP($A25,APOIO!$B:$N,MATCH(B$5,APOIO!$B$5:$N$5,0),FALSE),0)</f>
        <v>-1314.12</v>
      </c>
      <c r="C25" s="38">
        <f t="shared" ref="C25" si="187">IFERROR(B25/B$19,0)</f>
        <v>-8.4686616599149115E-3</v>
      </c>
      <c r="D25" s="29">
        <f>IFERROR(VLOOKUP($A25,APOIO!$B:$N,MATCH(D$5,APOIO!$B$5:$N$5,0),FALSE),0)</f>
        <v>0</v>
      </c>
      <c r="E25" s="38">
        <f t="shared" ref="E25" si="188">IFERROR(D25/D$19,0)</f>
        <v>0</v>
      </c>
      <c r="F25" s="29">
        <f>IFERROR(VLOOKUP($A25,APOIO!$B:$N,MATCH(F$5,APOIO!$B$5:$N$5,0),FALSE),0)</f>
        <v>-1333.20454</v>
      </c>
      <c r="G25" s="38">
        <f t="shared" ref="G25" si="189">IFERROR(F25/F$19,0)</f>
        <v>0</v>
      </c>
      <c r="H25" s="30">
        <f t="shared" ref="H25" si="190">SUM(B25,D25,F25)</f>
        <v>-2647.3245399999996</v>
      </c>
      <c r="I25" s="40">
        <f t="shared" ref="I25" si="191">IFERROR(H25/H$19,0)</f>
        <v>-5.0886774314913372E-3</v>
      </c>
      <c r="J25" s="29">
        <f>IFERROR(VLOOKUP($A25,APOIO!$B:$N,MATCH(J$5,APOIO!$B$5:$N$5,0),FALSE),0)</f>
        <v>0</v>
      </c>
      <c r="K25" s="38">
        <f t="shared" ref="K25" si="192">IFERROR(J25/J$19,0)</f>
        <v>0</v>
      </c>
      <c r="L25" s="29">
        <f>IFERROR(VLOOKUP($A25,APOIO!$B:$N,MATCH(L$5,APOIO!$B$5:$N$5,0),FALSE),0)</f>
        <v>-312.58</v>
      </c>
      <c r="M25" s="38">
        <f t="shared" ref="M25" si="193">IFERROR(L25/L$19,0)</f>
        <v>0</v>
      </c>
      <c r="N25" s="29">
        <f>IFERROR(VLOOKUP($A25,APOIO!$B:$N,MATCH(N$5,APOIO!$B$5:$N$5,0),FALSE),0)</f>
        <v>0</v>
      </c>
      <c r="O25" s="38">
        <f t="shared" ref="O25" si="194">IFERROR(N25/N$19,0)</f>
        <v>0</v>
      </c>
      <c r="P25" s="30">
        <f t="shared" ref="P25" si="195">SUM(J25,L25,N25)</f>
        <v>-312.58</v>
      </c>
      <c r="Q25" s="41">
        <f t="shared" ref="Q25" si="196">IFERROR(P25/P$19,0)</f>
        <v>0</v>
      </c>
      <c r="R25" s="29">
        <f>IFERROR(VLOOKUP($A25,APOIO!$B:$N,MATCH(R$5,APOIO!$B$5:$N$5,0),FALSE),0)</f>
        <v>0</v>
      </c>
      <c r="S25" s="41">
        <f t="shared" ref="S25" si="197">IFERROR(R25/R$19,0)</f>
        <v>0</v>
      </c>
      <c r="T25" s="29">
        <f>IFERROR(VLOOKUP($A25,APOIO!$B:$N,MATCH(T$5,APOIO!$B$5:$N$5,0),FALSE),0)</f>
        <v>0</v>
      </c>
      <c r="U25" s="41">
        <f t="shared" ref="U25" si="198">IFERROR(T25/T$19,0)</f>
        <v>0</v>
      </c>
      <c r="V25" s="29">
        <f>IFERROR(VLOOKUP($A25,APOIO!$B:$N,MATCH(V$5,APOIO!$B$5:$N$5,0),FALSE),0)</f>
        <v>0</v>
      </c>
      <c r="W25" s="38">
        <f t="shared" ref="W25" si="199">IFERROR(V25/V$19,0)</f>
        <v>0</v>
      </c>
      <c r="X25" s="30">
        <f t="shared" ref="X25" si="200">SUM(R25,T25,V25)</f>
        <v>0</v>
      </c>
      <c r="Y25" s="41">
        <f t="shared" ref="Y25" si="201">IFERROR(X25/X$19,0)</f>
        <v>0</v>
      </c>
      <c r="Z25" s="29">
        <f>IFERROR(VLOOKUP($A25,APOIO!$B:$N,MATCH(Z$5,APOIO!$B$5:$N$5,0),FALSE),0)</f>
        <v>0</v>
      </c>
      <c r="AA25" s="38">
        <f t="shared" ref="AA25" si="202">IFERROR(Z25/Z$19,0)</f>
        <v>0</v>
      </c>
      <c r="AB25" s="29">
        <f>IFERROR(VLOOKUP($A25,APOIO!$B:$N,MATCH(AB$5,APOIO!$B$5:$N$5,0),FALSE),0)</f>
        <v>0</v>
      </c>
      <c r="AC25" s="38">
        <f t="shared" ref="AC25" si="203">IFERROR(AB25/AB$19,0)</f>
        <v>0</v>
      </c>
      <c r="AD25" s="29">
        <f>IFERROR(VLOOKUP($A25,APOIO!$B:$N,MATCH(AD$5,APOIO!$B$5:$N$5,0),FALSE),0)</f>
        <v>0</v>
      </c>
      <c r="AE25" s="38">
        <f t="shared" ref="AE25" si="204">IFERROR(AD25/AD$19,0)</f>
        <v>0</v>
      </c>
      <c r="AF25" s="30">
        <f t="shared" ref="AF25" si="205">SUM(Z25,AB25,AD25)</f>
        <v>0</v>
      </c>
      <c r="AG25" s="41">
        <f t="shared" ref="AG25" si="206">IFERROR(AF25/AF$19,0)</f>
        <v>0</v>
      </c>
      <c r="AH25" s="29">
        <f t="shared" ref="AH25" si="207">SUM(B25,D25,F25,J25,L25,N25,R25,T25,V25,Z25,AB25,AD25)</f>
        <v>-2959.9045399999995</v>
      </c>
      <c r="AI25" s="41">
        <f t="shared" ref="AI25" si="208">IFERROR(AH25/AH$19,0)</f>
        <v>-5.6895175504499155E-3</v>
      </c>
    </row>
    <row r="26" spans="1:35" ht="15.6" hidden="1" outlineLevel="1" x14ac:dyDescent="0.3">
      <c r="A26" s="35" t="s">
        <v>261</v>
      </c>
      <c r="B26" s="29">
        <f>IFERROR(VLOOKUP($A26,APOIO!$B:$N,MATCH(B$5,APOIO!$B$5:$N$5,0),FALSE),0)</f>
        <v>0</v>
      </c>
      <c r="C26" s="38">
        <f t="shared" ref="C26" si="209">IFERROR(B26/B$19,0)</f>
        <v>0</v>
      </c>
      <c r="D26" s="29">
        <f>IFERROR(VLOOKUP($A26,APOIO!$B:$N,MATCH(D$5,APOIO!$B$5:$N$5,0),FALSE),0)</f>
        <v>-17047.96</v>
      </c>
      <c r="E26" s="38">
        <f t="shared" ref="E26" si="210">IFERROR(D26/D$19,0)</f>
        <v>-4.6698580908206805E-2</v>
      </c>
      <c r="F26" s="29">
        <f>IFERROR(VLOOKUP($A26,APOIO!$B:$N,MATCH(F$5,APOIO!$B$5:$N$5,0),FALSE),0)</f>
        <v>0</v>
      </c>
      <c r="G26" s="38">
        <f t="shared" ref="G26" si="211">IFERROR(F26/F$19,0)</f>
        <v>0</v>
      </c>
      <c r="H26" s="30">
        <f t="shared" ref="H26" si="212">SUM(B26,D26,F26)</f>
        <v>-17047.96</v>
      </c>
      <c r="I26" s="40">
        <f t="shared" ref="I26" si="213">IFERROR(H26/H$19,0)</f>
        <v>-3.2769525607527918E-2</v>
      </c>
      <c r="J26" s="29">
        <f>IFERROR(VLOOKUP($A26,APOIO!$B:$N,MATCH(J$5,APOIO!$B$5:$N$5,0),FALSE),0)</f>
        <v>0</v>
      </c>
      <c r="K26" s="38">
        <f t="shared" ref="K26" si="214">IFERROR(J26/J$19,0)</f>
        <v>0</v>
      </c>
      <c r="L26" s="29">
        <f>IFERROR(VLOOKUP($A26,APOIO!$B:$N,MATCH(L$5,APOIO!$B$5:$N$5,0),FALSE),0)</f>
        <v>0</v>
      </c>
      <c r="M26" s="38">
        <f t="shared" ref="M26" si="215">IFERROR(L26/L$19,0)</f>
        <v>0</v>
      </c>
      <c r="N26" s="29">
        <f>IFERROR(VLOOKUP($A26,APOIO!$B:$N,MATCH(N$5,APOIO!$B$5:$N$5,0),FALSE),0)</f>
        <v>0</v>
      </c>
      <c r="O26" s="38">
        <f t="shared" ref="O26" si="216">IFERROR(N26/N$19,0)</f>
        <v>0</v>
      </c>
      <c r="P26" s="30">
        <f t="shared" ref="P26" si="217">SUM(J26,L26,N26)</f>
        <v>0</v>
      </c>
      <c r="Q26" s="41">
        <f t="shared" ref="Q26" si="218">IFERROR(P26/P$19,0)</f>
        <v>0</v>
      </c>
      <c r="R26" s="29">
        <f>IFERROR(VLOOKUP($A26,APOIO!$B:$N,MATCH(R$5,APOIO!$B$5:$N$5,0),FALSE),0)</f>
        <v>0</v>
      </c>
      <c r="S26" s="41">
        <f t="shared" ref="S26" si="219">IFERROR(R26/R$19,0)</f>
        <v>0</v>
      </c>
      <c r="T26" s="29">
        <f>IFERROR(VLOOKUP($A26,APOIO!$B:$N,MATCH(T$5,APOIO!$B$5:$N$5,0),FALSE),0)</f>
        <v>0</v>
      </c>
      <c r="U26" s="41">
        <f t="shared" ref="U26" si="220">IFERROR(T26/T$19,0)</f>
        <v>0</v>
      </c>
      <c r="V26" s="29">
        <f>IFERROR(VLOOKUP($A26,APOIO!$B:$N,MATCH(V$5,APOIO!$B$5:$N$5,0),FALSE),0)</f>
        <v>0</v>
      </c>
      <c r="W26" s="38">
        <f t="shared" ref="W26" si="221">IFERROR(V26/V$19,0)</f>
        <v>0</v>
      </c>
      <c r="X26" s="30">
        <f t="shared" ref="X26" si="222">SUM(R26,T26,V26)</f>
        <v>0</v>
      </c>
      <c r="Y26" s="41">
        <f t="shared" ref="Y26" si="223">IFERROR(X26/X$19,0)</f>
        <v>0</v>
      </c>
      <c r="Z26" s="29">
        <f>IFERROR(VLOOKUP($A26,APOIO!$B:$N,MATCH(Z$5,APOIO!$B$5:$N$5,0),FALSE),0)</f>
        <v>0</v>
      </c>
      <c r="AA26" s="38">
        <f t="shared" ref="AA26" si="224">IFERROR(Z26/Z$19,0)</f>
        <v>0</v>
      </c>
      <c r="AB26" s="29">
        <f>IFERROR(VLOOKUP($A26,APOIO!$B:$N,MATCH(AB$5,APOIO!$B$5:$N$5,0),FALSE),0)</f>
        <v>0</v>
      </c>
      <c r="AC26" s="38">
        <f t="shared" ref="AC26" si="225">IFERROR(AB26/AB$19,0)</f>
        <v>0</v>
      </c>
      <c r="AD26" s="29">
        <f>IFERROR(VLOOKUP($A26,APOIO!$B:$N,MATCH(AD$5,APOIO!$B$5:$N$5,0),FALSE),0)</f>
        <v>0</v>
      </c>
      <c r="AE26" s="38">
        <f t="shared" ref="AE26" si="226">IFERROR(AD26/AD$19,0)</f>
        <v>0</v>
      </c>
      <c r="AF26" s="30">
        <f t="shared" ref="AF26" si="227">SUM(Z26,AB26,AD26)</f>
        <v>0</v>
      </c>
      <c r="AG26" s="41">
        <f t="shared" ref="AG26" si="228">IFERROR(AF26/AF$19,0)</f>
        <v>0</v>
      </c>
      <c r="AH26" s="29">
        <f t="shared" ref="AH26" si="229">SUM(B26,D26,F26,J26,L26,N26,R26,T26,V26,Z26,AB26,AD26)</f>
        <v>-17047.96</v>
      </c>
      <c r="AI26" s="41">
        <f t="shared" ref="AI26" si="230">IFERROR(AH26/AH$19,0)</f>
        <v>-3.2769525607527918E-2</v>
      </c>
    </row>
    <row r="27" spans="1:35" ht="15.6" hidden="1" outlineLevel="1" x14ac:dyDescent="0.3">
      <c r="A27" s="35" t="s">
        <v>262</v>
      </c>
      <c r="B27" s="29">
        <f>IFERROR(VLOOKUP($A27,APOIO!$B:$N,MATCH(B$5,APOIO!$B$5:$N$5,0),FALSE),0)</f>
        <v>0</v>
      </c>
      <c r="C27" s="38">
        <f t="shared" ref="C27" si="231">IFERROR(B27/B$19,0)</f>
        <v>0</v>
      </c>
      <c r="D27" s="29">
        <f>IFERROR(VLOOKUP($A27,APOIO!$B:$N,MATCH(D$5,APOIO!$B$5:$N$5,0),FALSE),0)</f>
        <v>0</v>
      </c>
      <c r="E27" s="38">
        <f t="shared" ref="E27" si="232">IFERROR(D27/D$19,0)</f>
        <v>0</v>
      </c>
      <c r="F27" s="29">
        <f>IFERROR(VLOOKUP($A27,APOIO!$B:$N,MATCH(F$5,APOIO!$B$5:$N$5,0),FALSE),0)</f>
        <v>0</v>
      </c>
      <c r="G27" s="38">
        <f t="shared" ref="G27" si="233">IFERROR(F27/F$19,0)</f>
        <v>0</v>
      </c>
      <c r="H27" s="30">
        <f t="shared" ref="H27" si="234">SUM(B27,D27,F27)</f>
        <v>0</v>
      </c>
      <c r="I27" s="40">
        <f t="shared" ref="I27" si="235">IFERROR(H27/H$19,0)</f>
        <v>0</v>
      </c>
      <c r="J27" s="29">
        <f>IFERROR(VLOOKUP($A27,APOIO!$B:$N,MATCH(J$5,APOIO!$B$5:$N$5,0),FALSE),0)</f>
        <v>0</v>
      </c>
      <c r="K27" s="38">
        <f t="shared" ref="K27" si="236">IFERROR(J27/J$19,0)</f>
        <v>0</v>
      </c>
      <c r="L27" s="29">
        <f>IFERROR(VLOOKUP($A27,APOIO!$B:$N,MATCH(L$5,APOIO!$B$5:$N$5,0),FALSE),0)</f>
        <v>0</v>
      </c>
      <c r="M27" s="38">
        <f t="shared" ref="M27" si="237">IFERROR(L27/L$19,0)</f>
        <v>0</v>
      </c>
      <c r="N27" s="29">
        <f>IFERROR(VLOOKUP($A27,APOIO!$B:$N,MATCH(N$5,APOIO!$B$5:$N$5,0),FALSE),0)</f>
        <v>0</v>
      </c>
      <c r="O27" s="38">
        <f t="shared" ref="O27" si="238">IFERROR(N27/N$19,0)</f>
        <v>0</v>
      </c>
      <c r="P27" s="30">
        <f t="shared" ref="P27" si="239">SUM(J27,L27,N27)</f>
        <v>0</v>
      </c>
      <c r="Q27" s="41">
        <f t="shared" ref="Q27" si="240">IFERROR(P27/P$19,0)</f>
        <v>0</v>
      </c>
      <c r="R27" s="29">
        <f>IFERROR(VLOOKUP($A27,APOIO!$B:$N,MATCH(R$5,APOIO!$B$5:$N$5,0),FALSE),0)</f>
        <v>0</v>
      </c>
      <c r="S27" s="41">
        <f t="shared" ref="S27" si="241">IFERROR(R27/R$19,0)</f>
        <v>0</v>
      </c>
      <c r="T27" s="29">
        <f>IFERROR(VLOOKUP($A27,APOIO!$B:$N,MATCH(T$5,APOIO!$B$5:$N$5,0),FALSE),0)</f>
        <v>0</v>
      </c>
      <c r="U27" s="41">
        <f t="shared" ref="U27" si="242">IFERROR(T27/T$19,0)</f>
        <v>0</v>
      </c>
      <c r="V27" s="29">
        <f>IFERROR(VLOOKUP($A27,APOIO!$B:$N,MATCH(V$5,APOIO!$B$5:$N$5,0),FALSE),0)</f>
        <v>0</v>
      </c>
      <c r="W27" s="38">
        <f t="shared" ref="W27" si="243">IFERROR(V27/V$19,0)</f>
        <v>0</v>
      </c>
      <c r="X27" s="30">
        <f t="shared" ref="X27" si="244">SUM(R27,T27,V27)</f>
        <v>0</v>
      </c>
      <c r="Y27" s="41">
        <f t="shared" ref="Y27" si="245">IFERROR(X27/X$19,0)</f>
        <v>0</v>
      </c>
      <c r="Z27" s="29">
        <f>IFERROR(VLOOKUP($A27,APOIO!$B:$N,MATCH(Z$5,APOIO!$B$5:$N$5,0),FALSE),0)</f>
        <v>0</v>
      </c>
      <c r="AA27" s="38">
        <f t="shared" ref="AA27" si="246">IFERROR(Z27/Z$19,0)</f>
        <v>0</v>
      </c>
      <c r="AB27" s="29">
        <f>IFERROR(VLOOKUP($A27,APOIO!$B:$N,MATCH(AB$5,APOIO!$B$5:$N$5,0),FALSE),0)</f>
        <v>0</v>
      </c>
      <c r="AC27" s="38">
        <f t="shared" ref="AC27" si="247">IFERROR(AB27/AB$19,0)</f>
        <v>0</v>
      </c>
      <c r="AD27" s="29">
        <f>IFERROR(VLOOKUP($A27,APOIO!$B:$N,MATCH(AD$5,APOIO!$B$5:$N$5,0),FALSE),0)</f>
        <v>0</v>
      </c>
      <c r="AE27" s="38">
        <f t="shared" ref="AE27" si="248">IFERROR(AD27/AD$19,0)</f>
        <v>0</v>
      </c>
      <c r="AF27" s="30">
        <f t="shared" ref="AF27" si="249">SUM(Z27,AB27,AD27)</f>
        <v>0</v>
      </c>
      <c r="AG27" s="41">
        <f t="shared" ref="AG27" si="250">IFERROR(AF27/AF$19,0)</f>
        <v>0</v>
      </c>
      <c r="AH27" s="29">
        <f t="shared" ref="AH27" si="251">SUM(B27,D27,F27,J27,L27,N27,R27,T27,V27,Z27,AB27,AD27)</f>
        <v>0</v>
      </c>
      <c r="AI27" s="41">
        <f t="shared" ref="AI27" si="252">IFERROR(AH27/AH$19,0)</f>
        <v>0</v>
      </c>
    </row>
    <row r="28" spans="1:35" ht="15.6" hidden="1" outlineLevel="1" x14ac:dyDescent="0.3">
      <c r="A28" s="35" t="s">
        <v>263</v>
      </c>
      <c r="B28" s="29">
        <f>IFERROR(VLOOKUP($A28,APOIO!$B:$N,MATCH(B$5,APOIO!$B$5:$N$5,0),FALSE),0)</f>
        <v>0</v>
      </c>
      <c r="C28" s="38">
        <f t="shared" si="134"/>
        <v>0</v>
      </c>
      <c r="D28" s="29">
        <f>IFERROR(VLOOKUP($A28,APOIO!$B:$N,MATCH(D$5,APOIO!$B$5:$N$5,0),FALSE),0)</f>
        <v>0</v>
      </c>
      <c r="E28" s="38">
        <f t="shared" si="134"/>
        <v>0</v>
      </c>
      <c r="F28" s="29">
        <f>IFERROR(VLOOKUP($A28,APOIO!$B:$N,MATCH(F$5,APOIO!$B$5:$N$5,0),FALSE),0)</f>
        <v>0</v>
      </c>
      <c r="G28" s="38">
        <f t="shared" ref="G28" si="253">IFERROR(F28/F$19,0)</f>
        <v>0</v>
      </c>
      <c r="H28" s="30">
        <f t="shared" si="1"/>
        <v>0</v>
      </c>
      <c r="I28" s="40">
        <f t="shared" ref="I28" si="254">IFERROR(H28/H$19,0)</f>
        <v>0</v>
      </c>
      <c r="J28" s="29">
        <f>IFERROR(VLOOKUP($A28,APOIO!$B:$N,MATCH(J$5,APOIO!$B$5:$N$5,0),FALSE),0)</f>
        <v>0</v>
      </c>
      <c r="K28" s="38">
        <f t="shared" ref="K28" si="255">IFERROR(J28/J$19,0)</f>
        <v>0</v>
      </c>
      <c r="L28" s="29">
        <f>IFERROR(VLOOKUP($A28,APOIO!$B:$N,MATCH(L$5,APOIO!$B$5:$N$5,0),FALSE),0)</f>
        <v>0</v>
      </c>
      <c r="M28" s="38">
        <f t="shared" ref="M28" si="256">IFERROR(L28/L$19,0)</f>
        <v>0</v>
      </c>
      <c r="N28" s="29">
        <f>IFERROR(VLOOKUP($A28,APOIO!$B:$N,MATCH(N$5,APOIO!$B$5:$N$5,0),FALSE),0)</f>
        <v>0</v>
      </c>
      <c r="O28" s="38">
        <f t="shared" ref="O28" si="257">IFERROR(N28/N$19,0)</f>
        <v>0</v>
      </c>
      <c r="P28" s="30">
        <f t="shared" si="2"/>
        <v>0</v>
      </c>
      <c r="Q28" s="41">
        <f t="shared" ref="Q28" si="258">IFERROR(P28/P$19,0)</f>
        <v>0</v>
      </c>
      <c r="R28" s="29">
        <f>IFERROR(VLOOKUP($A28,APOIO!$B:$N,MATCH(R$5,APOIO!$B$5:$N$5,0),FALSE),0)</f>
        <v>0</v>
      </c>
      <c r="S28" s="41">
        <f t="shared" ref="S28" si="259">IFERROR(R28/R$19,0)</f>
        <v>0</v>
      </c>
      <c r="T28" s="29">
        <f>IFERROR(VLOOKUP($A28,APOIO!$B:$N,MATCH(T$5,APOIO!$B$5:$N$5,0),FALSE),0)</f>
        <v>0</v>
      </c>
      <c r="U28" s="41">
        <f t="shared" ref="U28" si="260">IFERROR(T28/T$19,0)</f>
        <v>0</v>
      </c>
      <c r="V28" s="29">
        <f>IFERROR(VLOOKUP($A28,APOIO!$B:$N,MATCH(V$5,APOIO!$B$5:$N$5,0),FALSE),0)</f>
        <v>0</v>
      </c>
      <c r="W28" s="38">
        <f t="shared" ref="W28" si="261">IFERROR(V28/V$19,0)</f>
        <v>0</v>
      </c>
      <c r="X28" s="30">
        <f t="shared" si="3"/>
        <v>0</v>
      </c>
      <c r="Y28" s="41">
        <f t="shared" ref="Y28" si="262">IFERROR(X28/X$19,0)</f>
        <v>0</v>
      </c>
      <c r="Z28" s="29">
        <f>IFERROR(VLOOKUP($A28,APOIO!$B:$N,MATCH(Z$5,APOIO!$B$5:$N$5,0),FALSE),0)</f>
        <v>0</v>
      </c>
      <c r="AA28" s="38">
        <f t="shared" ref="AA28" si="263">IFERROR(Z28/Z$19,0)</f>
        <v>0</v>
      </c>
      <c r="AB28" s="29">
        <f>IFERROR(VLOOKUP($A28,APOIO!$B:$N,MATCH(AB$5,APOIO!$B$5:$N$5,0),FALSE),0)</f>
        <v>0</v>
      </c>
      <c r="AC28" s="38">
        <f t="shared" ref="AC28" si="264">IFERROR(AB28/AB$19,0)</f>
        <v>0</v>
      </c>
      <c r="AD28" s="29">
        <f>IFERROR(VLOOKUP($A28,APOIO!$B:$N,MATCH(AD$5,APOIO!$B$5:$N$5,0),FALSE),0)</f>
        <v>0</v>
      </c>
      <c r="AE28" s="38">
        <f t="shared" ref="AE28" si="265">IFERROR(AD28/AD$19,0)</f>
        <v>0</v>
      </c>
      <c r="AF28" s="30">
        <f t="shared" si="4"/>
        <v>0</v>
      </c>
      <c r="AG28" s="41">
        <f t="shared" ref="AG28" si="266">IFERROR(AF28/AF$19,0)</f>
        <v>0</v>
      </c>
      <c r="AH28" s="29">
        <f t="shared" si="5"/>
        <v>0</v>
      </c>
      <c r="AI28" s="41">
        <f t="shared" ref="AI28" si="267">IFERROR(AH28/AH$19,0)</f>
        <v>0</v>
      </c>
    </row>
    <row r="29" spans="1:35" ht="15.6" hidden="1" outlineLevel="1" x14ac:dyDescent="0.3">
      <c r="A29" s="35"/>
      <c r="B29" s="29">
        <f>IFERROR(VLOOKUP($A29,APOIO!$B:$N,MATCH(B$5,APOIO!$B$5:$N$5,0),FALSE),0)</f>
        <v>0</v>
      </c>
      <c r="C29" s="38">
        <f t="shared" si="134"/>
        <v>0</v>
      </c>
      <c r="D29" s="29">
        <f>IFERROR(VLOOKUP($A29,APOIO!$B:$N,MATCH(D$5,APOIO!$B$5:$N$5,0),FALSE),0)</f>
        <v>0</v>
      </c>
      <c r="E29" s="38">
        <f t="shared" si="134"/>
        <v>0</v>
      </c>
      <c r="F29" s="29">
        <f>IFERROR(VLOOKUP($A29,APOIO!$B:$N,MATCH(F$5,APOIO!$B$5:$N$5,0),FALSE),0)</f>
        <v>0</v>
      </c>
      <c r="G29" s="38">
        <f t="shared" ref="G29" si="268">IFERROR(F29/F$19,0)</f>
        <v>0</v>
      </c>
      <c r="H29" s="30">
        <f t="shared" ref="H29" si="269">SUM(B29,D29,F29)</f>
        <v>0</v>
      </c>
      <c r="I29" s="40">
        <f t="shared" ref="I29" si="270">IFERROR(H29/H$19,0)</f>
        <v>0</v>
      </c>
      <c r="J29" s="29">
        <f>IFERROR(VLOOKUP($A29,APOIO!$B:$N,MATCH(J$5,APOIO!$B$5:$N$5,0),FALSE),0)</f>
        <v>0</v>
      </c>
      <c r="K29" s="38">
        <f t="shared" ref="K29" si="271">IFERROR(J29/J$19,0)</f>
        <v>0</v>
      </c>
      <c r="L29" s="29">
        <f>IFERROR(VLOOKUP($A29,APOIO!$B:$N,MATCH(L$5,APOIO!$B$5:$N$5,0),FALSE),0)</f>
        <v>0</v>
      </c>
      <c r="M29" s="38">
        <f t="shared" ref="M29" si="272">IFERROR(L29/L$19,0)</f>
        <v>0</v>
      </c>
      <c r="N29" s="29">
        <f>IFERROR(VLOOKUP($A29,APOIO!$B:$N,MATCH(N$5,APOIO!$B$5:$N$5,0),FALSE),0)</f>
        <v>0</v>
      </c>
      <c r="O29" s="38">
        <f t="shared" ref="O29" si="273">IFERROR(N29/N$19,0)</f>
        <v>0</v>
      </c>
      <c r="P29" s="30">
        <f t="shared" ref="P29" si="274">SUM(J29,L29,N29)</f>
        <v>0</v>
      </c>
      <c r="Q29" s="41">
        <f t="shared" ref="Q29" si="275">IFERROR(P29/P$19,0)</f>
        <v>0</v>
      </c>
      <c r="R29" s="29">
        <f>IFERROR(VLOOKUP($A29,APOIO!$B:$N,MATCH(R$5,APOIO!$B$5:$N$5,0),FALSE),0)</f>
        <v>0</v>
      </c>
      <c r="S29" s="41">
        <f t="shared" ref="S29" si="276">IFERROR(R29/R$19,0)</f>
        <v>0</v>
      </c>
      <c r="T29" s="29">
        <f>IFERROR(VLOOKUP($A29,APOIO!$B:$N,MATCH(T$5,APOIO!$B$5:$N$5,0),FALSE),0)</f>
        <v>0</v>
      </c>
      <c r="U29" s="41">
        <f t="shared" ref="U29" si="277">IFERROR(T29/T$19,0)</f>
        <v>0</v>
      </c>
      <c r="V29" s="29">
        <f>IFERROR(VLOOKUP($A29,APOIO!$B:$N,MATCH(V$5,APOIO!$B$5:$N$5,0),FALSE),0)</f>
        <v>0</v>
      </c>
      <c r="W29" s="38">
        <f t="shared" ref="W29" si="278">IFERROR(V29/V$19,0)</f>
        <v>0</v>
      </c>
      <c r="X29" s="30">
        <f t="shared" ref="X29" si="279">SUM(R29,T29,V29)</f>
        <v>0</v>
      </c>
      <c r="Y29" s="41">
        <f t="shared" ref="Y29" si="280">IFERROR(X29/X$19,0)</f>
        <v>0</v>
      </c>
      <c r="Z29" s="29">
        <f>IFERROR(VLOOKUP($A29,APOIO!$B:$N,MATCH(Z$5,APOIO!$B$5:$N$5,0),FALSE),0)</f>
        <v>0</v>
      </c>
      <c r="AA29" s="38">
        <f t="shared" ref="AA29" si="281">IFERROR(Z29/Z$19,0)</f>
        <v>0</v>
      </c>
      <c r="AB29" s="29">
        <f>IFERROR(VLOOKUP($A29,APOIO!$B:$N,MATCH(AB$5,APOIO!$B$5:$N$5,0),FALSE),0)</f>
        <v>0</v>
      </c>
      <c r="AC29" s="38">
        <f t="shared" ref="AC29" si="282">IFERROR(AB29/AB$19,0)</f>
        <v>0</v>
      </c>
      <c r="AD29" s="29">
        <f>IFERROR(VLOOKUP($A29,APOIO!$B:$N,MATCH(AD$5,APOIO!$B$5:$N$5,0),FALSE),0)</f>
        <v>0</v>
      </c>
      <c r="AE29" s="38">
        <f t="shared" ref="AE29" si="283">IFERROR(AD29/AD$19,0)</f>
        <v>0</v>
      </c>
      <c r="AF29" s="30">
        <f t="shared" ref="AF29" si="284">SUM(Z29,AB29,AD29)</f>
        <v>0</v>
      </c>
      <c r="AG29" s="41">
        <f t="shared" ref="AG29" si="285">IFERROR(AF29/AF$19,0)</f>
        <v>0</v>
      </c>
      <c r="AH29" s="29">
        <f t="shared" ref="AH29" si="286">SUM(B29,D29,F29,J29,L29,N29,R29,T29,V29,Z29,AB29,AD29)</f>
        <v>0</v>
      </c>
      <c r="AI29" s="41">
        <f t="shared" ref="AI29" si="287">IFERROR(AH29/AH$19,0)</f>
        <v>0</v>
      </c>
    </row>
    <row r="30" spans="1:35" ht="15.6" hidden="1" outlineLevel="1" x14ac:dyDescent="0.3">
      <c r="A30" s="36" t="s">
        <v>119</v>
      </c>
      <c r="B30" s="37">
        <f>IFERROR(VLOOKUP($A30,APOIO!$B:$N,MATCH(B$5,APOIO!$B$5:$N$5,0),FALSE),0)</f>
        <v>0</v>
      </c>
      <c r="C30" s="39">
        <f t="shared" si="134"/>
        <v>0</v>
      </c>
      <c r="D30" s="37">
        <f>IFERROR(VLOOKUP($A30,APOIO!$B:$N,MATCH(D$5,APOIO!$B$5:$N$5,0),FALSE),0)</f>
        <v>0</v>
      </c>
      <c r="E30" s="39">
        <f t="shared" si="134"/>
        <v>0</v>
      </c>
      <c r="F30" s="37">
        <f>IFERROR(VLOOKUP($A30,APOIO!$B:$N,MATCH(F$5,APOIO!$B$5:$N$5,0),FALSE),0)</f>
        <v>0</v>
      </c>
      <c r="G30" s="39">
        <f t="shared" ref="G30" si="288">IFERROR(F30/F$19,0)</f>
        <v>0</v>
      </c>
      <c r="H30" s="37">
        <f t="shared" si="1"/>
        <v>0</v>
      </c>
      <c r="I30" s="39">
        <f t="shared" ref="I30" si="289">IFERROR(H30/H$19,0)</f>
        <v>0</v>
      </c>
      <c r="J30" s="37">
        <f>IFERROR(VLOOKUP($A30,APOIO!$B:$N,MATCH(J$5,APOIO!$B$5:$N$5,0),FALSE),0)</f>
        <v>0</v>
      </c>
      <c r="K30" s="39">
        <f t="shared" ref="K30" si="290">IFERROR(J30/J$19,0)</f>
        <v>0</v>
      </c>
      <c r="L30" s="37">
        <f>IFERROR(VLOOKUP($A30,APOIO!$B:$N,MATCH(L$5,APOIO!$B$5:$N$5,0),FALSE),0)</f>
        <v>0</v>
      </c>
      <c r="M30" s="39">
        <f t="shared" ref="M30" si="291">IFERROR(L30/L$19,0)</f>
        <v>0</v>
      </c>
      <c r="N30" s="37">
        <f>IFERROR(VLOOKUP($A30,APOIO!$B:$N,MATCH(N$5,APOIO!$B$5:$N$5,0),FALSE),0)</f>
        <v>0</v>
      </c>
      <c r="O30" s="39">
        <f t="shared" ref="O30" si="292">IFERROR(N30/N$19,0)</f>
        <v>0</v>
      </c>
      <c r="P30" s="37">
        <f t="shared" si="2"/>
        <v>0</v>
      </c>
      <c r="Q30" s="42">
        <f t="shared" ref="Q30" si="293">IFERROR(P30/P$19,0)</f>
        <v>0</v>
      </c>
      <c r="R30" s="37">
        <f>IFERROR(VLOOKUP($A30,APOIO!$B:$N,MATCH(R$5,APOIO!$B$5:$N$5,0),FALSE),0)</f>
        <v>0</v>
      </c>
      <c r="S30" s="42">
        <f t="shared" ref="S30" si="294">IFERROR(R30/R$19,0)</f>
        <v>0</v>
      </c>
      <c r="T30" s="37">
        <f>IFERROR(VLOOKUP($A30,APOIO!$B:$N,MATCH(T$5,APOIO!$B$5:$N$5,0),FALSE),0)</f>
        <v>0</v>
      </c>
      <c r="U30" s="42">
        <f t="shared" ref="U30" si="295">IFERROR(T30/T$19,0)</f>
        <v>0</v>
      </c>
      <c r="V30" s="37">
        <f>IFERROR(VLOOKUP($A30,APOIO!$B:$N,MATCH(V$5,APOIO!$B$5:$N$5,0),FALSE),0)</f>
        <v>0</v>
      </c>
      <c r="W30" s="39">
        <f t="shared" ref="W30" si="296">IFERROR(V30/V$19,0)</f>
        <v>0</v>
      </c>
      <c r="X30" s="37">
        <f t="shared" si="3"/>
        <v>0</v>
      </c>
      <c r="Y30" s="42">
        <f t="shared" ref="Y30" si="297">IFERROR(X30/X$19,0)</f>
        <v>0</v>
      </c>
      <c r="Z30" s="37">
        <f>IFERROR(VLOOKUP($A30,APOIO!$B:$N,MATCH(Z$5,APOIO!$B$5:$N$5,0),FALSE),0)</f>
        <v>0</v>
      </c>
      <c r="AA30" s="39">
        <f t="shared" ref="AA30" si="298">IFERROR(Z30/Z$19,0)</f>
        <v>0</v>
      </c>
      <c r="AB30" s="37">
        <f>IFERROR(VLOOKUP($A30,APOIO!$B:$N,MATCH(AB$5,APOIO!$B$5:$N$5,0),FALSE),0)</f>
        <v>0</v>
      </c>
      <c r="AC30" s="39">
        <f t="shared" ref="AC30" si="299">IFERROR(AB30/AB$19,0)</f>
        <v>0</v>
      </c>
      <c r="AD30" s="37">
        <f>IFERROR(VLOOKUP($A30,APOIO!$B:$N,MATCH(AD$5,APOIO!$B$5:$N$5,0),FALSE),0)</f>
        <v>0</v>
      </c>
      <c r="AE30" s="39">
        <f t="shared" ref="AE30" si="300">IFERROR(AD30/AD$19,0)</f>
        <v>0</v>
      </c>
      <c r="AF30" s="37">
        <f t="shared" si="4"/>
        <v>0</v>
      </c>
      <c r="AG30" s="42">
        <f t="shared" ref="AG30" si="301">IFERROR(AF30/AF$19,0)</f>
        <v>0</v>
      </c>
      <c r="AH30" s="37">
        <f t="shared" si="5"/>
        <v>0</v>
      </c>
      <c r="AI30" s="42">
        <f t="shared" ref="AI30" si="302">IFERROR(AH30/AH$19,0)</f>
        <v>0</v>
      </c>
    </row>
    <row r="31" spans="1:35" ht="15.6" hidden="1" outlineLevel="1" x14ac:dyDescent="0.3">
      <c r="A31" s="35" t="s">
        <v>198</v>
      </c>
      <c r="B31" s="29">
        <f>IFERROR(VLOOKUP($A31,APOIO!$B:$N,MATCH(B$5,APOIO!$B$5:$N$5,0),FALSE),0)</f>
        <v>0</v>
      </c>
      <c r="C31" s="38">
        <f t="shared" si="134"/>
        <v>0</v>
      </c>
      <c r="D31" s="29">
        <f>IFERROR(VLOOKUP($A31,APOIO!$B:$N,MATCH(D$5,APOIO!$B$5:$N$5,0),FALSE),0)</f>
        <v>0</v>
      </c>
      <c r="E31" s="38">
        <f t="shared" si="134"/>
        <v>0</v>
      </c>
      <c r="F31" s="29">
        <f>IFERROR(VLOOKUP($A31,APOIO!$B:$N,MATCH(F$5,APOIO!$B$5:$N$5,0),FALSE),0)</f>
        <v>0</v>
      </c>
      <c r="G31" s="38">
        <f t="shared" ref="G31" si="303">IFERROR(F31/F$19,0)</f>
        <v>0</v>
      </c>
      <c r="H31" s="30">
        <f t="shared" si="1"/>
        <v>0</v>
      </c>
      <c r="I31" s="40">
        <f t="shared" ref="I31" si="304">IFERROR(H31/H$19,0)</f>
        <v>0</v>
      </c>
      <c r="J31" s="29">
        <f>IFERROR(VLOOKUP($A31,APOIO!$B:$N,MATCH(J$5,APOIO!$B$5:$N$5,0),FALSE),0)</f>
        <v>0</v>
      </c>
      <c r="K31" s="38">
        <f t="shared" ref="K31" si="305">IFERROR(J31/J$19,0)</f>
        <v>0</v>
      </c>
      <c r="L31" s="29">
        <f>IFERROR(VLOOKUP($A31,APOIO!$B:$N,MATCH(L$5,APOIO!$B$5:$N$5,0),FALSE),0)</f>
        <v>0</v>
      </c>
      <c r="M31" s="38">
        <f t="shared" ref="M31" si="306">IFERROR(L31/L$19,0)</f>
        <v>0</v>
      </c>
      <c r="N31" s="29">
        <f>IFERROR(VLOOKUP($A31,APOIO!$B:$N,MATCH(N$5,APOIO!$B$5:$N$5,0),FALSE),0)</f>
        <v>0</v>
      </c>
      <c r="O31" s="38">
        <f t="shared" ref="O31" si="307">IFERROR(N31/N$19,0)</f>
        <v>0</v>
      </c>
      <c r="P31" s="30">
        <f t="shared" si="2"/>
        <v>0</v>
      </c>
      <c r="Q31" s="41">
        <f t="shared" ref="Q31" si="308">IFERROR(P31/P$19,0)</f>
        <v>0</v>
      </c>
      <c r="R31" s="29">
        <f>IFERROR(VLOOKUP($A31,APOIO!$B:$N,MATCH(R$5,APOIO!$B$5:$N$5,0),FALSE),0)</f>
        <v>0</v>
      </c>
      <c r="S31" s="41">
        <f t="shared" ref="S31" si="309">IFERROR(R31/R$19,0)</f>
        <v>0</v>
      </c>
      <c r="T31" s="29">
        <f>IFERROR(VLOOKUP($A31,APOIO!$B:$N,MATCH(T$5,APOIO!$B$5:$N$5,0),FALSE),0)</f>
        <v>0</v>
      </c>
      <c r="U31" s="41">
        <f t="shared" ref="U31" si="310">IFERROR(T31/T$19,0)</f>
        <v>0</v>
      </c>
      <c r="V31" s="29">
        <f>IFERROR(VLOOKUP($A31,APOIO!$B:$N,MATCH(V$5,APOIO!$B$5:$N$5,0),FALSE),0)</f>
        <v>0</v>
      </c>
      <c r="W31" s="38">
        <f t="shared" ref="W31" si="311">IFERROR(V31/V$19,0)</f>
        <v>0</v>
      </c>
      <c r="X31" s="30">
        <f t="shared" si="3"/>
        <v>0</v>
      </c>
      <c r="Y31" s="41">
        <f t="shared" ref="Y31" si="312">IFERROR(X31/X$19,0)</f>
        <v>0</v>
      </c>
      <c r="Z31" s="29">
        <f>IFERROR(VLOOKUP($A31,APOIO!$B:$N,MATCH(Z$5,APOIO!$B$5:$N$5,0),FALSE),0)</f>
        <v>0</v>
      </c>
      <c r="AA31" s="38">
        <f t="shared" ref="AA31" si="313">IFERROR(Z31/Z$19,0)</f>
        <v>0</v>
      </c>
      <c r="AB31" s="29">
        <f>IFERROR(VLOOKUP($A31,APOIO!$B:$N,MATCH(AB$5,APOIO!$B$5:$N$5,0),FALSE),0)</f>
        <v>0</v>
      </c>
      <c r="AC31" s="38">
        <f t="shared" ref="AC31" si="314">IFERROR(AB31/AB$19,0)</f>
        <v>0</v>
      </c>
      <c r="AD31" s="29">
        <f>IFERROR(VLOOKUP($A31,APOIO!$B:$N,MATCH(AD$5,APOIO!$B$5:$N$5,0),FALSE),0)</f>
        <v>0</v>
      </c>
      <c r="AE31" s="38">
        <f t="shared" ref="AE31" si="315">IFERROR(AD31/AD$19,0)</f>
        <v>0</v>
      </c>
      <c r="AF31" s="30">
        <f t="shared" si="4"/>
        <v>0</v>
      </c>
      <c r="AG31" s="41">
        <f t="shared" ref="AG31" si="316">IFERROR(AF31/AF$19,0)</f>
        <v>0</v>
      </c>
      <c r="AH31" s="29">
        <f t="shared" si="5"/>
        <v>0</v>
      </c>
      <c r="AI31" s="41">
        <f t="shared" ref="AI31" si="317">IFERROR(AH31/AH$19,0)</f>
        <v>0</v>
      </c>
    </row>
    <row r="32" spans="1:35" ht="15.6" hidden="1" outlineLevel="1" x14ac:dyDescent="0.3">
      <c r="A32" s="35"/>
      <c r="B32" s="29">
        <f>IFERROR(VLOOKUP($A32,APOIO!$B:$N,MATCH(B$5,APOIO!$B$5:$N$5,0),FALSE),0)</f>
        <v>0</v>
      </c>
      <c r="C32" s="38">
        <f t="shared" si="134"/>
        <v>0</v>
      </c>
      <c r="D32" s="29">
        <f>IFERROR(VLOOKUP($A32,APOIO!$B:$N,MATCH(D$5,APOIO!$B$5:$N$5,0),FALSE),0)</f>
        <v>0</v>
      </c>
      <c r="E32" s="38">
        <f t="shared" si="134"/>
        <v>0</v>
      </c>
      <c r="F32" s="29">
        <f>IFERROR(VLOOKUP($A32,APOIO!$B:$N,MATCH(F$5,APOIO!$B$5:$N$5,0),FALSE),0)</f>
        <v>0</v>
      </c>
      <c r="G32" s="38">
        <f t="shared" ref="G32" si="318">IFERROR(F32/F$19,0)</f>
        <v>0</v>
      </c>
      <c r="H32" s="30">
        <f t="shared" ref="H32" si="319">SUM(B32,D32,F32)</f>
        <v>0</v>
      </c>
      <c r="I32" s="40">
        <f t="shared" ref="I32" si="320">IFERROR(H32/H$19,0)</f>
        <v>0</v>
      </c>
      <c r="J32" s="29">
        <f>IFERROR(VLOOKUP($A32,APOIO!$B:$N,MATCH(J$5,APOIO!$B$5:$N$5,0),FALSE),0)</f>
        <v>0</v>
      </c>
      <c r="K32" s="38">
        <f t="shared" ref="K32" si="321">IFERROR(J32/J$19,0)</f>
        <v>0</v>
      </c>
      <c r="L32" s="29">
        <f>IFERROR(VLOOKUP($A32,APOIO!$B:$N,MATCH(L$5,APOIO!$B$5:$N$5,0),FALSE),0)</f>
        <v>0</v>
      </c>
      <c r="M32" s="38">
        <f t="shared" ref="M32" si="322">IFERROR(L32/L$19,0)</f>
        <v>0</v>
      </c>
      <c r="N32" s="29">
        <f>IFERROR(VLOOKUP($A32,APOIO!$B:$N,MATCH(N$5,APOIO!$B$5:$N$5,0),FALSE),0)</f>
        <v>0</v>
      </c>
      <c r="O32" s="38">
        <f t="shared" ref="O32" si="323">IFERROR(N32/N$19,0)</f>
        <v>0</v>
      </c>
      <c r="P32" s="30">
        <f t="shared" ref="P32" si="324">SUM(J32,L32,N32)</f>
        <v>0</v>
      </c>
      <c r="Q32" s="41">
        <f t="shared" ref="Q32" si="325">IFERROR(P32/P$19,0)</f>
        <v>0</v>
      </c>
      <c r="R32" s="29">
        <f>IFERROR(VLOOKUP($A32,APOIO!$B:$N,MATCH(R$5,APOIO!$B$5:$N$5,0),FALSE),0)</f>
        <v>0</v>
      </c>
      <c r="S32" s="41">
        <f t="shared" ref="S32" si="326">IFERROR(R32/R$19,0)</f>
        <v>0</v>
      </c>
      <c r="T32" s="29">
        <f>IFERROR(VLOOKUP($A32,APOIO!$B:$N,MATCH(T$5,APOIO!$B$5:$N$5,0),FALSE),0)</f>
        <v>0</v>
      </c>
      <c r="U32" s="41">
        <f t="shared" ref="U32" si="327">IFERROR(T32/T$19,0)</f>
        <v>0</v>
      </c>
      <c r="V32" s="29">
        <f>IFERROR(VLOOKUP($A32,APOIO!$B:$N,MATCH(V$5,APOIO!$B$5:$N$5,0),FALSE),0)</f>
        <v>0</v>
      </c>
      <c r="W32" s="38">
        <f t="shared" ref="W32" si="328">IFERROR(V32/V$19,0)</f>
        <v>0</v>
      </c>
      <c r="X32" s="30">
        <f t="shared" ref="X32" si="329">SUM(R32,T32,V32)</f>
        <v>0</v>
      </c>
      <c r="Y32" s="41">
        <f t="shared" ref="Y32" si="330">IFERROR(X32/X$19,0)</f>
        <v>0</v>
      </c>
      <c r="Z32" s="29">
        <f>IFERROR(VLOOKUP($A32,APOIO!$B:$N,MATCH(Z$5,APOIO!$B$5:$N$5,0),FALSE),0)</f>
        <v>0</v>
      </c>
      <c r="AA32" s="38">
        <f t="shared" ref="AA32" si="331">IFERROR(Z32/Z$19,0)</f>
        <v>0</v>
      </c>
      <c r="AB32" s="29">
        <f>IFERROR(VLOOKUP($A32,APOIO!$B:$N,MATCH(AB$5,APOIO!$B$5:$N$5,0),FALSE),0)</f>
        <v>0</v>
      </c>
      <c r="AC32" s="38">
        <f t="shared" ref="AC32" si="332">IFERROR(AB32/AB$19,0)</f>
        <v>0</v>
      </c>
      <c r="AD32" s="29">
        <f>IFERROR(VLOOKUP($A32,APOIO!$B:$N,MATCH(AD$5,APOIO!$B$5:$N$5,0),FALSE),0)</f>
        <v>0</v>
      </c>
      <c r="AE32" s="38">
        <f t="shared" ref="AE32" si="333">IFERROR(AD32/AD$19,0)</f>
        <v>0</v>
      </c>
      <c r="AF32" s="30">
        <f t="shared" ref="AF32" si="334">SUM(Z32,AB32,AD32)</f>
        <v>0</v>
      </c>
      <c r="AG32" s="41">
        <f t="shared" ref="AG32" si="335">IFERROR(AF32/AF$19,0)</f>
        <v>0</v>
      </c>
      <c r="AH32" s="29">
        <f t="shared" ref="AH32" si="336">SUM(B32,D32,F32,J32,L32,N32,R32,T32,V32,Z32,AB32,AD32)</f>
        <v>0</v>
      </c>
      <c r="AI32" s="41">
        <f t="shared" ref="AI32" si="337">IFERROR(AH32/AH$19,0)</f>
        <v>0</v>
      </c>
    </row>
    <row r="33" spans="1:35" ht="15.6" hidden="1" outlineLevel="1" x14ac:dyDescent="0.3">
      <c r="A33" s="35"/>
      <c r="B33" s="29">
        <f>IFERROR(VLOOKUP($A33,APOIO!$B:$N,MATCH(B$5,APOIO!$B$5:$N$5,0),FALSE),0)</f>
        <v>0</v>
      </c>
      <c r="C33" s="38">
        <f t="shared" si="134"/>
        <v>0</v>
      </c>
      <c r="D33" s="29">
        <f>IFERROR(VLOOKUP($A33,APOIO!$B:$N,MATCH(D$5,APOIO!$B$5:$N$5,0),FALSE),0)</f>
        <v>0</v>
      </c>
      <c r="E33" s="38">
        <f t="shared" si="134"/>
        <v>0</v>
      </c>
      <c r="F33" s="29">
        <f>IFERROR(VLOOKUP($A33,APOIO!$B:$N,MATCH(F$5,APOIO!$B$5:$N$5,0),FALSE),0)</f>
        <v>0</v>
      </c>
      <c r="G33" s="38">
        <f t="shared" ref="G33" si="338">IFERROR(F33/F$19,0)</f>
        <v>0</v>
      </c>
      <c r="H33" s="30">
        <f t="shared" ref="H33" si="339">SUM(B33,D33,F33)</f>
        <v>0</v>
      </c>
      <c r="I33" s="40">
        <f t="shared" ref="I33" si="340">IFERROR(H33/H$19,0)</f>
        <v>0</v>
      </c>
      <c r="J33" s="29">
        <f>IFERROR(VLOOKUP($A33,APOIO!$B:$N,MATCH(J$5,APOIO!$B$5:$N$5,0),FALSE),0)</f>
        <v>0</v>
      </c>
      <c r="K33" s="38">
        <f t="shared" ref="K33" si="341">IFERROR(J33/J$19,0)</f>
        <v>0</v>
      </c>
      <c r="L33" s="29">
        <f>IFERROR(VLOOKUP($A33,APOIO!$B:$N,MATCH(L$5,APOIO!$B$5:$N$5,0),FALSE),0)</f>
        <v>0</v>
      </c>
      <c r="M33" s="38">
        <f t="shared" ref="M33" si="342">IFERROR(L33/L$19,0)</f>
        <v>0</v>
      </c>
      <c r="N33" s="29">
        <f>IFERROR(VLOOKUP($A33,APOIO!$B:$N,MATCH(N$5,APOIO!$B$5:$N$5,0),FALSE),0)</f>
        <v>0</v>
      </c>
      <c r="O33" s="38">
        <f t="shared" ref="O33" si="343">IFERROR(N33/N$19,0)</f>
        <v>0</v>
      </c>
      <c r="P33" s="30">
        <f t="shared" ref="P33" si="344">SUM(J33,L33,N33)</f>
        <v>0</v>
      </c>
      <c r="Q33" s="41">
        <f t="shared" ref="Q33" si="345">IFERROR(P33/P$19,0)</f>
        <v>0</v>
      </c>
      <c r="R33" s="29">
        <f>IFERROR(VLOOKUP($A33,APOIO!$B:$N,MATCH(R$5,APOIO!$B$5:$N$5,0),FALSE),0)</f>
        <v>0</v>
      </c>
      <c r="S33" s="41">
        <f t="shared" ref="S33" si="346">IFERROR(R33/R$19,0)</f>
        <v>0</v>
      </c>
      <c r="T33" s="29">
        <f>IFERROR(VLOOKUP($A33,APOIO!$B:$N,MATCH(T$5,APOIO!$B$5:$N$5,0),FALSE),0)</f>
        <v>0</v>
      </c>
      <c r="U33" s="41">
        <f t="shared" ref="U33" si="347">IFERROR(T33/T$19,0)</f>
        <v>0</v>
      </c>
      <c r="V33" s="29">
        <f>IFERROR(VLOOKUP($A33,APOIO!$B:$N,MATCH(V$5,APOIO!$B$5:$N$5,0),FALSE),0)</f>
        <v>0</v>
      </c>
      <c r="W33" s="38">
        <f t="shared" ref="W33" si="348">IFERROR(V33/V$19,0)</f>
        <v>0</v>
      </c>
      <c r="X33" s="30">
        <f t="shared" ref="X33" si="349">SUM(R33,T33,V33)</f>
        <v>0</v>
      </c>
      <c r="Y33" s="41">
        <f t="shared" ref="Y33" si="350">IFERROR(X33/X$19,0)</f>
        <v>0</v>
      </c>
      <c r="Z33" s="29">
        <f>IFERROR(VLOOKUP($A33,APOIO!$B:$N,MATCH(Z$5,APOIO!$B$5:$N$5,0),FALSE),0)</f>
        <v>0</v>
      </c>
      <c r="AA33" s="38">
        <f t="shared" ref="AA33" si="351">IFERROR(Z33/Z$19,0)</f>
        <v>0</v>
      </c>
      <c r="AB33" s="29">
        <f>IFERROR(VLOOKUP($A33,APOIO!$B:$N,MATCH(AB$5,APOIO!$B$5:$N$5,0),FALSE),0)</f>
        <v>0</v>
      </c>
      <c r="AC33" s="38">
        <f t="shared" ref="AC33" si="352">IFERROR(AB33/AB$19,0)</f>
        <v>0</v>
      </c>
      <c r="AD33" s="29">
        <f>IFERROR(VLOOKUP($A33,APOIO!$B:$N,MATCH(AD$5,APOIO!$B$5:$N$5,0),FALSE),0)</f>
        <v>0</v>
      </c>
      <c r="AE33" s="38">
        <f t="shared" ref="AE33" si="353">IFERROR(AD33/AD$19,0)</f>
        <v>0</v>
      </c>
      <c r="AF33" s="30">
        <f t="shared" ref="AF33" si="354">SUM(Z33,AB33,AD33)</f>
        <v>0</v>
      </c>
      <c r="AG33" s="41">
        <f t="shared" ref="AG33" si="355">IFERROR(AF33/AF$19,0)</f>
        <v>0</v>
      </c>
      <c r="AH33" s="29">
        <f t="shared" ref="AH33" si="356">SUM(B33,D33,F33,J33,L33,N33,R33,T33,V33,Z33,AB33,AD33)</f>
        <v>0</v>
      </c>
      <c r="AI33" s="41">
        <f t="shared" ref="AI33" si="357">IFERROR(AH33/AH$19,0)</f>
        <v>0</v>
      </c>
    </row>
    <row r="34" spans="1:35" ht="16.2" collapsed="1" thickTop="1" x14ac:dyDescent="0.3">
      <c r="A34" s="50" t="s">
        <v>120</v>
      </c>
      <c r="B34" s="51">
        <f>SUM(B19:B20)</f>
        <v>153860.34</v>
      </c>
      <c r="C34" s="47">
        <f t="shared" si="134"/>
        <v>0.99153133834008511</v>
      </c>
      <c r="D34" s="51">
        <f>SUM(D19:D20)</f>
        <v>344717.33999999997</v>
      </c>
      <c r="E34" s="47">
        <f t="shared" si="134"/>
        <v>0.94426609356496816</v>
      </c>
      <c r="F34" s="51">
        <f>SUM(F19:F20)</f>
        <v>-1333.20454</v>
      </c>
      <c r="G34" s="47">
        <f t="shared" ref="G34" si="358">IFERROR(F34/F$19,0)</f>
        <v>0</v>
      </c>
      <c r="H34" s="51">
        <f t="shared" si="1"/>
        <v>497244.47545999993</v>
      </c>
      <c r="I34" s="47">
        <f t="shared" ref="I34" si="359">IFERROR(H34/H$19,0)</f>
        <v>0.95580149013654758</v>
      </c>
      <c r="J34" s="51">
        <f>SUM(J19:J20)</f>
        <v>0</v>
      </c>
      <c r="K34" s="47">
        <f t="shared" ref="K34" si="360">IFERROR(J34/J$19,0)</f>
        <v>0</v>
      </c>
      <c r="L34" s="51">
        <f>SUM(L19:L20)</f>
        <v>-312.58</v>
      </c>
      <c r="M34" s="47">
        <f t="shared" ref="M34" si="361">IFERROR(L34/L$19,0)</f>
        <v>0</v>
      </c>
      <c r="N34" s="51">
        <f>SUM(N19:N20)</f>
        <v>0</v>
      </c>
      <c r="O34" s="47">
        <f t="shared" ref="O34" si="362">IFERROR(N34/N$19,0)</f>
        <v>0</v>
      </c>
      <c r="P34" s="51">
        <f t="shared" si="2"/>
        <v>-312.58</v>
      </c>
      <c r="Q34" s="48">
        <f t="shared" ref="Q34" si="363">IFERROR(P34/P$19,0)</f>
        <v>0</v>
      </c>
      <c r="R34" s="51">
        <f>SUM(R19:R20)</f>
        <v>0</v>
      </c>
      <c r="S34" s="48">
        <f t="shared" ref="S34" si="364">IFERROR(R34/R$19,0)</f>
        <v>0</v>
      </c>
      <c r="T34" s="51">
        <f>SUM(T19:T20)</f>
        <v>0</v>
      </c>
      <c r="U34" s="48">
        <f t="shared" ref="U34" si="365">IFERROR(T34/T$19,0)</f>
        <v>0</v>
      </c>
      <c r="V34" s="51">
        <f>SUM(V19:V20)</f>
        <v>0</v>
      </c>
      <c r="W34" s="47">
        <f t="shared" ref="W34" si="366">IFERROR(V34/V$19,0)</f>
        <v>0</v>
      </c>
      <c r="X34" s="51">
        <f t="shared" si="3"/>
        <v>0</v>
      </c>
      <c r="Y34" s="48">
        <f t="shared" ref="Y34" si="367">IFERROR(X34/X$19,0)</f>
        <v>0</v>
      </c>
      <c r="Z34" s="51">
        <f>SUM(Z19:Z20)</f>
        <v>0</v>
      </c>
      <c r="AA34" s="47">
        <f t="shared" ref="AA34" si="368">IFERROR(Z34/Z$19,0)</f>
        <v>0</v>
      </c>
      <c r="AB34" s="51">
        <f>SUM(AB19:AB20)</f>
        <v>0</v>
      </c>
      <c r="AC34" s="47">
        <f t="shared" ref="AC34" si="369">IFERROR(AB34/AB$19,0)</f>
        <v>0</v>
      </c>
      <c r="AD34" s="51">
        <f>SUM(AD19:AD20)</f>
        <v>0</v>
      </c>
      <c r="AE34" s="47">
        <f t="shared" ref="AE34" si="370">IFERROR(AD34/AD$19,0)</f>
        <v>0</v>
      </c>
      <c r="AF34" s="51">
        <f t="shared" si="4"/>
        <v>0</v>
      </c>
      <c r="AG34" s="48">
        <f t="shared" ref="AG34" si="371">IFERROR(AF34/AF$19,0)</f>
        <v>0</v>
      </c>
      <c r="AH34" s="51">
        <f t="shared" si="5"/>
        <v>496931.89545999991</v>
      </c>
      <c r="AI34" s="48">
        <f t="shared" ref="AI34" si="372">IFERROR(AH34/AH$19,0)</f>
        <v>0.95520065001758891</v>
      </c>
    </row>
    <row r="35" spans="1:35" ht="16.2" thickBot="1" x14ac:dyDescent="0.35">
      <c r="A35" s="56" t="s">
        <v>70</v>
      </c>
      <c r="B35" s="57">
        <f>IFERROR(VLOOKUP($A35,APOIO!$B:$N,MATCH(B$5,APOIO!$B$5:$N$5,0),FALSE),0)</f>
        <v>-264326.30999999994</v>
      </c>
      <c r="C35" s="58">
        <f t="shared" si="134"/>
        <v>-1.7034137576505821</v>
      </c>
      <c r="D35" s="57">
        <f>IFERROR(VLOOKUP($A35,APOIO!$B:$N,MATCH(D$5,APOIO!$B$5:$N$5,0),FALSE),0)</f>
        <v>-192424.62865399997</v>
      </c>
      <c r="E35" s="58">
        <f t="shared" si="134"/>
        <v>-0.52709867279900169</v>
      </c>
      <c r="F35" s="57">
        <f>IFERROR(VLOOKUP($A35,APOIO!$B:$N,MATCH(F$5,APOIO!$B$5:$N$5,0),FALSE),0)</f>
        <v>-85532.051555999991</v>
      </c>
      <c r="G35" s="58">
        <f t="shared" ref="G35" si="373">IFERROR(F35/F$19,0)</f>
        <v>0</v>
      </c>
      <c r="H35" s="57">
        <f t="shared" si="1"/>
        <v>-542282.99020999996</v>
      </c>
      <c r="I35" s="58">
        <f t="shared" ref="I35" si="374">IFERROR(H35/H$19,0)</f>
        <v>-1.0423743564751093</v>
      </c>
      <c r="J35" s="57">
        <f>IFERROR(VLOOKUP($A35,APOIO!$B:$N,MATCH(J$5,APOIO!$B$5:$N$5,0),FALSE),0)</f>
        <v>-65470.008964999994</v>
      </c>
      <c r="K35" s="58">
        <f t="shared" ref="K35" si="375">IFERROR(J35/J$19,0)</f>
        <v>0</v>
      </c>
      <c r="L35" s="57">
        <f>IFERROR(VLOOKUP($A35,APOIO!$B:$N,MATCH(L$5,APOIO!$B$5:$N$5,0),FALSE),0)</f>
        <v>-74641.516102915135</v>
      </c>
      <c r="M35" s="58">
        <f t="shared" ref="M35" si="376">IFERROR(L35/L$19,0)</f>
        <v>0</v>
      </c>
      <c r="N35" s="57">
        <f>IFERROR(VLOOKUP($A35,APOIO!$B:$N,MATCH(N$5,APOIO!$B$5:$N$5,0),FALSE),0)</f>
        <v>0</v>
      </c>
      <c r="O35" s="58">
        <f t="shared" ref="O35" si="377">IFERROR(N35/N$19,0)</f>
        <v>0</v>
      </c>
      <c r="P35" s="57">
        <f t="shared" si="2"/>
        <v>-140111.52506791512</v>
      </c>
      <c r="Q35" s="59">
        <f t="shared" ref="Q35" si="378">IFERROR(P35/P$19,0)</f>
        <v>0</v>
      </c>
      <c r="R35" s="57">
        <f>IFERROR(VLOOKUP($A35,APOIO!$B:$N,MATCH(R$5,APOIO!$B$5:$N$5,0),FALSE),0)</f>
        <v>0</v>
      </c>
      <c r="S35" s="59">
        <f t="shared" ref="S35" si="379">IFERROR(R35/R$19,0)</f>
        <v>0</v>
      </c>
      <c r="T35" s="57">
        <f>IFERROR(VLOOKUP($A35,APOIO!$B:$N,MATCH(T$5,APOIO!$B$5:$N$5,0),FALSE),0)</f>
        <v>0</v>
      </c>
      <c r="U35" s="59">
        <f t="shared" ref="U35" si="380">IFERROR(T35/T$19,0)</f>
        <v>0</v>
      </c>
      <c r="V35" s="57">
        <f>IFERROR(VLOOKUP($A35,APOIO!$B:$N,MATCH(V$5,APOIO!$B$5:$N$5,0),FALSE),0)</f>
        <v>0</v>
      </c>
      <c r="W35" s="58">
        <f t="shared" ref="W35" si="381">IFERROR(V35/V$19,0)</f>
        <v>0</v>
      </c>
      <c r="X35" s="57">
        <f t="shared" si="3"/>
        <v>0</v>
      </c>
      <c r="Y35" s="59">
        <f t="shared" ref="Y35" si="382">IFERROR(X35/X$19,0)</f>
        <v>0</v>
      </c>
      <c r="Z35" s="57">
        <f>IFERROR(VLOOKUP($A35,APOIO!$B:$N,MATCH(Z$5,APOIO!$B$5:$N$5,0),FALSE),0)</f>
        <v>0</v>
      </c>
      <c r="AA35" s="58">
        <f t="shared" ref="AA35" si="383">IFERROR(Z35/Z$19,0)</f>
        <v>0</v>
      </c>
      <c r="AB35" s="57">
        <f>IFERROR(VLOOKUP($A35,APOIO!$B:$N,MATCH(AB$5,APOIO!$B$5:$N$5,0),FALSE),0)</f>
        <v>0</v>
      </c>
      <c r="AC35" s="58">
        <f t="shared" ref="AC35" si="384">IFERROR(AB35/AB$19,0)</f>
        <v>0</v>
      </c>
      <c r="AD35" s="57">
        <f>IFERROR(VLOOKUP($A35,APOIO!$B:$N,MATCH(AD$5,APOIO!$B$5:$N$5,0),FALSE),0)</f>
        <v>0</v>
      </c>
      <c r="AE35" s="58">
        <f t="shared" ref="AE35" si="385">IFERROR(AD35/AD$19,0)</f>
        <v>0</v>
      </c>
      <c r="AF35" s="57">
        <f t="shared" si="4"/>
        <v>0</v>
      </c>
      <c r="AG35" s="59">
        <f t="shared" ref="AG35" si="386">IFERROR(AF35/AF$19,0)</f>
        <v>0</v>
      </c>
      <c r="AH35" s="57">
        <f t="shared" si="5"/>
        <v>-682394.51527791517</v>
      </c>
      <c r="AI35" s="59">
        <f t="shared" ref="AI35" si="387">IFERROR(AH35/AH$19,0)</f>
        <v>-1.3116962113259443</v>
      </c>
    </row>
    <row r="36" spans="1:35" ht="16.2" thickTop="1" x14ac:dyDescent="0.3">
      <c r="A36" s="36" t="s">
        <v>29</v>
      </c>
      <c r="B36" s="37">
        <f>IFERROR(VLOOKUP($A36,APOIO!$B:$N,MATCH(B$5,APOIO!$B$5:$N$5,0),FALSE),0)</f>
        <v>-243857.97999999998</v>
      </c>
      <c r="C36" s="39">
        <f t="shared" si="134"/>
        <v>-1.5715084814859352</v>
      </c>
      <c r="D36" s="37">
        <f>IFERROR(VLOOKUP($A36,APOIO!$B:$N,MATCH(D$5,APOIO!$B$5:$N$5,0),FALSE),0)</f>
        <v>-175790.22865399998</v>
      </c>
      <c r="E36" s="39">
        <f t="shared" si="134"/>
        <v>-0.48153293506501615</v>
      </c>
      <c r="F36" s="37">
        <f>IFERROR(VLOOKUP($A36,APOIO!$B:$N,MATCH(F$5,APOIO!$B$5:$N$5,0),FALSE),0)</f>
        <v>-74082.83155599999</v>
      </c>
      <c r="G36" s="39">
        <f t="shared" ref="G36" si="388">IFERROR(F36/F$19,0)</f>
        <v>0</v>
      </c>
      <c r="H36" s="37">
        <f t="shared" si="1"/>
        <v>-493731.04020999995</v>
      </c>
      <c r="I36" s="39">
        <f t="shared" ref="I36" si="389">IFERROR(H36/H$19,0)</f>
        <v>-0.94904797790427664</v>
      </c>
      <c r="J36" s="37">
        <f>IFERROR(VLOOKUP($A36,APOIO!$B:$N,MATCH(J$5,APOIO!$B$5:$N$5,0),FALSE),0)</f>
        <v>-58484.917890999997</v>
      </c>
      <c r="K36" s="39">
        <f t="shared" ref="K36" si="390">IFERROR(J36/J$19,0)</f>
        <v>0</v>
      </c>
      <c r="L36" s="37">
        <f>IFERROR(VLOOKUP($A36,APOIO!$B:$N,MATCH(L$5,APOIO!$B$5:$N$5,0),FALSE),0)</f>
        <v>-63680.216102915132</v>
      </c>
      <c r="M36" s="39">
        <f t="shared" ref="M36" si="391">IFERROR(L36/L$19,0)</f>
        <v>0</v>
      </c>
      <c r="N36" s="37">
        <f>IFERROR(VLOOKUP($A36,APOIO!$B:$N,MATCH(N$5,APOIO!$B$5:$N$5,0),FALSE),0)</f>
        <v>0</v>
      </c>
      <c r="O36" s="39">
        <f t="shared" ref="O36" si="392">IFERROR(N36/N$19,0)</f>
        <v>0</v>
      </c>
      <c r="P36" s="37">
        <f t="shared" si="2"/>
        <v>-122165.13399391514</v>
      </c>
      <c r="Q36" s="42">
        <f t="shared" ref="Q36" si="393">IFERROR(P36/P$19,0)</f>
        <v>0</v>
      </c>
      <c r="R36" s="37">
        <f>IFERROR(VLOOKUP($A36,APOIO!$B:$N,MATCH(R$5,APOIO!$B$5:$N$5,0),FALSE),0)</f>
        <v>0</v>
      </c>
      <c r="S36" s="42">
        <f t="shared" ref="S36" si="394">IFERROR(R36/R$19,0)</f>
        <v>0</v>
      </c>
      <c r="T36" s="37">
        <f>IFERROR(VLOOKUP($A36,APOIO!$B:$N,MATCH(T$5,APOIO!$B$5:$N$5,0),FALSE),0)</f>
        <v>0</v>
      </c>
      <c r="U36" s="42">
        <f t="shared" ref="U36" si="395">IFERROR(T36/T$19,0)</f>
        <v>0</v>
      </c>
      <c r="V36" s="37">
        <f>IFERROR(VLOOKUP($A36,APOIO!$B:$N,MATCH(V$5,APOIO!$B$5:$N$5,0),FALSE),0)</f>
        <v>0</v>
      </c>
      <c r="W36" s="39">
        <f t="shared" ref="W36" si="396">IFERROR(V36/V$19,0)</f>
        <v>0</v>
      </c>
      <c r="X36" s="37">
        <f t="shared" si="3"/>
        <v>0</v>
      </c>
      <c r="Y36" s="42">
        <f t="shared" ref="Y36" si="397">IFERROR(X36/X$19,0)</f>
        <v>0</v>
      </c>
      <c r="Z36" s="37">
        <f>IFERROR(VLOOKUP($A36,APOIO!$B:$N,MATCH(Z$5,APOIO!$B$5:$N$5,0),FALSE),0)</f>
        <v>0</v>
      </c>
      <c r="AA36" s="39">
        <f t="shared" ref="AA36" si="398">IFERROR(Z36/Z$19,0)</f>
        <v>0</v>
      </c>
      <c r="AB36" s="37">
        <f>IFERROR(VLOOKUP($A36,APOIO!$B:$N,MATCH(AB$5,APOIO!$B$5:$N$5,0),FALSE),0)</f>
        <v>0</v>
      </c>
      <c r="AC36" s="39">
        <f t="shared" ref="AC36" si="399">IFERROR(AB36/AB$19,0)</f>
        <v>0</v>
      </c>
      <c r="AD36" s="37">
        <f>IFERROR(VLOOKUP($A36,APOIO!$B:$N,MATCH(AD$5,APOIO!$B$5:$N$5,0),FALSE),0)</f>
        <v>0</v>
      </c>
      <c r="AE36" s="39">
        <f t="shared" ref="AE36" si="400">IFERROR(AD36/AD$19,0)</f>
        <v>0</v>
      </c>
      <c r="AF36" s="37">
        <f t="shared" si="4"/>
        <v>0</v>
      </c>
      <c r="AG36" s="42">
        <f t="shared" ref="AG36" si="401">IFERROR(AF36/AF$19,0)</f>
        <v>0</v>
      </c>
      <c r="AH36" s="37">
        <f t="shared" si="5"/>
        <v>-615896.17420391506</v>
      </c>
      <c r="AI36" s="42">
        <f t="shared" ref="AI36" si="402">IFERROR(AH36/AH$19,0)</f>
        <v>-1.1838733462627595</v>
      </c>
    </row>
    <row r="37" spans="1:35" ht="15.6" hidden="1" outlineLevel="1" x14ac:dyDescent="0.3">
      <c r="A37" s="35" t="s">
        <v>180</v>
      </c>
      <c r="B37" s="29">
        <f>IFERROR(VLOOKUP($A37,APOIO!$B:$N,MATCH(B$5,APOIO!$B$5:$N$5,0),FALSE),0)</f>
        <v>-89957.13</v>
      </c>
      <c r="C37" s="38">
        <f t="shared" si="134"/>
        <v>-0.57971608214393022</v>
      </c>
      <c r="D37" s="29">
        <f>IFERROR(VLOOKUP($A37,APOIO!$B:$N,MATCH(D$5,APOIO!$B$5:$N$5,0),FALSE),0)</f>
        <v>-78180.87</v>
      </c>
      <c r="E37" s="38">
        <f t="shared" si="134"/>
        <v>-0.21415674855929967</v>
      </c>
      <c r="F37" s="29">
        <f>IFERROR(VLOOKUP($A37,APOIO!$B:$N,MATCH(F$5,APOIO!$B$5:$N$5,0),FALSE),0)</f>
        <v>-32628.440687999999</v>
      </c>
      <c r="G37" s="38">
        <f t="shared" ref="G37:G38" si="403">IFERROR(F37/F$19,0)</f>
        <v>0</v>
      </c>
      <c r="H37" s="30">
        <f t="shared" si="1"/>
        <v>-200766.440688</v>
      </c>
      <c r="I37" s="40">
        <f t="shared" ref="I37:I38" si="404">IFERROR(H37/H$19,0)</f>
        <v>-0.38591250913643932</v>
      </c>
      <c r="J37" s="29">
        <f>IFERROR(VLOOKUP($A37,APOIO!$B:$N,MATCH(J$5,APOIO!$B$5:$N$5,0),FALSE),0)</f>
        <v>-30150.883475999999</v>
      </c>
      <c r="K37" s="38">
        <f t="shared" ref="K37:K38" si="405">IFERROR(J37/J$19,0)</f>
        <v>0</v>
      </c>
      <c r="L37" s="29">
        <f>IFERROR(VLOOKUP($A37,APOIO!$B:$N,MATCH(L$5,APOIO!$B$5:$N$5,0),FALSE),0)</f>
        <v>-29306.023544</v>
      </c>
      <c r="M37" s="38">
        <f t="shared" ref="M37:M38" si="406">IFERROR(L37/L$19,0)</f>
        <v>0</v>
      </c>
      <c r="N37" s="29">
        <f>IFERROR(VLOOKUP($A37,APOIO!$B:$N,MATCH(N$5,APOIO!$B$5:$N$5,0),FALSE),0)</f>
        <v>0</v>
      </c>
      <c r="O37" s="38">
        <f t="shared" ref="O37:O38" si="407">IFERROR(N37/N$19,0)</f>
        <v>0</v>
      </c>
      <c r="P37" s="30">
        <f t="shared" si="2"/>
        <v>-59456.907019999999</v>
      </c>
      <c r="Q37" s="41">
        <f t="shared" ref="Q37:Q38" si="408">IFERROR(P37/P$19,0)</f>
        <v>0</v>
      </c>
      <c r="R37" s="29">
        <f>IFERROR(VLOOKUP($A37,APOIO!$B:$N,MATCH(R$5,APOIO!$B$5:$N$5,0),FALSE),0)</f>
        <v>0</v>
      </c>
      <c r="S37" s="41">
        <f t="shared" ref="S37:S38" si="409">IFERROR(R37/R$19,0)</f>
        <v>0</v>
      </c>
      <c r="T37" s="29">
        <f>IFERROR(VLOOKUP($A37,APOIO!$B:$N,MATCH(T$5,APOIO!$B$5:$N$5,0),FALSE),0)</f>
        <v>0</v>
      </c>
      <c r="U37" s="41">
        <f t="shared" ref="U37:U38" si="410">IFERROR(T37/T$19,0)</f>
        <v>0</v>
      </c>
      <c r="V37" s="29">
        <f>IFERROR(VLOOKUP($A37,APOIO!$B:$N,MATCH(V$5,APOIO!$B$5:$N$5,0),FALSE),0)</f>
        <v>0</v>
      </c>
      <c r="W37" s="38">
        <f t="shared" ref="W37:W38" si="411">IFERROR(V37/V$19,0)</f>
        <v>0</v>
      </c>
      <c r="X37" s="30">
        <f t="shared" si="3"/>
        <v>0</v>
      </c>
      <c r="Y37" s="41">
        <f t="shared" ref="Y37:Y38" si="412">IFERROR(X37/X$19,0)</f>
        <v>0</v>
      </c>
      <c r="Z37" s="29">
        <f>IFERROR(VLOOKUP($A37,APOIO!$B:$N,MATCH(Z$5,APOIO!$B$5:$N$5,0),FALSE),0)</f>
        <v>0</v>
      </c>
      <c r="AA37" s="38">
        <f t="shared" ref="AA37:AA38" si="413">IFERROR(Z37/Z$19,0)</f>
        <v>0</v>
      </c>
      <c r="AB37" s="29">
        <f>IFERROR(VLOOKUP($A37,APOIO!$B:$N,MATCH(AB$5,APOIO!$B$5:$N$5,0),FALSE),0)</f>
        <v>0</v>
      </c>
      <c r="AC37" s="38">
        <f t="shared" ref="AC37:AC38" si="414">IFERROR(AB37/AB$19,0)</f>
        <v>0</v>
      </c>
      <c r="AD37" s="29">
        <f>IFERROR(VLOOKUP($A37,APOIO!$B:$N,MATCH(AD$5,APOIO!$B$5:$N$5,0),FALSE),0)</f>
        <v>0</v>
      </c>
      <c r="AE37" s="38">
        <f t="shared" ref="AE37:AE38" si="415">IFERROR(AD37/AD$19,0)</f>
        <v>0</v>
      </c>
      <c r="AF37" s="30">
        <f t="shared" si="4"/>
        <v>0</v>
      </c>
      <c r="AG37" s="41">
        <f t="shared" ref="AG37:AG38" si="416">IFERROR(AF37/AF$19,0)</f>
        <v>0</v>
      </c>
      <c r="AH37" s="29">
        <f t="shared" si="5"/>
        <v>-260223.34770799999</v>
      </c>
      <c r="AI37" s="41">
        <f t="shared" ref="AI37:AI38" si="417">IFERROR(AH37/AH$19,0)</f>
        <v>-0.50020035572549137</v>
      </c>
    </row>
    <row r="38" spans="1:35" ht="15.6" hidden="1" outlineLevel="1" x14ac:dyDescent="0.3">
      <c r="A38" s="35" t="s">
        <v>181</v>
      </c>
      <c r="B38" s="29">
        <f>IFERROR(VLOOKUP($A38,APOIO!$B:$N,MATCH(B$5,APOIO!$B$5:$N$5,0),FALSE),0)</f>
        <v>0</v>
      </c>
      <c r="C38" s="38">
        <f t="shared" ref="C38" si="418">IFERROR(B38/B$19,0)</f>
        <v>0</v>
      </c>
      <c r="D38" s="29">
        <f>IFERROR(VLOOKUP($A38,APOIO!$B:$N,MATCH(D$5,APOIO!$B$5:$N$5,0),FALSE),0)</f>
        <v>0</v>
      </c>
      <c r="E38" s="38">
        <f t="shared" ref="E38" si="419">IFERROR(D38/D$19,0)</f>
        <v>0</v>
      </c>
      <c r="F38" s="29">
        <f>IFERROR(VLOOKUP($A38,APOIO!$B:$N,MATCH(F$5,APOIO!$B$5:$N$5,0),FALSE),0)</f>
        <v>0</v>
      </c>
      <c r="G38" s="38">
        <f t="shared" si="403"/>
        <v>0</v>
      </c>
      <c r="H38" s="30">
        <f t="shared" ref="H38" si="420">SUM(B38,D38,F38)</f>
        <v>0</v>
      </c>
      <c r="I38" s="40">
        <f t="shared" si="404"/>
        <v>0</v>
      </c>
      <c r="J38" s="29">
        <f>IFERROR(VLOOKUP($A38,APOIO!$B:$N,MATCH(J$5,APOIO!$B$5:$N$5,0),FALSE),0)</f>
        <v>0</v>
      </c>
      <c r="K38" s="38">
        <f t="shared" si="405"/>
        <v>0</v>
      </c>
      <c r="L38" s="29">
        <f>IFERROR(VLOOKUP($A38,APOIO!$B:$N,MATCH(L$5,APOIO!$B$5:$N$5,0),FALSE),0)</f>
        <v>0</v>
      </c>
      <c r="M38" s="38">
        <f t="shared" si="406"/>
        <v>0</v>
      </c>
      <c r="N38" s="29">
        <f>IFERROR(VLOOKUP($A38,APOIO!$B:$N,MATCH(N$5,APOIO!$B$5:$N$5,0),FALSE),0)</f>
        <v>0</v>
      </c>
      <c r="O38" s="38">
        <f t="shared" si="407"/>
        <v>0</v>
      </c>
      <c r="P38" s="30">
        <f t="shared" ref="P38" si="421">SUM(J38,L38,N38)</f>
        <v>0</v>
      </c>
      <c r="Q38" s="41">
        <f t="shared" si="408"/>
        <v>0</v>
      </c>
      <c r="R38" s="29">
        <f>IFERROR(VLOOKUP($A38,APOIO!$B:$N,MATCH(R$5,APOIO!$B$5:$N$5,0),FALSE),0)</f>
        <v>0</v>
      </c>
      <c r="S38" s="41">
        <f t="shared" si="409"/>
        <v>0</v>
      </c>
      <c r="T38" s="29">
        <f>IFERROR(VLOOKUP($A38,APOIO!$B:$N,MATCH(T$5,APOIO!$B$5:$N$5,0),FALSE),0)</f>
        <v>0</v>
      </c>
      <c r="U38" s="41">
        <f t="shared" si="410"/>
        <v>0</v>
      </c>
      <c r="V38" s="29">
        <f>IFERROR(VLOOKUP($A38,APOIO!$B:$N,MATCH(V$5,APOIO!$B$5:$N$5,0),FALSE),0)</f>
        <v>0</v>
      </c>
      <c r="W38" s="38">
        <f t="shared" si="411"/>
        <v>0</v>
      </c>
      <c r="X38" s="30">
        <f t="shared" ref="X38" si="422">SUM(R38,T38,V38)</f>
        <v>0</v>
      </c>
      <c r="Y38" s="41">
        <f t="shared" si="412"/>
        <v>0</v>
      </c>
      <c r="Z38" s="29">
        <f>IFERROR(VLOOKUP($A38,APOIO!$B:$N,MATCH(Z$5,APOIO!$B$5:$N$5,0),FALSE),0)</f>
        <v>0</v>
      </c>
      <c r="AA38" s="38">
        <f t="shared" si="413"/>
        <v>0</v>
      </c>
      <c r="AB38" s="29">
        <f>IFERROR(VLOOKUP($A38,APOIO!$B:$N,MATCH(AB$5,APOIO!$B$5:$N$5,0),FALSE),0)</f>
        <v>0</v>
      </c>
      <c r="AC38" s="38">
        <f t="shared" si="414"/>
        <v>0</v>
      </c>
      <c r="AD38" s="29">
        <f>IFERROR(VLOOKUP($A38,APOIO!$B:$N,MATCH(AD$5,APOIO!$B$5:$N$5,0),FALSE),0)</f>
        <v>0</v>
      </c>
      <c r="AE38" s="38">
        <f t="shared" si="415"/>
        <v>0</v>
      </c>
      <c r="AF38" s="30">
        <f t="shared" ref="AF38" si="423">SUM(Z38,AB38,AD38)</f>
        <v>0</v>
      </c>
      <c r="AG38" s="41">
        <f t="shared" si="416"/>
        <v>0</v>
      </c>
      <c r="AH38" s="29">
        <f t="shared" ref="AH38" si="424">SUM(B38,D38,F38,J38,L38,N38,R38,T38,V38,Z38,AB38,AD38)</f>
        <v>0</v>
      </c>
      <c r="AI38" s="41">
        <f t="shared" si="417"/>
        <v>0</v>
      </c>
    </row>
    <row r="39" spans="1:35" ht="15.6" hidden="1" outlineLevel="1" x14ac:dyDescent="0.3">
      <c r="A39" s="35" t="s">
        <v>3675</v>
      </c>
      <c r="B39" s="29">
        <f>IFERROR(VLOOKUP($A39,APOIO!$B:$N,MATCH(B$5,APOIO!$B$5:$N$5,0),FALSE),0)</f>
        <v>0</v>
      </c>
      <c r="C39" s="38">
        <f t="shared" ref="C39" si="425">IFERROR(B39/B$19,0)</f>
        <v>0</v>
      </c>
      <c r="D39" s="29">
        <f>IFERROR(VLOOKUP($A39,APOIO!$B:$N,MATCH(D$5,APOIO!$B$5:$N$5,0),FALSE),0)</f>
        <v>0</v>
      </c>
      <c r="E39" s="38">
        <f t="shared" ref="E39" si="426">IFERROR(D39/D$19,0)</f>
        <v>0</v>
      </c>
      <c r="F39" s="29">
        <f>IFERROR(VLOOKUP($A39,APOIO!$B:$N,MATCH(F$5,APOIO!$B$5:$N$5,0),FALSE),0)</f>
        <v>0</v>
      </c>
      <c r="G39" s="38">
        <f t="shared" ref="G39" si="427">IFERROR(F39/F$19,0)</f>
        <v>0</v>
      </c>
      <c r="H39" s="30">
        <f t="shared" ref="H39" si="428">SUM(B39,D39,F39)</f>
        <v>0</v>
      </c>
      <c r="I39" s="40">
        <f t="shared" ref="I39" si="429">IFERROR(H39/H$19,0)</f>
        <v>0</v>
      </c>
      <c r="J39" s="29">
        <f>IFERROR(VLOOKUP($A39,APOIO!$B:$N,MATCH(J$5,APOIO!$B$5:$N$5,0),FALSE),0)</f>
        <v>0</v>
      </c>
      <c r="K39" s="38">
        <f t="shared" ref="K39" si="430">IFERROR(J39/J$19,0)</f>
        <v>0</v>
      </c>
      <c r="L39" s="29">
        <f>IFERROR(VLOOKUP($A39,APOIO!$B:$N,MATCH(L$5,APOIO!$B$5:$N$5,0),FALSE),0)</f>
        <v>-2442.1686286666668</v>
      </c>
      <c r="M39" s="38">
        <f t="shared" ref="M39" si="431">IFERROR(L39/L$19,0)</f>
        <v>0</v>
      </c>
      <c r="N39" s="29">
        <f>IFERROR(VLOOKUP($A39,APOIO!$B:$N,MATCH(N$5,APOIO!$B$5:$N$5,0),FALSE),0)</f>
        <v>0</v>
      </c>
      <c r="O39" s="38">
        <f t="shared" ref="O39" si="432">IFERROR(N39/N$19,0)</f>
        <v>0</v>
      </c>
      <c r="P39" s="30">
        <f t="shared" ref="P39" si="433">SUM(J39,L39,N39)</f>
        <v>-2442.1686286666668</v>
      </c>
      <c r="Q39" s="41">
        <f t="shared" ref="Q39" si="434">IFERROR(P39/P$19,0)</f>
        <v>0</v>
      </c>
      <c r="R39" s="29">
        <f>IFERROR(VLOOKUP($A39,APOIO!$B:$N,MATCH(R$5,APOIO!$B$5:$N$5,0),FALSE),0)</f>
        <v>0</v>
      </c>
      <c r="S39" s="41">
        <f t="shared" ref="S39" si="435">IFERROR(R39/R$19,0)</f>
        <v>0</v>
      </c>
      <c r="T39" s="29">
        <f>IFERROR(VLOOKUP($A39,APOIO!$B:$N,MATCH(T$5,APOIO!$B$5:$N$5,0),FALSE),0)</f>
        <v>0</v>
      </c>
      <c r="U39" s="41">
        <f t="shared" ref="U39" si="436">IFERROR(T39/T$19,0)</f>
        <v>0</v>
      </c>
      <c r="V39" s="29">
        <f>IFERROR(VLOOKUP($A39,APOIO!$B:$N,MATCH(V$5,APOIO!$B$5:$N$5,0),FALSE),0)</f>
        <v>0</v>
      </c>
      <c r="W39" s="38">
        <f t="shared" ref="W39" si="437">IFERROR(V39/V$19,0)</f>
        <v>0</v>
      </c>
      <c r="X39" s="30">
        <f t="shared" ref="X39" si="438">SUM(R39,T39,V39)</f>
        <v>0</v>
      </c>
      <c r="Y39" s="41">
        <f t="shared" ref="Y39" si="439">IFERROR(X39/X$19,0)</f>
        <v>0</v>
      </c>
      <c r="Z39" s="29">
        <f>IFERROR(VLOOKUP($A39,APOIO!$B:$N,MATCH(Z$5,APOIO!$B$5:$N$5,0),FALSE),0)</f>
        <v>0</v>
      </c>
      <c r="AA39" s="38">
        <f t="shared" ref="AA39" si="440">IFERROR(Z39/Z$19,0)</f>
        <v>0</v>
      </c>
      <c r="AB39" s="29">
        <f>IFERROR(VLOOKUP($A39,APOIO!$B:$N,MATCH(AB$5,APOIO!$B$5:$N$5,0),FALSE),0)</f>
        <v>0</v>
      </c>
      <c r="AC39" s="38">
        <f t="shared" ref="AC39" si="441">IFERROR(AB39/AB$19,0)</f>
        <v>0</v>
      </c>
      <c r="AD39" s="29">
        <f>IFERROR(VLOOKUP($A39,APOIO!$B:$N,MATCH(AD$5,APOIO!$B$5:$N$5,0),FALSE),0)</f>
        <v>0</v>
      </c>
      <c r="AE39" s="38">
        <f t="shared" ref="AE39" si="442">IFERROR(AD39/AD$19,0)</f>
        <v>0</v>
      </c>
      <c r="AF39" s="30">
        <f t="shared" ref="AF39" si="443">SUM(Z39,AB39,AD39)</f>
        <v>0</v>
      </c>
      <c r="AG39" s="41">
        <f t="shared" ref="AG39" si="444">IFERROR(AF39/AF$19,0)</f>
        <v>0</v>
      </c>
      <c r="AH39" s="29">
        <f t="shared" ref="AH39" si="445">SUM(B39,D39,F39,J39,L39,N39,R39,T39,V39,Z39,AB39,AD39)</f>
        <v>-2442.1686286666668</v>
      </c>
      <c r="AI39" s="41">
        <f t="shared" ref="AI39" si="446">IFERROR(AH39/AH$19,0)</f>
        <v>-4.6943274981284377E-3</v>
      </c>
    </row>
    <row r="40" spans="1:35" ht="15.6" hidden="1" outlineLevel="1" x14ac:dyDescent="0.3">
      <c r="A40" s="35" t="s">
        <v>182</v>
      </c>
      <c r="B40" s="29">
        <f>IFERROR(VLOOKUP($A40,APOIO!$B:$N,MATCH(B$5,APOIO!$B$5:$N$5,0),FALSE),0)</f>
        <v>-7414.52</v>
      </c>
      <c r="C40" s="38">
        <f t="shared" ref="C40" si="447">IFERROR(B40/B$19,0)</f>
        <v>-4.7781832139129087E-2</v>
      </c>
      <c r="D40" s="29">
        <f>IFERROR(VLOOKUP($A40,APOIO!$B:$N,MATCH(D$5,APOIO!$B$5:$N$5,0),FALSE),0)</f>
        <v>-3467.17</v>
      </c>
      <c r="E40" s="38">
        <f t="shared" ref="E40" si="448">IFERROR(D40/D$19,0)</f>
        <v>-9.4974365711502969E-3</v>
      </c>
      <c r="F40" s="29">
        <f>IFERROR(VLOOKUP($A40,APOIO!$B:$N,MATCH(F$5,APOIO!$B$5:$N$5,0),FALSE),0)</f>
        <v>-3468.49</v>
      </c>
      <c r="G40" s="38">
        <f t="shared" ref="G40" si="449">IFERROR(F40/F$19,0)</f>
        <v>0</v>
      </c>
      <c r="H40" s="30">
        <f t="shared" ref="H40" si="450">SUM(B40,D40,F40)</f>
        <v>-14350.18</v>
      </c>
      <c r="I40" s="40">
        <f t="shared" ref="I40" si="451">IFERROR(H40/H$19,0)</f>
        <v>-2.7583862877589755E-2</v>
      </c>
      <c r="J40" s="29">
        <f>IFERROR(VLOOKUP($A40,APOIO!$B:$N,MATCH(J$5,APOIO!$B$5:$N$5,0),FALSE),0)</f>
        <v>-8552.44</v>
      </c>
      <c r="K40" s="38">
        <f t="shared" ref="K40" si="452">IFERROR(J40/J$19,0)</f>
        <v>0</v>
      </c>
      <c r="L40" s="29">
        <f>IFERROR(VLOOKUP($A40,APOIO!$B:$N,MATCH(L$5,APOIO!$B$5:$N$5,0),FALSE),0)</f>
        <v>0</v>
      </c>
      <c r="M40" s="38">
        <f t="shared" ref="M40" si="453">IFERROR(L40/L$19,0)</f>
        <v>0</v>
      </c>
      <c r="N40" s="29">
        <f>IFERROR(VLOOKUP($A40,APOIO!$B:$N,MATCH(N$5,APOIO!$B$5:$N$5,0),FALSE),0)</f>
        <v>0</v>
      </c>
      <c r="O40" s="38">
        <f t="shared" ref="O40" si="454">IFERROR(N40/N$19,0)</f>
        <v>0</v>
      </c>
      <c r="P40" s="30">
        <f t="shared" ref="P40" si="455">SUM(J40,L40,N40)</f>
        <v>-8552.44</v>
      </c>
      <c r="Q40" s="41">
        <f t="shared" ref="Q40" si="456">IFERROR(P40/P$19,0)</f>
        <v>0</v>
      </c>
      <c r="R40" s="29">
        <f>IFERROR(VLOOKUP($A40,APOIO!$B:$N,MATCH(R$5,APOIO!$B$5:$N$5,0),FALSE),0)</f>
        <v>0</v>
      </c>
      <c r="S40" s="41">
        <f t="shared" ref="S40" si="457">IFERROR(R40/R$19,0)</f>
        <v>0</v>
      </c>
      <c r="T40" s="29">
        <f>IFERROR(VLOOKUP($A40,APOIO!$B:$N,MATCH(T$5,APOIO!$B$5:$N$5,0),FALSE),0)</f>
        <v>0</v>
      </c>
      <c r="U40" s="41">
        <f t="shared" ref="U40" si="458">IFERROR(T40/T$19,0)</f>
        <v>0</v>
      </c>
      <c r="V40" s="29">
        <f>IFERROR(VLOOKUP($A40,APOIO!$B:$N,MATCH(V$5,APOIO!$B$5:$N$5,0),FALSE),0)</f>
        <v>0</v>
      </c>
      <c r="W40" s="38">
        <f t="shared" ref="W40" si="459">IFERROR(V40/V$19,0)</f>
        <v>0</v>
      </c>
      <c r="X40" s="30">
        <f t="shared" ref="X40" si="460">SUM(R40,T40,V40)</f>
        <v>0</v>
      </c>
      <c r="Y40" s="41">
        <f t="shared" ref="Y40" si="461">IFERROR(X40/X$19,0)</f>
        <v>0</v>
      </c>
      <c r="Z40" s="29">
        <f>IFERROR(VLOOKUP($A40,APOIO!$B:$N,MATCH(Z$5,APOIO!$B$5:$N$5,0),FALSE),0)</f>
        <v>0</v>
      </c>
      <c r="AA40" s="38">
        <f t="shared" ref="AA40" si="462">IFERROR(Z40/Z$19,0)</f>
        <v>0</v>
      </c>
      <c r="AB40" s="29">
        <f>IFERROR(VLOOKUP($A40,APOIO!$B:$N,MATCH(AB$5,APOIO!$B$5:$N$5,0),FALSE),0)</f>
        <v>0</v>
      </c>
      <c r="AC40" s="38">
        <f t="shared" ref="AC40" si="463">IFERROR(AB40/AB$19,0)</f>
        <v>0</v>
      </c>
      <c r="AD40" s="29">
        <f>IFERROR(VLOOKUP($A40,APOIO!$B:$N,MATCH(AD$5,APOIO!$B$5:$N$5,0),FALSE),0)</f>
        <v>0</v>
      </c>
      <c r="AE40" s="38">
        <f t="shared" ref="AE40" si="464">IFERROR(AD40/AD$19,0)</f>
        <v>0</v>
      </c>
      <c r="AF40" s="30">
        <f t="shared" ref="AF40" si="465">SUM(Z40,AB40,AD40)</f>
        <v>0</v>
      </c>
      <c r="AG40" s="41">
        <f t="shared" ref="AG40" si="466">IFERROR(AF40/AF$19,0)</f>
        <v>0</v>
      </c>
      <c r="AH40" s="29">
        <f t="shared" ref="AH40" si="467">SUM(B40,D40,F40,J40,L40,N40,R40,T40,V40,Z40,AB40,AD40)</f>
        <v>-22902.620000000003</v>
      </c>
      <c r="AI40" s="41">
        <f t="shared" ref="AI40" si="468">IFERROR(AH40/AH$19,0)</f>
        <v>-4.4023331388006612E-2</v>
      </c>
    </row>
    <row r="41" spans="1:35" ht="15.6" hidden="1" outlineLevel="1" x14ac:dyDescent="0.3">
      <c r="A41" s="35" t="s">
        <v>3676</v>
      </c>
      <c r="B41" s="29">
        <f>IFERROR(VLOOKUP($A41,APOIO!$B:$N,MATCH(B$5,APOIO!$B$5:$N$5,0),FALSE),0)</f>
        <v>0</v>
      </c>
      <c r="C41" s="38">
        <f t="shared" ref="C41" si="469">IFERROR(B41/B$19,0)</f>
        <v>0</v>
      </c>
      <c r="D41" s="29">
        <f>IFERROR(VLOOKUP($A41,APOIO!$B:$N,MATCH(D$5,APOIO!$B$5:$N$5,0),FALSE),0)</f>
        <v>0</v>
      </c>
      <c r="E41" s="38">
        <f t="shared" ref="E41" si="470">IFERROR(D41/D$19,0)</f>
        <v>0</v>
      </c>
      <c r="F41" s="29">
        <f>IFERROR(VLOOKUP($A41,APOIO!$B:$N,MATCH(F$5,APOIO!$B$5:$N$5,0),FALSE),0)</f>
        <v>0</v>
      </c>
      <c r="G41" s="38">
        <f t="shared" ref="G41" si="471">IFERROR(F41/F$19,0)</f>
        <v>0</v>
      </c>
      <c r="H41" s="30">
        <f t="shared" ref="H41" si="472">SUM(B41,D41,F41)</f>
        <v>0</v>
      </c>
      <c r="I41" s="40">
        <f t="shared" ref="I41" si="473">IFERROR(H41/H$19,0)</f>
        <v>0</v>
      </c>
      <c r="J41" s="29">
        <f>IFERROR(VLOOKUP($A41,APOIO!$B:$N,MATCH(J$5,APOIO!$B$5:$N$5,0),FALSE),0)</f>
        <v>0</v>
      </c>
      <c r="K41" s="38">
        <f t="shared" ref="K41" si="474">IFERROR(J41/J$19,0)</f>
        <v>0</v>
      </c>
      <c r="L41" s="29">
        <f>IFERROR(VLOOKUP($A41,APOIO!$B:$N,MATCH(L$5,APOIO!$B$5:$N$5,0),FALSE),0)</f>
        <v>-4319.9520872484673</v>
      </c>
      <c r="M41" s="38">
        <f t="shared" ref="M41" si="475">IFERROR(L41/L$19,0)</f>
        <v>0</v>
      </c>
      <c r="N41" s="29">
        <f>IFERROR(VLOOKUP($A41,APOIO!$B:$N,MATCH(N$5,APOIO!$B$5:$N$5,0),FALSE),0)</f>
        <v>0</v>
      </c>
      <c r="O41" s="38">
        <f t="shared" ref="O41" si="476">IFERROR(N41/N$19,0)</f>
        <v>0</v>
      </c>
      <c r="P41" s="30">
        <f t="shared" ref="P41" si="477">SUM(J41,L41,N41)</f>
        <v>-4319.9520872484673</v>
      </c>
      <c r="Q41" s="41">
        <f t="shared" ref="Q41" si="478">IFERROR(P41/P$19,0)</f>
        <v>0</v>
      </c>
      <c r="R41" s="29">
        <f>IFERROR(VLOOKUP($A41,APOIO!$B:$N,MATCH(R$5,APOIO!$B$5:$N$5,0),FALSE),0)</f>
        <v>0</v>
      </c>
      <c r="S41" s="41">
        <f t="shared" ref="S41" si="479">IFERROR(R41/R$19,0)</f>
        <v>0</v>
      </c>
      <c r="T41" s="29">
        <f>IFERROR(VLOOKUP($A41,APOIO!$B:$N,MATCH(T$5,APOIO!$B$5:$N$5,0),FALSE),0)</f>
        <v>0</v>
      </c>
      <c r="U41" s="41">
        <f t="shared" ref="U41" si="480">IFERROR(T41/T$19,0)</f>
        <v>0</v>
      </c>
      <c r="V41" s="29">
        <f>IFERROR(VLOOKUP($A41,APOIO!$B:$N,MATCH(V$5,APOIO!$B$5:$N$5,0),FALSE),0)</f>
        <v>0</v>
      </c>
      <c r="W41" s="38">
        <f t="shared" ref="W41" si="481">IFERROR(V41/V$19,0)</f>
        <v>0</v>
      </c>
      <c r="X41" s="30">
        <f t="shared" ref="X41" si="482">SUM(R41,T41,V41)</f>
        <v>0</v>
      </c>
      <c r="Y41" s="41">
        <f t="shared" ref="Y41" si="483">IFERROR(X41/X$19,0)</f>
        <v>0</v>
      </c>
      <c r="Z41" s="29">
        <f>IFERROR(VLOOKUP($A41,APOIO!$B:$N,MATCH(Z$5,APOIO!$B$5:$N$5,0),FALSE),0)</f>
        <v>0</v>
      </c>
      <c r="AA41" s="38">
        <f t="shared" ref="AA41" si="484">IFERROR(Z41/Z$19,0)</f>
        <v>0</v>
      </c>
      <c r="AB41" s="29">
        <f>IFERROR(VLOOKUP($A41,APOIO!$B:$N,MATCH(AB$5,APOIO!$B$5:$N$5,0),FALSE),0)</f>
        <v>0</v>
      </c>
      <c r="AC41" s="38">
        <f t="shared" ref="AC41" si="485">IFERROR(AB41/AB$19,0)</f>
        <v>0</v>
      </c>
      <c r="AD41" s="29">
        <f>IFERROR(VLOOKUP($A41,APOIO!$B:$N,MATCH(AD$5,APOIO!$B$5:$N$5,0),FALSE),0)</f>
        <v>0</v>
      </c>
      <c r="AE41" s="38">
        <f t="shared" ref="AE41" si="486">IFERROR(AD41/AD$19,0)</f>
        <v>0</v>
      </c>
      <c r="AF41" s="30">
        <f t="shared" ref="AF41" si="487">SUM(Z41,AB41,AD41)</f>
        <v>0</v>
      </c>
      <c r="AG41" s="41">
        <f t="shared" ref="AG41" si="488">IFERROR(AF41/AF$19,0)</f>
        <v>0</v>
      </c>
      <c r="AH41" s="29">
        <f t="shared" ref="AH41" si="489">SUM(B41,D41,F41,J41,L41,N41,R41,T41,V41,Z41,AB41,AD41)</f>
        <v>-4319.9520872484673</v>
      </c>
      <c r="AI41" s="41">
        <f t="shared" ref="AI41" si="490">IFERROR(AH41/AH$19,0)</f>
        <v>-8.3037959114393954E-3</v>
      </c>
    </row>
    <row r="42" spans="1:35" ht="15.6" hidden="1" outlineLevel="1" x14ac:dyDescent="0.3">
      <c r="A42" s="35" t="s">
        <v>183</v>
      </c>
      <c r="B42" s="29">
        <f>IFERROR(VLOOKUP($A42,APOIO!$B:$N,MATCH(B$5,APOIO!$B$5:$N$5,0),FALSE),0)</f>
        <v>-14369.810000000001</v>
      </c>
      <c r="C42" s="38">
        <f t="shared" si="134"/>
        <v>-9.2604221081226915E-2</v>
      </c>
      <c r="D42" s="29">
        <f>IFERROR(VLOOKUP($A42,APOIO!$B:$N,MATCH(D$5,APOIO!$B$5:$N$5,0),FALSE),0)</f>
        <v>-13520.04</v>
      </c>
      <c r="E42" s="38">
        <f t="shared" si="134"/>
        <v>-3.7034735054645392E-2</v>
      </c>
      <c r="F42" s="29">
        <f>IFERROR(VLOOKUP($A42,APOIO!$B:$N,MATCH(F$5,APOIO!$B$5:$N$5,0),FALSE),0)</f>
        <v>0</v>
      </c>
      <c r="G42" s="38">
        <f t="shared" ref="G42" si="491">IFERROR(F42/F$19,0)</f>
        <v>0</v>
      </c>
      <c r="H42" s="30">
        <f t="shared" si="1"/>
        <v>-27889.850000000002</v>
      </c>
      <c r="I42" s="40">
        <f t="shared" ref="I42" si="492">IFERROR(H42/H$19,0)</f>
        <v>-5.3609766433351129E-2</v>
      </c>
      <c r="J42" s="29">
        <f>IFERROR(VLOOKUP($A42,APOIO!$B:$N,MATCH(J$5,APOIO!$B$5:$N$5,0),FALSE),0)</f>
        <v>0</v>
      </c>
      <c r="K42" s="38">
        <f t="shared" ref="K42" si="493">IFERROR(J42/J$19,0)</f>
        <v>0</v>
      </c>
      <c r="L42" s="29">
        <f>IFERROR(VLOOKUP($A42,APOIO!$B:$N,MATCH(L$5,APOIO!$B$5:$N$5,0),FALSE),0)</f>
        <v>0</v>
      </c>
      <c r="M42" s="38">
        <f t="shared" ref="M42" si="494">IFERROR(L42/L$19,0)</f>
        <v>0</v>
      </c>
      <c r="N42" s="29">
        <f>IFERROR(VLOOKUP($A42,APOIO!$B:$N,MATCH(N$5,APOIO!$B$5:$N$5,0),FALSE),0)</f>
        <v>0</v>
      </c>
      <c r="O42" s="38">
        <f t="shared" ref="O42" si="495">IFERROR(N42/N$19,0)</f>
        <v>0</v>
      </c>
      <c r="P42" s="30">
        <f t="shared" si="2"/>
        <v>0</v>
      </c>
      <c r="Q42" s="41">
        <f t="shared" ref="Q42" si="496">IFERROR(P42/P$19,0)</f>
        <v>0</v>
      </c>
      <c r="R42" s="29">
        <f>IFERROR(VLOOKUP($A42,APOIO!$B:$N,MATCH(R$5,APOIO!$B$5:$N$5,0),FALSE),0)</f>
        <v>0</v>
      </c>
      <c r="S42" s="41">
        <f t="shared" ref="S42" si="497">IFERROR(R42/R$19,0)</f>
        <v>0</v>
      </c>
      <c r="T42" s="29">
        <f>IFERROR(VLOOKUP($A42,APOIO!$B:$N,MATCH(T$5,APOIO!$B$5:$N$5,0),FALSE),0)</f>
        <v>0</v>
      </c>
      <c r="U42" s="41">
        <f t="shared" ref="U42" si="498">IFERROR(T42/T$19,0)</f>
        <v>0</v>
      </c>
      <c r="V42" s="29">
        <f>IFERROR(VLOOKUP($A42,APOIO!$B:$N,MATCH(V$5,APOIO!$B$5:$N$5,0),FALSE),0)</f>
        <v>0</v>
      </c>
      <c r="W42" s="38">
        <f t="shared" ref="W42" si="499">IFERROR(V42/V$19,0)</f>
        <v>0</v>
      </c>
      <c r="X42" s="30">
        <f t="shared" si="3"/>
        <v>0</v>
      </c>
      <c r="Y42" s="41">
        <f t="shared" ref="Y42" si="500">IFERROR(X42/X$19,0)</f>
        <v>0</v>
      </c>
      <c r="Z42" s="29">
        <f>IFERROR(VLOOKUP($A42,APOIO!$B:$N,MATCH(Z$5,APOIO!$B$5:$N$5,0),FALSE),0)</f>
        <v>0</v>
      </c>
      <c r="AA42" s="38">
        <f t="shared" ref="AA42" si="501">IFERROR(Z42/Z$19,0)</f>
        <v>0</v>
      </c>
      <c r="AB42" s="29">
        <f>IFERROR(VLOOKUP($A42,APOIO!$B:$N,MATCH(AB$5,APOIO!$B$5:$N$5,0),FALSE),0)</f>
        <v>0</v>
      </c>
      <c r="AC42" s="38">
        <f t="shared" ref="AC42" si="502">IFERROR(AB42/AB$19,0)</f>
        <v>0</v>
      </c>
      <c r="AD42" s="29">
        <f>IFERROR(VLOOKUP($A42,APOIO!$B:$N,MATCH(AD$5,APOIO!$B$5:$N$5,0),FALSE),0)</f>
        <v>0</v>
      </c>
      <c r="AE42" s="38">
        <f t="shared" ref="AE42" si="503">IFERROR(AD42/AD$19,0)</f>
        <v>0</v>
      </c>
      <c r="AF42" s="30">
        <f t="shared" si="4"/>
        <v>0</v>
      </c>
      <c r="AG42" s="41">
        <f t="shared" ref="AG42" si="504">IFERROR(AF42/AF$19,0)</f>
        <v>0</v>
      </c>
      <c r="AH42" s="29">
        <f t="shared" si="5"/>
        <v>-27889.850000000002</v>
      </c>
      <c r="AI42" s="41">
        <f t="shared" ref="AI42" si="505">IFERROR(AH42/AH$19,0)</f>
        <v>-5.3609766433351129E-2</v>
      </c>
    </row>
    <row r="43" spans="1:35" ht="15.6" hidden="1" outlineLevel="1" x14ac:dyDescent="0.3">
      <c r="A43" s="35" t="s">
        <v>184</v>
      </c>
      <c r="B43" s="29">
        <f>IFERROR(VLOOKUP($A43,APOIO!$B:$N,MATCH(B$5,APOIO!$B$5:$N$5,0),FALSE),0)</f>
        <v>-37508</v>
      </c>
      <c r="C43" s="38">
        <f t="shared" si="134"/>
        <v>-0.24171503480662992</v>
      </c>
      <c r="D43" s="29">
        <f>IFERROR(VLOOKUP($A43,APOIO!$B:$N,MATCH(D$5,APOIO!$B$5:$N$5,0),FALSE),0)</f>
        <v>-12531.145096</v>
      </c>
      <c r="E43" s="38">
        <f t="shared" si="134"/>
        <v>-3.4325907213416447E-2</v>
      </c>
      <c r="F43" s="29">
        <f>IFERROR(VLOOKUP($A43,APOIO!$B:$N,MATCH(F$5,APOIO!$B$5:$N$5,0),FALSE),0)</f>
        <v>-11818</v>
      </c>
      <c r="G43" s="38">
        <f t="shared" ref="G43" si="506">IFERROR(F43/F$19,0)</f>
        <v>0</v>
      </c>
      <c r="H43" s="30">
        <f t="shared" ref="H43:H61" si="507">SUM(B43,D43,F43)</f>
        <v>-61857.145096</v>
      </c>
      <c r="I43" s="40">
        <f t="shared" ref="I43" si="508">IFERROR(H43/H$19,0)</f>
        <v>-0.11890157533405417</v>
      </c>
      <c r="J43" s="29">
        <f>IFERROR(VLOOKUP($A43,APOIO!$B:$N,MATCH(J$5,APOIO!$B$5:$N$5,0),FALSE),0)</f>
        <v>-6302.2125470000001</v>
      </c>
      <c r="K43" s="38">
        <f t="shared" ref="K43" si="509">IFERROR(J43/J$19,0)</f>
        <v>0</v>
      </c>
      <c r="L43" s="29">
        <f>IFERROR(VLOOKUP($A43,APOIO!$B:$N,MATCH(L$5,APOIO!$B$5:$N$5,0),FALSE),0)</f>
        <v>-12595</v>
      </c>
      <c r="M43" s="38">
        <f t="shared" ref="M43" si="510">IFERROR(L43/L$19,0)</f>
        <v>0</v>
      </c>
      <c r="N43" s="29">
        <f>IFERROR(VLOOKUP($A43,APOIO!$B:$N,MATCH(N$5,APOIO!$B$5:$N$5,0),FALSE),0)</f>
        <v>0</v>
      </c>
      <c r="O43" s="38">
        <f t="shared" ref="O43" si="511">IFERROR(N43/N$19,0)</f>
        <v>0</v>
      </c>
      <c r="P43" s="30">
        <f t="shared" ref="P43:P61" si="512">SUM(J43,L43,N43)</f>
        <v>-18897.212546999999</v>
      </c>
      <c r="Q43" s="41">
        <f t="shared" ref="Q43" si="513">IFERROR(P43/P$19,0)</f>
        <v>0</v>
      </c>
      <c r="R43" s="29">
        <f>IFERROR(VLOOKUP($A43,APOIO!$B:$N,MATCH(R$5,APOIO!$B$5:$N$5,0),FALSE),0)</f>
        <v>0</v>
      </c>
      <c r="S43" s="41">
        <f t="shared" ref="S43" si="514">IFERROR(R43/R$19,0)</f>
        <v>0</v>
      </c>
      <c r="T43" s="29">
        <f>IFERROR(VLOOKUP($A43,APOIO!$B:$N,MATCH(T$5,APOIO!$B$5:$N$5,0),FALSE),0)</f>
        <v>0</v>
      </c>
      <c r="U43" s="41">
        <f t="shared" ref="U43" si="515">IFERROR(T43/T$19,0)</f>
        <v>0</v>
      </c>
      <c r="V43" s="29">
        <f>IFERROR(VLOOKUP($A43,APOIO!$B:$N,MATCH(V$5,APOIO!$B$5:$N$5,0),FALSE),0)</f>
        <v>0</v>
      </c>
      <c r="W43" s="38">
        <f t="shared" ref="W43" si="516">IFERROR(V43/V$19,0)</f>
        <v>0</v>
      </c>
      <c r="X43" s="30">
        <f t="shared" ref="X43:X61" si="517">SUM(R43,T43,V43)</f>
        <v>0</v>
      </c>
      <c r="Y43" s="41">
        <f t="shared" ref="Y43" si="518">IFERROR(X43/X$19,0)</f>
        <v>0</v>
      </c>
      <c r="Z43" s="29">
        <f>IFERROR(VLOOKUP($A43,APOIO!$B:$N,MATCH(Z$5,APOIO!$B$5:$N$5,0),FALSE),0)</f>
        <v>0</v>
      </c>
      <c r="AA43" s="38">
        <f t="shared" ref="AA43" si="519">IFERROR(Z43/Z$19,0)</f>
        <v>0</v>
      </c>
      <c r="AB43" s="29">
        <f>IFERROR(VLOOKUP($A43,APOIO!$B:$N,MATCH(AB$5,APOIO!$B$5:$N$5,0),FALSE),0)</f>
        <v>0</v>
      </c>
      <c r="AC43" s="38">
        <f t="shared" ref="AC43" si="520">IFERROR(AB43/AB$19,0)</f>
        <v>0</v>
      </c>
      <c r="AD43" s="29">
        <f>IFERROR(VLOOKUP($A43,APOIO!$B:$N,MATCH(AD$5,APOIO!$B$5:$N$5,0),FALSE),0)</f>
        <v>0</v>
      </c>
      <c r="AE43" s="38">
        <f t="shared" ref="AE43" si="521">IFERROR(AD43/AD$19,0)</f>
        <v>0</v>
      </c>
      <c r="AF43" s="30">
        <f t="shared" ref="AF43:AF61" si="522">SUM(Z43,AB43,AD43)</f>
        <v>0</v>
      </c>
      <c r="AG43" s="41">
        <f t="shared" ref="AG43" si="523">IFERROR(AF43/AF$19,0)</f>
        <v>0</v>
      </c>
      <c r="AH43" s="29">
        <f t="shared" ref="AH43:AH61" si="524">SUM(B43,D43,F43,J43,L43,N43,R43,T43,V43,Z43,AB43,AD43)</f>
        <v>-80754.357642999996</v>
      </c>
      <c r="AI43" s="41">
        <f t="shared" ref="AI43" si="525">IFERROR(AH43/AH$19,0)</f>
        <v>-0.15522572734226009</v>
      </c>
    </row>
    <row r="44" spans="1:35" ht="15.6" hidden="1" outlineLevel="1" x14ac:dyDescent="0.3">
      <c r="A44" s="35" t="s">
        <v>185</v>
      </c>
      <c r="B44" s="29">
        <f>IFERROR(VLOOKUP($A44,APOIO!$B:$N,MATCH(B$5,APOIO!$B$5:$N$5,0),FALSE),0)</f>
        <v>0</v>
      </c>
      <c r="C44" s="38">
        <f t="shared" si="134"/>
        <v>0</v>
      </c>
      <c r="D44" s="29">
        <f>IFERROR(VLOOKUP($A44,APOIO!$B:$N,MATCH(D$5,APOIO!$B$5:$N$5,0),FALSE),0)</f>
        <v>0</v>
      </c>
      <c r="E44" s="38">
        <f t="shared" si="134"/>
        <v>0</v>
      </c>
      <c r="F44" s="29">
        <f>IFERROR(VLOOKUP($A44,APOIO!$B:$N,MATCH(F$5,APOIO!$B$5:$N$5,0),FALSE),0)</f>
        <v>0</v>
      </c>
      <c r="G44" s="38">
        <f t="shared" ref="G44" si="526">IFERROR(F44/F$19,0)</f>
        <v>0</v>
      </c>
      <c r="H44" s="30">
        <f t="shared" si="507"/>
        <v>0</v>
      </c>
      <c r="I44" s="40">
        <f t="shared" ref="I44" si="527">IFERROR(H44/H$19,0)</f>
        <v>0</v>
      </c>
      <c r="J44" s="29">
        <f>IFERROR(VLOOKUP($A44,APOIO!$B:$N,MATCH(J$5,APOIO!$B$5:$N$5,0),FALSE),0)</f>
        <v>0</v>
      </c>
      <c r="K44" s="38">
        <f t="shared" ref="K44" si="528">IFERROR(J44/J$19,0)</f>
        <v>0</v>
      </c>
      <c r="L44" s="29">
        <f>IFERROR(VLOOKUP($A44,APOIO!$B:$N,MATCH(L$5,APOIO!$B$5:$N$5,0),FALSE),0)</f>
        <v>0</v>
      </c>
      <c r="M44" s="38">
        <f t="shared" ref="M44" si="529">IFERROR(L44/L$19,0)</f>
        <v>0</v>
      </c>
      <c r="N44" s="29">
        <f>IFERROR(VLOOKUP($A44,APOIO!$B:$N,MATCH(N$5,APOIO!$B$5:$N$5,0),FALSE),0)</f>
        <v>0</v>
      </c>
      <c r="O44" s="38">
        <f t="shared" ref="O44" si="530">IFERROR(N44/N$19,0)</f>
        <v>0</v>
      </c>
      <c r="P44" s="30">
        <f t="shared" si="512"/>
        <v>0</v>
      </c>
      <c r="Q44" s="41">
        <f t="shared" ref="Q44" si="531">IFERROR(P44/P$19,0)</f>
        <v>0</v>
      </c>
      <c r="R44" s="29">
        <f>IFERROR(VLOOKUP($A44,APOIO!$B:$N,MATCH(R$5,APOIO!$B$5:$N$5,0),FALSE),0)</f>
        <v>0</v>
      </c>
      <c r="S44" s="41">
        <f t="shared" ref="S44" si="532">IFERROR(R44/R$19,0)</f>
        <v>0</v>
      </c>
      <c r="T44" s="29">
        <f>IFERROR(VLOOKUP($A44,APOIO!$B:$N,MATCH(T$5,APOIO!$B$5:$N$5,0),FALSE),0)</f>
        <v>0</v>
      </c>
      <c r="U44" s="41">
        <f t="shared" ref="U44" si="533">IFERROR(T44/T$19,0)</f>
        <v>0</v>
      </c>
      <c r="V44" s="29">
        <f>IFERROR(VLOOKUP($A44,APOIO!$B:$N,MATCH(V$5,APOIO!$B$5:$N$5,0),FALSE),0)</f>
        <v>0</v>
      </c>
      <c r="W44" s="38">
        <f t="shared" ref="W44" si="534">IFERROR(V44/V$19,0)</f>
        <v>0</v>
      </c>
      <c r="X44" s="30">
        <f t="shared" si="517"/>
        <v>0</v>
      </c>
      <c r="Y44" s="41">
        <f t="shared" ref="Y44" si="535">IFERROR(X44/X$19,0)</f>
        <v>0</v>
      </c>
      <c r="Z44" s="29">
        <f>IFERROR(VLOOKUP($A44,APOIO!$B:$N,MATCH(Z$5,APOIO!$B$5:$N$5,0),FALSE),0)</f>
        <v>0</v>
      </c>
      <c r="AA44" s="38">
        <f t="shared" ref="AA44" si="536">IFERROR(Z44/Z$19,0)</f>
        <v>0</v>
      </c>
      <c r="AB44" s="29">
        <f>IFERROR(VLOOKUP($A44,APOIO!$B:$N,MATCH(AB$5,APOIO!$B$5:$N$5,0),FALSE),0)</f>
        <v>0</v>
      </c>
      <c r="AC44" s="38">
        <f t="shared" ref="AC44" si="537">IFERROR(AB44/AB$19,0)</f>
        <v>0</v>
      </c>
      <c r="AD44" s="29">
        <f>IFERROR(VLOOKUP($A44,APOIO!$B:$N,MATCH(AD$5,APOIO!$B$5:$N$5,0),FALSE),0)</f>
        <v>0</v>
      </c>
      <c r="AE44" s="38">
        <f t="shared" ref="AE44" si="538">IFERROR(AD44/AD$19,0)</f>
        <v>0</v>
      </c>
      <c r="AF44" s="30">
        <f t="shared" si="522"/>
        <v>0</v>
      </c>
      <c r="AG44" s="41">
        <f t="shared" ref="AG44" si="539">IFERROR(AF44/AF$19,0)</f>
        <v>0</v>
      </c>
      <c r="AH44" s="29">
        <f t="shared" si="524"/>
        <v>0</v>
      </c>
      <c r="AI44" s="41">
        <f t="shared" ref="AI44" si="540">IFERROR(AH44/AH$19,0)</f>
        <v>0</v>
      </c>
    </row>
    <row r="45" spans="1:35" ht="15.6" hidden="1" outlineLevel="1" x14ac:dyDescent="0.3">
      <c r="A45" s="35" t="s">
        <v>186</v>
      </c>
      <c r="B45" s="29">
        <f>IFERROR(VLOOKUP($A45,APOIO!$B:$N,MATCH(B$5,APOIO!$B$5:$N$5,0),FALSE),0)</f>
        <v>-42449.760000000002</v>
      </c>
      <c r="C45" s="38">
        <f t="shared" si="134"/>
        <v>-0.27356151263552009</v>
      </c>
      <c r="D45" s="29">
        <f>IFERROR(VLOOKUP($A45,APOIO!$B:$N,MATCH(D$5,APOIO!$B$5:$N$5,0),FALSE),0)</f>
        <v>-32818.42</v>
      </c>
      <c r="E45" s="38">
        <f t="shared" si="134"/>
        <v>-8.9897773202747569E-2</v>
      </c>
      <c r="F45" s="29">
        <f>IFERROR(VLOOKUP($A45,APOIO!$B:$N,MATCH(F$5,APOIO!$B$5:$N$5,0),FALSE),0)</f>
        <v>0</v>
      </c>
      <c r="G45" s="38">
        <f t="shared" ref="G45" si="541">IFERROR(F45/F$19,0)</f>
        <v>0</v>
      </c>
      <c r="H45" s="30">
        <f t="shared" si="507"/>
        <v>-75268.179999999993</v>
      </c>
      <c r="I45" s="40">
        <f t="shared" ref="I45" si="542">IFERROR(H45/H$19,0)</f>
        <v>-0.14468021698443806</v>
      </c>
      <c r="J45" s="29">
        <f>IFERROR(VLOOKUP($A45,APOIO!$B:$N,MATCH(J$5,APOIO!$B$5:$N$5,0),FALSE),0)</f>
        <v>0</v>
      </c>
      <c r="K45" s="38">
        <f t="shared" ref="K45" si="543">IFERROR(J45/J$19,0)</f>
        <v>0</v>
      </c>
      <c r="L45" s="29">
        <f>IFERROR(VLOOKUP($A45,APOIO!$B:$N,MATCH(L$5,APOIO!$B$5:$N$5,0),FALSE),0)</f>
        <v>0</v>
      </c>
      <c r="M45" s="38">
        <f t="shared" ref="M45" si="544">IFERROR(L45/L$19,0)</f>
        <v>0</v>
      </c>
      <c r="N45" s="29">
        <f>IFERROR(VLOOKUP($A45,APOIO!$B:$N,MATCH(N$5,APOIO!$B$5:$N$5,0),FALSE),0)</f>
        <v>0</v>
      </c>
      <c r="O45" s="38">
        <f t="shared" ref="O45" si="545">IFERROR(N45/N$19,0)</f>
        <v>0</v>
      </c>
      <c r="P45" s="30">
        <f t="shared" si="512"/>
        <v>0</v>
      </c>
      <c r="Q45" s="41">
        <f t="shared" ref="Q45" si="546">IFERROR(P45/P$19,0)</f>
        <v>0</v>
      </c>
      <c r="R45" s="29">
        <f>IFERROR(VLOOKUP($A45,APOIO!$B:$N,MATCH(R$5,APOIO!$B$5:$N$5,0),FALSE),0)</f>
        <v>0</v>
      </c>
      <c r="S45" s="41">
        <f t="shared" ref="S45" si="547">IFERROR(R45/R$19,0)</f>
        <v>0</v>
      </c>
      <c r="T45" s="29">
        <f>IFERROR(VLOOKUP($A45,APOIO!$B:$N,MATCH(T$5,APOIO!$B$5:$N$5,0),FALSE),0)</f>
        <v>0</v>
      </c>
      <c r="U45" s="41">
        <f t="shared" ref="U45" si="548">IFERROR(T45/T$19,0)</f>
        <v>0</v>
      </c>
      <c r="V45" s="29">
        <f>IFERROR(VLOOKUP($A45,APOIO!$B:$N,MATCH(V$5,APOIO!$B$5:$N$5,0),FALSE),0)</f>
        <v>0</v>
      </c>
      <c r="W45" s="38">
        <f t="shared" ref="W45" si="549">IFERROR(V45/V$19,0)</f>
        <v>0</v>
      </c>
      <c r="X45" s="30">
        <f t="shared" si="517"/>
        <v>0</v>
      </c>
      <c r="Y45" s="41">
        <f t="shared" ref="Y45" si="550">IFERROR(X45/X$19,0)</f>
        <v>0</v>
      </c>
      <c r="Z45" s="29">
        <f>IFERROR(VLOOKUP($A45,APOIO!$B:$N,MATCH(Z$5,APOIO!$B$5:$N$5,0),FALSE),0)</f>
        <v>0</v>
      </c>
      <c r="AA45" s="38">
        <f t="shared" ref="AA45" si="551">IFERROR(Z45/Z$19,0)</f>
        <v>0</v>
      </c>
      <c r="AB45" s="29">
        <f>IFERROR(VLOOKUP($A45,APOIO!$B:$N,MATCH(AB$5,APOIO!$B$5:$N$5,0),FALSE),0)</f>
        <v>0</v>
      </c>
      <c r="AC45" s="38">
        <f t="shared" ref="AC45" si="552">IFERROR(AB45/AB$19,0)</f>
        <v>0</v>
      </c>
      <c r="AD45" s="29">
        <f>IFERROR(VLOOKUP($A45,APOIO!$B:$N,MATCH(AD$5,APOIO!$B$5:$N$5,0),FALSE),0)</f>
        <v>0</v>
      </c>
      <c r="AE45" s="38">
        <f t="shared" ref="AE45" si="553">IFERROR(AD45/AD$19,0)</f>
        <v>0</v>
      </c>
      <c r="AF45" s="30">
        <f t="shared" si="522"/>
        <v>0</v>
      </c>
      <c r="AG45" s="41">
        <f t="shared" ref="AG45" si="554">IFERROR(AF45/AF$19,0)</f>
        <v>0</v>
      </c>
      <c r="AH45" s="29">
        <f t="shared" si="524"/>
        <v>-75268.179999999993</v>
      </c>
      <c r="AI45" s="41">
        <f t="shared" ref="AI45" si="555">IFERROR(AH45/AH$19,0)</f>
        <v>-0.14468021698443806</v>
      </c>
    </row>
    <row r="46" spans="1:35" ht="15.6" hidden="1" outlineLevel="1" x14ac:dyDescent="0.3">
      <c r="A46" s="35" t="s">
        <v>187</v>
      </c>
      <c r="B46" s="29">
        <f>IFERROR(VLOOKUP($A46,APOIO!$B:$N,MATCH(B$5,APOIO!$B$5:$N$5,0),FALSE),0)</f>
        <v>0</v>
      </c>
      <c r="C46" s="38">
        <f t="shared" si="134"/>
        <v>0</v>
      </c>
      <c r="D46" s="29">
        <f>IFERROR(VLOOKUP($A46,APOIO!$B:$N,MATCH(D$5,APOIO!$B$5:$N$5,0),FALSE),0)</f>
        <v>0</v>
      </c>
      <c r="E46" s="38">
        <f t="shared" si="134"/>
        <v>0</v>
      </c>
      <c r="F46" s="29">
        <f>IFERROR(VLOOKUP($A46,APOIO!$B:$N,MATCH(F$5,APOIO!$B$5:$N$5,0),FALSE),0)</f>
        <v>0</v>
      </c>
      <c r="G46" s="38">
        <f t="shared" ref="G46" si="556">IFERROR(F46/F$19,0)</f>
        <v>0</v>
      </c>
      <c r="H46" s="30">
        <f t="shared" si="507"/>
        <v>0</v>
      </c>
      <c r="I46" s="40">
        <f t="shared" ref="I46" si="557">IFERROR(H46/H$19,0)</f>
        <v>0</v>
      </c>
      <c r="J46" s="29">
        <f>IFERROR(VLOOKUP($A46,APOIO!$B:$N,MATCH(J$5,APOIO!$B$5:$N$5,0),FALSE),0)</f>
        <v>0</v>
      </c>
      <c r="K46" s="38">
        <f t="shared" ref="K46" si="558">IFERROR(J46/J$19,0)</f>
        <v>0</v>
      </c>
      <c r="L46" s="29">
        <f>IFERROR(VLOOKUP($A46,APOIO!$B:$N,MATCH(L$5,APOIO!$B$5:$N$5,0),FALSE),0)</f>
        <v>-200</v>
      </c>
      <c r="M46" s="38">
        <f t="shared" ref="M46" si="559">IFERROR(L46/L$19,0)</f>
        <v>0</v>
      </c>
      <c r="N46" s="29">
        <f>IFERROR(VLOOKUP($A46,APOIO!$B:$N,MATCH(N$5,APOIO!$B$5:$N$5,0),FALSE),0)</f>
        <v>0</v>
      </c>
      <c r="O46" s="38">
        <f t="shared" ref="O46" si="560">IFERROR(N46/N$19,0)</f>
        <v>0</v>
      </c>
      <c r="P46" s="30">
        <f t="shared" si="512"/>
        <v>-200</v>
      </c>
      <c r="Q46" s="41">
        <f t="shared" ref="Q46" si="561">IFERROR(P46/P$19,0)</f>
        <v>0</v>
      </c>
      <c r="R46" s="29">
        <f>IFERROR(VLOOKUP($A46,APOIO!$B:$N,MATCH(R$5,APOIO!$B$5:$N$5,0),FALSE),0)</f>
        <v>0</v>
      </c>
      <c r="S46" s="41">
        <f t="shared" ref="S46" si="562">IFERROR(R46/R$19,0)</f>
        <v>0</v>
      </c>
      <c r="T46" s="29">
        <f>IFERROR(VLOOKUP($A46,APOIO!$B:$N,MATCH(T$5,APOIO!$B$5:$N$5,0),FALSE),0)</f>
        <v>0</v>
      </c>
      <c r="U46" s="41">
        <f t="shared" ref="U46" si="563">IFERROR(T46/T$19,0)</f>
        <v>0</v>
      </c>
      <c r="V46" s="29">
        <f>IFERROR(VLOOKUP($A46,APOIO!$B:$N,MATCH(V$5,APOIO!$B$5:$N$5,0),FALSE),0)</f>
        <v>0</v>
      </c>
      <c r="W46" s="38">
        <f t="shared" ref="W46" si="564">IFERROR(V46/V$19,0)</f>
        <v>0</v>
      </c>
      <c r="X46" s="30">
        <f t="shared" si="517"/>
        <v>0</v>
      </c>
      <c r="Y46" s="41">
        <f t="shared" ref="Y46" si="565">IFERROR(X46/X$19,0)</f>
        <v>0</v>
      </c>
      <c r="Z46" s="29">
        <f>IFERROR(VLOOKUP($A46,APOIO!$B:$N,MATCH(Z$5,APOIO!$B$5:$N$5,0),FALSE),0)</f>
        <v>0</v>
      </c>
      <c r="AA46" s="38">
        <f t="shared" ref="AA46" si="566">IFERROR(Z46/Z$19,0)</f>
        <v>0</v>
      </c>
      <c r="AB46" s="29">
        <f>IFERROR(VLOOKUP($A46,APOIO!$B:$N,MATCH(AB$5,APOIO!$B$5:$N$5,0),FALSE),0)</f>
        <v>0</v>
      </c>
      <c r="AC46" s="38">
        <f t="shared" ref="AC46" si="567">IFERROR(AB46/AB$19,0)</f>
        <v>0</v>
      </c>
      <c r="AD46" s="29">
        <f>IFERROR(VLOOKUP($A46,APOIO!$B:$N,MATCH(AD$5,APOIO!$B$5:$N$5,0),FALSE),0)</f>
        <v>0</v>
      </c>
      <c r="AE46" s="38">
        <f t="shared" ref="AE46" si="568">IFERROR(AD46/AD$19,0)</f>
        <v>0</v>
      </c>
      <c r="AF46" s="30">
        <f t="shared" si="522"/>
        <v>0</v>
      </c>
      <c r="AG46" s="41">
        <f t="shared" ref="AG46" si="569">IFERROR(AF46/AF$19,0)</f>
        <v>0</v>
      </c>
      <c r="AH46" s="29">
        <f t="shared" si="524"/>
        <v>-200</v>
      </c>
      <c r="AI46" s="41">
        <f t="shared" ref="AI46" si="570">IFERROR(AH46/AH$19,0)</f>
        <v>-3.8443925968301103E-4</v>
      </c>
    </row>
    <row r="47" spans="1:35" ht="15.6" hidden="1" outlineLevel="1" x14ac:dyDescent="0.3">
      <c r="A47" s="35" t="s">
        <v>188</v>
      </c>
      <c r="B47" s="29">
        <f>IFERROR(VLOOKUP($A47,APOIO!$B:$N,MATCH(B$5,APOIO!$B$5:$N$5,0),FALSE),0)</f>
        <v>0</v>
      </c>
      <c r="C47" s="38">
        <f t="shared" si="134"/>
        <v>0</v>
      </c>
      <c r="D47" s="29">
        <f>IFERROR(VLOOKUP($A47,APOIO!$B:$N,MATCH(D$5,APOIO!$B$5:$N$5,0),FALSE),0)</f>
        <v>0</v>
      </c>
      <c r="E47" s="38">
        <f t="shared" si="134"/>
        <v>0</v>
      </c>
      <c r="F47" s="29">
        <f>IFERROR(VLOOKUP($A47,APOIO!$B:$N,MATCH(F$5,APOIO!$B$5:$N$5,0),FALSE),0)</f>
        <v>0</v>
      </c>
      <c r="G47" s="38">
        <f t="shared" ref="G47:G48" si="571">IFERROR(F47/F$19,0)</f>
        <v>0</v>
      </c>
      <c r="H47" s="30">
        <f t="shared" si="507"/>
        <v>0</v>
      </c>
      <c r="I47" s="40">
        <f t="shared" ref="I47:I48" si="572">IFERROR(H47/H$19,0)</f>
        <v>0</v>
      </c>
      <c r="J47" s="29">
        <f>IFERROR(VLOOKUP($A47,APOIO!$B:$N,MATCH(J$5,APOIO!$B$5:$N$5,0),FALSE),0)</f>
        <v>0</v>
      </c>
      <c r="K47" s="38">
        <f t="shared" ref="K47:K48" si="573">IFERROR(J47/J$19,0)</f>
        <v>0</v>
      </c>
      <c r="L47" s="29">
        <f>IFERROR(VLOOKUP($A47,APOIO!$B:$N,MATCH(L$5,APOIO!$B$5:$N$5,0),FALSE),0)</f>
        <v>0</v>
      </c>
      <c r="M47" s="38">
        <f t="shared" ref="M47:M48" si="574">IFERROR(L47/L$19,0)</f>
        <v>0</v>
      </c>
      <c r="N47" s="29">
        <f>IFERROR(VLOOKUP($A47,APOIO!$B:$N,MATCH(N$5,APOIO!$B$5:$N$5,0),FALSE),0)</f>
        <v>0</v>
      </c>
      <c r="O47" s="38">
        <f t="shared" ref="O47:O48" si="575">IFERROR(N47/N$19,0)</f>
        <v>0</v>
      </c>
      <c r="P47" s="30">
        <f t="shared" si="512"/>
        <v>0</v>
      </c>
      <c r="Q47" s="41">
        <f t="shared" ref="Q47:Q48" si="576">IFERROR(P47/P$19,0)</f>
        <v>0</v>
      </c>
      <c r="R47" s="29">
        <f>IFERROR(VLOOKUP($A47,APOIO!$B:$N,MATCH(R$5,APOIO!$B$5:$N$5,0),FALSE),0)</f>
        <v>0</v>
      </c>
      <c r="S47" s="41">
        <f t="shared" ref="S47:S48" si="577">IFERROR(R47/R$19,0)</f>
        <v>0</v>
      </c>
      <c r="T47" s="29">
        <f>IFERROR(VLOOKUP($A47,APOIO!$B:$N,MATCH(T$5,APOIO!$B$5:$N$5,0),FALSE),0)</f>
        <v>0</v>
      </c>
      <c r="U47" s="41">
        <f t="shared" ref="U47:U48" si="578">IFERROR(T47/T$19,0)</f>
        <v>0</v>
      </c>
      <c r="V47" s="29">
        <f>IFERROR(VLOOKUP($A47,APOIO!$B:$N,MATCH(V$5,APOIO!$B$5:$N$5,0),FALSE),0)</f>
        <v>0</v>
      </c>
      <c r="W47" s="38">
        <f t="shared" ref="W47:W48" si="579">IFERROR(V47/V$19,0)</f>
        <v>0</v>
      </c>
      <c r="X47" s="30">
        <f t="shared" si="517"/>
        <v>0</v>
      </c>
      <c r="Y47" s="41">
        <f t="shared" ref="Y47:Y48" si="580">IFERROR(X47/X$19,0)</f>
        <v>0</v>
      </c>
      <c r="Z47" s="29">
        <f>IFERROR(VLOOKUP($A47,APOIO!$B:$N,MATCH(Z$5,APOIO!$B$5:$N$5,0),FALSE),0)</f>
        <v>0</v>
      </c>
      <c r="AA47" s="38">
        <f t="shared" ref="AA47:AA48" si="581">IFERROR(Z47/Z$19,0)</f>
        <v>0</v>
      </c>
      <c r="AB47" s="29">
        <f>IFERROR(VLOOKUP($A47,APOIO!$B:$N,MATCH(AB$5,APOIO!$B$5:$N$5,0),FALSE),0)</f>
        <v>0</v>
      </c>
      <c r="AC47" s="38">
        <f t="shared" ref="AC47:AC48" si="582">IFERROR(AB47/AB$19,0)</f>
        <v>0</v>
      </c>
      <c r="AD47" s="29">
        <f>IFERROR(VLOOKUP($A47,APOIO!$B:$N,MATCH(AD$5,APOIO!$B$5:$N$5,0),FALSE),0)</f>
        <v>0</v>
      </c>
      <c r="AE47" s="38">
        <f t="shared" ref="AE47:AE48" si="583">IFERROR(AD47/AD$19,0)</f>
        <v>0</v>
      </c>
      <c r="AF47" s="30">
        <f t="shared" si="522"/>
        <v>0</v>
      </c>
      <c r="AG47" s="41">
        <f t="shared" ref="AG47:AG48" si="584">IFERROR(AF47/AF$19,0)</f>
        <v>0</v>
      </c>
      <c r="AH47" s="29">
        <f t="shared" si="524"/>
        <v>0</v>
      </c>
      <c r="AI47" s="41">
        <f t="shared" ref="AI47:AI48" si="585">IFERROR(AH47/AH$19,0)</f>
        <v>0</v>
      </c>
    </row>
    <row r="48" spans="1:35" ht="15.6" hidden="1" outlineLevel="1" x14ac:dyDescent="0.3">
      <c r="A48" s="35" t="s">
        <v>189</v>
      </c>
      <c r="B48" s="29">
        <f>IFERROR(VLOOKUP($A48,APOIO!$B:$N,MATCH(B$5,APOIO!$B$5:$N$5,0),FALSE),0)</f>
        <v>-1590.71</v>
      </c>
      <c r="C48" s="38">
        <f t="shared" ref="C48" si="586">IFERROR(B48/B$19,0)</f>
        <v>-1.0251107044290666E-2</v>
      </c>
      <c r="D48" s="29">
        <f>IFERROR(VLOOKUP($A48,APOIO!$B:$N,MATCH(D$5,APOIO!$B$5:$N$5,0),FALSE),0)</f>
        <v>-1433.0391460000001</v>
      </c>
      <c r="E48" s="38">
        <f t="shared" ref="E48" si="587">IFERROR(D48/D$19,0)</f>
        <v>-3.9254488222701485E-3</v>
      </c>
      <c r="F48" s="29">
        <f>IFERROR(VLOOKUP($A48,APOIO!$B:$N,MATCH(F$5,APOIO!$B$5:$N$5,0),FALSE),0)</f>
        <v>-100</v>
      </c>
      <c r="G48" s="38">
        <f t="shared" si="571"/>
        <v>0</v>
      </c>
      <c r="H48" s="30">
        <f t="shared" ref="H48" si="588">SUM(B48,D48,F48)</f>
        <v>-3123.7491460000001</v>
      </c>
      <c r="I48" s="40">
        <f t="shared" si="572"/>
        <v>-6.0044590456183895E-3</v>
      </c>
      <c r="J48" s="29">
        <f>IFERROR(VLOOKUP($A48,APOIO!$B:$N,MATCH(J$5,APOIO!$B$5:$N$5,0),FALSE),0)</f>
        <v>-2231.0030740000002</v>
      </c>
      <c r="K48" s="38">
        <f t="shared" si="573"/>
        <v>0</v>
      </c>
      <c r="L48" s="29">
        <f>IFERROR(VLOOKUP($A48,APOIO!$B:$N,MATCH(L$5,APOIO!$B$5:$N$5,0),FALSE),0)</f>
        <v>-325.40457600000002</v>
      </c>
      <c r="M48" s="38">
        <f t="shared" si="574"/>
        <v>0</v>
      </c>
      <c r="N48" s="29">
        <f>IFERROR(VLOOKUP($A48,APOIO!$B:$N,MATCH(N$5,APOIO!$B$5:$N$5,0),FALSE),0)</f>
        <v>0</v>
      </c>
      <c r="O48" s="38">
        <f t="shared" si="575"/>
        <v>0</v>
      </c>
      <c r="P48" s="30">
        <f t="shared" ref="P48" si="589">SUM(J48,L48,N48)</f>
        <v>-2556.4076500000001</v>
      </c>
      <c r="Q48" s="41">
        <f t="shared" si="576"/>
        <v>0</v>
      </c>
      <c r="R48" s="29">
        <f>IFERROR(VLOOKUP($A48,APOIO!$B:$N,MATCH(R$5,APOIO!$B$5:$N$5,0),FALSE),0)</f>
        <v>0</v>
      </c>
      <c r="S48" s="41">
        <f t="shared" si="577"/>
        <v>0</v>
      </c>
      <c r="T48" s="29">
        <f>IFERROR(VLOOKUP($A48,APOIO!$B:$N,MATCH(T$5,APOIO!$B$5:$N$5,0),FALSE),0)</f>
        <v>0</v>
      </c>
      <c r="U48" s="41">
        <f t="shared" si="578"/>
        <v>0</v>
      </c>
      <c r="V48" s="29">
        <f>IFERROR(VLOOKUP($A48,APOIO!$B:$N,MATCH(V$5,APOIO!$B$5:$N$5,0),FALSE),0)</f>
        <v>0</v>
      </c>
      <c r="W48" s="38">
        <f t="shared" si="579"/>
        <v>0</v>
      </c>
      <c r="X48" s="30">
        <f t="shared" ref="X48" si="590">SUM(R48,T48,V48)</f>
        <v>0</v>
      </c>
      <c r="Y48" s="41">
        <f t="shared" si="580"/>
        <v>0</v>
      </c>
      <c r="Z48" s="29">
        <f>IFERROR(VLOOKUP($A48,APOIO!$B:$N,MATCH(Z$5,APOIO!$B$5:$N$5,0),FALSE),0)</f>
        <v>0</v>
      </c>
      <c r="AA48" s="38">
        <f t="shared" si="581"/>
        <v>0</v>
      </c>
      <c r="AB48" s="29">
        <f>IFERROR(VLOOKUP($A48,APOIO!$B:$N,MATCH(AB$5,APOIO!$B$5:$N$5,0),FALSE),0)</f>
        <v>0</v>
      </c>
      <c r="AC48" s="38">
        <f t="shared" si="582"/>
        <v>0</v>
      </c>
      <c r="AD48" s="29">
        <f>IFERROR(VLOOKUP($A48,APOIO!$B:$N,MATCH(AD$5,APOIO!$B$5:$N$5,0),FALSE),0)</f>
        <v>0</v>
      </c>
      <c r="AE48" s="38">
        <f t="shared" si="583"/>
        <v>0</v>
      </c>
      <c r="AF48" s="30">
        <f t="shared" ref="AF48" si="591">SUM(Z48,AB48,AD48)</f>
        <v>0</v>
      </c>
      <c r="AG48" s="41">
        <f t="shared" si="584"/>
        <v>0</v>
      </c>
      <c r="AH48" s="29">
        <f t="shared" ref="AH48" si="592">SUM(B48,D48,F48,J48,L48,N48,R48,T48,V48,Z48,AB48,AD48)</f>
        <v>-5680.1567960000002</v>
      </c>
      <c r="AI48" s="41">
        <f t="shared" si="585"/>
        <v>-1.0918376367688319E-2</v>
      </c>
    </row>
    <row r="49" spans="1:35" ht="15.6" hidden="1" outlineLevel="1" x14ac:dyDescent="0.3">
      <c r="A49" s="35" t="s">
        <v>190</v>
      </c>
      <c r="B49" s="29">
        <f>IFERROR(VLOOKUP($A49,APOIO!$B:$N,MATCH(B$5,APOIO!$B$5:$N$5,0),FALSE),0)</f>
        <v>0</v>
      </c>
      <c r="C49" s="38">
        <f t="shared" si="134"/>
        <v>0</v>
      </c>
      <c r="D49" s="29">
        <f>IFERROR(VLOOKUP($A49,APOIO!$B:$N,MATCH(D$5,APOIO!$B$5:$N$5,0),FALSE),0)</f>
        <v>0</v>
      </c>
      <c r="E49" s="38">
        <f t="shared" si="134"/>
        <v>0</v>
      </c>
      <c r="F49" s="29">
        <f>IFERROR(VLOOKUP($A49,APOIO!$B:$N,MATCH(F$5,APOIO!$B$5:$N$5,0),FALSE),0)</f>
        <v>0</v>
      </c>
      <c r="G49" s="38">
        <f t="shared" ref="G49" si="593">IFERROR(F49/F$19,0)</f>
        <v>0</v>
      </c>
      <c r="H49" s="30">
        <f t="shared" si="507"/>
        <v>0</v>
      </c>
      <c r="I49" s="40">
        <f t="shared" ref="I49" si="594">IFERROR(H49/H$19,0)</f>
        <v>0</v>
      </c>
      <c r="J49" s="29">
        <f>IFERROR(VLOOKUP($A49,APOIO!$B:$N,MATCH(J$5,APOIO!$B$5:$N$5,0),FALSE),0)</f>
        <v>0</v>
      </c>
      <c r="K49" s="38">
        <f t="shared" ref="K49" si="595">IFERROR(J49/J$19,0)</f>
        <v>0</v>
      </c>
      <c r="L49" s="29">
        <f>IFERROR(VLOOKUP($A49,APOIO!$B:$N,MATCH(L$5,APOIO!$B$5:$N$5,0),FALSE),0)</f>
        <v>0</v>
      </c>
      <c r="M49" s="38">
        <f t="shared" ref="M49" si="596">IFERROR(L49/L$19,0)</f>
        <v>0</v>
      </c>
      <c r="N49" s="29">
        <f>IFERROR(VLOOKUP($A49,APOIO!$B:$N,MATCH(N$5,APOIO!$B$5:$N$5,0),FALSE),0)</f>
        <v>0</v>
      </c>
      <c r="O49" s="38">
        <f t="shared" ref="O49" si="597">IFERROR(N49/N$19,0)</f>
        <v>0</v>
      </c>
      <c r="P49" s="30">
        <f t="shared" si="512"/>
        <v>0</v>
      </c>
      <c r="Q49" s="41">
        <f t="shared" ref="Q49" si="598">IFERROR(P49/P$19,0)</f>
        <v>0</v>
      </c>
      <c r="R49" s="29">
        <f>IFERROR(VLOOKUP($A49,APOIO!$B:$N,MATCH(R$5,APOIO!$B$5:$N$5,0),FALSE),0)</f>
        <v>0</v>
      </c>
      <c r="S49" s="41">
        <f t="shared" ref="S49" si="599">IFERROR(R49/R$19,0)</f>
        <v>0</v>
      </c>
      <c r="T49" s="29">
        <f>IFERROR(VLOOKUP($A49,APOIO!$B:$N,MATCH(T$5,APOIO!$B$5:$N$5,0),FALSE),0)</f>
        <v>0</v>
      </c>
      <c r="U49" s="41">
        <f t="shared" ref="U49" si="600">IFERROR(T49/T$19,0)</f>
        <v>0</v>
      </c>
      <c r="V49" s="29">
        <f>IFERROR(VLOOKUP($A49,APOIO!$B:$N,MATCH(V$5,APOIO!$B$5:$N$5,0),FALSE),0)</f>
        <v>0</v>
      </c>
      <c r="W49" s="38">
        <f t="shared" ref="W49" si="601">IFERROR(V49/V$19,0)</f>
        <v>0</v>
      </c>
      <c r="X49" s="30">
        <f t="shared" si="517"/>
        <v>0</v>
      </c>
      <c r="Y49" s="41">
        <f t="shared" ref="Y49" si="602">IFERROR(X49/X$19,0)</f>
        <v>0</v>
      </c>
      <c r="Z49" s="29">
        <f>IFERROR(VLOOKUP($A49,APOIO!$B:$N,MATCH(Z$5,APOIO!$B$5:$N$5,0),FALSE),0)</f>
        <v>0</v>
      </c>
      <c r="AA49" s="38">
        <f t="shared" ref="AA49" si="603">IFERROR(Z49/Z$19,0)</f>
        <v>0</v>
      </c>
      <c r="AB49" s="29">
        <f>IFERROR(VLOOKUP($A49,APOIO!$B:$N,MATCH(AB$5,APOIO!$B$5:$N$5,0),FALSE),0)</f>
        <v>0</v>
      </c>
      <c r="AC49" s="38">
        <f t="shared" ref="AC49" si="604">IFERROR(AB49/AB$19,0)</f>
        <v>0</v>
      </c>
      <c r="AD49" s="29">
        <f>IFERROR(VLOOKUP($A49,APOIO!$B:$N,MATCH(AD$5,APOIO!$B$5:$N$5,0),FALSE),0)</f>
        <v>0</v>
      </c>
      <c r="AE49" s="38">
        <f t="shared" ref="AE49" si="605">IFERROR(AD49/AD$19,0)</f>
        <v>0</v>
      </c>
      <c r="AF49" s="30">
        <f t="shared" si="522"/>
        <v>0</v>
      </c>
      <c r="AG49" s="41">
        <f t="shared" ref="AG49" si="606">IFERROR(AF49/AF$19,0)</f>
        <v>0</v>
      </c>
      <c r="AH49" s="29">
        <f t="shared" si="524"/>
        <v>0</v>
      </c>
      <c r="AI49" s="41">
        <f t="shared" ref="AI49" si="607">IFERROR(AH49/AH$19,0)</f>
        <v>0</v>
      </c>
    </row>
    <row r="50" spans="1:35" ht="15.6" hidden="1" outlineLevel="1" x14ac:dyDescent="0.3">
      <c r="A50" s="35" t="s">
        <v>191</v>
      </c>
      <c r="B50" s="29">
        <f>IFERROR(VLOOKUP($A50,APOIO!$B:$N,MATCH(B$5,APOIO!$B$5:$N$5,0),FALSE),0)</f>
        <v>-920.7</v>
      </c>
      <c r="C50" s="38">
        <f t="shared" si="134"/>
        <v>-5.9333217592637353E-3</v>
      </c>
      <c r="D50" s="29">
        <f>IFERROR(VLOOKUP($A50,APOIO!$B:$N,MATCH(D$5,APOIO!$B$5:$N$5,0),FALSE),0)</f>
        <v>-772.29503999999997</v>
      </c>
      <c r="E50" s="38">
        <f t="shared" si="134"/>
        <v>-2.1155072167254505E-3</v>
      </c>
      <c r="F50" s="29">
        <f>IFERROR(VLOOKUP($A50,APOIO!$B:$N,MATCH(F$5,APOIO!$B$5:$N$5,0),FALSE),0)</f>
        <v>-267.29109</v>
      </c>
      <c r="G50" s="38">
        <f t="shared" ref="G50" si="608">IFERROR(F50/F$19,0)</f>
        <v>0</v>
      </c>
      <c r="H50" s="30">
        <f t="shared" si="507"/>
        <v>-1960.28613</v>
      </c>
      <c r="I50" s="40">
        <f t="shared" ref="I50" si="609">IFERROR(H50/H$19,0)</f>
        <v>-3.7680547429203731E-3</v>
      </c>
      <c r="J50" s="29">
        <f>IFERROR(VLOOKUP($A50,APOIO!$B:$N,MATCH(J$5,APOIO!$B$5:$N$5,0),FALSE),0)</f>
        <v>-237.45150000000001</v>
      </c>
      <c r="K50" s="38">
        <f t="shared" ref="K50" si="610">IFERROR(J50/J$19,0)</f>
        <v>0</v>
      </c>
      <c r="L50" s="29">
        <f>IFERROR(VLOOKUP($A50,APOIO!$B:$N,MATCH(L$5,APOIO!$B$5:$N$5,0),FALSE),0)</f>
        <v>-296.83368000000002</v>
      </c>
      <c r="M50" s="38">
        <f t="shared" ref="M50" si="611">IFERROR(L50/L$19,0)</f>
        <v>0</v>
      </c>
      <c r="N50" s="29">
        <f>IFERROR(VLOOKUP($A50,APOIO!$B:$N,MATCH(N$5,APOIO!$B$5:$N$5,0),FALSE),0)</f>
        <v>0</v>
      </c>
      <c r="O50" s="38">
        <f t="shared" ref="O50" si="612">IFERROR(N50/N$19,0)</f>
        <v>0</v>
      </c>
      <c r="P50" s="30">
        <f t="shared" si="512"/>
        <v>-534.28518000000008</v>
      </c>
      <c r="Q50" s="41">
        <f t="shared" ref="Q50" si="613">IFERROR(P50/P$19,0)</f>
        <v>0</v>
      </c>
      <c r="R50" s="29">
        <f>IFERROR(VLOOKUP($A50,APOIO!$B:$N,MATCH(R$5,APOIO!$B$5:$N$5,0),FALSE),0)</f>
        <v>0</v>
      </c>
      <c r="S50" s="41">
        <f t="shared" ref="S50" si="614">IFERROR(R50/R$19,0)</f>
        <v>0</v>
      </c>
      <c r="T50" s="29">
        <f>IFERROR(VLOOKUP($A50,APOIO!$B:$N,MATCH(T$5,APOIO!$B$5:$N$5,0),FALSE),0)</f>
        <v>0</v>
      </c>
      <c r="U50" s="41">
        <f t="shared" ref="U50" si="615">IFERROR(T50/T$19,0)</f>
        <v>0</v>
      </c>
      <c r="V50" s="29">
        <f>IFERROR(VLOOKUP($A50,APOIO!$B:$N,MATCH(V$5,APOIO!$B$5:$N$5,0),FALSE),0)</f>
        <v>0</v>
      </c>
      <c r="W50" s="38">
        <f t="shared" ref="W50" si="616">IFERROR(V50/V$19,0)</f>
        <v>0</v>
      </c>
      <c r="X50" s="30">
        <f t="shared" si="517"/>
        <v>0</v>
      </c>
      <c r="Y50" s="41">
        <f t="shared" ref="Y50" si="617">IFERROR(X50/X$19,0)</f>
        <v>0</v>
      </c>
      <c r="Z50" s="29">
        <f>IFERROR(VLOOKUP($A50,APOIO!$B:$N,MATCH(Z$5,APOIO!$B$5:$N$5,0),FALSE),0)</f>
        <v>0</v>
      </c>
      <c r="AA50" s="38">
        <f t="shared" ref="AA50" si="618">IFERROR(Z50/Z$19,0)</f>
        <v>0</v>
      </c>
      <c r="AB50" s="29">
        <f>IFERROR(VLOOKUP($A50,APOIO!$B:$N,MATCH(AB$5,APOIO!$B$5:$N$5,0),FALSE),0)</f>
        <v>0</v>
      </c>
      <c r="AC50" s="38">
        <f t="shared" ref="AC50" si="619">IFERROR(AB50/AB$19,0)</f>
        <v>0</v>
      </c>
      <c r="AD50" s="29">
        <f>IFERROR(VLOOKUP($A50,APOIO!$B:$N,MATCH(AD$5,APOIO!$B$5:$N$5,0),FALSE),0)</f>
        <v>0</v>
      </c>
      <c r="AE50" s="38">
        <f t="shared" ref="AE50" si="620">IFERROR(AD50/AD$19,0)</f>
        <v>0</v>
      </c>
      <c r="AF50" s="30">
        <f t="shared" si="522"/>
        <v>0</v>
      </c>
      <c r="AG50" s="41">
        <f t="shared" ref="AG50" si="621">IFERROR(AF50/AF$19,0)</f>
        <v>0</v>
      </c>
      <c r="AH50" s="29">
        <f t="shared" si="524"/>
        <v>-2494.5713100000003</v>
      </c>
      <c r="AI50" s="41">
        <f t="shared" ref="AI50" si="622">IFERROR(AH50/AH$19,0)</f>
        <v>-4.7950557382143953E-3</v>
      </c>
    </row>
    <row r="51" spans="1:35" ht="15.6" hidden="1" outlineLevel="1" x14ac:dyDescent="0.3">
      <c r="A51" s="35" t="s">
        <v>192</v>
      </c>
      <c r="B51" s="29">
        <f>IFERROR(VLOOKUP($A51,APOIO!$B:$N,MATCH(B$5,APOIO!$B$5:$N$5,0),FALSE),0)</f>
        <v>-272.8</v>
      </c>
      <c r="C51" s="38">
        <f t="shared" si="134"/>
        <v>-1.7580212620040697E-3</v>
      </c>
      <c r="D51" s="29">
        <f>IFERROR(VLOOKUP($A51,APOIO!$B:$N,MATCH(D$5,APOIO!$B$5:$N$5,0),FALSE),0)</f>
        <v>-228.8</v>
      </c>
      <c r="E51" s="38">
        <f t="shared" si="134"/>
        <v>-6.2673981589572703E-4</v>
      </c>
      <c r="F51" s="29">
        <f>IFERROR(VLOOKUP($A51,APOIO!$B:$N,MATCH(F$5,APOIO!$B$5:$N$5,0),FALSE),0)</f>
        <v>-79.228927999999996</v>
      </c>
      <c r="G51" s="38">
        <f t="shared" ref="G51" si="623">IFERROR(F51/F$19,0)</f>
        <v>0</v>
      </c>
      <c r="H51" s="30">
        <f t="shared" si="507"/>
        <v>-580.82892800000002</v>
      </c>
      <c r="I51" s="40">
        <f t="shared" ref="I51" si="624">IFERROR(H51/H$19,0)</f>
        <v>-1.1164672154139845E-3</v>
      </c>
      <c r="J51" s="29">
        <f>IFERROR(VLOOKUP($A51,APOIO!$B:$N,MATCH(J$5,APOIO!$B$5:$N$5,0),FALSE),0)</f>
        <v>-70.325766000000002</v>
      </c>
      <c r="K51" s="38">
        <f t="shared" ref="K51" si="625">IFERROR(J51/J$19,0)</f>
        <v>0</v>
      </c>
      <c r="L51" s="29">
        <f>IFERROR(VLOOKUP($A51,APOIO!$B:$N,MATCH(L$5,APOIO!$B$5:$N$5,0),FALSE),0)</f>
        <v>-87.992142000000001</v>
      </c>
      <c r="M51" s="38">
        <f t="shared" ref="M51" si="626">IFERROR(L51/L$19,0)</f>
        <v>0</v>
      </c>
      <c r="N51" s="29">
        <f>IFERROR(VLOOKUP($A51,APOIO!$B:$N,MATCH(N$5,APOIO!$B$5:$N$5,0),FALSE),0)</f>
        <v>0</v>
      </c>
      <c r="O51" s="38">
        <f t="shared" ref="O51" si="627">IFERROR(N51/N$19,0)</f>
        <v>0</v>
      </c>
      <c r="P51" s="30">
        <f t="shared" si="512"/>
        <v>-158.31790799999999</v>
      </c>
      <c r="Q51" s="41">
        <f t="shared" ref="Q51" si="628">IFERROR(P51/P$19,0)</f>
        <v>0</v>
      </c>
      <c r="R51" s="29">
        <f>IFERROR(VLOOKUP($A51,APOIO!$B:$N,MATCH(R$5,APOIO!$B$5:$N$5,0),FALSE),0)</f>
        <v>0</v>
      </c>
      <c r="S51" s="41">
        <f t="shared" ref="S51" si="629">IFERROR(R51/R$19,0)</f>
        <v>0</v>
      </c>
      <c r="T51" s="29">
        <f>IFERROR(VLOOKUP($A51,APOIO!$B:$N,MATCH(T$5,APOIO!$B$5:$N$5,0),FALSE),0)</f>
        <v>0</v>
      </c>
      <c r="U51" s="41">
        <f t="shared" ref="U51" si="630">IFERROR(T51/T$19,0)</f>
        <v>0</v>
      </c>
      <c r="V51" s="29">
        <f>IFERROR(VLOOKUP($A51,APOIO!$B:$N,MATCH(V$5,APOIO!$B$5:$N$5,0),FALSE),0)</f>
        <v>0</v>
      </c>
      <c r="W51" s="38">
        <f t="shared" ref="W51" si="631">IFERROR(V51/V$19,0)</f>
        <v>0</v>
      </c>
      <c r="X51" s="30">
        <f t="shared" si="517"/>
        <v>0</v>
      </c>
      <c r="Y51" s="41">
        <f t="shared" ref="Y51" si="632">IFERROR(X51/X$19,0)</f>
        <v>0</v>
      </c>
      <c r="Z51" s="29">
        <f>IFERROR(VLOOKUP($A51,APOIO!$B:$N,MATCH(Z$5,APOIO!$B$5:$N$5,0),FALSE),0)</f>
        <v>0</v>
      </c>
      <c r="AA51" s="38">
        <f t="shared" ref="AA51" si="633">IFERROR(Z51/Z$19,0)</f>
        <v>0</v>
      </c>
      <c r="AB51" s="29">
        <f>IFERROR(VLOOKUP($A51,APOIO!$B:$N,MATCH(AB$5,APOIO!$B$5:$N$5,0),FALSE),0)</f>
        <v>0</v>
      </c>
      <c r="AC51" s="38">
        <f t="shared" ref="AC51" si="634">IFERROR(AB51/AB$19,0)</f>
        <v>0</v>
      </c>
      <c r="AD51" s="29">
        <f>IFERROR(VLOOKUP($A51,APOIO!$B:$N,MATCH(AD$5,APOIO!$B$5:$N$5,0),FALSE),0)</f>
        <v>0</v>
      </c>
      <c r="AE51" s="38">
        <f t="shared" ref="AE51" si="635">IFERROR(AD51/AD$19,0)</f>
        <v>0</v>
      </c>
      <c r="AF51" s="30">
        <f t="shared" si="522"/>
        <v>0</v>
      </c>
      <c r="AG51" s="41">
        <f t="shared" ref="AG51" si="636">IFERROR(AF51/AF$19,0)</f>
        <v>0</v>
      </c>
      <c r="AH51" s="29">
        <f t="shared" si="524"/>
        <v>-739.14683600000012</v>
      </c>
      <c r="AI51" s="41">
        <f t="shared" ref="AI51" si="637">IFERROR(AH51/AH$19,0)</f>
        <v>-1.4207853121443999E-3</v>
      </c>
    </row>
    <row r="52" spans="1:35" ht="15.6" hidden="1" outlineLevel="1" x14ac:dyDescent="0.3">
      <c r="A52" s="35" t="s">
        <v>193</v>
      </c>
      <c r="B52" s="29">
        <f>IFERROR(VLOOKUP($A52,APOIO!$B:$N,MATCH(B$5,APOIO!$B$5:$N$5,0),FALSE),0)</f>
        <v>-1370</v>
      </c>
      <c r="C52" s="38">
        <f t="shared" si="134"/>
        <v>-8.828772466809293E-3</v>
      </c>
      <c r="D52" s="29">
        <f>IFERROR(VLOOKUP($A52,APOIO!$B:$N,MATCH(D$5,APOIO!$B$5:$N$5,0),FALSE),0)</f>
        <v>-1370</v>
      </c>
      <c r="E52" s="38">
        <f t="shared" si="134"/>
        <v>-3.7527690025224913E-3</v>
      </c>
      <c r="F52" s="29">
        <f>IFERROR(VLOOKUP($A52,APOIO!$B:$N,MATCH(F$5,APOIO!$B$5:$N$5,0),FALSE),0)</f>
        <v>-970</v>
      </c>
      <c r="G52" s="38">
        <f t="shared" ref="G52" si="638">IFERROR(F52/F$19,0)</f>
        <v>0</v>
      </c>
      <c r="H52" s="30">
        <f t="shared" si="507"/>
        <v>-3710</v>
      </c>
      <c r="I52" s="40">
        <f t="shared" ref="I52" si="639">IFERROR(H52/H$19,0)</f>
        <v>-7.131348267119854E-3</v>
      </c>
      <c r="J52" s="29">
        <f>IFERROR(VLOOKUP($A52,APOIO!$B:$N,MATCH(J$5,APOIO!$B$5:$N$5,0),FALSE),0)</f>
        <v>-197.16136399999999</v>
      </c>
      <c r="K52" s="38">
        <f t="shared" ref="K52" si="640">IFERROR(J52/J$19,0)</f>
        <v>0</v>
      </c>
      <c r="L52" s="29">
        <f>IFERROR(VLOOKUP($A52,APOIO!$B:$N,MATCH(L$5,APOIO!$B$5:$N$5,0),FALSE),0)</f>
        <v>-768.72019499999999</v>
      </c>
      <c r="M52" s="38">
        <f t="shared" ref="M52" si="641">IFERROR(L52/L$19,0)</f>
        <v>0</v>
      </c>
      <c r="N52" s="29">
        <f>IFERROR(VLOOKUP($A52,APOIO!$B:$N,MATCH(N$5,APOIO!$B$5:$N$5,0),FALSE),0)</f>
        <v>0</v>
      </c>
      <c r="O52" s="38">
        <f t="shared" ref="O52" si="642">IFERROR(N52/N$19,0)</f>
        <v>0</v>
      </c>
      <c r="P52" s="30">
        <f t="shared" si="512"/>
        <v>-965.88155899999992</v>
      </c>
      <c r="Q52" s="41">
        <f t="shared" ref="Q52" si="643">IFERROR(P52/P$19,0)</f>
        <v>0</v>
      </c>
      <c r="R52" s="29">
        <f>IFERROR(VLOOKUP($A52,APOIO!$B:$N,MATCH(R$5,APOIO!$B$5:$N$5,0),FALSE),0)</f>
        <v>0</v>
      </c>
      <c r="S52" s="41">
        <f t="shared" ref="S52" si="644">IFERROR(R52/R$19,0)</f>
        <v>0</v>
      </c>
      <c r="T52" s="29">
        <f>IFERROR(VLOOKUP($A52,APOIO!$B:$N,MATCH(T$5,APOIO!$B$5:$N$5,0),FALSE),0)</f>
        <v>0</v>
      </c>
      <c r="U52" s="41">
        <f t="shared" ref="U52" si="645">IFERROR(T52/T$19,0)</f>
        <v>0</v>
      </c>
      <c r="V52" s="29">
        <f>IFERROR(VLOOKUP($A52,APOIO!$B:$N,MATCH(V$5,APOIO!$B$5:$N$5,0),FALSE),0)</f>
        <v>0</v>
      </c>
      <c r="W52" s="38">
        <f t="shared" ref="W52" si="646">IFERROR(V52/V$19,0)</f>
        <v>0</v>
      </c>
      <c r="X52" s="30">
        <f t="shared" si="517"/>
        <v>0</v>
      </c>
      <c r="Y52" s="41">
        <f t="shared" ref="Y52" si="647">IFERROR(X52/X$19,0)</f>
        <v>0</v>
      </c>
      <c r="Z52" s="29">
        <f>IFERROR(VLOOKUP($A52,APOIO!$B:$N,MATCH(Z$5,APOIO!$B$5:$N$5,0),FALSE),0)</f>
        <v>0</v>
      </c>
      <c r="AA52" s="38">
        <f t="shared" ref="AA52" si="648">IFERROR(Z52/Z$19,0)</f>
        <v>0</v>
      </c>
      <c r="AB52" s="29">
        <f>IFERROR(VLOOKUP($A52,APOIO!$B:$N,MATCH(AB$5,APOIO!$B$5:$N$5,0),FALSE),0)</f>
        <v>0</v>
      </c>
      <c r="AC52" s="38">
        <f t="shared" ref="AC52" si="649">IFERROR(AB52/AB$19,0)</f>
        <v>0</v>
      </c>
      <c r="AD52" s="29">
        <f>IFERROR(VLOOKUP($A52,APOIO!$B:$N,MATCH(AD$5,APOIO!$B$5:$N$5,0),FALSE),0)</f>
        <v>0</v>
      </c>
      <c r="AE52" s="38">
        <f t="shared" ref="AE52" si="650">IFERROR(AD52/AD$19,0)</f>
        <v>0</v>
      </c>
      <c r="AF52" s="30">
        <f t="shared" si="522"/>
        <v>0</v>
      </c>
      <c r="AG52" s="41">
        <f t="shared" ref="AG52" si="651">IFERROR(AF52/AF$19,0)</f>
        <v>0</v>
      </c>
      <c r="AH52" s="29">
        <f t="shared" si="524"/>
        <v>-4675.8815590000004</v>
      </c>
      <c r="AI52" s="41">
        <f t="shared" ref="AI52" si="652">IFERROR(AH52/AH$19,0)</f>
        <v>-8.9879622245370178E-3</v>
      </c>
    </row>
    <row r="53" spans="1:35" ht="15.6" hidden="1" outlineLevel="1" x14ac:dyDescent="0.3">
      <c r="A53" s="35" t="s">
        <v>194</v>
      </c>
      <c r="B53" s="29">
        <f>IFERROR(VLOOKUP($A53,APOIO!$B:$N,MATCH(B$5,APOIO!$B$5:$N$5,0),FALSE),0)</f>
        <v>-12289.619999999999</v>
      </c>
      <c r="C53" s="38">
        <f t="shared" si="134"/>
        <v>-7.9198728966094034E-2</v>
      </c>
      <c r="D53" s="29">
        <f>IFERROR(VLOOKUP($A53,APOIO!$B:$N,MATCH(D$5,APOIO!$B$5:$N$5,0),FALSE),0)</f>
        <v>-7061.7221010000003</v>
      </c>
      <c r="E53" s="38">
        <f t="shared" si="134"/>
        <v>-1.9343804237270657E-2</v>
      </c>
      <c r="F53" s="29">
        <f>IFERROR(VLOOKUP($A53,APOIO!$B:$N,MATCH(F$5,APOIO!$B$5:$N$5,0),FALSE),0)</f>
        <v>-2391.1077439999999</v>
      </c>
      <c r="G53" s="38">
        <f t="shared" ref="G53" si="653">IFERROR(F53/F$19,0)</f>
        <v>0</v>
      </c>
      <c r="H53" s="30">
        <f t="shared" si="507"/>
        <v>-21742.449844999999</v>
      </c>
      <c r="I53" s="40">
        <f t="shared" ref="I53" si="654">IFERROR(H53/H$19,0)</f>
        <v>-4.1793256610533985E-2</v>
      </c>
      <c r="J53" s="29">
        <f>IFERROR(VLOOKUP($A53,APOIO!$B:$N,MATCH(J$5,APOIO!$B$5:$N$5,0),FALSE),0)</f>
        <v>-2487.09006</v>
      </c>
      <c r="K53" s="38">
        <f t="shared" ref="K53" si="655">IFERROR(J53/J$19,0)</f>
        <v>0</v>
      </c>
      <c r="L53" s="29">
        <f>IFERROR(VLOOKUP($A53,APOIO!$B:$N,MATCH(L$5,APOIO!$B$5:$N$5,0),FALSE),0)</f>
        <v>-2558.8575000000001</v>
      </c>
      <c r="M53" s="38">
        <f t="shared" ref="M53" si="656">IFERROR(L53/L$19,0)</f>
        <v>0</v>
      </c>
      <c r="N53" s="29">
        <f>IFERROR(VLOOKUP($A53,APOIO!$B:$N,MATCH(N$5,APOIO!$B$5:$N$5,0),FALSE),0)</f>
        <v>0</v>
      </c>
      <c r="O53" s="38">
        <f t="shared" ref="O53" si="657">IFERROR(N53/N$19,0)</f>
        <v>0</v>
      </c>
      <c r="P53" s="30">
        <f t="shared" si="512"/>
        <v>-5045.9475600000005</v>
      </c>
      <c r="Q53" s="41">
        <f t="shared" ref="Q53" si="658">IFERROR(P53/P$19,0)</f>
        <v>0</v>
      </c>
      <c r="R53" s="29">
        <f>IFERROR(VLOOKUP($A53,APOIO!$B:$N,MATCH(R$5,APOIO!$B$5:$N$5,0),FALSE),0)</f>
        <v>0</v>
      </c>
      <c r="S53" s="41">
        <f t="shared" ref="S53" si="659">IFERROR(R53/R$19,0)</f>
        <v>0</v>
      </c>
      <c r="T53" s="29">
        <f>IFERROR(VLOOKUP($A53,APOIO!$B:$N,MATCH(T$5,APOIO!$B$5:$N$5,0),FALSE),0)</f>
        <v>0</v>
      </c>
      <c r="U53" s="41">
        <f t="shared" ref="U53" si="660">IFERROR(T53/T$19,0)</f>
        <v>0</v>
      </c>
      <c r="V53" s="29">
        <f>IFERROR(VLOOKUP($A53,APOIO!$B:$N,MATCH(V$5,APOIO!$B$5:$N$5,0),FALSE),0)</f>
        <v>0</v>
      </c>
      <c r="W53" s="38">
        <f t="shared" ref="W53" si="661">IFERROR(V53/V$19,0)</f>
        <v>0</v>
      </c>
      <c r="X53" s="30">
        <f t="shared" si="517"/>
        <v>0</v>
      </c>
      <c r="Y53" s="41">
        <f t="shared" ref="Y53" si="662">IFERROR(X53/X$19,0)</f>
        <v>0</v>
      </c>
      <c r="Z53" s="29">
        <f>IFERROR(VLOOKUP($A53,APOIO!$B:$N,MATCH(Z$5,APOIO!$B$5:$N$5,0),FALSE),0)</f>
        <v>0</v>
      </c>
      <c r="AA53" s="38">
        <f t="shared" ref="AA53" si="663">IFERROR(Z53/Z$19,0)</f>
        <v>0</v>
      </c>
      <c r="AB53" s="29">
        <f>IFERROR(VLOOKUP($A53,APOIO!$B:$N,MATCH(AB$5,APOIO!$B$5:$N$5,0),FALSE),0)</f>
        <v>0</v>
      </c>
      <c r="AC53" s="38">
        <f t="shared" ref="AC53" si="664">IFERROR(AB53/AB$19,0)</f>
        <v>0</v>
      </c>
      <c r="AD53" s="29">
        <f>IFERROR(VLOOKUP($A53,APOIO!$B:$N,MATCH(AD$5,APOIO!$B$5:$N$5,0),FALSE),0)</f>
        <v>0</v>
      </c>
      <c r="AE53" s="38">
        <f t="shared" ref="AE53" si="665">IFERROR(AD53/AD$19,0)</f>
        <v>0</v>
      </c>
      <c r="AF53" s="30">
        <f t="shared" si="522"/>
        <v>0</v>
      </c>
      <c r="AG53" s="41">
        <f t="shared" ref="AG53" si="666">IFERROR(AF53/AF$19,0)</f>
        <v>0</v>
      </c>
      <c r="AH53" s="29">
        <f t="shared" si="524"/>
        <v>-26788.397404999996</v>
      </c>
      <c r="AI53" s="41">
        <f t="shared" ref="AI53" si="667">IFERROR(AH53/AH$19,0)</f>
        <v>-5.1492558332362458E-2</v>
      </c>
    </row>
    <row r="54" spans="1:35" ht="15.6" hidden="1" outlineLevel="1" x14ac:dyDescent="0.3">
      <c r="A54" s="35" t="s">
        <v>195</v>
      </c>
      <c r="B54" s="29">
        <f>IFERROR(VLOOKUP($A54,APOIO!$B:$N,MATCH(B$5,APOIO!$B$5:$N$5,0),FALSE),0)</f>
        <v>-35196.39</v>
      </c>
      <c r="C54" s="38">
        <f t="shared" si="134"/>
        <v>-0.22681818902414741</v>
      </c>
      <c r="D54" s="29">
        <f>IFERROR(VLOOKUP($A54,APOIO!$B:$N,MATCH(D$5,APOIO!$B$5:$N$5,0),FALSE),0)</f>
        <v>-21727.067271</v>
      </c>
      <c r="E54" s="38">
        <f t="shared" si="134"/>
        <v>-5.9515813554985204E-2</v>
      </c>
      <c r="F54" s="29">
        <f>IFERROR(VLOOKUP($A54,APOIO!$B:$N,MATCH(F$5,APOIO!$B$5:$N$5,0),FALSE),0)</f>
        <v>-22000.553105999999</v>
      </c>
      <c r="G54" s="38">
        <f t="shared" ref="G54" si="668">IFERROR(F54/F$19,0)</f>
        <v>0</v>
      </c>
      <c r="H54" s="30">
        <f t="shared" si="507"/>
        <v>-78924.010376999999</v>
      </c>
      <c r="I54" s="40">
        <f t="shared" ref="I54" si="669">IFERROR(H54/H$19,0)</f>
        <v>-0.1517074406027408</v>
      </c>
      <c r="J54" s="29">
        <f>IFERROR(VLOOKUP($A54,APOIO!$B:$N,MATCH(J$5,APOIO!$B$5:$N$5,0),FALSE),0)</f>
        <v>-7773.3501040000001</v>
      </c>
      <c r="K54" s="38">
        <f t="shared" ref="K54" si="670">IFERROR(J54/J$19,0)</f>
        <v>0</v>
      </c>
      <c r="L54" s="29">
        <f>IFERROR(VLOOKUP($A54,APOIO!$B:$N,MATCH(L$5,APOIO!$B$5:$N$5,0),FALSE),0)</f>
        <v>-8529.2637500000001</v>
      </c>
      <c r="M54" s="38">
        <f t="shared" ref="M54" si="671">IFERROR(L54/L$19,0)</f>
        <v>0</v>
      </c>
      <c r="N54" s="29">
        <f>IFERROR(VLOOKUP($A54,APOIO!$B:$N,MATCH(N$5,APOIO!$B$5:$N$5,0),FALSE),0)</f>
        <v>0</v>
      </c>
      <c r="O54" s="38">
        <f t="shared" ref="O54" si="672">IFERROR(N54/N$19,0)</f>
        <v>0</v>
      </c>
      <c r="P54" s="30">
        <f t="shared" si="512"/>
        <v>-16302.613853999999</v>
      </c>
      <c r="Q54" s="41">
        <f t="shared" ref="Q54" si="673">IFERROR(P54/P$19,0)</f>
        <v>0</v>
      </c>
      <c r="R54" s="29">
        <f>IFERROR(VLOOKUP($A54,APOIO!$B:$N,MATCH(R$5,APOIO!$B$5:$N$5,0),FALSE),0)</f>
        <v>0</v>
      </c>
      <c r="S54" s="41">
        <f t="shared" ref="S54" si="674">IFERROR(R54/R$19,0)</f>
        <v>0</v>
      </c>
      <c r="T54" s="29">
        <f>IFERROR(VLOOKUP($A54,APOIO!$B:$N,MATCH(T$5,APOIO!$B$5:$N$5,0),FALSE),0)</f>
        <v>0</v>
      </c>
      <c r="U54" s="41">
        <f t="shared" ref="U54" si="675">IFERROR(T54/T$19,0)</f>
        <v>0</v>
      </c>
      <c r="V54" s="29">
        <f>IFERROR(VLOOKUP($A54,APOIO!$B:$N,MATCH(V$5,APOIO!$B$5:$N$5,0),FALSE),0)</f>
        <v>0</v>
      </c>
      <c r="W54" s="38">
        <f t="shared" ref="W54" si="676">IFERROR(V54/V$19,0)</f>
        <v>0</v>
      </c>
      <c r="X54" s="30">
        <f t="shared" si="517"/>
        <v>0</v>
      </c>
      <c r="Y54" s="41">
        <f t="shared" ref="Y54" si="677">IFERROR(X54/X$19,0)</f>
        <v>0</v>
      </c>
      <c r="Z54" s="29">
        <f>IFERROR(VLOOKUP($A54,APOIO!$B:$N,MATCH(Z$5,APOIO!$B$5:$N$5,0),FALSE),0)</f>
        <v>0</v>
      </c>
      <c r="AA54" s="38">
        <f t="shared" ref="AA54" si="678">IFERROR(Z54/Z$19,0)</f>
        <v>0</v>
      </c>
      <c r="AB54" s="29">
        <f>IFERROR(VLOOKUP($A54,APOIO!$B:$N,MATCH(AB$5,APOIO!$B$5:$N$5,0),FALSE),0)</f>
        <v>0</v>
      </c>
      <c r="AC54" s="38">
        <f t="shared" ref="AC54" si="679">IFERROR(AB54/AB$19,0)</f>
        <v>0</v>
      </c>
      <c r="AD54" s="29">
        <f>IFERROR(VLOOKUP($A54,APOIO!$B:$N,MATCH(AD$5,APOIO!$B$5:$N$5,0),FALSE),0)</f>
        <v>0</v>
      </c>
      <c r="AE54" s="38">
        <f t="shared" ref="AE54" si="680">IFERROR(AD54/AD$19,0)</f>
        <v>0</v>
      </c>
      <c r="AF54" s="30">
        <f t="shared" si="522"/>
        <v>0</v>
      </c>
      <c r="AG54" s="41">
        <f t="shared" ref="AG54" si="681">IFERROR(AF54/AF$19,0)</f>
        <v>0</v>
      </c>
      <c r="AH54" s="29">
        <f t="shared" si="524"/>
        <v>-95226.624230999994</v>
      </c>
      <c r="AI54" s="41">
        <f t="shared" ref="AI54" si="682">IFERROR(AH54/AH$19,0)</f>
        <v>-0.18304426460738957</v>
      </c>
    </row>
    <row r="55" spans="1:35" ht="15.6" hidden="1" outlineLevel="1" x14ac:dyDescent="0.3">
      <c r="A55" s="35" t="s">
        <v>196</v>
      </c>
      <c r="B55" s="29">
        <f>IFERROR(VLOOKUP($A55,APOIO!$B:$N,MATCH(B$5,APOIO!$B$5:$N$5,0),FALSE),0)</f>
        <v>0</v>
      </c>
      <c r="C55" s="38">
        <f t="shared" si="134"/>
        <v>0</v>
      </c>
      <c r="D55" s="29">
        <f>IFERROR(VLOOKUP($A55,APOIO!$B:$N,MATCH(D$5,APOIO!$B$5:$N$5,0),FALSE),0)</f>
        <v>0</v>
      </c>
      <c r="E55" s="38">
        <f t="shared" si="134"/>
        <v>0</v>
      </c>
      <c r="F55" s="29">
        <f>IFERROR(VLOOKUP($A55,APOIO!$B:$N,MATCH(F$5,APOIO!$B$5:$N$5,0),FALSE),0)</f>
        <v>0</v>
      </c>
      <c r="G55" s="38">
        <f t="shared" ref="G55" si="683">IFERROR(F55/F$19,0)</f>
        <v>0</v>
      </c>
      <c r="H55" s="30">
        <f t="shared" si="507"/>
        <v>0</v>
      </c>
      <c r="I55" s="40">
        <f t="shared" ref="I55" si="684">IFERROR(H55/H$19,0)</f>
        <v>0</v>
      </c>
      <c r="J55" s="29">
        <f>IFERROR(VLOOKUP($A55,APOIO!$B:$N,MATCH(J$5,APOIO!$B$5:$N$5,0),FALSE),0)</f>
        <v>0</v>
      </c>
      <c r="K55" s="38">
        <f t="shared" ref="K55" si="685">IFERROR(J55/J$19,0)</f>
        <v>0</v>
      </c>
      <c r="L55" s="29">
        <f>IFERROR(VLOOKUP($A55,APOIO!$B:$N,MATCH(L$5,APOIO!$B$5:$N$5,0),FALSE),0)</f>
        <v>0</v>
      </c>
      <c r="M55" s="38">
        <f t="shared" ref="M55" si="686">IFERROR(L55/L$19,0)</f>
        <v>0</v>
      </c>
      <c r="N55" s="29">
        <f>IFERROR(VLOOKUP($A55,APOIO!$B:$N,MATCH(N$5,APOIO!$B$5:$N$5,0),FALSE),0)</f>
        <v>0</v>
      </c>
      <c r="O55" s="38">
        <f t="shared" ref="O55" si="687">IFERROR(N55/N$19,0)</f>
        <v>0</v>
      </c>
      <c r="P55" s="30">
        <f t="shared" si="512"/>
        <v>0</v>
      </c>
      <c r="Q55" s="41">
        <f t="shared" ref="Q55" si="688">IFERROR(P55/P$19,0)</f>
        <v>0</v>
      </c>
      <c r="R55" s="29">
        <f>IFERROR(VLOOKUP($A55,APOIO!$B:$N,MATCH(R$5,APOIO!$B$5:$N$5,0),FALSE),0)</f>
        <v>0</v>
      </c>
      <c r="S55" s="41">
        <f t="shared" ref="S55" si="689">IFERROR(R55/R$19,0)</f>
        <v>0</v>
      </c>
      <c r="T55" s="29">
        <f>IFERROR(VLOOKUP($A55,APOIO!$B:$N,MATCH(T$5,APOIO!$B$5:$N$5,0),FALSE),0)</f>
        <v>0</v>
      </c>
      <c r="U55" s="41">
        <f t="shared" ref="U55" si="690">IFERROR(T55/T$19,0)</f>
        <v>0</v>
      </c>
      <c r="V55" s="29">
        <f>IFERROR(VLOOKUP($A55,APOIO!$B:$N,MATCH(V$5,APOIO!$B$5:$N$5,0),FALSE),0)</f>
        <v>0</v>
      </c>
      <c r="W55" s="38">
        <f t="shared" ref="W55" si="691">IFERROR(V55/V$19,0)</f>
        <v>0</v>
      </c>
      <c r="X55" s="30">
        <f t="shared" si="517"/>
        <v>0</v>
      </c>
      <c r="Y55" s="41">
        <f t="shared" ref="Y55" si="692">IFERROR(X55/X$19,0)</f>
        <v>0</v>
      </c>
      <c r="Z55" s="29">
        <f>IFERROR(VLOOKUP($A55,APOIO!$B:$N,MATCH(Z$5,APOIO!$B$5:$N$5,0),FALSE),0)</f>
        <v>0</v>
      </c>
      <c r="AA55" s="38">
        <f t="shared" ref="AA55" si="693">IFERROR(Z55/Z$19,0)</f>
        <v>0</v>
      </c>
      <c r="AB55" s="29">
        <f>IFERROR(VLOOKUP($A55,APOIO!$B:$N,MATCH(AB$5,APOIO!$B$5:$N$5,0),FALSE),0)</f>
        <v>0</v>
      </c>
      <c r="AC55" s="38">
        <f t="shared" ref="AC55" si="694">IFERROR(AB55/AB$19,0)</f>
        <v>0</v>
      </c>
      <c r="AD55" s="29">
        <f>IFERROR(VLOOKUP($A55,APOIO!$B:$N,MATCH(AD$5,APOIO!$B$5:$N$5,0),FALSE),0)</f>
        <v>0</v>
      </c>
      <c r="AE55" s="38">
        <f t="shared" ref="AE55" si="695">IFERROR(AD55/AD$19,0)</f>
        <v>0</v>
      </c>
      <c r="AF55" s="30">
        <f t="shared" si="522"/>
        <v>0</v>
      </c>
      <c r="AG55" s="41">
        <f t="shared" ref="AG55" si="696">IFERROR(AF55/AF$19,0)</f>
        <v>0</v>
      </c>
      <c r="AH55" s="29">
        <f t="shared" si="524"/>
        <v>0</v>
      </c>
      <c r="AI55" s="41">
        <f t="shared" ref="AI55" si="697">IFERROR(AH55/AH$19,0)</f>
        <v>0</v>
      </c>
    </row>
    <row r="56" spans="1:35" ht="15.6" hidden="1" outlineLevel="1" x14ac:dyDescent="0.3">
      <c r="A56" s="35" t="s">
        <v>197</v>
      </c>
      <c r="B56" s="29">
        <f>IFERROR(VLOOKUP($A56,APOIO!$B:$N,MATCH(B$5,APOIO!$B$5:$N$5,0),FALSE),0)</f>
        <v>0</v>
      </c>
      <c r="C56" s="38">
        <f t="shared" si="134"/>
        <v>0</v>
      </c>
      <c r="D56" s="29">
        <f>IFERROR(VLOOKUP($A56,APOIO!$B:$N,MATCH(D$5,APOIO!$B$5:$N$5,0),FALSE),0)</f>
        <v>0</v>
      </c>
      <c r="E56" s="38">
        <f t="shared" si="134"/>
        <v>0</v>
      </c>
      <c r="F56" s="29">
        <f>IFERROR(VLOOKUP($A56,APOIO!$B:$N,MATCH(F$5,APOIO!$B$5:$N$5,0),FALSE),0)</f>
        <v>0</v>
      </c>
      <c r="G56" s="38">
        <f t="shared" ref="G56" si="698">IFERROR(F56/F$19,0)</f>
        <v>0</v>
      </c>
      <c r="H56" s="30">
        <f t="shared" si="507"/>
        <v>0</v>
      </c>
      <c r="I56" s="40">
        <f t="shared" ref="I56" si="699">IFERROR(H56/H$19,0)</f>
        <v>0</v>
      </c>
      <c r="J56" s="29">
        <f>IFERROR(VLOOKUP($A56,APOIO!$B:$N,MATCH(J$5,APOIO!$B$5:$N$5,0),FALSE),0)</f>
        <v>0</v>
      </c>
      <c r="K56" s="38">
        <f t="shared" ref="K56" si="700">IFERROR(J56/J$19,0)</f>
        <v>0</v>
      </c>
      <c r="L56" s="29">
        <f>IFERROR(VLOOKUP($A56,APOIO!$B:$N,MATCH(L$5,APOIO!$B$5:$N$5,0),FALSE),0)</f>
        <v>0</v>
      </c>
      <c r="M56" s="38">
        <f t="shared" ref="M56" si="701">IFERROR(L56/L$19,0)</f>
        <v>0</v>
      </c>
      <c r="N56" s="29">
        <f>IFERROR(VLOOKUP($A56,APOIO!$B:$N,MATCH(N$5,APOIO!$B$5:$N$5,0),FALSE),0)</f>
        <v>0</v>
      </c>
      <c r="O56" s="38">
        <f t="shared" ref="O56" si="702">IFERROR(N56/N$19,0)</f>
        <v>0</v>
      </c>
      <c r="P56" s="30">
        <f t="shared" si="512"/>
        <v>0</v>
      </c>
      <c r="Q56" s="41">
        <f t="shared" ref="Q56" si="703">IFERROR(P56/P$19,0)</f>
        <v>0</v>
      </c>
      <c r="R56" s="29">
        <f>IFERROR(VLOOKUP($A56,APOIO!$B:$N,MATCH(R$5,APOIO!$B$5:$N$5,0),FALSE),0)</f>
        <v>0</v>
      </c>
      <c r="S56" s="41">
        <f t="shared" ref="S56" si="704">IFERROR(R56/R$19,0)</f>
        <v>0</v>
      </c>
      <c r="T56" s="29">
        <f>IFERROR(VLOOKUP($A56,APOIO!$B:$N,MATCH(T$5,APOIO!$B$5:$N$5,0),FALSE),0)</f>
        <v>0</v>
      </c>
      <c r="U56" s="41">
        <f t="shared" ref="U56" si="705">IFERROR(T56/T$19,0)</f>
        <v>0</v>
      </c>
      <c r="V56" s="29">
        <f>IFERROR(VLOOKUP($A56,APOIO!$B:$N,MATCH(V$5,APOIO!$B$5:$N$5,0),FALSE),0)</f>
        <v>0</v>
      </c>
      <c r="W56" s="38">
        <f t="shared" ref="W56" si="706">IFERROR(V56/V$19,0)</f>
        <v>0</v>
      </c>
      <c r="X56" s="30">
        <f t="shared" si="517"/>
        <v>0</v>
      </c>
      <c r="Y56" s="41">
        <f t="shared" ref="Y56" si="707">IFERROR(X56/X$19,0)</f>
        <v>0</v>
      </c>
      <c r="Z56" s="29">
        <f>IFERROR(VLOOKUP($A56,APOIO!$B:$N,MATCH(Z$5,APOIO!$B$5:$N$5,0),FALSE),0)</f>
        <v>0</v>
      </c>
      <c r="AA56" s="38">
        <f t="shared" ref="AA56" si="708">IFERROR(Z56/Z$19,0)</f>
        <v>0</v>
      </c>
      <c r="AB56" s="29">
        <f>IFERROR(VLOOKUP($A56,APOIO!$B:$N,MATCH(AB$5,APOIO!$B$5:$N$5,0),FALSE),0)</f>
        <v>0</v>
      </c>
      <c r="AC56" s="38">
        <f t="shared" ref="AC56" si="709">IFERROR(AB56/AB$19,0)</f>
        <v>0</v>
      </c>
      <c r="AD56" s="29">
        <f>IFERROR(VLOOKUP($A56,APOIO!$B:$N,MATCH(AD$5,APOIO!$B$5:$N$5,0),FALSE),0)</f>
        <v>0</v>
      </c>
      <c r="AE56" s="38">
        <f t="shared" ref="AE56" si="710">IFERROR(AD56/AD$19,0)</f>
        <v>0</v>
      </c>
      <c r="AF56" s="30">
        <f t="shared" si="522"/>
        <v>0</v>
      </c>
      <c r="AG56" s="41">
        <f t="shared" ref="AG56" si="711">IFERROR(AF56/AF$19,0)</f>
        <v>0</v>
      </c>
      <c r="AH56" s="29">
        <f t="shared" si="524"/>
        <v>0</v>
      </c>
      <c r="AI56" s="41">
        <f t="shared" ref="AI56" si="712">IFERROR(AH56/AH$19,0)</f>
        <v>0</v>
      </c>
    </row>
    <row r="57" spans="1:35" ht="15.6" hidden="1" outlineLevel="1" x14ac:dyDescent="0.3">
      <c r="A57" s="35" t="s">
        <v>199</v>
      </c>
      <c r="B57" s="29">
        <f>IFERROR(VLOOKUP($A57,APOIO!$B:$N,MATCH(B$5,APOIO!$B$5:$N$5,0),FALSE),0)</f>
        <v>0</v>
      </c>
      <c r="C57" s="38">
        <f t="shared" ref="C57" si="713">IFERROR(B57/B$19,0)</f>
        <v>0</v>
      </c>
      <c r="D57" s="29">
        <f>IFERROR(VLOOKUP($A57,APOIO!$B:$N,MATCH(D$5,APOIO!$B$5:$N$5,0),FALSE),0)</f>
        <v>-849.74</v>
      </c>
      <c r="E57" s="38">
        <f t="shared" ref="E57" si="714">IFERROR(D57/D$19,0)</f>
        <v>-2.3276481256959574E-3</v>
      </c>
      <c r="F57" s="29">
        <f>IFERROR(VLOOKUP($A57,APOIO!$B:$N,MATCH(F$5,APOIO!$B$5:$N$5,0),FALSE),0)</f>
        <v>-359.72</v>
      </c>
      <c r="G57" s="38">
        <f t="shared" ref="G57" si="715">IFERROR(F57/F$19,0)</f>
        <v>0</v>
      </c>
      <c r="H57" s="30">
        <f t="shared" ref="H57" si="716">SUM(B57,D57,F57)</f>
        <v>-1209.46</v>
      </c>
      <c r="I57" s="40">
        <f t="shared" ref="I57" si="717">IFERROR(H57/H$19,0)</f>
        <v>-2.3248195350810724E-3</v>
      </c>
      <c r="J57" s="29">
        <f>IFERROR(VLOOKUP($A57,APOIO!$B:$N,MATCH(J$5,APOIO!$B$5:$N$5,0),FALSE),0)</f>
        <v>-483</v>
      </c>
      <c r="K57" s="38">
        <f t="shared" ref="K57" si="718">IFERROR(J57/J$19,0)</f>
        <v>0</v>
      </c>
      <c r="L57" s="29">
        <f>IFERROR(VLOOKUP($A57,APOIO!$B:$N,MATCH(L$5,APOIO!$B$5:$N$5,0),FALSE),0)</f>
        <v>0</v>
      </c>
      <c r="M57" s="38">
        <f t="shared" ref="M57" si="719">IFERROR(L57/L$19,0)</f>
        <v>0</v>
      </c>
      <c r="N57" s="29">
        <f>IFERROR(VLOOKUP($A57,APOIO!$B:$N,MATCH(N$5,APOIO!$B$5:$N$5,0),FALSE),0)</f>
        <v>0</v>
      </c>
      <c r="O57" s="38">
        <f t="shared" ref="O57" si="720">IFERROR(N57/N$19,0)</f>
        <v>0</v>
      </c>
      <c r="P57" s="30">
        <f t="shared" ref="P57" si="721">SUM(J57,L57,N57)</f>
        <v>-483</v>
      </c>
      <c r="Q57" s="41">
        <f t="shared" ref="Q57" si="722">IFERROR(P57/P$19,0)</f>
        <v>0</v>
      </c>
      <c r="R57" s="29">
        <f>IFERROR(VLOOKUP($A57,APOIO!$B:$N,MATCH(R$5,APOIO!$B$5:$N$5,0),FALSE),0)</f>
        <v>0</v>
      </c>
      <c r="S57" s="41">
        <f t="shared" ref="S57" si="723">IFERROR(R57/R$19,0)</f>
        <v>0</v>
      </c>
      <c r="T57" s="29">
        <f>IFERROR(VLOOKUP($A57,APOIO!$B:$N,MATCH(T$5,APOIO!$B$5:$N$5,0),FALSE),0)</f>
        <v>0</v>
      </c>
      <c r="U57" s="41">
        <f t="shared" ref="U57" si="724">IFERROR(T57/T$19,0)</f>
        <v>0</v>
      </c>
      <c r="V57" s="29">
        <f>IFERROR(VLOOKUP($A57,APOIO!$B:$N,MATCH(V$5,APOIO!$B$5:$N$5,0),FALSE),0)</f>
        <v>0</v>
      </c>
      <c r="W57" s="38">
        <f t="shared" ref="W57" si="725">IFERROR(V57/V$19,0)</f>
        <v>0</v>
      </c>
      <c r="X57" s="30">
        <f t="shared" ref="X57" si="726">SUM(R57,T57,V57)</f>
        <v>0</v>
      </c>
      <c r="Y57" s="41">
        <f t="shared" ref="Y57" si="727">IFERROR(X57/X$19,0)</f>
        <v>0</v>
      </c>
      <c r="Z57" s="29">
        <f>IFERROR(VLOOKUP($A57,APOIO!$B:$N,MATCH(Z$5,APOIO!$B$5:$N$5,0),FALSE),0)</f>
        <v>0</v>
      </c>
      <c r="AA57" s="38">
        <f t="shared" ref="AA57" si="728">IFERROR(Z57/Z$19,0)</f>
        <v>0</v>
      </c>
      <c r="AB57" s="29">
        <f>IFERROR(VLOOKUP($A57,APOIO!$B:$N,MATCH(AB$5,APOIO!$B$5:$N$5,0),FALSE),0)</f>
        <v>0</v>
      </c>
      <c r="AC57" s="38">
        <f t="shared" ref="AC57" si="729">IFERROR(AB57/AB$19,0)</f>
        <v>0</v>
      </c>
      <c r="AD57" s="29">
        <f>IFERROR(VLOOKUP($A57,APOIO!$B:$N,MATCH(AD$5,APOIO!$B$5:$N$5,0),FALSE),0)</f>
        <v>0</v>
      </c>
      <c r="AE57" s="38">
        <f t="shared" ref="AE57" si="730">IFERROR(AD57/AD$19,0)</f>
        <v>0</v>
      </c>
      <c r="AF57" s="30">
        <f t="shared" ref="AF57" si="731">SUM(Z57,AB57,AD57)</f>
        <v>0</v>
      </c>
      <c r="AG57" s="41">
        <f t="shared" ref="AG57" si="732">IFERROR(AF57/AF$19,0)</f>
        <v>0</v>
      </c>
      <c r="AH57" s="29">
        <f t="shared" ref="AH57" si="733">SUM(B57,D57,F57,J57,L57,N57,R57,T57,V57,Z57,AB57,AD57)</f>
        <v>-1692.46</v>
      </c>
      <c r="AI57" s="41">
        <f t="shared" ref="AI57" si="734">IFERROR(AH57/AH$19,0)</f>
        <v>-3.2532403472155442E-3</v>
      </c>
    </row>
    <row r="58" spans="1:35" ht="15.6" hidden="1" outlineLevel="1" x14ac:dyDescent="0.3">
      <c r="A58" s="35" t="s">
        <v>200</v>
      </c>
      <c r="B58" s="29">
        <f>IFERROR(VLOOKUP($A58,APOIO!$B:$N,MATCH(B$5,APOIO!$B$5:$N$5,0),FALSE),0)</f>
        <v>0</v>
      </c>
      <c r="C58" s="38">
        <f t="shared" si="134"/>
        <v>0</v>
      </c>
      <c r="D58" s="29">
        <f>IFERROR(VLOOKUP($A58,APOIO!$B:$N,MATCH(D$5,APOIO!$B$5:$N$5,0),FALSE),0)</f>
        <v>0</v>
      </c>
      <c r="E58" s="38">
        <f t="shared" si="134"/>
        <v>0</v>
      </c>
      <c r="F58" s="29">
        <f>IFERROR(VLOOKUP($A58,APOIO!$B:$N,MATCH(F$5,APOIO!$B$5:$N$5,0),FALSE),0)</f>
        <v>0</v>
      </c>
      <c r="G58" s="38">
        <f t="shared" ref="G58" si="735">IFERROR(F58/F$19,0)</f>
        <v>0</v>
      </c>
      <c r="H58" s="30">
        <f t="shared" si="507"/>
        <v>0</v>
      </c>
      <c r="I58" s="40">
        <f t="shared" ref="I58" si="736">IFERROR(H58/H$19,0)</f>
        <v>0</v>
      </c>
      <c r="J58" s="29">
        <f>IFERROR(VLOOKUP($A58,APOIO!$B:$N,MATCH(J$5,APOIO!$B$5:$N$5,0),FALSE),0)</f>
        <v>0</v>
      </c>
      <c r="K58" s="38">
        <f t="shared" ref="K58" si="737">IFERROR(J58/J$19,0)</f>
        <v>0</v>
      </c>
      <c r="L58" s="29">
        <f>IFERROR(VLOOKUP($A58,APOIO!$B:$N,MATCH(L$5,APOIO!$B$5:$N$5,0),FALSE),0)</f>
        <v>0</v>
      </c>
      <c r="M58" s="38">
        <f t="shared" ref="M58" si="738">IFERROR(L58/L$19,0)</f>
        <v>0</v>
      </c>
      <c r="N58" s="29">
        <f>IFERROR(VLOOKUP($A58,APOIO!$B:$N,MATCH(N$5,APOIO!$B$5:$N$5,0),FALSE),0)</f>
        <v>0</v>
      </c>
      <c r="O58" s="38">
        <f t="shared" ref="O58" si="739">IFERROR(N58/N$19,0)</f>
        <v>0</v>
      </c>
      <c r="P58" s="30">
        <f t="shared" si="512"/>
        <v>0</v>
      </c>
      <c r="Q58" s="41">
        <f t="shared" ref="Q58" si="740">IFERROR(P58/P$19,0)</f>
        <v>0</v>
      </c>
      <c r="R58" s="29">
        <f>IFERROR(VLOOKUP($A58,APOIO!$B:$N,MATCH(R$5,APOIO!$B$5:$N$5,0),FALSE),0)</f>
        <v>0</v>
      </c>
      <c r="S58" s="41">
        <f t="shared" ref="S58" si="741">IFERROR(R58/R$19,0)</f>
        <v>0</v>
      </c>
      <c r="T58" s="29">
        <f>IFERROR(VLOOKUP($A58,APOIO!$B:$N,MATCH(T$5,APOIO!$B$5:$N$5,0),FALSE),0)</f>
        <v>0</v>
      </c>
      <c r="U58" s="41">
        <f t="shared" ref="U58" si="742">IFERROR(T58/T$19,0)</f>
        <v>0</v>
      </c>
      <c r="V58" s="29">
        <f>IFERROR(VLOOKUP($A58,APOIO!$B:$N,MATCH(V$5,APOIO!$B$5:$N$5,0),FALSE),0)</f>
        <v>0</v>
      </c>
      <c r="W58" s="38">
        <f t="shared" ref="W58" si="743">IFERROR(V58/V$19,0)</f>
        <v>0</v>
      </c>
      <c r="X58" s="30">
        <f t="shared" si="517"/>
        <v>0</v>
      </c>
      <c r="Y58" s="41">
        <f t="shared" ref="Y58" si="744">IFERROR(X58/X$19,0)</f>
        <v>0</v>
      </c>
      <c r="Z58" s="29">
        <f>IFERROR(VLOOKUP($A58,APOIO!$B:$N,MATCH(Z$5,APOIO!$B$5:$N$5,0),FALSE),0)</f>
        <v>0</v>
      </c>
      <c r="AA58" s="38">
        <f t="shared" ref="AA58" si="745">IFERROR(Z58/Z$19,0)</f>
        <v>0</v>
      </c>
      <c r="AB58" s="29">
        <f>IFERROR(VLOOKUP($A58,APOIO!$B:$N,MATCH(AB$5,APOIO!$B$5:$N$5,0),FALSE),0)</f>
        <v>0</v>
      </c>
      <c r="AC58" s="38">
        <f t="shared" ref="AC58" si="746">IFERROR(AB58/AB$19,0)</f>
        <v>0</v>
      </c>
      <c r="AD58" s="29">
        <f>IFERROR(VLOOKUP($A58,APOIO!$B:$N,MATCH(AD$5,APOIO!$B$5:$N$5,0),FALSE),0)</f>
        <v>0</v>
      </c>
      <c r="AE58" s="38">
        <f t="shared" ref="AE58" si="747">IFERROR(AD58/AD$19,0)</f>
        <v>0</v>
      </c>
      <c r="AF58" s="30">
        <f t="shared" si="522"/>
        <v>0</v>
      </c>
      <c r="AG58" s="41">
        <f t="shared" ref="AG58" si="748">IFERROR(AF58/AF$19,0)</f>
        <v>0</v>
      </c>
      <c r="AH58" s="29">
        <f t="shared" si="524"/>
        <v>0</v>
      </c>
      <c r="AI58" s="41">
        <f t="shared" ref="AI58" si="749">IFERROR(AH58/AH$19,0)</f>
        <v>0</v>
      </c>
    </row>
    <row r="59" spans="1:35" ht="15.6" hidden="1" outlineLevel="1" x14ac:dyDescent="0.3">
      <c r="A59" s="35" t="s">
        <v>201</v>
      </c>
      <c r="B59" s="29">
        <f>IFERROR(VLOOKUP($A59,APOIO!$B:$N,MATCH(B$5,APOIO!$B$5:$N$5,0),FALSE),0)</f>
        <v>-268.53999999999996</v>
      </c>
      <c r="C59" s="38">
        <f t="shared" si="134"/>
        <v>-1.7305682906839177E-3</v>
      </c>
      <c r="D59" s="29">
        <f>IFERROR(VLOOKUP($A59,APOIO!$B:$N,MATCH(D$5,APOIO!$B$5:$N$5,0),FALSE),0)</f>
        <v>-1829.92</v>
      </c>
      <c r="E59" s="38">
        <f t="shared" si="134"/>
        <v>-5.0126036883912095E-3</v>
      </c>
      <c r="F59" s="29">
        <f>IFERROR(VLOOKUP($A59,APOIO!$B:$N,MATCH(F$5,APOIO!$B$5:$N$5,0),FALSE),0)</f>
        <v>0</v>
      </c>
      <c r="G59" s="38">
        <f t="shared" ref="G59" si="750">IFERROR(F59/F$19,0)</f>
        <v>0</v>
      </c>
      <c r="H59" s="30">
        <f t="shared" si="507"/>
        <v>-2098.46</v>
      </c>
      <c r="I59" s="40">
        <f t="shared" ref="I59" si="751">IFERROR(H59/H$19,0)</f>
        <v>-4.0336520443720568E-3</v>
      </c>
      <c r="J59" s="29">
        <f>IFERROR(VLOOKUP($A59,APOIO!$B:$N,MATCH(J$5,APOIO!$B$5:$N$5,0),FALSE),0)</f>
        <v>0</v>
      </c>
      <c r="K59" s="38">
        <f t="shared" ref="K59" si="752">IFERROR(J59/J$19,0)</f>
        <v>0</v>
      </c>
      <c r="L59" s="29">
        <f>IFERROR(VLOOKUP($A59,APOIO!$B:$N,MATCH(L$5,APOIO!$B$5:$N$5,0),FALSE),0)</f>
        <v>-2250</v>
      </c>
      <c r="M59" s="38">
        <f t="shared" ref="M59" si="753">IFERROR(L59/L$19,0)</f>
        <v>0</v>
      </c>
      <c r="N59" s="29">
        <f>IFERROR(VLOOKUP($A59,APOIO!$B:$N,MATCH(N$5,APOIO!$B$5:$N$5,0),FALSE),0)</f>
        <v>0</v>
      </c>
      <c r="O59" s="38">
        <f t="shared" ref="O59" si="754">IFERROR(N59/N$19,0)</f>
        <v>0</v>
      </c>
      <c r="P59" s="30">
        <f t="shared" si="512"/>
        <v>-2250</v>
      </c>
      <c r="Q59" s="41">
        <f t="shared" ref="Q59" si="755">IFERROR(P59/P$19,0)</f>
        <v>0</v>
      </c>
      <c r="R59" s="29">
        <f>IFERROR(VLOOKUP($A59,APOIO!$B:$N,MATCH(R$5,APOIO!$B$5:$N$5,0),FALSE),0)</f>
        <v>0</v>
      </c>
      <c r="S59" s="41">
        <f t="shared" ref="S59" si="756">IFERROR(R59/R$19,0)</f>
        <v>0</v>
      </c>
      <c r="T59" s="29">
        <f>IFERROR(VLOOKUP($A59,APOIO!$B:$N,MATCH(T$5,APOIO!$B$5:$N$5,0),FALSE),0)</f>
        <v>0</v>
      </c>
      <c r="U59" s="41">
        <f t="shared" ref="U59" si="757">IFERROR(T59/T$19,0)</f>
        <v>0</v>
      </c>
      <c r="V59" s="29">
        <f>IFERROR(VLOOKUP($A59,APOIO!$B:$N,MATCH(V$5,APOIO!$B$5:$N$5,0),FALSE),0)</f>
        <v>0</v>
      </c>
      <c r="W59" s="38">
        <f t="shared" ref="W59" si="758">IFERROR(V59/V$19,0)</f>
        <v>0</v>
      </c>
      <c r="X59" s="30">
        <f t="shared" si="517"/>
        <v>0</v>
      </c>
      <c r="Y59" s="41">
        <f t="shared" ref="Y59" si="759">IFERROR(X59/X$19,0)</f>
        <v>0</v>
      </c>
      <c r="Z59" s="29">
        <f>IFERROR(VLOOKUP($A59,APOIO!$B:$N,MATCH(Z$5,APOIO!$B$5:$N$5,0),FALSE),0)</f>
        <v>0</v>
      </c>
      <c r="AA59" s="38">
        <f t="shared" ref="AA59" si="760">IFERROR(Z59/Z$19,0)</f>
        <v>0</v>
      </c>
      <c r="AB59" s="29">
        <f>IFERROR(VLOOKUP($A59,APOIO!$B:$N,MATCH(AB$5,APOIO!$B$5:$N$5,0),FALSE),0)</f>
        <v>0</v>
      </c>
      <c r="AC59" s="38">
        <f t="shared" ref="AC59" si="761">IFERROR(AB59/AB$19,0)</f>
        <v>0</v>
      </c>
      <c r="AD59" s="29">
        <f>IFERROR(VLOOKUP($A59,APOIO!$B:$N,MATCH(AD$5,APOIO!$B$5:$N$5,0),FALSE),0)</f>
        <v>0</v>
      </c>
      <c r="AE59" s="38">
        <f t="shared" ref="AE59" si="762">IFERROR(AD59/AD$19,0)</f>
        <v>0</v>
      </c>
      <c r="AF59" s="30">
        <f t="shared" si="522"/>
        <v>0</v>
      </c>
      <c r="AG59" s="41">
        <f t="shared" ref="AG59" si="763">IFERROR(AF59/AF$19,0)</f>
        <v>0</v>
      </c>
      <c r="AH59" s="29">
        <f t="shared" si="524"/>
        <v>-4348.46</v>
      </c>
      <c r="AI59" s="41">
        <f t="shared" ref="AI59" si="764">IFERROR(AH59/AH$19,0)</f>
        <v>-8.3585937158059311E-3</v>
      </c>
    </row>
    <row r="60" spans="1:35" ht="15.6" hidden="1" outlineLevel="1" x14ac:dyDescent="0.3">
      <c r="A60" s="35" t="s">
        <v>202</v>
      </c>
      <c r="B60" s="29">
        <f>IFERROR(VLOOKUP($A60,APOIO!$B:$N,MATCH(B$5,APOIO!$B$5:$N$5,0),FALSE),0)</f>
        <v>-250</v>
      </c>
      <c r="C60" s="38">
        <f t="shared" si="134"/>
        <v>-1.6110898662060754E-3</v>
      </c>
      <c r="D60" s="29">
        <f>IFERROR(VLOOKUP($A60,APOIO!$B:$N,MATCH(D$5,APOIO!$B$5:$N$5,0),FALSE),0)</f>
        <v>0</v>
      </c>
      <c r="E60" s="38">
        <f t="shared" si="134"/>
        <v>0</v>
      </c>
      <c r="F60" s="29">
        <f>IFERROR(VLOOKUP($A60,APOIO!$B:$N,MATCH(F$5,APOIO!$B$5:$N$5,0),FALSE),0)</f>
        <v>0</v>
      </c>
      <c r="G60" s="38">
        <f t="shared" ref="G60" si="765">IFERROR(F60/F$19,0)</f>
        <v>0</v>
      </c>
      <c r="H60" s="30">
        <f t="shared" si="507"/>
        <v>-250</v>
      </c>
      <c r="I60" s="40">
        <f t="shared" ref="I60" si="766">IFERROR(H60/H$19,0)</f>
        <v>-4.8054907460376374E-4</v>
      </c>
      <c r="J60" s="29">
        <f>IFERROR(VLOOKUP($A60,APOIO!$B:$N,MATCH(J$5,APOIO!$B$5:$N$5,0),FALSE),0)</f>
        <v>0</v>
      </c>
      <c r="K60" s="38">
        <f t="shared" ref="K60" si="767">IFERROR(J60/J$19,0)</f>
        <v>0</v>
      </c>
      <c r="L60" s="29">
        <f>IFERROR(VLOOKUP($A60,APOIO!$B:$N,MATCH(L$5,APOIO!$B$5:$N$5,0),FALSE),0)</f>
        <v>0</v>
      </c>
      <c r="M60" s="38">
        <f t="shared" ref="M60" si="768">IFERROR(L60/L$19,0)</f>
        <v>0</v>
      </c>
      <c r="N60" s="29">
        <f>IFERROR(VLOOKUP($A60,APOIO!$B:$N,MATCH(N$5,APOIO!$B$5:$N$5,0),FALSE),0)</f>
        <v>0</v>
      </c>
      <c r="O60" s="38">
        <f t="shared" ref="O60" si="769">IFERROR(N60/N$19,0)</f>
        <v>0</v>
      </c>
      <c r="P60" s="30">
        <f t="shared" si="512"/>
        <v>0</v>
      </c>
      <c r="Q60" s="41">
        <f t="shared" ref="Q60" si="770">IFERROR(P60/P$19,0)</f>
        <v>0</v>
      </c>
      <c r="R60" s="29">
        <f>IFERROR(VLOOKUP($A60,APOIO!$B:$N,MATCH(R$5,APOIO!$B$5:$N$5,0),FALSE),0)</f>
        <v>0</v>
      </c>
      <c r="S60" s="41">
        <f t="shared" ref="S60" si="771">IFERROR(R60/R$19,0)</f>
        <v>0</v>
      </c>
      <c r="T60" s="29">
        <f>IFERROR(VLOOKUP($A60,APOIO!$B:$N,MATCH(T$5,APOIO!$B$5:$N$5,0),FALSE),0)</f>
        <v>0</v>
      </c>
      <c r="U60" s="41">
        <f t="shared" ref="U60" si="772">IFERROR(T60/T$19,0)</f>
        <v>0</v>
      </c>
      <c r="V60" s="29">
        <f>IFERROR(VLOOKUP($A60,APOIO!$B:$N,MATCH(V$5,APOIO!$B$5:$N$5,0),FALSE),0)</f>
        <v>0</v>
      </c>
      <c r="W60" s="38">
        <f t="shared" ref="W60" si="773">IFERROR(V60/V$19,0)</f>
        <v>0</v>
      </c>
      <c r="X60" s="30">
        <f t="shared" si="517"/>
        <v>0</v>
      </c>
      <c r="Y60" s="41">
        <f t="shared" ref="Y60" si="774">IFERROR(X60/X$19,0)</f>
        <v>0</v>
      </c>
      <c r="Z60" s="29">
        <f>IFERROR(VLOOKUP($A60,APOIO!$B:$N,MATCH(Z$5,APOIO!$B$5:$N$5,0),FALSE),0)</f>
        <v>0</v>
      </c>
      <c r="AA60" s="38">
        <f t="shared" ref="AA60" si="775">IFERROR(Z60/Z$19,0)</f>
        <v>0</v>
      </c>
      <c r="AB60" s="29">
        <f>IFERROR(VLOOKUP($A60,APOIO!$B:$N,MATCH(AB$5,APOIO!$B$5:$N$5,0),FALSE),0)</f>
        <v>0</v>
      </c>
      <c r="AC60" s="38">
        <f t="shared" ref="AC60" si="776">IFERROR(AB60/AB$19,0)</f>
        <v>0</v>
      </c>
      <c r="AD60" s="29">
        <f>IFERROR(VLOOKUP($A60,APOIO!$B:$N,MATCH(AD$5,APOIO!$B$5:$N$5,0),FALSE),0)</f>
        <v>0</v>
      </c>
      <c r="AE60" s="38">
        <f t="shared" ref="AE60" si="777">IFERROR(AD60/AD$19,0)</f>
        <v>0</v>
      </c>
      <c r="AF60" s="30">
        <f t="shared" si="522"/>
        <v>0</v>
      </c>
      <c r="AG60" s="41">
        <f t="shared" ref="AG60" si="778">IFERROR(AF60/AF$19,0)</f>
        <v>0</v>
      </c>
      <c r="AH60" s="29">
        <f t="shared" si="524"/>
        <v>-250</v>
      </c>
      <c r="AI60" s="41">
        <f t="shared" ref="AI60" si="779">IFERROR(AH60/AH$19,0)</f>
        <v>-4.8054907460376374E-4</v>
      </c>
    </row>
    <row r="61" spans="1:35" ht="15.6" hidden="1" outlineLevel="1" x14ac:dyDescent="0.3">
      <c r="A61" s="35" t="s">
        <v>203</v>
      </c>
      <c r="B61" s="29">
        <f>IFERROR(VLOOKUP($A61,APOIO!$B:$N,MATCH(B$5,APOIO!$B$5:$N$5,0),FALSE),0)</f>
        <v>0</v>
      </c>
      <c r="C61" s="38">
        <f t="shared" si="134"/>
        <v>0</v>
      </c>
      <c r="D61" s="29">
        <f>IFERROR(VLOOKUP($A61,APOIO!$B:$N,MATCH(D$5,APOIO!$B$5:$N$5,0),FALSE),0)</f>
        <v>0</v>
      </c>
      <c r="E61" s="38">
        <f t="shared" si="134"/>
        <v>0</v>
      </c>
      <c r="F61" s="29">
        <f>IFERROR(VLOOKUP($A61,APOIO!$B:$N,MATCH(F$5,APOIO!$B$5:$N$5,0),FALSE),0)</f>
        <v>0</v>
      </c>
      <c r="G61" s="38">
        <f t="shared" ref="G61" si="780">IFERROR(F61/F$19,0)</f>
        <v>0</v>
      </c>
      <c r="H61" s="30">
        <f t="shared" si="507"/>
        <v>0</v>
      </c>
      <c r="I61" s="40">
        <f t="shared" ref="I61" si="781">IFERROR(H61/H$19,0)</f>
        <v>0</v>
      </c>
      <c r="J61" s="29">
        <f>IFERROR(VLOOKUP($A61,APOIO!$B:$N,MATCH(J$5,APOIO!$B$5:$N$5,0),FALSE),0)</f>
        <v>0</v>
      </c>
      <c r="K61" s="38">
        <f t="shared" ref="K61" si="782">IFERROR(J61/J$19,0)</f>
        <v>0</v>
      </c>
      <c r="L61" s="29">
        <f>IFERROR(VLOOKUP($A61,APOIO!$B:$N,MATCH(L$5,APOIO!$B$5:$N$5,0),FALSE),0)</f>
        <v>0</v>
      </c>
      <c r="M61" s="38">
        <f t="shared" ref="M61" si="783">IFERROR(L61/L$19,0)</f>
        <v>0</v>
      </c>
      <c r="N61" s="29">
        <f>IFERROR(VLOOKUP($A61,APOIO!$B:$N,MATCH(N$5,APOIO!$B$5:$N$5,0),FALSE),0)</f>
        <v>0</v>
      </c>
      <c r="O61" s="38">
        <f t="shared" ref="O61" si="784">IFERROR(N61/N$19,0)</f>
        <v>0</v>
      </c>
      <c r="P61" s="30">
        <f t="shared" si="512"/>
        <v>0</v>
      </c>
      <c r="Q61" s="41">
        <f t="shared" ref="Q61" si="785">IFERROR(P61/P$19,0)</f>
        <v>0</v>
      </c>
      <c r="R61" s="29">
        <f>IFERROR(VLOOKUP($A61,APOIO!$B:$N,MATCH(R$5,APOIO!$B$5:$N$5,0),FALSE),0)</f>
        <v>0</v>
      </c>
      <c r="S61" s="41">
        <f t="shared" ref="S61" si="786">IFERROR(R61/R$19,0)</f>
        <v>0</v>
      </c>
      <c r="T61" s="29">
        <f>IFERROR(VLOOKUP($A61,APOIO!$B:$N,MATCH(T$5,APOIO!$B$5:$N$5,0),FALSE),0)</f>
        <v>0</v>
      </c>
      <c r="U61" s="41">
        <f t="shared" ref="U61" si="787">IFERROR(T61/T$19,0)</f>
        <v>0</v>
      </c>
      <c r="V61" s="29">
        <f>IFERROR(VLOOKUP($A61,APOIO!$B:$N,MATCH(V$5,APOIO!$B$5:$N$5,0),FALSE),0)</f>
        <v>0</v>
      </c>
      <c r="W61" s="38">
        <f t="shared" ref="W61" si="788">IFERROR(V61/V$19,0)</f>
        <v>0</v>
      </c>
      <c r="X61" s="30">
        <f t="shared" si="517"/>
        <v>0</v>
      </c>
      <c r="Y61" s="41">
        <f t="shared" ref="Y61" si="789">IFERROR(X61/X$19,0)</f>
        <v>0</v>
      </c>
      <c r="Z61" s="29">
        <f>IFERROR(VLOOKUP($A61,APOIO!$B:$N,MATCH(Z$5,APOIO!$B$5:$N$5,0),FALSE),0)</f>
        <v>0</v>
      </c>
      <c r="AA61" s="38">
        <f t="shared" ref="AA61" si="790">IFERROR(Z61/Z$19,0)</f>
        <v>0</v>
      </c>
      <c r="AB61" s="29">
        <f>IFERROR(VLOOKUP($A61,APOIO!$B:$N,MATCH(AB$5,APOIO!$B$5:$N$5,0),FALSE),0)</f>
        <v>0</v>
      </c>
      <c r="AC61" s="38">
        <f t="shared" ref="AC61" si="791">IFERROR(AB61/AB$19,0)</f>
        <v>0</v>
      </c>
      <c r="AD61" s="29">
        <f>IFERROR(VLOOKUP($A61,APOIO!$B:$N,MATCH(AD$5,APOIO!$B$5:$N$5,0),FALSE),0)</f>
        <v>0</v>
      </c>
      <c r="AE61" s="38">
        <f t="shared" ref="AE61" si="792">IFERROR(AD61/AD$19,0)</f>
        <v>0</v>
      </c>
      <c r="AF61" s="30">
        <f t="shared" si="522"/>
        <v>0</v>
      </c>
      <c r="AG61" s="41">
        <f t="shared" ref="AG61" si="793">IFERROR(AF61/AF$19,0)</f>
        <v>0</v>
      </c>
      <c r="AH61" s="29">
        <f t="shared" si="524"/>
        <v>0</v>
      </c>
      <c r="AI61" s="41">
        <f t="shared" ref="AI61" si="794">IFERROR(AH61/AH$19,0)</f>
        <v>0</v>
      </c>
    </row>
    <row r="62" spans="1:35" ht="15.6" collapsed="1" x14ac:dyDescent="0.3">
      <c r="A62" s="36" t="s">
        <v>12</v>
      </c>
      <c r="B62" s="37">
        <f>IFERROR(VLOOKUP($A62,APOIO!$B:$N,MATCH(B$5,APOIO!$B$5:$N$5,0),FALSE),0)</f>
        <v>0</v>
      </c>
      <c r="C62" s="39">
        <f t="shared" si="134"/>
        <v>0</v>
      </c>
      <c r="D62" s="37">
        <f>IFERROR(VLOOKUP($A62,APOIO!$B:$N,MATCH(D$5,APOIO!$B$5:$N$5,0),FALSE),0)</f>
        <v>0</v>
      </c>
      <c r="E62" s="39">
        <f t="shared" si="134"/>
        <v>0</v>
      </c>
      <c r="F62" s="37">
        <f>IFERROR(VLOOKUP($A62,APOIO!$B:$N,MATCH(F$5,APOIO!$B$5:$N$5,0),FALSE),0)</f>
        <v>0</v>
      </c>
      <c r="G62" s="39">
        <f t="shared" ref="G62" si="795">IFERROR(F62/F$19,0)</f>
        <v>0</v>
      </c>
      <c r="H62" s="37">
        <f t="shared" si="1"/>
        <v>0</v>
      </c>
      <c r="I62" s="39">
        <f t="shared" ref="I62" si="796">IFERROR(H62/H$19,0)</f>
        <v>0</v>
      </c>
      <c r="J62" s="37">
        <f>IFERROR(VLOOKUP($A62,APOIO!$B:$N,MATCH(J$5,APOIO!$B$5:$N$5,0),FALSE),0)</f>
        <v>0</v>
      </c>
      <c r="K62" s="39">
        <f t="shared" ref="K62" si="797">IFERROR(J62/J$19,0)</f>
        <v>0</v>
      </c>
      <c r="L62" s="37">
        <f>IFERROR(VLOOKUP($A62,APOIO!$B:$N,MATCH(L$5,APOIO!$B$5:$N$5,0),FALSE),0)</f>
        <v>0</v>
      </c>
      <c r="M62" s="39">
        <f t="shared" ref="M62" si="798">IFERROR(L62/L$19,0)</f>
        <v>0</v>
      </c>
      <c r="N62" s="37">
        <f>IFERROR(VLOOKUP($A62,APOIO!$B:$N,MATCH(N$5,APOIO!$B$5:$N$5,0),FALSE),0)</f>
        <v>0</v>
      </c>
      <c r="O62" s="39">
        <f t="shared" ref="O62" si="799">IFERROR(N62/N$19,0)</f>
        <v>0</v>
      </c>
      <c r="P62" s="37">
        <f t="shared" si="2"/>
        <v>0</v>
      </c>
      <c r="Q62" s="42">
        <f t="shared" ref="Q62" si="800">IFERROR(P62/P$19,0)</f>
        <v>0</v>
      </c>
      <c r="R62" s="37">
        <f>IFERROR(VLOOKUP($A62,APOIO!$B:$N,MATCH(R$5,APOIO!$B$5:$N$5,0),FALSE),0)</f>
        <v>0</v>
      </c>
      <c r="S62" s="42">
        <f t="shared" ref="S62" si="801">IFERROR(R62/R$19,0)</f>
        <v>0</v>
      </c>
      <c r="T62" s="37">
        <f>IFERROR(VLOOKUP($A62,APOIO!$B:$N,MATCH(T$5,APOIO!$B$5:$N$5,0),FALSE),0)</f>
        <v>0</v>
      </c>
      <c r="U62" s="42">
        <f t="shared" ref="U62" si="802">IFERROR(T62/T$19,0)</f>
        <v>0</v>
      </c>
      <c r="V62" s="37">
        <f>IFERROR(VLOOKUP($A62,APOIO!$B:$N,MATCH(V$5,APOIO!$B$5:$N$5,0),FALSE),0)</f>
        <v>0</v>
      </c>
      <c r="W62" s="39">
        <f t="shared" ref="W62" si="803">IFERROR(V62/V$19,0)</f>
        <v>0</v>
      </c>
      <c r="X62" s="37">
        <f t="shared" si="3"/>
        <v>0</v>
      </c>
      <c r="Y62" s="42">
        <f t="shared" ref="Y62" si="804">IFERROR(X62/X$19,0)</f>
        <v>0</v>
      </c>
      <c r="Z62" s="37">
        <f>IFERROR(VLOOKUP($A62,APOIO!$B:$N,MATCH(Z$5,APOIO!$B$5:$N$5,0),FALSE),0)</f>
        <v>0</v>
      </c>
      <c r="AA62" s="39">
        <f t="shared" ref="AA62" si="805">IFERROR(Z62/Z$19,0)</f>
        <v>0</v>
      </c>
      <c r="AB62" s="37">
        <f>IFERROR(VLOOKUP($A62,APOIO!$B:$N,MATCH(AB$5,APOIO!$B$5:$N$5,0),FALSE),0)</f>
        <v>0</v>
      </c>
      <c r="AC62" s="39">
        <f t="shared" ref="AC62" si="806">IFERROR(AB62/AB$19,0)</f>
        <v>0</v>
      </c>
      <c r="AD62" s="37">
        <f>IFERROR(VLOOKUP($A62,APOIO!$B:$N,MATCH(AD$5,APOIO!$B$5:$N$5,0),FALSE),0)</f>
        <v>0</v>
      </c>
      <c r="AE62" s="39">
        <f t="shared" ref="AE62" si="807">IFERROR(AD62/AD$19,0)</f>
        <v>0</v>
      </c>
      <c r="AF62" s="37">
        <f t="shared" si="4"/>
        <v>0</v>
      </c>
      <c r="AG62" s="42">
        <f t="shared" ref="AG62" si="808">IFERROR(AF62/AF$19,0)</f>
        <v>0</v>
      </c>
      <c r="AH62" s="37">
        <f t="shared" si="5"/>
        <v>0</v>
      </c>
      <c r="AI62" s="42">
        <f t="shared" ref="AI62" si="809">IFERROR(AH62/AH$19,0)</f>
        <v>0</v>
      </c>
    </row>
    <row r="63" spans="1:35" ht="15.6" hidden="1" outlineLevel="1" x14ac:dyDescent="0.3">
      <c r="A63" s="35" t="s">
        <v>214</v>
      </c>
      <c r="B63" s="29">
        <f>IFERROR(VLOOKUP($A63,APOIO!$B:$N,MATCH(B$5,APOIO!$B$5:$N$5,0),FALSE),0)</f>
        <v>0</v>
      </c>
      <c r="C63" s="38">
        <f t="shared" si="134"/>
        <v>0</v>
      </c>
      <c r="D63" s="29">
        <f>IFERROR(VLOOKUP($A63,APOIO!$B:$N,MATCH(D$5,APOIO!$B$5:$N$5,0),FALSE),0)</f>
        <v>0</v>
      </c>
      <c r="E63" s="38">
        <f t="shared" si="134"/>
        <v>0</v>
      </c>
      <c r="F63" s="29">
        <f>IFERROR(VLOOKUP($A63,APOIO!$B:$N,MATCH(F$5,APOIO!$B$5:$N$5,0),FALSE),0)</f>
        <v>0</v>
      </c>
      <c r="G63" s="38">
        <f t="shared" ref="G63" si="810">IFERROR(F63/F$19,0)</f>
        <v>0</v>
      </c>
      <c r="H63" s="30">
        <f t="shared" si="1"/>
        <v>0</v>
      </c>
      <c r="I63" s="40">
        <f t="shared" ref="I63" si="811">IFERROR(H63/H$19,0)</f>
        <v>0</v>
      </c>
      <c r="J63" s="29">
        <f>IFERROR(VLOOKUP($A63,APOIO!$B:$N,MATCH(J$5,APOIO!$B$5:$N$5,0),FALSE),0)</f>
        <v>0</v>
      </c>
      <c r="K63" s="38">
        <f t="shared" ref="K63" si="812">IFERROR(J63/J$19,0)</f>
        <v>0</v>
      </c>
      <c r="L63" s="29">
        <f>IFERROR(VLOOKUP($A63,APOIO!$B:$N,MATCH(L$5,APOIO!$B$5:$N$5,0),FALSE),0)</f>
        <v>0</v>
      </c>
      <c r="M63" s="38">
        <f t="shared" ref="M63" si="813">IFERROR(L63/L$19,0)</f>
        <v>0</v>
      </c>
      <c r="N63" s="29">
        <f>IFERROR(VLOOKUP($A63,APOIO!$B:$N,MATCH(N$5,APOIO!$B$5:$N$5,0),FALSE),0)</f>
        <v>0</v>
      </c>
      <c r="O63" s="38">
        <f t="shared" ref="O63" si="814">IFERROR(N63/N$19,0)</f>
        <v>0</v>
      </c>
      <c r="P63" s="30">
        <f t="shared" si="2"/>
        <v>0</v>
      </c>
      <c r="Q63" s="41">
        <f t="shared" ref="Q63" si="815">IFERROR(P63/P$19,0)</f>
        <v>0</v>
      </c>
      <c r="R63" s="29">
        <f>IFERROR(VLOOKUP($A63,APOIO!$B:$N,MATCH(R$5,APOIO!$B$5:$N$5,0),FALSE),0)</f>
        <v>0</v>
      </c>
      <c r="S63" s="41">
        <f t="shared" ref="S63" si="816">IFERROR(R63/R$19,0)</f>
        <v>0</v>
      </c>
      <c r="T63" s="29">
        <f>IFERROR(VLOOKUP($A63,APOIO!$B:$N,MATCH(T$5,APOIO!$B$5:$N$5,0),FALSE),0)</f>
        <v>0</v>
      </c>
      <c r="U63" s="41">
        <f t="shared" ref="U63" si="817">IFERROR(T63/T$19,0)</f>
        <v>0</v>
      </c>
      <c r="V63" s="29">
        <f>IFERROR(VLOOKUP($A63,APOIO!$B:$N,MATCH(V$5,APOIO!$B$5:$N$5,0),FALSE),0)</f>
        <v>0</v>
      </c>
      <c r="W63" s="38">
        <f t="shared" ref="W63" si="818">IFERROR(V63/V$19,0)</f>
        <v>0</v>
      </c>
      <c r="X63" s="30">
        <f t="shared" si="3"/>
        <v>0</v>
      </c>
      <c r="Y63" s="41">
        <f t="shared" ref="Y63" si="819">IFERROR(X63/X$19,0)</f>
        <v>0</v>
      </c>
      <c r="Z63" s="29">
        <f>IFERROR(VLOOKUP($A63,APOIO!$B:$N,MATCH(Z$5,APOIO!$B$5:$N$5,0),FALSE),0)</f>
        <v>0</v>
      </c>
      <c r="AA63" s="38">
        <f t="shared" ref="AA63" si="820">IFERROR(Z63/Z$19,0)</f>
        <v>0</v>
      </c>
      <c r="AB63" s="29">
        <f>IFERROR(VLOOKUP($A63,APOIO!$B:$N,MATCH(AB$5,APOIO!$B$5:$N$5,0),FALSE),0)</f>
        <v>0</v>
      </c>
      <c r="AC63" s="38">
        <f t="shared" ref="AC63" si="821">IFERROR(AB63/AB$19,0)</f>
        <v>0</v>
      </c>
      <c r="AD63" s="29">
        <f>IFERROR(VLOOKUP($A63,APOIO!$B:$N,MATCH(AD$5,APOIO!$B$5:$N$5,0),FALSE),0)</f>
        <v>0</v>
      </c>
      <c r="AE63" s="38">
        <f t="shared" ref="AE63" si="822">IFERROR(AD63/AD$19,0)</f>
        <v>0</v>
      </c>
      <c r="AF63" s="30">
        <f t="shared" si="4"/>
        <v>0</v>
      </c>
      <c r="AG63" s="41">
        <f t="shared" ref="AG63" si="823">IFERROR(AF63/AF$19,0)</f>
        <v>0</v>
      </c>
      <c r="AH63" s="29">
        <f t="shared" si="5"/>
        <v>0</v>
      </c>
      <c r="AI63" s="41">
        <f t="shared" ref="AI63" si="824">IFERROR(AH63/AH$19,0)</f>
        <v>0</v>
      </c>
    </row>
    <row r="64" spans="1:35" ht="15.6" hidden="1" outlineLevel="1" x14ac:dyDescent="0.3">
      <c r="A64" s="35" t="s">
        <v>215</v>
      </c>
      <c r="B64" s="29">
        <f>IFERROR(VLOOKUP($A64,APOIO!$B:$N,MATCH(B$5,APOIO!$B$5:$N$5,0),FALSE),0)</f>
        <v>0</v>
      </c>
      <c r="C64" s="38">
        <f t="shared" si="134"/>
        <v>0</v>
      </c>
      <c r="D64" s="29">
        <f>IFERROR(VLOOKUP($A64,APOIO!$B:$N,MATCH(D$5,APOIO!$B$5:$N$5,0),FALSE),0)</f>
        <v>0</v>
      </c>
      <c r="E64" s="38">
        <f t="shared" si="134"/>
        <v>0</v>
      </c>
      <c r="F64" s="29">
        <f>IFERROR(VLOOKUP($A64,APOIO!$B:$N,MATCH(F$5,APOIO!$B$5:$N$5,0),FALSE),0)</f>
        <v>0</v>
      </c>
      <c r="G64" s="38">
        <f t="shared" ref="G64" si="825">IFERROR(F64/F$19,0)</f>
        <v>0</v>
      </c>
      <c r="H64" s="30">
        <f t="shared" ref="H64:H67" si="826">SUM(B64,D64,F64)</f>
        <v>0</v>
      </c>
      <c r="I64" s="40">
        <f t="shared" ref="I64" si="827">IFERROR(H64/H$19,0)</f>
        <v>0</v>
      </c>
      <c r="J64" s="29">
        <f>IFERROR(VLOOKUP($A64,APOIO!$B:$N,MATCH(J$5,APOIO!$B$5:$N$5,0),FALSE),0)</f>
        <v>0</v>
      </c>
      <c r="K64" s="38">
        <f t="shared" ref="K64" si="828">IFERROR(J64/J$19,0)</f>
        <v>0</v>
      </c>
      <c r="L64" s="29">
        <f>IFERROR(VLOOKUP($A64,APOIO!$B:$N,MATCH(L$5,APOIO!$B$5:$N$5,0),FALSE),0)</f>
        <v>0</v>
      </c>
      <c r="M64" s="38">
        <f t="shared" ref="M64" si="829">IFERROR(L64/L$19,0)</f>
        <v>0</v>
      </c>
      <c r="N64" s="29">
        <f>IFERROR(VLOOKUP($A64,APOIO!$B:$N,MATCH(N$5,APOIO!$B$5:$N$5,0),FALSE),0)</f>
        <v>0</v>
      </c>
      <c r="O64" s="38">
        <f t="shared" ref="O64" si="830">IFERROR(N64/N$19,0)</f>
        <v>0</v>
      </c>
      <c r="P64" s="30">
        <f t="shared" ref="P64:P67" si="831">SUM(J64,L64,N64)</f>
        <v>0</v>
      </c>
      <c r="Q64" s="41">
        <f t="shared" ref="Q64" si="832">IFERROR(P64/P$19,0)</f>
        <v>0</v>
      </c>
      <c r="R64" s="29">
        <f>IFERROR(VLOOKUP($A64,APOIO!$B:$N,MATCH(R$5,APOIO!$B$5:$N$5,0),FALSE),0)</f>
        <v>0</v>
      </c>
      <c r="S64" s="41">
        <f t="shared" ref="S64" si="833">IFERROR(R64/R$19,0)</f>
        <v>0</v>
      </c>
      <c r="T64" s="29">
        <f>IFERROR(VLOOKUP($A64,APOIO!$B:$N,MATCH(T$5,APOIO!$B$5:$N$5,0),FALSE),0)</f>
        <v>0</v>
      </c>
      <c r="U64" s="41">
        <f t="shared" ref="U64" si="834">IFERROR(T64/T$19,0)</f>
        <v>0</v>
      </c>
      <c r="V64" s="29">
        <f>IFERROR(VLOOKUP($A64,APOIO!$B:$N,MATCH(V$5,APOIO!$B$5:$N$5,0),FALSE),0)</f>
        <v>0</v>
      </c>
      <c r="W64" s="38">
        <f t="shared" ref="W64" si="835">IFERROR(V64/V$19,0)</f>
        <v>0</v>
      </c>
      <c r="X64" s="30">
        <f t="shared" ref="X64:X67" si="836">SUM(R64,T64,V64)</f>
        <v>0</v>
      </c>
      <c r="Y64" s="41">
        <f t="shared" ref="Y64" si="837">IFERROR(X64/X$19,0)</f>
        <v>0</v>
      </c>
      <c r="Z64" s="29">
        <f>IFERROR(VLOOKUP($A64,APOIO!$B:$N,MATCH(Z$5,APOIO!$B$5:$N$5,0),FALSE),0)</f>
        <v>0</v>
      </c>
      <c r="AA64" s="38">
        <f t="shared" ref="AA64" si="838">IFERROR(Z64/Z$19,0)</f>
        <v>0</v>
      </c>
      <c r="AB64" s="29">
        <f>IFERROR(VLOOKUP($A64,APOIO!$B:$N,MATCH(AB$5,APOIO!$B$5:$N$5,0),FALSE),0)</f>
        <v>0</v>
      </c>
      <c r="AC64" s="38">
        <f t="shared" ref="AC64" si="839">IFERROR(AB64/AB$19,0)</f>
        <v>0</v>
      </c>
      <c r="AD64" s="29">
        <f>IFERROR(VLOOKUP($A64,APOIO!$B:$N,MATCH(AD$5,APOIO!$B$5:$N$5,0),FALSE),0)</f>
        <v>0</v>
      </c>
      <c r="AE64" s="38">
        <f t="shared" ref="AE64" si="840">IFERROR(AD64/AD$19,0)</f>
        <v>0</v>
      </c>
      <c r="AF64" s="30">
        <f t="shared" ref="AF64:AF67" si="841">SUM(Z64,AB64,AD64)</f>
        <v>0</v>
      </c>
      <c r="AG64" s="41">
        <f t="shared" ref="AG64" si="842">IFERROR(AF64/AF$19,0)</f>
        <v>0</v>
      </c>
      <c r="AH64" s="29">
        <f t="shared" ref="AH64:AH67" si="843">SUM(B64,D64,F64,J64,L64,N64,R64,T64,V64,Z64,AB64,AD64)</f>
        <v>0</v>
      </c>
      <c r="AI64" s="41">
        <f t="shared" ref="AI64" si="844">IFERROR(AH64/AH$19,0)</f>
        <v>0</v>
      </c>
    </row>
    <row r="65" spans="1:35" ht="15.6" hidden="1" outlineLevel="1" x14ac:dyDescent="0.3">
      <c r="A65" s="35" t="s">
        <v>216</v>
      </c>
      <c r="B65" s="29">
        <f>IFERROR(VLOOKUP($A65,APOIO!$B:$N,MATCH(B$5,APOIO!$B$5:$N$5,0),FALSE),0)</f>
        <v>0</v>
      </c>
      <c r="C65" s="38">
        <f t="shared" si="134"/>
        <v>0</v>
      </c>
      <c r="D65" s="29">
        <f>IFERROR(VLOOKUP($A65,APOIO!$B:$N,MATCH(D$5,APOIO!$B$5:$N$5,0),FALSE),0)</f>
        <v>0</v>
      </c>
      <c r="E65" s="38">
        <f t="shared" si="134"/>
        <v>0</v>
      </c>
      <c r="F65" s="29">
        <f>IFERROR(VLOOKUP($A65,APOIO!$B:$N,MATCH(F$5,APOIO!$B$5:$N$5,0),FALSE),0)</f>
        <v>0</v>
      </c>
      <c r="G65" s="38">
        <f t="shared" ref="G65:G66" si="845">IFERROR(F65/F$19,0)</f>
        <v>0</v>
      </c>
      <c r="H65" s="30">
        <f t="shared" si="826"/>
        <v>0</v>
      </c>
      <c r="I65" s="40">
        <f t="shared" ref="I65:I66" si="846">IFERROR(H65/H$19,0)</f>
        <v>0</v>
      </c>
      <c r="J65" s="29">
        <f>IFERROR(VLOOKUP($A65,APOIO!$B:$N,MATCH(J$5,APOIO!$B$5:$N$5,0),FALSE),0)</f>
        <v>0</v>
      </c>
      <c r="K65" s="38">
        <f t="shared" ref="K65:K66" si="847">IFERROR(J65/J$19,0)</f>
        <v>0</v>
      </c>
      <c r="L65" s="29">
        <f>IFERROR(VLOOKUP($A65,APOIO!$B:$N,MATCH(L$5,APOIO!$B$5:$N$5,0),FALSE),0)</f>
        <v>0</v>
      </c>
      <c r="M65" s="38">
        <f t="shared" ref="M65:M66" si="848">IFERROR(L65/L$19,0)</f>
        <v>0</v>
      </c>
      <c r="N65" s="29">
        <f>IFERROR(VLOOKUP($A65,APOIO!$B:$N,MATCH(N$5,APOIO!$B$5:$N$5,0),FALSE),0)</f>
        <v>0</v>
      </c>
      <c r="O65" s="38">
        <f t="shared" ref="O65:O66" si="849">IFERROR(N65/N$19,0)</f>
        <v>0</v>
      </c>
      <c r="P65" s="30">
        <f t="shared" si="831"/>
        <v>0</v>
      </c>
      <c r="Q65" s="41">
        <f t="shared" ref="Q65:Q66" si="850">IFERROR(P65/P$19,0)</f>
        <v>0</v>
      </c>
      <c r="R65" s="29">
        <f>IFERROR(VLOOKUP($A65,APOIO!$B:$N,MATCH(R$5,APOIO!$B$5:$N$5,0),FALSE),0)</f>
        <v>0</v>
      </c>
      <c r="S65" s="41">
        <f t="shared" ref="S65:S66" si="851">IFERROR(R65/R$19,0)</f>
        <v>0</v>
      </c>
      <c r="T65" s="29">
        <f>IFERROR(VLOOKUP($A65,APOIO!$B:$N,MATCH(T$5,APOIO!$B$5:$N$5,0),FALSE),0)</f>
        <v>0</v>
      </c>
      <c r="U65" s="41">
        <f t="shared" ref="U65:U66" si="852">IFERROR(T65/T$19,0)</f>
        <v>0</v>
      </c>
      <c r="V65" s="29">
        <f>IFERROR(VLOOKUP($A65,APOIO!$B:$N,MATCH(V$5,APOIO!$B$5:$N$5,0),FALSE),0)</f>
        <v>0</v>
      </c>
      <c r="W65" s="38">
        <f t="shared" ref="W65:W66" si="853">IFERROR(V65/V$19,0)</f>
        <v>0</v>
      </c>
      <c r="X65" s="30">
        <f t="shared" si="836"/>
        <v>0</v>
      </c>
      <c r="Y65" s="41">
        <f t="shared" ref="Y65:Y66" si="854">IFERROR(X65/X$19,0)</f>
        <v>0</v>
      </c>
      <c r="Z65" s="29">
        <f>IFERROR(VLOOKUP($A65,APOIO!$B:$N,MATCH(Z$5,APOIO!$B$5:$N$5,0),FALSE),0)</f>
        <v>0</v>
      </c>
      <c r="AA65" s="38">
        <f t="shared" ref="AA65:AA66" si="855">IFERROR(Z65/Z$19,0)</f>
        <v>0</v>
      </c>
      <c r="AB65" s="29">
        <f>IFERROR(VLOOKUP($A65,APOIO!$B:$N,MATCH(AB$5,APOIO!$B$5:$N$5,0),FALSE),0)</f>
        <v>0</v>
      </c>
      <c r="AC65" s="38">
        <f t="shared" ref="AC65:AC66" si="856">IFERROR(AB65/AB$19,0)</f>
        <v>0</v>
      </c>
      <c r="AD65" s="29">
        <f>IFERROR(VLOOKUP($A65,APOIO!$B:$N,MATCH(AD$5,APOIO!$B$5:$N$5,0),FALSE),0)</f>
        <v>0</v>
      </c>
      <c r="AE65" s="38">
        <f t="shared" ref="AE65:AE66" si="857">IFERROR(AD65/AD$19,0)</f>
        <v>0</v>
      </c>
      <c r="AF65" s="30">
        <f t="shared" si="841"/>
        <v>0</v>
      </c>
      <c r="AG65" s="41">
        <f t="shared" ref="AG65:AG66" si="858">IFERROR(AF65/AF$19,0)</f>
        <v>0</v>
      </c>
      <c r="AH65" s="29">
        <f t="shared" si="843"/>
        <v>0</v>
      </c>
      <c r="AI65" s="41">
        <f t="shared" ref="AI65:AI66" si="859">IFERROR(AH65/AH$19,0)</f>
        <v>0</v>
      </c>
    </row>
    <row r="66" spans="1:35" ht="15.6" hidden="1" outlineLevel="1" x14ac:dyDescent="0.3">
      <c r="A66" s="35" t="s">
        <v>217</v>
      </c>
      <c r="B66" s="29">
        <f>IFERROR(VLOOKUP($A66,APOIO!$B:$N,MATCH(B$5,APOIO!$B$5:$N$5,0),FALSE),0)</f>
        <v>0</v>
      </c>
      <c r="C66" s="38">
        <f t="shared" ref="C66" si="860">IFERROR(B66/B$19,0)</f>
        <v>0</v>
      </c>
      <c r="D66" s="29">
        <f>IFERROR(VLOOKUP($A66,APOIO!$B:$N,MATCH(D$5,APOIO!$B$5:$N$5,0),FALSE),0)</f>
        <v>0</v>
      </c>
      <c r="E66" s="38">
        <f t="shared" ref="E66" si="861">IFERROR(D66/D$19,0)</f>
        <v>0</v>
      </c>
      <c r="F66" s="29">
        <f>IFERROR(VLOOKUP($A66,APOIO!$B:$N,MATCH(F$5,APOIO!$B$5:$N$5,0),FALSE),0)</f>
        <v>0</v>
      </c>
      <c r="G66" s="38">
        <f t="shared" si="845"/>
        <v>0</v>
      </c>
      <c r="H66" s="30">
        <f t="shared" ref="H66" si="862">SUM(B66,D66,F66)</f>
        <v>0</v>
      </c>
      <c r="I66" s="40">
        <f t="shared" si="846"/>
        <v>0</v>
      </c>
      <c r="J66" s="29">
        <f>IFERROR(VLOOKUP($A66,APOIO!$B:$N,MATCH(J$5,APOIO!$B$5:$N$5,0),FALSE),0)</f>
        <v>0</v>
      </c>
      <c r="K66" s="38">
        <f t="shared" si="847"/>
        <v>0</v>
      </c>
      <c r="L66" s="29">
        <f>IFERROR(VLOOKUP($A66,APOIO!$B:$N,MATCH(L$5,APOIO!$B$5:$N$5,0),FALSE),0)</f>
        <v>0</v>
      </c>
      <c r="M66" s="38">
        <f t="shared" si="848"/>
        <v>0</v>
      </c>
      <c r="N66" s="29">
        <f>IFERROR(VLOOKUP($A66,APOIO!$B:$N,MATCH(N$5,APOIO!$B$5:$N$5,0),FALSE),0)</f>
        <v>0</v>
      </c>
      <c r="O66" s="38">
        <f t="shared" si="849"/>
        <v>0</v>
      </c>
      <c r="P66" s="30">
        <f t="shared" ref="P66" si="863">SUM(J66,L66,N66)</f>
        <v>0</v>
      </c>
      <c r="Q66" s="41">
        <f t="shared" si="850"/>
        <v>0</v>
      </c>
      <c r="R66" s="29">
        <f>IFERROR(VLOOKUP($A66,APOIO!$B:$N,MATCH(R$5,APOIO!$B$5:$N$5,0),FALSE),0)</f>
        <v>0</v>
      </c>
      <c r="S66" s="41">
        <f t="shared" si="851"/>
        <v>0</v>
      </c>
      <c r="T66" s="29">
        <f>IFERROR(VLOOKUP($A66,APOIO!$B:$N,MATCH(T$5,APOIO!$B$5:$N$5,0),FALSE),0)</f>
        <v>0</v>
      </c>
      <c r="U66" s="41">
        <f t="shared" si="852"/>
        <v>0</v>
      </c>
      <c r="V66" s="29">
        <f>IFERROR(VLOOKUP($A66,APOIO!$B:$N,MATCH(V$5,APOIO!$B$5:$N$5,0),FALSE),0)</f>
        <v>0</v>
      </c>
      <c r="W66" s="38">
        <f t="shared" si="853"/>
        <v>0</v>
      </c>
      <c r="X66" s="30">
        <f t="shared" ref="X66" si="864">SUM(R66,T66,V66)</f>
        <v>0</v>
      </c>
      <c r="Y66" s="41">
        <f t="shared" si="854"/>
        <v>0</v>
      </c>
      <c r="Z66" s="29">
        <f>IFERROR(VLOOKUP($A66,APOIO!$B:$N,MATCH(Z$5,APOIO!$B$5:$N$5,0),FALSE),0)</f>
        <v>0</v>
      </c>
      <c r="AA66" s="38">
        <f t="shared" si="855"/>
        <v>0</v>
      </c>
      <c r="AB66" s="29">
        <f>IFERROR(VLOOKUP($A66,APOIO!$B:$N,MATCH(AB$5,APOIO!$B$5:$N$5,0),FALSE),0)</f>
        <v>0</v>
      </c>
      <c r="AC66" s="38">
        <f t="shared" si="856"/>
        <v>0</v>
      </c>
      <c r="AD66" s="29">
        <f>IFERROR(VLOOKUP($A66,APOIO!$B:$N,MATCH(AD$5,APOIO!$B$5:$N$5,0),FALSE),0)</f>
        <v>0</v>
      </c>
      <c r="AE66" s="38">
        <f t="shared" si="857"/>
        <v>0</v>
      </c>
      <c r="AF66" s="30">
        <f t="shared" ref="AF66" si="865">SUM(Z66,AB66,AD66)</f>
        <v>0</v>
      </c>
      <c r="AG66" s="41">
        <f t="shared" si="858"/>
        <v>0</v>
      </c>
      <c r="AH66" s="29">
        <f t="shared" ref="AH66" si="866">SUM(B66,D66,F66,J66,L66,N66,R66,T66,V66,Z66,AB66,AD66)</f>
        <v>0</v>
      </c>
      <c r="AI66" s="41">
        <f t="shared" si="859"/>
        <v>0</v>
      </c>
    </row>
    <row r="67" spans="1:35" ht="15.6" hidden="1" outlineLevel="1" x14ac:dyDescent="0.3">
      <c r="A67" s="35"/>
      <c r="B67" s="29">
        <f>IFERROR(VLOOKUP($A67,APOIO!$B:$N,MATCH(B$5,APOIO!$B$5:$N$5,0),FALSE),0)</f>
        <v>0</v>
      </c>
      <c r="C67" s="38">
        <f t="shared" si="134"/>
        <v>0</v>
      </c>
      <c r="D67" s="29">
        <f>IFERROR(VLOOKUP($A67,APOIO!$B:$N,MATCH(D$5,APOIO!$B$5:$N$5,0),FALSE),0)</f>
        <v>0</v>
      </c>
      <c r="E67" s="38">
        <f t="shared" si="134"/>
        <v>0</v>
      </c>
      <c r="F67" s="29">
        <f>IFERROR(VLOOKUP($A67,APOIO!$B:$N,MATCH(F$5,APOIO!$B$5:$N$5,0),FALSE),0)</f>
        <v>0</v>
      </c>
      <c r="G67" s="38">
        <f t="shared" ref="G67" si="867">IFERROR(F67/F$19,0)</f>
        <v>0</v>
      </c>
      <c r="H67" s="30">
        <f t="shared" si="826"/>
        <v>0</v>
      </c>
      <c r="I67" s="40">
        <f t="shared" ref="I67" si="868">IFERROR(H67/H$19,0)</f>
        <v>0</v>
      </c>
      <c r="J67" s="29">
        <f>IFERROR(VLOOKUP($A67,APOIO!$B:$N,MATCH(J$5,APOIO!$B$5:$N$5,0),FALSE),0)</f>
        <v>0</v>
      </c>
      <c r="K67" s="38">
        <f t="shared" ref="K67" si="869">IFERROR(J67/J$19,0)</f>
        <v>0</v>
      </c>
      <c r="L67" s="29">
        <f>IFERROR(VLOOKUP($A67,APOIO!$B:$N,MATCH(L$5,APOIO!$B$5:$N$5,0),FALSE),0)</f>
        <v>0</v>
      </c>
      <c r="M67" s="38">
        <f t="shared" ref="M67" si="870">IFERROR(L67/L$19,0)</f>
        <v>0</v>
      </c>
      <c r="N67" s="29">
        <f>IFERROR(VLOOKUP($A67,APOIO!$B:$N,MATCH(N$5,APOIO!$B$5:$N$5,0),FALSE),0)</f>
        <v>0</v>
      </c>
      <c r="O67" s="38">
        <f t="shared" ref="O67" si="871">IFERROR(N67/N$19,0)</f>
        <v>0</v>
      </c>
      <c r="P67" s="30">
        <f t="shared" si="831"/>
        <v>0</v>
      </c>
      <c r="Q67" s="41">
        <f t="shared" ref="Q67" si="872">IFERROR(P67/P$19,0)</f>
        <v>0</v>
      </c>
      <c r="R67" s="29">
        <f>IFERROR(VLOOKUP($A67,APOIO!$B:$N,MATCH(R$5,APOIO!$B$5:$N$5,0),FALSE),0)</f>
        <v>0</v>
      </c>
      <c r="S67" s="41">
        <f t="shared" ref="S67" si="873">IFERROR(R67/R$19,0)</f>
        <v>0</v>
      </c>
      <c r="T67" s="29">
        <f>IFERROR(VLOOKUP($A67,APOIO!$B:$N,MATCH(T$5,APOIO!$B$5:$N$5,0),FALSE),0)</f>
        <v>0</v>
      </c>
      <c r="U67" s="41">
        <f t="shared" ref="U67" si="874">IFERROR(T67/T$19,0)</f>
        <v>0</v>
      </c>
      <c r="V67" s="29">
        <f>IFERROR(VLOOKUP($A67,APOIO!$B:$N,MATCH(V$5,APOIO!$B$5:$N$5,0),FALSE),0)</f>
        <v>0</v>
      </c>
      <c r="W67" s="38">
        <f t="shared" ref="W67" si="875">IFERROR(V67/V$19,0)</f>
        <v>0</v>
      </c>
      <c r="X67" s="30">
        <f t="shared" si="836"/>
        <v>0</v>
      </c>
      <c r="Y67" s="41">
        <f t="shared" ref="Y67" si="876">IFERROR(X67/X$19,0)</f>
        <v>0</v>
      </c>
      <c r="Z67" s="29">
        <f>IFERROR(VLOOKUP($A67,APOIO!$B:$N,MATCH(Z$5,APOIO!$B$5:$N$5,0),FALSE),0)</f>
        <v>0</v>
      </c>
      <c r="AA67" s="38">
        <f t="shared" ref="AA67" si="877">IFERROR(Z67/Z$19,0)</f>
        <v>0</v>
      </c>
      <c r="AB67" s="29">
        <f>IFERROR(VLOOKUP($A67,APOIO!$B:$N,MATCH(AB$5,APOIO!$B$5:$N$5,0),FALSE),0)</f>
        <v>0</v>
      </c>
      <c r="AC67" s="38">
        <f t="shared" ref="AC67" si="878">IFERROR(AB67/AB$19,0)</f>
        <v>0</v>
      </c>
      <c r="AD67" s="29">
        <f>IFERROR(VLOOKUP($A67,APOIO!$B:$N,MATCH(AD$5,APOIO!$B$5:$N$5,0),FALSE),0)</f>
        <v>0</v>
      </c>
      <c r="AE67" s="38">
        <f t="shared" ref="AE67" si="879">IFERROR(AD67/AD$19,0)</f>
        <v>0</v>
      </c>
      <c r="AF67" s="30">
        <f t="shared" si="841"/>
        <v>0</v>
      </c>
      <c r="AG67" s="41">
        <f t="shared" ref="AG67" si="880">IFERROR(AF67/AF$19,0)</f>
        <v>0</v>
      </c>
      <c r="AH67" s="29">
        <f t="shared" si="843"/>
        <v>0</v>
      </c>
      <c r="AI67" s="41">
        <f t="shared" ref="AI67" si="881">IFERROR(AH67/AH$19,0)</f>
        <v>0</v>
      </c>
    </row>
    <row r="68" spans="1:35" ht="15.6" collapsed="1" x14ac:dyDescent="0.3">
      <c r="A68" s="36" t="s">
        <v>0</v>
      </c>
      <c r="B68" s="37">
        <f>IFERROR(VLOOKUP($A68,APOIO!$B:$N,MATCH(B$5,APOIO!$B$5:$N$5,0),FALSE),0)</f>
        <v>-1345.99</v>
      </c>
      <c r="C68" s="39">
        <f t="shared" si="134"/>
        <v>-8.6740433960588621E-3</v>
      </c>
      <c r="D68" s="37">
        <f>IFERROR(VLOOKUP($A68,APOIO!$B:$N,MATCH(D$5,APOIO!$B$5:$N$5,0),FALSE),0)</f>
        <v>-104.05</v>
      </c>
      <c r="E68" s="39">
        <f t="shared" si="134"/>
        <v>-2.8501869687041256E-4</v>
      </c>
      <c r="F68" s="37">
        <f>IFERROR(VLOOKUP($A68,APOIO!$B:$N,MATCH(F$5,APOIO!$B$5:$N$5,0),FALSE),0)</f>
        <v>-24</v>
      </c>
      <c r="G68" s="39">
        <f t="shared" ref="G68" si="882">IFERROR(F68/F$19,0)</f>
        <v>0</v>
      </c>
      <c r="H68" s="37">
        <f t="shared" si="1"/>
        <v>-1474.04</v>
      </c>
      <c r="I68" s="39">
        <f t="shared" ref="I68" si="883">IFERROR(H68/H$19,0)</f>
        <v>-2.8333942317157277E-3</v>
      </c>
      <c r="J68" s="37">
        <f>IFERROR(VLOOKUP($A68,APOIO!$B:$N,MATCH(J$5,APOIO!$B$5:$N$5,0),FALSE),0)</f>
        <v>-10.287621</v>
      </c>
      <c r="K68" s="39">
        <f t="shared" ref="K68" si="884">IFERROR(J68/J$19,0)</f>
        <v>0</v>
      </c>
      <c r="L68" s="37">
        <f>IFERROR(VLOOKUP($A68,APOIO!$B:$N,MATCH(L$5,APOIO!$B$5:$N$5,0),FALSE),0)</f>
        <v>0</v>
      </c>
      <c r="M68" s="39">
        <f t="shared" ref="M68" si="885">IFERROR(L68/L$19,0)</f>
        <v>0</v>
      </c>
      <c r="N68" s="37">
        <f>IFERROR(VLOOKUP($A68,APOIO!$B:$N,MATCH(N$5,APOIO!$B$5:$N$5,0),FALSE),0)</f>
        <v>0</v>
      </c>
      <c r="O68" s="39">
        <f t="shared" ref="O68" si="886">IFERROR(N68/N$19,0)</f>
        <v>0</v>
      </c>
      <c r="P68" s="37">
        <f t="shared" si="2"/>
        <v>-10.287621</v>
      </c>
      <c r="Q68" s="42">
        <f t="shared" ref="Q68" si="887">IFERROR(P68/P$19,0)</f>
        <v>0</v>
      </c>
      <c r="R68" s="37">
        <f>IFERROR(VLOOKUP($A68,APOIO!$B:$N,MATCH(R$5,APOIO!$B$5:$N$5,0),FALSE),0)</f>
        <v>0</v>
      </c>
      <c r="S68" s="42">
        <f t="shared" ref="S68" si="888">IFERROR(R68/R$19,0)</f>
        <v>0</v>
      </c>
      <c r="T68" s="37">
        <f>IFERROR(VLOOKUP($A68,APOIO!$B:$N,MATCH(T$5,APOIO!$B$5:$N$5,0),FALSE),0)</f>
        <v>0</v>
      </c>
      <c r="U68" s="42">
        <f t="shared" ref="U68" si="889">IFERROR(T68/T$19,0)</f>
        <v>0</v>
      </c>
      <c r="V68" s="37">
        <f>IFERROR(VLOOKUP($A68,APOIO!$B:$N,MATCH(V$5,APOIO!$B$5:$N$5,0),FALSE),0)</f>
        <v>0</v>
      </c>
      <c r="W68" s="39">
        <f t="shared" ref="W68" si="890">IFERROR(V68/V$19,0)</f>
        <v>0</v>
      </c>
      <c r="X68" s="37">
        <f t="shared" si="3"/>
        <v>0</v>
      </c>
      <c r="Y68" s="42">
        <f t="shared" ref="Y68" si="891">IFERROR(X68/X$19,0)</f>
        <v>0</v>
      </c>
      <c r="Z68" s="37">
        <f>IFERROR(VLOOKUP($A68,APOIO!$B:$N,MATCH(Z$5,APOIO!$B$5:$N$5,0),FALSE),0)</f>
        <v>0</v>
      </c>
      <c r="AA68" s="39">
        <f t="shared" ref="AA68" si="892">IFERROR(Z68/Z$19,0)</f>
        <v>0</v>
      </c>
      <c r="AB68" s="37">
        <f>IFERROR(VLOOKUP($A68,APOIO!$B:$N,MATCH(AB$5,APOIO!$B$5:$N$5,0),FALSE),0)</f>
        <v>0</v>
      </c>
      <c r="AC68" s="39">
        <f t="shared" ref="AC68" si="893">IFERROR(AB68/AB$19,0)</f>
        <v>0</v>
      </c>
      <c r="AD68" s="37">
        <f>IFERROR(VLOOKUP($A68,APOIO!$B:$N,MATCH(AD$5,APOIO!$B$5:$N$5,0),FALSE),0)</f>
        <v>0</v>
      </c>
      <c r="AE68" s="39">
        <f t="shared" ref="AE68" si="894">IFERROR(AD68/AD$19,0)</f>
        <v>0</v>
      </c>
      <c r="AF68" s="37">
        <f t="shared" si="4"/>
        <v>0</v>
      </c>
      <c r="AG68" s="42">
        <f t="shared" ref="AG68" si="895">IFERROR(AF68/AF$19,0)</f>
        <v>0</v>
      </c>
      <c r="AH68" s="37">
        <f t="shared" si="5"/>
        <v>-1484.3276209999999</v>
      </c>
      <c r="AI68" s="42">
        <f t="shared" ref="AI68" si="896">IFERROR(AH68/AH$19,0)</f>
        <v>-2.8531690587214244E-3</v>
      </c>
    </row>
    <row r="69" spans="1:35" ht="15.6" hidden="1" outlineLevel="1" x14ac:dyDescent="0.3">
      <c r="A69" s="35" t="s">
        <v>268</v>
      </c>
      <c r="B69" s="29">
        <f>IFERROR(VLOOKUP($A69,APOIO!$B:$N,MATCH(B$5,APOIO!$B$5:$N$5,0),FALSE),0)</f>
        <v>0</v>
      </c>
      <c r="C69" s="38">
        <f t="shared" si="134"/>
        <v>0</v>
      </c>
      <c r="D69" s="29">
        <f>IFERROR(VLOOKUP($A69,APOIO!$B:$N,MATCH(D$5,APOIO!$B$5:$N$5,0),FALSE),0)</f>
        <v>0</v>
      </c>
      <c r="E69" s="38">
        <f t="shared" si="134"/>
        <v>0</v>
      </c>
      <c r="F69" s="29">
        <f>IFERROR(VLOOKUP($A69,APOIO!$B:$N,MATCH(F$5,APOIO!$B$5:$N$5,0),FALSE),0)</f>
        <v>0</v>
      </c>
      <c r="G69" s="38">
        <f t="shared" ref="G69" si="897">IFERROR(F69/F$19,0)</f>
        <v>0</v>
      </c>
      <c r="H69" s="30">
        <f t="shared" ref="H69:H87" si="898">SUM(B69,D69,F69)</f>
        <v>0</v>
      </c>
      <c r="I69" s="40">
        <f t="shared" ref="I69" si="899">IFERROR(H69/H$19,0)</f>
        <v>0</v>
      </c>
      <c r="J69" s="29">
        <f>IFERROR(VLOOKUP($A69,APOIO!$B:$N,MATCH(J$5,APOIO!$B$5:$N$5,0),FALSE),0)</f>
        <v>0</v>
      </c>
      <c r="K69" s="38">
        <f t="shared" ref="K69" si="900">IFERROR(J69/J$19,0)</f>
        <v>0</v>
      </c>
      <c r="L69" s="29">
        <f>IFERROR(VLOOKUP($A69,APOIO!$B:$N,MATCH(L$5,APOIO!$B$5:$N$5,0),FALSE),0)</f>
        <v>0</v>
      </c>
      <c r="M69" s="38">
        <f t="shared" ref="M69" si="901">IFERROR(L69/L$19,0)</f>
        <v>0</v>
      </c>
      <c r="N69" s="29">
        <f>IFERROR(VLOOKUP($A69,APOIO!$B:$N,MATCH(N$5,APOIO!$B$5:$N$5,0),FALSE),0)</f>
        <v>0</v>
      </c>
      <c r="O69" s="38">
        <f t="shared" ref="O69" si="902">IFERROR(N69/N$19,0)</f>
        <v>0</v>
      </c>
      <c r="P69" s="30">
        <f t="shared" ref="P69:P87" si="903">SUM(J69,L69,N69)</f>
        <v>0</v>
      </c>
      <c r="Q69" s="41">
        <f t="shared" ref="Q69" si="904">IFERROR(P69/P$19,0)</f>
        <v>0</v>
      </c>
      <c r="R69" s="29">
        <f>IFERROR(VLOOKUP($A69,APOIO!$B:$N,MATCH(R$5,APOIO!$B$5:$N$5,0),FALSE),0)</f>
        <v>0</v>
      </c>
      <c r="S69" s="41">
        <f t="shared" ref="S69" si="905">IFERROR(R69/R$19,0)</f>
        <v>0</v>
      </c>
      <c r="T69" s="29">
        <f>IFERROR(VLOOKUP($A69,APOIO!$B:$N,MATCH(T$5,APOIO!$B$5:$N$5,0),FALSE),0)</f>
        <v>0</v>
      </c>
      <c r="U69" s="41">
        <f t="shared" ref="U69" si="906">IFERROR(T69/T$19,0)</f>
        <v>0</v>
      </c>
      <c r="V69" s="29">
        <f>IFERROR(VLOOKUP($A69,APOIO!$B:$N,MATCH(V$5,APOIO!$B$5:$N$5,0),FALSE),0)</f>
        <v>0</v>
      </c>
      <c r="W69" s="38">
        <f t="shared" ref="W69" si="907">IFERROR(V69/V$19,0)</f>
        <v>0</v>
      </c>
      <c r="X69" s="30">
        <f t="shared" ref="X69:X87" si="908">SUM(R69,T69,V69)</f>
        <v>0</v>
      </c>
      <c r="Y69" s="41">
        <f t="shared" ref="Y69" si="909">IFERROR(X69/X$19,0)</f>
        <v>0</v>
      </c>
      <c r="Z69" s="29">
        <f>IFERROR(VLOOKUP($A69,APOIO!$B:$N,MATCH(Z$5,APOIO!$B$5:$N$5,0),FALSE),0)</f>
        <v>0</v>
      </c>
      <c r="AA69" s="38">
        <f t="shared" ref="AA69" si="910">IFERROR(Z69/Z$19,0)</f>
        <v>0</v>
      </c>
      <c r="AB69" s="29">
        <f>IFERROR(VLOOKUP($A69,APOIO!$B:$N,MATCH(AB$5,APOIO!$B$5:$N$5,0),FALSE),0)</f>
        <v>0</v>
      </c>
      <c r="AC69" s="38">
        <f t="shared" ref="AC69" si="911">IFERROR(AB69/AB$19,0)</f>
        <v>0</v>
      </c>
      <c r="AD69" s="29">
        <f>IFERROR(VLOOKUP($A69,APOIO!$B:$N,MATCH(AD$5,APOIO!$B$5:$N$5,0),FALSE),0)</f>
        <v>0</v>
      </c>
      <c r="AE69" s="38">
        <f t="shared" ref="AE69" si="912">IFERROR(AD69/AD$19,0)</f>
        <v>0</v>
      </c>
      <c r="AF69" s="30">
        <f t="shared" ref="AF69:AF87" si="913">SUM(Z69,AB69,AD69)</f>
        <v>0</v>
      </c>
      <c r="AG69" s="41">
        <f t="shared" ref="AG69" si="914">IFERROR(AF69/AF$19,0)</f>
        <v>0</v>
      </c>
      <c r="AH69" s="29">
        <f t="shared" ref="AH69:AH87" si="915">SUM(B69,D69,F69,J69,L69,N69,R69,T69,V69,Z69,AB69,AD69)</f>
        <v>0</v>
      </c>
      <c r="AI69" s="41">
        <f t="shared" ref="AI69" si="916">IFERROR(AH69/AH$19,0)</f>
        <v>0</v>
      </c>
    </row>
    <row r="70" spans="1:35" ht="15.6" hidden="1" outlineLevel="1" x14ac:dyDescent="0.3">
      <c r="A70" s="35" t="s">
        <v>269</v>
      </c>
      <c r="B70" s="29">
        <f>IFERROR(VLOOKUP($A70,APOIO!$B:$N,MATCH(B$5,APOIO!$B$5:$N$5,0),FALSE),0)</f>
        <v>0</v>
      </c>
      <c r="C70" s="38">
        <f t="shared" si="134"/>
        <v>0</v>
      </c>
      <c r="D70" s="29">
        <f>IFERROR(VLOOKUP($A70,APOIO!$B:$N,MATCH(D$5,APOIO!$B$5:$N$5,0),FALSE),0)</f>
        <v>0</v>
      </c>
      <c r="E70" s="38">
        <f t="shared" si="134"/>
        <v>0</v>
      </c>
      <c r="F70" s="29">
        <f>IFERROR(VLOOKUP($A70,APOIO!$B:$N,MATCH(F$5,APOIO!$B$5:$N$5,0),FALSE),0)</f>
        <v>0</v>
      </c>
      <c r="G70" s="38">
        <f t="shared" ref="G70" si="917">IFERROR(F70/F$19,0)</f>
        <v>0</v>
      </c>
      <c r="H70" s="30">
        <f t="shared" si="898"/>
        <v>0</v>
      </c>
      <c r="I70" s="40">
        <f t="shared" ref="I70" si="918">IFERROR(H70/H$19,0)</f>
        <v>0</v>
      </c>
      <c r="J70" s="29">
        <f>IFERROR(VLOOKUP($A70,APOIO!$B:$N,MATCH(J$5,APOIO!$B$5:$N$5,0),FALSE),0)</f>
        <v>0</v>
      </c>
      <c r="K70" s="38">
        <f t="shared" ref="K70" si="919">IFERROR(J70/J$19,0)</f>
        <v>0</v>
      </c>
      <c r="L70" s="29">
        <f>IFERROR(VLOOKUP($A70,APOIO!$B:$N,MATCH(L$5,APOIO!$B$5:$N$5,0),FALSE),0)</f>
        <v>0</v>
      </c>
      <c r="M70" s="38">
        <f t="shared" ref="M70" si="920">IFERROR(L70/L$19,0)</f>
        <v>0</v>
      </c>
      <c r="N70" s="29">
        <f>IFERROR(VLOOKUP($A70,APOIO!$B:$N,MATCH(N$5,APOIO!$B$5:$N$5,0),FALSE),0)</f>
        <v>0</v>
      </c>
      <c r="O70" s="38">
        <f t="shared" ref="O70" si="921">IFERROR(N70/N$19,0)</f>
        <v>0</v>
      </c>
      <c r="P70" s="30">
        <f t="shared" si="903"/>
        <v>0</v>
      </c>
      <c r="Q70" s="41">
        <f t="shared" ref="Q70" si="922">IFERROR(P70/P$19,0)</f>
        <v>0</v>
      </c>
      <c r="R70" s="29">
        <f>IFERROR(VLOOKUP($A70,APOIO!$B:$N,MATCH(R$5,APOIO!$B$5:$N$5,0),FALSE),0)</f>
        <v>0</v>
      </c>
      <c r="S70" s="41">
        <f t="shared" ref="S70" si="923">IFERROR(R70/R$19,0)</f>
        <v>0</v>
      </c>
      <c r="T70" s="29">
        <f>IFERROR(VLOOKUP($A70,APOIO!$B:$N,MATCH(T$5,APOIO!$B$5:$N$5,0),FALSE),0)</f>
        <v>0</v>
      </c>
      <c r="U70" s="41">
        <f t="shared" ref="U70" si="924">IFERROR(T70/T$19,0)</f>
        <v>0</v>
      </c>
      <c r="V70" s="29">
        <f>IFERROR(VLOOKUP($A70,APOIO!$B:$N,MATCH(V$5,APOIO!$B$5:$N$5,0),FALSE),0)</f>
        <v>0</v>
      </c>
      <c r="W70" s="38">
        <f t="shared" ref="W70" si="925">IFERROR(V70/V$19,0)</f>
        <v>0</v>
      </c>
      <c r="X70" s="30">
        <f t="shared" si="908"/>
        <v>0</v>
      </c>
      <c r="Y70" s="41">
        <f t="shared" ref="Y70" si="926">IFERROR(X70/X$19,0)</f>
        <v>0</v>
      </c>
      <c r="Z70" s="29">
        <f>IFERROR(VLOOKUP($A70,APOIO!$B:$N,MATCH(Z$5,APOIO!$B$5:$N$5,0),FALSE),0)</f>
        <v>0</v>
      </c>
      <c r="AA70" s="38">
        <f t="shared" ref="AA70" si="927">IFERROR(Z70/Z$19,0)</f>
        <v>0</v>
      </c>
      <c r="AB70" s="29">
        <f>IFERROR(VLOOKUP($A70,APOIO!$B:$N,MATCH(AB$5,APOIO!$B$5:$N$5,0),FALSE),0)</f>
        <v>0</v>
      </c>
      <c r="AC70" s="38">
        <f t="shared" ref="AC70" si="928">IFERROR(AB70/AB$19,0)</f>
        <v>0</v>
      </c>
      <c r="AD70" s="29">
        <f>IFERROR(VLOOKUP($A70,APOIO!$B:$N,MATCH(AD$5,APOIO!$B$5:$N$5,0),FALSE),0)</f>
        <v>0</v>
      </c>
      <c r="AE70" s="38">
        <f t="shared" ref="AE70" si="929">IFERROR(AD70/AD$19,0)</f>
        <v>0</v>
      </c>
      <c r="AF70" s="30">
        <f t="shared" si="913"/>
        <v>0</v>
      </c>
      <c r="AG70" s="41">
        <f t="shared" ref="AG70" si="930">IFERROR(AF70/AF$19,0)</f>
        <v>0</v>
      </c>
      <c r="AH70" s="29">
        <f t="shared" si="915"/>
        <v>0</v>
      </c>
      <c r="AI70" s="41">
        <f t="shared" ref="AI70" si="931">IFERROR(AH70/AH$19,0)</f>
        <v>0</v>
      </c>
    </row>
    <row r="71" spans="1:35" ht="15.6" hidden="1" outlineLevel="1" x14ac:dyDescent="0.3">
      <c r="A71" s="35" t="s">
        <v>270</v>
      </c>
      <c r="B71" s="29">
        <f>IFERROR(VLOOKUP($A71,APOIO!$B:$N,MATCH(B$5,APOIO!$B$5:$N$5,0),FALSE),0)</f>
        <v>0</v>
      </c>
      <c r="C71" s="38">
        <f t="shared" si="134"/>
        <v>0</v>
      </c>
      <c r="D71" s="29">
        <f>IFERROR(VLOOKUP($A71,APOIO!$B:$N,MATCH(D$5,APOIO!$B$5:$N$5,0),FALSE),0)</f>
        <v>0</v>
      </c>
      <c r="E71" s="38">
        <f t="shared" si="134"/>
        <v>0</v>
      </c>
      <c r="F71" s="29">
        <f>IFERROR(VLOOKUP($A71,APOIO!$B:$N,MATCH(F$5,APOIO!$B$5:$N$5,0),FALSE),0)</f>
        <v>0</v>
      </c>
      <c r="G71" s="38">
        <f t="shared" ref="G71" si="932">IFERROR(F71/F$19,0)</f>
        <v>0</v>
      </c>
      <c r="H71" s="30">
        <f t="shared" si="898"/>
        <v>0</v>
      </c>
      <c r="I71" s="40">
        <f t="shared" ref="I71" si="933">IFERROR(H71/H$19,0)</f>
        <v>0</v>
      </c>
      <c r="J71" s="29">
        <f>IFERROR(VLOOKUP($A71,APOIO!$B:$N,MATCH(J$5,APOIO!$B$5:$N$5,0),FALSE),0)</f>
        <v>0</v>
      </c>
      <c r="K71" s="38">
        <f t="shared" ref="K71" si="934">IFERROR(J71/J$19,0)</f>
        <v>0</v>
      </c>
      <c r="L71" s="29">
        <f>IFERROR(VLOOKUP($A71,APOIO!$B:$N,MATCH(L$5,APOIO!$B$5:$N$5,0),FALSE),0)</f>
        <v>0</v>
      </c>
      <c r="M71" s="38">
        <f t="shared" ref="M71" si="935">IFERROR(L71/L$19,0)</f>
        <v>0</v>
      </c>
      <c r="N71" s="29">
        <f>IFERROR(VLOOKUP($A71,APOIO!$B:$N,MATCH(N$5,APOIO!$B$5:$N$5,0),FALSE),0)</f>
        <v>0</v>
      </c>
      <c r="O71" s="38">
        <f t="shared" ref="O71" si="936">IFERROR(N71/N$19,0)</f>
        <v>0</v>
      </c>
      <c r="P71" s="30">
        <f t="shared" si="903"/>
        <v>0</v>
      </c>
      <c r="Q71" s="41">
        <f t="shared" ref="Q71" si="937">IFERROR(P71/P$19,0)</f>
        <v>0</v>
      </c>
      <c r="R71" s="29">
        <f>IFERROR(VLOOKUP($A71,APOIO!$B:$N,MATCH(R$5,APOIO!$B$5:$N$5,0),FALSE),0)</f>
        <v>0</v>
      </c>
      <c r="S71" s="41">
        <f t="shared" ref="S71" si="938">IFERROR(R71/R$19,0)</f>
        <v>0</v>
      </c>
      <c r="T71" s="29">
        <f>IFERROR(VLOOKUP($A71,APOIO!$B:$N,MATCH(T$5,APOIO!$B$5:$N$5,0),FALSE),0)</f>
        <v>0</v>
      </c>
      <c r="U71" s="41">
        <f t="shared" ref="U71" si="939">IFERROR(T71/T$19,0)</f>
        <v>0</v>
      </c>
      <c r="V71" s="29">
        <f>IFERROR(VLOOKUP($A71,APOIO!$B:$N,MATCH(V$5,APOIO!$B$5:$N$5,0),FALSE),0)</f>
        <v>0</v>
      </c>
      <c r="W71" s="38">
        <f t="shared" ref="W71" si="940">IFERROR(V71/V$19,0)</f>
        <v>0</v>
      </c>
      <c r="X71" s="30">
        <f t="shared" si="908"/>
        <v>0</v>
      </c>
      <c r="Y71" s="41">
        <f t="shared" ref="Y71" si="941">IFERROR(X71/X$19,0)</f>
        <v>0</v>
      </c>
      <c r="Z71" s="29">
        <f>IFERROR(VLOOKUP($A71,APOIO!$B:$N,MATCH(Z$5,APOIO!$B$5:$N$5,0),FALSE),0)</f>
        <v>0</v>
      </c>
      <c r="AA71" s="38">
        <f t="shared" ref="AA71" si="942">IFERROR(Z71/Z$19,0)</f>
        <v>0</v>
      </c>
      <c r="AB71" s="29">
        <f>IFERROR(VLOOKUP($A71,APOIO!$B:$N,MATCH(AB$5,APOIO!$B$5:$N$5,0),FALSE),0)</f>
        <v>0</v>
      </c>
      <c r="AC71" s="38">
        <f t="shared" ref="AC71" si="943">IFERROR(AB71/AB$19,0)</f>
        <v>0</v>
      </c>
      <c r="AD71" s="29">
        <f>IFERROR(VLOOKUP($A71,APOIO!$B:$N,MATCH(AD$5,APOIO!$B$5:$N$5,0),FALSE),0)</f>
        <v>0</v>
      </c>
      <c r="AE71" s="38">
        <f t="shared" ref="AE71" si="944">IFERROR(AD71/AD$19,0)</f>
        <v>0</v>
      </c>
      <c r="AF71" s="30">
        <f t="shared" si="913"/>
        <v>0</v>
      </c>
      <c r="AG71" s="41">
        <f t="shared" ref="AG71" si="945">IFERROR(AF71/AF$19,0)</f>
        <v>0</v>
      </c>
      <c r="AH71" s="29">
        <f t="shared" si="915"/>
        <v>0</v>
      </c>
      <c r="AI71" s="41">
        <f t="shared" ref="AI71" si="946">IFERROR(AH71/AH$19,0)</f>
        <v>0</v>
      </c>
    </row>
    <row r="72" spans="1:35" ht="15.6" hidden="1" outlineLevel="1" x14ac:dyDescent="0.3">
      <c r="A72" s="35" t="s">
        <v>271</v>
      </c>
      <c r="B72" s="29">
        <f>IFERROR(VLOOKUP($A72,APOIO!$B:$N,MATCH(B$5,APOIO!$B$5:$N$5,0),FALSE),0)</f>
        <v>0</v>
      </c>
      <c r="C72" s="38">
        <f t="shared" si="134"/>
        <v>0</v>
      </c>
      <c r="D72" s="29">
        <f>IFERROR(VLOOKUP($A72,APOIO!$B:$N,MATCH(D$5,APOIO!$B$5:$N$5,0),FALSE),0)</f>
        <v>0</v>
      </c>
      <c r="E72" s="38">
        <f t="shared" si="134"/>
        <v>0</v>
      </c>
      <c r="F72" s="29">
        <f>IFERROR(VLOOKUP($A72,APOIO!$B:$N,MATCH(F$5,APOIO!$B$5:$N$5,0),FALSE),0)</f>
        <v>0</v>
      </c>
      <c r="G72" s="38">
        <f t="shared" ref="G72" si="947">IFERROR(F72/F$19,0)</f>
        <v>0</v>
      </c>
      <c r="H72" s="30">
        <f t="shared" si="898"/>
        <v>0</v>
      </c>
      <c r="I72" s="40">
        <f t="shared" ref="I72" si="948">IFERROR(H72/H$19,0)</f>
        <v>0</v>
      </c>
      <c r="J72" s="29">
        <f>IFERROR(VLOOKUP($A72,APOIO!$B:$N,MATCH(J$5,APOIO!$B$5:$N$5,0),FALSE),0)</f>
        <v>0</v>
      </c>
      <c r="K72" s="38">
        <f t="shared" ref="K72" si="949">IFERROR(J72/J$19,0)</f>
        <v>0</v>
      </c>
      <c r="L72" s="29">
        <f>IFERROR(VLOOKUP($A72,APOIO!$B:$N,MATCH(L$5,APOIO!$B$5:$N$5,0),FALSE),0)</f>
        <v>0</v>
      </c>
      <c r="M72" s="38">
        <f t="shared" ref="M72" si="950">IFERROR(L72/L$19,0)</f>
        <v>0</v>
      </c>
      <c r="N72" s="29">
        <f>IFERROR(VLOOKUP($A72,APOIO!$B:$N,MATCH(N$5,APOIO!$B$5:$N$5,0),FALSE),0)</f>
        <v>0</v>
      </c>
      <c r="O72" s="38">
        <f t="shared" ref="O72" si="951">IFERROR(N72/N$19,0)</f>
        <v>0</v>
      </c>
      <c r="P72" s="30">
        <f t="shared" si="903"/>
        <v>0</v>
      </c>
      <c r="Q72" s="41">
        <f t="shared" ref="Q72" si="952">IFERROR(P72/P$19,0)</f>
        <v>0</v>
      </c>
      <c r="R72" s="29">
        <f>IFERROR(VLOOKUP($A72,APOIO!$B:$N,MATCH(R$5,APOIO!$B$5:$N$5,0),FALSE),0)</f>
        <v>0</v>
      </c>
      <c r="S72" s="41">
        <f t="shared" ref="S72" si="953">IFERROR(R72/R$19,0)</f>
        <v>0</v>
      </c>
      <c r="T72" s="29">
        <f>IFERROR(VLOOKUP($A72,APOIO!$B:$N,MATCH(T$5,APOIO!$B$5:$N$5,0),FALSE),0)</f>
        <v>0</v>
      </c>
      <c r="U72" s="41">
        <f t="shared" ref="U72" si="954">IFERROR(T72/T$19,0)</f>
        <v>0</v>
      </c>
      <c r="V72" s="29">
        <f>IFERROR(VLOOKUP($A72,APOIO!$B:$N,MATCH(V$5,APOIO!$B$5:$N$5,0),FALSE),0)</f>
        <v>0</v>
      </c>
      <c r="W72" s="38">
        <f t="shared" ref="W72" si="955">IFERROR(V72/V$19,0)</f>
        <v>0</v>
      </c>
      <c r="X72" s="30">
        <f t="shared" si="908"/>
        <v>0</v>
      </c>
      <c r="Y72" s="41">
        <f t="shared" ref="Y72" si="956">IFERROR(X72/X$19,0)</f>
        <v>0</v>
      </c>
      <c r="Z72" s="29">
        <f>IFERROR(VLOOKUP($A72,APOIO!$B:$N,MATCH(Z$5,APOIO!$B$5:$N$5,0),FALSE),0)</f>
        <v>0</v>
      </c>
      <c r="AA72" s="38">
        <f t="shared" ref="AA72" si="957">IFERROR(Z72/Z$19,0)</f>
        <v>0</v>
      </c>
      <c r="AB72" s="29">
        <f>IFERROR(VLOOKUP($A72,APOIO!$B:$N,MATCH(AB$5,APOIO!$B$5:$N$5,0),FALSE),0)</f>
        <v>0</v>
      </c>
      <c r="AC72" s="38">
        <f t="shared" ref="AC72" si="958">IFERROR(AB72/AB$19,0)</f>
        <v>0</v>
      </c>
      <c r="AD72" s="29">
        <f>IFERROR(VLOOKUP($A72,APOIO!$B:$N,MATCH(AD$5,APOIO!$B$5:$N$5,0),FALSE),0)</f>
        <v>0</v>
      </c>
      <c r="AE72" s="38">
        <f t="shared" ref="AE72" si="959">IFERROR(AD72/AD$19,0)</f>
        <v>0</v>
      </c>
      <c r="AF72" s="30">
        <f t="shared" si="913"/>
        <v>0</v>
      </c>
      <c r="AG72" s="41">
        <f t="shared" ref="AG72" si="960">IFERROR(AF72/AF$19,0)</f>
        <v>0</v>
      </c>
      <c r="AH72" s="29">
        <f t="shared" si="915"/>
        <v>0</v>
      </c>
      <c r="AI72" s="41">
        <f t="shared" ref="AI72" si="961">IFERROR(AH72/AH$19,0)</f>
        <v>0</v>
      </c>
    </row>
    <row r="73" spans="1:35" ht="15.6" hidden="1" outlineLevel="1" x14ac:dyDescent="0.3">
      <c r="A73" s="35" t="s">
        <v>272</v>
      </c>
      <c r="B73" s="29">
        <f>IFERROR(VLOOKUP($A73,APOIO!$B:$N,MATCH(B$5,APOIO!$B$5:$N$5,0),FALSE),0)</f>
        <v>0</v>
      </c>
      <c r="C73" s="38">
        <f t="shared" si="134"/>
        <v>0</v>
      </c>
      <c r="D73" s="29">
        <f>IFERROR(VLOOKUP($A73,APOIO!$B:$N,MATCH(D$5,APOIO!$B$5:$N$5,0),FALSE),0)</f>
        <v>0</v>
      </c>
      <c r="E73" s="38">
        <f t="shared" si="134"/>
        <v>0</v>
      </c>
      <c r="F73" s="29">
        <f>IFERROR(VLOOKUP($A73,APOIO!$B:$N,MATCH(F$5,APOIO!$B$5:$N$5,0),FALSE),0)</f>
        <v>0</v>
      </c>
      <c r="G73" s="38">
        <f t="shared" ref="G73" si="962">IFERROR(F73/F$19,0)</f>
        <v>0</v>
      </c>
      <c r="H73" s="30">
        <f t="shared" si="898"/>
        <v>0</v>
      </c>
      <c r="I73" s="40">
        <f t="shared" ref="I73" si="963">IFERROR(H73/H$19,0)</f>
        <v>0</v>
      </c>
      <c r="J73" s="29">
        <f>IFERROR(VLOOKUP($A73,APOIO!$B:$N,MATCH(J$5,APOIO!$B$5:$N$5,0),FALSE),0)</f>
        <v>0</v>
      </c>
      <c r="K73" s="38">
        <f t="shared" ref="K73" si="964">IFERROR(J73/J$19,0)</f>
        <v>0</v>
      </c>
      <c r="L73" s="29">
        <f>IFERROR(VLOOKUP($A73,APOIO!$B:$N,MATCH(L$5,APOIO!$B$5:$N$5,0),FALSE),0)</f>
        <v>0</v>
      </c>
      <c r="M73" s="38">
        <f t="shared" ref="M73" si="965">IFERROR(L73/L$19,0)</f>
        <v>0</v>
      </c>
      <c r="N73" s="29">
        <f>IFERROR(VLOOKUP($A73,APOIO!$B:$N,MATCH(N$5,APOIO!$B$5:$N$5,0),FALSE),0)</f>
        <v>0</v>
      </c>
      <c r="O73" s="38">
        <f t="shared" ref="O73" si="966">IFERROR(N73/N$19,0)</f>
        <v>0</v>
      </c>
      <c r="P73" s="30">
        <f t="shared" si="903"/>
        <v>0</v>
      </c>
      <c r="Q73" s="41">
        <f t="shared" ref="Q73" si="967">IFERROR(P73/P$19,0)</f>
        <v>0</v>
      </c>
      <c r="R73" s="29">
        <f>IFERROR(VLOOKUP($A73,APOIO!$B:$N,MATCH(R$5,APOIO!$B$5:$N$5,0),FALSE),0)</f>
        <v>0</v>
      </c>
      <c r="S73" s="41">
        <f t="shared" ref="S73" si="968">IFERROR(R73/R$19,0)</f>
        <v>0</v>
      </c>
      <c r="T73" s="29">
        <f>IFERROR(VLOOKUP($A73,APOIO!$B:$N,MATCH(T$5,APOIO!$B$5:$N$5,0),FALSE),0)</f>
        <v>0</v>
      </c>
      <c r="U73" s="41">
        <f t="shared" ref="U73" si="969">IFERROR(T73/T$19,0)</f>
        <v>0</v>
      </c>
      <c r="V73" s="29">
        <f>IFERROR(VLOOKUP($A73,APOIO!$B:$N,MATCH(V$5,APOIO!$B$5:$N$5,0),FALSE),0)</f>
        <v>0</v>
      </c>
      <c r="W73" s="38">
        <f t="shared" ref="W73" si="970">IFERROR(V73/V$19,0)</f>
        <v>0</v>
      </c>
      <c r="X73" s="30">
        <f t="shared" si="908"/>
        <v>0</v>
      </c>
      <c r="Y73" s="41">
        <f t="shared" ref="Y73" si="971">IFERROR(X73/X$19,0)</f>
        <v>0</v>
      </c>
      <c r="Z73" s="29">
        <f>IFERROR(VLOOKUP($A73,APOIO!$B:$N,MATCH(Z$5,APOIO!$B$5:$N$5,0),FALSE),0)</f>
        <v>0</v>
      </c>
      <c r="AA73" s="38">
        <f t="shared" ref="AA73" si="972">IFERROR(Z73/Z$19,0)</f>
        <v>0</v>
      </c>
      <c r="AB73" s="29">
        <f>IFERROR(VLOOKUP($A73,APOIO!$B:$N,MATCH(AB$5,APOIO!$B$5:$N$5,0),FALSE),0)</f>
        <v>0</v>
      </c>
      <c r="AC73" s="38">
        <f t="shared" ref="AC73" si="973">IFERROR(AB73/AB$19,0)</f>
        <v>0</v>
      </c>
      <c r="AD73" s="29">
        <f>IFERROR(VLOOKUP($A73,APOIO!$B:$N,MATCH(AD$5,APOIO!$B$5:$N$5,0),FALSE),0)</f>
        <v>0</v>
      </c>
      <c r="AE73" s="38">
        <f t="shared" ref="AE73" si="974">IFERROR(AD73/AD$19,0)</f>
        <v>0</v>
      </c>
      <c r="AF73" s="30">
        <f t="shared" si="913"/>
        <v>0</v>
      </c>
      <c r="AG73" s="41">
        <f t="shared" ref="AG73" si="975">IFERROR(AF73/AF$19,0)</f>
        <v>0</v>
      </c>
      <c r="AH73" s="29">
        <f t="shared" si="915"/>
        <v>0</v>
      </c>
      <c r="AI73" s="41">
        <f t="shared" ref="AI73" si="976">IFERROR(AH73/AH$19,0)</f>
        <v>0</v>
      </c>
    </row>
    <row r="74" spans="1:35" ht="15.6" hidden="1" outlineLevel="1" x14ac:dyDescent="0.3">
      <c r="A74" s="35" t="s">
        <v>273</v>
      </c>
      <c r="B74" s="29">
        <f>IFERROR(VLOOKUP($A74,APOIO!$B:$N,MATCH(B$5,APOIO!$B$5:$N$5,0),FALSE),0)</f>
        <v>0</v>
      </c>
      <c r="C74" s="38">
        <f t="shared" si="134"/>
        <v>0</v>
      </c>
      <c r="D74" s="29">
        <f>IFERROR(VLOOKUP($A74,APOIO!$B:$N,MATCH(D$5,APOIO!$B$5:$N$5,0),FALSE),0)</f>
        <v>0</v>
      </c>
      <c r="E74" s="38">
        <f t="shared" si="134"/>
        <v>0</v>
      </c>
      <c r="F74" s="29">
        <f>IFERROR(VLOOKUP($A74,APOIO!$B:$N,MATCH(F$5,APOIO!$B$5:$N$5,0),FALSE),0)</f>
        <v>0</v>
      </c>
      <c r="G74" s="38">
        <f t="shared" ref="G74" si="977">IFERROR(F74/F$19,0)</f>
        <v>0</v>
      </c>
      <c r="H74" s="30">
        <f t="shared" si="898"/>
        <v>0</v>
      </c>
      <c r="I74" s="40">
        <f t="shared" ref="I74" si="978">IFERROR(H74/H$19,0)</f>
        <v>0</v>
      </c>
      <c r="J74" s="29">
        <f>IFERROR(VLOOKUP($A74,APOIO!$B:$N,MATCH(J$5,APOIO!$B$5:$N$5,0),FALSE),0)</f>
        <v>0</v>
      </c>
      <c r="K74" s="38">
        <f t="shared" ref="K74" si="979">IFERROR(J74/J$19,0)</f>
        <v>0</v>
      </c>
      <c r="L74" s="29">
        <f>IFERROR(VLOOKUP($A74,APOIO!$B:$N,MATCH(L$5,APOIO!$B$5:$N$5,0),FALSE),0)</f>
        <v>0</v>
      </c>
      <c r="M74" s="38">
        <f t="shared" ref="M74" si="980">IFERROR(L74/L$19,0)</f>
        <v>0</v>
      </c>
      <c r="N74" s="29">
        <f>IFERROR(VLOOKUP($A74,APOIO!$B:$N,MATCH(N$5,APOIO!$B$5:$N$5,0),FALSE),0)</f>
        <v>0</v>
      </c>
      <c r="O74" s="38">
        <f t="shared" ref="O74" si="981">IFERROR(N74/N$19,0)</f>
        <v>0</v>
      </c>
      <c r="P74" s="30">
        <f t="shared" si="903"/>
        <v>0</v>
      </c>
      <c r="Q74" s="41">
        <f t="shared" ref="Q74" si="982">IFERROR(P74/P$19,0)</f>
        <v>0</v>
      </c>
      <c r="R74" s="29">
        <f>IFERROR(VLOOKUP($A74,APOIO!$B:$N,MATCH(R$5,APOIO!$B$5:$N$5,0),FALSE),0)</f>
        <v>0</v>
      </c>
      <c r="S74" s="41">
        <f t="shared" ref="S74" si="983">IFERROR(R74/R$19,0)</f>
        <v>0</v>
      </c>
      <c r="T74" s="29">
        <f>IFERROR(VLOOKUP($A74,APOIO!$B:$N,MATCH(T$5,APOIO!$B$5:$N$5,0),FALSE),0)</f>
        <v>0</v>
      </c>
      <c r="U74" s="41">
        <f t="shared" ref="U74" si="984">IFERROR(T74/T$19,0)</f>
        <v>0</v>
      </c>
      <c r="V74" s="29">
        <f>IFERROR(VLOOKUP($A74,APOIO!$B:$N,MATCH(V$5,APOIO!$B$5:$N$5,0),FALSE),0)</f>
        <v>0</v>
      </c>
      <c r="W74" s="38">
        <f t="shared" ref="W74" si="985">IFERROR(V74/V$19,0)</f>
        <v>0</v>
      </c>
      <c r="X74" s="30">
        <f t="shared" si="908"/>
        <v>0</v>
      </c>
      <c r="Y74" s="41">
        <f t="shared" ref="Y74" si="986">IFERROR(X74/X$19,0)</f>
        <v>0</v>
      </c>
      <c r="Z74" s="29">
        <f>IFERROR(VLOOKUP($A74,APOIO!$B:$N,MATCH(Z$5,APOIO!$B$5:$N$5,0),FALSE),0)</f>
        <v>0</v>
      </c>
      <c r="AA74" s="38">
        <f t="shared" ref="AA74" si="987">IFERROR(Z74/Z$19,0)</f>
        <v>0</v>
      </c>
      <c r="AB74" s="29">
        <f>IFERROR(VLOOKUP($A74,APOIO!$B:$N,MATCH(AB$5,APOIO!$B$5:$N$5,0),FALSE),0)</f>
        <v>0</v>
      </c>
      <c r="AC74" s="38">
        <f t="shared" ref="AC74" si="988">IFERROR(AB74/AB$19,0)</f>
        <v>0</v>
      </c>
      <c r="AD74" s="29">
        <f>IFERROR(VLOOKUP($A74,APOIO!$B:$N,MATCH(AD$5,APOIO!$B$5:$N$5,0),FALSE),0)</f>
        <v>0</v>
      </c>
      <c r="AE74" s="38">
        <f t="shared" ref="AE74" si="989">IFERROR(AD74/AD$19,0)</f>
        <v>0</v>
      </c>
      <c r="AF74" s="30">
        <f t="shared" si="913"/>
        <v>0</v>
      </c>
      <c r="AG74" s="41">
        <f t="shared" ref="AG74" si="990">IFERROR(AF74/AF$19,0)</f>
        <v>0</v>
      </c>
      <c r="AH74" s="29">
        <f t="shared" si="915"/>
        <v>0</v>
      </c>
      <c r="AI74" s="41">
        <f t="shared" ref="AI74" si="991">IFERROR(AH74/AH$19,0)</f>
        <v>0</v>
      </c>
    </row>
    <row r="75" spans="1:35" ht="15.6" hidden="1" outlineLevel="1" x14ac:dyDescent="0.3">
      <c r="A75" s="35" t="s">
        <v>274</v>
      </c>
      <c r="B75" s="29">
        <f>IFERROR(VLOOKUP($A75,APOIO!$B:$N,MATCH(B$5,APOIO!$B$5:$N$5,0),FALSE),0)</f>
        <v>0</v>
      </c>
      <c r="C75" s="38">
        <f t="shared" si="134"/>
        <v>0</v>
      </c>
      <c r="D75" s="29">
        <f>IFERROR(VLOOKUP($A75,APOIO!$B:$N,MATCH(D$5,APOIO!$B$5:$N$5,0),FALSE),0)</f>
        <v>0</v>
      </c>
      <c r="E75" s="38">
        <f t="shared" si="134"/>
        <v>0</v>
      </c>
      <c r="F75" s="29">
        <f>IFERROR(VLOOKUP($A75,APOIO!$B:$N,MATCH(F$5,APOIO!$B$5:$N$5,0),FALSE),0)</f>
        <v>0</v>
      </c>
      <c r="G75" s="38">
        <f t="shared" ref="G75" si="992">IFERROR(F75/F$19,0)</f>
        <v>0</v>
      </c>
      <c r="H75" s="30">
        <f t="shared" si="898"/>
        <v>0</v>
      </c>
      <c r="I75" s="40">
        <f t="shared" ref="I75" si="993">IFERROR(H75/H$19,0)</f>
        <v>0</v>
      </c>
      <c r="J75" s="29">
        <f>IFERROR(VLOOKUP($A75,APOIO!$B:$N,MATCH(J$5,APOIO!$B$5:$N$5,0),FALSE),0)</f>
        <v>0</v>
      </c>
      <c r="K75" s="38">
        <f t="shared" ref="K75" si="994">IFERROR(J75/J$19,0)</f>
        <v>0</v>
      </c>
      <c r="L75" s="29">
        <f>IFERROR(VLOOKUP($A75,APOIO!$B:$N,MATCH(L$5,APOIO!$B$5:$N$5,0),FALSE),0)</f>
        <v>0</v>
      </c>
      <c r="M75" s="38">
        <f t="shared" ref="M75" si="995">IFERROR(L75/L$19,0)</f>
        <v>0</v>
      </c>
      <c r="N75" s="29">
        <f>IFERROR(VLOOKUP($A75,APOIO!$B:$N,MATCH(N$5,APOIO!$B$5:$N$5,0),FALSE),0)</f>
        <v>0</v>
      </c>
      <c r="O75" s="38">
        <f t="shared" ref="O75" si="996">IFERROR(N75/N$19,0)</f>
        <v>0</v>
      </c>
      <c r="P75" s="30">
        <f t="shared" si="903"/>
        <v>0</v>
      </c>
      <c r="Q75" s="41">
        <f t="shared" ref="Q75" si="997">IFERROR(P75/P$19,0)</f>
        <v>0</v>
      </c>
      <c r="R75" s="29">
        <f>IFERROR(VLOOKUP($A75,APOIO!$B:$N,MATCH(R$5,APOIO!$B$5:$N$5,0),FALSE),0)</f>
        <v>0</v>
      </c>
      <c r="S75" s="41">
        <f t="shared" ref="S75" si="998">IFERROR(R75/R$19,0)</f>
        <v>0</v>
      </c>
      <c r="T75" s="29">
        <f>IFERROR(VLOOKUP($A75,APOIO!$B:$N,MATCH(T$5,APOIO!$B$5:$N$5,0),FALSE),0)</f>
        <v>0</v>
      </c>
      <c r="U75" s="41">
        <f t="shared" ref="U75" si="999">IFERROR(T75/T$19,0)</f>
        <v>0</v>
      </c>
      <c r="V75" s="29">
        <f>IFERROR(VLOOKUP($A75,APOIO!$B:$N,MATCH(V$5,APOIO!$B$5:$N$5,0),FALSE),0)</f>
        <v>0</v>
      </c>
      <c r="W75" s="38">
        <f t="shared" ref="W75" si="1000">IFERROR(V75/V$19,0)</f>
        <v>0</v>
      </c>
      <c r="X75" s="30">
        <f t="shared" si="908"/>
        <v>0</v>
      </c>
      <c r="Y75" s="41">
        <f t="shared" ref="Y75" si="1001">IFERROR(X75/X$19,0)</f>
        <v>0</v>
      </c>
      <c r="Z75" s="29">
        <f>IFERROR(VLOOKUP($A75,APOIO!$B:$N,MATCH(Z$5,APOIO!$B$5:$N$5,0),FALSE),0)</f>
        <v>0</v>
      </c>
      <c r="AA75" s="38">
        <f t="shared" ref="AA75" si="1002">IFERROR(Z75/Z$19,0)</f>
        <v>0</v>
      </c>
      <c r="AB75" s="29">
        <f>IFERROR(VLOOKUP($A75,APOIO!$B:$N,MATCH(AB$5,APOIO!$B$5:$N$5,0),FALSE),0)</f>
        <v>0</v>
      </c>
      <c r="AC75" s="38">
        <f t="shared" ref="AC75" si="1003">IFERROR(AB75/AB$19,0)</f>
        <v>0</v>
      </c>
      <c r="AD75" s="29">
        <f>IFERROR(VLOOKUP($A75,APOIO!$B:$N,MATCH(AD$5,APOIO!$B$5:$N$5,0),FALSE),0)</f>
        <v>0</v>
      </c>
      <c r="AE75" s="38">
        <f t="shared" ref="AE75" si="1004">IFERROR(AD75/AD$19,0)</f>
        <v>0</v>
      </c>
      <c r="AF75" s="30">
        <f t="shared" si="913"/>
        <v>0</v>
      </c>
      <c r="AG75" s="41">
        <f t="shared" ref="AG75" si="1005">IFERROR(AF75/AF$19,0)</f>
        <v>0</v>
      </c>
      <c r="AH75" s="29">
        <f t="shared" si="915"/>
        <v>0</v>
      </c>
      <c r="AI75" s="41">
        <f t="shared" ref="AI75" si="1006">IFERROR(AH75/AH$19,0)</f>
        <v>0</v>
      </c>
    </row>
    <row r="76" spans="1:35" ht="15.6" hidden="1" outlineLevel="1" x14ac:dyDescent="0.3">
      <c r="A76" s="35" t="s">
        <v>275</v>
      </c>
      <c r="B76" s="29">
        <f>IFERROR(VLOOKUP($A76,APOIO!$B:$N,MATCH(B$5,APOIO!$B$5:$N$5,0),FALSE),0)</f>
        <v>0</v>
      </c>
      <c r="C76" s="38">
        <f t="shared" si="134"/>
        <v>0</v>
      </c>
      <c r="D76" s="29">
        <f>IFERROR(VLOOKUP($A76,APOIO!$B:$N,MATCH(D$5,APOIO!$B$5:$N$5,0),FALSE),0)</f>
        <v>0</v>
      </c>
      <c r="E76" s="38">
        <f t="shared" si="134"/>
        <v>0</v>
      </c>
      <c r="F76" s="29">
        <f>IFERROR(VLOOKUP($A76,APOIO!$B:$N,MATCH(F$5,APOIO!$B$5:$N$5,0),FALSE),0)</f>
        <v>0</v>
      </c>
      <c r="G76" s="38">
        <f t="shared" ref="G76" si="1007">IFERROR(F76/F$19,0)</f>
        <v>0</v>
      </c>
      <c r="H76" s="30">
        <f t="shared" si="898"/>
        <v>0</v>
      </c>
      <c r="I76" s="40">
        <f t="shared" ref="I76" si="1008">IFERROR(H76/H$19,0)</f>
        <v>0</v>
      </c>
      <c r="J76" s="29">
        <f>IFERROR(VLOOKUP($A76,APOIO!$B:$N,MATCH(J$5,APOIO!$B$5:$N$5,0),FALSE),0)</f>
        <v>0</v>
      </c>
      <c r="K76" s="38">
        <f t="shared" ref="K76" si="1009">IFERROR(J76/J$19,0)</f>
        <v>0</v>
      </c>
      <c r="L76" s="29">
        <f>IFERROR(VLOOKUP($A76,APOIO!$B:$N,MATCH(L$5,APOIO!$B$5:$N$5,0),FALSE),0)</f>
        <v>0</v>
      </c>
      <c r="M76" s="38">
        <f t="shared" ref="M76" si="1010">IFERROR(L76/L$19,0)</f>
        <v>0</v>
      </c>
      <c r="N76" s="29">
        <f>IFERROR(VLOOKUP($A76,APOIO!$B:$N,MATCH(N$5,APOIO!$B$5:$N$5,0),FALSE),0)</f>
        <v>0</v>
      </c>
      <c r="O76" s="38">
        <f t="shared" ref="O76" si="1011">IFERROR(N76/N$19,0)</f>
        <v>0</v>
      </c>
      <c r="P76" s="30">
        <f t="shared" si="903"/>
        <v>0</v>
      </c>
      <c r="Q76" s="41">
        <f t="shared" ref="Q76" si="1012">IFERROR(P76/P$19,0)</f>
        <v>0</v>
      </c>
      <c r="R76" s="29">
        <f>IFERROR(VLOOKUP($A76,APOIO!$B:$N,MATCH(R$5,APOIO!$B$5:$N$5,0),FALSE),0)</f>
        <v>0</v>
      </c>
      <c r="S76" s="41">
        <f t="shared" ref="S76" si="1013">IFERROR(R76/R$19,0)</f>
        <v>0</v>
      </c>
      <c r="T76" s="29">
        <f>IFERROR(VLOOKUP($A76,APOIO!$B:$N,MATCH(T$5,APOIO!$B$5:$N$5,0),FALSE),0)</f>
        <v>0</v>
      </c>
      <c r="U76" s="41">
        <f t="shared" ref="U76" si="1014">IFERROR(T76/T$19,0)</f>
        <v>0</v>
      </c>
      <c r="V76" s="29">
        <f>IFERROR(VLOOKUP($A76,APOIO!$B:$N,MATCH(V$5,APOIO!$B$5:$N$5,0),FALSE),0)</f>
        <v>0</v>
      </c>
      <c r="W76" s="38">
        <f t="shared" ref="W76" si="1015">IFERROR(V76/V$19,0)</f>
        <v>0</v>
      </c>
      <c r="X76" s="30">
        <f t="shared" si="908"/>
        <v>0</v>
      </c>
      <c r="Y76" s="41">
        <f t="shared" ref="Y76" si="1016">IFERROR(X76/X$19,0)</f>
        <v>0</v>
      </c>
      <c r="Z76" s="29">
        <f>IFERROR(VLOOKUP($A76,APOIO!$B:$N,MATCH(Z$5,APOIO!$B$5:$N$5,0),FALSE),0)</f>
        <v>0</v>
      </c>
      <c r="AA76" s="38">
        <f t="shared" ref="AA76" si="1017">IFERROR(Z76/Z$19,0)</f>
        <v>0</v>
      </c>
      <c r="AB76" s="29">
        <f>IFERROR(VLOOKUP($A76,APOIO!$B:$N,MATCH(AB$5,APOIO!$B$5:$N$5,0),FALSE),0)</f>
        <v>0</v>
      </c>
      <c r="AC76" s="38">
        <f t="shared" ref="AC76" si="1018">IFERROR(AB76/AB$19,0)</f>
        <v>0</v>
      </c>
      <c r="AD76" s="29">
        <f>IFERROR(VLOOKUP($A76,APOIO!$B:$N,MATCH(AD$5,APOIO!$B$5:$N$5,0),FALSE),0)</f>
        <v>0</v>
      </c>
      <c r="AE76" s="38">
        <f t="shared" ref="AE76" si="1019">IFERROR(AD76/AD$19,0)</f>
        <v>0</v>
      </c>
      <c r="AF76" s="30">
        <f t="shared" si="913"/>
        <v>0</v>
      </c>
      <c r="AG76" s="41">
        <f t="shared" ref="AG76" si="1020">IFERROR(AF76/AF$19,0)</f>
        <v>0</v>
      </c>
      <c r="AH76" s="29">
        <f t="shared" si="915"/>
        <v>0</v>
      </c>
      <c r="AI76" s="41">
        <f t="shared" ref="AI76" si="1021">IFERROR(AH76/AH$19,0)</f>
        <v>0</v>
      </c>
    </row>
    <row r="77" spans="1:35" ht="15.6" hidden="1" outlineLevel="1" x14ac:dyDescent="0.3">
      <c r="A77" s="35" t="s">
        <v>276</v>
      </c>
      <c r="B77" s="29">
        <f>IFERROR(VLOOKUP($A77,APOIO!$B:$N,MATCH(B$5,APOIO!$B$5:$N$5,0),FALSE),0)</f>
        <v>0</v>
      </c>
      <c r="C77" s="38">
        <f t="shared" ref="C77:C78" si="1022">IFERROR(B77/B$19,0)</f>
        <v>0</v>
      </c>
      <c r="D77" s="29">
        <f>IFERROR(VLOOKUP($A77,APOIO!$B:$N,MATCH(D$5,APOIO!$B$5:$N$5,0),FALSE),0)</f>
        <v>0</v>
      </c>
      <c r="E77" s="38">
        <f t="shared" ref="E77:E78" si="1023">IFERROR(D77/D$19,0)</f>
        <v>0</v>
      </c>
      <c r="F77" s="29">
        <f>IFERROR(VLOOKUP($A77,APOIO!$B:$N,MATCH(F$5,APOIO!$B$5:$N$5,0),FALSE),0)</f>
        <v>0</v>
      </c>
      <c r="G77" s="38">
        <f t="shared" ref="G77:G78" si="1024">IFERROR(F77/F$19,0)</f>
        <v>0</v>
      </c>
      <c r="H77" s="30">
        <f t="shared" ref="H77:H78" si="1025">SUM(B77,D77,F77)</f>
        <v>0</v>
      </c>
      <c r="I77" s="40">
        <f t="shared" ref="I77:I78" si="1026">IFERROR(H77/H$19,0)</f>
        <v>0</v>
      </c>
      <c r="J77" s="29">
        <f>IFERROR(VLOOKUP($A77,APOIO!$B:$N,MATCH(J$5,APOIO!$B$5:$N$5,0),FALSE),0)</f>
        <v>0</v>
      </c>
      <c r="K77" s="38">
        <f t="shared" ref="K77:K78" si="1027">IFERROR(J77/J$19,0)</f>
        <v>0</v>
      </c>
      <c r="L77" s="29">
        <f>IFERROR(VLOOKUP($A77,APOIO!$B:$N,MATCH(L$5,APOIO!$B$5:$N$5,0),FALSE),0)</f>
        <v>0</v>
      </c>
      <c r="M77" s="38">
        <f t="shared" ref="M77:M78" si="1028">IFERROR(L77/L$19,0)</f>
        <v>0</v>
      </c>
      <c r="N77" s="29">
        <f>IFERROR(VLOOKUP($A77,APOIO!$B:$N,MATCH(N$5,APOIO!$B$5:$N$5,0),FALSE),0)</f>
        <v>0</v>
      </c>
      <c r="O77" s="38">
        <f t="shared" ref="O77:O78" si="1029">IFERROR(N77/N$19,0)</f>
        <v>0</v>
      </c>
      <c r="P77" s="30">
        <f t="shared" ref="P77:P78" si="1030">SUM(J77,L77,N77)</f>
        <v>0</v>
      </c>
      <c r="Q77" s="41">
        <f t="shared" ref="Q77:Q78" si="1031">IFERROR(P77/P$19,0)</f>
        <v>0</v>
      </c>
      <c r="R77" s="29">
        <f>IFERROR(VLOOKUP($A77,APOIO!$B:$N,MATCH(R$5,APOIO!$B$5:$N$5,0),FALSE),0)</f>
        <v>0</v>
      </c>
      <c r="S77" s="41">
        <f t="shared" ref="S77:S78" si="1032">IFERROR(R77/R$19,0)</f>
        <v>0</v>
      </c>
      <c r="T77" s="29">
        <f>IFERROR(VLOOKUP($A77,APOIO!$B:$N,MATCH(T$5,APOIO!$B$5:$N$5,0),FALSE),0)</f>
        <v>0</v>
      </c>
      <c r="U77" s="41">
        <f t="shared" ref="U77:U78" si="1033">IFERROR(T77/T$19,0)</f>
        <v>0</v>
      </c>
      <c r="V77" s="29">
        <f>IFERROR(VLOOKUP($A77,APOIO!$B:$N,MATCH(V$5,APOIO!$B$5:$N$5,0),FALSE),0)</f>
        <v>0</v>
      </c>
      <c r="W77" s="38">
        <f t="shared" ref="W77:W78" si="1034">IFERROR(V77/V$19,0)</f>
        <v>0</v>
      </c>
      <c r="X77" s="30">
        <f t="shared" ref="X77:X78" si="1035">SUM(R77,T77,V77)</f>
        <v>0</v>
      </c>
      <c r="Y77" s="41">
        <f t="shared" ref="Y77:Y78" si="1036">IFERROR(X77/X$19,0)</f>
        <v>0</v>
      </c>
      <c r="Z77" s="29">
        <f>IFERROR(VLOOKUP($A77,APOIO!$B:$N,MATCH(Z$5,APOIO!$B$5:$N$5,0),FALSE),0)</f>
        <v>0</v>
      </c>
      <c r="AA77" s="38">
        <f t="shared" ref="AA77:AA78" si="1037">IFERROR(Z77/Z$19,0)</f>
        <v>0</v>
      </c>
      <c r="AB77" s="29">
        <f>IFERROR(VLOOKUP($A77,APOIO!$B:$N,MATCH(AB$5,APOIO!$B$5:$N$5,0),FALSE),0)</f>
        <v>0</v>
      </c>
      <c r="AC77" s="38">
        <f t="shared" ref="AC77:AC78" si="1038">IFERROR(AB77/AB$19,0)</f>
        <v>0</v>
      </c>
      <c r="AD77" s="29">
        <f>IFERROR(VLOOKUP($A77,APOIO!$B:$N,MATCH(AD$5,APOIO!$B$5:$N$5,0),FALSE),0)</f>
        <v>0</v>
      </c>
      <c r="AE77" s="38">
        <f t="shared" ref="AE77:AE78" si="1039">IFERROR(AD77/AD$19,0)</f>
        <v>0</v>
      </c>
      <c r="AF77" s="30">
        <f t="shared" ref="AF77:AF78" si="1040">SUM(Z77,AB77,AD77)</f>
        <v>0</v>
      </c>
      <c r="AG77" s="41">
        <f t="shared" ref="AG77:AG78" si="1041">IFERROR(AF77/AF$19,0)</f>
        <v>0</v>
      </c>
      <c r="AH77" s="29">
        <f t="shared" ref="AH77:AH78" si="1042">SUM(B77,D77,F77,J77,L77,N77,R77,T77,V77,Z77,AB77,AD77)</f>
        <v>0</v>
      </c>
      <c r="AI77" s="41">
        <f t="shared" ref="AI77:AI78" si="1043">IFERROR(AH77/AH$19,0)</f>
        <v>0</v>
      </c>
    </row>
    <row r="78" spans="1:35" ht="15.6" hidden="1" outlineLevel="1" x14ac:dyDescent="0.3">
      <c r="A78" s="35" t="s">
        <v>277</v>
      </c>
      <c r="B78" s="29">
        <f>IFERROR(VLOOKUP($A78,APOIO!$B:$N,MATCH(B$5,APOIO!$B$5:$N$5,0),FALSE),0)</f>
        <v>0</v>
      </c>
      <c r="C78" s="38">
        <f t="shared" si="1022"/>
        <v>0</v>
      </c>
      <c r="D78" s="29">
        <f>IFERROR(VLOOKUP($A78,APOIO!$B:$N,MATCH(D$5,APOIO!$B$5:$N$5,0),FALSE),0)</f>
        <v>0</v>
      </c>
      <c r="E78" s="38">
        <f t="shared" si="1023"/>
        <v>0</v>
      </c>
      <c r="F78" s="29">
        <f>IFERROR(VLOOKUP($A78,APOIO!$B:$N,MATCH(F$5,APOIO!$B$5:$N$5,0),FALSE),0)</f>
        <v>0</v>
      </c>
      <c r="G78" s="38">
        <f t="shared" si="1024"/>
        <v>0</v>
      </c>
      <c r="H78" s="30">
        <f t="shared" si="1025"/>
        <v>0</v>
      </c>
      <c r="I78" s="40">
        <f t="shared" si="1026"/>
        <v>0</v>
      </c>
      <c r="J78" s="29">
        <f>IFERROR(VLOOKUP($A78,APOIO!$B:$N,MATCH(J$5,APOIO!$B$5:$N$5,0),FALSE),0)</f>
        <v>0</v>
      </c>
      <c r="K78" s="38">
        <f t="shared" si="1027"/>
        <v>0</v>
      </c>
      <c r="L78" s="29">
        <f>IFERROR(VLOOKUP($A78,APOIO!$B:$N,MATCH(L$5,APOIO!$B$5:$N$5,0),FALSE),0)</f>
        <v>0</v>
      </c>
      <c r="M78" s="38">
        <f t="shared" si="1028"/>
        <v>0</v>
      </c>
      <c r="N78" s="29">
        <f>IFERROR(VLOOKUP($A78,APOIO!$B:$N,MATCH(N$5,APOIO!$B$5:$N$5,0),FALSE),0)</f>
        <v>0</v>
      </c>
      <c r="O78" s="38">
        <f t="shared" si="1029"/>
        <v>0</v>
      </c>
      <c r="P78" s="30">
        <f t="shared" si="1030"/>
        <v>0</v>
      </c>
      <c r="Q78" s="41">
        <f t="shared" si="1031"/>
        <v>0</v>
      </c>
      <c r="R78" s="29">
        <f>IFERROR(VLOOKUP($A78,APOIO!$B:$N,MATCH(R$5,APOIO!$B$5:$N$5,0),FALSE),0)</f>
        <v>0</v>
      </c>
      <c r="S78" s="41">
        <f t="shared" si="1032"/>
        <v>0</v>
      </c>
      <c r="T78" s="29">
        <f>IFERROR(VLOOKUP($A78,APOIO!$B:$N,MATCH(T$5,APOIO!$B$5:$N$5,0),FALSE),0)</f>
        <v>0</v>
      </c>
      <c r="U78" s="41">
        <f t="shared" si="1033"/>
        <v>0</v>
      </c>
      <c r="V78" s="29">
        <f>IFERROR(VLOOKUP($A78,APOIO!$B:$N,MATCH(V$5,APOIO!$B$5:$N$5,0),FALSE),0)</f>
        <v>0</v>
      </c>
      <c r="W78" s="38">
        <f t="shared" si="1034"/>
        <v>0</v>
      </c>
      <c r="X78" s="30">
        <f t="shared" si="1035"/>
        <v>0</v>
      </c>
      <c r="Y78" s="41">
        <f t="shared" si="1036"/>
        <v>0</v>
      </c>
      <c r="Z78" s="29">
        <f>IFERROR(VLOOKUP($A78,APOIO!$B:$N,MATCH(Z$5,APOIO!$B$5:$N$5,0),FALSE),0)</f>
        <v>0</v>
      </c>
      <c r="AA78" s="38">
        <f t="shared" si="1037"/>
        <v>0</v>
      </c>
      <c r="AB78" s="29">
        <f>IFERROR(VLOOKUP($A78,APOIO!$B:$N,MATCH(AB$5,APOIO!$B$5:$N$5,0),FALSE),0)</f>
        <v>0</v>
      </c>
      <c r="AC78" s="38">
        <f t="shared" si="1038"/>
        <v>0</v>
      </c>
      <c r="AD78" s="29">
        <f>IFERROR(VLOOKUP($A78,APOIO!$B:$N,MATCH(AD$5,APOIO!$B$5:$N$5,0),FALSE),0)</f>
        <v>0</v>
      </c>
      <c r="AE78" s="38">
        <f t="shared" si="1039"/>
        <v>0</v>
      </c>
      <c r="AF78" s="30">
        <f t="shared" si="1040"/>
        <v>0</v>
      </c>
      <c r="AG78" s="41">
        <f t="shared" si="1041"/>
        <v>0</v>
      </c>
      <c r="AH78" s="29">
        <f t="shared" si="1042"/>
        <v>0</v>
      </c>
      <c r="AI78" s="41">
        <f t="shared" si="1043"/>
        <v>0</v>
      </c>
    </row>
    <row r="79" spans="1:35" ht="15.6" hidden="1" outlineLevel="1" x14ac:dyDescent="0.3">
      <c r="A79" s="35" t="s">
        <v>278</v>
      </c>
      <c r="B79" s="29">
        <f>IFERROR(VLOOKUP($A79,APOIO!$B:$N,MATCH(B$5,APOIO!$B$5:$N$5,0),FALSE),0)</f>
        <v>0</v>
      </c>
      <c r="C79" s="38">
        <f t="shared" si="134"/>
        <v>0</v>
      </c>
      <c r="D79" s="29">
        <f>IFERROR(VLOOKUP($A79,APOIO!$B:$N,MATCH(D$5,APOIO!$B$5:$N$5,0),FALSE),0)</f>
        <v>0</v>
      </c>
      <c r="E79" s="38">
        <f t="shared" si="134"/>
        <v>0</v>
      </c>
      <c r="F79" s="29">
        <f>IFERROR(VLOOKUP($A79,APOIO!$B:$N,MATCH(F$5,APOIO!$B$5:$N$5,0),FALSE),0)</f>
        <v>0</v>
      </c>
      <c r="G79" s="38">
        <f t="shared" ref="G79" si="1044">IFERROR(F79/F$19,0)</f>
        <v>0</v>
      </c>
      <c r="H79" s="30">
        <f t="shared" si="898"/>
        <v>0</v>
      </c>
      <c r="I79" s="40">
        <f t="shared" ref="I79" si="1045">IFERROR(H79/H$19,0)</f>
        <v>0</v>
      </c>
      <c r="J79" s="29">
        <f>IFERROR(VLOOKUP($A79,APOIO!$B:$N,MATCH(J$5,APOIO!$B$5:$N$5,0),FALSE),0)</f>
        <v>0</v>
      </c>
      <c r="K79" s="38">
        <f t="shared" ref="K79" si="1046">IFERROR(J79/J$19,0)</f>
        <v>0</v>
      </c>
      <c r="L79" s="29">
        <f>IFERROR(VLOOKUP($A79,APOIO!$B:$N,MATCH(L$5,APOIO!$B$5:$N$5,0),FALSE),0)</f>
        <v>0</v>
      </c>
      <c r="M79" s="38">
        <f t="shared" ref="M79" si="1047">IFERROR(L79/L$19,0)</f>
        <v>0</v>
      </c>
      <c r="N79" s="29">
        <f>IFERROR(VLOOKUP($A79,APOIO!$B:$N,MATCH(N$5,APOIO!$B$5:$N$5,0),FALSE),0)</f>
        <v>0</v>
      </c>
      <c r="O79" s="38">
        <f t="shared" ref="O79" si="1048">IFERROR(N79/N$19,0)</f>
        <v>0</v>
      </c>
      <c r="P79" s="30">
        <f t="shared" si="903"/>
        <v>0</v>
      </c>
      <c r="Q79" s="41">
        <f t="shared" ref="Q79" si="1049">IFERROR(P79/P$19,0)</f>
        <v>0</v>
      </c>
      <c r="R79" s="29">
        <f>IFERROR(VLOOKUP($A79,APOIO!$B:$N,MATCH(R$5,APOIO!$B$5:$N$5,0),FALSE),0)</f>
        <v>0</v>
      </c>
      <c r="S79" s="41">
        <f t="shared" ref="S79" si="1050">IFERROR(R79/R$19,0)</f>
        <v>0</v>
      </c>
      <c r="T79" s="29">
        <f>IFERROR(VLOOKUP($A79,APOIO!$B:$N,MATCH(T$5,APOIO!$B$5:$N$5,0),FALSE),0)</f>
        <v>0</v>
      </c>
      <c r="U79" s="41">
        <f t="shared" ref="U79" si="1051">IFERROR(T79/T$19,0)</f>
        <v>0</v>
      </c>
      <c r="V79" s="29">
        <f>IFERROR(VLOOKUP($A79,APOIO!$B:$N,MATCH(V$5,APOIO!$B$5:$N$5,0),FALSE),0)</f>
        <v>0</v>
      </c>
      <c r="W79" s="38">
        <f t="shared" ref="W79" si="1052">IFERROR(V79/V$19,0)</f>
        <v>0</v>
      </c>
      <c r="X79" s="30">
        <f t="shared" si="908"/>
        <v>0</v>
      </c>
      <c r="Y79" s="41">
        <f t="shared" ref="Y79" si="1053">IFERROR(X79/X$19,0)</f>
        <v>0</v>
      </c>
      <c r="Z79" s="29">
        <f>IFERROR(VLOOKUP($A79,APOIO!$B:$N,MATCH(Z$5,APOIO!$B$5:$N$5,0),FALSE),0)</f>
        <v>0</v>
      </c>
      <c r="AA79" s="38">
        <f t="shared" ref="AA79" si="1054">IFERROR(Z79/Z$19,0)</f>
        <v>0</v>
      </c>
      <c r="AB79" s="29">
        <f>IFERROR(VLOOKUP($A79,APOIO!$B:$N,MATCH(AB$5,APOIO!$B$5:$N$5,0),FALSE),0)</f>
        <v>0</v>
      </c>
      <c r="AC79" s="38">
        <f t="shared" ref="AC79" si="1055">IFERROR(AB79/AB$19,0)</f>
        <v>0</v>
      </c>
      <c r="AD79" s="29">
        <f>IFERROR(VLOOKUP($A79,APOIO!$B:$N,MATCH(AD$5,APOIO!$B$5:$N$5,0),FALSE),0)</f>
        <v>0</v>
      </c>
      <c r="AE79" s="38">
        <f t="shared" ref="AE79" si="1056">IFERROR(AD79/AD$19,0)</f>
        <v>0</v>
      </c>
      <c r="AF79" s="30">
        <f t="shared" si="913"/>
        <v>0</v>
      </c>
      <c r="AG79" s="41">
        <f t="shared" ref="AG79" si="1057">IFERROR(AF79/AF$19,0)</f>
        <v>0</v>
      </c>
      <c r="AH79" s="29">
        <f t="shared" si="915"/>
        <v>0</v>
      </c>
      <c r="AI79" s="41">
        <f t="shared" ref="AI79" si="1058">IFERROR(AH79/AH$19,0)</f>
        <v>0</v>
      </c>
    </row>
    <row r="80" spans="1:35" ht="15.6" hidden="1" outlineLevel="1" x14ac:dyDescent="0.3">
      <c r="A80" s="35" t="s">
        <v>279</v>
      </c>
      <c r="B80" s="29">
        <f>IFERROR(VLOOKUP($A80,APOIO!$B:$N,MATCH(B$5,APOIO!$B$5:$N$5,0),FALSE),0)</f>
        <v>0</v>
      </c>
      <c r="C80" s="38">
        <f t="shared" si="134"/>
        <v>0</v>
      </c>
      <c r="D80" s="29">
        <f>IFERROR(VLOOKUP($A80,APOIO!$B:$N,MATCH(D$5,APOIO!$B$5:$N$5,0),FALSE),0)</f>
        <v>0</v>
      </c>
      <c r="E80" s="38">
        <f t="shared" si="134"/>
        <v>0</v>
      </c>
      <c r="F80" s="29">
        <f>IFERROR(VLOOKUP($A80,APOIO!$B:$N,MATCH(F$5,APOIO!$B$5:$N$5,0),FALSE),0)</f>
        <v>0</v>
      </c>
      <c r="G80" s="38">
        <f t="shared" ref="G80" si="1059">IFERROR(F80/F$19,0)</f>
        <v>0</v>
      </c>
      <c r="H80" s="30">
        <f t="shared" si="898"/>
        <v>0</v>
      </c>
      <c r="I80" s="40">
        <f t="shared" ref="I80" si="1060">IFERROR(H80/H$19,0)</f>
        <v>0</v>
      </c>
      <c r="J80" s="29">
        <f>IFERROR(VLOOKUP($A80,APOIO!$B:$N,MATCH(J$5,APOIO!$B$5:$N$5,0),FALSE),0)</f>
        <v>0</v>
      </c>
      <c r="K80" s="38">
        <f t="shared" ref="K80" si="1061">IFERROR(J80/J$19,0)</f>
        <v>0</v>
      </c>
      <c r="L80" s="29">
        <f>IFERROR(VLOOKUP($A80,APOIO!$B:$N,MATCH(L$5,APOIO!$B$5:$N$5,0),FALSE),0)</f>
        <v>0</v>
      </c>
      <c r="M80" s="38">
        <f t="shared" ref="M80" si="1062">IFERROR(L80/L$19,0)</f>
        <v>0</v>
      </c>
      <c r="N80" s="29">
        <f>IFERROR(VLOOKUP($A80,APOIO!$B:$N,MATCH(N$5,APOIO!$B$5:$N$5,0),FALSE),0)</f>
        <v>0</v>
      </c>
      <c r="O80" s="38">
        <f t="shared" ref="O80" si="1063">IFERROR(N80/N$19,0)</f>
        <v>0</v>
      </c>
      <c r="P80" s="30">
        <f t="shared" si="903"/>
        <v>0</v>
      </c>
      <c r="Q80" s="41">
        <f t="shared" ref="Q80" si="1064">IFERROR(P80/P$19,0)</f>
        <v>0</v>
      </c>
      <c r="R80" s="29">
        <f>IFERROR(VLOOKUP($A80,APOIO!$B:$N,MATCH(R$5,APOIO!$B$5:$N$5,0),FALSE),0)</f>
        <v>0</v>
      </c>
      <c r="S80" s="41">
        <f t="shared" ref="S80" si="1065">IFERROR(R80/R$19,0)</f>
        <v>0</v>
      </c>
      <c r="T80" s="29">
        <f>IFERROR(VLOOKUP($A80,APOIO!$B:$N,MATCH(T$5,APOIO!$B$5:$N$5,0),FALSE),0)</f>
        <v>0</v>
      </c>
      <c r="U80" s="41">
        <f t="shared" ref="U80" si="1066">IFERROR(T80/T$19,0)</f>
        <v>0</v>
      </c>
      <c r="V80" s="29">
        <f>IFERROR(VLOOKUP($A80,APOIO!$B:$N,MATCH(V$5,APOIO!$B$5:$N$5,0),FALSE),0)</f>
        <v>0</v>
      </c>
      <c r="W80" s="38">
        <f t="shared" ref="W80" si="1067">IFERROR(V80/V$19,0)</f>
        <v>0</v>
      </c>
      <c r="X80" s="30">
        <f t="shared" si="908"/>
        <v>0</v>
      </c>
      <c r="Y80" s="41">
        <f t="shared" ref="Y80" si="1068">IFERROR(X80/X$19,0)</f>
        <v>0</v>
      </c>
      <c r="Z80" s="29">
        <f>IFERROR(VLOOKUP($A80,APOIO!$B:$N,MATCH(Z$5,APOIO!$B$5:$N$5,0),FALSE),0)</f>
        <v>0</v>
      </c>
      <c r="AA80" s="38">
        <f t="shared" ref="AA80" si="1069">IFERROR(Z80/Z$19,0)</f>
        <v>0</v>
      </c>
      <c r="AB80" s="29">
        <f>IFERROR(VLOOKUP($A80,APOIO!$B:$N,MATCH(AB$5,APOIO!$B$5:$N$5,0),FALSE),0)</f>
        <v>0</v>
      </c>
      <c r="AC80" s="38">
        <f t="shared" ref="AC80" si="1070">IFERROR(AB80/AB$19,0)</f>
        <v>0</v>
      </c>
      <c r="AD80" s="29">
        <f>IFERROR(VLOOKUP($A80,APOIO!$B:$N,MATCH(AD$5,APOIO!$B$5:$N$5,0),FALSE),0)</f>
        <v>0</v>
      </c>
      <c r="AE80" s="38">
        <f t="shared" ref="AE80" si="1071">IFERROR(AD80/AD$19,0)</f>
        <v>0</v>
      </c>
      <c r="AF80" s="30">
        <f t="shared" si="913"/>
        <v>0</v>
      </c>
      <c r="AG80" s="41">
        <f t="shared" ref="AG80" si="1072">IFERROR(AF80/AF$19,0)</f>
        <v>0</v>
      </c>
      <c r="AH80" s="29">
        <f t="shared" si="915"/>
        <v>0</v>
      </c>
      <c r="AI80" s="41">
        <f t="shared" ref="AI80" si="1073">IFERROR(AH80/AH$19,0)</f>
        <v>0</v>
      </c>
    </row>
    <row r="81" spans="1:35" ht="15.6" hidden="1" outlineLevel="1" x14ac:dyDescent="0.3">
      <c r="A81" s="35" t="s">
        <v>280</v>
      </c>
      <c r="B81" s="29">
        <f>IFERROR(VLOOKUP($A81,APOIO!$B:$N,MATCH(B$5,APOIO!$B$5:$N$5,0),FALSE),0)</f>
        <v>0</v>
      </c>
      <c r="C81" s="38">
        <f t="shared" si="134"/>
        <v>0</v>
      </c>
      <c r="D81" s="29">
        <f>IFERROR(VLOOKUP($A81,APOIO!$B:$N,MATCH(D$5,APOIO!$B$5:$N$5,0),FALSE),0)</f>
        <v>0</v>
      </c>
      <c r="E81" s="38">
        <f t="shared" si="134"/>
        <v>0</v>
      </c>
      <c r="F81" s="29">
        <f>IFERROR(VLOOKUP($A81,APOIO!$B:$N,MATCH(F$5,APOIO!$B$5:$N$5,0),FALSE),0)</f>
        <v>0</v>
      </c>
      <c r="G81" s="38">
        <f t="shared" ref="G81" si="1074">IFERROR(F81/F$19,0)</f>
        <v>0</v>
      </c>
      <c r="H81" s="30">
        <f t="shared" si="898"/>
        <v>0</v>
      </c>
      <c r="I81" s="40">
        <f t="shared" ref="I81" si="1075">IFERROR(H81/H$19,0)</f>
        <v>0</v>
      </c>
      <c r="J81" s="29">
        <f>IFERROR(VLOOKUP($A81,APOIO!$B:$N,MATCH(J$5,APOIO!$B$5:$N$5,0),FALSE),0)</f>
        <v>-10.287621</v>
      </c>
      <c r="K81" s="38">
        <f t="shared" ref="K81" si="1076">IFERROR(J81/J$19,0)</f>
        <v>0</v>
      </c>
      <c r="L81" s="29">
        <f>IFERROR(VLOOKUP($A81,APOIO!$B:$N,MATCH(L$5,APOIO!$B$5:$N$5,0),FALSE),0)</f>
        <v>0</v>
      </c>
      <c r="M81" s="38">
        <f t="shared" ref="M81" si="1077">IFERROR(L81/L$19,0)</f>
        <v>0</v>
      </c>
      <c r="N81" s="29">
        <f>IFERROR(VLOOKUP($A81,APOIO!$B:$N,MATCH(N$5,APOIO!$B$5:$N$5,0),FALSE),0)</f>
        <v>0</v>
      </c>
      <c r="O81" s="38">
        <f t="shared" ref="O81" si="1078">IFERROR(N81/N$19,0)</f>
        <v>0</v>
      </c>
      <c r="P81" s="30">
        <f t="shared" si="903"/>
        <v>-10.287621</v>
      </c>
      <c r="Q81" s="41">
        <f t="shared" ref="Q81" si="1079">IFERROR(P81/P$19,0)</f>
        <v>0</v>
      </c>
      <c r="R81" s="29">
        <f>IFERROR(VLOOKUP($A81,APOIO!$B:$N,MATCH(R$5,APOIO!$B$5:$N$5,0),FALSE),0)</f>
        <v>0</v>
      </c>
      <c r="S81" s="41">
        <f t="shared" ref="S81" si="1080">IFERROR(R81/R$19,0)</f>
        <v>0</v>
      </c>
      <c r="T81" s="29">
        <f>IFERROR(VLOOKUP($A81,APOIO!$B:$N,MATCH(T$5,APOIO!$B$5:$N$5,0),FALSE),0)</f>
        <v>0</v>
      </c>
      <c r="U81" s="41">
        <f t="shared" ref="U81" si="1081">IFERROR(T81/T$19,0)</f>
        <v>0</v>
      </c>
      <c r="V81" s="29">
        <f>IFERROR(VLOOKUP($A81,APOIO!$B:$N,MATCH(V$5,APOIO!$B$5:$N$5,0),FALSE),0)</f>
        <v>0</v>
      </c>
      <c r="W81" s="38">
        <f t="shared" ref="W81" si="1082">IFERROR(V81/V$19,0)</f>
        <v>0</v>
      </c>
      <c r="X81" s="30">
        <f t="shared" si="908"/>
        <v>0</v>
      </c>
      <c r="Y81" s="41">
        <f t="shared" ref="Y81" si="1083">IFERROR(X81/X$19,0)</f>
        <v>0</v>
      </c>
      <c r="Z81" s="29">
        <f>IFERROR(VLOOKUP($A81,APOIO!$B:$N,MATCH(Z$5,APOIO!$B$5:$N$5,0),FALSE),0)</f>
        <v>0</v>
      </c>
      <c r="AA81" s="38">
        <f t="shared" ref="AA81" si="1084">IFERROR(Z81/Z$19,0)</f>
        <v>0</v>
      </c>
      <c r="AB81" s="29">
        <f>IFERROR(VLOOKUP($A81,APOIO!$B:$N,MATCH(AB$5,APOIO!$B$5:$N$5,0),FALSE),0)</f>
        <v>0</v>
      </c>
      <c r="AC81" s="38">
        <f t="shared" ref="AC81" si="1085">IFERROR(AB81/AB$19,0)</f>
        <v>0</v>
      </c>
      <c r="AD81" s="29">
        <f>IFERROR(VLOOKUP($A81,APOIO!$B:$N,MATCH(AD$5,APOIO!$B$5:$N$5,0),FALSE),0)</f>
        <v>0</v>
      </c>
      <c r="AE81" s="38">
        <f t="shared" ref="AE81" si="1086">IFERROR(AD81/AD$19,0)</f>
        <v>0</v>
      </c>
      <c r="AF81" s="30">
        <f t="shared" si="913"/>
        <v>0</v>
      </c>
      <c r="AG81" s="41">
        <f t="shared" ref="AG81" si="1087">IFERROR(AF81/AF$19,0)</f>
        <v>0</v>
      </c>
      <c r="AH81" s="29">
        <f t="shared" si="915"/>
        <v>-10.287621</v>
      </c>
      <c r="AI81" s="41">
        <f t="shared" ref="AI81" si="1088">IFERROR(AH81/AH$19,0)</f>
        <v>-1.9774827005696987E-5</v>
      </c>
    </row>
    <row r="82" spans="1:35" ht="15.6" hidden="1" outlineLevel="1" x14ac:dyDescent="0.3">
      <c r="A82" s="35" t="s">
        <v>281</v>
      </c>
      <c r="B82" s="29">
        <f>IFERROR(VLOOKUP($A82,APOIO!$B:$N,MATCH(B$5,APOIO!$B$5:$N$5,0),FALSE),0)</f>
        <v>0</v>
      </c>
      <c r="C82" s="38">
        <f t="shared" si="134"/>
        <v>0</v>
      </c>
      <c r="D82" s="29">
        <f>IFERROR(VLOOKUP($A82,APOIO!$B:$N,MATCH(D$5,APOIO!$B$5:$N$5,0),FALSE),0)</f>
        <v>0</v>
      </c>
      <c r="E82" s="38">
        <f t="shared" si="134"/>
        <v>0</v>
      </c>
      <c r="F82" s="29">
        <f>IFERROR(VLOOKUP($A82,APOIO!$B:$N,MATCH(F$5,APOIO!$B$5:$N$5,0),FALSE),0)</f>
        <v>0</v>
      </c>
      <c r="G82" s="38">
        <f t="shared" ref="G82" si="1089">IFERROR(F82/F$19,0)</f>
        <v>0</v>
      </c>
      <c r="H82" s="30">
        <f t="shared" si="898"/>
        <v>0</v>
      </c>
      <c r="I82" s="40">
        <f t="shared" ref="I82" si="1090">IFERROR(H82/H$19,0)</f>
        <v>0</v>
      </c>
      <c r="J82" s="29">
        <f>IFERROR(VLOOKUP($A82,APOIO!$B:$N,MATCH(J$5,APOIO!$B$5:$N$5,0),FALSE),0)</f>
        <v>0</v>
      </c>
      <c r="K82" s="38">
        <f t="shared" ref="K82" si="1091">IFERROR(J82/J$19,0)</f>
        <v>0</v>
      </c>
      <c r="L82" s="29">
        <f>IFERROR(VLOOKUP($A82,APOIO!$B:$N,MATCH(L$5,APOIO!$B$5:$N$5,0),FALSE),0)</f>
        <v>0</v>
      </c>
      <c r="M82" s="38">
        <f t="shared" ref="M82" si="1092">IFERROR(L82/L$19,0)</f>
        <v>0</v>
      </c>
      <c r="N82" s="29">
        <f>IFERROR(VLOOKUP($A82,APOIO!$B:$N,MATCH(N$5,APOIO!$B$5:$N$5,0),FALSE),0)</f>
        <v>0</v>
      </c>
      <c r="O82" s="38">
        <f t="shared" ref="O82" si="1093">IFERROR(N82/N$19,0)</f>
        <v>0</v>
      </c>
      <c r="P82" s="30">
        <f t="shared" si="903"/>
        <v>0</v>
      </c>
      <c r="Q82" s="41">
        <f t="shared" ref="Q82" si="1094">IFERROR(P82/P$19,0)</f>
        <v>0</v>
      </c>
      <c r="R82" s="29">
        <f>IFERROR(VLOOKUP($A82,APOIO!$B:$N,MATCH(R$5,APOIO!$B$5:$N$5,0),FALSE),0)</f>
        <v>0</v>
      </c>
      <c r="S82" s="41">
        <f t="shared" ref="S82" si="1095">IFERROR(R82/R$19,0)</f>
        <v>0</v>
      </c>
      <c r="T82" s="29">
        <f>IFERROR(VLOOKUP($A82,APOIO!$B:$N,MATCH(T$5,APOIO!$B$5:$N$5,0),FALSE),0)</f>
        <v>0</v>
      </c>
      <c r="U82" s="41">
        <f t="shared" ref="U82" si="1096">IFERROR(T82/T$19,0)</f>
        <v>0</v>
      </c>
      <c r="V82" s="29">
        <f>IFERROR(VLOOKUP($A82,APOIO!$B:$N,MATCH(V$5,APOIO!$B$5:$N$5,0),FALSE),0)</f>
        <v>0</v>
      </c>
      <c r="W82" s="38">
        <f t="shared" ref="W82" si="1097">IFERROR(V82/V$19,0)</f>
        <v>0</v>
      </c>
      <c r="X82" s="30">
        <f t="shared" si="908"/>
        <v>0</v>
      </c>
      <c r="Y82" s="41">
        <f t="shared" ref="Y82" si="1098">IFERROR(X82/X$19,0)</f>
        <v>0</v>
      </c>
      <c r="Z82" s="29">
        <f>IFERROR(VLOOKUP($A82,APOIO!$B:$N,MATCH(Z$5,APOIO!$B$5:$N$5,0),FALSE),0)</f>
        <v>0</v>
      </c>
      <c r="AA82" s="38">
        <f t="shared" ref="AA82" si="1099">IFERROR(Z82/Z$19,0)</f>
        <v>0</v>
      </c>
      <c r="AB82" s="29">
        <f>IFERROR(VLOOKUP($A82,APOIO!$B:$N,MATCH(AB$5,APOIO!$B$5:$N$5,0),FALSE),0)</f>
        <v>0</v>
      </c>
      <c r="AC82" s="38">
        <f t="shared" ref="AC82" si="1100">IFERROR(AB82/AB$19,0)</f>
        <v>0</v>
      </c>
      <c r="AD82" s="29">
        <f>IFERROR(VLOOKUP($A82,APOIO!$B:$N,MATCH(AD$5,APOIO!$B$5:$N$5,0),FALSE),0)</f>
        <v>0</v>
      </c>
      <c r="AE82" s="38">
        <f t="shared" ref="AE82" si="1101">IFERROR(AD82/AD$19,0)</f>
        <v>0</v>
      </c>
      <c r="AF82" s="30">
        <f t="shared" si="913"/>
        <v>0</v>
      </c>
      <c r="AG82" s="41">
        <f t="shared" ref="AG82" si="1102">IFERROR(AF82/AF$19,0)</f>
        <v>0</v>
      </c>
      <c r="AH82" s="29">
        <f t="shared" si="915"/>
        <v>0</v>
      </c>
      <c r="AI82" s="41">
        <f t="shared" ref="AI82" si="1103">IFERROR(AH82/AH$19,0)</f>
        <v>0</v>
      </c>
    </row>
    <row r="83" spans="1:35" ht="15.6" hidden="1" outlineLevel="1" x14ac:dyDescent="0.3">
      <c r="A83" s="35" t="s">
        <v>252</v>
      </c>
      <c r="B83" s="29">
        <f>IFERROR(VLOOKUP($A83,APOIO!$B:$N,MATCH(B$5,APOIO!$B$5:$N$5,0),FALSE),0)</f>
        <v>0</v>
      </c>
      <c r="C83" s="38">
        <f t="shared" ref="C83" si="1104">IFERROR(B83/B$19,0)</f>
        <v>0</v>
      </c>
      <c r="D83" s="29">
        <f>IFERROR(VLOOKUP($A83,APOIO!$B:$N,MATCH(D$5,APOIO!$B$5:$N$5,0),FALSE),0)</f>
        <v>0</v>
      </c>
      <c r="E83" s="38">
        <f t="shared" ref="E83" si="1105">IFERROR(D83/D$19,0)</f>
        <v>0</v>
      </c>
      <c r="F83" s="29">
        <f>IFERROR(VLOOKUP($A83,APOIO!$B:$N,MATCH(F$5,APOIO!$B$5:$N$5,0),FALSE),0)</f>
        <v>0</v>
      </c>
      <c r="G83" s="38">
        <f t="shared" ref="G83" si="1106">IFERROR(F83/F$19,0)</f>
        <v>0</v>
      </c>
      <c r="H83" s="30">
        <f t="shared" ref="H83" si="1107">SUM(B83,D83,F83)</f>
        <v>0</v>
      </c>
      <c r="I83" s="40">
        <f t="shared" ref="I83" si="1108">IFERROR(H83/H$19,0)</f>
        <v>0</v>
      </c>
      <c r="J83" s="29">
        <f>IFERROR(VLOOKUP($A83,APOIO!$B:$N,MATCH(J$5,APOIO!$B$5:$N$5,0),FALSE),0)</f>
        <v>0</v>
      </c>
      <c r="K83" s="38">
        <f t="shared" ref="K83" si="1109">IFERROR(J83/J$19,0)</f>
        <v>0</v>
      </c>
      <c r="L83" s="29">
        <f>IFERROR(VLOOKUP($A83,APOIO!$B:$N,MATCH(L$5,APOIO!$B$5:$N$5,0),FALSE),0)</f>
        <v>0</v>
      </c>
      <c r="M83" s="38">
        <f t="shared" ref="M83" si="1110">IFERROR(L83/L$19,0)</f>
        <v>0</v>
      </c>
      <c r="N83" s="29">
        <f>IFERROR(VLOOKUP($A83,APOIO!$B:$N,MATCH(N$5,APOIO!$B$5:$N$5,0),FALSE),0)</f>
        <v>0</v>
      </c>
      <c r="O83" s="38">
        <f t="shared" ref="O83" si="1111">IFERROR(N83/N$19,0)</f>
        <v>0</v>
      </c>
      <c r="P83" s="30">
        <f t="shared" ref="P83" si="1112">SUM(J83,L83,N83)</f>
        <v>0</v>
      </c>
      <c r="Q83" s="41">
        <f t="shared" ref="Q83" si="1113">IFERROR(P83/P$19,0)</f>
        <v>0</v>
      </c>
      <c r="R83" s="29">
        <f>IFERROR(VLOOKUP($A83,APOIO!$B:$N,MATCH(R$5,APOIO!$B$5:$N$5,0),FALSE),0)</f>
        <v>0</v>
      </c>
      <c r="S83" s="41">
        <f t="shared" ref="S83" si="1114">IFERROR(R83/R$19,0)</f>
        <v>0</v>
      </c>
      <c r="T83" s="29">
        <f>IFERROR(VLOOKUP($A83,APOIO!$B:$N,MATCH(T$5,APOIO!$B$5:$N$5,0),FALSE),0)</f>
        <v>0</v>
      </c>
      <c r="U83" s="41">
        <f t="shared" ref="U83" si="1115">IFERROR(T83/T$19,0)</f>
        <v>0</v>
      </c>
      <c r="V83" s="29">
        <f>IFERROR(VLOOKUP($A83,APOIO!$B:$N,MATCH(V$5,APOIO!$B$5:$N$5,0),FALSE),0)</f>
        <v>0</v>
      </c>
      <c r="W83" s="38">
        <f t="shared" ref="W83" si="1116">IFERROR(V83/V$19,0)</f>
        <v>0</v>
      </c>
      <c r="X83" s="30">
        <f t="shared" ref="X83" si="1117">SUM(R83,T83,V83)</f>
        <v>0</v>
      </c>
      <c r="Y83" s="41">
        <f t="shared" ref="Y83" si="1118">IFERROR(X83/X$19,0)</f>
        <v>0</v>
      </c>
      <c r="Z83" s="29">
        <f>IFERROR(VLOOKUP($A83,APOIO!$B:$N,MATCH(Z$5,APOIO!$B$5:$N$5,0),FALSE),0)</f>
        <v>0</v>
      </c>
      <c r="AA83" s="38">
        <f t="shared" ref="AA83" si="1119">IFERROR(Z83/Z$19,0)</f>
        <v>0</v>
      </c>
      <c r="AB83" s="29">
        <f>IFERROR(VLOOKUP($A83,APOIO!$B:$N,MATCH(AB$5,APOIO!$B$5:$N$5,0),FALSE),0)</f>
        <v>0</v>
      </c>
      <c r="AC83" s="38">
        <f t="shared" ref="AC83" si="1120">IFERROR(AB83/AB$19,0)</f>
        <v>0</v>
      </c>
      <c r="AD83" s="29">
        <f>IFERROR(VLOOKUP($A83,APOIO!$B:$N,MATCH(AD$5,APOIO!$B$5:$N$5,0),FALSE),0)</f>
        <v>0</v>
      </c>
      <c r="AE83" s="38">
        <f t="shared" ref="AE83" si="1121">IFERROR(AD83/AD$19,0)</f>
        <v>0</v>
      </c>
      <c r="AF83" s="30">
        <f t="shared" ref="AF83" si="1122">SUM(Z83,AB83,AD83)</f>
        <v>0</v>
      </c>
      <c r="AG83" s="41">
        <f t="shared" ref="AG83" si="1123">IFERROR(AF83/AF$19,0)</f>
        <v>0</v>
      </c>
      <c r="AH83" s="29">
        <f t="shared" ref="AH83" si="1124">SUM(B83,D83,F83,J83,L83,N83,R83,T83,V83,Z83,AB83,AD83)</f>
        <v>0</v>
      </c>
      <c r="AI83" s="41">
        <f t="shared" ref="AI83" si="1125">IFERROR(AH83/AH$19,0)</f>
        <v>0</v>
      </c>
    </row>
    <row r="84" spans="1:35" ht="15.6" hidden="1" outlineLevel="1" x14ac:dyDescent="0.3">
      <c r="A84" s="35" t="s">
        <v>282</v>
      </c>
      <c r="B84" s="29">
        <f>IFERROR(VLOOKUP($A84,APOIO!$B:$N,MATCH(B$5,APOIO!$B$5:$N$5,0),FALSE),0)</f>
        <v>-1345.99</v>
      </c>
      <c r="C84" s="38">
        <f t="shared" si="134"/>
        <v>-8.6740433960588621E-3</v>
      </c>
      <c r="D84" s="29">
        <f>IFERROR(VLOOKUP($A84,APOIO!$B:$N,MATCH(D$5,APOIO!$B$5:$N$5,0),FALSE),0)</f>
        <v>-104.05</v>
      </c>
      <c r="E84" s="38">
        <f t="shared" si="134"/>
        <v>-2.8501869687041256E-4</v>
      </c>
      <c r="F84" s="29">
        <f>IFERROR(VLOOKUP($A84,APOIO!$B:$N,MATCH(F$5,APOIO!$B$5:$N$5,0),FALSE),0)</f>
        <v>0</v>
      </c>
      <c r="G84" s="38">
        <f t="shared" ref="G84" si="1126">IFERROR(F84/F$19,0)</f>
        <v>0</v>
      </c>
      <c r="H84" s="30">
        <f t="shared" si="898"/>
        <v>-1450.04</v>
      </c>
      <c r="I84" s="40">
        <f t="shared" ref="I84" si="1127">IFERROR(H84/H$19,0)</f>
        <v>-2.7872615205537664E-3</v>
      </c>
      <c r="J84" s="29">
        <f>IFERROR(VLOOKUP($A84,APOIO!$B:$N,MATCH(J$5,APOIO!$B$5:$N$5,0),FALSE),0)</f>
        <v>0</v>
      </c>
      <c r="K84" s="38">
        <f t="shared" ref="K84" si="1128">IFERROR(J84/J$19,0)</f>
        <v>0</v>
      </c>
      <c r="L84" s="29">
        <f>IFERROR(VLOOKUP($A84,APOIO!$B:$N,MATCH(L$5,APOIO!$B$5:$N$5,0),FALSE),0)</f>
        <v>0</v>
      </c>
      <c r="M84" s="38">
        <f t="shared" ref="M84" si="1129">IFERROR(L84/L$19,0)</f>
        <v>0</v>
      </c>
      <c r="N84" s="29">
        <f>IFERROR(VLOOKUP($A84,APOIO!$B:$N,MATCH(N$5,APOIO!$B$5:$N$5,0),FALSE),0)</f>
        <v>0</v>
      </c>
      <c r="O84" s="38">
        <f t="shared" ref="O84" si="1130">IFERROR(N84/N$19,0)</f>
        <v>0</v>
      </c>
      <c r="P84" s="30">
        <f t="shared" si="903"/>
        <v>0</v>
      </c>
      <c r="Q84" s="41">
        <f t="shared" ref="Q84" si="1131">IFERROR(P84/P$19,0)</f>
        <v>0</v>
      </c>
      <c r="R84" s="29">
        <f>IFERROR(VLOOKUP($A84,APOIO!$B:$N,MATCH(R$5,APOIO!$B$5:$N$5,0),FALSE),0)</f>
        <v>0</v>
      </c>
      <c r="S84" s="41">
        <f t="shared" ref="S84" si="1132">IFERROR(R84/R$19,0)</f>
        <v>0</v>
      </c>
      <c r="T84" s="29">
        <f>IFERROR(VLOOKUP($A84,APOIO!$B:$N,MATCH(T$5,APOIO!$B$5:$N$5,0),FALSE),0)</f>
        <v>0</v>
      </c>
      <c r="U84" s="41">
        <f t="shared" ref="U84" si="1133">IFERROR(T84/T$19,0)</f>
        <v>0</v>
      </c>
      <c r="V84" s="29">
        <f>IFERROR(VLOOKUP($A84,APOIO!$B:$N,MATCH(V$5,APOIO!$B$5:$N$5,0),FALSE),0)</f>
        <v>0</v>
      </c>
      <c r="W84" s="38">
        <f t="shared" ref="W84" si="1134">IFERROR(V84/V$19,0)</f>
        <v>0</v>
      </c>
      <c r="X84" s="30">
        <f t="shared" si="908"/>
        <v>0</v>
      </c>
      <c r="Y84" s="41">
        <f t="shared" ref="Y84" si="1135">IFERROR(X84/X$19,0)</f>
        <v>0</v>
      </c>
      <c r="Z84" s="29">
        <f>IFERROR(VLOOKUP($A84,APOIO!$B:$N,MATCH(Z$5,APOIO!$B$5:$N$5,0),FALSE),0)</f>
        <v>0</v>
      </c>
      <c r="AA84" s="38">
        <f t="shared" ref="AA84" si="1136">IFERROR(Z84/Z$19,0)</f>
        <v>0</v>
      </c>
      <c r="AB84" s="29">
        <f>IFERROR(VLOOKUP($A84,APOIO!$B:$N,MATCH(AB$5,APOIO!$B$5:$N$5,0),FALSE),0)</f>
        <v>0</v>
      </c>
      <c r="AC84" s="38">
        <f t="shared" ref="AC84" si="1137">IFERROR(AB84/AB$19,0)</f>
        <v>0</v>
      </c>
      <c r="AD84" s="29">
        <f>IFERROR(VLOOKUP($A84,APOIO!$B:$N,MATCH(AD$5,APOIO!$B$5:$N$5,0),FALSE),0)</f>
        <v>0</v>
      </c>
      <c r="AE84" s="38">
        <f t="shared" ref="AE84" si="1138">IFERROR(AD84/AD$19,0)</f>
        <v>0</v>
      </c>
      <c r="AF84" s="30">
        <f t="shared" si="913"/>
        <v>0</v>
      </c>
      <c r="AG84" s="41">
        <f t="shared" ref="AG84" si="1139">IFERROR(AF84/AF$19,0)</f>
        <v>0</v>
      </c>
      <c r="AH84" s="29">
        <f t="shared" si="915"/>
        <v>-1450.04</v>
      </c>
      <c r="AI84" s="41">
        <f t="shared" ref="AI84" si="1140">IFERROR(AH84/AH$19,0)</f>
        <v>-2.7872615205537664E-3</v>
      </c>
    </row>
    <row r="85" spans="1:35" ht="15.6" hidden="1" outlineLevel="1" x14ac:dyDescent="0.3">
      <c r="A85" s="35" t="s">
        <v>283</v>
      </c>
      <c r="B85" s="29">
        <f>IFERROR(VLOOKUP($A85,APOIO!$B:$N,MATCH(B$5,APOIO!$B$5:$N$5,0),FALSE),0)</f>
        <v>0</v>
      </c>
      <c r="C85" s="38">
        <f t="shared" si="134"/>
        <v>0</v>
      </c>
      <c r="D85" s="29">
        <f>IFERROR(VLOOKUP($A85,APOIO!$B:$N,MATCH(D$5,APOIO!$B$5:$N$5,0),FALSE),0)</f>
        <v>0</v>
      </c>
      <c r="E85" s="38">
        <f t="shared" si="134"/>
        <v>0</v>
      </c>
      <c r="F85" s="29">
        <f>IFERROR(VLOOKUP($A85,APOIO!$B:$N,MATCH(F$5,APOIO!$B$5:$N$5,0),FALSE),0)</f>
        <v>-24</v>
      </c>
      <c r="G85" s="38">
        <f t="shared" ref="G85" si="1141">IFERROR(F85/F$19,0)</f>
        <v>0</v>
      </c>
      <c r="H85" s="30">
        <f t="shared" si="898"/>
        <v>-24</v>
      </c>
      <c r="I85" s="40">
        <f t="shared" ref="I85" si="1142">IFERROR(H85/H$19,0)</f>
        <v>-4.6132711161961322E-5</v>
      </c>
      <c r="J85" s="29">
        <f>IFERROR(VLOOKUP($A85,APOIO!$B:$N,MATCH(J$5,APOIO!$B$5:$N$5,0),FALSE),0)</f>
        <v>0</v>
      </c>
      <c r="K85" s="38">
        <f t="shared" ref="K85" si="1143">IFERROR(J85/J$19,0)</f>
        <v>0</v>
      </c>
      <c r="L85" s="29">
        <f>IFERROR(VLOOKUP($A85,APOIO!$B:$N,MATCH(L$5,APOIO!$B$5:$N$5,0),FALSE),0)</f>
        <v>0</v>
      </c>
      <c r="M85" s="38">
        <f t="shared" ref="M85" si="1144">IFERROR(L85/L$19,0)</f>
        <v>0</v>
      </c>
      <c r="N85" s="29">
        <f>IFERROR(VLOOKUP($A85,APOIO!$B:$N,MATCH(N$5,APOIO!$B$5:$N$5,0),FALSE),0)</f>
        <v>0</v>
      </c>
      <c r="O85" s="38">
        <f t="shared" ref="O85" si="1145">IFERROR(N85/N$19,0)</f>
        <v>0</v>
      </c>
      <c r="P85" s="30">
        <f t="shared" si="903"/>
        <v>0</v>
      </c>
      <c r="Q85" s="41">
        <f t="shared" ref="Q85" si="1146">IFERROR(P85/P$19,0)</f>
        <v>0</v>
      </c>
      <c r="R85" s="29">
        <f>IFERROR(VLOOKUP($A85,APOIO!$B:$N,MATCH(R$5,APOIO!$B$5:$N$5,0),FALSE),0)</f>
        <v>0</v>
      </c>
      <c r="S85" s="41">
        <f t="shared" ref="S85" si="1147">IFERROR(R85/R$19,0)</f>
        <v>0</v>
      </c>
      <c r="T85" s="29">
        <f>IFERROR(VLOOKUP($A85,APOIO!$B:$N,MATCH(T$5,APOIO!$B$5:$N$5,0),FALSE),0)</f>
        <v>0</v>
      </c>
      <c r="U85" s="41">
        <f t="shared" ref="U85" si="1148">IFERROR(T85/T$19,0)</f>
        <v>0</v>
      </c>
      <c r="V85" s="29">
        <f>IFERROR(VLOOKUP($A85,APOIO!$B:$N,MATCH(V$5,APOIO!$B$5:$N$5,0),FALSE),0)</f>
        <v>0</v>
      </c>
      <c r="W85" s="38">
        <f t="shared" ref="W85" si="1149">IFERROR(V85/V$19,0)</f>
        <v>0</v>
      </c>
      <c r="X85" s="30">
        <f t="shared" si="908"/>
        <v>0</v>
      </c>
      <c r="Y85" s="41">
        <f t="shared" ref="Y85" si="1150">IFERROR(X85/X$19,0)</f>
        <v>0</v>
      </c>
      <c r="Z85" s="29">
        <f>IFERROR(VLOOKUP($A85,APOIO!$B:$N,MATCH(Z$5,APOIO!$B$5:$N$5,0),FALSE),0)</f>
        <v>0</v>
      </c>
      <c r="AA85" s="38">
        <f t="shared" ref="AA85" si="1151">IFERROR(Z85/Z$19,0)</f>
        <v>0</v>
      </c>
      <c r="AB85" s="29">
        <f>IFERROR(VLOOKUP($A85,APOIO!$B:$N,MATCH(AB$5,APOIO!$B$5:$N$5,0),FALSE),0)</f>
        <v>0</v>
      </c>
      <c r="AC85" s="38">
        <f t="shared" ref="AC85" si="1152">IFERROR(AB85/AB$19,0)</f>
        <v>0</v>
      </c>
      <c r="AD85" s="29">
        <f>IFERROR(VLOOKUP($A85,APOIO!$B:$N,MATCH(AD$5,APOIO!$B$5:$N$5,0),FALSE),0)</f>
        <v>0</v>
      </c>
      <c r="AE85" s="38">
        <f t="shared" ref="AE85" si="1153">IFERROR(AD85/AD$19,0)</f>
        <v>0</v>
      </c>
      <c r="AF85" s="30">
        <f t="shared" si="913"/>
        <v>0</v>
      </c>
      <c r="AG85" s="41">
        <f t="shared" ref="AG85" si="1154">IFERROR(AF85/AF$19,0)</f>
        <v>0</v>
      </c>
      <c r="AH85" s="29">
        <f t="shared" si="915"/>
        <v>-24</v>
      </c>
      <c r="AI85" s="41">
        <f t="shared" ref="AI85" si="1155">IFERROR(AH85/AH$19,0)</f>
        <v>-4.6132711161961322E-5</v>
      </c>
    </row>
    <row r="86" spans="1:35" ht="15.6" hidden="1" outlineLevel="1" x14ac:dyDescent="0.3">
      <c r="A86" s="35" t="s">
        <v>284</v>
      </c>
      <c r="B86" s="29">
        <f>IFERROR(VLOOKUP($A86,APOIO!$B:$N,MATCH(B$5,APOIO!$B$5:$N$5,0),FALSE),0)</f>
        <v>0</v>
      </c>
      <c r="C86" s="38">
        <f t="shared" si="134"/>
        <v>0</v>
      </c>
      <c r="D86" s="29">
        <f>IFERROR(VLOOKUP($A86,APOIO!$B:$N,MATCH(D$5,APOIO!$B$5:$N$5,0),FALSE),0)</f>
        <v>0</v>
      </c>
      <c r="E86" s="38">
        <f t="shared" si="134"/>
        <v>0</v>
      </c>
      <c r="F86" s="29">
        <f>IFERROR(VLOOKUP($A86,APOIO!$B:$N,MATCH(F$5,APOIO!$B$5:$N$5,0),FALSE),0)</f>
        <v>0</v>
      </c>
      <c r="G86" s="38">
        <f t="shared" ref="G86" si="1156">IFERROR(F86/F$19,0)</f>
        <v>0</v>
      </c>
      <c r="H86" s="30">
        <f t="shared" si="898"/>
        <v>0</v>
      </c>
      <c r="I86" s="40">
        <f t="shared" ref="I86" si="1157">IFERROR(H86/H$19,0)</f>
        <v>0</v>
      </c>
      <c r="J86" s="29">
        <f>IFERROR(VLOOKUP($A86,APOIO!$B:$N,MATCH(J$5,APOIO!$B$5:$N$5,0),FALSE),0)</f>
        <v>0</v>
      </c>
      <c r="K86" s="38">
        <f t="shared" ref="K86" si="1158">IFERROR(J86/J$19,0)</f>
        <v>0</v>
      </c>
      <c r="L86" s="29">
        <f>IFERROR(VLOOKUP($A86,APOIO!$B:$N,MATCH(L$5,APOIO!$B$5:$N$5,0),FALSE),0)</f>
        <v>0</v>
      </c>
      <c r="M86" s="38">
        <f t="shared" ref="M86" si="1159">IFERROR(L86/L$19,0)</f>
        <v>0</v>
      </c>
      <c r="N86" s="29">
        <f>IFERROR(VLOOKUP($A86,APOIO!$B:$N,MATCH(N$5,APOIO!$B$5:$N$5,0),FALSE),0)</f>
        <v>0</v>
      </c>
      <c r="O86" s="38">
        <f t="shared" ref="O86" si="1160">IFERROR(N86/N$19,0)</f>
        <v>0</v>
      </c>
      <c r="P86" s="30">
        <f t="shared" si="903"/>
        <v>0</v>
      </c>
      <c r="Q86" s="41">
        <f t="shared" ref="Q86" si="1161">IFERROR(P86/P$19,0)</f>
        <v>0</v>
      </c>
      <c r="R86" s="29">
        <f>IFERROR(VLOOKUP($A86,APOIO!$B:$N,MATCH(R$5,APOIO!$B$5:$N$5,0),FALSE),0)</f>
        <v>0</v>
      </c>
      <c r="S86" s="41">
        <f t="shared" ref="S86" si="1162">IFERROR(R86/R$19,0)</f>
        <v>0</v>
      </c>
      <c r="T86" s="29">
        <f>IFERROR(VLOOKUP($A86,APOIO!$B:$N,MATCH(T$5,APOIO!$B$5:$N$5,0),FALSE),0)</f>
        <v>0</v>
      </c>
      <c r="U86" s="41">
        <f t="shared" ref="U86" si="1163">IFERROR(T86/T$19,0)</f>
        <v>0</v>
      </c>
      <c r="V86" s="29">
        <f>IFERROR(VLOOKUP($A86,APOIO!$B:$N,MATCH(V$5,APOIO!$B$5:$N$5,0),FALSE),0)</f>
        <v>0</v>
      </c>
      <c r="W86" s="38">
        <f t="shared" ref="W86" si="1164">IFERROR(V86/V$19,0)</f>
        <v>0</v>
      </c>
      <c r="X86" s="30">
        <f t="shared" si="908"/>
        <v>0</v>
      </c>
      <c r="Y86" s="41">
        <f t="shared" ref="Y86" si="1165">IFERROR(X86/X$19,0)</f>
        <v>0</v>
      </c>
      <c r="Z86" s="29">
        <f>IFERROR(VLOOKUP($A86,APOIO!$B:$N,MATCH(Z$5,APOIO!$B$5:$N$5,0),FALSE),0)</f>
        <v>0</v>
      </c>
      <c r="AA86" s="38">
        <f t="shared" ref="AA86" si="1166">IFERROR(Z86/Z$19,0)</f>
        <v>0</v>
      </c>
      <c r="AB86" s="29">
        <f>IFERROR(VLOOKUP($A86,APOIO!$B:$N,MATCH(AB$5,APOIO!$B$5:$N$5,0),FALSE),0)</f>
        <v>0</v>
      </c>
      <c r="AC86" s="38">
        <f t="shared" ref="AC86" si="1167">IFERROR(AB86/AB$19,0)</f>
        <v>0</v>
      </c>
      <c r="AD86" s="29">
        <f>IFERROR(VLOOKUP($A86,APOIO!$B:$N,MATCH(AD$5,APOIO!$B$5:$N$5,0),FALSE),0)</f>
        <v>0</v>
      </c>
      <c r="AE86" s="38">
        <f t="shared" ref="AE86" si="1168">IFERROR(AD86/AD$19,0)</f>
        <v>0</v>
      </c>
      <c r="AF86" s="30">
        <f t="shared" si="913"/>
        <v>0</v>
      </c>
      <c r="AG86" s="41">
        <f t="shared" ref="AG86" si="1169">IFERROR(AF86/AF$19,0)</f>
        <v>0</v>
      </c>
      <c r="AH86" s="29">
        <f t="shared" si="915"/>
        <v>0</v>
      </c>
      <c r="AI86" s="41">
        <f t="shared" ref="AI86" si="1170">IFERROR(AH86/AH$19,0)</f>
        <v>0</v>
      </c>
    </row>
    <row r="87" spans="1:35" ht="15.6" hidden="1" outlineLevel="1" x14ac:dyDescent="0.3">
      <c r="A87" s="35" t="s">
        <v>285</v>
      </c>
      <c r="B87" s="29">
        <f>IFERROR(VLOOKUP($A87,APOIO!$B:$N,MATCH(B$5,APOIO!$B$5:$N$5,0),FALSE),0)</f>
        <v>0</v>
      </c>
      <c r="C87" s="38">
        <f t="shared" si="134"/>
        <v>0</v>
      </c>
      <c r="D87" s="29">
        <f>IFERROR(VLOOKUP($A87,APOIO!$B:$N,MATCH(D$5,APOIO!$B$5:$N$5,0),FALSE),0)</f>
        <v>0</v>
      </c>
      <c r="E87" s="38">
        <f t="shared" si="134"/>
        <v>0</v>
      </c>
      <c r="F87" s="29">
        <f>IFERROR(VLOOKUP($A87,APOIO!$B:$N,MATCH(F$5,APOIO!$B$5:$N$5,0),FALSE),0)</f>
        <v>0</v>
      </c>
      <c r="G87" s="38">
        <f t="shared" ref="G87" si="1171">IFERROR(F87/F$19,0)</f>
        <v>0</v>
      </c>
      <c r="H87" s="30">
        <f t="shared" si="898"/>
        <v>0</v>
      </c>
      <c r="I87" s="40">
        <f t="shared" ref="I87" si="1172">IFERROR(H87/H$19,0)</f>
        <v>0</v>
      </c>
      <c r="J87" s="29">
        <f>IFERROR(VLOOKUP($A87,APOIO!$B:$N,MATCH(J$5,APOIO!$B$5:$N$5,0),FALSE),0)</f>
        <v>0</v>
      </c>
      <c r="K87" s="38">
        <f t="shared" ref="K87" si="1173">IFERROR(J87/J$19,0)</f>
        <v>0</v>
      </c>
      <c r="L87" s="29">
        <f>IFERROR(VLOOKUP($A87,APOIO!$B:$N,MATCH(L$5,APOIO!$B$5:$N$5,0),FALSE),0)</f>
        <v>0</v>
      </c>
      <c r="M87" s="38">
        <f t="shared" ref="M87" si="1174">IFERROR(L87/L$19,0)</f>
        <v>0</v>
      </c>
      <c r="N87" s="29">
        <f>IFERROR(VLOOKUP($A87,APOIO!$B:$N,MATCH(N$5,APOIO!$B$5:$N$5,0),FALSE),0)</f>
        <v>0</v>
      </c>
      <c r="O87" s="38">
        <f t="shared" ref="O87" si="1175">IFERROR(N87/N$19,0)</f>
        <v>0</v>
      </c>
      <c r="P87" s="30">
        <f t="shared" si="903"/>
        <v>0</v>
      </c>
      <c r="Q87" s="41">
        <f t="shared" ref="Q87" si="1176">IFERROR(P87/P$19,0)</f>
        <v>0</v>
      </c>
      <c r="R87" s="29">
        <f>IFERROR(VLOOKUP($A87,APOIO!$B:$N,MATCH(R$5,APOIO!$B$5:$N$5,0),FALSE),0)</f>
        <v>0</v>
      </c>
      <c r="S87" s="41">
        <f t="shared" ref="S87" si="1177">IFERROR(R87/R$19,0)</f>
        <v>0</v>
      </c>
      <c r="T87" s="29">
        <f>IFERROR(VLOOKUP($A87,APOIO!$B:$N,MATCH(T$5,APOIO!$B$5:$N$5,0),FALSE),0)</f>
        <v>0</v>
      </c>
      <c r="U87" s="41">
        <f t="shared" ref="U87" si="1178">IFERROR(T87/T$19,0)</f>
        <v>0</v>
      </c>
      <c r="V87" s="29">
        <f>IFERROR(VLOOKUP($A87,APOIO!$B:$N,MATCH(V$5,APOIO!$B$5:$N$5,0),FALSE),0)</f>
        <v>0</v>
      </c>
      <c r="W87" s="38">
        <f t="shared" ref="W87" si="1179">IFERROR(V87/V$19,0)</f>
        <v>0</v>
      </c>
      <c r="X87" s="30">
        <f t="shared" si="908"/>
        <v>0</v>
      </c>
      <c r="Y87" s="41">
        <f t="shared" ref="Y87" si="1180">IFERROR(X87/X$19,0)</f>
        <v>0</v>
      </c>
      <c r="Z87" s="29">
        <f>IFERROR(VLOOKUP($A87,APOIO!$B:$N,MATCH(Z$5,APOIO!$B$5:$N$5,0),FALSE),0)</f>
        <v>0</v>
      </c>
      <c r="AA87" s="38">
        <f t="shared" ref="AA87" si="1181">IFERROR(Z87/Z$19,0)</f>
        <v>0</v>
      </c>
      <c r="AB87" s="29">
        <f>IFERROR(VLOOKUP($A87,APOIO!$B:$N,MATCH(AB$5,APOIO!$B$5:$N$5,0),FALSE),0)</f>
        <v>0</v>
      </c>
      <c r="AC87" s="38">
        <f t="shared" ref="AC87" si="1182">IFERROR(AB87/AB$19,0)</f>
        <v>0</v>
      </c>
      <c r="AD87" s="29">
        <f>IFERROR(VLOOKUP($A87,APOIO!$B:$N,MATCH(AD$5,APOIO!$B$5:$N$5,0),FALSE),0)</f>
        <v>0</v>
      </c>
      <c r="AE87" s="38">
        <f t="shared" ref="AE87" si="1183">IFERROR(AD87/AD$19,0)</f>
        <v>0</v>
      </c>
      <c r="AF87" s="30">
        <f t="shared" si="913"/>
        <v>0</v>
      </c>
      <c r="AG87" s="41">
        <f t="shared" ref="AG87" si="1184">IFERROR(AF87/AF$19,0)</f>
        <v>0</v>
      </c>
      <c r="AH87" s="29">
        <f t="shared" si="915"/>
        <v>0</v>
      </c>
      <c r="AI87" s="41">
        <f t="shared" ref="AI87" si="1185">IFERROR(AH87/AH$19,0)</f>
        <v>0</v>
      </c>
    </row>
    <row r="88" spans="1:35" ht="15.6" hidden="1" outlineLevel="1" x14ac:dyDescent="0.3">
      <c r="A88" s="35" t="s">
        <v>286</v>
      </c>
      <c r="B88" s="29">
        <f>IFERROR(VLOOKUP($A88,APOIO!$B:$N,MATCH(B$5,APOIO!$B$5:$N$5,0),FALSE),0)</f>
        <v>0</v>
      </c>
      <c r="C88" s="38">
        <f t="shared" si="134"/>
        <v>0</v>
      </c>
      <c r="D88" s="29">
        <f>IFERROR(VLOOKUP($A88,APOIO!$B:$N,MATCH(D$5,APOIO!$B$5:$N$5,0),FALSE),0)</f>
        <v>0</v>
      </c>
      <c r="E88" s="38">
        <f t="shared" si="134"/>
        <v>0</v>
      </c>
      <c r="F88" s="29">
        <f>IFERROR(VLOOKUP($A88,APOIO!$B:$N,MATCH(F$5,APOIO!$B$5:$N$5,0),FALSE),0)</f>
        <v>0</v>
      </c>
      <c r="G88" s="38">
        <f t="shared" ref="G88" si="1186">IFERROR(F88/F$19,0)</f>
        <v>0</v>
      </c>
      <c r="H88" s="30">
        <f t="shared" si="1"/>
        <v>0</v>
      </c>
      <c r="I88" s="40">
        <f t="shared" ref="I88" si="1187">IFERROR(H88/H$19,0)</f>
        <v>0</v>
      </c>
      <c r="J88" s="29">
        <f>IFERROR(VLOOKUP($A88,APOIO!$B:$N,MATCH(J$5,APOIO!$B$5:$N$5,0),FALSE),0)</f>
        <v>0</v>
      </c>
      <c r="K88" s="38">
        <f t="shared" ref="K88" si="1188">IFERROR(J88/J$19,0)</f>
        <v>0</v>
      </c>
      <c r="L88" s="29">
        <f>IFERROR(VLOOKUP($A88,APOIO!$B:$N,MATCH(L$5,APOIO!$B$5:$N$5,0),FALSE),0)</f>
        <v>0</v>
      </c>
      <c r="M88" s="38">
        <f t="shared" ref="M88" si="1189">IFERROR(L88/L$19,0)</f>
        <v>0</v>
      </c>
      <c r="N88" s="29">
        <f>IFERROR(VLOOKUP($A88,APOIO!$B:$N,MATCH(N$5,APOIO!$B$5:$N$5,0),FALSE),0)</f>
        <v>0</v>
      </c>
      <c r="O88" s="38">
        <f t="shared" ref="O88" si="1190">IFERROR(N88/N$19,0)</f>
        <v>0</v>
      </c>
      <c r="P88" s="30">
        <f t="shared" si="2"/>
        <v>0</v>
      </c>
      <c r="Q88" s="41">
        <f t="shared" ref="Q88" si="1191">IFERROR(P88/P$19,0)</f>
        <v>0</v>
      </c>
      <c r="R88" s="29">
        <f>IFERROR(VLOOKUP($A88,APOIO!$B:$N,MATCH(R$5,APOIO!$B$5:$N$5,0),FALSE),0)</f>
        <v>0</v>
      </c>
      <c r="S88" s="41">
        <f t="shared" ref="S88" si="1192">IFERROR(R88/R$19,0)</f>
        <v>0</v>
      </c>
      <c r="T88" s="29">
        <f>IFERROR(VLOOKUP($A88,APOIO!$B:$N,MATCH(T$5,APOIO!$B$5:$N$5,0),FALSE),0)</f>
        <v>0</v>
      </c>
      <c r="U88" s="41">
        <f t="shared" ref="U88" si="1193">IFERROR(T88/T$19,0)</f>
        <v>0</v>
      </c>
      <c r="V88" s="29">
        <f>IFERROR(VLOOKUP($A88,APOIO!$B:$N,MATCH(V$5,APOIO!$B$5:$N$5,0),FALSE),0)</f>
        <v>0</v>
      </c>
      <c r="W88" s="38">
        <f t="shared" ref="W88" si="1194">IFERROR(V88/V$19,0)</f>
        <v>0</v>
      </c>
      <c r="X88" s="30">
        <f t="shared" si="3"/>
        <v>0</v>
      </c>
      <c r="Y88" s="41">
        <f t="shared" ref="Y88" si="1195">IFERROR(X88/X$19,0)</f>
        <v>0</v>
      </c>
      <c r="Z88" s="29">
        <f>IFERROR(VLOOKUP($A88,APOIO!$B:$N,MATCH(Z$5,APOIO!$B$5:$N$5,0),FALSE),0)</f>
        <v>0</v>
      </c>
      <c r="AA88" s="38">
        <f t="shared" ref="AA88" si="1196">IFERROR(Z88/Z$19,0)</f>
        <v>0</v>
      </c>
      <c r="AB88" s="29">
        <f>IFERROR(VLOOKUP($A88,APOIO!$B:$N,MATCH(AB$5,APOIO!$B$5:$N$5,0),FALSE),0)</f>
        <v>0</v>
      </c>
      <c r="AC88" s="38">
        <f t="shared" ref="AC88" si="1197">IFERROR(AB88/AB$19,0)</f>
        <v>0</v>
      </c>
      <c r="AD88" s="29">
        <f>IFERROR(VLOOKUP($A88,APOIO!$B:$N,MATCH(AD$5,APOIO!$B$5:$N$5,0),FALSE),0)</f>
        <v>0</v>
      </c>
      <c r="AE88" s="38">
        <f t="shared" ref="AE88" si="1198">IFERROR(AD88/AD$19,0)</f>
        <v>0</v>
      </c>
      <c r="AF88" s="30">
        <f t="shared" si="4"/>
        <v>0</v>
      </c>
      <c r="AG88" s="41">
        <f t="shared" ref="AG88" si="1199">IFERROR(AF88/AF$19,0)</f>
        <v>0</v>
      </c>
      <c r="AH88" s="29">
        <f t="shared" si="5"/>
        <v>0</v>
      </c>
      <c r="AI88" s="41">
        <f t="shared" ref="AI88" si="1200">IFERROR(AH88/AH$19,0)</f>
        <v>0</v>
      </c>
    </row>
    <row r="89" spans="1:35" ht="15.6" collapsed="1" x14ac:dyDescent="0.3">
      <c r="A89" s="36" t="s">
        <v>179</v>
      </c>
      <c r="B89" s="37">
        <f>IFERROR(VLOOKUP($A89,APOIO!$B:$N,MATCH(B$5,APOIO!$B$5:$N$5,0),FALSE),0)</f>
        <v>-12925</v>
      </c>
      <c r="C89" s="39">
        <f t="shared" si="134"/>
        <v>-8.3293346082854103E-2</v>
      </c>
      <c r="D89" s="37">
        <f>IFERROR(VLOOKUP($A89,APOIO!$B:$N,MATCH(D$5,APOIO!$B$5:$N$5,0),FALSE),0)</f>
        <v>-6940</v>
      </c>
      <c r="E89" s="39">
        <f t="shared" si="134"/>
        <v>-1.9010377282851161E-2</v>
      </c>
      <c r="F89" s="37">
        <f>IFERROR(VLOOKUP($A89,APOIO!$B:$N,MATCH(F$5,APOIO!$B$5:$N$5,0),FALSE),0)</f>
        <v>-7031.08</v>
      </c>
      <c r="G89" s="39">
        <f t="shared" ref="G89" si="1201">IFERROR(F89/F$19,0)</f>
        <v>0</v>
      </c>
      <c r="H89" s="37">
        <f t="shared" si="1"/>
        <v>-26896.080000000002</v>
      </c>
      <c r="I89" s="39">
        <f t="shared" ref="I89" si="1202">IFERROR(H89/H$19,0)</f>
        <v>-5.1699545417875199E-2</v>
      </c>
      <c r="J89" s="37">
        <f>IFERROR(VLOOKUP($A89,APOIO!$B:$N,MATCH(J$5,APOIO!$B$5:$N$5,0),FALSE),0)</f>
        <v>-2509.9414529999999</v>
      </c>
      <c r="K89" s="39">
        <f t="shared" ref="K89" si="1203">IFERROR(J89/J$19,0)</f>
        <v>0</v>
      </c>
      <c r="L89" s="37">
        <f>IFERROR(VLOOKUP($A89,APOIO!$B:$N,MATCH(L$5,APOIO!$B$5:$N$5,0),FALSE),0)</f>
        <v>-3336</v>
      </c>
      <c r="M89" s="39">
        <f t="shared" ref="M89" si="1204">IFERROR(L89/L$19,0)</f>
        <v>0</v>
      </c>
      <c r="N89" s="37">
        <f>IFERROR(VLOOKUP($A89,APOIO!$B:$N,MATCH(N$5,APOIO!$B$5:$N$5,0),FALSE),0)</f>
        <v>0</v>
      </c>
      <c r="O89" s="39">
        <f t="shared" ref="O89" si="1205">IFERROR(N89/N$19,0)</f>
        <v>0</v>
      </c>
      <c r="P89" s="37">
        <f t="shared" si="2"/>
        <v>-5845.9414529999995</v>
      </c>
      <c r="Q89" s="42">
        <f t="shared" ref="Q89" si="1206">IFERROR(P89/P$19,0)</f>
        <v>0</v>
      </c>
      <c r="R89" s="37">
        <f>IFERROR(VLOOKUP($A89,APOIO!$B:$N,MATCH(R$5,APOIO!$B$5:$N$5,0),FALSE),0)</f>
        <v>0</v>
      </c>
      <c r="S89" s="42">
        <f t="shared" ref="S89" si="1207">IFERROR(R89/R$19,0)</f>
        <v>0</v>
      </c>
      <c r="T89" s="37">
        <f>IFERROR(VLOOKUP($A89,APOIO!$B:$N,MATCH(T$5,APOIO!$B$5:$N$5,0),FALSE),0)</f>
        <v>0</v>
      </c>
      <c r="U89" s="42">
        <f t="shared" ref="U89" si="1208">IFERROR(T89/T$19,0)</f>
        <v>0</v>
      </c>
      <c r="V89" s="37">
        <f>IFERROR(VLOOKUP($A89,APOIO!$B:$N,MATCH(V$5,APOIO!$B$5:$N$5,0),FALSE),0)</f>
        <v>0</v>
      </c>
      <c r="W89" s="39">
        <f t="shared" ref="W89" si="1209">IFERROR(V89/V$19,0)</f>
        <v>0</v>
      </c>
      <c r="X89" s="37">
        <f t="shared" si="3"/>
        <v>0</v>
      </c>
      <c r="Y89" s="42">
        <f t="shared" ref="Y89" si="1210">IFERROR(X89/X$19,0)</f>
        <v>0</v>
      </c>
      <c r="Z89" s="37">
        <f>IFERROR(VLOOKUP($A89,APOIO!$B:$N,MATCH(Z$5,APOIO!$B$5:$N$5,0),FALSE),0)</f>
        <v>0</v>
      </c>
      <c r="AA89" s="39">
        <f t="shared" ref="AA89" si="1211">IFERROR(Z89/Z$19,0)</f>
        <v>0</v>
      </c>
      <c r="AB89" s="37">
        <f>IFERROR(VLOOKUP($A89,APOIO!$B:$N,MATCH(AB$5,APOIO!$B$5:$N$5,0),FALSE),0)</f>
        <v>0</v>
      </c>
      <c r="AC89" s="39">
        <f t="shared" ref="AC89" si="1212">IFERROR(AB89/AB$19,0)</f>
        <v>0</v>
      </c>
      <c r="AD89" s="37">
        <f>IFERROR(VLOOKUP($A89,APOIO!$B:$N,MATCH(AD$5,APOIO!$B$5:$N$5,0),FALSE),0)</f>
        <v>0</v>
      </c>
      <c r="AE89" s="39">
        <f t="shared" ref="AE89" si="1213">IFERROR(AD89/AD$19,0)</f>
        <v>0</v>
      </c>
      <c r="AF89" s="37">
        <f t="shared" si="4"/>
        <v>0</v>
      </c>
      <c r="AG89" s="42">
        <f t="shared" ref="AG89" si="1214">IFERROR(AF89/AF$19,0)</f>
        <v>0</v>
      </c>
      <c r="AH89" s="37">
        <f t="shared" si="5"/>
        <v>-32742.021453000001</v>
      </c>
      <c r="AI89" s="42">
        <f t="shared" ref="AI89" si="1215">IFERROR(AH89/AH$19,0)</f>
        <v>-6.2936592439582925E-2</v>
      </c>
    </row>
    <row r="90" spans="1:35" ht="15.6" hidden="1" outlineLevel="1" x14ac:dyDescent="0.3">
      <c r="A90" s="35" t="s">
        <v>218</v>
      </c>
      <c r="B90" s="29">
        <f>IFERROR(VLOOKUP($A90,APOIO!$B:$N,MATCH(B$5,APOIO!$B$5:$N$5,0),FALSE),0)</f>
        <v>0</v>
      </c>
      <c r="C90" s="38">
        <f t="shared" si="134"/>
        <v>0</v>
      </c>
      <c r="D90" s="29">
        <f>IFERROR(VLOOKUP($A90,APOIO!$B:$N,MATCH(D$5,APOIO!$B$5:$N$5,0),FALSE),0)</f>
        <v>0</v>
      </c>
      <c r="E90" s="38">
        <f t="shared" si="134"/>
        <v>0</v>
      </c>
      <c r="F90" s="29">
        <f>IFERROR(VLOOKUP($A90,APOIO!$B:$N,MATCH(F$5,APOIO!$B$5:$N$5,0),FALSE),0)</f>
        <v>0</v>
      </c>
      <c r="G90" s="38">
        <f t="shared" ref="G90:G98" si="1216">IFERROR(F90/F$19,0)</f>
        <v>0</v>
      </c>
      <c r="H90" s="30">
        <f t="shared" si="1"/>
        <v>0</v>
      </c>
      <c r="I90" s="40">
        <f t="shared" ref="I90:I98" si="1217">IFERROR(H90/H$19,0)</f>
        <v>0</v>
      </c>
      <c r="J90" s="29">
        <f>IFERROR(VLOOKUP($A90,APOIO!$B:$N,MATCH(J$5,APOIO!$B$5:$N$5,0),FALSE),0)</f>
        <v>0</v>
      </c>
      <c r="K90" s="38">
        <f t="shared" ref="K90:K98" si="1218">IFERROR(J90/J$19,0)</f>
        <v>0</v>
      </c>
      <c r="L90" s="29">
        <f>IFERROR(VLOOKUP($A90,APOIO!$B:$N,MATCH(L$5,APOIO!$B$5:$N$5,0),FALSE),0)</f>
        <v>0</v>
      </c>
      <c r="M90" s="38">
        <f t="shared" ref="M90:M98" si="1219">IFERROR(L90/L$19,0)</f>
        <v>0</v>
      </c>
      <c r="N90" s="29">
        <f>IFERROR(VLOOKUP($A90,APOIO!$B:$N,MATCH(N$5,APOIO!$B$5:$N$5,0),FALSE),0)</f>
        <v>0</v>
      </c>
      <c r="O90" s="38">
        <f t="shared" ref="O90:O98" si="1220">IFERROR(N90/N$19,0)</f>
        <v>0</v>
      </c>
      <c r="P90" s="30">
        <f t="shared" si="2"/>
        <v>0</v>
      </c>
      <c r="Q90" s="41">
        <f t="shared" ref="Q90:Q98" si="1221">IFERROR(P90/P$19,0)</f>
        <v>0</v>
      </c>
      <c r="R90" s="29">
        <f>IFERROR(VLOOKUP($A90,APOIO!$B:$N,MATCH(R$5,APOIO!$B$5:$N$5,0),FALSE),0)</f>
        <v>0</v>
      </c>
      <c r="S90" s="41">
        <f t="shared" ref="S90:S98" si="1222">IFERROR(R90/R$19,0)</f>
        <v>0</v>
      </c>
      <c r="T90" s="29">
        <f>IFERROR(VLOOKUP($A90,APOIO!$B:$N,MATCH(T$5,APOIO!$B$5:$N$5,0),FALSE),0)</f>
        <v>0</v>
      </c>
      <c r="U90" s="41">
        <f t="shared" ref="U90:U98" si="1223">IFERROR(T90/T$19,0)</f>
        <v>0</v>
      </c>
      <c r="V90" s="29">
        <f>IFERROR(VLOOKUP($A90,APOIO!$B:$N,MATCH(V$5,APOIO!$B$5:$N$5,0),FALSE),0)</f>
        <v>0</v>
      </c>
      <c r="W90" s="38">
        <f t="shared" ref="W90:W98" si="1224">IFERROR(V90/V$19,0)</f>
        <v>0</v>
      </c>
      <c r="X90" s="30">
        <f t="shared" si="3"/>
        <v>0</v>
      </c>
      <c r="Y90" s="41">
        <f t="shared" ref="Y90:Y98" si="1225">IFERROR(X90/X$19,0)</f>
        <v>0</v>
      </c>
      <c r="Z90" s="29">
        <f>IFERROR(VLOOKUP($A90,APOIO!$B:$N,MATCH(Z$5,APOIO!$B$5:$N$5,0),FALSE),0)</f>
        <v>0</v>
      </c>
      <c r="AA90" s="38">
        <f t="shared" ref="AA90:AA98" si="1226">IFERROR(Z90/Z$19,0)</f>
        <v>0</v>
      </c>
      <c r="AB90" s="29">
        <f>IFERROR(VLOOKUP($A90,APOIO!$B:$N,MATCH(AB$5,APOIO!$B$5:$N$5,0),FALSE),0)</f>
        <v>0</v>
      </c>
      <c r="AC90" s="38">
        <f t="shared" ref="AC90:AC98" si="1227">IFERROR(AB90/AB$19,0)</f>
        <v>0</v>
      </c>
      <c r="AD90" s="29">
        <f>IFERROR(VLOOKUP($A90,APOIO!$B:$N,MATCH(AD$5,APOIO!$B$5:$N$5,0),FALSE),0)</f>
        <v>0</v>
      </c>
      <c r="AE90" s="38">
        <f t="shared" ref="AE90:AE98" si="1228">IFERROR(AD90/AD$19,0)</f>
        <v>0</v>
      </c>
      <c r="AF90" s="30">
        <f t="shared" si="4"/>
        <v>0</v>
      </c>
      <c r="AG90" s="41">
        <f t="shared" ref="AG90:AG98" si="1229">IFERROR(AF90/AF$19,0)</f>
        <v>0</v>
      </c>
      <c r="AH90" s="29">
        <f t="shared" si="5"/>
        <v>0</v>
      </c>
      <c r="AI90" s="41">
        <f t="shared" ref="AI90:AI98" si="1230">IFERROR(AH90/AH$19,0)</f>
        <v>0</v>
      </c>
    </row>
    <row r="91" spans="1:35" ht="15.6" hidden="1" outlineLevel="1" x14ac:dyDescent="0.3">
      <c r="A91" s="35" t="s">
        <v>219</v>
      </c>
      <c r="B91" s="29">
        <f>IFERROR(VLOOKUP($A91,APOIO!$B:$N,MATCH(B$5,APOIO!$B$5:$N$5,0),FALSE),0)</f>
        <v>0</v>
      </c>
      <c r="C91" s="38">
        <f t="shared" si="134"/>
        <v>0</v>
      </c>
      <c r="D91" s="29">
        <f>IFERROR(VLOOKUP($A91,APOIO!$B:$N,MATCH(D$5,APOIO!$B$5:$N$5,0),FALSE),0)</f>
        <v>0</v>
      </c>
      <c r="E91" s="38">
        <f t="shared" ref="E91" si="1231">IFERROR(D91/D$19,0)</f>
        <v>0</v>
      </c>
      <c r="F91" s="29">
        <f>IFERROR(VLOOKUP($A91,APOIO!$B:$N,MATCH(F$5,APOIO!$B$5:$N$5,0),FALSE),0)</f>
        <v>0</v>
      </c>
      <c r="G91" s="38">
        <f t="shared" si="1216"/>
        <v>0</v>
      </c>
      <c r="H91" s="30">
        <f t="shared" ref="H91" si="1232">SUM(B91,D91,F91)</f>
        <v>0</v>
      </c>
      <c r="I91" s="40">
        <f t="shared" si="1217"/>
        <v>0</v>
      </c>
      <c r="J91" s="29">
        <f>IFERROR(VLOOKUP($A91,APOIO!$B:$N,MATCH(J$5,APOIO!$B$5:$N$5,0),FALSE),0)</f>
        <v>0</v>
      </c>
      <c r="K91" s="38">
        <f t="shared" si="1218"/>
        <v>0</v>
      </c>
      <c r="L91" s="29">
        <f>IFERROR(VLOOKUP($A91,APOIO!$B:$N,MATCH(L$5,APOIO!$B$5:$N$5,0),FALSE),0)</f>
        <v>0</v>
      </c>
      <c r="M91" s="38">
        <f t="shared" si="1219"/>
        <v>0</v>
      </c>
      <c r="N91" s="29">
        <f>IFERROR(VLOOKUP($A91,APOIO!$B:$N,MATCH(N$5,APOIO!$B$5:$N$5,0),FALSE),0)</f>
        <v>0</v>
      </c>
      <c r="O91" s="38">
        <f t="shared" si="1220"/>
        <v>0</v>
      </c>
      <c r="P91" s="30">
        <f t="shared" ref="P91" si="1233">SUM(J91,L91,N91)</f>
        <v>0</v>
      </c>
      <c r="Q91" s="41">
        <f t="shared" si="1221"/>
        <v>0</v>
      </c>
      <c r="R91" s="29">
        <f>IFERROR(VLOOKUP($A91,APOIO!$B:$N,MATCH(R$5,APOIO!$B$5:$N$5,0),FALSE),0)</f>
        <v>0</v>
      </c>
      <c r="S91" s="41">
        <f t="shared" si="1222"/>
        <v>0</v>
      </c>
      <c r="T91" s="29">
        <f>IFERROR(VLOOKUP($A91,APOIO!$B:$N,MATCH(T$5,APOIO!$B$5:$N$5,0),FALSE),0)</f>
        <v>0</v>
      </c>
      <c r="U91" s="41">
        <f t="shared" si="1223"/>
        <v>0</v>
      </c>
      <c r="V91" s="29">
        <f>IFERROR(VLOOKUP($A91,APOIO!$B:$N,MATCH(V$5,APOIO!$B$5:$N$5,0),FALSE),0)</f>
        <v>0</v>
      </c>
      <c r="W91" s="38">
        <f t="shared" si="1224"/>
        <v>0</v>
      </c>
      <c r="X91" s="30">
        <f t="shared" ref="X91" si="1234">SUM(R91,T91,V91)</f>
        <v>0</v>
      </c>
      <c r="Y91" s="41">
        <f t="shared" si="1225"/>
        <v>0</v>
      </c>
      <c r="Z91" s="29">
        <f>IFERROR(VLOOKUP($A91,APOIO!$B:$N,MATCH(Z$5,APOIO!$B$5:$N$5,0),FALSE),0)</f>
        <v>0</v>
      </c>
      <c r="AA91" s="38">
        <f t="shared" si="1226"/>
        <v>0</v>
      </c>
      <c r="AB91" s="29">
        <f>IFERROR(VLOOKUP($A91,APOIO!$B:$N,MATCH(AB$5,APOIO!$B$5:$N$5,0),FALSE),0)</f>
        <v>0</v>
      </c>
      <c r="AC91" s="38">
        <f t="shared" si="1227"/>
        <v>0</v>
      </c>
      <c r="AD91" s="29">
        <f>IFERROR(VLOOKUP($A91,APOIO!$B:$N,MATCH(AD$5,APOIO!$B$5:$N$5,0),FALSE),0)</f>
        <v>0</v>
      </c>
      <c r="AE91" s="38">
        <f t="shared" si="1228"/>
        <v>0</v>
      </c>
      <c r="AF91" s="30">
        <f t="shared" ref="AF91" si="1235">SUM(Z91,AB91,AD91)</f>
        <v>0</v>
      </c>
      <c r="AG91" s="41">
        <f t="shared" si="1229"/>
        <v>0</v>
      </c>
      <c r="AH91" s="29">
        <f t="shared" ref="AH91" si="1236">SUM(B91,D91,F91,J91,L91,N91,R91,T91,V91,Z91,AB91,AD91)</f>
        <v>0</v>
      </c>
      <c r="AI91" s="41">
        <f t="shared" si="1230"/>
        <v>0</v>
      </c>
    </row>
    <row r="92" spans="1:35" ht="15.6" hidden="1" outlineLevel="1" x14ac:dyDescent="0.3">
      <c r="A92" s="35" t="s">
        <v>220</v>
      </c>
      <c r="B92" s="29">
        <f>IFERROR(VLOOKUP($A92,APOIO!$B:$N,MATCH(B$5,APOIO!$B$5:$N$5,0),FALSE),0)</f>
        <v>-1899</v>
      </c>
      <c r="C92" s="38">
        <f t="shared" ref="C92" si="1237">IFERROR(B92/B$19,0)</f>
        <v>-1.223783862370135E-2</v>
      </c>
      <c r="D92" s="29">
        <f>IFERROR(VLOOKUP($A92,APOIO!$B:$N,MATCH(D$5,APOIO!$B$5:$N$5,0),FALSE),0)</f>
        <v>-350</v>
      </c>
      <c r="E92" s="38">
        <f t="shared" ref="E92" si="1238">IFERROR(D92/D$19,0)</f>
        <v>-9.5873660648384813E-4</v>
      </c>
      <c r="F92" s="29">
        <f>IFERROR(VLOOKUP($A92,APOIO!$B:$N,MATCH(F$5,APOIO!$B$5:$N$5,0),FALSE),0)</f>
        <v>-2511</v>
      </c>
      <c r="G92" s="38">
        <f t="shared" ref="G92" si="1239">IFERROR(F92/F$19,0)</f>
        <v>0</v>
      </c>
      <c r="H92" s="30">
        <f t="shared" ref="H92" si="1240">SUM(B92,D92,F92)</f>
        <v>-4760</v>
      </c>
      <c r="I92" s="40">
        <f t="shared" ref="I92" si="1241">IFERROR(H92/H$19,0)</f>
        <v>-9.1496543804556619E-3</v>
      </c>
      <c r="J92" s="29">
        <f>IFERROR(VLOOKUP($A92,APOIO!$B:$N,MATCH(J$5,APOIO!$B$5:$N$5,0),FALSE),0)</f>
        <v>-90</v>
      </c>
      <c r="K92" s="38">
        <f t="shared" ref="K92" si="1242">IFERROR(J92/J$19,0)</f>
        <v>0</v>
      </c>
      <c r="L92" s="29">
        <f>IFERROR(VLOOKUP($A92,APOIO!$B:$N,MATCH(L$5,APOIO!$B$5:$N$5,0),FALSE),0)</f>
        <v>-916</v>
      </c>
      <c r="M92" s="38">
        <f t="shared" ref="M92" si="1243">IFERROR(L92/L$19,0)</f>
        <v>0</v>
      </c>
      <c r="N92" s="29">
        <f>IFERROR(VLOOKUP($A92,APOIO!$B:$N,MATCH(N$5,APOIO!$B$5:$N$5,0),FALSE),0)</f>
        <v>0</v>
      </c>
      <c r="O92" s="38">
        <f t="shared" ref="O92" si="1244">IFERROR(N92/N$19,0)</f>
        <v>0</v>
      </c>
      <c r="P92" s="30">
        <f t="shared" ref="P92" si="1245">SUM(J92,L92,N92)</f>
        <v>-1006</v>
      </c>
      <c r="Q92" s="41">
        <f t="shared" ref="Q92" si="1246">IFERROR(P92/P$19,0)</f>
        <v>0</v>
      </c>
      <c r="R92" s="29">
        <f>IFERROR(VLOOKUP($A92,APOIO!$B:$N,MATCH(R$5,APOIO!$B$5:$N$5,0),FALSE),0)</f>
        <v>0</v>
      </c>
      <c r="S92" s="41">
        <f t="shared" ref="S92" si="1247">IFERROR(R92/R$19,0)</f>
        <v>0</v>
      </c>
      <c r="T92" s="29">
        <f>IFERROR(VLOOKUP($A92,APOIO!$B:$N,MATCH(T$5,APOIO!$B$5:$N$5,0),FALSE),0)</f>
        <v>0</v>
      </c>
      <c r="U92" s="41">
        <f t="shared" ref="U92" si="1248">IFERROR(T92/T$19,0)</f>
        <v>0</v>
      </c>
      <c r="V92" s="29">
        <f>IFERROR(VLOOKUP($A92,APOIO!$B:$N,MATCH(V$5,APOIO!$B$5:$N$5,0),FALSE),0)</f>
        <v>0</v>
      </c>
      <c r="W92" s="38">
        <f t="shared" ref="W92" si="1249">IFERROR(V92/V$19,0)</f>
        <v>0</v>
      </c>
      <c r="X92" s="30">
        <f t="shared" ref="X92" si="1250">SUM(R92,T92,V92)</f>
        <v>0</v>
      </c>
      <c r="Y92" s="41">
        <f t="shared" ref="Y92" si="1251">IFERROR(X92/X$19,0)</f>
        <v>0</v>
      </c>
      <c r="Z92" s="29">
        <f>IFERROR(VLOOKUP($A92,APOIO!$B:$N,MATCH(Z$5,APOIO!$B$5:$N$5,0),FALSE),0)</f>
        <v>0</v>
      </c>
      <c r="AA92" s="38">
        <f t="shared" ref="AA92" si="1252">IFERROR(Z92/Z$19,0)</f>
        <v>0</v>
      </c>
      <c r="AB92" s="29">
        <f>IFERROR(VLOOKUP($A92,APOIO!$B:$N,MATCH(AB$5,APOIO!$B$5:$N$5,0),FALSE),0)</f>
        <v>0</v>
      </c>
      <c r="AC92" s="38">
        <f t="shared" ref="AC92" si="1253">IFERROR(AB92/AB$19,0)</f>
        <v>0</v>
      </c>
      <c r="AD92" s="29">
        <f>IFERROR(VLOOKUP($A92,APOIO!$B:$N,MATCH(AD$5,APOIO!$B$5:$N$5,0),FALSE),0)</f>
        <v>0</v>
      </c>
      <c r="AE92" s="38">
        <f t="shared" ref="AE92" si="1254">IFERROR(AD92/AD$19,0)</f>
        <v>0</v>
      </c>
      <c r="AF92" s="30">
        <f t="shared" ref="AF92" si="1255">SUM(Z92,AB92,AD92)</f>
        <v>0</v>
      </c>
      <c r="AG92" s="41">
        <f t="shared" ref="AG92" si="1256">IFERROR(AF92/AF$19,0)</f>
        <v>0</v>
      </c>
      <c r="AH92" s="29">
        <f t="shared" ref="AH92" si="1257">SUM(B92,D92,F92,J92,L92,N92,R92,T92,V92,Z92,AB92,AD92)</f>
        <v>-5766</v>
      </c>
      <c r="AI92" s="41">
        <f t="shared" ref="AI92" si="1258">IFERROR(AH92/AH$19,0)</f>
        <v>-1.1083383856661208E-2</v>
      </c>
    </row>
    <row r="93" spans="1:35" ht="15.6" hidden="1" outlineLevel="1" x14ac:dyDescent="0.3">
      <c r="A93" s="35" t="s">
        <v>221</v>
      </c>
      <c r="B93" s="29">
        <f>IFERROR(VLOOKUP($A93,APOIO!$B:$N,MATCH(B$5,APOIO!$B$5:$N$5,0),FALSE),0)</f>
        <v>-10650.4</v>
      </c>
      <c r="C93" s="38">
        <f t="shared" ref="C93" si="1259">IFERROR(B93/B$19,0)</f>
        <v>-6.863500604416474E-2</v>
      </c>
      <c r="D93" s="29">
        <f>IFERROR(VLOOKUP($A93,APOIO!$B:$N,MATCH(D$5,APOIO!$B$5:$N$5,0),FALSE),0)</f>
        <v>-6200</v>
      </c>
      <c r="E93" s="38">
        <f t="shared" ref="E93" si="1260">IFERROR(D93/D$19,0)</f>
        <v>-1.6983334171999594E-2</v>
      </c>
      <c r="F93" s="29">
        <f>IFERROR(VLOOKUP($A93,APOIO!$B:$N,MATCH(F$5,APOIO!$B$5:$N$5,0),FALSE),0)</f>
        <v>-4100.08</v>
      </c>
      <c r="G93" s="38">
        <f t="shared" ref="G93" si="1261">IFERROR(F93/F$19,0)</f>
        <v>0</v>
      </c>
      <c r="H93" s="30">
        <f t="shared" ref="H93" si="1262">SUM(B93,D93,F93)</f>
        <v>-20950.480000000003</v>
      </c>
      <c r="I93" s="40">
        <f t="shared" ref="I93" si="1263">IFERROR(H93/H$19,0)</f>
        <v>-4.0270935106018646E-2</v>
      </c>
      <c r="J93" s="29">
        <f>IFERROR(VLOOKUP($A93,APOIO!$B:$N,MATCH(J$5,APOIO!$B$5:$N$5,0),FALSE),0)</f>
        <v>-2000</v>
      </c>
      <c r="K93" s="38">
        <f t="shared" ref="K93" si="1264">IFERROR(J93/J$19,0)</f>
        <v>0</v>
      </c>
      <c r="L93" s="29">
        <f>IFERROR(VLOOKUP($A93,APOIO!$B:$N,MATCH(L$5,APOIO!$B$5:$N$5,0),FALSE),0)</f>
        <v>-2000</v>
      </c>
      <c r="M93" s="38">
        <f t="shared" ref="M93" si="1265">IFERROR(L93/L$19,0)</f>
        <v>0</v>
      </c>
      <c r="N93" s="29">
        <f>IFERROR(VLOOKUP($A93,APOIO!$B:$N,MATCH(N$5,APOIO!$B$5:$N$5,0),FALSE),0)</f>
        <v>0</v>
      </c>
      <c r="O93" s="38">
        <f t="shared" ref="O93" si="1266">IFERROR(N93/N$19,0)</f>
        <v>0</v>
      </c>
      <c r="P93" s="30">
        <f t="shared" ref="P93" si="1267">SUM(J93,L93,N93)</f>
        <v>-4000</v>
      </c>
      <c r="Q93" s="41">
        <f t="shared" ref="Q93" si="1268">IFERROR(P93/P$19,0)</f>
        <v>0</v>
      </c>
      <c r="R93" s="29">
        <f>IFERROR(VLOOKUP($A93,APOIO!$B:$N,MATCH(R$5,APOIO!$B$5:$N$5,0),FALSE),0)</f>
        <v>0</v>
      </c>
      <c r="S93" s="41">
        <f t="shared" ref="S93" si="1269">IFERROR(R93/R$19,0)</f>
        <v>0</v>
      </c>
      <c r="T93" s="29">
        <f>IFERROR(VLOOKUP($A93,APOIO!$B:$N,MATCH(T$5,APOIO!$B$5:$N$5,0),FALSE),0)</f>
        <v>0</v>
      </c>
      <c r="U93" s="41">
        <f t="shared" ref="U93" si="1270">IFERROR(T93/T$19,0)</f>
        <v>0</v>
      </c>
      <c r="V93" s="29">
        <f>IFERROR(VLOOKUP($A93,APOIO!$B:$N,MATCH(V$5,APOIO!$B$5:$N$5,0),FALSE),0)</f>
        <v>0</v>
      </c>
      <c r="W93" s="38">
        <f t="shared" ref="W93" si="1271">IFERROR(V93/V$19,0)</f>
        <v>0</v>
      </c>
      <c r="X93" s="30">
        <f t="shared" ref="X93" si="1272">SUM(R93,T93,V93)</f>
        <v>0</v>
      </c>
      <c r="Y93" s="41">
        <f t="shared" ref="Y93" si="1273">IFERROR(X93/X$19,0)</f>
        <v>0</v>
      </c>
      <c r="Z93" s="29">
        <f>IFERROR(VLOOKUP($A93,APOIO!$B:$N,MATCH(Z$5,APOIO!$B$5:$N$5,0),FALSE),0)</f>
        <v>0</v>
      </c>
      <c r="AA93" s="38">
        <f t="shared" ref="AA93" si="1274">IFERROR(Z93/Z$19,0)</f>
        <v>0</v>
      </c>
      <c r="AB93" s="29">
        <f>IFERROR(VLOOKUP($A93,APOIO!$B:$N,MATCH(AB$5,APOIO!$B$5:$N$5,0),FALSE),0)</f>
        <v>0</v>
      </c>
      <c r="AC93" s="38">
        <f t="shared" ref="AC93" si="1275">IFERROR(AB93/AB$19,0)</f>
        <v>0</v>
      </c>
      <c r="AD93" s="29">
        <f>IFERROR(VLOOKUP($A93,APOIO!$B:$N,MATCH(AD$5,APOIO!$B$5:$N$5,0),FALSE),0)</f>
        <v>0</v>
      </c>
      <c r="AE93" s="38">
        <f t="shared" ref="AE93" si="1276">IFERROR(AD93/AD$19,0)</f>
        <v>0</v>
      </c>
      <c r="AF93" s="30">
        <f t="shared" ref="AF93" si="1277">SUM(Z93,AB93,AD93)</f>
        <v>0</v>
      </c>
      <c r="AG93" s="41">
        <f t="shared" ref="AG93" si="1278">IFERROR(AF93/AF$19,0)</f>
        <v>0</v>
      </c>
      <c r="AH93" s="29">
        <f t="shared" ref="AH93" si="1279">SUM(B93,D93,F93,J93,L93,N93,R93,T93,V93,Z93,AB93,AD93)</f>
        <v>-24950.480000000003</v>
      </c>
      <c r="AI93" s="41">
        <f t="shared" ref="AI93" si="1280">IFERROR(AH93/AH$19,0)</f>
        <v>-4.7959720299678869E-2</v>
      </c>
    </row>
    <row r="94" spans="1:35" ht="15.6" hidden="1" outlineLevel="1" x14ac:dyDescent="0.3">
      <c r="A94" s="35" t="s">
        <v>222</v>
      </c>
      <c r="B94" s="29">
        <f>IFERROR(VLOOKUP($A94,APOIO!$B:$N,MATCH(B$5,APOIO!$B$5:$N$5,0),FALSE),0)</f>
        <v>0</v>
      </c>
      <c r="C94" s="38">
        <f t="shared" ref="C94" si="1281">IFERROR(B94/B$19,0)</f>
        <v>0</v>
      </c>
      <c r="D94" s="29">
        <f>IFERROR(VLOOKUP($A94,APOIO!$B:$N,MATCH(D$5,APOIO!$B$5:$N$5,0),FALSE),0)</f>
        <v>0</v>
      </c>
      <c r="E94" s="38">
        <f t="shared" ref="E94" si="1282">IFERROR(D94/D$19,0)</f>
        <v>0</v>
      </c>
      <c r="F94" s="29">
        <f>IFERROR(VLOOKUP($A94,APOIO!$B:$N,MATCH(F$5,APOIO!$B$5:$N$5,0),FALSE),0)</f>
        <v>0</v>
      </c>
      <c r="G94" s="38">
        <f t="shared" ref="G94" si="1283">IFERROR(F94/F$19,0)</f>
        <v>0</v>
      </c>
      <c r="H94" s="30">
        <f t="shared" ref="H94" si="1284">SUM(B94,D94,F94)</f>
        <v>0</v>
      </c>
      <c r="I94" s="40">
        <f t="shared" ref="I94" si="1285">IFERROR(H94/H$19,0)</f>
        <v>0</v>
      </c>
      <c r="J94" s="29">
        <f>IFERROR(VLOOKUP($A94,APOIO!$B:$N,MATCH(J$5,APOIO!$B$5:$N$5,0),FALSE),0)</f>
        <v>0</v>
      </c>
      <c r="K94" s="38">
        <f t="shared" ref="K94" si="1286">IFERROR(J94/J$19,0)</f>
        <v>0</v>
      </c>
      <c r="L94" s="29">
        <f>IFERROR(VLOOKUP($A94,APOIO!$B:$N,MATCH(L$5,APOIO!$B$5:$N$5,0),FALSE),0)</f>
        <v>0</v>
      </c>
      <c r="M94" s="38">
        <f t="shared" ref="M94" si="1287">IFERROR(L94/L$19,0)</f>
        <v>0</v>
      </c>
      <c r="N94" s="29">
        <f>IFERROR(VLOOKUP($A94,APOIO!$B:$N,MATCH(N$5,APOIO!$B$5:$N$5,0),FALSE),0)</f>
        <v>0</v>
      </c>
      <c r="O94" s="38">
        <f t="shared" ref="O94" si="1288">IFERROR(N94/N$19,0)</f>
        <v>0</v>
      </c>
      <c r="P94" s="30">
        <f t="shared" ref="P94" si="1289">SUM(J94,L94,N94)</f>
        <v>0</v>
      </c>
      <c r="Q94" s="41">
        <f t="shared" ref="Q94" si="1290">IFERROR(P94/P$19,0)</f>
        <v>0</v>
      </c>
      <c r="R94" s="29">
        <f>IFERROR(VLOOKUP($A94,APOIO!$B:$N,MATCH(R$5,APOIO!$B$5:$N$5,0),FALSE),0)</f>
        <v>0</v>
      </c>
      <c r="S94" s="41">
        <f t="shared" ref="S94" si="1291">IFERROR(R94/R$19,0)</f>
        <v>0</v>
      </c>
      <c r="T94" s="29">
        <f>IFERROR(VLOOKUP($A94,APOIO!$B:$N,MATCH(T$5,APOIO!$B$5:$N$5,0),FALSE),0)</f>
        <v>0</v>
      </c>
      <c r="U94" s="41">
        <f t="shared" ref="U94" si="1292">IFERROR(T94/T$19,0)</f>
        <v>0</v>
      </c>
      <c r="V94" s="29">
        <f>IFERROR(VLOOKUP($A94,APOIO!$B:$N,MATCH(V$5,APOIO!$B$5:$N$5,0),FALSE),0)</f>
        <v>0</v>
      </c>
      <c r="W94" s="38">
        <f t="shared" ref="W94" si="1293">IFERROR(V94/V$19,0)</f>
        <v>0</v>
      </c>
      <c r="X94" s="30">
        <f t="shared" ref="X94" si="1294">SUM(R94,T94,V94)</f>
        <v>0</v>
      </c>
      <c r="Y94" s="41">
        <f t="shared" ref="Y94" si="1295">IFERROR(X94/X$19,0)</f>
        <v>0</v>
      </c>
      <c r="Z94" s="29">
        <f>IFERROR(VLOOKUP($A94,APOIO!$B:$N,MATCH(Z$5,APOIO!$B$5:$N$5,0),FALSE),0)</f>
        <v>0</v>
      </c>
      <c r="AA94" s="38">
        <f t="shared" ref="AA94" si="1296">IFERROR(Z94/Z$19,0)</f>
        <v>0</v>
      </c>
      <c r="AB94" s="29">
        <f>IFERROR(VLOOKUP($A94,APOIO!$B:$N,MATCH(AB$5,APOIO!$B$5:$N$5,0),FALSE),0)</f>
        <v>0</v>
      </c>
      <c r="AC94" s="38">
        <f t="shared" ref="AC94" si="1297">IFERROR(AB94/AB$19,0)</f>
        <v>0</v>
      </c>
      <c r="AD94" s="29">
        <f>IFERROR(VLOOKUP($A94,APOIO!$B:$N,MATCH(AD$5,APOIO!$B$5:$N$5,0),FALSE),0)</f>
        <v>0</v>
      </c>
      <c r="AE94" s="38">
        <f t="shared" ref="AE94" si="1298">IFERROR(AD94/AD$19,0)</f>
        <v>0</v>
      </c>
      <c r="AF94" s="30">
        <f t="shared" ref="AF94" si="1299">SUM(Z94,AB94,AD94)</f>
        <v>0</v>
      </c>
      <c r="AG94" s="41">
        <f t="shared" ref="AG94" si="1300">IFERROR(AF94/AF$19,0)</f>
        <v>0</v>
      </c>
      <c r="AH94" s="29">
        <f t="shared" ref="AH94" si="1301">SUM(B94,D94,F94,J94,L94,N94,R94,T94,V94,Z94,AB94,AD94)</f>
        <v>0</v>
      </c>
      <c r="AI94" s="41">
        <f t="shared" ref="AI94" si="1302">IFERROR(AH94/AH$19,0)</f>
        <v>0</v>
      </c>
    </row>
    <row r="95" spans="1:35" ht="15.6" hidden="1" outlineLevel="1" x14ac:dyDescent="0.3">
      <c r="A95" s="35" t="s">
        <v>223</v>
      </c>
      <c r="B95" s="29">
        <f>IFERROR(VLOOKUP($A95,APOIO!$B:$N,MATCH(B$5,APOIO!$B$5:$N$5,0),FALSE),0)</f>
        <v>-145.6</v>
      </c>
      <c r="C95" s="38">
        <f t="shared" ref="C95:C97" si="1303">IFERROR(B95/B$19,0)</f>
        <v>-9.3829873807841832E-4</v>
      </c>
      <c r="D95" s="29">
        <f>IFERROR(VLOOKUP($A95,APOIO!$B:$N,MATCH(D$5,APOIO!$B$5:$N$5,0),FALSE),0)</f>
        <v>0</v>
      </c>
      <c r="E95" s="38">
        <f t="shared" si="134"/>
        <v>0</v>
      </c>
      <c r="F95" s="29">
        <f>IFERROR(VLOOKUP($A95,APOIO!$B:$N,MATCH(F$5,APOIO!$B$5:$N$5,0),FALSE),0)</f>
        <v>0</v>
      </c>
      <c r="G95" s="38">
        <f t="shared" ref="G95:G97" si="1304">IFERROR(F95/F$19,0)</f>
        <v>0</v>
      </c>
      <c r="H95" s="30">
        <f t="shared" si="1"/>
        <v>-145.6</v>
      </c>
      <c r="I95" s="40">
        <f t="shared" ref="I95:I97" si="1305">IFERROR(H95/H$19,0)</f>
        <v>-2.7987178104923202E-4</v>
      </c>
      <c r="J95" s="29">
        <f>IFERROR(VLOOKUP($A95,APOIO!$B:$N,MATCH(J$5,APOIO!$B$5:$N$5,0),FALSE),0)</f>
        <v>0</v>
      </c>
      <c r="K95" s="38">
        <f t="shared" ref="K95:K97" si="1306">IFERROR(J95/J$19,0)</f>
        <v>0</v>
      </c>
      <c r="L95" s="29">
        <f>IFERROR(VLOOKUP($A95,APOIO!$B:$N,MATCH(L$5,APOIO!$B$5:$N$5,0),FALSE),0)</f>
        <v>0</v>
      </c>
      <c r="M95" s="38">
        <f t="shared" ref="M95:M97" si="1307">IFERROR(L95/L$19,0)</f>
        <v>0</v>
      </c>
      <c r="N95" s="29">
        <f>IFERROR(VLOOKUP($A95,APOIO!$B:$N,MATCH(N$5,APOIO!$B$5:$N$5,0),FALSE),0)</f>
        <v>0</v>
      </c>
      <c r="O95" s="38">
        <f t="shared" ref="O95:O97" si="1308">IFERROR(N95/N$19,0)</f>
        <v>0</v>
      </c>
      <c r="P95" s="30">
        <f t="shared" si="2"/>
        <v>0</v>
      </c>
      <c r="Q95" s="41">
        <f t="shared" ref="Q95:Q97" si="1309">IFERROR(P95/P$19,0)</f>
        <v>0</v>
      </c>
      <c r="R95" s="29">
        <f>IFERROR(VLOOKUP($A95,APOIO!$B:$N,MATCH(R$5,APOIO!$B$5:$N$5,0),FALSE),0)</f>
        <v>0</v>
      </c>
      <c r="S95" s="41">
        <f t="shared" ref="S95:S97" si="1310">IFERROR(R95/R$19,0)</f>
        <v>0</v>
      </c>
      <c r="T95" s="29">
        <f>IFERROR(VLOOKUP($A95,APOIO!$B:$N,MATCH(T$5,APOIO!$B$5:$N$5,0),FALSE),0)</f>
        <v>0</v>
      </c>
      <c r="U95" s="41">
        <f t="shared" ref="U95:U97" si="1311">IFERROR(T95/T$19,0)</f>
        <v>0</v>
      </c>
      <c r="V95" s="29">
        <f>IFERROR(VLOOKUP($A95,APOIO!$B:$N,MATCH(V$5,APOIO!$B$5:$N$5,0),FALSE),0)</f>
        <v>0</v>
      </c>
      <c r="W95" s="38">
        <f t="shared" ref="W95:W97" si="1312">IFERROR(V95/V$19,0)</f>
        <v>0</v>
      </c>
      <c r="X95" s="30">
        <f t="shared" si="3"/>
        <v>0</v>
      </c>
      <c r="Y95" s="41">
        <f t="shared" ref="Y95:Y97" si="1313">IFERROR(X95/X$19,0)</f>
        <v>0</v>
      </c>
      <c r="Z95" s="29">
        <f>IFERROR(VLOOKUP($A95,APOIO!$B:$N,MATCH(Z$5,APOIO!$B$5:$N$5,0),FALSE),0)</f>
        <v>0</v>
      </c>
      <c r="AA95" s="38">
        <f t="shared" ref="AA95:AA97" si="1314">IFERROR(Z95/Z$19,0)</f>
        <v>0</v>
      </c>
      <c r="AB95" s="29">
        <f>IFERROR(VLOOKUP($A95,APOIO!$B:$N,MATCH(AB$5,APOIO!$B$5:$N$5,0),FALSE),0)</f>
        <v>0</v>
      </c>
      <c r="AC95" s="38">
        <f t="shared" ref="AC95:AC97" si="1315">IFERROR(AB95/AB$19,0)</f>
        <v>0</v>
      </c>
      <c r="AD95" s="29">
        <f>IFERROR(VLOOKUP($A95,APOIO!$B:$N,MATCH(AD$5,APOIO!$B$5:$N$5,0),FALSE),0)</f>
        <v>0</v>
      </c>
      <c r="AE95" s="38">
        <f t="shared" ref="AE95:AE97" si="1316">IFERROR(AD95/AD$19,0)</f>
        <v>0</v>
      </c>
      <c r="AF95" s="30">
        <f t="shared" si="4"/>
        <v>0</v>
      </c>
      <c r="AG95" s="41">
        <f t="shared" ref="AG95:AG97" si="1317">IFERROR(AF95/AF$19,0)</f>
        <v>0</v>
      </c>
      <c r="AH95" s="29">
        <f t="shared" si="5"/>
        <v>-145.6</v>
      </c>
      <c r="AI95" s="41">
        <f t="shared" ref="AI95:AI97" si="1318">IFERROR(AH95/AH$19,0)</f>
        <v>-2.7987178104923202E-4</v>
      </c>
    </row>
    <row r="96" spans="1:35" ht="15.6" hidden="1" outlineLevel="1" x14ac:dyDescent="0.3">
      <c r="A96" s="35" t="s">
        <v>224</v>
      </c>
      <c r="B96" s="29">
        <f>IFERROR(VLOOKUP($A96,APOIO!$B:$N,MATCH(B$5,APOIO!$B$5:$N$5,0),FALSE),0)</f>
        <v>0</v>
      </c>
      <c r="C96" s="38">
        <f t="shared" ref="C96" si="1319">IFERROR(B96/B$19,0)</f>
        <v>0</v>
      </c>
      <c r="D96" s="29">
        <f>IFERROR(VLOOKUP($A96,APOIO!$B:$N,MATCH(D$5,APOIO!$B$5:$N$5,0),FALSE),0)</f>
        <v>0</v>
      </c>
      <c r="E96" s="38">
        <f t="shared" ref="E96" si="1320">IFERROR(D96/D$19,0)</f>
        <v>0</v>
      </c>
      <c r="F96" s="29">
        <f>IFERROR(VLOOKUP($A96,APOIO!$B:$N,MATCH(F$5,APOIO!$B$5:$N$5,0),FALSE),0)</f>
        <v>0</v>
      </c>
      <c r="G96" s="38">
        <f t="shared" ref="G96" si="1321">IFERROR(F96/F$19,0)</f>
        <v>0</v>
      </c>
      <c r="H96" s="30">
        <f t="shared" ref="H96" si="1322">SUM(B96,D96,F96)</f>
        <v>0</v>
      </c>
      <c r="I96" s="40">
        <f t="shared" ref="I96" si="1323">IFERROR(H96/H$19,0)</f>
        <v>0</v>
      </c>
      <c r="J96" s="29">
        <f>IFERROR(VLOOKUP($A96,APOIO!$B:$N,MATCH(J$5,APOIO!$B$5:$N$5,0),FALSE),0)</f>
        <v>0</v>
      </c>
      <c r="K96" s="38">
        <f t="shared" ref="K96" si="1324">IFERROR(J96/J$19,0)</f>
        <v>0</v>
      </c>
      <c r="L96" s="29">
        <f>IFERROR(VLOOKUP($A96,APOIO!$B:$N,MATCH(L$5,APOIO!$B$5:$N$5,0),FALSE),0)</f>
        <v>0</v>
      </c>
      <c r="M96" s="38">
        <f t="shared" ref="M96" si="1325">IFERROR(L96/L$19,0)</f>
        <v>0</v>
      </c>
      <c r="N96" s="29">
        <f>IFERROR(VLOOKUP($A96,APOIO!$B:$N,MATCH(N$5,APOIO!$B$5:$N$5,0),FALSE),0)</f>
        <v>0</v>
      </c>
      <c r="O96" s="38">
        <f t="shared" ref="O96" si="1326">IFERROR(N96/N$19,0)</f>
        <v>0</v>
      </c>
      <c r="P96" s="30">
        <f t="shared" ref="P96" si="1327">SUM(J96,L96,N96)</f>
        <v>0</v>
      </c>
      <c r="Q96" s="41">
        <f t="shared" ref="Q96" si="1328">IFERROR(P96/P$19,0)</f>
        <v>0</v>
      </c>
      <c r="R96" s="29">
        <f>IFERROR(VLOOKUP($A96,APOIO!$B:$N,MATCH(R$5,APOIO!$B$5:$N$5,0),FALSE),0)</f>
        <v>0</v>
      </c>
      <c r="S96" s="41">
        <f t="shared" ref="S96" si="1329">IFERROR(R96/R$19,0)</f>
        <v>0</v>
      </c>
      <c r="T96" s="29">
        <f>IFERROR(VLOOKUP($A96,APOIO!$B:$N,MATCH(T$5,APOIO!$B$5:$N$5,0),FALSE),0)</f>
        <v>0</v>
      </c>
      <c r="U96" s="41">
        <f t="shared" ref="U96" si="1330">IFERROR(T96/T$19,0)</f>
        <v>0</v>
      </c>
      <c r="V96" s="29">
        <f>IFERROR(VLOOKUP($A96,APOIO!$B:$N,MATCH(V$5,APOIO!$B$5:$N$5,0),FALSE),0)</f>
        <v>0</v>
      </c>
      <c r="W96" s="38">
        <f t="shared" ref="W96" si="1331">IFERROR(V96/V$19,0)</f>
        <v>0</v>
      </c>
      <c r="X96" s="30">
        <f t="shared" ref="X96" si="1332">SUM(R96,T96,V96)</f>
        <v>0</v>
      </c>
      <c r="Y96" s="41">
        <f t="shared" ref="Y96" si="1333">IFERROR(X96/X$19,0)</f>
        <v>0</v>
      </c>
      <c r="Z96" s="29">
        <f>IFERROR(VLOOKUP($A96,APOIO!$B:$N,MATCH(Z$5,APOIO!$B$5:$N$5,0),FALSE),0)</f>
        <v>0</v>
      </c>
      <c r="AA96" s="38">
        <f t="shared" ref="AA96" si="1334">IFERROR(Z96/Z$19,0)</f>
        <v>0</v>
      </c>
      <c r="AB96" s="29">
        <f>IFERROR(VLOOKUP($A96,APOIO!$B:$N,MATCH(AB$5,APOIO!$B$5:$N$5,0),FALSE),0)</f>
        <v>0</v>
      </c>
      <c r="AC96" s="38">
        <f t="shared" ref="AC96" si="1335">IFERROR(AB96/AB$19,0)</f>
        <v>0</v>
      </c>
      <c r="AD96" s="29">
        <f>IFERROR(VLOOKUP($A96,APOIO!$B:$N,MATCH(AD$5,APOIO!$B$5:$N$5,0),FALSE),0)</f>
        <v>0</v>
      </c>
      <c r="AE96" s="38">
        <f t="shared" ref="AE96" si="1336">IFERROR(AD96/AD$19,0)</f>
        <v>0</v>
      </c>
      <c r="AF96" s="30">
        <f t="shared" ref="AF96" si="1337">SUM(Z96,AB96,AD96)</f>
        <v>0</v>
      </c>
      <c r="AG96" s="41">
        <f t="shared" ref="AG96" si="1338">IFERROR(AF96/AF$19,0)</f>
        <v>0</v>
      </c>
      <c r="AH96" s="29">
        <f t="shared" ref="AH96" si="1339">SUM(B96,D96,F96,J96,L96,N96,R96,T96,V96,Z96,AB96,AD96)</f>
        <v>0</v>
      </c>
      <c r="AI96" s="41">
        <f t="shared" ref="AI96" si="1340">IFERROR(AH96/AH$19,0)</f>
        <v>0</v>
      </c>
    </row>
    <row r="97" spans="1:35" ht="15.6" hidden="1" outlineLevel="1" x14ac:dyDescent="0.3">
      <c r="A97" s="35" t="s">
        <v>225</v>
      </c>
      <c r="B97" s="29">
        <f>IFERROR(VLOOKUP($A97,APOIO!$B:$N,MATCH(B$5,APOIO!$B$5:$N$5,0),FALSE),0)</f>
        <v>0</v>
      </c>
      <c r="C97" s="38">
        <f t="shared" si="1303"/>
        <v>0</v>
      </c>
      <c r="D97" s="29">
        <f>IFERROR(VLOOKUP($A97,APOIO!$B:$N,MATCH(D$5,APOIO!$B$5:$N$5,0),FALSE),0)</f>
        <v>0</v>
      </c>
      <c r="E97" s="38">
        <f t="shared" si="134"/>
        <v>0</v>
      </c>
      <c r="F97" s="29">
        <f>IFERROR(VLOOKUP($A97,APOIO!$B:$N,MATCH(F$5,APOIO!$B$5:$N$5,0),FALSE),0)</f>
        <v>0</v>
      </c>
      <c r="G97" s="38">
        <f t="shared" si="1304"/>
        <v>0</v>
      </c>
      <c r="H97" s="30">
        <f t="shared" si="1"/>
        <v>0</v>
      </c>
      <c r="I97" s="40">
        <f t="shared" si="1305"/>
        <v>0</v>
      </c>
      <c r="J97" s="29">
        <f>IFERROR(VLOOKUP($A97,APOIO!$B:$N,MATCH(J$5,APOIO!$B$5:$N$5,0),FALSE),0)</f>
        <v>0</v>
      </c>
      <c r="K97" s="38">
        <f t="shared" si="1306"/>
        <v>0</v>
      </c>
      <c r="L97" s="29">
        <f>IFERROR(VLOOKUP($A97,APOIO!$B:$N,MATCH(L$5,APOIO!$B$5:$N$5,0),FALSE),0)</f>
        <v>0</v>
      </c>
      <c r="M97" s="38">
        <f t="shared" si="1307"/>
        <v>0</v>
      </c>
      <c r="N97" s="29">
        <f>IFERROR(VLOOKUP($A97,APOIO!$B:$N,MATCH(N$5,APOIO!$B$5:$N$5,0),FALSE),0)</f>
        <v>0</v>
      </c>
      <c r="O97" s="38">
        <f t="shared" si="1308"/>
        <v>0</v>
      </c>
      <c r="P97" s="30">
        <f t="shared" si="2"/>
        <v>0</v>
      </c>
      <c r="Q97" s="41">
        <f t="shared" si="1309"/>
        <v>0</v>
      </c>
      <c r="R97" s="29">
        <f>IFERROR(VLOOKUP($A97,APOIO!$B:$N,MATCH(R$5,APOIO!$B$5:$N$5,0),FALSE),0)</f>
        <v>0</v>
      </c>
      <c r="S97" s="41">
        <f t="shared" si="1310"/>
        <v>0</v>
      </c>
      <c r="T97" s="29">
        <f>IFERROR(VLOOKUP($A97,APOIO!$B:$N,MATCH(T$5,APOIO!$B$5:$N$5,0),FALSE),0)</f>
        <v>0</v>
      </c>
      <c r="U97" s="41">
        <f t="shared" si="1311"/>
        <v>0</v>
      </c>
      <c r="V97" s="29">
        <f>IFERROR(VLOOKUP($A97,APOIO!$B:$N,MATCH(V$5,APOIO!$B$5:$N$5,0),FALSE),0)</f>
        <v>0</v>
      </c>
      <c r="W97" s="38">
        <f t="shared" si="1312"/>
        <v>0</v>
      </c>
      <c r="X97" s="30">
        <f t="shared" si="3"/>
        <v>0</v>
      </c>
      <c r="Y97" s="41">
        <f t="shared" si="1313"/>
        <v>0</v>
      </c>
      <c r="Z97" s="29">
        <f>IFERROR(VLOOKUP($A97,APOIO!$B:$N,MATCH(Z$5,APOIO!$B$5:$N$5,0),FALSE),0)</f>
        <v>0</v>
      </c>
      <c r="AA97" s="38">
        <f t="shared" si="1314"/>
        <v>0</v>
      </c>
      <c r="AB97" s="29">
        <f>IFERROR(VLOOKUP($A97,APOIO!$B:$N,MATCH(AB$5,APOIO!$B$5:$N$5,0),FALSE),0)</f>
        <v>0</v>
      </c>
      <c r="AC97" s="38">
        <f t="shared" si="1315"/>
        <v>0</v>
      </c>
      <c r="AD97" s="29">
        <f>IFERROR(VLOOKUP($A97,APOIO!$B:$N,MATCH(AD$5,APOIO!$B$5:$N$5,0),FALSE),0)</f>
        <v>0</v>
      </c>
      <c r="AE97" s="38">
        <f t="shared" si="1316"/>
        <v>0</v>
      </c>
      <c r="AF97" s="30">
        <f t="shared" si="4"/>
        <v>0</v>
      </c>
      <c r="AG97" s="41">
        <f t="shared" si="1317"/>
        <v>0</v>
      </c>
      <c r="AH97" s="29">
        <f t="shared" si="5"/>
        <v>0</v>
      </c>
      <c r="AI97" s="41">
        <f t="shared" si="1318"/>
        <v>0</v>
      </c>
    </row>
    <row r="98" spans="1:35" ht="15.6" hidden="1" outlineLevel="1" x14ac:dyDescent="0.3">
      <c r="A98" s="35" t="s">
        <v>226</v>
      </c>
      <c r="B98" s="29">
        <f>IFERROR(VLOOKUP($A98,APOIO!$B:$N,MATCH(B$5,APOIO!$B$5:$N$5,0),FALSE),0)</f>
        <v>0</v>
      </c>
      <c r="C98" s="38">
        <f t="shared" si="134"/>
        <v>0</v>
      </c>
      <c r="D98" s="29">
        <f>IFERROR(VLOOKUP($A98,APOIO!$B:$N,MATCH(D$5,APOIO!$B$5:$N$5,0),FALSE),0)</f>
        <v>0</v>
      </c>
      <c r="E98" s="38">
        <f t="shared" ref="E98" si="1341">IFERROR(D98/D$19,0)</f>
        <v>0</v>
      </c>
      <c r="F98" s="29">
        <f>IFERROR(VLOOKUP($A98,APOIO!$B:$N,MATCH(F$5,APOIO!$B$5:$N$5,0),FALSE),0)</f>
        <v>0</v>
      </c>
      <c r="G98" s="38">
        <f t="shared" si="1216"/>
        <v>0</v>
      </c>
      <c r="H98" s="30">
        <f t="shared" ref="H98" si="1342">SUM(B98,D98,F98)</f>
        <v>0</v>
      </c>
      <c r="I98" s="40">
        <f t="shared" si="1217"/>
        <v>0</v>
      </c>
      <c r="J98" s="29">
        <f>IFERROR(VLOOKUP($A98,APOIO!$B:$N,MATCH(J$5,APOIO!$B$5:$N$5,0),FALSE),0)</f>
        <v>0</v>
      </c>
      <c r="K98" s="38">
        <f t="shared" si="1218"/>
        <v>0</v>
      </c>
      <c r="L98" s="29">
        <f>IFERROR(VLOOKUP($A98,APOIO!$B:$N,MATCH(L$5,APOIO!$B$5:$N$5,0),FALSE),0)</f>
        <v>0</v>
      </c>
      <c r="M98" s="38">
        <f t="shared" si="1219"/>
        <v>0</v>
      </c>
      <c r="N98" s="29">
        <f>IFERROR(VLOOKUP($A98,APOIO!$B:$N,MATCH(N$5,APOIO!$B$5:$N$5,0),FALSE),0)</f>
        <v>0</v>
      </c>
      <c r="O98" s="38">
        <f t="shared" si="1220"/>
        <v>0</v>
      </c>
      <c r="P98" s="30">
        <f t="shared" ref="P98" si="1343">SUM(J98,L98,N98)</f>
        <v>0</v>
      </c>
      <c r="Q98" s="41">
        <f t="shared" si="1221"/>
        <v>0</v>
      </c>
      <c r="R98" s="29">
        <f>IFERROR(VLOOKUP($A98,APOIO!$B:$N,MATCH(R$5,APOIO!$B$5:$N$5,0),FALSE),0)</f>
        <v>0</v>
      </c>
      <c r="S98" s="41">
        <f t="shared" si="1222"/>
        <v>0</v>
      </c>
      <c r="T98" s="29">
        <f>IFERROR(VLOOKUP($A98,APOIO!$B:$N,MATCH(T$5,APOIO!$B$5:$N$5,0),FALSE),0)</f>
        <v>0</v>
      </c>
      <c r="U98" s="41">
        <f t="shared" si="1223"/>
        <v>0</v>
      </c>
      <c r="V98" s="29">
        <f>IFERROR(VLOOKUP($A98,APOIO!$B:$N,MATCH(V$5,APOIO!$B$5:$N$5,0),FALSE),0)</f>
        <v>0</v>
      </c>
      <c r="W98" s="38">
        <f t="shared" si="1224"/>
        <v>0</v>
      </c>
      <c r="X98" s="30">
        <f t="shared" ref="X98" si="1344">SUM(R98,T98,V98)</f>
        <v>0</v>
      </c>
      <c r="Y98" s="41">
        <f t="shared" si="1225"/>
        <v>0</v>
      </c>
      <c r="Z98" s="29">
        <f>IFERROR(VLOOKUP($A98,APOIO!$B:$N,MATCH(Z$5,APOIO!$B$5:$N$5,0),FALSE),0)</f>
        <v>0</v>
      </c>
      <c r="AA98" s="38">
        <f t="shared" si="1226"/>
        <v>0</v>
      </c>
      <c r="AB98" s="29">
        <f>IFERROR(VLOOKUP($A98,APOIO!$B:$N,MATCH(AB$5,APOIO!$B$5:$N$5,0),FALSE),0)</f>
        <v>0</v>
      </c>
      <c r="AC98" s="38">
        <f t="shared" si="1227"/>
        <v>0</v>
      </c>
      <c r="AD98" s="29">
        <f>IFERROR(VLOOKUP($A98,APOIO!$B:$N,MATCH(AD$5,APOIO!$B$5:$N$5,0),FALSE),0)</f>
        <v>0</v>
      </c>
      <c r="AE98" s="38">
        <f t="shared" si="1228"/>
        <v>0</v>
      </c>
      <c r="AF98" s="30">
        <f t="shared" ref="AF98" si="1345">SUM(Z98,AB98,AD98)</f>
        <v>0</v>
      </c>
      <c r="AG98" s="41">
        <f t="shared" si="1229"/>
        <v>0</v>
      </c>
      <c r="AH98" s="29">
        <f t="shared" ref="AH98" si="1346">SUM(B98,D98,F98,J98,L98,N98,R98,T98,V98,Z98,AB98,AD98)</f>
        <v>0</v>
      </c>
      <c r="AI98" s="41">
        <f t="shared" si="1230"/>
        <v>0</v>
      </c>
    </row>
    <row r="99" spans="1:35" ht="15.6" hidden="1" outlineLevel="1" x14ac:dyDescent="0.3">
      <c r="A99" s="35" t="s">
        <v>227</v>
      </c>
      <c r="B99" s="29">
        <f>IFERROR(VLOOKUP($A99,APOIO!$B:$N,MATCH(B$5,APOIO!$B$5:$N$5,0),FALSE),0)</f>
        <v>-230</v>
      </c>
      <c r="C99" s="38">
        <f t="shared" ref="C99:E185" si="1347">IFERROR(B99/B$19,0)</f>
        <v>-1.4822026769095895E-3</v>
      </c>
      <c r="D99" s="29">
        <f>IFERROR(VLOOKUP($A99,APOIO!$B:$N,MATCH(D$5,APOIO!$B$5:$N$5,0),FALSE),0)</f>
        <v>-390</v>
      </c>
      <c r="E99" s="38">
        <f t="shared" si="1347"/>
        <v>-1.0683065043677164E-3</v>
      </c>
      <c r="F99" s="29">
        <f>IFERROR(VLOOKUP($A99,APOIO!$B:$N,MATCH(F$5,APOIO!$B$5:$N$5,0),FALSE),0)</f>
        <v>-420</v>
      </c>
      <c r="G99" s="38">
        <f t="shared" ref="G99:G109" si="1348">IFERROR(F99/F$19,0)</f>
        <v>0</v>
      </c>
      <c r="H99" s="30">
        <f t="shared" si="1"/>
        <v>-1040</v>
      </c>
      <c r="I99" s="40">
        <f t="shared" ref="I99:I109" si="1349">IFERROR(H99/H$19,0)</f>
        <v>-1.9990841503516573E-3</v>
      </c>
      <c r="J99" s="29">
        <f>IFERROR(VLOOKUP($A99,APOIO!$B:$N,MATCH(J$5,APOIO!$B$5:$N$5,0),FALSE),0)</f>
        <v>-419.94145300000002</v>
      </c>
      <c r="K99" s="38">
        <f t="shared" ref="K99:K109" si="1350">IFERROR(J99/J$19,0)</f>
        <v>0</v>
      </c>
      <c r="L99" s="29">
        <f>IFERROR(VLOOKUP($A99,APOIO!$B:$N,MATCH(L$5,APOIO!$B$5:$N$5,0),FALSE),0)</f>
        <v>-420</v>
      </c>
      <c r="M99" s="38">
        <f t="shared" ref="M99:M109" si="1351">IFERROR(L99/L$19,0)</f>
        <v>0</v>
      </c>
      <c r="N99" s="29">
        <f>IFERROR(VLOOKUP($A99,APOIO!$B:$N,MATCH(N$5,APOIO!$B$5:$N$5,0),FALSE),0)</f>
        <v>0</v>
      </c>
      <c r="O99" s="38">
        <f t="shared" ref="O99:O109" si="1352">IFERROR(N99/N$19,0)</f>
        <v>0</v>
      </c>
      <c r="P99" s="30">
        <f t="shared" si="2"/>
        <v>-839.94145300000002</v>
      </c>
      <c r="Q99" s="41">
        <f t="shared" ref="Q99:Q109" si="1353">IFERROR(P99/P$19,0)</f>
        <v>0</v>
      </c>
      <c r="R99" s="29">
        <f>IFERROR(VLOOKUP($A99,APOIO!$B:$N,MATCH(R$5,APOIO!$B$5:$N$5,0),FALSE),0)</f>
        <v>0</v>
      </c>
      <c r="S99" s="41">
        <f t="shared" ref="S99:S109" si="1354">IFERROR(R99/R$19,0)</f>
        <v>0</v>
      </c>
      <c r="T99" s="29">
        <f>IFERROR(VLOOKUP($A99,APOIO!$B:$N,MATCH(T$5,APOIO!$B$5:$N$5,0),FALSE),0)</f>
        <v>0</v>
      </c>
      <c r="U99" s="41">
        <f t="shared" ref="U99:U109" si="1355">IFERROR(T99/T$19,0)</f>
        <v>0</v>
      </c>
      <c r="V99" s="29">
        <f>IFERROR(VLOOKUP($A99,APOIO!$B:$N,MATCH(V$5,APOIO!$B$5:$N$5,0),FALSE),0)</f>
        <v>0</v>
      </c>
      <c r="W99" s="38">
        <f t="shared" ref="W99:W109" si="1356">IFERROR(V99/V$19,0)</f>
        <v>0</v>
      </c>
      <c r="X99" s="30">
        <f t="shared" si="3"/>
        <v>0</v>
      </c>
      <c r="Y99" s="41">
        <f t="shared" ref="Y99:Y109" si="1357">IFERROR(X99/X$19,0)</f>
        <v>0</v>
      </c>
      <c r="Z99" s="29">
        <f>IFERROR(VLOOKUP($A99,APOIO!$B:$N,MATCH(Z$5,APOIO!$B$5:$N$5,0),FALSE),0)</f>
        <v>0</v>
      </c>
      <c r="AA99" s="38">
        <f t="shared" ref="AA99:AA109" si="1358">IFERROR(Z99/Z$19,0)</f>
        <v>0</v>
      </c>
      <c r="AB99" s="29">
        <f>IFERROR(VLOOKUP($A99,APOIO!$B:$N,MATCH(AB$5,APOIO!$B$5:$N$5,0),FALSE),0)</f>
        <v>0</v>
      </c>
      <c r="AC99" s="38">
        <f t="shared" ref="AC99:AC109" si="1359">IFERROR(AB99/AB$19,0)</f>
        <v>0</v>
      </c>
      <c r="AD99" s="29">
        <f>IFERROR(VLOOKUP($A99,APOIO!$B:$N,MATCH(AD$5,APOIO!$B$5:$N$5,0),FALSE),0)</f>
        <v>0</v>
      </c>
      <c r="AE99" s="38">
        <f t="shared" ref="AE99:AE109" si="1360">IFERROR(AD99/AD$19,0)</f>
        <v>0</v>
      </c>
      <c r="AF99" s="30">
        <f t="shared" si="4"/>
        <v>0</v>
      </c>
      <c r="AG99" s="41">
        <f t="shared" ref="AG99:AG109" si="1361">IFERROR(AF99/AF$19,0)</f>
        <v>0</v>
      </c>
      <c r="AH99" s="29">
        <f t="shared" si="5"/>
        <v>-1879.9414529999999</v>
      </c>
      <c r="AI99" s="41">
        <f t="shared" ref="AI99:AI109" si="1362">IFERROR(AH99/AH$19,0)</f>
        <v>-3.6136165021936201E-3</v>
      </c>
    </row>
    <row r="100" spans="1:35" ht="15.6" collapsed="1" x14ac:dyDescent="0.3">
      <c r="A100" s="36" t="s">
        <v>228</v>
      </c>
      <c r="B100" s="37">
        <f>IFERROR(VLOOKUP($A100,APOIO!$B:$N,MATCH(B$5,APOIO!$B$5:$N$5,0),FALSE),0)</f>
        <v>-2470.96</v>
      </c>
      <c r="C100" s="39">
        <f t="shared" si="1347"/>
        <v>-1.5923754463202256E-2</v>
      </c>
      <c r="D100" s="37">
        <f>IFERROR(VLOOKUP($A100,APOIO!$B:$N,MATCH(D$5,APOIO!$B$5:$N$5,0),FALSE),0)</f>
        <v>-1533.54</v>
      </c>
      <c r="E100" s="39">
        <f t="shared" si="1347"/>
        <v>-4.2007455300206867E-3</v>
      </c>
      <c r="F100" s="37">
        <f>IFERROR(VLOOKUP($A100,APOIO!$B:$N,MATCH(F$5,APOIO!$B$5:$N$5,0),FALSE),0)</f>
        <v>-1533.54</v>
      </c>
      <c r="G100" s="39">
        <f t="shared" si="1348"/>
        <v>0</v>
      </c>
      <c r="H100" s="37">
        <f t="shared" ref="H100:H112" si="1363">SUM(B100,D100,F100)</f>
        <v>-5538.04</v>
      </c>
      <c r="I100" s="39">
        <f t="shared" si="1349"/>
        <v>-1.0645199988474512E-2</v>
      </c>
      <c r="J100" s="37">
        <f>IFERROR(VLOOKUP($A100,APOIO!$B:$N,MATCH(J$5,APOIO!$B$5:$N$5,0),FALSE),0)</f>
        <v>-633.54</v>
      </c>
      <c r="K100" s="39">
        <f t="shared" si="1350"/>
        <v>0</v>
      </c>
      <c r="L100" s="37">
        <f>IFERROR(VLOOKUP($A100,APOIO!$B:$N,MATCH(L$5,APOIO!$B$5:$N$5,0),FALSE),0)</f>
        <v>-2478.54</v>
      </c>
      <c r="M100" s="39">
        <f t="shared" si="1351"/>
        <v>0</v>
      </c>
      <c r="N100" s="37">
        <f>IFERROR(VLOOKUP($A100,APOIO!$B:$N,MATCH(N$5,APOIO!$B$5:$N$5,0),FALSE),0)</f>
        <v>0</v>
      </c>
      <c r="O100" s="39">
        <f t="shared" si="1352"/>
        <v>0</v>
      </c>
      <c r="P100" s="37">
        <f t="shared" ref="P100:P112" si="1364">SUM(J100,L100,N100)</f>
        <v>-3112.08</v>
      </c>
      <c r="Q100" s="42">
        <f t="shared" si="1353"/>
        <v>0</v>
      </c>
      <c r="R100" s="37">
        <f>IFERROR(VLOOKUP($A100,APOIO!$B:$N,MATCH(R$5,APOIO!$B$5:$N$5,0),FALSE),0)</f>
        <v>0</v>
      </c>
      <c r="S100" s="42">
        <f t="shared" si="1354"/>
        <v>0</v>
      </c>
      <c r="T100" s="37">
        <f>IFERROR(VLOOKUP($A100,APOIO!$B:$N,MATCH(T$5,APOIO!$B$5:$N$5,0),FALSE),0)</f>
        <v>0</v>
      </c>
      <c r="U100" s="42">
        <f t="shared" si="1355"/>
        <v>0</v>
      </c>
      <c r="V100" s="37">
        <f>IFERROR(VLOOKUP($A100,APOIO!$B:$N,MATCH(V$5,APOIO!$B$5:$N$5,0),FALSE),0)</f>
        <v>0</v>
      </c>
      <c r="W100" s="39">
        <f t="shared" si="1356"/>
        <v>0</v>
      </c>
      <c r="X100" s="37">
        <f t="shared" ref="X100:X112" si="1365">SUM(R100,T100,V100)</f>
        <v>0</v>
      </c>
      <c r="Y100" s="42">
        <f t="shared" si="1357"/>
        <v>0</v>
      </c>
      <c r="Z100" s="37">
        <f>IFERROR(VLOOKUP($A100,APOIO!$B:$N,MATCH(Z$5,APOIO!$B$5:$N$5,0),FALSE),0)</f>
        <v>0</v>
      </c>
      <c r="AA100" s="39">
        <f t="shared" si="1358"/>
        <v>0</v>
      </c>
      <c r="AB100" s="37">
        <f>IFERROR(VLOOKUP($A100,APOIO!$B:$N,MATCH(AB$5,APOIO!$B$5:$N$5,0),FALSE),0)</f>
        <v>0</v>
      </c>
      <c r="AC100" s="39">
        <f t="shared" si="1359"/>
        <v>0</v>
      </c>
      <c r="AD100" s="37">
        <f>IFERROR(VLOOKUP($A100,APOIO!$B:$N,MATCH(AD$5,APOIO!$B$5:$N$5,0),FALSE),0)</f>
        <v>0</v>
      </c>
      <c r="AE100" s="39">
        <f t="shared" si="1360"/>
        <v>0</v>
      </c>
      <c r="AF100" s="37">
        <f t="shared" ref="AF100:AF112" si="1366">SUM(Z100,AB100,AD100)</f>
        <v>0</v>
      </c>
      <c r="AG100" s="42">
        <f t="shared" si="1361"/>
        <v>0</v>
      </c>
      <c r="AH100" s="37">
        <f t="shared" ref="AH100:AH112" si="1367">SUM(B100,D100,F100,J100,L100,N100,R100,T100,V100,Z100,AB100,AD100)</f>
        <v>-8650.119999999999</v>
      </c>
      <c r="AI100" s="42">
        <f t="shared" si="1362"/>
        <v>-1.6627228644846035E-2</v>
      </c>
    </row>
    <row r="101" spans="1:35" ht="15.6" hidden="1" outlineLevel="1" x14ac:dyDescent="0.3">
      <c r="A101" s="35" t="s">
        <v>229</v>
      </c>
      <c r="B101" s="29">
        <f>IFERROR(VLOOKUP($A101,APOIO!$B:$N,MATCH(B$5,APOIO!$B$5:$N$5,0),FALSE),0)</f>
        <v>0</v>
      </c>
      <c r="C101" s="38">
        <f t="shared" si="1347"/>
        <v>0</v>
      </c>
      <c r="D101" s="29">
        <f>IFERROR(VLOOKUP($A101,APOIO!$B:$N,MATCH(D$5,APOIO!$B$5:$N$5,0),FALSE),0)</f>
        <v>0</v>
      </c>
      <c r="E101" s="38">
        <f t="shared" si="1347"/>
        <v>0</v>
      </c>
      <c r="F101" s="29">
        <f>IFERROR(VLOOKUP($A101,APOIO!$B:$N,MATCH(F$5,APOIO!$B$5:$N$5,0),FALSE),0)</f>
        <v>0</v>
      </c>
      <c r="G101" s="38">
        <f t="shared" si="1348"/>
        <v>0</v>
      </c>
      <c r="H101" s="30">
        <f t="shared" si="1363"/>
        <v>0</v>
      </c>
      <c r="I101" s="40">
        <f t="shared" si="1349"/>
        <v>0</v>
      </c>
      <c r="J101" s="29">
        <f>IFERROR(VLOOKUP($A101,APOIO!$B:$N,MATCH(J$5,APOIO!$B$5:$N$5,0),FALSE),0)</f>
        <v>0</v>
      </c>
      <c r="K101" s="38">
        <f t="shared" si="1350"/>
        <v>0</v>
      </c>
      <c r="L101" s="29">
        <f>IFERROR(VLOOKUP($A101,APOIO!$B:$N,MATCH(L$5,APOIO!$B$5:$N$5,0),FALSE),0)</f>
        <v>0</v>
      </c>
      <c r="M101" s="38">
        <f t="shared" si="1351"/>
        <v>0</v>
      </c>
      <c r="N101" s="29">
        <f>IFERROR(VLOOKUP($A101,APOIO!$B:$N,MATCH(N$5,APOIO!$B$5:$N$5,0),FALSE),0)</f>
        <v>0</v>
      </c>
      <c r="O101" s="38">
        <f t="shared" si="1352"/>
        <v>0</v>
      </c>
      <c r="P101" s="30">
        <f t="shared" si="1364"/>
        <v>0</v>
      </c>
      <c r="Q101" s="41">
        <f t="shared" si="1353"/>
        <v>0</v>
      </c>
      <c r="R101" s="29">
        <f>IFERROR(VLOOKUP($A101,APOIO!$B:$N,MATCH(R$5,APOIO!$B$5:$N$5,0),FALSE),0)</f>
        <v>0</v>
      </c>
      <c r="S101" s="41">
        <f t="shared" si="1354"/>
        <v>0</v>
      </c>
      <c r="T101" s="29">
        <f>IFERROR(VLOOKUP($A101,APOIO!$B:$N,MATCH(T$5,APOIO!$B$5:$N$5,0),FALSE),0)</f>
        <v>0</v>
      </c>
      <c r="U101" s="41">
        <f t="shared" si="1355"/>
        <v>0</v>
      </c>
      <c r="V101" s="29">
        <f>IFERROR(VLOOKUP($A101,APOIO!$B:$N,MATCH(V$5,APOIO!$B$5:$N$5,0),FALSE),0)</f>
        <v>0</v>
      </c>
      <c r="W101" s="38">
        <f t="shared" si="1356"/>
        <v>0</v>
      </c>
      <c r="X101" s="30">
        <f t="shared" si="1365"/>
        <v>0</v>
      </c>
      <c r="Y101" s="41">
        <f t="shared" si="1357"/>
        <v>0</v>
      </c>
      <c r="Z101" s="29">
        <f>IFERROR(VLOOKUP($A101,APOIO!$B:$N,MATCH(Z$5,APOIO!$B$5:$N$5,0),FALSE),0)</f>
        <v>0</v>
      </c>
      <c r="AA101" s="38">
        <f t="shared" si="1358"/>
        <v>0</v>
      </c>
      <c r="AB101" s="29">
        <f>IFERROR(VLOOKUP($A101,APOIO!$B:$N,MATCH(AB$5,APOIO!$B$5:$N$5,0),FALSE),0)</f>
        <v>0</v>
      </c>
      <c r="AC101" s="38">
        <f t="shared" si="1359"/>
        <v>0</v>
      </c>
      <c r="AD101" s="29">
        <f>IFERROR(VLOOKUP($A101,APOIO!$B:$N,MATCH(AD$5,APOIO!$B$5:$N$5,0),FALSE),0)</f>
        <v>0</v>
      </c>
      <c r="AE101" s="38">
        <f t="shared" si="1360"/>
        <v>0</v>
      </c>
      <c r="AF101" s="30">
        <f t="shared" si="1366"/>
        <v>0</v>
      </c>
      <c r="AG101" s="41">
        <f t="shared" si="1361"/>
        <v>0</v>
      </c>
      <c r="AH101" s="29">
        <f t="shared" si="1367"/>
        <v>0</v>
      </c>
      <c r="AI101" s="41">
        <f t="shared" si="1362"/>
        <v>0</v>
      </c>
    </row>
    <row r="102" spans="1:35" ht="15.6" hidden="1" outlineLevel="1" x14ac:dyDescent="0.3">
      <c r="A102" s="35" t="s">
        <v>230</v>
      </c>
      <c r="B102" s="29">
        <f>IFERROR(VLOOKUP($A102,APOIO!$B:$N,MATCH(B$5,APOIO!$B$5:$N$5,0),FALSE),0)</f>
        <v>0</v>
      </c>
      <c r="C102" s="38">
        <f t="shared" si="1347"/>
        <v>0</v>
      </c>
      <c r="D102" s="29">
        <f>IFERROR(VLOOKUP($A102,APOIO!$B:$N,MATCH(D$5,APOIO!$B$5:$N$5,0),FALSE),0)</f>
        <v>0</v>
      </c>
      <c r="E102" s="38">
        <f t="shared" si="1347"/>
        <v>0</v>
      </c>
      <c r="F102" s="29">
        <f>IFERROR(VLOOKUP($A102,APOIO!$B:$N,MATCH(F$5,APOIO!$B$5:$N$5,0),FALSE),0)</f>
        <v>0</v>
      </c>
      <c r="G102" s="38">
        <f t="shared" si="1348"/>
        <v>0</v>
      </c>
      <c r="H102" s="30">
        <f t="shared" si="1363"/>
        <v>0</v>
      </c>
      <c r="I102" s="40">
        <f t="shared" si="1349"/>
        <v>0</v>
      </c>
      <c r="J102" s="29">
        <f>IFERROR(VLOOKUP($A102,APOIO!$B:$N,MATCH(J$5,APOIO!$B$5:$N$5,0),FALSE),0)</f>
        <v>0</v>
      </c>
      <c r="K102" s="38">
        <f t="shared" si="1350"/>
        <v>0</v>
      </c>
      <c r="L102" s="29">
        <f>IFERROR(VLOOKUP($A102,APOIO!$B:$N,MATCH(L$5,APOIO!$B$5:$N$5,0),FALSE),0)</f>
        <v>0</v>
      </c>
      <c r="M102" s="38">
        <f t="shared" si="1351"/>
        <v>0</v>
      </c>
      <c r="N102" s="29">
        <f>IFERROR(VLOOKUP($A102,APOIO!$B:$N,MATCH(N$5,APOIO!$B$5:$N$5,0),FALSE),0)</f>
        <v>0</v>
      </c>
      <c r="O102" s="38">
        <f t="shared" si="1352"/>
        <v>0</v>
      </c>
      <c r="P102" s="30">
        <f t="shared" si="1364"/>
        <v>0</v>
      </c>
      <c r="Q102" s="41">
        <f t="shared" si="1353"/>
        <v>0</v>
      </c>
      <c r="R102" s="29">
        <f>IFERROR(VLOOKUP($A102,APOIO!$B:$N,MATCH(R$5,APOIO!$B$5:$N$5,0),FALSE),0)</f>
        <v>0</v>
      </c>
      <c r="S102" s="41">
        <f t="shared" si="1354"/>
        <v>0</v>
      </c>
      <c r="T102" s="29">
        <f>IFERROR(VLOOKUP($A102,APOIO!$B:$N,MATCH(T$5,APOIO!$B$5:$N$5,0),FALSE),0)</f>
        <v>0</v>
      </c>
      <c r="U102" s="41">
        <f t="shared" si="1355"/>
        <v>0</v>
      </c>
      <c r="V102" s="29">
        <f>IFERROR(VLOOKUP($A102,APOIO!$B:$N,MATCH(V$5,APOIO!$B$5:$N$5,0),FALSE),0)</f>
        <v>0</v>
      </c>
      <c r="W102" s="38">
        <f t="shared" si="1356"/>
        <v>0</v>
      </c>
      <c r="X102" s="30">
        <f t="shared" si="1365"/>
        <v>0</v>
      </c>
      <c r="Y102" s="41">
        <f t="shared" si="1357"/>
        <v>0</v>
      </c>
      <c r="Z102" s="29">
        <f>IFERROR(VLOOKUP($A102,APOIO!$B:$N,MATCH(Z$5,APOIO!$B$5:$N$5,0),FALSE),0)</f>
        <v>0</v>
      </c>
      <c r="AA102" s="38">
        <f t="shared" si="1358"/>
        <v>0</v>
      </c>
      <c r="AB102" s="29">
        <f>IFERROR(VLOOKUP($A102,APOIO!$B:$N,MATCH(AB$5,APOIO!$B$5:$N$5,0),FALSE),0)</f>
        <v>0</v>
      </c>
      <c r="AC102" s="38">
        <f t="shared" si="1359"/>
        <v>0</v>
      </c>
      <c r="AD102" s="29">
        <f>IFERROR(VLOOKUP($A102,APOIO!$B:$N,MATCH(AD$5,APOIO!$B$5:$N$5,0),FALSE),0)</f>
        <v>0</v>
      </c>
      <c r="AE102" s="38">
        <f t="shared" si="1360"/>
        <v>0</v>
      </c>
      <c r="AF102" s="30">
        <f t="shared" si="1366"/>
        <v>0</v>
      </c>
      <c r="AG102" s="41">
        <f t="shared" si="1361"/>
        <v>0</v>
      </c>
      <c r="AH102" s="29">
        <f t="shared" si="1367"/>
        <v>0</v>
      </c>
      <c r="AI102" s="41">
        <f t="shared" si="1362"/>
        <v>0</v>
      </c>
    </row>
    <row r="103" spans="1:35" ht="15.6" hidden="1" outlineLevel="1" x14ac:dyDescent="0.3">
      <c r="A103" s="35" t="s">
        <v>231</v>
      </c>
      <c r="B103" s="29">
        <f>IFERROR(VLOOKUP($A103,APOIO!$B:$N,MATCH(B$5,APOIO!$B$5:$N$5,0),FALSE),0)</f>
        <v>0</v>
      </c>
      <c r="C103" s="38">
        <f t="shared" si="1347"/>
        <v>0</v>
      </c>
      <c r="D103" s="29">
        <f>IFERROR(VLOOKUP($A103,APOIO!$B:$N,MATCH(D$5,APOIO!$B$5:$N$5,0),FALSE),0)</f>
        <v>0</v>
      </c>
      <c r="E103" s="38">
        <f t="shared" si="1347"/>
        <v>0</v>
      </c>
      <c r="F103" s="29">
        <f>IFERROR(VLOOKUP($A103,APOIO!$B:$N,MATCH(F$5,APOIO!$B$5:$N$5,0),FALSE),0)</f>
        <v>0</v>
      </c>
      <c r="G103" s="38">
        <f t="shared" si="1348"/>
        <v>0</v>
      </c>
      <c r="H103" s="30">
        <f t="shared" si="1363"/>
        <v>0</v>
      </c>
      <c r="I103" s="40">
        <f t="shared" si="1349"/>
        <v>0</v>
      </c>
      <c r="J103" s="29">
        <f>IFERROR(VLOOKUP($A103,APOIO!$B:$N,MATCH(J$5,APOIO!$B$5:$N$5,0),FALSE),0)</f>
        <v>0</v>
      </c>
      <c r="K103" s="38">
        <f t="shared" si="1350"/>
        <v>0</v>
      </c>
      <c r="L103" s="29">
        <f>IFERROR(VLOOKUP($A103,APOIO!$B:$N,MATCH(L$5,APOIO!$B$5:$N$5,0),FALSE),0)</f>
        <v>0</v>
      </c>
      <c r="M103" s="38">
        <f t="shared" si="1351"/>
        <v>0</v>
      </c>
      <c r="N103" s="29">
        <f>IFERROR(VLOOKUP($A103,APOIO!$B:$N,MATCH(N$5,APOIO!$B$5:$N$5,0),FALSE),0)</f>
        <v>0</v>
      </c>
      <c r="O103" s="38">
        <f t="shared" si="1352"/>
        <v>0</v>
      </c>
      <c r="P103" s="30">
        <f t="shared" si="1364"/>
        <v>0</v>
      </c>
      <c r="Q103" s="41">
        <f t="shared" si="1353"/>
        <v>0</v>
      </c>
      <c r="R103" s="29">
        <f>IFERROR(VLOOKUP($A103,APOIO!$B:$N,MATCH(R$5,APOIO!$B$5:$N$5,0),FALSE),0)</f>
        <v>0</v>
      </c>
      <c r="S103" s="41">
        <f t="shared" si="1354"/>
        <v>0</v>
      </c>
      <c r="T103" s="29">
        <f>IFERROR(VLOOKUP($A103,APOIO!$B:$N,MATCH(T$5,APOIO!$B$5:$N$5,0),FALSE),0)</f>
        <v>0</v>
      </c>
      <c r="U103" s="41">
        <f t="shared" si="1355"/>
        <v>0</v>
      </c>
      <c r="V103" s="29">
        <f>IFERROR(VLOOKUP($A103,APOIO!$B:$N,MATCH(V$5,APOIO!$B$5:$N$5,0),FALSE),0)</f>
        <v>0</v>
      </c>
      <c r="W103" s="38">
        <f t="shared" si="1356"/>
        <v>0</v>
      </c>
      <c r="X103" s="30">
        <f t="shared" si="1365"/>
        <v>0</v>
      </c>
      <c r="Y103" s="41">
        <f t="shared" si="1357"/>
        <v>0</v>
      </c>
      <c r="Z103" s="29">
        <f>IFERROR(VLOOKUP($A103,APOIO!$B:$N,MATCH(Z$5,APOIO!$B$5:$N$5,0),FALSE),0)</f>
        <v>0</v>
      </c>
      <c r="AA103" s="38">
        <f t="shared" si="1358"/>
        <v>0</v>
      </c>
      <c r="AB103" s="29">
        <f>IFERROR(VLOOKUP($A103,APOIO!$B:$N,MATCH(AB$5,APOIO!$B$5:$N$5,0),FALSE),0)</f>
        <v>0</v>
      </c>
      <c r="AC103" s="38">
        <f t="shared" si="1359"/>
        <v>0</v>
      </c>
      <c r="AD103" s="29">
        <f>IFERROR(VLOOKUP($A103,APOIO!$B:$N,MATCH(AD$5,APOIO!$B$5:$N$5,0),FALSE),0)</f>
        <v>0</v>
      </c>
      <c r="AE103" s="38">
        <f t="shared" si="1360"/>
        <v>0</v>
      </c>
      <c r="AF103" s="30">
        <f t="shared" si="1366"/>
        <v>0</v>
      </c>
      <c r="AG103" s="41">
        <f t="shared" si="1361"/>
        <v>0</v>
      </c>
      <c r="AH103" s="29">
        <f t="shared" si="1367"/>
        <v>0</v>
      </c>
      <c r="AI103" s="41">
        <f t="shared" si="1362"/>
        <v>0</v>
      </c>
    </row>
    <row r="104" spans="1:35" ht="15.6" hidden="1" outlineLevel="1" x14ac:dyDescent="0.3">
      <c r="A104" s="35" t="s">
        <v>232</v>
      </c>
      <c r="B104" s="29">
        <f>IFERROR(VLOOKUP($A104,APOIO!$B:$N,MATCH(B$5,APOIO!$B$5:$N$5,0),FALSE),0)</f>
        <v>0</v>
      </c>
      <c r="C104" s="38">
        <f t="shared" si="1347"/>
        <v>0</v>
      </c>
      <c r="D104" s="29">
        <f>IFERROR(VLOOKUP($A104,APOIO!$B:$N,MATCH(D$5,APOIO!$B$5:$N$5,0),FALSE),0)</f>
        <v>0</v>
      </c>
      <c r="E104" s="38">
        <f t="shared" si="1347"/>
        <v>0</v>
      </c>
      <c r="F104" s="29">
        <f>IFERROR(VLOOKUP($A104,APOIO!$B:$N,MATCH(F$5,APOIO!$B$5:$N$5,0),FALSE),0)</f>
        <v>0</v>
      </c>
      <c r="G104" s="38">
        <f t="shared" si="1348"/>
        <v>0</v>
      </c>
      <c r="H104" s="30">
        <f t="shared" si="1363"/>
        <v>0</v>
      </c>
      <c r="I104" s="40">
        <f t="shared" si="1349"/>
        <v>0</v>
      </c>
      <c r="J104" s="29">
        <f>IFERROR(VLOOKUP($A104,APOIO!$B:$N,MATCH(J$5,APOIO!$B$5:$N$5,0),FALSE),0)</f>
        <v>0</v>
      </c>
      <c r="K104" s="38">
        <f t="shared" si="1350"/>
        <v>0</v>
      </c>
      <c r="L104" s="29">
        <f>IFERROR(VLOOKUP($A104,APOIO!$B:$N,MATCH(L$5,APOIO!$B$5:$N$5,0),FALSE),0)</f>
        <v>0</v>
      </c>
      <c r="M104" s="38">
        <f t="shared" si="1351"/>
        <v>0</v>
      </c>
      <c r="N104" s="29">
        <f>IFERROR(VLOOKUP($A104,APOIO!$B:$N,MATCH(N$5,APOIO!$B$5:$N$5,0),FALSE),0)</f>
        <v>0</v>
      </c>
      <c r="O104" s="38">
        <f t="shared" si="1352"/>
        <v>0</v>
      </c>
      <c r="P104" s="30">
        <f t="shared" si="1364"/>
        <v>0</v>
      </c>
      <c r="Q104" s="41">
        <f t="shared" si="1353"/>
        <v>0</v>
      </c>
      <c r="R104" s="29">
        <f>IFERROR(VLOOKUP($A104,APOIO!$B:$N,MATCH(R$5,APOIO!$B$5:$N$5,0),FALSE),0)</f>
        <v>0</v>
      </c>
      <c r="S104" s="41">
        <f t="shared" si="1354"/>
        <v>0</v>
      </c>
      <c r="T104" s="29">
        <f>IFERROR(VLOOKUP($A104,APOIO!$B:$N,MATCH(T$5,APOIO!$B$5:$N$5,0),FALSE),0)</f>
        <v>0</v>
      </c>
      <c r="U104" s="41">
        <f t="shared" si="1355"/>
        <v>0</v>
      </c>
      <c r="V104" s="29">
        <f>IFERROR(VLOOKUP($A104,APOIO!$B:$N,MATCH(V$5,APOIO!$B$5:$N$5,0),FALSE),0)</f>
        <v>0</v>
      </c>
      <c r="W104" s="38">
        <f t="shared" si="1356"/>
        <v>0</v>
      </c>
      <c r="X104" s="30">
        <f t="shared" si="1365"/>
        <v>0</v>
      </c>
      <c r="Y104" s="41">
        <f t="shared" si="1357"/>
        <v>0</v>
      </c>
      <c r="Z104" s="29">
        <f>IFERROR(VLOOKUP($A104,APOIO!$B:$N,MATCH(Z$5,APOIO!$B$5:$N$5,0),FALSE),0)</f>
        <v>0</v>
      </c>
      <c r="AA104" s="38">
        <f t="shared" si="1358"/>
        <v>0</v>
      </c>
      <c r="AB104" s="29">
        <f>IFERROR(VLOOKUP($A104,APOIO!$B:$N,MATCH(AB$5,APOIO!$B$5:$N$5,0),FALSE),0)</f>
        <v>0</v>
      </c>
      <c r="AC104" s="38">
        <f t="shared" si="1359"/>
        <v>0</v>
      </c>
      <c r="AD104" s="29">
        <f>IFERROR(VLOOKUP($A104,APOIO!$B:$N,MATCH(AD$5,APOIO!$B$5:$N$5,0),FALSE),0)</f>
        <v>0</v>
      </c>
      <c r="AE104" s="38">
        <f t="shared" si="1360"/>
        <v>0</v>
      </c>
      <c r="AF104" s="30">
        <f t="shared" si="1366"/>
        <v>0</v>
      </c>
      <c r="AG104" s="41">
        <f t="shared" si="1361"/>
        <v>0</v>
      </c>
      <c r="AH104" s="29">
        <f t="shared" si="1367"/>
        <v>0</v>
      </c>
      <c r="AI104" s="41">
        <f t="shared" si="1362"/>
        <v>0</v>
      </c>
    </row>
    <row r="105" spans="1:35" ht="15.6" hidden="1" outlineLevel="1" x14ac:dyDescent="0.3">
      <c r="A105" s="35" t="s">
        <v>233</v>
      </c>
      <c r="B105" s="29">
        <f>IFERROR(VLOOKUP($A105,APOIO!$B:$N,MATCH(B$5,APOIO!$B$5:$N$5,0),FALSE),0)</f>
        <v>0</v>
      </c>
      <c r="C105" s="38">
        <f t="shared" si="1347"/>
        <v>0</v>
      </c>
      <c r="D105" s="29">
        <f>IFERROR(VLOOKUP($A105,APOIO!$B:$N,MATCH(D$5,APOIO!$B$5:$N$5,0),FALSE),0)</f>
        <v>0</v>
      </c>
      <c r="E105" s="38">
        <f t="shared" si="1347"/>
        <v>0</v>
      </c>
      <c r="F105" s="29">
        <f>IFERROR(VLOOKUP($A105,APOIO!$B:$N,MATCH(F$5,APOIO!$B$5:$N$5,0),FALSE),0)</f>
        <v>0</v>
      </c>
      <c r="G105" s="38">
        <f t="shared" si="1348"/>
        <v>0</v>
      </c>
      <c r="H105" s="30">
        <f t="shared" si="1363"/>
        <v>0</v>
      </c>
      <c r="I105" s="40">
        <f t="shared" si="1349"/>
        <v>0</v>
      </c>
      <c r="J105" s="29">
        <f>IFERROR(VLOOKUP($A105,APOIO!$B:$N,MATCH(J$5,APOIO!$B$5:$N$5,0),FALSE),0)</f>
        <v>0</v>
      </c>
      <c r="K105" s="38">
        <f t="shared" si="1350"/>
        <v>0</v>
      </c>
      <c r="L105" s="29">
        <f>IFERROR(VLOOKUP($A105,APOIO!$B:$N,MATCH(L$5,APOIO!$B$5:$N$5,0),FALSE),0)</f>
        <v>0</v>
      </c>
      <c r="M105" s="38">
        <f t="shared" si="1351"/>
        <v>0</v>
      </c>
      <c r="N105" s="29">
        <f>IFERROR(VLOOKUP($A105,APOIO!$B:$N,MATCH(N$5,APOIO!$B$5:$N$5,0),FALSE),0)</f>
        <v>0</v>
      </c>
      <c r="O105" s="38">
        <f t="shared" si="1352"/>
        <v>0</v>
      </c>
      <c r="P105" s="30">
        <f t="shared" si="1364"/>
        <v>0</v>
      </c>
      <c r="Q105" s="41">
        <f t="shared" si="1353"/>
        <v>0</v>
      </c>
      <c r="R105" s="29">
        <f>IFERROR(VLOOKUP($A105,APOIO!$B:$N,MATCH(R$5,APOIO!$B$5:$N$5,0),FALSE),0)</f>
        <v>0</v>
      </c>
      <c r="S105" s="41">
        <f t="shared" si="1354"/>
        <v>0</v>
      </c>
      <c r="T105" s="29">
        <f>IFERROR(VLOOKUP($A105,APOIO!$B:$N,MATCH(T$5,APOIO!$B$5:$N$5,0),FALSE),0)</f>
        <v>0</v>
      </c>
      <c r="U105" s="41">
        <f t="shared" si="1355"/>
        <v>0</v>
      </c>
      <c r="V105" s="29">
        <f>IFERROR(VLOOKUP($A105,APOIO!$B:$N,MATCH(V$5,APOIO!$B$5:$N$5,0),FALSE),0)</f>
        <v>0</v>
      </c>
      <c r="W105" s="38">
        <f t="shared" si="1356"/>
        <v>0</v>
      </c>
      <c r="X105" s="30">
        <f t="shared" si="1365"/>
        <v>0</v>
      </c>
      <c r="Y105" s="41">
        <f t="shared" si="1357"/>
        <v>0</v>
      </c>
      <c r="Z105" s="29">
        <f>IFERROR(VLOOKUP($A105,APOIO!$B:$N,MATCH(Z$5,APOIO!$B$5:$N$5,0),FALSE),0)</f>
        <v>0</v>
      </c>
      <c r="AA105" s="38">
        <f t="shared" si="1358"/>
        <v>0</v>
      </c>
      <c r="AB105" s="29">
        <f>IFERROR(VLOOKUP($A105,APOIO!$B:$N,MATCH(AB$5,APOIO!$B$5:$N$5,0),FALSE),0)</f>
        <v>0</v>
      </c>
      <c r="AC105" s="38">
        <f t="shared" si="1359"/>
        <v>0</v>
      </c>
      <c r="AD105" s="29">
        <f>IFERROR(VLOOKUP($A105,APOIO!$B:$N,MATCH(AD$5,APOIO!$B$5:$N$5,0),FALSE),0)</f>
        <v>0</v>
      </c>
      <c r="AE105" s="38">
        <f t="shared" si="1360"/>
        <v>0</v>
      </c>
      <c r="AF105" s="30">
        <f t="shared" si="1366"/>
        <v>0</v>
      </c>
      <c r="AG105" s="41">
        <f t="shared" si="1361"/>
        <v>0</v>
      </c>
      <c r="AH105" s="29">
        <f t="shared" si="1367"/>
        <v>0</v>
      </c>
      <c r="AI105" s="41">
        <f t="shared" si="1362"/>
        <v>0</v>
      </c>
    </row>
    <row r="106" spans="1:35" ht="15.6" hidden="1" outlineLevel="1" x14ac:dyDescent="0.3">
      <c r="A106" s="35" t="s">
        <v>234</v>
      </c>
      <c r="B106" s="29">
        <f>IFERROR(VLOOKUP($A106,APOIO!$B:$N,MATCH(B$5,APOIO!$B$5:$N$5,0),FALSE),0)</f>
        <v>-2470.96</v>
      </c>
      <c r="C106" s="38">
        <f t="shared" si="1347"/>
        <v>-1.5923754463202256E-2</v>
      </c>
      <c r="D106" s="29">
        <f>IFERROR(VLOOKUP($A106,APOIO!$B:$N,MATCH(D$5,APOIO!$B$5:$N$5,0),FALSE),0)</f>
        <v>-1533.54</v>
      </c>
      <c r="E106" s="38">
        <f t="shared" si="1347"/>
        <v>-4.2007455300206867E-3</v>
      </c>
      <c r="F106" s="29">
        <f>IFERROR(VLOOKUP($A106,APOIO!$B:$N,MATCH(F$5,APOIO!$B$5:$N$5,0),FALSE),0)</f>
        <v>-1533.54</v>
      </c>
      <c r="G106" s="38">
        <f t="shared" si="1348"/>
        <v>0</v>
      </c>
      <c r="H106" s="30">
        <f t="shared" si="1363"/>
        <v>-5538.04</v>
      </c>
      <c r="I106" s="40">
        <f t="shared" si="1349"/>
        <v>-1.0645199988474512E-2</v>
      </c>
      <c r="J106" s="29">
        <f>IFERROR(VLOOKUP($A106,APOIO!$B:$N,MATCH(J$5,APOIO!$B$5:$N$5,0),FALSE),0)</f>
        <v>-633.54</v>
      </c>
      <c r="K106" s="38">
        <f t="shared" si="1350"/>
        <v>0</v>
      </c>
      <c r="L106" s="29">
        <f>IFERROR(VLOOKUP($A106,APOIO!$B:$N,MATCH(L$5,APOIO!$B$5:$N$5,0),FALSE),0)</f>
        <v>-2478.54</v>
      </c>
      <c r="M106" s="38">
        <f t="shared" si="1351"/>
        <v>0</v>
      </c>
      <c r="N106" s="29">
        <f>IFERROR(VLOOKUP($A106,APOIO!$B:$N,MATCH(N$5,APOIO!$B$5:$N$5,0),FALSE),0)</f>
        <v>0</v>
      </c>
      <c r="O106" s="38">
        <f t="shared" si="1352"/>
        <v>0</v>
      </c>
      <c r="P106" s="30">
        <f t="shared" si="1364"/>
        <v>-3112.08</v>
      </c>
      <c r="Q106" s="41">
        <f t="shared" si="1353"/>
        <v>0</v>
      </c>
      <c r="R106" s="29">
        <f>IFERROR(VLOOKUP($A106,APOIO!$B:$N,MATCH(R$5,APOIO!$B$5:$N$5,0),FALSE),0)</f>
        <v>0</v>
      </c>
      <c r="S106" s="41">
        <f t="shared" si="1354"/>
        <v>0</v>
      </c>
      <c r="T106" s="29">
        <f>IFERROR(VLOOKUP($A106,APOIO!$B:$N,MATCH(T$5,APOIO!$B$5:$N$5,0),FALSE),0)</f>
        <v>0</v>
      </c>
      <c r="U106" s="41">
        <f t="shared" si="1355"/>
        <v>0</v>
      </c>
      <c r="V106" s="29">
        <f>IFERROR(VLOOKUP($A106,APOIO!$B:$N,MATCH(V$5,APOIO!$B$5:$N$5,0),FALSE),0)</f>
        <v>0</v>
      </c>
      <c r="W106" s="38">
        <f t="shared" si="1356"/>
        <v>0</v>
      </c>
      <c r="X106" s="30">
        <f t="shared" si="1365"/>
        <v>0</v>
      </c>
      <c r="Y106" s="41">
        <f t="shared" si="1357"/>
        <v>0</v>
      </c>
      <c r="Z106" s="29">
        <f>IFERROR(VLOOKUP($A106,APOIO!$B:$N,MATCH(Z$5,APOIO!$B$5:$N$5,0),FALSE),0)</f>
        <v>0</v>
      </c>
      <c r="AA106" s="38">
        <f t="shared" si="1358"/>
        <v>0</v>
      </c>
      <c r="AB106" s="29">
        <f>IFERROR(VLOOKUP($A106,APOIO!$B:$N,MATCH(AB$5,APOIO!$B$5:$N$5,0),FALSE),0)</f>
        <v>0</v>
      </c>
      <c r="AC106" s="38">
        <f t="shared" si="1359"/>
        <v>0</v>
      </c>
      <c r="AD106" s="29">
        <f>IFERROR(VLOOKUP($A106,APOIO!$B:$N,MATCH(AD$5,APOIO!$B$5:$N$5,0),FALSE),0)</f>
        <v>0</v>
      </c>
      <c r="AE106" s="38">
        <f t="shared" si="1360"/>
        <v>0</v>
      </c>
      <c r="AF106" s="30">
        <f t="shared" si="1366"/>
        <v>0</v>
      </c>
      <c r="AG106" s="41">
        <f t="shared" si="1361"/>
        <v>0</v>
      </c>
      <c r="AH106" s="29">
        <f t="shared" si="1367"/>
        <v>-8650.119999999999</v>
      </c>
      <c r="AI106" s="41">
        <f t="shared" si="1362"/>
        <v>-1.6627228644846035E-2</v>
      </c>
    </row>
    <row r="107" spans="1:35" ht="15.6" hidden="1" outlineLevel="1" x14ac:dyDescent="0.3">
      <c r="A107" s="35" t="s">
        <v>235</v>
      </c>
      <c r="B107" s="29">
        <f>IFERROR(VLOOKUP($A107,APOIO!$B:$N,MATCH(B$5,APOIO!$B$5:$N$5,0),FALSE),0)</f>
        <v>0</v>
      </c>
      <c r="C107" s="38">
        <f t="shared" si="1347"/>
        <v>0</v>
      </c>
      <c r="D107" s="29">
        <f>IFERROR(VLOOKUP($A107,APOIO!$B:$N,MATCH(D$5,APOIO!$B$5:$N$5,0),FALSE),0)</f>
        <v>0</v>
      </c>
      <c r="E107" s="38">
        <f t="shared" si="1347"/>
        <v>0</v>
      </c>
      <c r="F107" s="29">
        <f>IFERROR(VLOOKUP($A107,APOIO!$B:$N,MATCH(F$5,APOIO!$B$5:$N$5,0),FALSE),0)</f>
        <v>0</v>
      </c>
      <c r="G107" s="38">
        <f t="shared" si="1348"/>
        <v>0</v>
      </c>
      <c r="H107" s="30">
        <f t="shared" si="1363"/>
        <v>0</v>
      </c>
      <c r="I107" s="40">
        <f t="shared" si="1349"/>
        <v>0</v>
      </c>
      <c r="J107" s="29">
        <f>IFERROR(VLOOKUP($A107,APOIO!$B:$N,MATCH(J$5,APOIO!$B$5:$N$5,0),FALSE),0)</f>
        <v>0</v>
      </c>
      <c r="K107" s="38">
        <f t="shared" si="1350"/>
        <v>0</v>
      </c>
      <c r="L107" s="29">
        <f>IFERROR(VLOOKUP($A107,APOIO!$B:$N,MATCH(L$5,APOIO!$B$5:$N$5,0),FALSE),0)</f>
        <v>0</v>
      </c>
      <c r="M107" s="38">
        <f t="shared" si="1351"/>
        <v>0</v>
      </c>
      <c r="N107" s="29">
        <f>IFERROR(VLOOKUP($A107,APOIO!$B:$N,MATCH(N$5,APOIO!$B$5:$N$5,0),FALSE),0)</f>
        <v>0</v>
      </c>
      <c r="O107" s="38">
        <f t="shared" si="1352"/>
        <v>0</v>
      </c>
      <c r="P107" s="30">
        <f t="shared" si="1364"/>
        <v>0</v>
      </c>
      <c r="Q107" s="41">
        <f t="shared" si="1353"/>
        <v>0</v>
      </c>
      <c r="R107" s="29">
        <f>IFERROR(VLOOKUP($A107,APOIO!$B:$N,MATCH(R$5,APOIO!$B$5:$N$5,0),FALSE),0)</f>
        <v>0</v>
      </c>
      <c r="S107" s="41">
        <f t="shared" si="1354"/>
        <v>0</v>
      </c>
      <c r="T107" s="29">
        <f>IFERROR(VLOOKUP($A107,APOIO!$B:$N,MATCH(T$5,APOIO!$B$5:$N$5,0),FALSE),0)</f>
        <v>0</v>
      </c>
      <c r="U107" s="41">
        <f t="shared" si="1355"/>
        <v>0</v>
      </c>
      <c r="V107" s="29">
        <f>IFERROR(VLOOKUP($A107,APOIO!$B:$N,MATCH(V$5,APOIO!$B$5:$N$5,0),FALSE),0)</f>
        <v>0</v>
      </c>
      <c r="W107" s="38">
        <f t="shared" si="1356"/>
        <v>0</v>
      </c>
      <c r="X107" s="30">
        <f t="shared" si="1365"/>
        <v>0</v>
      </c>
      <c r="Y107" s="41">
        <f t="shared" si="1357"/>
        <v>0</v>
      </c>
      <c r="Z107" s="29">
        <f>IFERROR(VLOOKUP($A107,APOIO!$B:$N,MATCH(Z$5,APOIO!$B$5:$N$5,0),FALSE),0)</f>
        <v>0</v>
      </c>
      <c r="AA107" s="38">
        <f t="shared" si="1358"/>
        <v>0</v>
      </c>
      <c r="AB107" s="29">
        <f>IFERROR(VLOOKUP($A107,APOIO!$B:$N,MATCH(AB$5,APOIO!$B$5:$N$5,0),FALSE),0)</f>
        <v>0</v>
      </c>
      <c r="AC107" s="38">
        <f t="shared" si="1359"/>
        <v>0</v>
      </c>
      <c r="AD107" s="29">
        <f>IFERROR(VLOOKUP($A107,APOIO!$B:$N,MATCH(AD$5,APOIO!$B$5:$N$5,0),FALSE),0)</f>
        <v>0</v>
      </c>
      <c r="AE107" s="38">
        <f t="shared" si="1360"/>
        <v>0</v>
      </c>
      <c r="AF107" s="30">
        <f t="shared" si="1366"/>
        <v>0</v>
      </c>
      <c r="AG107" s="41">
        <f t="shared" si="1361"/>
        <v>0</v>
      </c>
      <c r="AH107" s="29">
        <f t="shared" si="1367"/>
        <v>0</v>
      </c>
      <c r="AI107" s="41">
        <f t="shared" si="1362"/>
        <v>0</v>
      </c>
    </row>
    <row r="108" spans="1:35" ht="15.6" hidden="1" outlineLevel="1" x14ac:dyDescent="0.3">
      <c r="A108" s="35" t="s">
        <v>236</v>
      </c>
      <c r="B108" s="29">
        <f>IFERROR(VLOOKUP($A108,APOIO!$B:$N,MATCH(B$5,APOIO!$B$5:$N$5,0),FALSE),0)</f>
        <v>0</v>
      </c>
      <c r="C108" s="38">
        <f t="shared" si="1347"/>
        <v>0</v>
      </c>
      <c r="D108" s="29">
        <f>IFERROR(VLOOKUP($A108,APOIO!$B:$N,MATCH(D$5,APOIO!$B$5:$N$5,0),FALSE),0)</f>
        <v>0</v>
      </c>
      <c r="E108" s="38">
        <f t="shared" si="1347"/>
        <v>0</v>
      </c>
      <c r="F108" s="29">
        <f>IFERROR(VLOOKUP($A108,APOIO!$B:$N,MATCH(F$5,APOIO!$B$5:$N$5,0),FALSE),0)</f>
        <v>0</v>
      </c>
      <c r="G108" s="38">
        <f t="shared" si="1348"/>
        <v>0</v>
      </c>
      <c r="H108" s="30">
        <f t="shared" si="1363"/>
        <v>0</v>
      </c>
      <c r="I108" s="40">
        <f t="shared" si="1349"/>
        <v>0</v>
      </c>
      <c r="J108" s="29">
        <f>IFERROR(VLOOKUP($A108,APOIO!$B:$N,MATCH(J$5,APOIO!$B$5:$N$5,0),FALSE),0)</f>
        <v>0</v>
      </c>
      <c r="K108" s="38">
        <f t="shared" si="1350"/>
        <v>0</v>
      </c>
      <c r="L108" s="29">
        <f>IFERROR(VLOOKUP($A108,APOIO!$B:$N,MATCH(L$5,APOIO!$B$5:$N$5,0),FALSE),0)</f>
        <v>0</v>
      </c>
      <c r="M108" s="38">
        <f t="shared" si="1351"/>
        <v>0</v>
      </c>
      <c r="N108" s="29">
        <f>IFERROR(VLOOKUP($A108,APOIO!$B:$N,MATCH(N$5,APOIO!$B$5:$N$5,0),FALSE),0)</f>
        <v>0</v>
      </c>
      <c r="O108" s="38">
        <f t="shared" si="1352"/>
        <v>0</v>
      </c>
      <c r="P108" s="30">
        <f t="shared" si="1364"/>
        <v>0</v>
      </c>
      <c r="Q108" s="41">
        <f t="shared" si="1353"/>
        <v>0</v>
      </c>
      <c r="R108" s="29">
        <f>IFERROR(VLOOKUP($A108,APOIO!$B:$N,MATCH(R$5,APOIO!$B$5:$N$5,0),FALSE),0)</f>
        <v>0</v>
      </c>
      <c r="S108" s="41">
        <f t="shared" si="1354"/>
        <v>0</v>
      </c>
      <c r="T108" s="29">
        <f>IFERROR(VLOOKUP($A108,APOIO!$B:$N,MATCH(T$5,APOIO!$B$5:$N$5,0),FALSE),0)</f>
        <v>0</v>
      </c>
      <c r="U108" s="41">
        <f t="shared" si="1355"/>
        <v>0</v>
      </c>
      <c r="V108" s="29">
        <f>IFERROR(VLOOKUP($A108,APOIO!$B:$N,MATCH(V$5,APOIO!$B$5:$N$5,0),FALSE),0)</f>
        <v>0</v>
      </c>
      <c r="W108" s="38">
        <f t="shared" si="1356"/>
        <v>0</v>
      </c>
      <c r="X108" s="30">
        <f t="shared" si="1365"/>
        <v>0</v>
      </c>
      <c r="Y108" s="41">
        <f t="shared" si="1357"/>
        <v>0</v>
      </c>
      <c r="Z108" s="29">
        <f>IFERROR(VLOOKUP($A108,APOIO!$B:$N,MATCH(Z$5,APOIO!$B$5:$N$5,0),FALSE),0)</f>
        <v>0</v>
      </c>
      <c r="AA108" s="38">
        <f t="shared" si="1358"/>
        <v>0</v>
      </c>
      <c r="AB108" s="29">
        <f>IFERROR(VLOOKUP($A108,APOIO!$B:$N,MATCH(AB$5,APOIO!$B$5:$N$5,0),FALSE),0)</f>
        <v>0</v>
      </c>
      <c r="AC108" s="38">
        <f t="shared" si="1359"/>
        <v>0</v>
      </c>
      <c r="AD108" s="29">
        <f>IFERROR(VLOOKUP($A108,APOIO!$B:$N,MATCH(AD$5,APOIO!$B$5:$N$5,0),FALSE),0)</f>
        <v>0</v>
      </c>
      <c r="AE108" s="38">
        <f t="shared" si="1360"/>
        <v>0</v>
      </c>
      <c r="AF108" s="30">
        <f t="shared" si="1366"/>
        <v>0</v>
      </c>
      <c r="AG108" s="41">
        <f t="shared" si="1361"/>
        <v>0</v>
      </c>
      <c r="AH108" s="29">
        <f t="shared" si="1367"/>
        <v>0</v>
      </c>
      <c r="AI108" s="41">
        <f t="shared" si="1362"/>
        <v>0</v>
      </c>
    </row>
    <row r="109" spans="1:35" ht="15.6" hidden="1" outlineLevel="1" x14ac:dyDescent="0.3">
      <c r="A109" s="35" t="s">
        <v>237</v>
      </c>
      <c r="B109" s="29">
        <f>IFERROR(VLOOKUP($A109,APOIO!$B:$N,MATCH(B$5,APOIO!$B$5:$N$5,0),FALSE),0)</f>
        <v>0</v>
      </c>
      <c r="C109" s="38">
        <f t="shared" si="1347"/>
        <v>0</v>
      </c>
      <c r="D109" s="29">
        <f>IFERROR(VLOOKUP($A109,APOIO!$B:$N,MATCH(D$5,APOIO!$B$5:$N$5,0),FALSE),0)</f>
        <v>0</v>
      </c>
      <c r="E109" s="38">
        <f t="shared" si="1347"/>
        <v>0</v>
      </c>
      <c r="F109" s="29">
        <f>IFERROR(VLOOKUP($A109,APOIO!$B:$N,MATCH(F$5,APOIO!$B$5:$N$5,0),FALSE),0)</f>
        <v>0</v>
      </c>
      <c r="G109" s="38">
        <f t="shared" si="1348"/>
        <v>0</v>
      </c>
      <c r="H109" s="30">
        <f t="shared" si="1363"/>
        <v>0</v>
      </c>
      <c r="I109" s="40">
        <f t="shared" si="1349"/>
        <v>0</v>
      </c>
      <c r="J109" s="29">
        <f>IFERROR(VLOOKUP($A109,APOIO!$B:$N,MATCH(J$5,APOIO!$B$5:$N$5,0),FALSE),0)</f>
        <v>0</v>
      </c>
      <c r="K109" s="38">
        <f t="shared" si="1350"/>
        <v>0</v>
      </c>
      <c r="L109" s="29">
        <f>IFERROR(VLOOKUP($A109,APOIO!$B:$N,MATCH(L$5,APOIO!$B$5:$N$5,0),FALSE),0)</f>
        <v>0</v>
      </c>
      <c r="M109" s="38">
        <f t="shared" si="1351"/>
        <v>0</v>
      </c>
      <c r="N109" s="29">
        <f>IFERROR(VLOOKUP($A109,APOIO!$B:$N,MATCH(N$5,APOIO!$B$5:$N$5,0),FALSE),0)</f>
        <v>0</v>
      </c>
      <c r="O109" s="38">
        <f t="shared" si="1352"/>
        <v>0</v>
      </c>
      <c r="P109" s="30">
        <f t="shared" si="1364"/>
        <v>0</v>
      </c>
      <c r="Q109" s="41">
        <f t="shared" si="1353"/>
        <v>0</v>
      </c>
      <c r="R109" s="29">
        <f>IFERROR(VLOOKUP($A109,APOIO!$B:$N,MATCH(R$5,APOIO!$B$5:$N$5,0),FALSE),0)</f>
        <v>0</v>
      </c>
      <c r="S109" s="41">
        <f t="shared" si="1354"/>
        <v>0</v>
      </c>
      <c r="T109" s="29">
        <f>IFERROR(VLOOKUP($A109,APOIO!$B:$N,MATCH(T$5,APOIO!$B$5:$N$5,0),FALSE),0)</f>
        <v>0</v>
      </c>
      <c r="U109" s="41">
        <f t="shared" si="1355"/>
        <v>0</v>
      </c>
      <c r="V109" s="29">
        <f>IFERROR(VLOOKUP($A109,APOIO!$B:$N,MATCH(V$5,APOIO!$B$5:$N$5,0),FALSE),0)</f>
        <v>0</v>
      </c>
      <c r="W109" s="38">
        <f t="shared" si="1356"/>
        <v>0</v>
      </c>
      <c r="X109" s="30">
        <f t="shared" si="1365"/>
        <v>0</v>
      </c>
      <c r="Y109" s="41">
        <f t="shared" si="1357"/>
        <v>0</v>
      </c>
      <c r="Z109" s="29">
        <f>IFERROR(VLOOKUP($A109,APOIO!$B:$N,MATCH(Z$5,APOIO!$B$5:$N$5,0),FALSE),0)</f>
        <v>0</v>
      </c>
      <c r="AA109" s="38">
        <f t="shared" si="1358"/>
        <v>0</v>
      </c>
      <c r="AB109" s="29">
        <f>IFERROR(VLOOKUP($A109,APOIO!$B:$N,MATCH(AB$5,APOIO!$B$5:$N$5,0),FALSE),0)</f>
        <v>0</v>
      </c>
      <c r="AC109" s="38">
        <f t="shared" si="1359"/>
        <v>0</v>
      </c>
      <c r="AD109" s="29">
        <f>IFERROR(VLOOKUP($A109,APOIO!$B:$N,MATCH(AD$5,APOIO!$B$5:$N$5,0),FALSE),0)</f>
        <v>0</v>
      </c>
      <c r="AE109" s="38">
        <f t="shared" si="1360"/>
        <v>0</v>
      </c>
      <c r="AF109" s="30">
        <f t="shared" si="1366"/>
        <v>0</v>
      </c>
      <c r="AG109" s="41">
        <f t="shared" si="1361"/>
        <v>0</v>
      </c>
      <c r="AH109" s="29">
        <f t="shared" si="1367"/>
        <v>0</v>
      </c>
      <c r="AI109" s="41">
        <f t="shared" si="1362"/>
        <v>0</v>
      </c>
    </row>
    <row r="110" spans="1:35" ht="15.6" hidden="1" outlineLevel="1" x14ac:dyDescent="0.3">
      <c r="A110" s="35" t="s">
        <v>238</v>
      </c>
      <c r="B110" s="29">
        <f>IFERROR(VLOOKUP($A110,APOIO!$B:$N,MATCH(B$5,APOIO!$B$5:$N$5,0),FALSE),0)</f>
        <v>0</v>
      </c>
      <c r="C110" s="38">
        <f t="shared" ref="C110:C111" si="1368">IFERROR(B110/B$19,0)</f>
        <v>0</v>
      </c>
      <c r="D110" s="29">
        <f>IFERROR(VLOOKUP($A110,APOIO!$B:$N,MATCH(D$5,APOIO!$B$5:$N$5,0),FALSE),0)</f>
        <v>0</v>
      </c>
      <c r="E110" s="38">
        <f t="shared" ref="E110:E111" si="1369">IFERROR(D110/D$19,0)</f>
        <v>0</v>
      </c>
      <c r="F110" s="29">
        <f>IFERROR(VLOOKUP($A110,APOIO!$B:$N,MATCH(F$5,APOIO!$B$5:$N$5,0),FALSE),0)</f>
        <v>0</v>
      </c>
      <c r="G110" s="38">
        <f t="shared" ref="G110:G111" si="1370">IFERROR(F110/F$19,0)</f>
        <v>0</v>
      </c>
      <c r="H110" s="30">
        <f t="shared" ref="H110:H111" si="1371">SUM(B110,D110,F110)</f>
        <v>0</v>
      </c>
      <c r="I110" s="40">
        <f t="shared" ref="I110:I111" si="1372">IFERROR(H110/H$19,0)</f>
        <v>0</v>
      </c>
      <c r="J110" s="29">
        <f>IFERROR(VLOOKUP($A110,APOIO!$B:$N,MATCH(J$5,APOIO!$B$5:$N$5,0),FALSE),0)</f>
        <v>0</v>
      </c>
      <c r="K110" s="38">
        <f t="shared" ref="K110:K111" si="1373">IFERROR(J110/J$19,0)</f>
        <v>0</v>
      </c>
      <c r="L110" s="29">
        <f>IFERROR(VLOOKUP($A110,APOIO!$B:$N,MATCH(L$5,APOIO!$B$5:$N$5,0),FALSE),0)</f>
        <v>0</v>
      </c>
      <c r="M110" s="38">
        <f t="shared" ref="M110:M111" si="1374">IFERROR(L110/L$19,0)</f>
        <v>0</v>
      </c>
      <c r="N110" s="29">
        <f>IFERROR(VLOOKUP($A110,APOIO!$B:$N,MATCH(N$5,APOIO!$B$5:$N$5,0),FALSE),0)</f>
        <v>0</v>
      </c>
      <c r="O110" s="38">
        <f t="shared" ref="O110:O111" si="1375">IFERROR(N110/N$19,0)</f>
        <v>0</v>
      </c>
      <c r="P110" s="30">
        <f t="shared" ref="P110:P111" si="1376">SUM(J110,L110,N110)</f>
        <v>0</v>
      </c>
      <c r="Q110" s="41">
        <f t="shared" ref="Q110:Q111" si="1377">IFERROR(P110/P$19,0)</f>
        <v>0</v>
      </c>
      <c r="R110" s="29">
        <f>IFERROR(VLOOKUP($A110,APOIO!$B:$N,MATCH(R$5,APOIO!$B$5:$N$5,0),FALSE),0)</f>
        <v>0</v>
      </c>
      <c r="S110" s="41">
        <f t="shared" ref="S110:S111" si="1378">IFERROR(R110/R$19,0)</f>
        <v>0</v>
      </c>
      <c r="T110" s="29">
        <f>IFERROR(VLOOKUP($A110,APOIO!$B:$N,MATCH(T$5,APOIO!$B$5:$N$5,0),FALSE),0)</f>
        <v>0</v>
      </c>
      <c r="U110" s="41">
        <f t="shared" ref="U110:U111" si="1379">IFERROR(T110/T$19,0)</f>
        <v>0</v>
      </c>
      <c r="V110" s="29">
        <f>IFERROR(VLOOKUP($A110,APOIO!$B:$N,MATCH(V$5,APOIO!$B$5:$N$5,0),FALSE),0)</f>
        <v>0</v>
      </c>
      <c r="W110" s="38">
        <f t="shared" ref="W110:W111" si="1380">IFERROR(V110/V$19,0)</f>
        <v>0</v>
      </c>
      <c r="X110" s="30">
        <f t="shared" ref="X110:X111" si="1381">SUM(R110,T110,V110)</f>
        <v>0</v>
      </c>
      <c r="Y110" s="41">
        <f t="shared" ref="Y110:Y111" si="1382">IFERROR(X110/X$19,0)</f>
        <v>0</v>
      </c>
      <c r="Z110" s="29">
        <f>IFERROR(VLOOKUP($A110,APOIO!$B:$N,MATCH(Z$5,APOIO!$B$5:$N$5,0),FALSE),0)</f>
        <v>0</v>
      </c>
      <c r="AA110" s="38">
        <f t="shared" ref="AA110:AA111" si="1383">IFERROR(Z110/Z$19,0)</f>
        <v>0</v>
      </c>
      <c r="AB110" s="29">
        <f>IFERROR(VLOOKUP($A110,APOIO!$B:$N,MATCH(AB$5,APOIO!$B$5:$N$5,0),FALSE),0)</f>
        <v>0</v>
      </c>
      <c r="AC110" s="38">
        <f t="shared" ref="AC110:AC111" si="1384">IFERROR(AB110/AB$19,0)</f>
        <v>0</v>
      </c>
      <c r="AD110" s="29">
        <f>IFERROR(VLOOKUP($A110,APOIO!$B:$N,MATCH(AD$5,APOIO!$B$5:$N$5,0),FALSE),0)</f>
        <v>0</v>
      </c>
      <c r="AE110" s="38">
        <f t="shared" ref="AE110:AE111" si="1385">IFERROR(AD110/AD$19,0)</f>
        <v>0</v>
      </c>
      <c r="AF110" s="30">
        <f t="shared" ref="AF110:AF111" si="1386">SUM(Z110,AB110,AD110)</f>
        <v>0</v>
      </c>
      <c r="AG110" s="41">
        <f t="shared" ref="AG110:AG111" si="1387">IFERROR(AF110/AF$19,0)</f>
        <v>0</v>
      </c>
      <c r="AH110" s="29">
        <f t="shared" ref="AH110:AH111" si="1388">SUM(B110,D110,F110,J110,L110,N110,R110,T110,V110,Z110,AB110,AD110)</f>
        <v>0</v>
      </c>
      <c r="AI110" s="41">
        <f t="shared" ref="AI110:AI111" si="1389">IFERROR(AH110/AH$19,0)</f>
        <v>0</v>
      </c>
    </row>
    <row r="111" spans="1:35" ht="15.6" hidden="1" outlineLevel="1" x14ac:dyDescent="0.3">
      <c r="A111" s="35" t="s">
        <v>239</v>
      </c>
      <c r="B111" s="29">
        <f>IFERROR(VLOOKUP($A111,APOIO!$B:$N,MATCH(B$5,APOIO!$B$5:$N$5,0),FALSE),0)</f>
        <v>0</v>
      </c>
      <c r="C111" s="38">
        <f t="shared" si="1368"/>
        <v>0</v>
      </c>
      <c r="D111" s="29">
        <f>IFERROR(VLOOKUP($A111,APOIO!$B:$N,MATCH(D$5,APOIO!$B$5:$N$5,0),FALSE),0)</f>
        <v>0</v>
      </c>
      <c r="E111" s="38">
        <f t="shared" si="1369"/>
        <v>0</v>
      </c>
      <c r="F111" s="29">
        <f>IFERROR(VLOOKUP($A111,APOIO!$B:$N,MATCH(F$5,APOIO!$B$5:$N$5,0),FALSE),0)</f>
        <v>0</v>
      </c>
      <c r="G111" s="38">
        <f t="shared" si="1370"/>
        <v>0</v>
      </c>
      <c r="H111" s="30">
        <f t="shared" si="1371"/>
        <v>0</v>
      </c>
      <c r="I111" s="40">
        <f t="shared" si="1372"/>
        <v>0</v>
      </c>
      <c r="J111" s="29">
        <f>IFERROR(VLOOKUP($A111,APOIO!$B:$N,MATCH(J$5,APOIO!$B$5:$N$5,0),FALSE),0)</f>
        <v>0</v>
      </c>
      <c r="K111" s="38">
        <f t="shared" si="1373"/>
        <v>0</v>
      </c>
      <c r="L111" s="29">
        <f>IFERROR(VLOOKUP($A111,APOIO!$B:$N,MATCH(L$5,APOIO!$B$5:$N$5,0),FALSE),0)</f>
        <v>0</v>
      </c>
      <c r="M111" s="38">
        <f t="shared" si="1374"/>
        <v>0</v>
      </c>
      <c r="N111" s="29">
        <f>IFERROR(VLOOKUP($A111,APOIO!$B:$N,MATCH(N$5,APOIO!$B$5:$N$5,0),FALSE),0)</f>
        <v>0</v>
      </c>
      <c r="O111" s="38">
        <f t="shared" si="1375"/>
        <v>0</v>
      </c>
      <c r="P111" s="30">
        <f t="shared" si="1376"/>
        <v>0</v>
      </c>
      <c r="Q111" s="41">
        <f t="shared" si="1377"/>
        <v>0</v>
      </c>
      <c r="R111" s="29">
        <f>IFERROR(VLOOKUP($A111,APOIO!$B:$N,MATCH(R$5,APOIO!$B$5:$N$5,0),FALSE),0)</f>
        <v>0</v>
      </c>
      <c r="S111" s="41">
        <f t="shared" si="1378"/>
        <v>0</v>
      </c>
      <c r="T111" s="29">
        <f>IFERROR(VLOOKUP($A111,APOIO!$B:$N,MATCH(T$5,APOIO!$B$5:$N$5,0),FALSE),0)</f>
        <v>0</v>
      </c>
      <c r="U111" s="41">
        <f t="shared" si="1379"/>
        <v>0</v>
      </c>
      <c r="V111" s="29">
        <f>IFERROR(VLOOKUP($A111,APOIO!$B:$N,MATCH(V$5,APOIO!$B$5:$N$5,0),FALSE),0)</f>
        <v>0</v>
      </c>
      <c r="W111" s="38">
        <f t="shared" si="1380"/>
        <v>0</v>
      </c>
      <c r="X111" s="30">
        <f t="shared" si="1381"/>
        <v>0</v>
      </c>
      <c r="Y111" s="41">
        <f t="shared" si="1382"/>
        <v>0</v>
      </c>
      <c r="Z111" s="29">
        <f>IFERROR(VLOOKUP($A111,APOIO!$B:$N,MATCH(Z$5,APOIO!$B$5:$N$5,0),FALSE),0)</f>
        <v>0</v>
      </c>
      <c r="AA111" s="38">
        <f t="shared" si="1383"/>
        <v>0</v>
      </c>
      <c r="AB111" s="29">
        <f>IFERROR(VLOOKUP($A111,APOIO!$B:$N,MATCH(AB$5,APOIO!$B$5:$N$5,0),FALSE),0)</f>
        <v>0</v>
      </c>
      <c r="AC111" s="38">
        <f t="shared" si="1384"/>
        <v>0</v>
      </c>
      <c r="AD111" s="29">
        <f>IFERROR(VLOOKUP($A111,APOIO!$B:$N,MATCH(AD$5,APOIO!$B$5:$N$5,0),FALSE),0)</f>
        <v>0</v>
      </c>
      <c r="AE111" s="38">
        <f t="shared" si="1385"/>
        <v>0</v>
      </c>
      <c r="AF111" s="30">
        <f t="shared" si="1386"/>
        <v>0</v>
      </c>
      <c r="AG111" s="41">
        <f t="shared" si="1387"/>
        <v>0</v>
      </c>
      <c r="AH111" s="29">
        <f t="shared" si="1388"/>
        <v>0</v>
      </c>
      <c r="AI111" s="41">
        <f t="shared" si="1389"/>
        <v>0</v>
      </c>
    </row>
    <row r="112" spans="1:35" ht="15.6" hidden="1" outlineLevel="1" x14ac:dyDescent="0.3">
      <c r="A112" s="35" t="s">
        <v>240</v>
      </c>
      <c r="B112" s="29">
        <f>IFERROR(VLOOKUP($A112,APOIO!$B:$N,MATCH(B$5,APOIO!$B$5:$N$5,0),FALSE),0)</f>
        <v>0</v>
      </c>
      <c r="C112" s="38">
        <f t="shared" ref="C112:C128" si="1390">IFERROR(B112/B$19,0)</f>
        <v>0</v>
      </c>
      <c r="D112" s="29">
        <f>IFERROR(VLOOKUP($A112,APOIO!$B:$N,MATCH(D$5,APOIO!$B$5:$N$5,0),FALSE),0)</f>
        <v>0</v>
      </c>
      <c r="E112" s="38">
        <f t="shared" ref="E112:E128" si="1391">IFERROR(D112/D$19,0)</f>
        <v>0</v>
      </c>
      <c r="F112" s="29">
        <f>IFERROR(VLOOKUP($A112,APOIO!$B:$N,MATCH(F$5,APOIO!$B$5:$N$5,0),FALSE),0)</f>
        <v>0</v>
      </c>
      <c r="G112" s="38">
        <f t="shared" ref="G112:G128" si="1392">IFERROR(F112/F$19,0)</f>
        <v>0</v>
      </c>
      <c r="H112" s="30">
        <f t="shared" si="1363"/>
        <v>0</v>
      </c>
      <c r="I112" s="40">
        <f t="shared" ref="I112:I128" si="1393">IFERROR(H112/H$19,0)</f>
        <v>0</v>
      </c>
      <c r="J112" s="29">
        <f>IFERROR(VLOOKUP($A112,APOIO!$B:$N,MATCH(J$5,APOIO!$B$5:$N$5,0),FALSE),0)</f>
        <v>0</v>
      </c>
      <c r="K112" s="38">
        <f t="shared" ref="K112:K128" si="1394">IFERROR(J112/J$19,0)</f>
        <v>0</v>
      </c>
      <c r="L112" s="29">
        <f>IFERROR(VLOOKUP($A112,APOIO!$B:$N,MATCH(L$5,APOIO!$B$5:$N$5,0),FALSE),0)</f>
        <v>0</v>
      </c>
      <c r="M112" s="38">
        <f t="shared" ref="M112:M128" si="1395">IFERROR(L112/L$19,0)</f>
        <v>0</v>
      </c>
      <c r="N112" s="29">
        <f>IFERROR(VLOOKUP($A112,APOIO!$B:$N,MATCH(N$5,APOIO!$B$5:$N$5,0),FALSE),0)</f>
        <v>0</v>
      </c>
      <c r="O112" s="38">
        <f t="shared" ref="O112:O128" si="1396">IFERROR(N112/N$19,0)</f>
        <v>0</v>
      </c>
      <c r="P112" s="30">
        <f t="shared" si="1364"/>
        <v>0</v>
      </c>
      <c r="Q112" s="41">
        <f t="shared" ref="Q112:Q128" si="1397">IFERROR(P112/P$19,0)</f>
        <v>0</v>
      </c>
      <c r="R112" s="29">
        <f>IFERROR(VLOOKUP($A112,APOIO!$B:$N,MATCH(R$5,APOIO!$B$5:$N$5,0),FALSE),0)</f>
        <v>0</v>
      </c>
      <c r="S112" s="41">
        <f t="shared" ref="S112:S128" si="1398">IFERROR(R112/R$19,0)</f>
        <v>0</v>
      </c>
      <c r="T112" s="29">
        <f>IFERROR(VLOOKUP($A112,APOIO!$B:$N,MATCH(T$5,APOIO!$B$5:$N$5,0),FALSE),0)</f>
        <v>0</v>
      </c>
      <c r="U112" s="41">
        <f t="shared" ref="U112:U128" si="1399">IFERROR(T112/T$19,0)</f>
        <v>0</v>
      </c>
      <c r="V112" s="29">
        <f>IFERROR(VLOOKUP($A112,APOIO!$B:$N,MATCH(V$5,APOIO!$B$5:$N$5,0),FALSE),0)</f>
        <v>0</v>
      </c>
      <c r="W112" s="38">
        <f t="shared" ref="W112:W128" si="1400">IFERROR(V112/V$19,0)</f>
        <v>0</v>
      </c>
      <c r="X112" s="30">
        <f t="shared" si="1365"/>
        <v>0</v>
      </c>
      <c r="Y112" s="41">
        <f t="shared" ref="Y112:Y128" si="1401">IFERROR(X112/X$19,0)</f>
        <v>0</v>
      </c>
      <c r="Z112" s="29">
        <f>IFERROR(VLOOKUP($A112,APOIO!$B:$N,MATCH(Z$5,APOIO!$B$5:$N$5,0),FALSE),0)</f>
        <v>0</v>
      </c>
      <c r="AA112" s="38">
        <f t="shared" ref="AA112:AA128" si="1402">IFERROR(Z112/Z$19,0)</f>
        <v>0</v>
      </c>
      <c r="AB112" s="29">
        <f>IFERROR(VLOOKUP($A112,APOIO!$B:$N,MATCH(AB$5,APOIO!$B$5:$N$5,0),FALSE),0)</f>
        <v>0</v>
      </c>
      <c r="AC112" s="38">
        <f t="shared" ref="AC112:AC128" si="1403">IFERROR(AB112/AB$19,0)</f>
        <v>0</v>
      </c>
      <c r="AD112" s="29">
        <f>IFERROR(VLOOKUP($A112,APOIO!$B:$N,MATCH(AD$5,APOIO!$B$5:$N$5,0),FALSE),0)</f>
        <v>0</v>
      </c>
      <c r="AE112" s="38">
        <f t="shared" ref="AE112:AE128" si="1404">IFERROR(AD112/AD$19,0)</f>
        <v>0</v>
      </c>
      <c r="AF112" s="30">
        <f t="shared" si="1366"/>
        <v>0</v>
      </c>
      <c r="AG112" s="41">
        <f t="shared" ref="AG112:AG128" si="1405">IFERROR(AF112/AF$19,0)</f>
        <v>0</v>
      </c>
      <c r="AH112" s="29">
        <f t="shared" si="1367"/>
        <v>0</v>
      </c>
      <c r="AI112" s="41">
        <f t="shared" ref="AI112:AI128" si="1406">IFERROR(AH112/AH$19,0)</f>
        <v>0</v>
      </c>
    </row>
    <row r="113" spans="1:35" ht="15.6" hidden="1" outlineLevel="1" x14ac:dyDescent="0.3">
      <c r="A113" s="35" t="s">
        <v>241</v>
      </c>
      <c r="B113" s="29">
        <f>IFERROR(VLOOKUP($A113,APOIO!$B:$N,MATCH(B$5,APOIO!$B$5:$N$5,0),FALSE),0)</f>
        <v>0</v>
      </c>
      <c r="C113" s="38">
        <f t="shared" si="1390"/>
        <v>0</v>
      </c>
      <c r="D113" s="29">
        <f>IFERROR(VLOOKUP($A113,APOIO!$B:$N,MATCH(D$5,APOIO!$B$5:$N$5,0),FALSE),0)</f>
        <v>0</v>
      </c>
      <c r="E113" s="38">
        <f t="shared" si="1391"/>
        <v>0</v>
      </c>
      <c r="F113" s="29">
        <f>IFERROR(VLOOKUP($A113,APOIO!$B:$N,MATCH(F$5,APOIO!$B$5:$N$5,0),FALSE),0)</f>
        <v>0</v>
      </c>
      <c r="G113" s="38">
        <f t="shared" si="1392"/>
        <v>0</v>
      </c>
      <c r="H113" s="30">
        <f t="shared" ref="H113:H128" si="1407">SUM(B113,D113,F113)</f>
        <v>0</v>
      </c>
      <c r="I113" s="40">
        <f t="shared" si="1393"/>
        <v>0</v>
      </c>
      <c r="J113" s="29">
        <f>IFERROR(VLOOKUP($A113,APOIO!$B:$N,MATCH(J$5,APOIO!$B$5:$N$5,0),FALSE),0)</f>
        <v>0</v>
      </c>
      <c r="K113" s="38">
        <f t="shared" si="1394"/>
        <v>0</v>
      </c>
      <c r="L113" s="29">
        <f>IFERROR(VLOOKUP($A113,APOIO!$B:$N,MATCH(L$5,APOIO!$B$5:$N$5,0),FALSE),0)</f>
        <v>0</v>
      </c>
      <c r="M113" s="38">
        <f t="shared" si="1395"/>
        <v>0</v>
      </c>
      <c r="N113" s="29">
        <f>IFERROR(VLOOKUP($A113,APOIO!$B:$N,MATCH(N$5,APOIO!$B$5:$N$5,0),FALSE),0)</f>
        <v>0</v>
      </c>
      <c r="O113" s="38">
        <f t="shared" si="1396"/>
        <v>0</v>
      </c>
      <c r="P113" s="30">
        <f t="shared" ref="P113:P128" si="1408">SUM(J113,L113,N113)</f>
        <v>0</v>
      </c>
      <c r="Q113" s="41">
        <f t="shared" si="1397"/>
        <v>0</v>
      </c>
      <c r="R113" s="29">
        <f>IFERROR(VLOOKUP($A113,APOIO!$B:$N,MATCH(R$5,APOIO!$B$5:$N$5,0),FALSE),0)</f>
        <v>0</v>
      </c>
      <c r="S113" s="41">
        <f t="shared" si="1398"/>
        <v>0</v>
      </c>
      <c r="T113" s="29">
        <f>IFERROR(VLOOKUP($A113,APOIO!$B:$N,MATCH(T$5,APOIO!$B$5:$N$5,0),FALSE),0)</f>
        <v>0</v>
      </c>
      <c r="U113" s="41">
        <f t="shared" si="1399"/>
        <v>0</v>
      </c>
      <c r="V113" s="29">
        <f>IFERROR(VLOOKUP($A113,APOIO!$B:$N,MATCH(V$5,APOIO!$B$5:$N$5,0),FALSE),0)</f>
        <v>0</v>
      </c>
      <c r="W113" s="38">
        <f t="shared" si="1400"/>
        <v>0</v>
      </c>
      <c r="X113" s="30">
        <f t="shared" ref="X113:X128" si="1409">SUM(R113,T113,V113)</f>
        <v>0</v>
      </c>
      <c r="Y113" s="41">
        <f t="shared" si="1401"/>
        <v>0</v>
      </c>
      <c r="Z113" s="29">
        <f>IFERROR(VLOOKUP($A113,APOIO!$B:$N,MATCH(Z$5,APOIO!$B$5:$N$5,0),FALSE),0)</f>
        <v>0</v>
      </c>
      <c r="AA113" s="38">
        <f t="shared" si="1402"/>
        <v>0</v>
      </c>
      <c r="AB113" s="29">
        <f>IFERROR(VLOOKUP($A113,APOIO!$B:$N,MATCH(AB$5,APOIO!$B$5:$N$5,0),FALSE),0)</f>
        <v>0</v>
      </c>
      <c r="AC113" s="38">
        <f t="shared" si="1403"/>
        <v>0</v>
      </c>
      <c r="AD113" s="29">
        <f>IFERROR(VLOOKUP($A113,APOIO!$B:$N,MATCH(AD$5,APOIO!$B$5:$N$5,0),FALSE),0)</f>
        <v>0</v>
      </c>
      <c r="AE113" s="38">
        <f t="shared" si="1404"/>
        <v>0</v>
      </c>
      <c r="AF113" s="30">
        <f t="shared" ref="AF113:AF128" si="1410">SUM(Z113,AB113,AD113)</f>
        <v>0</v>
      </c>
      <c r="AG113" s="41">
        <f t="shared" si="1405"/>
        <v>0</v>
      </c>
      <c r="AH113" s="29">
        <f t="shared" ref="AH113:AH128" si="1411">SUM(B113,D113,F113,J113,L113,N113,R113,T113,V113,Z113,AB113,AD113)</f>
        <v>0</v>
      </c>
      <c r="AI113" s="41">
        <f t="shared" si="1406"/>
        <v>0</v>
      </c>
    </row>
    <row r="114" spans="1:35" ht="15.6" collapsed="1" x14ac:dyDescent="0.3">
      <c r="A114" s="36" t="s">
        <v>242</v>
      </c>
      <c r="B114" s="37">
        <f>IFERROR(VLOOKUP($A114,APOIO!$B:$N,MATCH(B$5,APOIO!$B$5:$N$5,0),FALSE),0)</f>
        <v>-989.39</v>
      </c>
      <c r="C114" s="39">
        <f t="shared" si="1390"/>
        <v>-6.3759848109025156E-3</v>
      </c>
      <c r="D114" s="37">
        <f>IFERROR(VLOOKUP($A114,APOIO!$B:$N,MATCH(D$5,APOIO!$B$5:$N$5,0),FALSE),0)</f>
        <v>-2492.2399999999998</v>
      </c>
      <c r="E114" s="39">
        <f t="shared" si="1391"/>
        <v>-6.826862057552301E-3</v>
      </c>
      <c r="F114" s="37">
        <f>IFERROR(VLOOKUP($A114,APOIO!$B:$N,MATCH(F$5,APOIO!$B$5:$N$5,0),FALSE),0)</f>
        <v>-577.5</v>
      </c>
      <c r="G114" s="39">
        <f t="shared" si="1392"/>
        <v>0</v>
      </c>
      <c r="H114" s="37">
        <f t="shared" si="1407"/>
        <v>-4059.1299999999997</v>
      </c>
      <c r="I114" s="39">
        <f t="shared" si="1393"/>
        <v>-7.8024446607855014E-3</v>
      </c>
      <c r="J114" s="37">
        <f>IFERROR(VLOOKUP($A114,APOIO!$B:$N,MATCH(J$5,APOIO!$B$5:$N$5,0),FALSE),0)</f>
        <v>-12</v>
      </c>
      <c r="K114" s="39">
        <f t="shared" si="1394"/>
        <v>0</v>
      </c>
      <c r="L114" s="37">
        <f>IFERROR(VLOOKUP($A114,APOIO!$B:$N,MATCH(L$5,APOIO!$B$5:$N$5,0),FALSE),0)</f>
        <v>-1175</v>
      </c>
      <c r="M114" s="39">
        <f t="shared" si="1395"/>
        <v>0</v>
      </c>
      <c r="N114" s="37">
        <f>IFERROR(VLOOKUP($A114,APOIO!$B:$N,MATCH(N$5,APOIO!$B$5:$N$5,0),FALSE),0)</f>
        <v>0</v>
      </c>
      <c r="O114" s="39">
        <f t="shared" si="1396"/>
        <v>0</v>
      </c>
      <c r="P114" s="37">
        <f t="shared" si="1408"/>
        <v>-1187</v>
      </c>
      <c r="Q114" s="42">
        <f t="shared" si="1397"/>
        <v>0</v>
      </c>
      <c r="R114" s="37">
        <f>IFERROR(VLOOKUP($A114,APOIO!$B:$N,MATCH(R$5,APOIO!$B$5:$N$5,0),FALSE),0)</f>
        <v>0</v>
      </c>
      <c r="S114" s="42">
        <f t="shared" si="1398"/>
        <v>0</v>
      </c>
      <c r="T114" s="37">
        <f>IFERROR(VLOOKUP($A114,APOIO!$B:$N,MATCH(T$5,APOIO!$B$5:$N$5,0),FALSE),0)</f>
        <v>0</v>
      </c>
      <c r="U114" s="42">
        <f t="shared" si="1399"/>
        <v>0</v>
      </c>
      <c r="V114" s="37">
        <f>IFERROR(VLOOKUP($A114,APOIO!$B:$N,MATCH(V$5,APOIO!$B$5:$N$5,0),FALSE),0)</f>
        <v>0</v>
      </c>
      <c r="W114" s="39">
        <f t="shared" si="1400"/>
        <v>0</v>
      </c>
      <c r="X114" s="37">
        <f t="shared" si="1409"/>
        <v>0</v>
      </c>
      <c r="Y114" s="42">
        <f t="shared" si="1401"/>
        <v>0</v>
      </c>
      <c r="Z114" s="37">
        <f>IFERROR(VLOOKUP($A114,APOIO!$B:$N,MATCH(Z$5,APOIO!$B$5:$N$5,0),FALSE),0)</f>
        <v>0</v>
      </c>
      <c r="AA114" s="39">
        <f t="shared" si="1402"/>
        <v>0</v>
      </c>
      <c r="AB114" s="37">
        <f>IFERROR(VLOOKUP($A114,APOIO!$B:$N,MATCH(AB$5,APOIO!$B$5:$N$5,0),FALSE),0)</f>
        <v>0</v>
      </c>
      <c r="AC114" s="39">
        <f t="shared" si="1403"/>
        <v>0</v>
      </c>
      <c r="AD114" s="37">
        <f>IFERROR(VLOOKUP($A114,APOIO!$B:$N,MATCH(AD$5,APOIO!$B$5:$N$5,0),FALSE),0)</f>
        <v>0</v>
      </c>
      <c r="AE114" s="39">
        <f t="shared" si="1404"/>
        <v>0</v>
      </c>
      <c r="AF114" s="37">
        <f t="shared" si="1410"/>
        <v>0</v>
      </c>
      <c r="AG114" s="42">
        <f t="shared" si="1405"/>
        <v>0</v>
      </c>
      <c r="AH114" s="37">
        <f t="shared" si="1411"/>
        <v>-5246.1299999999992</v>
      </c>
      <c r="AI114" s="42">
        <f t="shared" si="1406"/>
        <v>-1.0084091667004171E-2</v>
      </c>
    </row>
    <row r="115" spans="1:35" ht="15.6" hidden="1" outlineLevel="1" x14ac:dyDescent="0.3">
      <c r="A115" s="35" t="s">
        <v>243</v>
      </c>
      <c r="B115" s="29">
        <f>IFERROR(VLOOKUP($A115,APOIO!$B:$N,MATCH(B$5,APOIO!$B$5:$N$5,0),FALSE),0)</f>
        <v>0</v>
      </c>
      <c r="C115" s="38">
        <f t="shared" si="1390"/>
        <v>0</v>
      </c>
      <c r="D115" s="29">
        <f>IFERROR(VLOOKUP($A115,APOIO!$B:$N,MATCH(D$5,APOIO!$B$5:$N$5,0),FALSE),0)</f>
        <v>0</v>
      </c>
      <c r="E115" s="38">
        <f t="shared" si="1391"/>
        <v>0</v>
      </c>
      <c r="F115" s="29">
        <f>IFERROR(VLOOKUP($A115,APOIO!$B:$N,MATCH(F$5,APOIO!$B$5:$N$5,0),FALSE),0)</f>
        <v>0</v>
      </c>
      <c r="G115" s="38">
        <f t="shared" si="1392"/>
        <v>0</v>
      </c>
      <c r="H115" s="30">
        <f t="shared" si="1407"/>
        <v>0</v>
      </c>
      <c r="I115" s="40">
        <f t="shared" si="1393"/>
        <v>0</v>
      </c>
      <c r="J115" s="29">
        <f>IFERROR(VLOOKUP($A115,APOIO!$B:$N,MATCH(J$5,APOIO!$B$5:$N$5,0),FALSE),0)</f>
        <v>0</v>
      </c>
      <c r="K115" s="38">
        <f t="shared" si="1394"/>
        <v>0</v>
      </c>
      <c r="L115" s="29">
        <f>IFERROR(VLOOKUP($A115,APOIO!$B:$N,MATCH(L$5,APOIO!$B$5:$N$5,0),FALSE),0)</f>
        <v>0</v>
      </c>
      <c r="M115" s="38">
        <f t="shared" si="1395"/>
        <v>0</v>
      </c>
      <c r="N115" s="29">
        <f>IFERROR(VLOOKUP($A115,APOIO!$B:$N,MATCH(N$5,APOIO!$B$5:$N$5,0),FALSE),0)</f>
        <v>0</v>
      </c>
      <c r="O115" s="38">
        <f t="shared" si="1396"/>
        <v>0</v>
      </c>
      <c r="P115" s="30">
        <f t="shared" si="1408"/>
        <v>0</v>
      </c>
      <c r="Q115" s="41">
        <f t="shared" si="1397"/>
        <v>0</v>
      </c>
      <c r="R115" s="29">
        <f>IFERROR(VLOOKUP($A115,APOIO!$B:$N,MATCH(R$5,APOIO!$B$5:$N$5,0),FALSE),0)</f>
        <v>0</v>
      </c>
      <c r="S115" s="41">
        <f t="shared" si="1398"/>
        <v>0</v>
      </c>
      <c r="T115" s="29">
        <f>IFERROR(VLOOKUP($A115,APOIO!$B:$N,MATCH(T$5,APOIO!$B$5:$N$5,0),FALSE),0)</f>
        <v>0</v>
      </c>
      <c r="U115" s="41">
        <f t="shared" si="1399"/>
        <v>0</v>
      </c>
      <c r="V115" s="29">
        <f>IFERROR(VLOOKUP($A115,APOIO!$B:$N,MATCH(V$5,APOIO!$B$5:$N$5,0),FALSE),0)</f>
        <v>0</v>
      </c>
      <c r="W115" s="38">
        <f t="shared" si="1400"/>
        <v>0</v>
      </c>
      <c r="X115" s="30">
        <f t="shared" si="1409"/>
        <v>0</v>
      </c>
      <c r="Y115" s="41">
        <f t="shared" si="1401"/>
        <v>0</v>
      </c>
      <c r="Z115" s="29">
        <f>IFERROR(VLOOKUP($A115,APOIO!$B:$N,MATCH(Z$5,APOIO!$B$5:$N$5,0),FALSE),0)</f>
        <v>0</v>
      </c>
      <c r="AA115" s="38">
        <f t="shared" si="1402"/>
        <v>0</v>
      </c>
      <c r="AB115" s="29">
        <f>IFERROR(VLOOKUP($A115,APOIO!$B:$N,MATCH(AB$5,APOIO!$B$5:$N$5,0),FALSE),0)</f>
        <v>0</v>
      </c>
      <c r="AC115" s="38">
        <f t="shared" si="1403"/>
        <v>0</v>
      </c>
      <c r="AD115" s="29">
        <f>IFERROR(VLOOKUP($A115,APOIO!$B:$N,MATCH(AD$5,APOIO!$B$5:$N$5,0),FALSE),0)</f>
        <v>0</v>
      </c>
      <c r="AE115" s="38">
        <f t="shared" si="1404"/>
        <v>0</v>
      </c>
      <c r="AF115" s="30">
        <f t="shared" si="1410"/>
        <v>0</v>
      </c>
      <c r="AG115" s="41">
        <f t="shared" si="1405"/>
        <v>0</v>
      </c>
      <c r="AH115" s="29">
        <f t="shared" si="1411"/>
        <v>0</v>
      </c>
      <c r="AI115" s="41">
        <f t="shared" si="1406"/>
        <v>0</v>
      </c>
    </row>
    <row r="116" spans="1:35" ht="15.6" hidden="1" outlineLevel="1" x14ac:dyDescent="0.3">
      <c r="A116" s="35" t="s">
        <v>244</v>
      </c>
      <c r="B116" s="29">
        <f>IFERROR(VLOOKUP($A116,APOIO!$B:$N,MATCH(B$5,APOIO!$B$5:$N$5,0),FALSE),0)</f>
        <v>0</v>
      </c>
      <c r="C116" s="38">
        <f t="shared" si="1390"/>
        <v>0</v>
      </c>
      <c r="D116" s="29">
        <f>IFERROR(VLOOKUP($A116,APOIO!$B:$N,MATCH(D$5,APOIO!$B$5:$N$5,0),FALSE),0)</f>
        <v>0</v>
      </c>
      <c r="E116" s="38">
        <f t="shared" si="1391"/>
        <v>0</v>
      </c>
      <c r="F116" s="29">
        <f>IFERROR(VLOOKUP($A116,APOIO!$B:$N,MATCH(F$5,APOIO!$B$5:$N$5,0),FALSE),0)</f>
        <v>0</v>
      </c>
      <c r="G116" s="38">
        <f t="shared" si="1392"/>
        <v>0</v>
      </c>
      <c r="H116" s="30">
        <f t="shared" si="1407"/>
        <v>0</v>
      </c>
      <c r="I116" s="40">
        <f t="shared" si="1393"/>
        <v>0</v>
      </c>
      <c r="J116" s="29">
        <f>IFERROR(VLOOKUP($A116,APOIO!$B:$N,MATCH(J$5,APOIO!$B$5:$N$5,0),FALSE),0)</f>
        <v>0</v>
      </c>
      <c r="K116" s="38">
        <f t="shared" si="1394"/>
        <v>0</v>
      </c>
      <c r="L116" s="29">
        <f>IFERROR(VLOOKUP($A116,APOIO!$B:$N,MATCH(L$5,APOIO!$B$5:$N$5,0),FALSE),0)</f>
        <v>0</v>
      </c>
      <c r="M116" s="38">
        <f t="shared" si="1395"/>
        <v>0</v>
      </c>
      <c r="N116" s="29">
        <f>IFERROR(VLOOKUP($A116,APOIO!$B:$N,MATCH(N$5,APOIO!$B$5:$N$5,0),FALSE),0)</f>
        <v>0</v>
      </c>
      <c r="O116" s="38">
        <f t="shared" si="1396"/>
        <v>0</v>
      </c>
      <c r="P116" s="30">
        <f t="shared" si="1408"/>
        <v>0</v>
      </c>
      <c r="Q116" s="41">
        <f t="shared" si="1397"/>
        <v>0</v>
      </c>
      <c r="R116" s="29">
        <f>IFERROR(VLOOKUP($A116,APOIO!$B:$N,MATCH(R$5,APOIO!$B$5:$N$5,0),FALSE),0)</f>
        <v>0</v>
      </c>
      <c r="S116" s="41">
        <f t="shared" si="1398"/>
        <v>0</v>
      </c>
      <c r="T116" s="29">
        <f>IFERROR(VLOOKUP($A116,APOIO!$B:$N,MATCH(T$5,APOIO!$B$5:$N$5,0),FALSE),0)</f>
        <v>0</v>
      </c>
      <c r="U116" s="41">
        <f t="shared" si="1399"/>
        <v>0</v>
      </c>
      <c r="V116" s="29">
        <f>IFERROR(VLOOKUP($A116,APOIO!$B:$N,MATCH(V$5,APOIO!$B$5:$N$5,0),FALSE),0)</f>
        <v>0</v>
      </c>
      <c r="W116" s="38">
        <f t="shared" si="1400"/>
        <v>0</v>
      </c>
      <c r="X116" s="30">
        <f t="shared" si="1409"/>
        <v>0</v>
      </c>
      <c r="Y116" s="41">
        <f t="shared" si="1401"/>
        <v>0</v>
      </c>
      <c r="Z116" s="29">
        <f>IFERROR(VLOOKUP($A116,APOIO!$B:$N,MATCH(Z$5,APOIO!$B$5:$N$5,0),FALSE),0)</f>
        <v>0</v>
      </c>
      <c r="AA116" s="38">
        <f t="shared" si="1402"/>
        <v>0</v>
      </c>
      <c r="AB116" s="29">
        <f>IFERROR(VLOOKUP($A116,APOIO!$B:$N,MATCH(AB$5,APOIO!$B$5:$N$5,0),FALSE),0)</f>
        <v>0</v>
      </c>
      <c r="AC116" s="38">
        <f t="shared" si="1403"/>
        <v>0</v>
      </c>
      <c r="AD116" s="29">
        <f>IFERROR(VLOOKUP($A116,APOIO!$B:$N,MATCH(AD$5,APOIO!$B$5:$N$5,0),FALSE),0)</f>
        <v>0</v>
      </c>
      <c r="AE116" s="38">
        <f t="shared" si="1404"/>
        <v>0</v>
      </c>
      <c r="AF116" s="30">
        <f t="shared" si="1410"/>
        <v>0</v>
      </c>
      <c r="AG116" s="41">
        <f t="shared" si="1405"/>
        <v>0</v>
      </c>
      <c r="AH116" s="29">
        <f t="shared" si="1411"/>
        <v>0</v>
      </c>
      <c r="AI116" s="41">
        <f t="shared" si="1406"/>
        <v>0</v>
      </c>
    </row>
    <row r="117" spans="1:35" ht="15.6" hidden="1" outlineLevel="1" x14ac:dyDescent="0.3">
      <c r="A117" s="35" t="s">
        <v>245</v>
      </c>
      <c r="B117" s="29">
        <f>IFERROR(VLOOKUP($A117,APOIO!$B:$N,MATCH(B$5,APOIO!$B$5:$N$5,0),FALSE),0)</f>
        <v>0</v>
      </c>
      <c r="C117" s="38">
        <f t="shared" si="1390"/>
        <v>0</v>
      </c>
      <c r="D117" s="29">
        <f>IFERROR(VLOOKUP($A117,APOIO!$B:$N,MATCH(D$5,APOIO!$B$5:$N$5,0),FALSE),0)</f>
        <v>0</v>
      </c>
      <c r="E117" s="38">
        <f t="shared" si="1391"/>
        <v>0</v>
      </c>
      <c r="F117" s="29">
        <f>IFERROR(VLOOKUP($A117,APOIO!$B:$N,MATCH(F$5,APOIO!$B$5:$N$5,0),FALSE),0)</f>
        <v>0</v>
      </c>
      <c r="G117" s="38">
        <f t="shared" si="1392"/>
        <v>0</v>
      </c>
      <c r="H117" s="30">
        <f t="shared" si="1407"/>
        <v>0</v>
      </c>
      <c r="I117" s="40">
        <f t="shared" si="1393"/>
        <v>0</v>
      </c>
      <c r="J117" s="29">
        <f>IFERROR(VLOOKUP($A117,APOIO!$B:$N,MATCH(J$5,APOIO!$B$5:$N$5,0),FALSE),0)</f>
        <v>0</v>
      </c>
      <c r="K117" s="38">
        <f t="shared" si="1394"/>
        <v>0</v>
      </c>
      <c r="L117" s="29">
        <f>IFERROR(VLOOKUP($A117,APOIO!$B:$N,MATCH(L$5,APOIO!$B$5:$N$5,0),FALSE),0)</f>
        <v>0</v>
      </c>
      <c r="M117" s="38">
        <f t="shared" si="1395"/>
        <v>0</v>
      </c>
      <c r="N117" s="29">
        <f>IFERROR(VLOOKUP($A117,APOIO!$B:$N,MATCH(N$5,APOIO!$B$5:$N$5,0),FALSE),0)</f>
        <v>0</v>
      </c>
      <c r="O117" s="38">
        <f t="shared" si="1396"/>
        <v>0</v>
      </c>
      <c r="P117" s="30">
        <f t="shared" si="1408"/>
        <v>0</v>
      </c>
      <c r="Q117" s="41">
        <f t="shared" si="1397"/>
        <v>0</v>
      </c>
      <c r="R117" s="29">
        <f>IFERROR(VLOOKUP($A117,APOIO!$B:$N,MATCH(R$5,APOIO!$B$5:$N$5,0),FALSE),0)</f>
        <v>0</v>
      </c>
      <c r="S117" s="41">
        <f t="shared" si="1398"/>
        <v>0</v>
      </c>
      <c r="T117" s="29">
        <f>IFERROR(VLOOKUP($A117,APOIO!$B:$N,MATCH(T$5,APOIO!$B$5:$N$5,0),FALSE),0)</f>
        <v>0</v>
      </c>
      <c r="U117" s="41">
        <f t="shared" si="1399"/>
        <v>0</v>
      </c>
      <c r="V117" s="29">
        <f>IFERROR(VLOOKUP($A117,APOIO!$B:$N,MATCH(V$5,APOIO!$B$5:$N$5,0),FALSE),0)</f>
        <v>0</v>
      </c>
      <c r="W117" s="38">
        <f t="shared" si="1400"/>
        <v>0</v>
      </c>
      <c r="X117" s="30">
        <f t="shared" si="1409"/>
        <v>0</v>
      </c>
      <c r="Y117" s="41">
        <f t="shared" si="1401"/>
        <v>0</v>
      </c>
      <c r="Z117" s="29">
        <f>IFERROR(VLOOKUP($A117,APOIO!$B:$N,MATCH(Z$5,APOIO!$B$5:$N$5,0),FALSE),0)</f>
        <v>0</v>
      </c>
      <c r="AA117" s="38">
        <f t="shared" si="1402"/>
        <v>0</v>
      </c>
      <c r="AB117" s="29">
        <f>IFERROR(VLOOKUP($A117,APOIO!$B:$N,MATCH(AB$5,APOIO!$B$5:$N$5,0),FALSE),0)</f>
        <v>0</v>
      </c>
      <c r="AC117" s="38">
        <f t="shared" si="1403"/>
        <v>0</v>
      </c>
      <c r="AD117" s="29">
        <f>IFERROR(VLOOKUP($A117,APOIO!$B:$N,MATCH(AD$5,APOIO!$B$5:$N$5,0),FALSE),0)</f>
        <v>0</v>
      </c>
      <c r="AE117" s="38">
        <f t="shared" si="1404"/>
        <v>0</v>
      </c>
      <c r="AF117" s="30">
        <f t="shared" si="1410"/>
        <v>0</v>
      </c>
      <c r="AG117" s="41">
        <f t="shared" si="1405"/>
        <v>0</v>
      </c>
      <c r="AH117" s="29">
        <f t="shared" si="1411"/>
        <v>0</v>
      </c>
      <c r="AI117" s="41">
        <f t="shared" si="1406"/>
        <v>0</v>
      </c>
    </row>
    <row r="118" spans="1:35" ht="15.6" hidden="1" outlineLevel="1" x14ac:dyDescent="0.3">
      <c r="A118" s="35" t="s">
        <v>246</v>
      </c>
      <c r="B118" s="29">
        <f>IFERROR(VLOOKUP($A118,APOIO!$B:$N,MATCH(B$5,APOIO!$B$5:$N$5,0),FALSE),0)</f>
        <v>0</v>
      </c>
      <c r="C118" s="38">
        <f t="shared" si="1390"/>
        <v>0</v>
      </c>
      <c r="D118" s="29">
        <f>IFERROR(VLOOKUP($A118,APOIO!$B:$N,MATCH(D$5,APOIO!$B$5:$N$5,0),FALSE),0)</f>
        <v>0</v>
      </c>
      <c r="E118" s="38">
        <f t="shared" si="1391"/>
        <v>0</v>
      </c>
      <c r="F118" s="29">
        <f>IFERROR(VLOOKUP($A118,APOIO!$B:$N,MATCH(F$5,APOIO!$B$5:$N$5,0),FALSE),0)</f>
        <v>0</v>
      </c>
      <c r="G118" s="38">
        <f t="shared" si="1392"/>
        <v>0</v>
      </c>
      <c r="H118" s="30">
        <f t="shared" si="1407"/>
        <v>0</v>
      </c>
      <c r="I118" s="40">
        <f t="shared" si="1393"/>
        <v>0</v>
      </c>
      <c r="J118" s="29">
        <f>IFERROR(VLOOKUP($A118,APOIO!$B:$N,MATCH(J$5,APOIO!$B$5:$N$5,0),FALSE),0)</f>
        <v>0</v>
      </c>
      <c r="K118" s="38">
        <f t="shared" si="1394"/>
        <v>0</v>
      </c>
      <c r="L118" s="29">
        <f>IFERROR(VLOOKUP($A118,APOIO!$B:$N,MATCH(L$5,APOIO!$B$5:$N$5,0),FALSE),0)</f>
        <v>0</v>
      </c>
      <c r="M118" s="38">
        <f t="shared" si="1395"/>
        <v>0</v>
      </c>
      <c r="N118" s="29">
        <f>IFERROR(VLOOKUP($A118,APOIO!$B:$N,MATCH(N$5,APOIO!$B$5:$N$5,0),FALSE),0)</f>
        <v>0</v>
      </c>
      <c r="O118" s="38">
        <f t="shared" si="1396"/>
        <v>0</v>
      </c>
      <c r="P118" s="30">
        <f t="shared" si="1408"/>
        <v>0</v>
      </c>
      <c r="Q118" s="41">
        <f t="shared" si="1397"/>
        <v>0</v>
      </c>
      <c r="R118" s="29">
        <f>IFERROR(VLOOKUP($A118,APOIO!$B:$N,MATCH(R$5,APOIO!$B$5:$N$5,0),FALSE),0)</f>
        <v>0</v>
      </c>
      <c r="S118" s="41">
        <f t="shared" si="1398"/>
        <v>0</v>
      </c>
      <c r="T118" s="29">
        <f>IFERROR(VLOOKUP($A118,APOIO!$B:$N,MATCH(T$5,APOIO!$B$5:$N$5,0),FALSE),0)</f>
        <v>0</v>
      </c>
      <c r="U118" s="41">
        <f t="shared" si="1399"/>
        <v>0</v>
      </c>
      <c r="V118" s="29">
        <f>IFERROR(VLOOKUP($A118,APOIO!$B:$N,MATCH(V$5,APOIO!$B$5:$N$5,0),FALSE),0)</f>
        <v>0</v>
      </c>
      <c r="W118" s="38">
        <f t="shared" si="1400"/>
        <v>0</v>
      </c>
      <c r="X118" s="30">
        <f t="shared" si="1409"/>
        <v>0</v>
      </c>
      <c r="Y118" s="41">
        <f t="shared" si="1401"/>
        <v>0</v>
      </c>
      <c r="Z118" s="29">
        <f>IFERROR(VLOOKUP($A118,APOIO!$B:$N,MATCH(Z$5,APOIO!$B$5:$N$5,0),FALSE),0)</f>
        <v>0</v>
      </c>
      <c r="AA118" s="38">
        <f t="shared" si="1402"/>
        <v>0</v>
      </c>
      <c r="AB118" s="29">
        <f>IFERROR(VLOOKUP($A118,APOIO!$B:$N,MATCH(AB$5,APOIO!$B$5:$N$5,0),FALSE),0)</f>
        <v>0</v>
      </c>
      <c r="AC118" s="38">
        <f t="shared" si="1403"/>
        <v>0</v>
      </c>
      <c r="AD118" s="29">
        <f>IFERROR(VLOOKUP($A118,APOIO!$B:$N,MATCH(AD$5,APOIO!$B$5:$N$5,0),FALSE),0)</f>
        <v>0</v>
      </c>
      <c r="AE118" s="38">
        <f t="shared" si="1404"/>
        <v>0</v>
      </c>
      <c r="AF118" s="30">
        <f t="shared" si="1410"/>
        <v>0</v>
      </c>
      <c r="AG118" s="41">
        <f t="shared" si="1405"/>
        <v>0</v>
      </c>
      <c r="AH118" s="29">
        <f t="shared" si="1411"/>
        <v>0</v>
      </c>
      <c r="AI118" s="41">
        <f t="shared" si="1406"/>
        <v>0</v>
      </c>
    </row>
    <row r="119" spans="1:35" ht="15.6" hidden="1" outlineLevel="1" x14ac:dyDescent="0.3">
      <c r="A119" s="35" t="s">
        <v>247</v>
      </c>
      <c r="B119" s="29">
        <f>IFERROR(VLOOKUP($A119,APOIO!$B:$N,MATCH(B$5,APOIO!$B$5:$N$5,0),FALSE),0)</f>
        <v>0</v>
      </c>
      <c r="C119" s="38">
        <f t="shared" si="1390"/>
        <v>0</v>
      </c>
      <c r="D119" s="29">
        <f>IFERROR(VLOOKUP($A119,APOIO!$B:$N,MATCH(D$5,APOIO!$B$5:$N$5,0),FALSE),0)</f>
        <v>-27</v>
      </c>
      <c r="E119" s="38">
        <f t="shared" si="1391"/>
        <v>-7.3959681071611137E-5</v>
      </c>
      <c r="F119" s="29">
        <f>IFERROR(VLOOKUP($A119,APOIO!$B:$N,MATCH(F$5,APOIO!$B$5:$N$5,0),FALSE),0)</f>
        <v>0</v>
      </c>
      <c r="G119" s="38">
        <f t="shared" si="1392"/>
        <v>0</v>
      </c>
      <c r="H119" s="30">
        <f t="shared" si="1407"/>
        <v>-27</v>
      </c>
      <c r="I119" s="40">
        <f t="shared" si="1393"/>
        <v>-5.1899300057206484E-5</v>
      </c>
      <c r="J119" s="29">
        <f>IFERROR(VLOOKUP($A119,APOIO!$B:$N,MATCH(J$5,APOIO!$B$5:$N$5,0),FALSE),0)</f>
        <v>0</v>
      </c>
      <c r="K119" s="38">
        <f t="shared" si="1394"/>
        <v>0</v>
      </c>
      <c r="L119" s="29">
        <f>IFERROR(VLOOKUP($A119,APOIO!$B:$N,MATCH(L$5,APOIO!$B$5:$N$5,0),FALSE),0)</f>
        <v>0</v>
      </c>
      <c r="M119" s="38">
        <f t="shared" si="1395"/>
        <v>0</v>
      </c>
      <c r="N119" s="29">
        <f>IFERROR(VLOOKUP($A119,APOIO!$B:$N,MATCH(N$5,APOIO!$B$5:$N$5,0),FALSE),0)</f>
        <v>0</v>
      </c>
      <c r="O119" s="38">
        <f t="shared" si="1396"/>
        <v>0</v>
      </c>
      <c r="P119" s="30">
        <f t="shared" si="1408"/>
        <v>0</v>
      </c>
      <c r="Q119" s="41">
        <f t="shared" si="1397"/>
        <v>0</v>
      </c>
      <c r="R119" s="29">
        <f>IFERROR(VLOOKUP($A119,APOIO!$B:$N,MATCH(R$5,APOIO!$B$5:$N$5,0),FALSE),0)</f>
        <v>0</v>
      </c>
      <c r="S119" s="41">
        <f t="shared" si="1398"/>
        <v>0</v>
      </c>
      <c r="T119" s="29">
        <f>IFERROR(VLOOKUP($A119,APOIO!$B:$N,MATCH(T$5,APOIO!$B$5:$N$5,0),FALSE),0)</f>
        <v>0</v>
      </c>
      <c r="U119" s="41">
        <f t="shared" si="1399"/>
        <v>0</v>
      </c>
      <c r="V119" s="29">
        <f>IFERROR(VLOOKUP($A119,APOIO!$B:$N,MATCH(V$5,APOIO!$B$5:$N$5,0),FALSE),0)</f>
        <v>0</v>
      </c>
      <c r="W119" s="38">
        <f t="shared" si="1400"/>
        <v>0</v>
      </c>
      <c r="X119" s="30">
        <f t="shared" si="1409"/>
        <v>0</v>
      </c>
      <c r="Y119" s="41">
        <f t="shared" si="1401"/>
        <v>0</v>
      </c>
      <c r="Z119" s="29">
        <f>IFERROR(VLOOKUP($A119,APOIO!$B:$N,MATCH(Z$5,APOIO!$B$5:$N$5,0),FALSE),0)</f>
        <v>0</v>
      </c>
      <c r="AA119" s="38">
        <f t="shared" si="1402"/>
        <v>0</v>
      </c>
      <c r="AB119" s="29">
        <f>IFERROR(VLOOKUP($A119,APOIO!$B:$N,MATCH(AB$5,APOIO!$B$5:$N$5,0),FALSE),0)</f>
        <v>0</v>
      </c>
      <c r="AC119" s="38">
        <f t="shared" si="1403"/>
        <v>0</v>
      </c>
      <c r="AD119" s="29">
        <f>IFERROR(VLOOKUP($A119,APOIO!$B:$N,MATCH(AD$5,APOIO!$B$5:$N$5,0),FALSE),0)</f>
        <v>0</v>
      </c>
      <c r="AE119" s="38">
        <f t="shared" si="1404"/>
        <v>0</v>
      </c>
      <c r="AF119" s="30">
        <f t="shared" si="1410"/>
        <v>0</v>
      </c>
      <c r="AG119" s="41">
        <f t="shared" si="1405"/>
        <v>0</v>
      </c>
      <c r="AH119" s="29">
        <f t="shared" si="1411"/>
        <v>-27</v>
      </c>
      <c r="AI119" s="41">
        <f t="shared" si="1406"/>
        <v>-5.1899300057206484E-5</v>
      </c>
    </row>
    <row r="120" spans="1:35" ht="15.6" hidden="1" outlineLevel="1" x14ac:dyDescent="0.3">
      <c r="A120" s="35" t="s">
        <v>248</v>
      </c>
      <c r="B120" s="29">
        <f>IFERROR(VLOOKUP($A120,APOIO!$B:$N,MATCH(B$5,APOIO!$B$5:$N$5,0),FALSE),0)</f>
        <v>0</v>
      </c>
      <c r="C120" s="38">
        <f t="shared" si="1390"/>
        <v>0</v>
      </c>
      <c r="D120" s="29">
        <f>IFERROR(VLOOKUP($A120,APOIO!$B:$N,MATCH(D$5,APOIO!$B$5:$N$5,0),FALSE),0)</f>
        <v>0</v>
      </c>
      <c r="E120" s="38">
        <f t="shared" si="1391"/>
        <v>0</v>
      </c>
      <c r="F120" s="29">
        <f>IFERROR(VLOOKUP($A120,APOIO!$B:$N,MATCH(F$5,APOIO!$B$5:$N$5,0),FALSE),0)</f>
        <v>0</v>
      </c>
      <c r="G120" s="38">
        <f t="shared" si="1392"/>
        <v>0</v>
      </c>
      <c r="H120" s="30">
        <f t="shared" si="1407"/>
        <v>0</v>
      </c>
      <c r="I120" s="40">
        <f t="shared" si="1393"/>
        <v>0</v>
      </c>
      <c r="J120" s="29">
        <f>IFERROR(VLOOKUP($A120,APOIO!$B:$N,MATCH(J$5,APOIO!$B$5:$N$5,0),FALSE),0)</f>
        <v>0</v>
      </c>
      <c r="K120" s="38">
        <f t="shared" si="1394"/>
        <v>0</v>
      </c>
      <c r="L120" s="29">
        <f>IFERROR(VLOOKUP($A120,APOIO!$B:$N,MATCH(L$5,APOIO!$B$5:$N$5,0),FALSE),0)</f>
        <v>0</v>
      </c>
      <c r="M120" s="38">
        <f t="shared" si="1395"/>
        <v>0</v>
      </c>
      <c r="N120" s="29">
        <f>IFERROR(VLOOKUP($A120,APOIO!$B:$N,MATCH(N$5,APOIO!$B$5:$N$5,0),FALSE),0)</f>
        <v>0</v>
      </c>
      <c r="O120" s="38">
        <f t="shared" si="1396"/>
        <v>0</v>
      </c>
      <c r="P120" s="30">
        <f t="shared" si="1408"/>
        <v>0</v>
      </c>
      <c r="Q120" s="41">
        <f t="shared" si="1397"/>
        <v>0</v>
      </c>
      <c r="R120" s="29">
        <f>IFERROR(VLOOKUP($A120,APOIO!$B:$N,MATCH(R$5,APOIO!$B$5:$N$5,0),FALSE),0)</f>
        <v>0</v>
      </c>
      <c r="S120" s="41">
        <f t="shared" si="1398"/>
        <v>0</v>
      </c>
      <c r="T120" s="29">
        <f>IFERROR(VLOOKUP($A120,APOIO!$B:$N,MATCH(T$5,APOIO!$B$5:$N$5,0),FALSE),0)</f>
        <v>0</v>
      </c>
      <c r="U120" s="41">
        <f t="shared" si="1399"/>
        <v>0</v>
      </c>
      <c r="V120" s="29">
        <f>IFERROR(VLOOKUP($A120,APOIO!$B:$N,MATCH(V$5,APOIO!$B$5:$N$5,0),FALSE),0)</f>
        <v>0</v>
      </c>
      <c r="W120" s="38">
        <f t="shared" si="1400"/>
        <v>0</v>
      </c>
      <c r="X120" s="30">
        <f t="shared" si="1409"/>
        <v>0</v>
      </c>
      <c r="Y120" s="41">
        <f t="shared" si="1401"/>
        <v>0</v>
      </c>
      <c r="Z120" s="29">
        <f>IFERROR(VLOOKUP($A120,APOIO!$B:$N,MATCH(Z$5,APOIO!$B$5:$N$5,0),FALSE),0)</f>
        <v>0</v>
      </c>
      <c r="AA120" s="38">
        <f t="shared" si="1402"/>
        <v>0</v>
      </c>
      <c r="AB120" s="29">
        <f>IFERROR(VLOOKUP($A120,APOIO!$B:$N,MATCH(AB$5,APOIO!$B$5:$N$5,0),FALSE),0)</f>
        <v>0</v>
      </c>
      <c r="AC120" s="38">
        <f t="shared" si="1403"/>
        <v>0</v>
      </c>
      <c r="AD120" s="29">
        <f>IFERROR(VLOOKUP($A120,APOIO!$B:$N,MATCH(AD$5,APOIO!$B$5:$N$5,0),FALSE),0)</f>
        <v>0</v>
      </c>
      <c r="AE120" s="38">
        <f t="shared" si="1404"/>
        <v>0</v>
      </c>
      <c r="AF120" s="30">
        <f t="shared" si="1410"/>
        <v>0</v>
      </c>
      <c r="AG120" s="41">
        <f t="shared" si="1405"/>
        <v>0</v>
      </c>
      <c r="AH120" s="29">
        <f t="shared" si="1411"/>
        <v>0</v>
      </c>
      <c r="AI120" s="41">
        <f t="shared" si="1406"/>
        <v>0</v>
      </c>
    </row>
    <row r="121" spans="1:35" ht="15.6" hidden="1" outlineLevel="1" x14ac:dyDescent="0.3">
      <c r="A121" s="35" t="s">
        <v>249</v>
      </c>
      <c r="B121" s="29">
        <f>IFERROR(VLOOKUP($A121,APOIO!$B:$N,MATCH(B$5,APOIO!$B$5:$N$5,0),FALSE),0)</f>
        <v>0</v>
      </c>
      <c r="C121" s="38">
        <f t="shared" si="1390"/>
        <v>0</v>
      </c>
      <c r="D121" s="29">
        <f>IFERROR(VLOOKUP($A121,APOIO!$B:$N,MATCH(D$5,APOIO!$B$5:$N$5,0),FALSE),0)</f>
        <v>0</v>
      </c>
      <c r="E121" s="38">
        <f t="shared" si="1391"/>
        <v>0</v>
      </c>
      <c r="F121" s="29">
        <f>IFERROR(VLOOKUP($A121,APOIO!$B:$N,MATCH(F$5,APOIO!$B$5:$N$5,0),FALSE),0)</f>
        <v>0</v>
      </c>
      <c r="G121" s="38">
        <f t="shared" si="1392"/>
        <v>0</v>
      </c>
      <c r="H121" s="30">
        <f t="shared" si="1407"/>
        <v>0</v>
      </c>
      <c r="I121" s="40">
        <f t="shared" si="1393"/>
        <v>0</v>
      </c>
      <c r="J121" s="29">
        <f>IFERROR(VLOOKUP($A121,APOIO!$B:$N,MATCH(J$5,APOIO!$B$5:$N$5,0),FALSE),0)</f>
        <v>0</v>
      </c>
      <c r="K121" s="38">
        <f t="shared" si="1394"/>
        <v>0</v>
      </c>
      <c r="L121" s="29">
        <f>IFERROR(VLOOKUP($A121,APOIO!$B:$N,MATCH(L$5,APOIO!$B$5:$N$5,0),FALSE),0)</f>
        <v>0</v>
      </c>
      <c r="M121" s="38">
        <f t="shared" si="1395"/>
        <v>0</v>
      </c>
      <c r="N121" s="29">
        <f>IFERROR(VLOOKUP($A121,APOIO!$B:$N,MATCH(N$5,APOIO!$B$5:$N$5,0),FALSE),0)</f>
        <v>0</v>
      </c>
      <c r="O121" s="38">
        <f t="shared" si="1396"/>
        <v>0</v>
      </c>
      <c r="P121" s="30">
        <f t="shared" si="1408"/>
        <v>0</v>
      </c>
      <c r="Q121" s="41">
        <f t="shared" si="1397"/>
        <v>0</v>
      </c>
      <c r="R121" s="29">
        <f>IFERROR(VLOOKUP($A121,APOIO!$B:$N,MATCH(R$5,APOIO!$B$5:$N$5,0),FALSE),0)</f>
        <v>0</v>
      </c>
      <c r="S121" s="41">
        <f t="shared" si="1398"/>
        <v>0</v>
      </c>
      <c r="T121" s="29">
        <f>IFERROR(VLOOKUP($A121,APOIO!$B:$N,MATCH(T$5,APOIO!$B$5:$N$5,0),FALSE),0)</f>
        <v>0</v>
      </c>
      <c r="U121" s="41">
        <f t="shared" si="1399"/>
        <v>0</v>
      </c>
      <c r="V121" s="29">
        <f>IFERROR(VLOOKUP($A121,APOIO!$B:$N,MATCH(V$5,APOIO!$B$5:$N$5,0),FALSE),0)</f>
        <v>0</v>
      </c>
      <c r="W121" s="38">
        <f t="shared" si="1400"/>
        <v>0</v>
      </c>
      <c r="X121" s="30">
        <f t="shared" si="1409"/>
        <v>0</v>
      </c>
      <c r="Y121" s="41">
        <f t="shared" si="1401"/>
        <v>0</v>
      </c>
      <c r="Z121" s="29">
        <f>IFERROR(VLOOKUP($A121,APOIO!$B:$N,MATCH(Z$5,APOIO!$B$5:$N$5,0),FALSE),0)</f>
        <v>0</v>
      </c>
      <c r="AA121" s="38">
        <f t="shared" si="1402"/>
        <v>0</v>
      </c>
      <c r="AB121" s="29">
        <f>IFERROR(VLOOKUP($A121,APOIO!$B:$N,MATCH(AB$5,APOIO!$B$5:$N$5,0),FALSE),0)</f>
        <v>0</v>
      </c>
      <c r="AC121" s="38">
        <f t="shared" si="1403"/>
        <v>0</v>
      </c>
      <c r="AD121" s="29">
        <f>IFERROR(VLOOKUP($A121,APOIO!$B:$N,MATCH(AD$5,APOIO!$B$5:$N$5,0),FALSE),0)</f>
        <v>0</v>
      </c>
      <c r="AE121" s="38">
        <f t="shared" si="1404"/>
        <v>0</v>
      </c>
      <c r="AF121" s="30">
        <f t="shared" si="1410"/>
        <v>0</v>
      </c>
      <c r="AG121" s="41">
        <f t="shared" si="1405"/>
        <v>0</v>
      </c>
      <c r="AH121" s="29">
        <f t="shared" si="1411"/>
        <v>0</v>
      </c>
      <c r="AI121" s="41">
        <f t="shared" si="1406"/>
        <v>0</v>
      </c>
    </row>
    <row r="122" spans="1:35" ht="15.6" hidden="1" outlineLevel="1" x14ac:dyDescent="0.3">
      <c r="A122" s="35" t="s">
        <v>250</v>
      </c>
      <c r="B122" s="29">
        <f>IFERROR(VLOOKUP($A122,APOIO!$B:$N,MATCH(B$5,APOIO!$B$5:$N$5,0),FALSE),0)</f>
        <v>-800.6</v>
      </c>
      <c r="C122" s="38">
        <f t="shared" si="1390"/>
        <v>-5.1593541875383361E-3</v>
      </c>
      <c r="D122" s="29">
        <f>IFERROR(VLOOKUP($A122,APOIO!$B:$N,MATCH(D$5,APOIO!$B$5:$N$5,0),FALSE),0)</f>
        <v>-2465.2399999999998</v>
      </c>
      <c r="E122" s="38">
        <f t="shared" si="1391"/>
        <v>-6.7529023764806902E-3</v>
      </c>
      <c r="F122" s="29">
        <f>IFERROR(VLOOKUP($A122,APOIO!$B:$N,MATCH(F$5,APOIO!$B$5:$N$5,0),FALSE),0)</f>
        <v>-577.5</v>
      </c>
      <c r="G122" s="38">
        <f t="shared" si="1392"/>
        <v>0</v>
      </c>
      <c r="H122" s="30">
        <f t="shared" si="1407"/>
        <v>-3843.3399999999997</v>
      </c>
      <c r="I122" s="40">
        <f t="shared" si="1393"/>
        <v>-7.3876539215505174E-3</v>
      </c>
      <c r="J122" s="29">
        <f>IFERROR(VLOOKUP($A122,APOIO!$B:$N,MATCH(J$5,APOIO!$B$5:$N$5,0),FALSE),0)</f>
        <v>-12</v>
      </c>
      <c r="K122" s="38">
        <f t="shared" si="1394"/>
        <v>0</v>
      </c>
      <c r="L122" s="29">
        <f>IFERROR(VLOOKUP($A122,APOIO!$B:$N,MATCH(L$5,APOIO!$B$5:$N$5,0),FALSE),0)</f>
        <v>-1175</v>
      </c>
      <c r="M122" s="38">
        <f t="shared" si="1395"/>
        <v>0</v>
      </c>
      <c r="N122" s="29">
        <f>IFERROR(VLOOKUP($A122,APOIO!$B:$N,MATCH(N$5,APOIO!$B$5:$N$5,0),FALSE),0)</f>
        <v>0</v>
      </c>
      <c r="O122" s="38">
        <f t="shared" si="1396"/>
        <v>0</v>
      </c>
      <c r="P122" s="30">
        <f t="shared" si="1408"/>
        <v>-1187</v>
      </c>
      <c r="Q122" s="41">
        <f t="shared" si="1397"/>
        <v>0</v>
      </c>
      <c r="R122" s="29">
        <f>IFERROR(VLOOKUP($A122,APOIO!$B:$N,MATCH(R$5,APOIO!$B$5:$N$5,0),FALSE),0)</f>
        <v>0</v>
      </c>
      <c r="S122" s="41">
        <f t="shared" si="1398"/>
        <v>0</v>
      </c>
      <c r="T122" s="29">
        <f>IFERROR(VLOOKUP($A122,APOIO!$B:$N,MATCH(T$5,APOIO!$B$5:$N$5,0),FALSE),0)</f>
        <v>0</v>
      </c>
      <c r="U122" s="41">
        <f t="shared" si="1399"/>
        <v>0</v>
      </c>
      <c r="V122" s="29">
        <f>IFERROR(VLOOKUP($A122,APOIO!$B:$N,MATCH(V$5,APOIO!$B$5:$N$5,0),FALSE),0)</f>
        <v>0</v>
      </c>
      <c r="W122" s="38">
        <f t="shared" si="1400"/>
        <v>0</v>
      </c>
      <c r="X122" s="30">
        <f t="shared" si="1409"/>
        <v>0</v>
      </c>
      <c r="Y122" s="41">
        <f t="shared" si="1401"/>
        <v>0</v>
      </c>
      <c r="Z122" s="29">
        <f>IFERROR(VLOOKUP($A122,APOIO!$B:$N,MATCH(Z$5,APOIO!$B$5:$N$5,0),FALSE),0)</f>
        <v>0</v>
      </c>
      <c r="AA122" s="38">
        <f t="shared" si="1402"/>
        <v>0</v>
      </c>
      <c r="AB122" s="29">
        <f>IFERROR(VLOOKUP($A122,APOIO!$B:$N,MATCH(AB$5,APOIO!$B$5:$N$5,0),FALSE),0)</f>
        <v>0</v>
      </c>
      <c r="AC122" s="38">
        <f t="shared" si="1403"/>
        <v>0</v>
      </c>
      <c r="AD122" s="29">
        <f>IFERROR(VLOOKUP($A122,APOIO!$B:$N,MATCH(AD$5,APOIO!$B$5:$N$5,0),FALSE),0)</f>
        <v>0</v>
      </c>
      <c r="AE122" s="38">
        <f t="shared" si="1404"/>
        <v>0</v>
      </c>
      <c r="AF122" s="30">
        <f t="shared" si="1410"/>
        <v>0</v>
      </c>
      <c r="AG122" s="41">
        <f t="shared" si="1405"/>
        <v>0</v>
      </c>
      <c r="AH122" s="29">
        <f t="shared" si="1411"/>
        <v>-5030.34</v>
      </c>
      <c r="AI122" s="41">
        <f t="shared" si="1406"/>
        <v>-9.6693009277691883E-3</v>
      </c>
    </row>
    <row r="123" spans="1:35" ht="15.6" hidden="1" outlineLevel="1" x14ac:dyDescent="0.3">
      <c r="A123" s="35" t="s">
        <v>251</v>
      </c>
      <c r="B123" s="29">
        <f>IFERROR(VLOOKUP($A123,APOIO!$B:$N,MATCH(B$5,APOIO!$B$5:$N$5,0),FALSE),0)</f>
        <v>0</v>
      </c>
      <c r="C123" s="38">
        <f t="shared" si="1390"/>
        <v>0</v>
      </c>
      <c r="D123" s="29">
        <f>IFERROR(VLOOKUP($A123,APOIO!$B:$N,MATCH(D$5,APOIO!$B$5:$N$5,0),FALSE),0)</f>
        <v>0</v>
      </c>
      <c r="E123" s="38">
        <f t="shared" si="1391"/>
        <v>0</v>
      </c>
      <c r="F123" s="29">
        <f>IFERROR(VLOOKUP($A123,APOIO!$B:$N,MATCH(F$5,APOIO!$B$5:$N$5,0),FALSE),0)</f>
        <v>0</v>
      </c>
      <c r="G123" s="38">
        <f t="shared" si="1392"/>
        <v>0</v>
      </c>
      <c r="H123" s="30">
        <f t="shared" si="1407"/>
        <v>0</v>
      </c>
      <c r="I123" s="40">
        <f t="shared" si="1393"/>
        <v>0</v>
      </c>
      <c r="J123" s="29">
        <f>IFERROR(VLOOKUP($A123,APOIO!$B:$N,MATCH(J$5,APOIO!$B$5:$N$5,0),FALSE),0)</f>
        <v>0</v>
      </c>
      <c r="K123" s="38">
        <f t="shared" si="1394"/>
        <v>0</v>
      </c>
      <c r="L123" s="29">
        <f>IFERROR(VLOOKUP($A123,APOIO!$B:$N,MATCH(L$5,APOIO!$B$5:$N$5,0),FALSE),0)</f>
        <v>0</v>
      </c>
      <c r="M123" s="38">
        <f t="shared" si="1395"/>
        <v>0</v>
      </c>
      <c r="N123" s="29">
        <f>IFERROR(VLOOKUP($A123,APOIO!$B:$N,MATCH(N$5,APOIO!$B$5:$N$5,0),FALSE),0)</f>
        <v>0</v>
      </c>
      <c r="O123" s="38">
        <f t="shared" si="1396"/>
        <v>0</v>
      </c>
      <c r="P123" s="30">
        <f t="shared" si="1408"/>
        <v>0</v>
      </c>
      <c r="Q123" s="41">
        <f t="shared" si="1397"/>
        <v>0</v>
      </c>
      <c r="R123" s="29">
        <f>IFERROR(VLOOKUP($A123,APOIO!$B:$N,MATCH(R$5,APOIO!$B$5:$N$5,0),FALSE),0)</f>
        <v>0</v>
      </c>
      <c r="S123" s="41">
        <f t="shared" si="1398"/>
        <v>0</v>
      </c>
      <c r="T123" s="29">
        <f>IFERROR(VLOOKUP($A123,APOIO!$B:$N,MATCH(T$5,APOIO!$B$5:$N$5,0),FALSE),0)</f>
        <v>0</v>
      </c>
      <c r="U123" s="41">
        <f t="shared" si="1399"/>
        <v>0</v>
      </c>
      <c r="V123" s="29">
        <f>IFERROR(VLOOKUP($A123,APOIO!$B:$N,MATCH(V$5,APOIO!$B$5:$N$5,0),FALSE),0)</f>
        <v>0</v>
      </c>
      <c r="W123" s="38">
        <f t="shared" si="1400"/>
        <v>0</v>
      </c>
      <c r="X123" s="30">
        <f t="shared" si="1409"/>
        <v>0</v>
      </c>
      <c r="Y123" s="41">
        <f t="shared" si="1401"/>
        <v>0</v>
      </c>
      <c r="Z123" s="29">
        <f>IFERROR(VLOOKUP($A123,APOIO!$B:$N,MATCH(Z$5,APOIO!$B$5:$N$5,0),FALSE),0)</f>
        <v>0</v>
      </c>
      <c r="AA123" s="38">
        <f t="shared" si="1402"/>
        <v>0</v>
      </c>
      <c r="AB123" s="29">
        <f>IFERROR(VLOOKUP($A123,APOIO!$B:$N,MATCH(AB$5,APOIO!$B$5:$N$5,0),FALSE),0)</f>
        <v>0</v>
      </c>
      <c r="AC123" s="38">
        <f t="shared" si="1403"/>
        <v>0</v>
      </c>
      <c r="AD123" s="29">
        <f>IFERROR(VLOOKUP($A123,APOIO!$B:$N,MATCH(AD$5,APOIO!$B$5:$N$5,0),FALSE),0)</f>
        <v>0</v>
      </c>
      <c r="AE123" s="38">
        <f t="shared" si="1404"/>
        <v>0</v>
      </c>
      <c r="AF123" s="30">
        <f t="shared" si="1410"/>
        <v>0</v>
      </c>
      <c r="AG123" s="41">
        <f t="shared" si="1405"/>
        <v>0</v>
      </c>
      <c r="AH123" s="29">
        <f t="shared" si="1411"/>
        <v>0</v>
      </c>
      <c r="AI123" s="41">
        <f t="shared" si="1406"/>
        <v>0</v>
      </c>
    </row>
    <row r="124" spans="1:35" ht="15.6" hidden="1" outlineLevel="1" x14ac:dyDescent="0.3">
      <c r="A124" s="35" t="s">
        <v>253</v>
      </c>
      <c r="B124" s="29">
        <f>IFERROR(VLOOKUP($A124,APOIO!$B:$N,MATCH(B$5,APOIO!$B$5:$N$5,0),FALSE),0)</f>
        <v>0</v>
      </c>
      <c r="C124" s="38">
        <f t="shared" si="1390"/>
        <v>0</v>
      </c>
      <c r="D124" s="29">
        <f>IFERROR(VLOOKUP($A124,APOIO!$B:$N,MATCH(D$5,APOIO!$B$5:$N$5,0),FALSE),0)</f>
        <v>0</v>
      </c>
      <c r="E124" s="38">
        <f t="shared" si="1391"/>
        <v>0</v>
      </c>
      <c r="F124" s="29">
        <f>IFERROR(VLOOKUP($A124,APOIO!$B:$N,MATCH(F$5,APOIO!$B$5:$N$5,0),FALSE),0)</f>
        <v>0</v>
      </c>
      <c r="G124" s="38">
        <f t="shared" si="1392"/>
        <v>0</v>
      </c>
      <c r="H124" s="30">
        <f t="shared" si="1407"/>
        <v>0</v>
      </c>
      <c r="I124" s="40">
        <f t="shared" si="1393"/>
        <v>0</v>
      </c>
      <c r="J124" s="29">
        <f>IFERROR(VLOOKUP($A124,APOIO!$B:$N,MATCH(J$5,APOIO!$B$5:$N$5,0),FALSE),0)</f>
        <v>0</v>
      </c>
      <c r="K124" s="38">
        <f t="shared" si="1394"/>
        <v>0</v>
      </c>
      <c r="L124" s="29">
        <f>IFERROR(VLOOKUP($A124,APOIO!$B:$N,MATCH(L$5,APOIO!$B$5:$N$5,0),FALSE),0)</f>
        <v>0</v>
      </c>
      <c r="M124" s="38">
        <f t="shared" si="1395"/>
        <v>0</v>
      </c>
      <c r="N124" s="29">
        <f>IFERROR(VLOOKUP($A124,APOIO!$B:$N,MATCH(N$5,APOIO!$B$5:$N$5,0),FALSE),0)</f>
        <v>0</v>
      </c>
      <c r="O124" s="38">
        <f t="shared" si="1396"/>
        <v>0</v>
      </c>
      <c r="P124" s="30">
        <f t="shared" si="1408"/>
        <v>0</v>
      </c>
      <c r="Q124" s="41">
        <f t="shared" si="1397"/>
        <v>0</v>
      </c>
      <c r="R124" s="29">
        <f>IFERROR(VLOOKUP($A124,APOIO!$B:$N,MATCH(R$5,APOIO!$B$5:$N$5,0),FALSE),0)</f>
        <v>0</v>
      </c>
      <c r="S124" s="41">
        <f t="shared" si="1398"/>
        <v>0</v>
      </c>
      <c r="T124" s="29">
        <f>IFERROR(VLOOKUP($A124,APOIO!$B:$N,MATCH(T$5,APOIO!$B$5:$N$5,0),FALSE),0)</f>
        <v>0</v>
      </c>
      <c r="U124" s="41">
        <f t="shared" si="1399"/>
        <v>0</v>
      </c>
      <c r="V124" s="29">
        <f>IFERROR(VLOOKUP($A124,APOIO!$B:$N,MATCH(V$5,APOIO!$B$5:$N$5,0),FALSE),0)</f>
        <v>0</v>
      </c>
      <c r="W124" s="38">
        <f t="shared" si="1400"/>
        <v>0</v>
      </c>
      <c r="X124" s="30">
        <f t="shared" si="1409"/>
        <v>0</v>
      </c>
      <c r="Y124" s="41">
        <f t="shared" si="1401"/>
        <v>0</v>
      </c>
      <c r="Z124" s="29">
        <f>IFERROR(VLOOKUP($A124,APOIO!$B:$N,MATCH(Z$5,APOIO!$B$5:$N$5,0),FALSE),0)</f>
        <v>0</v>
      </c>
      <c r="AA124" s="38">
        <f t="shared" si="1402"/>
        <v>0</v>
      </c>
      <c r="AB124" s="29">
        <f>IFERROR(VLOOKUP($A124,APOIO!$B:$N,MATCH(AB$5,APOIO!$B$5:$N$5,0),FALSE),0)</f>
        <v>0</v>
      </c>
      <c r="AC124" s="38">
        <f t="shared" si="1403"/>
        <v>0</v>
      </c>
      <c r="AD124" s="29">
        <f>IFERROR(VLOOKUP($A124,APOIO!$B:$N,MATCH(AD$5,APOIO!$B$5:$N$5,0),FALSE),0)</f>
        <v>0</v>
      </c>
      <c r="AE124" s="38">
        <f t="shared" si="1404"/>
        <v>0</v>
      </c>
      <c r="AF124" s="30">
        <f t="shared" si="1410"/>
        <v>0</v>
      </c>
      <c r="AG124" s="41">
        <f t="shared" si="1405"/>
        <v>0</v>
      </c>
      <c r="AH124" s="29">
        <f t="shared" si="1411"/>
        <v>0</v>
      </c>
      <c r="AI124" s="41">
        <f t="shared" si="1406"/>
        <v>0</v>
      </c>
    </row>
    <row r="125" spans="1:35" ht="15.6" hidden="1" outlineLevel="1" x14ac:dyDescent="0.3">
      <c r="A125" s="35" t="s">
        <v>254</v>
      </c>
      <c r="B125" s="29">
        <f>IFERROR(VLOOKUP($A125,APOIO!$B:$N,MATCH(B$5,APOIO!$B$5:$N$5,0),FALSE),0)</f>
        <v>0</v>
      </c>
      <c r="C125" s="38">
        <f t="shared" ref="C125:C126" si="1412">IFERROR(B125/B$19,0)</f>
        <v>0</v>
      </c>
      <c r="D125" s="29">
        <f>IFERROR(VLOOKUP($A125,APOIO!$B:$N,MATCH(D$5,APOIO!$B$5:$N$5,0),FALSE),0)</f>
        <v>0</v>
      </c>
      <c r="E125" s="38">
        <f t="shared" ref="E125:E126" si="1413">IFERROR(D125/D$19,0)</f>
        <v>0</v>
      </c>
      <c r="F125" s="29">
        <f>IFERROR(VLOOKUP($A125,APOIO!$B:$N,MATCH(F$5,APOIO!$B$5:$N$5,0),FALSE),0)</f>
        <v>0</v>
      </c>
      <c r="G125" s="38">
        <f t="shared" ref="G125:G126" si="1414">IFERROR(F125/F$19,0)</f>
        <v>0</v>
      </c>
      <c r="H125" s="30">
        <f t="shared" si="1407"/>
        <v>0</v>
      </c>
      <c r="I125" s="40">
        <f t="shared" ref="I125:I126" si="1415">IFERROR(H125/H$19,0)</f>
        <v>0</v>
      </c>
      <c r="J125" s="29">
        <f>IFERROR(VLOOKUP($A125,APOIO!$B:$N,MATCH(J$5,APOIO!$B$5:$N$5,0),FALSE),0)</f>
        <v>0</v>
      </c>
      <c r="K125" s="38">
        <f t="shared" ref="K125:K126" si="1416">IFERROR(J125/J$19,0)</f>
        <v>0</v>
      </c>
      <c r="L125" s="29">
        <f>IFERROR(VLOOKUP($A125,APOIO!$B:$N,MATCH(L$5,APOIO!$B$5:$N$5,0),FALSE),0)</f>
        <v>0</v>
      </c>
      <c r="M125" s="38">
        <f t="shared" ref="M125:M126" si="1417">IFERROR(L125/L$19,0)</f>
        <v>0</v>
      </c>
      <c r="N125" s="29">
        <f>IFERROR(VLOOKUP($A125,APOIO!$B:$N,MATCH(N$5,APOIO!$B$5:$N$5,0),FALSE),0)</f>
        <v>0</v>
      </c>
      <c r="O125" s="38">
        <f t="shared" ref="O125:O126" si="1418">IFERROR(N125/N$19,0)</f>
        <v>0</v>
      </c>
      <c r="P125" s="30">
        <f t="shared" si="1408"/>
        <v>0</v>
      </c>
      <c r="Q125" s="41">
        <f t="shared" ref="Q125:Q126" si="1419">IFERROR(P125/P$19,0)</f>
        <v>0</v>
      </c>
      <c r="R125" s="29">
        <f>IFERROR(VLOOKUP($A125,APOIO!$B:$N,MATCH(R$5,APOIO!$B$5:$N$5,0),FALSE),0)</f>
        <v>0</v>
      </c>
      <c r="S125" s="41">
        <f t="shared" ref="S125:S126" si="1420">IFERROR(R125/R$19,0)</f>
        <v>0</v>
      </c>
      <c r="T125" s="29">
        <f>IFERROR(VLOOKUP($A125,APOIO!$B:$N,MATCH(T$5,APOIO!$B$5:$N$5,0),FALSE),0)</f>
        <v>0</v>
      </c>
      <c r="U125" s="41">
        <f t="shared" ref="U125:U126" si="1421">IFERROR(T125/T$19,0)</f>
        <v>0</v>
      </c>
      <c r="V125" s="29">
        <f>IFERROR(VLOOKUP($A125,APOIO!$B:$N,MATCH(V$5,APOIO!$B$5:$N$5,0),FALSE),0)</f>
        <v>0</v>
      </c>
      <c r="W125" s="38">
        <f t="shared" ref="W125:W126" si="1422">IFERROR(V125/V$19,0)</f>
        <v>0</v>
      </c>
      <c r="X125" s="30">
        <f t="shared" si="1409"/>
        <v>0</v>
      </c>
      <c r="Y125" s="41">
        <f t="shared" ref="Y125:Y126" si="1423">IFERROR(X125/X$19,0)</f>
        <v>0</v>
      </c>
      <c r="Z125" s="29">
        <f>IFERROR(VLOOKUP($A125,APOIO!$B:$N,MATCH(Z$5,APOIO!$B$5:$N$5,0),FALSE),0)</f>
        <v>0</v>
      </c>
      <c r="AA125" s="38">
        <f t="shared" ref="AA125:AA126" si="1424">IFERROR(Z125/Z$19,0)</f>
        <v>0</v>
      </c>
      <c r="AB125" s="29">
        <f>IFERROR(VLOOKUP($A125,APOIO!$B:$N,MATCH(AB$5,APOIO!$B$5:$N$5,0),FALSE),0)</f>
        <v>0</v>
      </c>
      <c r="AC125" s="38">
        <f t="shared" ref="AC125:AC126" si="1425">IFERROR(AB125/AB$19,0)</f>
        <v>0</v>
      </c>
      <c r="AD125" s="29">
        <f>IFERROR(VLOOKUP($A125,APOIO!$B:$N,MATCH(AD$5,APOIO!$B$5:$N$5,0),FALSE),0)</f>
        <v>0</v>
      </c>
      <c r="AE125" s="38">
        <f t="shared" ref="AE125:AE126" si="1426">IFERROR(AD125/AD$19,0)</f>
        <v>0</v>
      </c>
      <c r="AF125" s="30">
        <f t="shared" si="1410"/>
        <v>0</v>
      </c>
      <c r="AG125" s="41">
        <f t="shared" ref="AG125:AG126" si="1427">IFERROR(AF125/AF$19,0)</f>
        <v>0</v>
      </c>
      <c r="AH125" s="29">
        <f t="shared" si="1411"/>
        <v>0</v>
      </c>
      <c r="AI125" s="41">
        <f t="shared" ref="AI125:AI126" si="1428">IFERROR(AH125/AH$19,0)</f>
        <v>0</v>
      </c>
    </row>
    <row r="126" spans="1:35" ht="15.6" hidden="1" outlineLevel="1" x14ac:dyDescent="0.3">
      <c r="A126" s="35" t="s">
        <v>255</v>
      </c>
      <c r="B126" s="29">
        <f>IFERROR(VLOOKUP($A126,APOIO!$B:$N,MATCH(B$5,APOIO!$B$5:$N$5,0),FALSE),0)</f>
        <v>-188.79</v>
      </c>
      <c r="C126" s="38">
        <f t="shared" si="1412"/>
        <v>-1.2166306233641799E-3</v>
      </c>
      <c r="D126" s="29">
        <f>IFERROR(VLOOKUP($A126,APOIO!$B:$N,MATCH(D$5,APOIO!$B$5:$N$5,0),FALSE),0)</f>
        <v>0</v>
      </c>
      <c r="E126" s="38">
        <f t="shared" si="1413"/>
        <v>0</v>
      </c>
      <c r="F126" s="29">
        <f>IFERROR(VLOOKUP($A126,APOIO!$B:$N,MATCH(F$5,APOIO!$B$5:$N$5,0),FALSE),0)</f>
        <v>0</v>
      </c>
      <c r="G126" s="38">
        <f t="shared" si="1414"/>
        <v>0</v>
      </c>
      <c r="H126" s="30">
        <f t="shared" ref="H126" si="1429">SUM(B126,D126,F126)</f>
        <v>-188.79</v>
      </c>
      <c r="I126" s="40">
        <f t="shared" si="1415"/>
        <v>-3.6289143917777824E-4</v>
      </c>
      <c r="J126" s="29">
        <f>IFERROR(VLOOKUP($A126,APOIO!$B:$N,MATCH(J$5,APOIO!$B$5:$N$5,0),FALSE),0)</f>
        <v>0</v>
      </c>
      <c r="K126" s="38">
        <f t="shared" si="1416"/>
        <v>0</v>
      </c>
      <c r="L126" s="29">
        <f>IFERROR(VLOOKUP($A126,APOIO!$B:$N,MATCH(L$5,APOIO!$B$5:$N$5,0),FALSE),0)</f>
        <v>0</v>
      </c>
      <c r="M126" s="38">
        <f t="shared" si="1417"/>
        <v>0</v>
      </c>
      <c r="N126" s="29">
        <f>IFERROR(VLOOKUP($A126,APOIO!$B:$N,MATCH(N$5,APOIO!$B$5:$N$5,0),FALSE),0)</f>
        <v>0</v>
      </c>
      <c r="O126" s="38">
        <f t="shared" si="1418"/>
        <v>0</v>
      </c>
      <c r="P126" s="30">
        <f t="shared" ref="P126" si="1430">SUM(J126,L126,N126)</f>
        <v>0</v>
      </c>
      <c r="Q126" s="41">
        <f t="shared" si="1419"/>
        <v>0</v>
      </c>
      <c r="R126" s="29">
        <f>IFERROR(VLOOKUP($A126,APOIO!$B:$N,MATCH(R$5,APOIO!$B$5:$N$5,0),FALSE),0)</f>
        <v>0</v>
      </c>
      <c r="S126" s="41">
        <f t="shared" si="1420"/>
        <v>0</v>
      </c>
      <c r="T126" s="29">
        <f>IFERROR(VLOOKUP($A126,APOIO!$B:$N,MATCH(T$5,APOIO!$B$5:$N$5,0),FALSE),0)</f>
        <v>0</v>
      </c>
      <c r="U126" s="41">
        <f t="shared" si="1421"/>
        <v>0</v>
      </c>
      <c r="V126" s="29">
        <f>IFERROR(VLOOKUP($A126,APOIO!$B:$N,MATCH(V$5,APOIO!$B$5:$N$5,0),FALSE),0)</f>
        <v>0</v>
      </c>
      <c r="W126" s="38">
        <f t="shared" si="1422"/>
        <v>0</v>
      </c>
      <c r="X126" s="30">
        <f t="shared" ref="X126" si="1431">SUM(R126,T126,V126)</f>
        <v>0</v>
      </c>
      <c r="Y126" s="41">
        <f t="shared" si="1423"/>
        <v>0</v>
      </c>
      <c r="Z126" s="29">
        <f>IFERROR(VLOOKUP($A126,APOIO!$B:$N,MATCH(Z$5,APOIO!$B$5:$N$5,0),FALSE),0)</f>
        <v>0</v>
      </c>
      <c r="AA126" s="38">
        <f t="shared" si="1424"/>
        <v>0</v>
      </c>
      <c r="AB126" s="29">
        <f>IFERROR(VLOOKUP($A126,APOIO!$B:$N,MATCH(AB$5,APOIO!$B$5:$N$5,0),FALSE),0)</f>
        <v>0</v>
      </c>
      <c r="AC126" s="38">
        <f t="shared" si="1425"/>
        <v>0</v>
      </c>
      <c r="AD126" s="29">
        <f>IFERROR(VLOOKUP($A126,APOIO!$B:$N,MATCH(AD$5,APOIO!$B$5:$N$5,0),FALSE),0)</f>
        <v>0</v>
      </c>
      <c r="AE126" s="38">
        <f t="shared" si="1426"/>
        <v>0</v>
      </c>
      <c r="AF126" s="30">
        <f t="shared" ref="AF126" si="1432">SUM(Z126,AB126,AD126)</f>
        <v>0</v>
      </c>
      <c r="AG126" s="41">
        <f t="shared" si="1427"/>
        <v>0</v>
      </c>
      <c r="AH126" s="29">
        <f t="shared" ref="AH126" si="1433">SUM(B126,D126,F126,J126,L126,N126,R126,T126,V126,Z126,AB126,AD126)</f>
        <v>-188.79</v>
      </c>
      <c r="AI126" s="41">
        <f t="shared" si="1428"/>
        <v>-3.6289143917777824E-4</v>
      </c>
    </row>
    <row r="127" spans="1:35" ht="15.6" hidden="1" outlineLevel="1" x14ac:dyDescent="0.3">
      <c r="A127" s="35" t="s">
        <v>256</v>
      </c>
      <c r="B127" s="29">
        <f>IFERROR(VLOOKUP($A127,APOIO!$B:$N,MATCH(B$5,APOIO!$B$5:$N$5,0),FALSE),0)</f>
        <v>0</v>
      </c>
      <c r="C127" s="38">
        <f t="shared" si="1390"/>
        <v>0</v>
      </c>
      <c r="D127" s="29">
        <f>IFERROR(VLOOKUP($A127,APOIO!$B:$N,MATCH(D$5,APOIO!$B$5:$N$5,0),FALSE),0)</f>
        <v>0</v>
      </c>
      <c r="E127" s="38">
        <f t="shared" si="1391"/>
        <v>0</v>
      </c>
      <c r="F127" s="29">
        <f>IFERROR(VLOOKUP($A127,APOIO!$B:$N,MATCH(F$5,APOIO!$B$5:$N$5,0),FALSE),0)</f>
        <v>0</v>
      </c>
      <c r="G127" s="38">
        <f t="shared" si="1392"/>
        <v>0</v>
      </c>
      <c r="H127" s="30">
        <f t="shared" si="1407"/>
        <v>0</v>
      </c>
      <c r="I127" s="40">
        <f t="shared" si="1393"/>
        <v>0</v>
      </c>
      <c r="J127" s="29">
        <f>IFERROR(VLOOKUP($A127,APOIO!$B:$N,MATCH(J$5,APOIO!$B$5:$N$5,0),FALSE),0)</f>
        <v>0</v>
      </c>
      <c r="K127" s="38">
        <f t="shared" si="1394"/>
        <v>0</v>
      </c>
      <c r="L127" s="29">
        <f>IFERROR(VLOOKUP($A127,APOIO!$B:$N,MATCH(L$5,APOIO!$B$5:$N$5,0),FALSE),0)</f>
        <v>0</v>
      </c>
      <c r="M127" s="38">
        <f t="shared" si="1395"/>
        <v>0</v>
      </c>
      <c r="N127" s="29">
        <f>IFERROR(VLOOKUP($A127,APOIO!$B:$N,MATCH(N$5,APOIO!$B$5:$N$5,0),FALSE),0)</f>
        <v>0</v>
      </c>
      <c r="O127" s="38">
        <f t="shared" si="1396"/>
        <v>0</v>
      </c>
      <c r="P127" s="30">
        <f t="shared" si="1408"/>
        <v>0</v>
      </c>
      <c r="Q127" s="41">
        <f t="shared" si="1397"/>
        <v>0</v>
      </c>
      <c r="R127" s="29">
        <f>IFERROR(VLOOKUP($A127,APOIO!$B:$N,MATCH(R$5,APOIO!$B$5:$N$5,0),FALSE),0)</f>
        <v>0</v>
      </c>
      <c r="S127" s="41">
        <f t="shared" si="1398"/>
        <v>0</v>
      </c>
      <c r="T127" s="29">
        <f>IFERROR(VLOOKUP($A127,APOIO!$B:$N,MATCH(T$5,APOIO!$B$5:$N$5,0),FALSE),0)</f>
        <v>0</v>
      </c>
      <c r="U127" s="41">
        <f t="shared" si="1399"/>
        <v>0</v>
      </c>
      <c r="V127" s="29">
        <f>IFERROR(VLOOKUP($A127,APOIO!$B:$N,MATCH(V$5,APOIO!$B$5:$N$5,0),FALSE),0)</f>
        <v>0</v>
      </c>
      <c r="W127" s="38">
        <f t="shared" si="1400"/>
        <v>0</v>
      </c>
      <c r="X127" s="30">
        <f t="shared" si="1409"/>
        <v>0</v>
      </c>
      <c r="Y127" s="41">
        <f t="shared" si="1401"/>
        <v>0</v>
      </c>
      <c r="Z127" s="29">
        <f>IFERROR(VLOOKUP($A127,APOIO!$B:$N,MATCH(Z$5,APOIO!$B$5:$N$5,0),FALSE),0)</f>
        <v>0</v>
      </c>
      <c r="AA127" s="38">
        <f t="shared" si="1402"/>
        <v>0</v>
      </c>
      <c r="AB127" s="29">
        <f>IFERROR(VLOOKUP($A127,APOIO!$B:$N,MATCH(AB$5,APOIO!$B$5:$N$5,0),FALSE),0)</f>
        <v>0</v>
      </c>
      <c r="AC127" s="38">
        <f t="shared" si="1403"/>
        <v>0</v>
      </c>
      <c r="AD127" s="29">
        <f>IFERROR(VLOOKUP($A127,APOIO!$B:$N,MATCH(AD$5,APOIO!$B$5:$N$5,0),FALSE),0)</f>
        <v>0</v>
      </c>
      <c r="AE127" s="38">
        <f t="shared" si="1404"/>
        <v>0</v>
      </c>
      <c r="AF127" s="30">
        <f t="shared" si="1410"/>
        <v>0</v>
      </c>
      <c r="AG127" s="41">
        <f t="shared" si="1405"/>
        <v>0</v>
      </c>
      <c r="AH127" s="29">
        <f t="shared" si="1411"/>
        <v>0</v>
      </c>
      <c r="AI127" s="41">
        <f t="shared" si="1406"/>
        <v>0</v>
      </c>
    </row>
    <row r="128" spans="1:35" ht="15.6" hidden="1" outlineLevel="1" x14ac:dyDescent="0.3">
      <c r="A128" s="35"/>
      <c r="B128" s="29">
        <f>IFERROR(VLOOKUP($A128,APOIO!$B:$N,MATCH(B$5,APOIO!$B$5:$N$5,0),FALSE),0)</f>
        <v>0</v>
      </c>
      <c r="C128" s="38">
        <f t="shared" si="1390"/>
        <v>0</v>
      </c>
      <c r="D128" s="29">
        <f>IFERROR(VLOOKUP($A128,APOIO!$B:$N,MATCH(D$5,APOIO!$B$5:$N$5,0),FALSE),0)</f>
        <v>0</v>
      </c>
      <c r="E128" s="38">
        <f t="shared" si="1391"/>
        <v>0</v>
      </c>
      <c r="F128" s="29">
        <f>IFERROR(VLOOKUP($A128,APOIO!$B:$N,MATCH(F$5,APOIO!$B$5:$N$5,0),FALSE),0)</f>
        <v>0</v>
      </c>
      <c r="G128" s="38">
        <f t="shared" si="1392"/>
        <v>0</v>
      </c>
      <c r="H128" s="30">
        <f t="shared" si="1407"/>
        <v>0</v>
      </c>
      <c r="I128" s="40">
        <f t="shared" si="1393"/>
        <v>0</v>
      </c>
      <c r="J128" s="29">
        <f>IFERROR(VLOOKUP($A128,APOIO!$B:$N,MATCH(J$5,APOIO!$B$5:$N$5,0),FALSE),0)</f>
        <v>0</v>
      </c>
      <c r="K128" s="38">
        <f t="shared" si="1394"/>
        <v>0</v>
      </c>
      <c r="L128" s="29">
        <f>IFERROR(VLOOKUP($A128,APOIO!$B:$N,MATCH(L$5,APOIO!$B$5:$N$5,0),FALSE),0)</f>
        <v>0</v>
      </c>
      <c r="M128" s="38">
        <f t="shared" si="1395"/>
        <v>0</v>
      </c>
      <c r="N128" s="29">
        <f>IFERROR(VLOOKUP($A128,APOIO!$B:$N,MATCH(N$5,APOIO!$B$5:$N$5,0),FALSE),0)</f>
        <v>0</v>
      </c>
      <c r="O128" s="38">
        <f t="shared" si="1396"/>
        <v>0</v>
      </c>
      <c r="P128" s="30">
        <f t="shared" si="1408"/>
        <v>0</v>
      </c>
      <c r="Q128" s="41">
        <f t="shared" si="1397"/>
        <v>0</v>
      </c>
      <c r="R128" s="29">
        <f>IFERROR(VLOOKUP($A128,APOIO!$B:$N,MATCH(R$5,APOIO!$B$5:$N$5,0),FALSE),0)</f>
        <v>0</v>
      </c>
      <c r="S128" s="41">
        <f t="shared" si="1398"/>
        <v>0</v>
      </c>
      <c r="T128" s="29">
        <f>IFERROR(VLOOKUP($A128,APOIO!$B:$N,MATCH(T$5,APOIO!$B$5:$N$5,0),FALSE),0)</f>
        <v>0</v>
      </c>
      <c r="U128" s="41">
        <f t="shared" si="1399"/>
        <v>0</v>
      </c>
      <c r="V128" s="29">
        <f>IFERROR(VLOOKUP($A128,APOIO!$B:$N,MATCH(V$5,APOIO!$B$5:$N$5,0),FALSE),0)</f>
        <v>0</v>
      </c>
      <c r="W128" s="38">
        <f t="shared" si="1400"/>
        <v>0</v>
      </c>
      <c r="X128" s="30">
        <f t="shared" si="1409"/>
        <v>0</v>
      </c>
      <c r="Y128" s="41">
        <f t="shared" si="1401"/>
        <v>0</v>
      </c>
      <c r="Z128" s="29">
        <f>IFERROR(VLOOKUP($A128,APOIO!$B:$N,MATCH(Z$5,APOIO!$B$5:$N$5,0),FALSE),0)</f>
        <v>0</v>
      </c>
      <c r="AA128" s="38">
        <f t="shared" si="1402"/>
        <v>0</v>
      </c>
      <c r="AB128" s="29">
        <f>IFERROR(VLOOKUP($A128,APOIO!$B:$N,MATCH(AB$5,APOIO!$B$5:$N$5,0),FALSE),0)</f>
        <v>0</v>
      </c>
      <c r="AC128" s="38">
        <f t="shared" si="1403"/>
        <v>0</v>
      </c>
      <c r="AD128" s="29">
        <f>IFERROR(VLOOKUP($A128,APOIO!$B:$N,MATCH(AD$5,APOIO!$B$5:$N$5,0),FALSE),0)</f>
        <v>0</v>
      </c>
      <c r="AE128" s="38">
        <f t="shared" si="1404"/>
        <v>0</v>
      </c>
      <c r="AF128" s="30">
        <f t="shared" si="1410"/>
        <v>0</v>
      </c>
      <c r="AG128" s="41">
        <f t="shared" si="1405"/>
        <v>0</v>
      </c>
      <c r="AH128" s="29">
        <f t="shared" si="1411"/>
        <v>0</v>
      </c>
      <c r="AI128" s="41">
        <f t="shared" si="1406"/>
        <v>0</v>
      </c>
    </row>
    <row r="129" spans="1:35" ht="15.6" collapsed="1" x14ac:dyDescent="0.3">
      <c r="A129" s="36" t="s">
        <v>265</v>
      </c>
      <c r="B129" s="37">
        <f>IFERROR(VLOOKUP($A129,APOIO!$B:$N,MATCH(B$5,APOIO!$B$5:$N$5,0),FALSE),0)</f>
        <v>-720</v>
      </c>
      <c r="C129" s="39">
        <f t="shared" si="1347"/>
        <v>-4.6399388146734976E-3</v>
      </c>
      <c r="D129" s="37">
        <f>IFERROR(VLOOKUP($A129,APOIO!$B:$N,MATCH(D$5,APOIO!$B$5:$N$5,0),FALSE),0)</f>
        <v>-2379</v>
      </c>
      <c r="E129" s="39">
        <f t="shared" si="1347"/>
        <v>-6.5166696766430707E-3</v>
      </c>
      <c r="F129" s="37">
        <f>IFERROR(VLOOKUP($A129,APOIO!$B:$N,MATCH(F$5,APOIO!$B$5:$N$5,0),FALSE),0)</f>
        <v>-2050</v>
      </c>
      <c r="G129" s="39">
        <f t="shared" ref="G129" si="1434">IFERROR(F129/F$19,0)</f>
        <v>0</v>
      </c>
      <c r="H129" s="37">
        <f t="shared" si="1"/>
        <v>-5149</v>
      </c>
      <c r="I129" s="39">
        <f t="shared" ref="I129" si="1435">IFERROR(H129/H$19,0)</f>
        <v>-9.8973887405391179E-3</v>
      </c>
      <c r="J129" s="37">
        <f>IFERROR(VLOOKUP($A129,APOIO!$B:$N,MATCH(J$5,APOIO!$B$5:$N$5,0),FALSE),0)</f>
        <v>-1817</v>
      </c>
      <c r="K129" s="39">
        <f t="shared" ref="K129" si="1436">IFERROR(J129/J$19,0)</f>
        <v>0</v>
      </c>
      <c r="L129" s="37">
        <f>IFERROR(VLOOKUP($A129,APOIO!$B:$N,MATCH(L$5,APOIO!$B$5:$N$5,0),FALSE),0)</f>
        <v>-1424</v>
      </c>
      <c r="M129" s="39">
        <f t="shared" ref="M129" si="1437">IFERROR(L129/L$19,0)</f>
        <v>0</v>
      </c>
      <c r="N129" s="37">
        <f>IFERROR(VLOOKUP($A129,APOIO!$B:$N,MATCH(N$5,APOIO!$B$5:$N$5,0),FALSE),0)</f>
        <v>0</v>
      </c>
      <c r="O129" s="39">
        <f t="shared" ref="O129" si="1438">IFERROR(N129/N$19,0)</f>
        <v>0</v>
      </c>
      <c r="P129" s="37">
        <f t="shared" si="2"/>
        <v>-3241</v>
      </c>
      <c r="Q129" s="42">
        <f t="shared" ref="Q129" si="1439">IFERROR(P129/P$19,0)</f>
        <v>0</v>
      </c>
      <c r="R129" s="37">
        <f>IFERROR(VLOOKUP($A129,APOIO!$B:$N,MATCH(R$5,APOIO!$B$5:$N$5,0),FALSE),0)</f>
        <v>0</v>
      </c>
      <c r="S129" s="42">
        <f t="shared" ref="S129" si="1440">IFERROR(R129/R$19,0)</f>
        <v>0</v>
      </c>
      <c r="T129" s="37">
        <f>IFERROR(VLOOKUP($A129,APOIO!$B:$N,MATCH(T$5,APOIO!$B$5:$N$5,0),FALSE),0)</f>
        <v>0</v>
      </c>
      <c r="U129" s="42">
        <f t="shared" ref="U129" si="1441">IFERROR(T129/T$19,0)</f>
        <v>0</v>
      </c>
      <c r="V129" s="37">
        <f>IFERROR(VLOOKUP($A129,APOIO!$B:$N,MATCH(V$5,APOIO!$B$5:$N$5,0),FALSE),0)</f>
        <v>0</v>
      </c>
      <c r="W129" s="39">
        <f t="shared" ref="W129" si="1442">IFERROR(V129/V$19,0)</f>
        <v>0</v>
      </c>
      <c r="X129" s="37">
        <f t="shared" si="3"/>
        <v>0</v>
      </c>
      <c r="Y129" s="42">
        <f t="shared" ref="Y129" si="1443">IFERROR(X129/X$19,0)</f>
        <v>0</v>
      </c>
      <c r="Z129" s="37">
        <f>IFERROR(VLOOKUP($A129,APOIO!$B:$N,MATCH(Z$5,APOIO!$B$5:$N$5,0),FALSE),0)</f>
        <v>0</v>
      </c>
      <c r="AA129" s="39">
        <f t="shared" ref="AA129" si="1444">IFERROR(Z129/Z$19,0)</f>
        <v>0</v>
      </c>
      <c r="AB129" s="37">
        <f>IFERROR(VLOOKUP($A129,APOIO!$B:$N,MATCH(AB$5,APOIO!$B$5:$N$5,0),FALSE),0)</f>
        <v>0</v>
      </c>
      <c r="AC129" s="39">
        <f t="shared" ref="AC129" si="1445">IFERROR(AB129/AB$19,0)</f>
        <v>0</v>
      </c>
      <c r="AD129" s="37">
        <f>IFERROR(VLOOKUP($A129,APOIO!$B:$N,MATCH(AD$5,APOIO!$B$5:$N$5,0),FALSE),0)</f>
        <v>0</v>
      </c>
      <c r="AE129" s="39">
        <f t="shared" ref="AE129" si="1446">IFERROR(AD129/AD$19,0)</f>
        <v>0</v>
      </c>
      <c r="AF129" s="37">
        <f t="shared" si="4"/>
        <v>0</v>
      </c>
      <c r="AG129" s="42">
        <f t="shared" ref="AG129" si="1447">IFERROR(AF129/AF$19,0)</f>
        <v>0</v>
      </c>
      <c r="AH129" s="37">
        <f t="shared" si="5"/>
        <v>-8390</v>
      </c>
      <c r="AI129" s="42">
        <f t="shared" ref="AI129" si="1448">IFERROR(AH129/AH$19,0)</f>
        <v>-1.6127226943702312E-2</v>
      </c>
    </row>
    <row r="130" spans="1:35" ht="15.6" hidden="1" outlineLevel="1" x14ac:dyDescent="0.3">
      <c r="A130" s="35" t="s">
        <v>266</v>
      </c>
      <c r="B130" s="29">
        <f>IFERROR(VLOOKUP($A130,APOIO!$B:$N,MATCH(B$5,APOIO!$B$5:$N$5,0),FALSE),0)</f>
        <v>-720</v>
      </c>
      <c r="C130" s="38">
        <f t="shared" si="1347"/>
        <v>-4.6399388146734976E-3</v>
      </c>
      <c r="D130" s="29">
        <f>IFERROR(VLOOKUP($A130,APOIO!$B:$N,MATCH(D$5,APOIO!$B$5:$N$5,0),FALSE),0)</f>
        <v>-2379</v>
      </c>
      <c r="E130" s="38">
        <f t="shared" si="1347"/>
        <v>-6.5166696766430707E-3</v>
      </c>
      <c r="F130" s="29">
        <f>IFERROR(VLOOKUP($A130,APOIO!$B:$N,MATCH(F$5,APOIO!$B$5:$N$5,0),FALSE),0)</f>
        <v>-2050</v>
      </c>
      <c r="G130" s="38">
        <f t="shared" ref="G130" si="1449">IFERROR(F130/F$19,0)</f>
        <v>0</v>
      </c>
      <c r="H130" s="30">
        <f t="shared" si="1"/>
        <v>-5149</v>
      </c>
      <c r="I130" s="40">
        <f t="shared" ref="I130" si="1450">IFERROR(H130/H$19,0)</f>
        <v>-9.8973887405391179E-3</v>
      </c>
      <c r="J130" s="29">
        <f>IFERROR(VLOOKUP($A130,APOIO!$B:$N,MATCH(J$5,APOIO!$B$5:$N$5,0),FALSE),0)</f>
        <v>-1817</v>
      </c>
      <c r="K130" s="38">
        <f t="shared" ref="K130" si="1451">IFERROR(J130/J$19,0)</f>
        <v>0</v>
      </c>
      <c r="L130" s="29">
        <f>IFERROR(VLOOKUP($A130,APOIO!$B:$N,MATCH(L$5,APOIO!$B$5:$N$5,0),FALSE),0)</f>
        <v>-1424</v>
      </c>
      <c r="M130" s="38">
        <f t="shared" ref="M130" si="1452">IFERROR(L130/L$19,0)</f>
        <v>0</v>
      </c>
      <c r="N130" s="29">
        <f>IFERROR(VLOOKUP($A130,APOIO!$B:$N,MATCH(N$5,APOIO!$B$5:$N$5,0),FALSE),0)</f>
        <v>0</v>
      </c>
      <c r="O130" s="38">
        <f t="shared" ref="O130" si="1453">IFERROR(N130/N$19,0)</f>
        <v>0</v>
      </c>
      <c r="P130" s="30">
        <f t="shared" si="2"/>
        <v>-3241</v>
      </c>
      <c r="Q130" s="41">
        <f t="shared" ref="Q130" si="1454">IFERROR(P130/P$19,0)</f>
        <v>0</v>
      </c>
      <c r="R130" s="29">
        <f>IFERROR(VLOOKUP($A130,APOIO!$B:$N,MATCH(R$5,APOIO!$B$5:$N$5,0),FALSE),0)</f>
        <v>0</v>
      </c>
      <c r="S130" s="41">
        <f t="shared" ref="S130" si="1455">IFERROR(R130/R$19,0)</f>
        <v>0</v>
      </c>
      <c r="T130" s="29">
        <f>IFERROR(VLOOKUP($A130,APOIO!$B:$N,MATCH(T$5,APOIO!$B$5:$N$5,0),FALSE),0)</f>
        <v>0</v>
      </c>
      <c r="U130" s="41">
        <f t="shared" ref="U130" si="1456">IFERROR(T130/T$19,0)</f>
        <v>0</v>
      </c>
      <c r="V130" s="29">
        <f>IFERROR(VLOOKUP($A130,APOIO!$B:$N,MATCH(V$5,APOIO!$B$5:$N$5,0),FALSE),0)</f>
        <v>0</v>
      </c>
      <c r="W130" s="38">
        <f t="shared" ref="W130" si="1457">IFERROR(V130/V$19,0)</f>
        <v>0</v>
      </c>
      <c r="X130" s="30">
        <f t="shared" si="3"/>
        <v>0</v>
      </c>
      <c r="Y130" s="41">
        <f t="shared" ref="Y130" si="1458">IFERROR(X130/X$19,0)</f>
        <v>0</v>
      </c>
      <c r="Z130" s="29">
        <f>IFERROR(VLOOKUP($A130,APOIO!$B:$N,MATCH(Z$5,APOIO!$B$5:$N$5,0),FALSE),0)</f>
        <v>0</v>
      </c>
      <c r="AA130" s="38">
        <f t="shared" ref="AA130" si="1459">IFERROR(Z130/Z$19,0)</f>
        <v>0</v>
      </c>
      <c r="AB130" s="29">
        <f>IFERROR(VLOOKUP($A130,APOIO!$B:$N,MATCH(AB$5,APOIO!$B$5:$N$5,0),FALSE),0)</f>
        <v>0</v>
      </c>
      <c r="AC130" s="38">
        <f t="shared" ref="AC130" si="1460">IFERROR(AB130/AB$19,0)</f>
        <v>0</v>
      </c>
      <c r="AD130" s="29">
        <f>IFERROR(VLOOKUP($A130,APOIO!$B:$N,MATCH(AD$5,APOIO!$B$5:$N$5,0),FALSE),0)</f>
        <v>0</v>
      </c>
      <c r="AE130" s="38">
        <f t="shared" ref="AE130" si="1461">IFERROR(AD130/AD$19,0)</f>
        <v>0</v>
      </c>
      <c r="AF130" s="30">
        <f t="shared" si="4"/>
        <v>0</v>
      </c>
      <c r="AG130" s="41">
        <f t="shared" ref="AG130" si="1462">IFERROR(AF130/AF$19,0)</f>
        <v>0</v>
      </c>
      <c r="AH130" s="29">
        <f t="shared" si="5"/>
        <v>-8390</v>
      </c>
      <c r="AI130" s="41">
        <f t="shared" ref="AI130" si="1463">IFERROR(AH130/AH$19,0)</f>
        <v>-1.6127226943702312E-2</v>
      </c>
    </row>
    <row r="131" spans="1:35" ht="15.6" hidden="1" outlineLevel="1" x14ac:dyDescent="0.3">
      <c r="A131" s="35" t="s">
        <v>267</v>
      </c>
      <c r="B131" s="29">
        <f>IFERROR(VLOOKUP($A131,APOIO!$B:$N,MATCH(B$5,APOIO!$B$5:$N$5,0),FALSE),0)</f>
        <v>0</v>
      </c>
      <c r="C131" s="38">
        <f t="shared" si="1347"/>
        <v>0</v>
      </c>
      <c r="D131" s="29">
        <f>IFERROR(VLOOKUP($A131,APOIO!$B:$N,MATCH(D$5,APOIO!$B$5:$N$5,0),FALSE),0)</f>
        <v>0</v>
      </c>
      <c r="E131" s="38">
        <f t="shared" si="1347"/>
        <v>0</v>
      </c>
      <c r="F131" s="29">
        <f>IFERROR(VLOOKUP($A131,APOIO!$B:$N,MATCH(F$5,APOIO!$B$5:$N$5,0),FALSE),0)</f>
        <v>0</v>
      </c>
      <c r="G131" s="38">
        <f t="shared" ref="G131" si="1464">IFERROR(F131/F$19,0)</f>
        <v>0</v>
      </c>
      <c r="H131" s="30">
        <f t="shared" ref="H131" si="1465">SUM(B131,D131,F131)</f>
        <v>0</v>
      </c>
      <c r="I131" s="40">
        <f t="shared" ref="I131" si="1466">IFERROR(H131/H$19,0)</f>
        <v>0</v>
      </c>
      <c r="J131" s="29">
        <f>IFERROR(VLOOKUP($A131,APOIO!$B:$N,MATCH(J$5,APOIO!$B$5:$N$5,0),FALSE),0)</f>
        <v>0</v>
      </c>
      <c r="K131" s="38">
        <f t="shared" ref="K131" si="1467">IFERROR(J131/J$19,0)</f>
        <v>0</v>
      </c>
      <c r="L131" s="29">
        <f>IFERROR(VLOOKUP($A131,APOIO!$B:$N,MATCH(L$5,APOIO!$B$5:$N$5,0),FALSE),0)</f>
        <v>0</v>
      </c>
      <c r="M131" s="38">
        <f t="shared" ref="M131" si="1468">IFERROR(L131/L$19,0)</f>
        <v>0</v>
      </c>
      <c r="N131" s="29">
        <f>IFERROR(VLOOKUP($A131,APOIO!$B:$N,MATCH(N$5,APOIO!$B$5:$N$5,0),FALSE),0)</f>
        <v>0</v>
      </c>
      <c r="O131" s="38">
        <f t="shared" ref="O131" si="1469">IFERROR(N131/N$19,0)</f>
        <v>0</v>
      </c>
      <c r="P131" s="30">
        <f t="shared" ref="P131" si="1470">SUM(J131,L131,N131)</f>
        <v>0</v>
      </c>
      <c r="Q131" s="41">
        <f t="shared" ref="Q131" si="1471">IFERROR(P131/P$19,0)</f>
        <v>0</v>
      </c>
      <c r="R131" s="29">
        <f>IFERROR(VLOOKUP($A131,APOIO!$B:$N,MATCH(R$5,APOIO!$B$5:$N$5,0),FALSE),0)</f>
        <v>0</v>
      </c>
      <c r="S131" s="41">
        <f t="shared" ref="S131" si="1472">IFERROR(R131/R$19,0)</f>
        <v>0</v>
      </c>
      <c r="T131" s="29">
        <f>IFERROR(VLOOKUP($A131,APOIO!$B:$N,MATCH(T$5,APOIO!$B$5:$N$5,0),FALSE),0)</f>
        <v>0</v>
      </c>
      <c r="U131" s="41">
        <f t="shared" ref="U131" si="1473">IFERROR(T131/T$19,0)</f>
        <v>0</v>
      </c>
      <c r="V131" s="29">
        <f>IFERROR(VLOOKUP($A131,APOIO!$B:$N,MATCH(V$5,APOIO!$B$5:$N$5,0),FALSE),0)</f>
        <v>0</v>
      </c>
      <c r="W131" s="38">
        <f t="shared" ref="W131" si="1474">IFERROR(V131/V$19,0)</f>
        <v>0</v>
      </c>
      <c r="X131" s="30">
        <f t="shared" ref="X131" si="1475">SUM(R131,T131,V131)</f>
        <v>0</v>
      </c>
      <c r="Y131" s="41">
        <f t="shared" ref="Y131" si="1476">IFERROR(X131/X$19,0)</f>
        <v>0</v>
      </c>
      <c r="Z131" s="29">
        <f>IFERROR(VLOOKUP($A131,APOIO!$B:$N,MATCH(Z$5,APOIO!$B$5:$N$5,0),FALSE),0)</f>
        <v>0</v>
      </c>
      <c r="AA131" s="38">
        <f t="shared" ref="AA131" si="1477">IFERROR(Z131/Z$19,0)</f>
        <v>0</v>
      </c>
      <c r="AB131" s="29">
        <f>IFERROR(VLOOKUP($A131,APOIO!$B:$N,MATCH(AB$5,APOIO!$B$5:$N$5,0),FALSE),0)</f>
        <v>0</v>
      </c>
      <c r="AC131" s="38">
        <f t="shared" ref="AC131" si="1478">IFERROR(AB131/AB$19,0)</f>
        <v>0</v>
      </c>
      <c r="AD131" s="29">
        <f>IFERROR(VLOOKUP($A131,APOIO!$B:$N,MATCH(AD$5,APOIO!$B$5:$N$5,0),FALSE),0)</f>
        <v>0</v>
      </c>
      <c r="AE131" s="38">
        <f t="shared" ref="AE131" si="1479">IFERROR(AD131/AD$19,0)</f>
        <v>0</v>
      </c>
      <c r="AF131" s="30">
        <f t="shared" ref="AF131" si="1480">SUM(Z131,AB131,AD131)</f>
        <v>0</v>
      </c>
      <c r="AG131" s="41">
        <f t="shared" ref="AG131" si="1481">IFERROR(AF131/AF$19,0)</f>
        <v>0</v>
      </c>
      <c r="AH131" s="29">
        <f t="shared" ref="AH131" si="1482">SUM(B131,D131,F131,J131,L131,N131,R131,T131,V131,Z131,AB131,AD131)</f>
        <v>0</v>
      </c>
      <c r="AI131" s="41">
        <f t="shared" ref="AI131" si="1483">IFERROR(AH131/AH$19,0)</f>
        <v>0</v>
      </c>
    </row>
    <row r="132" spans="1:35" ht="15.6" collapsed="1" x14ac:dyDescent="0.3">
      <c r="A132" s="36" t="s">
        <v>18</v>
      </c>
      <c r="B132" s="37">
        <f>IFERROR(VLOOKUP($A132,APOIO!$B:$N,MATCH(B$5,APOIO!$B$5:$N$5,0),FALSE),0)</f>
        <v>0</v>
      </c>
      <c r="C132" s="39">
        <f t="shared" si="1347"/>
        <v>0</v>
      </c>
      <c r="D132" s="37">
        <f>IFERROR(VLOOKUP($A132,APOIO!$B:$N,MATCH(D$5,APOIO!$B$5:$N$5,0),FALSE),0)</f>
        <v>0</v>
      </c>
      <c r="E132" s="39">
        <f t="shared" si="1347"/>
        <v>0</v>
      </c>
      <c r="F132" s="37">
        <f>IFERROR(VLOOKUP($A132,APOIO!$B:$N,MATCH(F$5,APOIO!$B$5:$N$5,0),FALSE),0)</f>
        <v>0</v>
      </c>
      <c r="G132" s="39">
        <f t="shared" ref="G132" si="1484">IFERROR(F132/F$19,0)</f>
        <v>0</v>
      </c>
      <c r="H132" s="37">
        <f t="shared" si="1"/>
        <v>0</v>
      </c>
      <c r="I132" s="39">
        <f t="shared" ref="I132" si="1485">IFERROR(H132/H$19,0)</f>
        <v>0</v>
      </c>
      <c r="J132" s="37">
        <f>IFERROR(VLOOKUP($A132,APOIO!$B:$N,MATCH(J$5,APOIO!$B$5:$N$5,0),FALSE),0)</f>
        <v>0</v>
      </c>
      <c r="K132" s="39">
        <f t="shared" ref="K132" si="1486">IFERROR(J132/J$19,0)</f>
        <v>0</v>
      </c>
      <c r="L132" s="37">
        <f>IFERROR(VLOOKUP($A132,APOIO!$B:$N,MATCH(L$5,APOIO!$B$5:$N$5,0),FALSE),0)</f>
        <v>0</v>
      </c>
      <c r="M132" s="39">
        <f t="shared" ref="M132" si="1487">IFERROR(L132/L$19,0)</f>
        <v>0</v>
      </c>
      <c r="N132" s="37">
        <f>IFERROR(VLOOKUP($A132,APOIO!$B:$N,MATCH(N$5,APOIO!$B$5:$N$5,0),FALSE),0)</f>
        <v>0</v>
      </c>
      <c r="O132" s="39">
        <f t="shared" ref="O132" si="1488">IFERROR(N132/N$19,0)</f>
        <v>0</v>
      </c>
      <c r="P132" s="37">
        <f t="shared" si="2"/>
        <v>0</v>
      </c>
      <c r="Q132" s="42">
        <f t="shared" ref="Q132" si="1489">IFERROR(P132/P$19,0)</f>
        <v>0</v>
      </c>
      <c r="R132" s="37">
        <f>IFERROR(VLOOKUP($A132,APOIO!$B:$N,MATCH(R$5,APOIO!$B$5:$N$5,0),FALSE),0)</f>
        <v>0</v>
      </c>
      <c r="S132" s="42">
        <f t="shared" ref="S132" si="1490">IFERROR(R132/R$19,0)</f>
        <v>0</v>
      </c>
      <c r="T132" s="37">
        <f>IFERROR(VLOOKUP($A132,APOIO!$B:$N,MATCH(T$5,APOIO!$B$5:$N$5,0),FALSE),0)</f>
        <v>0</v>
      </c>
      <c r="U132" s="42">
        <f t="shared" ref="U132" si="1491">IFERROR(T132/T$19,0)</f>
        <v>0</v>
      </c>
      <c r="V132" s="37">
        <f>IFERROR(VLOOKUP($A132,APOIO!$B:$N,MATCH(V$5,APOIO!$B$5:$N$5,0),FALSE),0)</f>
        <v>0</v>
      </c>
      <c r="W132" s="39">
        <f t="shared" ref="W132" si="1492">IFERROR(V132/V$19,0)</f>
        <v>0</v>
      </c>
      <c r="X132" s="37">
        <f t="shared" si="3"/>
        <v>0</v>
      </c>
      <c r="Y132" s="42">
        <f t="shared" ref="Y132" si="1493">IFERROR(X132/X$19,0)</f>
        <v>0</v>
      </c>
      <c r="Z132" s="37">
        <f>IFERROR(VLOOKUP($A132,APOIO!$B:$N,MATCH(Z$5,APOIO!$B$5:$N$5,0),FALSE),0)</f>
        <v>0</v>
      </c>
      <c r="AA132" s="39">
        <f t="shared" ref="AA132" si="1494">IFERROR(Z132/Z$19,0)</f>
        <v>0</v>
      </c>
      <c r="AB132" s="37">
        <f>IFERROR(VLOOKUP($A132,APOIO!$B:$N,MATCH(AB$5,APOIO!$B$5:$N$5,0),FALSE),0)</f>
        <v>0</v>
      </c>
      <c r="AC132" s="39">
        <f t="shared" ref="AC132" si="1495">IFERROR(AB132/AB$19,0)</f>
        <v>0</v>
      </c>
      <c r="AD132" s="37">
        <f>IFERROR(VLOOKUP($A132,APOIO!$B:$N,MATCH(AD$5,APOIO!$B$5:$N$5,0),FALSE),0)</f>
        <v>0</v>
      </c>
      <c r="AE132" s="39">
        <f t="shared" ref="AE132" si="1496">IFERROR(AD132/AD$19,0)</f>
        <v>0</v>
      </c>
      <c r="AF132" s="37">
        <f t="shared" si="4"/>
        <v>0</v>
      </c>
      <c r="AG132" s="42">
        <f t="shared" ref="AG132" si="1497">IFERROR(AF132/AF$19,0)</f>
        <v>0</v>
      </c>
      <c r="AH132" s="37">
        <f t="shared" si="5"/>
        <v>0</v>
      </c>
      <c r="AI132" s="42">
        <f t="shared" ref="AI132" si="1498">IFERROR(AH132/AH$19,0)</f>
        <v>0</v>
      </c>
    </row>
    <row r="133" spans="1:35" ht="15.6" hidden="1" outlineLevel="1" x14ac:dyDescent="0.3">
      <c r="A133" s="35" t="s">
        <v>264</v>
      </c>
      <c r="B133" s="29">
        <f>IFERROR(VLOOKUP($A133,APOIO!$B:$N,MATCH(B$5,APOIO!$B$5:$N$5,0),FALSE),0)</f>
        <v>0</v>
      </c>
      <c r="C133" s="38">
        <f t="shared" si="1347"/>
        <v>0</v>
      </c>
      <c r="D133" s="29">
        <f>IFERROR(VLOOKUP($A133,APOIO!$B:$N,MATCH(D$5,APOIO!$B$5:$N$5,0),FALSE),0)</f>
        <v>0</v>
      </c>
      <c r="E133" s="38">
        <f t="shared" si="1347"/>
        <v>0</v>
      </c>
      <c r="F133" s="29">
        <f>IFERROR(VLOOKUP($A133,APOIO!$B:$N,MATCH(F$5,APOIO!$B$5:$N$5,0),FALSE),0)</f>
        <v>0</v>
      </c>
      <c r="G133" s="38">
        <f t="shared" ref="G133" si="1499">IFERROR(F133/F$19,0)</f>
        <v>0</v>
      </c>
      <c r="H133" s="30">
        <f t="shared" si="1"/>
        <v>0</v>
      </c>
      <c r="I133" s="40">
        <f t="shared" ref="I133" si="1500">IFERROR(H133/H$19,0)</f>
        <v>0</v>
      </c>
      <c r="J133" s="29">
        <f>IFERROR(VLOOKUP($A133,APOIO!$B:$N,MATCH(J$5,APOIO!$B$5:$N$5,0),FALSE),0)</f>
        <v>0</v>
      </c>
      <c r="K133" s="38">
        <f t="shared" ref="K133" si="1501">IFERROR(J133/J$19,0)</f>
        <v>0</v>
      </c>
      <c r="L133" s="29">
        <f>IFERROR(VLOOKUP($A133,APOIO!$B:$N,MATCH(L$5,APOIO!$B$5:$N$5,0),FALSE),0)</f>
        <v>0</v>
      </c>
      <c r="M133" s="38">
        <f t="shared" ref="M133" si="1502">IFERROR(L133/L$19,0)</f>
        <v>0</v>
      </c>
      <c r="N133" s="29">
        <f>IFERROR(VLOOKUP($A133,APOIO!$B:$N,MATCH(N$5,APOIO!$B$5:$N$5,0),FALSE),0)</f>
        <v>0</v>
      </c>
      <c r="O133" s="38">
        <f t="shared" ref="O133" si="1503">IFERROR(N133/N$19,0)</f>
        <v>0</v>
      </c>
      <c r="P133" s="30">
        <f t="shared" si="2"/>
        <v>0</v>
      </c>
      <c r="Q133" s="41">
        <f t="shared" ref="Q133" si="1504">IFERROR(P133/P$19,0)</f>
        <v>0</v>
      </c>
      <c r="R133" s="29">
        <f>IFERROR(VLOOKUP($A133,APOIO!$B:$N,MATCH(R$5,APOIO!$B$5:$N$5,0),FALSE),0)</f>
        <v>0</v>
      </c>
      <c r="S133" s="41">
        <f t="shared" ref="S133" si="1505">IFERROR(R133/R$19,0)</f>
        <v>0</v>
      </c>
      <c r="T133" s="29">
        <f>IFERROR(VLOOKUP($A133,APOIO!$B:$N,MATCH(T$5,APOIO!$B$5:$N$5,0),FALSE),0)</f>
        <v>0</v>
      </c>
      <c r="U133" s="41">
        <f t="shared" ref="U133" si="1506">IFERROR(T133/T$19,0)</f>
        <v>0</v>
      </c>
      <c r="V133" s="29">
        <f>IFERROR(VLOOKUP($A133,APOIO!$B:$N,MATCH(V$5,APOIO!$B$5:$N$5,0),FALSE),0)</f>
        <v>0</v>
      </c>
      <c r="W133" s="38">
        <f t="shared" ref="W133" si="1507">IFERROR(V133/V$19,0)</f>
        <v>0</v>
      </c>
      <c r="X133" s="30">
        <f t="shared" si="3"/>
        <v>0</v>
      </c>
      <c r="Y133" s="41">
        <f t="shared" ref="Y133" si="1508">IFERROR(X133/X$19,0)</f>
        <v>0</v>
      </c>
      <c r="Z133" s="29">
        <f>IFERROR(VLOOKUP($A133,APOIO!$B:$N,MATCH(Z$5,APOIO!$B$5:$N$5,0),FALSE),0)</f>
        <v>0</v>
      </c>
      <c r="AA133" s="38">
        <f t="shared" ref="AA133" si="1509">IFERROR(Z133/Z$19,0)</f>
        <v>0</v>
      </c>
      <c r="AB133" s="29">
        <f>IFERROR(VLOOKUP($A133,APOIO!$B:$N,MATCH(AB$5,APOIO!$B$5:$N$5,0),FALSE),0)</f>
        <v>0</v>
      </c>
      <c r="AC133" s="38">
        <f t="shared" ref="AC133" si="1510">IFERROR(AB133/AB$19,0)</f>
        <v>0</v>
      </c>
      <c r="AD133" s="29">
        <f>IFERROR(VLOOKUP($A133,APOIO!$B:$N,MATCH(AD$5,APOIO!$B$5:$N$5,0),FALSE),0)</f>
        <v>0</v>
      </c>
      <c r="AE133" s="38">
        <f t="shared" ref="AE133" si="1511">IFERROR(AD133/AD$19,0)</f>
        <v>0</v>
      </c>
      <c r="AF133" s="30">
        <f t="shared" si="4"/>
        <v>0</v>
      </c>
      <c r="AG133" s="41">
        <f t="shared" ref="AG133" si="1512">IFERROR(AF133/AF$19,0)</f>
        <v>0</v>
      </c>
      <c r="AH133" s="29">
        <f t="shared" si="5"/>
        <v>0</v>
      </c>
      <c r="AI133" s="41">
        <f t="shared" ref="AI133" si="1513">IFERROR(AH133/AH$19,0)</f>
        <v>0</v>
      </c>
    </row>
    <row r="134" spans="1:35" ht="15.6" hidden="1" outlineLevel="1" x14ac:dyDescent="0.3">
      <c r="A134" s="35"/>
      <c r="B134" s="29">
        <f>IFERROR(VLOOKUP($A134,APOIO!$B:$N,MATCH(B$5,APOIO!$B$5:$N$5,0),FALSE),0)</f>
        <v>0</v>
      </c>
      <c r="C134" s="38">
        <f t="shared" si="1347"/>
        <v>0</v>
      </c>
      <c r="D134" s="29">
        <f>IFERROR(VLOOKUP($A134,APOIO!$B:$N,MATCH(D$5,APOIO!$B$5:$N$5,0),FALSE),0)</f>
        <v>0</v>
      </c>
      <c r="E134" s="38">
        <f t="shared" si="1347"/>
        <v>0</v>
      </c>
      <c r="F134" s="29">
        <f>IFERROR(VLOOKUP($A134,APOIO!$B:$N,MATCH(F$5,APOIO!$B$5:$N$5,0),FALSE),0)</f>
        <v>0</v>
      </c>
      <c r="G134" s="38">
        <f t="shared" ref="G134" si="1514">IFERROR(F134/F$19,0)</f>
        <v>0</v>
      </c>
      <c r="H134" s="30">
        <f t="shared" ref="H134" si="1515">SUM(B134,D134,F134)</f>
        <v>0</v>
      </c>
      <c r="I134" s="40">
        <f t="shared" ref="I134" si="1516">IFERROR(H134/H$19,0)</f>
        <v>0</v>
      </c>
      <c r="J134" s="29">
        <f>IFERROR(VLOOKUP($A134,APOIO!$B:$N,MATCH(J$5,APOIO!$B$5:$N$5,0),FALSE),0)</f>
        <v>0</v>
      </c>
      <c r="K134" s="38">
        <f t="shared" ref="K134" si="1517">IFERROR(J134/J$19,0)</f>
        <v>0</v>
      </c>
      <c r="L134" s="29">
        <f>IFERROR(VLOOKUP($A134,APOIO!$B:$N,MATCH(L$5,APOIO!$B$5:$N$5,0),FALSE),0)</f>
        <v>0</v>
      </c>
      <c r="M134" s="38">
        <f t="shared" ref="M134" si="1518">IFERROR(L134/L$19,0)</f>
        <v>0</v>
      </c>
      <c r="N134" s="29">
        <f>IFERROR(VLOOKUP($A134,APOIO!$B:$N,MATCH(N$5,APOIO!$B$5:$N$5,0),FALSE),0)</f>
        <v>0</v>
      </c>
      <c r="O134" s="38">
        <f t="shared" ref="O134" si="1519">IFERROR(N134/N$19,0)</f>
        <v>0</v>
      </c>
      <c r="P134" s="30">
        <f t="shared" ref="P134" si="1520">SUM(J134,L134,N134)</f>
        <v>0</v>
      </c>
      <c r="Q134" s="41">
        <f t="shared" ref="Q134" si="1521">IFERROR(P134/P$19,0)</f>
        <v>0</v>
      </c>
      <c r="R134" s="29">
        <f>IFERROR(VLOOKUP($A134,APOIO!$B:$N,MATCH(R$5,APOIO!$B$5:$N$5,0),FALSE),0)</f>
        <v>0</v>
      </c>
      <c r="S134" s="41">
        <f t="shared" ref="S134" si="1522">IFERROR(R134/R$19,0)</f>
        <v>0</v>
      </c>
      <c r="T134" s="29">
        <f>IFERROR(VLOOKUP($A134,APOIO!$B:$N,MATCH(T$5,APOIO!$B$5:$N$5,0),FALSE),0)</f>
        <v>0</v>
      </c>
      <c r="U134" s="41">
        <f t="shared" ref="U134" si="1523">IFERROR(T134/T$19,0)</f>
        <v>0</v>
      </c>
      <c r="V134" s="29">
        <f>IFERROR(VLOOKUP($A134,APOIO!$B:$N,MATCH(V$5,APOIO!$B$5:$N$5,0),FALSE),0)</f>
        <v>0</v>
      </c>
      <c r="W134" s="38">
        <f t="shared" ref="W134" si="1524">IFERROR(V134/V$19,0)</f>
        <v>0</v>
      </c>
      <c r="X134" s="30">
        <f t="shared" ref="X134" si="1525">SUM(R134,T134,V134)</f>
        <v>0</v>
      </c>
      <c r="Y134" s="41">
        <f t="shared" ref="Y134" si="1526">IFERROR(X134/X$19,0)</f>
        <v>0</v>
      </c>
      <c r="Z134" s="29">
        <f>IFERROR(VLOOKUP($A134,APOIO!$B:$N,MATCH(Z$5,APOIO!$B$5:$N$5,0),FALSE),0)</f>
        <v>0</v>
      </c>
      <c r="AA134" s="38">
        <f t="shared" ref="AA134" si="1527">IFERROR(Z134/Z$19,0)</f>
        <v>0</v>
      </c>
      <c r="AB134" s="29">
        <f>IFERROR(VLOOKUP($A134,APOIO!$B:$N,MATCH(AB$5,APOIO!$B$5:$N$5,0),FALSE),0)</f>
        <v>0</v>
      </c>
      <c r="AC134" s="38">
        <f t="shared" ref="AC134" si="1528">IFERROR(AB134/AB$19,0)</f>
        <v>0</v>
      </c>
      <c r="AD134" s="29">
        <f>IFERROR(VLOOKUP($A134,APOIO!$B:$N,MATCH(AD$5,APOIO!$B$5:$N$5,0),FALSE),0)</f>
        <v>0</v>
      </c>
      <c r="AE134" s="38">
        <f t="shared" ref="AE134" si="1529">IFERROR(AD134/AD$19,0)</f>
        <v>0</v>
      </c>
      <c r="AF134" s="30">
        <f t="shared" ref="AF134" si="1530">SUM(Z134,AB134,AD134)</f>
        <v>0</v>
      </c>
      <c r="AG134" s="41">
        <f t="shared" ref="AG134" si="1531">IFERROR(AF134/AF$19,0)</f>
        <v>0</v>
      </c>
      <c r="AH134" s="29">
        <f t="shared" ref="AH134" si="1532">SUM(B134,D134,F134,J134,L134,N134,R134,T134,V134,Z134,AB134,AD134)</f>
        <v>0</v>
      </c>
      <c r="AI134" s="41">
        <f t="shared" ref="AI134" si="1533">IFERROR(AH134/AH$19,0)</f>
        <v>0</v>
      </c>
    </row>
    <row r="135" spans="1:35" ht="15.6" collapsed="1" x14ac:dyDescent="0.3">
      <c r="A135" s="36" t="s">
        <v>72</v>
      </c>
      <c r="B135" s="37">
        <f>IFERROR(VLOOKUP($A135,APOIO!$B:$N,MATCH(B$5,APOIO!$B$5:$N$5,0),FALSE),0)</f>
        <v>-2016.99</v>
      </c>
      <c r="C135" s="39">
        <f t="shared" si="1347"/>
        <v>-1.299820859695597E-2</v>
      </c>
      <c r="D135" s="37">
        <f>IFERROR(VLOOKUP($A135,APOIO!$B:$N,MATCH(D$5,APOIO!$B$5:$N$5,0),FALSE),0)</f>
        <v>-3185.57</v>
      </c>
      <c r="E135" s="39">
        <f t="shared" si="1347"/>
        <v>-8.7260644900478638E-3</v>
      </c>
      <c r="F135" s="37">
        <f>IFERROR(VLOOKUP($A135,APOIO!$B:$N,MATCH(F$5,APOIO!$B$5:$N$5,0),FALSE),0)</f>
        <v>-233.1</v>
      </c>
      <c r="G135" s="39">
        <f t="shared" ref="G135" si="1534">IFERROR(F135/F$19,0)</f>
        <v>0</v>
      </c>
      <c r="H135" s="37">
        <f t="shared" si="1"/>
        <v>-5435.6600000000008</v>
      </c>
      <c r="I135" s="39">
        <f t="shared" ref="I135" si="1535">IFERROR(H135/H$19,0)</f>
        <v>-1.044840553144278E-2</v>
      </c>
      <c r="J135" s="37">
        <f>IFERROR(VLOOKUP($A135,APOIO!$B:$N,MATCH(J$5,APOIO!$B$5:$N$5,0),FALSE),0)</f>
        <v>-2002.3219999999999</v>
      </c>
      <c r="K135" s="39">
        <f t="shared" ref="K135" si="1536">IFERROR(J135/J$19,0)</f>
        <v>0</v>
      </c>
      <c r="L135" s="37">
        <f>IFERROR(VLOOKUP($A135,APOIO!$B:$N,MATCH(L$5,APOIO!$B$5:$N$5,0),FALSE),0)</f>
        <v>-2547.7600000000002</v>
      </c>
      <c r="M135" s="39">
        <f t="shared" ref="M135" si="1537">IFERROR(L135/L$19,0)</f>
        <v>0</v>
      </c>
      <c r="N135" s="37">
        <f>IFERROR(VLOOKUP($A135,APOIO!$B:$N,MATCH(N$5,APOIO!$B$5:$N$5,0),FALSE),0)</f>
        <v>0</v>
      </c>
      <c r="O135" s="39">
        <f t="shared" ref="O135" si="1538">IFERROR(N135/N$19,0)</f>
        <v>0</v>
      </c>
      <c r="P135" s="37">
        <f t="shared" si="2"/>
        <v>-4550.0820000000003</v>
      </c>
      <c r="Q135" s="42">
        <f t="shared" ref="Q135" si="1539">IFERROR(P135/P$19,0)</f>
        <v>0</v>
      </c>
      <c r="R135" s="37">
        <f>IFERROR(VLOOKUP($A135,APOIO!$B:$N,MATCH(R$5,APOIO!$B$5:$N$5,0),FALSE),0)</f>
        <v>0</v>
      </c>
      <c r="S135" s="42">
        <f t="shared" ref="S135" si="1540">IFERROR(R135/R$19,0)</f>
        <v>0</v>
      </c>
      <c r="T135" s="37">
        <f>IFERROR(VLOOKUP($A135,APOIO!$B:$N,MATCH(T$5,APOIO!$B$5:$N$5,0),FALSE),0)</f>
        <v>0</v>
      </c>
      <c r="U135" s="42">
        <f t="shared" ref="U135" si="1541">IFERROR(T135/T$19,0)</f>
        <v>0</v>
      </c>
      <c r="V135" s="37">
        <f>IFERROR(VLOOKUP($A135,APOIO!$B:$N,MATCH(V$5,APOIO!$B$5:$N$5,0),FALSE),0)</f>
        <v>0</v>
      </c>
      <c r="W135" s="39">
        <f t="shared" ref="W135" si="1542">IFERROR(V135/V$19,0)</f>
        <v>0</v>
      </c>
      <c r="X135" s="37">
        <f t="shared" si="3"/>
        <v>0</v>
      </c>
      <c r="Y135" s="42">
        <f t="shared" ref="Y135" si="1543">IFERROR(X135/X$19,0)</f>
        <v>0</v>
      </c>
      <c r="Z135" s="37">
        <f>IFERROR(VLOOKUP($A135,APOIO!$B:$N,MATCH(Z$5,APOIO!$B$5:$N$5,0),FALSE),0)</f>
        <v>0</v>
      </c>
      <c r="AA135" s="39">
        <f t="shared" ref="AA135" si="1544">IFERROR(Z135/Z$19,0)</f>
        <v>0</v>
      </c>
      <c r="AB135" s="37">
        <f>IFERROR(VLOOKUP($A135,APOIO!$B:$N,MATCH(AB$5,APOIO!$B$5:$N$5,0),FALSE),0)</f>
        <v>0</v>
      </c>
      <c r="AC135" s="39">
        <f t="shared" ref="AC135" si="1545">IFERROR(AB135/AB$19,0)</f>
        <v>0</v>
      </c>
      <c r="AD135" s="37">
        <f>IFERROR(VLOOKUP($A135,APOIO!$B:$N,MATCH(AD$5,APOIO!$B$5:$N$5,0),FALSE),0)</f>
        <v>0</v>
      </c>
      <c r="AE135" s="39">
        <f t="shared" ref="AE135" si="1546">IFERROR(AD135/AD$19,0)</f>
        <v>0</v>
      </c>
      <c r="AF135" s="37">
        <f t="shared" si="4"/>
        <v>0</v>
      </c>
      <c r="AG135" s="42">
        <f t="shared" ref="AG135" si="1547">IFERROR(AF135/AF$19,0)</f>
        <v>0</v>
      </c>
      <c r="AH135" s="37">
        <f t="shared" si="5"/>
        <v>-9985.742000000002</v>
      </c>
      <c r="AI135" s="42">
        <f t="shared" ref="AI135" si="1548">IFERROR(AH135/AH$19,0)</f>
        <v>-1.9194556309327752E-2</v>
      </c>
    </row>
    <row r="136" spans="1:35" ht="15.6" hidden="1" outlineLevel="1" x14ac:dyDescent="0.3">
      <c r="A136" s="35" t="s">
        <v>204</v>
      </c>
      <c r="B136" s="29">
        <f>IFERROR(VLOOKUP($A136,APOIO!$B:$N,MATCH(B$5,APOIO!$B$5:$N$5,0),FALSE),0)</f>
        <v>-700</v>
      </c>
      <c r="C136" s="38">
        <f t="shared" si="1347"/>
        <v>-4.5110516253770118E-3</v>
      </c>
      <c r="D136" s="29">
        <f>IFERROR(VLOOKUP($A136,APOIO!$B:$N,MATCH(D$5,APOIO!$B$5:$N$5,0),FALSE),0)</f>
        <v>-2313</v>
      </c>
      <c r="E136" s="38">
        <f t="shared" si="1347"/>
        <v>-6.3358793451346873E-3</v>
      </c>
      <c r="F136" s="29">
        <f>IFERROR(VLOOKUP($A136,APOIO!$B:$N,MATCH(F$5,APOIO!$B$5:$N$5,0),FALSE),0)</f>
        <v>0</v>
      </c>
      <c r="G136" s="38">
        <f t="shared" ref="G136" si="1549">IFERROR(F136/F$19,0)</f>
        <v>0</v>
      </c>
      <c r="H136" s="30">
        <f t="shared" si="1"/>
        <v>-3013</v>
      </c>
      <c r="I136" s="40">
        <f t="shared" ref="I136" si="1550">IFERROR(H136/H$19,0)</f>
        <v>-5.7915774471245605E-3</v>
      </c>
      <c r="J136" s="29">
        <f>IFERROR(VLOOKUP($A136,APOIO!$B:$N,MATCH(J$5,APOIO!$B$5:$N$5,0),FALSE),0)</f>
        <v>-2000</v>
      </c>
      <c r="K136" s="38">
        <f t="shared" ref="K136" si="1551">IFERROR(J136/J$19,0)</f>
        <v>0</v>
      </c>
      <c r="L136" s="29">
        <f>IFERROR(VLOOKUP($A136,APOIO!$B:$N,MATCH(L$5,APOIO!$B$5:$N$5,0),FALSE),0)</f>
        <v>-2100</v>
      </c>
      <c r="M136" s="38">
        <f t="shared" ref="M136" si="1552">IFERROR(L136/L$19,0)</f>
        <v>0</v>
      </c>
      <c r="N136" s="29">
        <f>IFERROR(VLOOKUP($A136,APOIO!$B:$N,MATCH(N$5,APOIO!$B$5:$N$5,0),FALSE),0)</f>
        <v>0</v>
      </c>
      <c r="O136" s="38">
        <f t="shared" ref="O136" si="1553">IFERROR(N136/N$19,0)</f>
        <v>0</v>
      </c>
      <c r="P136" s="30">
        <f t="shared" si="2"/>
        <v>-4100</v>
      </c>
      <c r="Q136" s="41">
        <f t="shared" ref="Q136" si="1554">IFERROR(P136/P$19,0)</f>
        <v>0</v>
      </c>
      <c r="R136" s="29">
        <f>IFERROR(VLOOKUP($A136,APOIO!$B:$N,MATCH(R$5,APOIO!$B$5:$N$5,0),FALSE),0)</f>
        <v>0</v>
      </c>
      <c r="S136" s="41">
        <f t="shared" ref="S136" si="1555">IFERROR(R136/R$19,0)</f>
        <v>0</v>
      </c>
      <c r="T136" s="29">
        <f>IFERROR(VLOOKUP($A136,APOIO!$B:$N,MATCH(T$5,APOIO!$B$5:$N$5,0),FALSE),0)</f>
        <v>0</v>
      </c>
      <c r="U136" s="41">
        <f t="shared" ref="U136" si="1556">IFERROR(T136/T$19,0)</f>
        <v>0</v>
      </c>
      <c r="V136" s="29">
        <f>IFERROR(VLOOKUP($A136,APOIO!$B:$N,MATCH(V$5,APOIO!$B$5:$N$5,0),FALSE),0)</f>
        <v>0</v>
      </c>
      <c r="W136" s="38">
        <f t="shared" ref="W136" si="1557">IFERROR(V136/V$19,0)</f>
        <v>0</v>
      </c>
      <c r="X136" s="30">
        <f t="shared" si="3"/>
        <v>0</v>
      </c>
      <c r="Y136" s="41">
        <f t="shared" ref="Y136" si="1558">IFERROR(X136/X$19,0)</f>
        <v>0</v>
      </c>
      <c r="Z136" s="29">
        <f>IFERROR(VLOOKUP($A136,APOIO!$B:$N,MATCH(Z$5,APOIO!$B$5:$N$5,0),FALSE),0)</f>
        <v>0</v>
      </c>
      <c r="AA136" s="38">
        <f t="shared" ref="AA136" si="1559">IFERROR(Z136/Z$19,0)</f>
        <v>0</v>
      </c>
      <c r="AB136" s="29">
        <f>IFERROR(VLOOKUP($A136,APOIO!$B:$N,MATCH(AB$5,APOIO!$B$5:$N$5,0),FALSE),0)</f>
        <v>0</v>
      </c>
      <c r="AC136" s="38">
        <f t="shared" ref="AC136" si="1560">IFERROR(AB136/AB$19,0)</f>
        <v>0</v>
      </c>
      <c r="AD136" s="29">
        <f>IFERROR(VLOOKUP($A136,APOIO!$B:$N,MATCH(AD$5,APOIO!$B$5:$N$5,0),FALSE),0)</f>
        <v>0</v>
      </c>
      <c r="AE136" s="38">
        <f t="shared" ref="AE136" si="1561">IFERROR(AD136/AD$19,0)</f>
        <v>0</v>
      </c>
      <c r="AF136" s="30">
        <f t="shared" si="4"/>
        <v>0</v>
      </c>
      <c r="AG136" s="41">
        <f t="shared" ref="AG136" si="1562">IFERROR(AF136/AF$19,0)</f>
        <v>0</v>
      </c>
      <c r="AH136" s="29">
        <f t="shared" si="5"/>
        <v>-7113</v>
      </c>
      <c r="AI136" s="41">
        <f t="shared" ref="AI136" si="1563">IFERROR(AH136/AH$19,0)</f>
        <v>-1.3672582270626286E-2</v>
      </c>
    </row>
    <row r="137" spans="1:35" ht="15.6" hidden="1" outlineLevel="1" x14ac:dyDescent="0.3">
      <c r="A137" s="35" t="s">
        <v>205</v>
      </c>
      <c r="B137" s="29">
        <f>IFERROR(VLOOKUP($A137,APOIO!$B:$N,MATCH(B$5,APOIO!$B$5:$N$5,0),FALSE),0)</f>
        <v>0</v>
      </c>
      <c r="C137" s="38">
        <f t="shared" si="1347"/>
        <v>0</v>
      </c>
      <c r="D137" s="29">
        <f>IFERROR(VLOOKUP($A137,APOIO!$B:$N,MATCH(D$5,APOIO!$B$5:$N$5,0),FALSE),0)</f>
        <v>0</v>
      </c>
      <c r="E137" s="38">
        <f t="shared" si="1347"/>
        <v>0</v>
      </c>
      <c r="F137" s="29">
        <f>IFERROR(VLOOKUP($A137,APOIO!$B:$N,MATCH(F$5,APOIO!$B$5:$N$5,0),FALSE),0)</f>
        <v>0</v>
      </c>
      <c r="G137" s="38">
        <f t="shared" ref="G137" si="1564">IFERROR(F137/F$19,0)</f>
        <v>0</v>
      </c>
      <c r="H137" s="30">
        <f t="shared" si="1"/>
        <v>0</v>
      </c>
      <c r="I137" s="40">
        <f t="shared" ref="I137" si="1565">IFERROR(H137/H$19,0)</f>
        <v>0</v>
      </c>
      <c r="J137" s="29">
        <f>IFERROR(VLOOKUP($A137,APOIO!$B:$N,MATCH(J$5,APOIO!$B$5:$N$5,0),FALSE),0)</f>
        <v>0</v>
      </c>
      <c r="K137" s="38">
        <f t="shared" ref="K137" si="1566">IFERROR(J137/J$19,0)</f>
        <v>0</v>
      </c>
      <c r="L137" s="29">
        <f>IFERROR(VLOOKUP($A137,APOIO!$B:$N,MATCH(L$5,APOIO!$B$5:$N$5,0),FALSE),0)</f>
        <v>0</v>
      </c>
      <c r="M137" s="38">
        <f t="shared" ref="M137" si="1567">IFERROR(L137/L$19,0)</f>
        <v>0</v>
      </c>
      <c r="N137" s="29">
        <f>IFERROR(VLOOKUP($A137,APOIO!$B:$N,MATCH(N$5,APOIO!$B$5:$N$5,0),FALSE),0)</f>
        <v>0</v>
      </c>
      <c r="O137" s="38">
        <f t="shared" ref="O137" si="1568">IFERROR(N137/N$19,0)</f>
        <v>0</v>
      </c>
      <c r="P137" s="30">
        <f t="shared" si="2"/>
        <v>0</v>
      </c>
      <c r="Q137" s="41">
        <f t="shared" ref="Q137" si="1569">IFERROR(P137/P$19,0)</f>
        <v>0</v>
      </c>
      <c r="R137" s="29">
        <f>IFERROR(VLOOKUP($A137,APOIO!$B:$N,MATCH(R$5,APOIO!$B$5:$N$5,0),FALSE),0)</f>
        <v>0</v>
      </c>
      <c r="S137" s="41">
        <f t="shared" ref="S137" si="1570">IFERROR(R137/R$19,0)</f>
        <v>0</v>
      </c>
      <c r="T137" s="29">
        <f>IFERROR(VLOOKUP($A137,APOIO!$B:$N,MATCH(T$5,APOIO!$B$5:$N$5,0),FALSE),0)</f>
        <v>0</v>
      </c>
      <c r="U137" s="41">
        <f t="shared" ref="U137" si="1571">IFERROR(T137/T$19,0)</f>
        <v>0</v>
      </c>
      <c r="V137" s="29">
        <f>IFERROR(VLOOKUP($A137,APOIO!$B:$N,MATCH(V$5,APOIO!$B$5:$N$5,0),FALSE),0)</f>
        <v>0</v>
      </c>
      <c r="W137" s="38">
        <f t="shared" ref="W137" si="1572">IFERROR(V137/V$19,0)</f>
        <v>0</v>
      </c>
      <c r="X137" s="30">
        <f t="shared" si="3"/>
        <v>0</v>
      </c>
      <c r="Y137" s="41">
        <f t="shared" ref="Y137" si="1573">IFERROR(X137/X$19,0)</f>
        <v>0</v>
      </c>
      <c r="Z137" s="29">
        <f>IFERROR(VLOOKUP($A137,APOIO!$B:$N,MATCH(Z$5,APOIO!$B$5:$N$5,0),FALSE),0)</f>
        <v>0</v>
      </c>
      <c r="AA137" s="38">
        <f t="shared" ref="AA137" si="1574">IFERROR(Z137/Z$19,0)</f>
        <v>0</v>
      </c>
      <c r="AB137" s="29">
        <f>IFERROR(VLOOKUP($A137,APOIO!$B:$N,MATCH(AB$5,APOIO!$B$5:$N$5,0),FALSE),0)</f>
        <v>0</v>
      </c>
      <c r="AC137" s="38">
        <f t="shared" ref="AC137" si="1575">IFERROR(AB137/AB$19,0)</f>
        <v>0</v>
      </c>
      <c r="AD137" s="29">
        <f>IFERROR(VLOOKUP($A137,APOIO!$B:$N,MATCH(AD$5,APOIO!$B$5:$N$5,0),FALSE),0)</f>
        <v>0</v>
      </c>
      <c r="AE137" s="38">
        <f t="shared" ref="AE137" si="1576">IFERROR(AD137/AD$19,0)</f>
        <v>0</v>
      </c>
      <c r="AF137" s="30">
        <f t="shared" si="4"/>
        <v>0</v>
      </c>
      <c r="AG137" s="41">
        <f t="shared" ref="AG137" si="1577">IFERROR(AF137/AF$19,0)</f>
        <v>0</v>
      </c>
      <c r="AH137" s="29">
        <f t="shared" si="5"/>
        <v>0</v>
      </c>
      <c r="AI137" s="41">
        <f t="shared" ref="AI137" si="1578">IFERROR(AH137/AH$19,0)</f>
        <v>0</v>
      </c>
    </row>
    <row r="138" spans="1:35" ht="15.6" hidden="1" outlineLevel="1" x14ac:dyDescent="0.3">
      <c r="A138" s="35" t="s">
        <v>206</v>
      </c>
      <c r="B138" s="29">
        <f>IFERROR(VLOOKUP($A138,APOIO!$B:$N,MATCH(B$5,APOIO!$B$5:$N$5,0),FALSE),0)</f>
        <v>-1316.99</v>
      </c>
      <c r="C138" s="38">
        <f t="shared" si="1347"/>
        <v>-8.4871569715789571E-3</v>
      </c>
      <c r="D138" s="29">
        <f>IFERROR(VLOOKUP($A138,APOIO!$B:$N,MATCH(D$5,APOIO!$B$5:$N$5,0),FALSE),0)</f>
        <v>-422.57000000000005</v>
      </c>
      <c r="E138" s="38">
        <f t="shared" si="1347"/>
        <v>-1.1575237937196563E-3</v>
      </c>
      <c r="F138" s="29">
        <f>IFERROR(VLOOKUP($A138,APOIO!$B:$N,MATCH(F$5,APOIO!$B$5:$N$5,0),FALSE),0)</f>
        <v>-233.1</v>
      </c>
      <c r="G138" s="38">
        <f t="shared" ref="G138" si="1579">IFERROR(F138/F$19,0)</f>
        <v>0</v>
      </c>
      <c r="H138" s="30">
        <f t="shared" ref="H138:H185" si="1580">SUM(B138,D138,F138)</f>
        <v>-1972.6599999999999</v>
      </c>
      <c r="I138" s="40">
        <f t="shared" ref="I138" si="1581">IFERROR(H138/H$19,0)</f>
        <v>-3.7918397500314423E-3</v>
      </c>
      <c r="J138" s="29">
        <f>IFERROR(VLOOKUP($A138,APOIO!$B:$N,MATCH(J$5,APOIO!$B$5:$N$5,0),FALSE),0)</f>
        <v>0</v>
      </c>
      <c r="K138" s="38">
        <f t="shared" ref="K138" si="1582">IFERROR(J138/J$19,0)</f>
        <v>0</v>
      </c>
      <c r="L138" s="29">
        <f>IFERROR(VLOOKUP($A138,APOIO!$B:$N,MATCH(L$5,APOIO!$B$5:$N$5,0),FALSE),0)</f>
        <v>-447.76</v>
      </c>
      <c r="M138" s="38">
        <f t="shared" ref="M138" si="1583">IFERROR(L138/L$19,0)</f>
        <v>0</v>
      </c>
      <c r="N138" s="29">
        <f>IFERROR(VLOOKUP($A138,APOIO!$B:$N,MATCH(N$5,APOIO!$B$5:$N$5,0),FALSE),0)</f>
        <v>0</v>
      </c>
      <c r="O138" s="38">
        <f t="shared" ref="O138" si="1584">IFERROR(N138/N$19,0)</f>
        <v>0</v>
      </c>
      <c r="P138" s="30">
        <f t="shared" ref="P138:P185" si="1585">SUM(J138,L138,N138)</f>
        <v>-447.76</v>
      </c>
      <c r="Q138" s="41">
        <f t="shared" ref="Q138" si="1586">IFERROR(P138/P$19,0)</f>
        <v>0</v>
      </c>
      <c r="R138" s="29">
        <f>IFERROR(VLOOKUP($A138,APOIO!$B:$N,MATCH(R$5,APOIO!$B$5:$N$5,0),FALSE),0)</f>
        <v>0</v>
      </c>
      <c r="S138" s="41">
        <f t="shared" ref="S138" si="1587">IFERROR(R138/R$19,0)</f>
        <v>0</v>
      </c>
      <c r="T138" s="29">
        <f>IFERROR(VLOOKUP($A138,APOIO!$B:$N,MATCH(T$5,APOIO!$B$5:$N$5,0),FALSE),0)</f>
        <v>0</v>
      </c>
      <c r="U138" s="41">
        <f t="shared" ref="U138" si="1588">IFERROR(T138/T$19,0)</f>
        <v>0</v>
      </c>
      <c r="V138" s="29">
        <f>IFERROR(VLOOKUP($A138,APOIO!$B:$N,MATCH(V$5,APOIO!$B$5:$N$5,0),FALSE),0)</f>
        <v>0</v>
      </c>
      <c r="W138" s="38">
        <f t="shared" ref="W138" si="1589">IFERROR(V138/V$19,0)</f>
        <v>0</v>
      </c>
      <c r="X138" s="30">
        <f t="shared" ref="X138:X185" si="1590">SUM(R138,T138,V138)</f>
        <v>0</v>
      </c>
      <c r="Y138" s="41">
        <f t="shared" ref="Y138" si="1591">IFERROR(X138/X$19,0)</f>
        <v>0</v>
      </c>
      <c r="Z138" s="29">
        <f>IFERROR(VLOOKUP($A138,APOIO!$B:$N,MATCH(Z$5,APOIO!$B$5:$N$5,0),FALSE),0)</f>
        <v>0</v>
      </c>
      <c r="AA138" s="38">
        <f t="shared" ref="AA138" si="1592">IFERROR(Z138/Z$19,0)</f>
        <v>0</v>
      </c>
      <c r="AB138" s="29">
        <f>IFERROR(VLOOKUP($A138,APOIO!$B:$N,MATCH(AB$5,APOIO!$B$5:$N$5,0),FALSE),0)</f>
        <v>0</v>
      </c>
      <c r="AC138" s="38">
        <f t="shared" ref="AC138" si="1593">IFERROR(AB138/AB$19,0)</f>
        <v>0</v>
      </c>
      <c r="AD138" s="29">
        <f>IFERROR(VLOOKUP($A138,APOIO!$B:$N,MATCH(AD$5,APOIO!$B$5:$N$5,0),FALSE),0)</f>
        <v>0</v>
      </c>
      <c r="AE138" s="38">
        <f t="shared" ref="AE138" si="1594">IFERROR(AD138/AD$19,0)</f>
        <v>0</v>
      </c>
      <c r="AF138" s="30">
        <f t="shared" ref="AF138:AF185" si="1595">SUM(Z138,AB138,AD138)</f>
        <v>0</v>
      </c>
      <c r="AG138" s="41">
        <f t="shared" ref="AG138" si="1596">IFERROR(AF138/AF$19,0)</f>
        <v>0</v>
      </c>
      <c r="AH138" s="29">
        <f t="shared" ref="AH138:AH185" si="1597">SUM(B138,D138,F138,J138,L138,N138,R138,T138,V138,Z138,AB138,AD138)</f>
        <v>-2420.42</v>
      </c>
      <c r="AI138" s="41">
        <f t="shared" ref="AI138" si="1598">IFERROR(AH138/AH$19,0)</f>
        <v>-4.6525223646097678E-3</v>
      </c>
    </row>
    <row r="139" spans="1:35" ht="15.6" hidden="1" outlineLevel="1" x14ac:dyDescent="0.3">
      <c r="A139" s="35" t="s">
        <v>207</v>
      </c>
      <c r="B139" s="29">
        <f>IFERROR(VLOOKUP($A139,APOIO!$B:$N,MATCH(B$5,APOIO!$B$5:$N$5,0),FALSE),0)</f>
        <v>0</v>
      </c>
      <c r="C139" s="38">
        <f t="shared" si="1347"/>
        <v>0</v>
      </c>
      <c r="D139" s="29">
        <f>IFERROR(VLOOKUP($A139,APOIO!$B:$N,MATCH(D$5,APOIO!$B$5:$N$5,0),FALSE),0)</f>
        <v>0</v>
      </c>
      <c r="E139" s="38">
        <f t="shared" si="1347"/>
        <v>0</v>
      </c>
      <c r="F139" s="29">
        <f>IFERROR(VLOOKUP($A139,APOIO!$B:$N,MATCH(F$5,APOIO!$B$5:$N$5,0),FALSE),0)</f>
        <v>0</v>
      </c>
      <c r="G139" s="38">
        <f t="shared" ref="G139:G141" si="1599">IFERROR(F139/F$19,0)</f>
        <v>0</v>
      </c>
      <c r="H139" s="30">
        <f t="shared" si="1580"/>
        <v>0</v>
      </c>
      <c r="I139" s="40">
        <f t="shared" ref="I139:I141" si="1600">IFERROR(H139/H$19,0)</f>
        <v>0</v>
      </c>
      <c r="J139" s="29">
        <f>IFERROR(VLOOKUP($A139,APOIO!$B:$N,MATCH(J$5,APOIO!$B$5:$N$5,0),FALSE),0)</f>
        <v>0</v>
      </c>
      <c r="K139" s="38">
        <f t="shared" ref="K139:K141" si="1601">IFERROR(J139/J$19,0)</f>
        <v>0</v>
      </c>
      <c r="L139" s="29">
        <f>IFERROR(VLOOKUP($A139,APOIO!$B:$N,MATCH(L$5,APOIO!$B$5:$N$5,0),FALSE),0)</f>
        <v>0</v>
      </c>
      <c r="M139" s="38">
        <f t="shared" ref="M139:M141" si="1602">IFERROR(L139/L$19,0)</f>
        <v>0</v>
      </c>
      <c r="N139" s="29">
        <f>IFERROR(VLOOKUP($A139,APOIO!$B:$N,MATCH(N$5,APOIO!$B$5:$N$5,0),FALSE),0)</f>
        <v>0</v>
      </c>
      <c r="O139" s="38">
        <f t="shared" ref="O139:O141" si="1603">IFERROR(N139/N$19,0)</f>
        <v>0</v>
      </c>
      <c r="P139" s="30">
        <f t="shared" si="1585"/>
        <v>0</v>
      </c>
      <c r="Q139" s="41">
        <f t="shared" ref="Q139:Q141" si="1604">IFERROR(P139/P$19,0)</f>
        <v>0</v>
      </c>
      <c r="R139" s="29">
        <f>IFERROR(VLOOKUP($A139,APOIO!$B:$N,MATCH(R$5,APOIO!$B$5:$N$5,0),FALSE),0)</f>
        <v>0</v>
      </c>
      <c r="S139" s="41">
        <f t="shared" ref="S139:S141" si="1605">IFERROR(R139/R$19,0)</f>
        <v>0</v>
      </c>
      <c r="T139" s="29">
        <f>IFERROR(VLOOKUP($A139,APOIO!$B:$N,MATCH(T$5,APOIO!$B$5:$N$5,0),FALSE),0)</f>
        <v>0</v>
      </c>
      <c r="U139" s="41">
        <f t="shared" ref="U139:U141" si="1606">IFERROR(T139/T$19,0)</f>
        <v>0</v>
      </c>
      <c r="V139" s="29">
        <f>IFERROR(VLOOKUP($A139,APOIO!$B:$N,MATCH(V$5,APOIO!$B$5:$N$5,0),FALSE),0)</f>
        <v>0</v>
      </c>
      <c r="W139" s="38">
        <f t="shared" ref="W139:W141" si="1607">IFERROR(V139/V$19,0)</f>
        <v>0</v>
      </c>
      <c r="X139" s="30">
        <f t="shared" si="1590"/>
        <v>0</v>
      </c>
      <c r="Y139" s="41">
        <f t="shared" ref="Y139:Y141" si="1608">IFERROR(X139/X$19,0)</f>
        <v>0</v>
      </c>
      <c r="Z139" s="29">
        <f>IFERROR(VLOOKUP($A139,APOIO!$B:$N,MATCH(Z$5,APOIO!$B$5:$N$5,0),FALSE),0)</f>
        <v>0</v>
      </c>
      <c r="AA139" s="38">
        <f t="shared" ref="AA139:AA141" si="1609">IFERROR(Z139/Z$19,0)</f>
        <v>0</v>
      </c>
      <c r="AB139" s="29">
        <f>IFERROR(VLOOKUP($A139,APOIO!$B:$N,MATCH(AB$5,APOIO!$B$5:$N$5,0),FALSE),0)</f>
        <v>0</v>
      </c>
      <c r="AC139" s="38">
        <f t="shared" ref="AC139:AC141" si="1610">IFERROR(AB139/AB$19,0)</f>
        <v>0</v>
      </c>
      <c r="AD139" s="29">
        <f>IFERROR(VLOOKUP($A139,APOIO!$B:$N,MATCH(AD$5,APOIO!$B$5:$N$5,0),FALSE),0)</f>
        <v>0</v>
      </c>
      <c r="AE139" s="38">
        <f t="shared" ref="AE139:AE141" si="1611">IFERROR(AD139/AD$19,0)</f>
        <v>0</v>
      </c>
      <c r="AF139" s="30">
        <f t="shared" si="1595"/>
        <v>0</v>
      </c>
      <c r="AG139" s="41">
        <f t="shared" ref="AG139:AG141" si="1612">IFERROR(AF139/AF$19,0)</f>
        <v>0</v>
      </c>
      <c r="AH139" s="29">
        <f t="shared" si="1597"/>
        <v>0</v>
      </c>
      <c r="AI139" s="41">
        <f t="shared" ref="AI139:AI141" si="1613">IFERROR(AH139/AH$19,0)</f>
        <v>0</v>
      </c>
    </row>
    <row r="140" spans="1:35" ht="15.6" hidden="1" outlineLevel="1" x14ac:dyDescent="0.3">
      <c r="A140" s="35" t="s">
        <v>208</v>
      </c>
      <c r="B140" s="29">
        <f>IFERROR(VLOOKUP($A140,APOIO!$B:$N,MATCH(B$5,APOIO!$B$5:$N$5,0),FALSE),0)</f>
        <v>0</v>
      </c>
      <c r="C140" s="38">
        <f t="shared" ref="C140:C141" si="1614">IFERROR(B140/B$19,0)</f>
        <v>0</v>
      </c>
      <c r="D140" s="29">
        <f>IFERROR(VLOOKUP($A140,APOIO!$B:$N,MATCH(D$5,APOIO!$B$5:$N$5,0),FALSE),0)</f>
        <v>-450</v>
      </c>
      <c r="E140" s="38">
        <f t="shared" ref="E140:E141" si="1615">IFERROR(D140/D$19,0)</f>
        <v>-1.2326613511935191E-3</v>
      </c>
      <c r="F140" s="29">
        <f>IFERROR(VLOOKUP($A140,APOIO!$B:$N,MATCH(F$5,APOIO!$B$5:$N$5,0),FALSE),0)</f>
        <v>0</v>
      </c>
      <c r="G140" s="38">
        <f t="shared" si="1599"/>
        <v>0</v>
      </c>
      <c r="H140" s="30">
        <f t="shared" ref="H140:H141" si="1616">SUM(B140,D140,F140)</f>
        <v>-450</v>
      </c>
      <c r="I140" s="40">
        <f t="shared" si="1600"/>
        <v>-8.6498833428677471E-4</v>
      </c>
      <c r="J140" s="29">
        <f>IFERROR(VLOOKUP($A140,APOIO!$B:$N,MATCH(J$5,APOIO!$B$5:$N$5,0),FALSE),0)</f>
        <v>0</v>
      </c>
      <c r="K140" s="38">
        <f t="shared" si="1601"/>
        <v>0</v>
      </c>
      <c r="L140" s="29">
        <f>IFERROR(VLOOKUP($A140,APOIO!$B:$N,MATCH(L$5,APOIO!$B$5:$N$5,0),FALSE),0)</f>
        <v>0</v>
      </c>
      <c r="M140" s="38">
        <f t="shared" si="1602"/>
        <v>0</v>
      </c>
      <c r="N140" s="29">
        <f>IFERROR(VLOOKUP($A140,APOIO!$B:$N,MATCH(N$5,APOIO!$B$5:$N$5,0),FALSE),0)</f>
        <v>0</v>
      </c>
      <c r="O140" s="38">
        <f t="shared" si="1603"/>
        <v>0</v>
      </c>
      <c r="P140" s="30">
        <f t="shared" ref="P140:P141" si="1617">SUM(J140,L140,N140)</f>
        <v>0</v>
      </c>
      <c r="Q140" s="41">
        <f t="shared" si="1604"/>
        <v>0</v>
      </c>
      <c r="R140" s="29">
        <f>IFERROR(VLOOKUP($A140,APOIO!$B:$N,MATCH(R$5,APOIO!$B$5:$N$5,0),FALSE),0)</f>
        <v>0</v>
      </c>
      <c r="S140" s="41">
        <f t="shared" si="1605"/>
        <v>0</v>
      </c>
      <c r="T140" s="29">
        <f>IFERROR(VLOOKUP($A140,APOIO!$B:$N,MATCH(T$5,APOIO!$B$5:$N$5,0),FALSE),0)</f>
        <v>0</v>
      </c>
      <c r="U140" s="41">
        <f t="shared" si="1606"/>
        <v>0</v>
      </c>
      <c r="V140" s="29">
        <f>IFERROR(VLOOKUP($A140,APOIO!$B:$N,MATCH(V$5,APOIO!$B$5:$N$5,0),FALSE),0)</f>
        <v>0</v>
      </c>
      <c r="W140" s="38">
        <f t="shared" si="1607"/>
        <v>0</v>
      </c>
      <c r="X140" s="30">
        <f t="shared" ref="X140:X141" si="1618">SUM(R140,T140,V140)</f>
        <v>0</v>
      </c>
      <c r="Y140" s="41">
        <f t="shared" si="1608"/>
        <v>0</v>
      </c>
      <c r="Z140" s="29">
        <f>IFERROR(VLOOKUP($A140,APOIO!$B:$N,MATCH(Z$5,APOIO!$B$5:$N$5,0),FALSE),0)</f>
        <v>0</v>
      </c>
      <c r="AA140" s="38">
        <f t="shared" si="1609"/>
        <v>0</v>
      </c>
      <c r="AB140" s="29">
        <f>IFERROR(VLOOKUP($A140,APOIO!$B:$N,MATCH(AB$5,APOIO!$B$5:$N$5,0),FALSE),0)</f>
        <v>0</v>
      </c>
      <c r="AC140" s="38">
        <f t="shared" si="1610"/>
        <v>0</v>
      </c>
      <c r="AD140" s="29">
        <f>IFERROR(VLOOKUP($A140,APOIO!$B:$N,MATCH(AD$5,APOIO!$B$5:$N$5,0),FALSE),0)</f>
        <v>0</v>
      </c>
      <c r="AE140" s="38">
        <f t="shared" si="1611"/>
        <v>0</v>
      </c>
      <c r="AF140" s="30">
        <f t="shared" ref="AF140:AF141" si="1619">SUM(Z140,AB140,AD140)</f>
        <v>0</v>
      </c>
      <c r="AG140" s="41">
        <f t="shared" si="1612"/>
        <v>0</v>
      </c>
      <c r="AH140" s="29">
        <f t="shared" ref="AH140:AH141" si="1620">SUM(B140,D140,F140,J140,L140,N140,R140,T140,V140,Z140,AB140,AD140)</f>
        <v>-450</v>
      </c>
      <c r="AI140" s="41">
        <f t="shared" si="1613"/>
        <v>-8.6498833428677471E-4</v>
      </c>
    </row>
    <row r="141" spans="1:35" ht="15.6" hidden="1" outlineLevel="1" x14ac:dyDescent="0.3">
      <c r="A141" s="35" t="s">
        <v>209</v>
      </c>
      <c r="B141" s="29">
        <f>IFERROR(VLOOKUP($A141,APOIO!$B:$N,MATCH(B$5,APOIO!$B$5:$N$5,0),FALSE),0)</f>
        <v>0</v>
      </c>
      <c r="C141" s="38">
        <f t="shared" si="1614"/>
        <v>0</v>
      </c>
      <c r="D141" s="29">
        <f>IFERROR(VLOOKUP($A141,APOIO!$B:$N,MATCH(D$5,APOIO!$B$5:$N$5,0),FALSE),0)</f>
        <v>0</v>
      </c>
      <c r="E141" s="38">
        <f t="shared" si="1615"/>
        <v>0</v>
      </c>
      <c r="F141" s="29">
        <f>IFERROR(VLOOKUP($A141,APOIO!$B:$N,MATCH(F$5,APOIO!$B$5:$N$5,0),FALSE),0)</f>
        <v>0</v>
      </c>
      <c r="G141" s="38">
        <f t="shared" si="1599"/>
        <v>0</v>
      </c>
      <c r="H141" s="30">
        <f t="shared" si="1616"/>
        <v>0</v>
      </c>
      <c r="I141" s="40">
        <f t="shared" si="1600"/>
        <v>0</v>
      </c>
      <c r="J141" s="29">
        <f>IFERROR(VLOOKUP($A141,APOIO!$B:$N,MATCH(J$5,APOIO!$B$5:$N$5,0),FALSE),0)</f>
        <v>0</v>
      </c>
      <c r="K141" s="38">
        <f t="shared" si="1601"/>
        <v>0</v>
      </c>
      <c r="L141" s="29">
        <f>IFERROR(VLOOKUP($A141,APOIO!$B:$N,MATCH(L$5,APOIO!$B$5:$N$5,0),FALSE),0)</f>
        <v>0</v>
      </c>
      <c r="M141" s="38">
        <f t="shared" si="1602"/>
        <v>0</v>
      </c>
      <c r="N141" s="29">
        <f>IFERROR(VLOOKUP($A141,APOIO!$B:$N,MATCH(N$5,APOIO!$B$5:$N$5,0),FALSE),0)</f>
        <v>0</v>
      </c>
      <c r="O141" s="38">
        <f t="shared" si="1603"/>
        <v>0</v>
      </c>
      <c r="P141" s="30">
        <f t="shared" si="1617"/>
        <v>0</v>
      </c>
      <c r="Q141" s="41">
        <f t="shared" si="1604"/>
        <v>0</v>
      </c>
      <c r="R141" s="29">
        <f>IFERROR(VLOOKUP($A141,APOIO!$B:$N,MATCH(R$5,APOIO!$B$5:$N$5,0),FALSE),0)</f>
        <v>0</v>
      </c>
      <c r="S141" s="41">
        <f t="shared" si="1605"/>
        <v>0</v>
      </c>
      <c r="T141" s="29">
        <f>IFERROR(VLOOKUP($A141,APOIO!$B:$N,MATCH(T$5,APOIO!$B$5:$N$5,0),FALSE),0)</f>
        <v>0</v>
      </c>
      <c r="U141" s="41">
        <f t="shared" si="1606"/>
        <v>0</v>
      </c>
      <c r="V141" s="29">
        <f>IFERROR(VLOOKUP($A141,APOIO!$B:$N,MATCH(V$5,APOIO!$B$5:$N$5,0),FALSE),0)</f>
        <v>0</v>
      </c>
      <c r="W141" s="38">
        <f t="shared" si="1607"/>
        <v>0</v>
      </c>
      <c r="X141" s="30">
        <f t="shared" si="1618"/>
        <v>0</v>
      </c>
      <c r="Y141" s="41">
        <f t="shared" si="1608"/>
        <v>0</v>
      </c>
      <c r="Z141" s="29">
        <f>IFERROR(VLOOKUP($A141,APOIO!$B:$N,MATCH(Z$5,APOIO!$B$5:$N$5,0),FALSE),0)</f>
        <v>0</v>
      </c>
      <c r="AA141" s="38">
        <f t="shared" si="1609"/>
        <v>0</v>
      </c>
      <c r="AB141" s="29">
        <f>IFERROR(VLOOKUP($A141,APOIO!$B:$N,MATCH(AB$5,APOIO!$B$5:$N$5,0),FALSE),0)</f>
        <v>0</v>
      </c>
      <c r="AC141" s="38">
        <f t="shared" si="1610"/>
        <v>0</v>
      </c>
      <c r="AD141" s="29">
        <f>IFERROR(VLOOKUP($A141,APOIO!$B:$N,MATCH(AD$5,APOIO!$B$5:$N$5,0),FALSE),0)</f>
        <v>0</v>
      </c>
      <c r="AE141" s="38">
        <f t="shared" si="1611"/>
        <v>0</v>
      </c>
      <c r="AF141" s="30">
        <f t="shared" si="1619"/>
        <v>0</v>
      </c>
      <c r="AG141" s="41">
        <f t="shared" si="1612"/>
        <v>0</v>
      </c>
      <c r="AH141" s="29">
        <f t="shared" si="1620"/>
        <v>0</v>
      </c>
      <c r="AI141" s="41">
        <f t="shared" si="1613"/>
        <v>0</v>
      </c>
    </row>
    <row r="142" spans="1:35" ht="15.6" hidden="1" outlineLevel="1" x14ac:dyDescent="0.3">
      <c r="A142" s="35" t="s">
        <v>210</v>
      </c>
      <c r="B142" s="29">
        <f>IFERROR(VLOOKUP($A142,APOIO!$B:$N,MATCH(B$5,APOIO!$B$5:$N$5,0),FALSE),0)</f>
        <v>0</v>
      </c>
      <c r="C142" s="38">
        <f t="shared" si="1347"/>
        <v>0</v>
      </c>
      <c r="D142" s="29">
        <f>IFERROR(VLOOKUP($A142,APOIO!$B:$N,MATCH(D$5,APOIO!$B$5:$N$5,0),FALSE),0)</f>
        <v>0</v>
      </c>
      <c r="E142" s="38">
        <f t="shared" si="1347"/>
        <v>0</v>
      </c>
      <c r="F142" s="29">
        <f>IFERROR(VLOOKUP($A142,APOIO!$B:$N,MATCH(F$5,APOIO!$B$5:$N$5,0),FALSE),0)</f>
        <v>0</v>
      </c>
      <c r="G142" s="38">
        <f t="shared" ref="G142" si="1621">IFERROR(F142/F$19,0)</f>
        <v>0</v>
      </c>
      <c r="H142" s="30">
        <f t="shared" si="1580"/>
        <v>0</v>
      </c>
      <c r="I142" s="40">
        <f t="shared" ref="I142" si="1622">IFERROR(H142/H$19,0)</f>
        <v>0</v>
      </c>
      <c r="J142" s="29">
        <f>IFERROR(VLOOKUP($A142,APOIO!$B:$N,MATCH(J$5,APOIO!$B$5:$N$5,0),FALSE),0)</f>
        <v>0</v>
      </c>
      <c r="K142" s="38">
        <f t="shared" ref="K142" si="1623">IFERROR(J142/J$19,0)</f>
        <v>0</v>
      </c>
      <c r="L142" s="29">
        <f>IFERROR(VLOOKUP($A142,APOIO!$B:$N,MATCH(L$5,APOIO!$B$5:$N$5,0),FALSE),0)</f>
        <v>0</v>
      </c>
      <c r="M142" s="38">
        <f t="shared" ref="M142" si="1624">IFERROR(L142/L$19,0)</f>
        <v>0</v>
      </c>
      <c r="N142" s="29">
        <f>IFERROR(VLOOKUP($A142,APOIO!$B:$N,MATCH(N$5,APOIO!$B$5:$N$5,0),FALSE),0)</f>
        <v>0</v>
      </c>
      <c r="O142" s="38">
        <f t="shared" ref="O142" si="1625">IFERROR(N142/N$19,0)</f>
        <v>0</v>
      </c>
      <c r="P142" s="30">
        <f t="shared" si="1585"/>
        <v>0</v>
      </c>
      <c r="Q142" s="41">
        <f t="shared" ref="Q142" si="1626">IFERROR(P142/P$19,0)</f>
        <v>0</v>
      </c>
      <c r="R142" s="29">
        <f>IFERROR(VLOOKUP($A142,APOIO!$B:$N,MATCH(R$5,APOIO!$B$5:$N$5,0),FALSE),0)</f>
        <v>0</v>
      </c>
      <c r="S142" s="41">
        <f t="shared" ref="S142" si="1627">IFERROR(R142/R$19,0)</f>
        <v>0</v>
      </c>
      <c r="T142" s="29">
        <f>IFERROR(VLOOKUP($A142,APOIO!$B:$N,MATCH(T$5,APOIO!$B$5:$N$5,0),FALSE),0)</f>
        <v>0</v>
      </c>
      <c r="U142" s="41">
        <f t="shared" ref="U142" si="1628">IFERROR(T142/T$19,0)</f>
        <v>0</v>
      </c>
      <c r="V142" s="29">
        <f>IFERROR(VLOOKUP($A142,APOIO!$B:$N,MATCH(V$5,APOIO!$B$5:$N$5,0),FALSE),0)</f>
        <v>0</v>
      </c>
      <c r="W142" s="38">
        <f t="shared" ref="W142" si="1629">IFERROR(V142/V$19,0)</f>
        <v>0</v>
      </c>
      <c r="X142" s="30">
        <f t="shared" si="1590"/>
        <v>0</v>
      </c>
      <c r="Y142" s="41">
        <f t="shared" ref="Y142" si="1630">IFERROR(X142/X$19,0)</f>
        <v>0</v>
      </c>
      <c r="Z142" s="29">
        <f>IFERROR(VLOOKUP($A142,APOIO!$B:$N,MATCH(Z$5,APOIO!$B$5:$N$5,0),FALSE),0)</f>
        <v>0</v>
      </c>
      <c r="AA142" s="38">
        <f t="shared" ref="AA142" si="1631">IFERROR(Z142/Z$19,0)</f>
        <v>0</v>
      </c>
      <c r="AB142" s="29">
        <f>IFERROR(VLOOKUP($A142,APOIO!$B:$N,MATCH(AB$5,APOIO!$B$5:$N$5,0),FALSE),0)</f>
        <v>0</v>
      </c>
      <c r="AC142" s="38">
        <f t="shared" ref="AC142" si="1632">IFERROR(AB142/AB$19,0)</f>
        <v>0</v>
      </c>
      <c r="AD142" s="29">
        <f>IFERROR(VLOOKUP($A142,APOIO!$B:$N,MATCH(AD$5,APOIO!$B$5:$N$5,0),FALSE),0)</f>
        <v>0</v>
      </c>
      <c r="AE142" s="38">
        <f t="shared" ref="AE142" si="1633">IFERROR(AD142/AD$19,0)</f>
        <v>0</v>
      </c>
      <c r="AF142" s="30">
        <f t="shared" si="1595"/>
        <v>0</v>
      </c>
      <c r="AG142" s="41">
        <f t="shared" ref="AG142" si="1634">IFERROR(AF142/AF$19,0)</f>
        <v>0</v>
      </c>
      <c r="AH142" s="29">
        <f t="shared" si="1597"/>
        <v>0</v>
      </c>
      <c r="AI142" s="41">
        <f t="shared" ref="AI142" si="1635">IFERROR(AH142/AH$19,0)</f>
        <v>0</v>
      </c>
    </row>
    <row r="143" spans="1:35" ht="15.6" hidden="1" outlineLevel="1" x14ac:dyDescent="0.3">
      <c r="A143" s="35" t="s">
        <v>211</v>
      </c>
      <c r="B143" s="29">
        <f>IFERROR(VLOOKUP($A143,APOIO!$B:$N,MATCH(B$5,APOIO!$B$5:$N$5,0),FALSE),0)</f>
        <v>0</v>
      </c>
      <c r="C143" s="38">
        <f t="shared" si="1347"/>
        <v>0</v>
      </c>
      <c r="D143" s="29">
        <f>IFERROR(VLOOKUP($A143,APOIO!$B:$N,MATCH(D$5,APOIO!$B$5:$N$5,0),FALSE),0)</f>
        <v>0</v>
      </c>
      <c r="E143" s="38">
        <f t="shared" si="1347"/>
        <v>0</v>
      </c>
      <c r="F143" s="29">
        <f>IFERROR(VLOOKUP($A143,APOIO!$B:$N,MATCH(F$5,APOIO!$B$5:$N$5,0),FALSE),0)</f>
        <v>0</v>
      </c>
      <c r="G143" s="38">
        <f t="shared" ref="G143" si="1636">IFERROR(F143/F$19,0)</f>
        <v>0</v>
      </c>
      <c r="H143" s="30">
        <f t="shared" si="1580"/>
        <v>0</v>
      </c>
      <c r="I143" s="40">
        <f t="shared" ref="I143" si="1637">IFERROR(H143/H$19,0)</f>
        <v>0</v>
      </c>
      <c r="J143" s="29">
        <f>IFERROR(VLOOKUP($A143,APOIO!$B:$N,MATCH(J$5,APOIO!$B$5:$N$5,0),FALSE),0)</f>
        <v>0</v>
      </c>
      <c r="K143" s="38">
        <f t="shared" ref="K143" si="1638">IFERROR(J143/J$19,0)</f>
        <v>0</v>
      </c>
      <c r="L143" s="29">
        <f>IFERROR(VLOOKUP($A143,APOIO!$B:$N,MATCH(L$5,APOIO!$B$5:$N$5,0),FALSE),0)</f>
        <v>0</v>
      </c>
      <c r="M143" s="38">
        <f t="shared" ref="M143" si="1639">IFERROR(L143/L$19,0)</f>
        <v>0</v>
      </c>
      <c r="N143" s="29">
        <f>IFERROR(VLOOKUP($A143,APOIO!$B:$N,MATCH(N$5,APOIO!$B$5:$N$5,0),FALSE),0)</f>
        <v>0</v>
      </c>
      <c r="O143" s="38">
        <f t="shared" ref="O143" si="1640">IFERROR(N143/N$19,0)</f>
        <v>0</v>
      </c>
      <c r="P143" s="30">
        <f t="shared" si="1585"/>
        <v>0</v>
      </c>
      <c r="Q143" s="41">
        <f t="shared" ref="Q143" si="1641">IFERROR(P143/P$19,0)</f>
        <v>0</v>
      </c>
      <c r="R143" s="29">
        <f>IFERROR(VLOOKUP($A143,APOIO!$B:$N,MATCH(R$5,APOIO!$B$5:$N$5,0),FALSE),0)</f>
        <v>0</v>
      </c>
      <c r="S143" s="41">
        <f t="shared" ref="S143" si="1642">IFERROR(R143/R$19,0)</f>
        <v>0</v>
      </c>
      <c r="T143" s="29">
        <f>IFERROR(VLOOKUP($A143,APOIO!$B:$N,MATCH(T$5,APOIO!$B$5:$N$5,0),FALSE),0)</f>
        <v>0</v>
      </c>
      <c r="U143" s="41">
        <f t="shared" ref="U143" si="1643">IFERROR(T143/T$19,0)</f>
        <v>0</v>
      </c>
      <c r="V143" s="29">
        <f>IFERROR(VLOOKUP($A143,APOIO!$B:$N,MATCH(V$5,APOIO!$B$5:$N$5,0),FALSE),0)</f>
        <v>0</v>
      </c>
      <c r="W143" s="38">
        <f t="shared" ref="W143" si="1644">IFERROR(V143/V$19,0)</f>
        <v>0</v>
      </c>
      <c r="X143" s="30">
        <f t="shared" si="1590"/>
        <v>0</v>
      </c>
      <c r="Y143" s="41">
        <f t="shared" ref="Y143" si="1645">IFERROR(X143/X$19,0)</f>
        <v>0</v>
      </c>
      <c r="Z143" s="29">
        <f>IFERROR(VLOOKUP($A143,APOIO!$B:$N,MATCH(Z$5,APOIO!$B$5:$N$5,0),FALSE),0)</f>
        <v>0</v>
      </c>
      <c r="AA143" s="38">
        <f t="shared" ref="AA143" si="1646">IFERROR(Z143/Z$19,0)</f>
        <v>0</v>
      </c>
      <c r="AB143" s="29">
        <f>IFERROR(VLOOKUP($A143,APOIO!$B:$N,MATCH(AB$5,APOIO!$B$5:$N$5,0),FALSE),0)</f>
        <v>0</v>
      </c>
      <c r="AC143" s="38">
        <f t="shared" ref="AC143" si="1647">IFERROR(AB143/AB$19,0)</f>
        <v>0</v>
      </c>
      <c r="AD143" s="29">
        <f>IFERROR(VLOOKUP($A143,APOIO!$B:$N,MATCH(AD$5,APOIO!$B$5:$N$5,0),FALSE),0)</f>
        <v>0</v>
      </c>
      <c r="AE143" s="38">
        <f t="shared" ref="AE143" si="1648">IFERROR(AD143/AD$19,0)</f>
        <v>0</v>
      </c>
      <c r="AF143" s="30">
        <f t="shared" si="1595"/>
        <v>0</v>
      </c>
      <c r="AG143" s="41">
        <f t="shared" ref="AG143" si="1649">IFERROR(AF143/AF$19,0)</f>
        <v>0</v>
      </c>
      <c r="AH143" s="29">
        <f t="shared" si="1597"/>
        <v>0</v>
      </c>
      <c r="AI143" s="41">
        <f t="shared" ref="AI143" si="1650">IFERROR(AH143/AH$19,0)</f>
        <v>0</v>
      </c>
    </row>
    <row r="144" spans="1:35" ht="15.6" hidden="1" outlineLevel="1" x14ac:dyDescent="0.3">
      <c r="A144" s="35" t="s">
        <v>7</v>
      </c>
      <c r="B144" s="29">
        <f>IFERROR(VLOOKUP($A144,APOIO!$B:$N,MATCH(B$5,APOIO!$B$5:$N$5,0),FALSE),0)</f>
        <v>0</v>
      </c>
      <c r="C144" s="38">
        <f t="shared" si="1347"/>
        <v>0</v>
      </c>
      <c r="D144" s="29">
        <f>IFERROR(VLOOKUP($A144,APOIO!$B:$N,MATCH(D$5,APOIO!$B$5:$N$5,0),FALSE),0)</f>
        <v>0</v>
      </c>
      <c r="E144" s="38">
        <f t="shared" si="1347"/>
        <v>0</v>
      </c>
      <c r="F144" s="29">
        <f>IFERROR(VLOOKUP($A144,APOIO!$B:$N,MATCH(F$5,APOIO!$B$5:$N$5,0),FALSE),0)</f>
        <v>0</v>
      </c>
      <c r="G144" s="38">
        <f t="shared" ref="G144" si="1651">IFERROR(F144/F$19,0)</f>
        <v>0</v>
      </c>
      <c r="H144" s="30">
        <f t="shared" si="1580"/>
        <v>0</v>
      </c>
      <c r="I144" s="40">
        <f t="shared" ref="I144" si="1652">IFERROR(H144/H$19,0)</f>
        <v>0</v>
      </c>
      <c r="J144" s="29">
        <f>IFERROR(VLOOKUP($A144,APOIO!$B:$N,MATCH(J$5,APOIO!$B$5:$N$5,0),FALSE),0)</f>
        <v>0</v>
      </c>
      <c r="K144" s="38">
        <f t="shared" ref="K144" si="1653">IFERROR(J144/J$19,0)</f>
        <v>0</v>
      </c>
      <c r="L144" s="29">
        <f>IFERROR(VLOOKUP($A144,APOIO!$B:$N,MATCH(L$5,APOIO!$B$5:$N$5,0),FALSE),0)</f>
        <v>0</v>
      </c>
      <c r="M144" s="38">
        <f t="shared" ref="M144" si="1654">IFERROR(L144/L$19,0)</f>
        <v>0</v>
      </c>
      <c r="N144" s="29">
        <f>IFERROR(VLOOKUP($A144,APOIO!$B:$N,MATCH(N$5,APOIO!$B$5:$N$5,0),FALSE),0)</f>
        <v>0</v>
      </c>
      <c r="O144" s="38">
        <f t="shared" ref="O144" si="1655">IFERROR(N144/N$19,0)</f>
        <v>0</v>
      </c>
      <c r="P144" s="30">
        <f t="shared" si="1585"/>
        <v>0</v>
      </c>
      <c r="Q144" s="41">
        <f t="shared" ref="Q144" si="1656">IFERROR(P144/P$19,0)</f>
        <v>0</v>
      </c>
      <c r="R144" s="29">
        <f>IFERROR(VLOOKUP($A144,APOIO!$B:$N,MATCH(R$5,APOIO!$B$5:$N$5,0),FALSE),0)</f>
        <v>0</v>
      </c>
      <c r="S144" s="41">
        <f t="shared" ref="S144" si="1657">IFERROR(R144/R$19,0)</f>
        <v>0</v>
      </c>
      <c r="T144" s="29">
        <f>IFERROR(VLOOKUP($A144,APOIO!$B:$N,MATCH(T$5,APOIO!$B$5:$N$5,0),FALSE),0)</f>
        <v>0</v>
      </c>
      <c r="U144" s="41">
        <f t="shared" ref="U144" si="1658">IFERROR(T144/T$19,0)</f>
        <v>0</v>
      </c>
      <c r="V144" s="29">
        <f>IFERROR(VLOOKUP($A144,APOIO!$B:$N,MATCH(V$5,APOIO!$B$5:$N$5,0),FALSE),0)</f>
        <v>0</v>
      </c>
      <c r="W144" s="38">
        <f t="shared" ref="W144" si="1659">IFERROR(V144/V$19,0)</f>
        <v>0</v>
      </c>
      <c r="X144" s="30">
        <f t="shared" si="1590"/>
        <v>0</v>
      </c>
      <c r="Y144" s="41">
        <f t="shared" ref="Y144" si="1660">IFERROR(X144/X$19,0)</f>
        <v>0</v>
      </c>
      <c r="Z144" s="29">
        <f>IFERROR(VLOOKUP($A144,APOIO!$B:$N,MATCH(Z$5,APOIO!$B$5:$N$5,0),FALSE),0)</f>
        <v>0</v>
      </c>
      <c r="AA144" s="38">
        <f t="shared" ref="AA144" si="1661">IFERROR(Z144/Z$19,0)</f>
        <v>0</v>
      </c>
      <c r="AB144" s="29">
        <f>IFERROR(VLOOKUP($A144,APOIO!$B:$N,MATCH(AB$5,APOIO!$B$5:$N$5,0),FALSE),0)</f>
        <v>0</v>
      </c>
      <c r="AC144" s="38">
        <f t="shared" ref="AC144" si="1662">IFERROR(AB144/AB$19,0)</f>
        <v>0</v>
      </c>
      <c r="AD144" s="29">
        <f>IFERROR(VLOOKUP($A144,APOIO!$B:$N,MATCH(AD$5,APOIO!$B$5:$N$5,0),FALSE),0)</f>
        <v>0</v>
      </c>
      <c r="AE144" s="38">
        <f t="shared" ref="AE144" si="1663">IFERROR(AD144/AD$19,0)</f>
        <v>0</v>
      </c>
      <c r="AF144" s="30">
        <f t="shared" si="1595"/>
        <v>0</v>
      </c>
      <c r="AG144" s="41">
        <f t="shared" ref="AG144" si="1664">IFERROR(AF144/AF$19,0)</f>
        <v>0</v>
      </c>
      <c r="AH144" s="29">
        <f t="shared" si="1597"/>
        <v>0</v>
      </c>
      <c r="AI144" s="41">
        <f t="shared" ref="AI144" si="1665">IFERROR(AH144/AH$19,0)</f>
        <v>0</v>
      </c>
    </row>
    <row r="145" spans="1:35" ht="15.6" hidden="1" outlineLevel="1" x14ac:dyDescent="0.3">
      <c r="A145" s="35" t="s">
        <v>212</v>
      </c>
      <c r="B145" s="29">
        <f>IFERROR(VLOOKUP($A145,APOIO!$B:$N,MATCH(B$5,APOIO!$B$5:$N$5,0),FALSE),0)</f>
        <v>0</v>
      </c>
      <c r="C145" s="38">
        <f t="shared" si="1347"/>
        <v>0</v>
      </c>
      <c r="D145" s="29">
        <f>IFERROR(VLOOKUP($A145,APOIO!$B:$N,MATCH(D$5,APOIO!$B$5:$N$5,0),FALSE),0)</f>
        <v>0</v>
      </c>
      <c r="E145" s="38">
        <f t="shared" si="1347"/>
        <v>0</v>
      </c>
      <c r="F145" s="29">
        <f>IFERROR(VLOOKUP($A145,APOIO!$B:$N,MATCH(F$5,APOIO!$B$5:$N$5,0),FALSE),0)</f>
        <v>0</v>
      </c>
      <c r="G145" s="38">
        <f t="shared" ref="G145" si="1666">IFERROR(F145/F$19,0)</f>
        <v>0</v>
      </c>
      <c r="H145" s="30">
        <f t="shared" si="1580"/>
        <v>0</v>
      </c>
      <c r="I145" s="40">
        <f t="shared" ref="I145" si="1667">IFERROR(H145/H$19,0)</f>
        <v>0</v>
      </c>
      <c r="J145" s="29">
        <f>IFERROR(VLOOKUP($A145,APOIO!$B:$N,MATCH(J$5,APOIO!$B$5:$N$5,0),FALSE),0)</f>
        <v>-2.3220000000000001</v>
      </c>
      <c r="K145" s="38">
        <f t="shared" ref="K145" si="1668">IFERROR(J145/J$19,0)</f>
        <v>0</v>
      </c>
      <c r="L145" s="29">
        <f>IFERROR(VLOOKUP($A145,APOIO!$B:$N,MATCH(L$5,APOIO!$B$5:$N$5,0),FALSE),0)</f>
        <v>0</v>
      </c>
      <c r="M145" s="38">
        <f t="shared" ref="M145" si="1669">IFERROR(L145/L$19,0)</f>
        <v>0</v>
      </c>
      <c r="N145" s="29">
        <f>IFERROR(VLOOKUP($A145,APOIO!$B:$N,MATCH(N$5,APOIO!$B$5:$N$5,0),FALSE),0)</f>
        <v>0</v>
      </c>
      <c r="O145" s="38">
        <f t="shared" ref="O145" si="1670">IFERROR(N145/N$19,0)</f>
        <v>0</v>
      </c>
      <c r="P145" s="30">
        <f t="shared" si="1585"/>
        <v>-2.3220000000000001</v>
      </c>
      <c r="Q145" s="41">
        <f t="shared" ref="Q145" si="1671">IFERROR(P145/P$19,0)</f>
        <v>0</v>
      </c>
      <c r="R145" s="29">
        <f>IFERROR(VLOOKUP($A145,APOIO!$B:$N,MATCH(R$5,APOIO!$B$5:$N$5,0),FALSE),0)</f>
        <v>0</v>
      </c>
      <c r="S145" s="41">
        <f t="shared" ref="S145" si="1672">IFERROR(R145/R$19,0)</f>
        <v>0</v>
      </c>
      <c r="T145" s="29">
        <f>IFERROR(VLOOKUP($A145,APOIO!$B:$N,MATCH(T$5,APOIO!$B$5:$N$5,0),FALSE),0)</f>
        <v>0</v>
      </c>
      <c r="U145" s="41">
        <f t="shared" ref="U145" si="1673">IFERROR(T145/T$19,0)</f>
        <v>0</v>
      </c>
      <c r="V145" s="29">
        <f>IFERROR(VLOOKUP($A145,APOIO!$B:$N,MATCH(V$5,APOIO!$B$5:$N$5,0),FALSE),0)</f>
        <v>0</v>
      </c>
      <c r="W145" s="38">
        <f t="shared" ref="W145" si="1674">IFERROR(V145/V$19,0)</f>
        <v>0</v>
      </c>
      <c r="X145" s="30">
        <f t="shared" si="1590"/>
        <v>0</v>
      </c>
      <c r="Y145" s="41">
        <f t="shared" ref="Y145" si="1675">IFERROR(X145/X$19,0)</f>
        <v>0</v>
      </c>
      <c r="Z145" s="29">
        <f>IFERROR(VLOOKUP($A145,APOIO!$B:$N,MATCH(Z$5,APOIO!$B$5:$N$5,0),FALSE),0)</f>
        <v>0</v>
      </c>
      <c r="AA145" s="38">
        <f t="shared" ref="AA145" si="1676">IFERROR(Z145/Z$19,0)</f>
        <v>0</v>
      </c>
      <c r="AB145" s="29">
        <f>IFERROR(VLOOKUP($A145,APOIO!$B:$N,MATCH(AB$5,APOIO!$B$5:$N$5,0),FALSE),0)</f>
        <v>0</v>
      </c>
      <c r="AC145" s="38">
        <f t="shared" ref="AC145" si="1677">IFERROR(AB145/AB$19,0)</f>
        <v>0</v>
      </c>
      <c r="AD145" s="29">
        <f>IFERROR(VLOOKUP($A145,APOIO!$B:$N,MATCH(AD$5,APOIO!$B$5:$N$5,0),FALSE),0)</f>
        <v>0</v>
      </c>
      <c r="AE145" s="38">
        <f t="shared" ref="AE145" si="1678">IFERROR(AD145/AD$19,0)</f>
        <v>0</v>
      </c>
      <c r="AF145" s="30">
        <f t="shared" si="1595"/>
        <v>0</v>
      </c>
      <c r="AG145" s="41">
        <f t="shared" ref="AG145" si="1679">IFERROR(AF145/AF$19,0)</f>
        <v>0</v>
      </c>
      <c r="AH145" s="29">
        <f t="shared" si="1597"/>
        <v>-2.3220000000000001</v>
      </c>
      <c r="AI145" s="41">
        <f t="shared" ref="AI145" si="1680">IFERROR(AH145/AH$19,0)</f>
        <v>-4.4633398049197576E-6</v>
      </c>
    </row>
    <row r="146" spans="1:35" ht="15.6" hidden="1" outlineLevel="1" x14ac:dyDescent="0.3">
      <c r="A146" s="35" t="s">
        <v>213</v>
      </c>
      <c r="B146" s="29">
        <f>IFERROR(VLOOKUP($A146,APOIO!$B:$N,MATCH(B$5,APOIO!$B$5:$N$5,0),FALSE),0)</f>
        <v>0</v>
      </c>
      <c r="C146" s="38">
        <f t="shared" si="1347"/>
        <v>0</v>
      </c>
      <c r="D146" s="29">
        <f>IFERROR(VLOOKUP($A146,APOIO!$B:$N,MATCH(D$5,APOIO!$B$5:$N$5,0),FALSE),0)</f>
        <v>0</v>
      </c>
      <c r="E146" s="38">
        <f t="shared" si="1347"/>
        <v>0</v>
      </c>
      <c r="F146" s="29">
        <f>IFERROR(VLOOKUP($A146,APOIO!$B:$N,MATCH(F$5,APOIO!$B$5:$N$5,0),FALSE),0)</f>
        <v>0</v>
      </c>
      <c r="G146" s="38">
        <f t="shared" ref="G146" si="1681">IFERROR(F146/F$19,0)</f>
        <v>0</v>
      </c>
      <c r="H146" s="30">
        <f t="shared" ref="H146:H147" si="1682">SUM(B146,D146,F146)</f>
        <v>0</v>
      </c>
      <c r="I146" s="40">
        <f t="shared" ref="I146" si="1683">IFERROR(H146/H$19,0)</f>
        <v>0</v>
      </c>
      <c r="J146" s="29">
        <f>IFERROR(VLOOKUP($A146,APOIO!$B:$N,MATCH(J$5,APOIO!$B$5:$N$5,0),FALSE),0)</f>
        <v>0</v>
      </c>
      <c r="K146" s="38">
        <f t="shared" ref="K146" si="1684">IFERROR(J146/J$19,0)</f>
        <v>0</v>
      </c>
      <c r="L146" s="29">
        <f>IFERROR(VLOOKUP($A146,APOIO!$B:$N,MATCH(L$5,APOIO!$B$5:$N$5,0),FALSE),0)</f>
        <v>0</v>
      </c>
      <c r="M146" s="38">
        <f t="shared" ref="M146" si="1685">IFERROR(L146/L$19,0)</f>
        <v>0</v>
      </c>
      <c r="N146" s="29">
        <f>IFERROR(VLOOKUP($A146,APOIO!$B:$N,MATCH(N$5,APOIO!$B$5:$N$5,0),FALSE),0)</f>
        <v>0</v>
      </c>
      <c r="O146" s="38">
        <f t="shared" ref="O146" si="1686">IFERROR(N146/N$19,0)</f>
        <v>0</v>
      </c>
      <c r="P146" s="30">
        <f t="shared" ref="P146:P147" si="1687">SUM(J146,L146,N146)</f>
        <v>0</v>
      </c>
      <c r="Q146" s="41">
        <f t="shared" ref="Q146" si="1688">IFERROR(P146/P$19,0)</f>
        <v>0</v>
      </c>
      <c r="R146" s="29">
        <f>IFERROR(VLOOKUP($A146,APOIO!$B:$N,MATCH(R$5,APOIO!$B$5:$N$5,0),FALSE),0)</f>
        <v>0</v>
      </c>
      <c r="S146" s="41">
        <f t="shared" ref="S146" si="1689">IFERROR(R146/R$19,0)</f>
        <v>0</v>
      </c>
      <c r="T146" s="29">
        <f>IFERROR(VLOOKUP($A146,APOIO!$B:$N,MATCH(T$5,APOIO!$B$5:$N$5,0),FALSE),0)</f>
        <v>0</v>
      </c>
      <c r="U146" s="41">
        <f t="shared" ref="U146" si="1690">IFERROR(T146/T$19,0)</f>
        <v>0</v>
      </c>
      <c r="V146" s="29">
        <f>IFERROR(VLOOKUP($A146,APOIO!$B:$N,MATCH(V$5,APOIO!$B$5:$N$5,0),FALSE),0)</f>
        <v>0</v>
      </c>
      <c r="W146" s="38">
        <f t="shared" ref="W146" si="1691">IFERROR(V146/V$19,0)</f>
        <v>0</v>
      </c>
      <c r="X146" s="30">
        <f t="shared" ref="X146:X147" si="1692">SUM(R146,T146,V146)</f>
        <v>0</v>
      </c>
      <c r="Y146" s="41">
        <f t="shared" ref="Y146" si="1693">IFERROR(X146/X$19,0)</f>
        <v>0</v>
      </c>
      <c r="Z146" s="29">
        <f>IFERROR(VLOOKUP($A146,APOIO!$B:$N,MATCH(Z$5,APOIO!$B$5:$N$5,0),FALSE),0)</f>
        <v>0</v>
      </c>
      <c r="AA146" s="38">
        <f t="shared" ref="AA146" si="1694">IFERROR(Z146/Z$19,0)</f>
        <v>0</v>
      </c>
      <c r="AB146" s="29">
        <f>IFERROR(VLOOKUP($A146,APOIO!$B:$N,MATCH(AB$5,APOIO!$B$5:$N$5,0),FALSE),0)</f>
        <v>0</v>
      </c>
      <c r="AC146" s="38">
        <f t="shared" ref="AC146" si="1695">IFERROR(AB146/AB$19,0)</f>
        <v>0</v>
      </c>
      <c r="AD146" s="29">
        <f>IFERROR(VLOOKUP($A146,APOIO!$B:$N,MATCH(AD$5,APOIO!$B$5:$N$5,0),FALSE),0)</f>
        <v>0</v>
      </c>
      <c r="AE146" s="38">
        <f t="shared" ref="AE146" si="1696">IFERROR(AD146/AD$19,0)</f>
        <v>0</v>
      </c>
      <c r="AF146" s="30">
        <f t="shared" ref="AF146:AF147" si="1697">SUM(Z146,AB146,AD146)</f>
        <v>0</v>
      </c>
      <c r="AG146" s="41">
        <f t="shared" ref="AG146" si="1698">IFERROR(AF146/AF$19,0)</f>
        <v>0</v>
      </c>
      <c r="AH146" s="29">
        <f t="shared" ref="AH146:AH147" si="1699">SUM(B146,D146,F146,J146,L146,N146,R146,T146,V146,Z146,AB146,AD146)</f>
        <v>0</v>
      </c>
      <c r="AI146" s="41">
        <f t="shared" ref="AI146" si="1700">IFERROR(AH146/AH$19,0)</f>
        <v>0</v>
      </c>
    </row>
    <row r="147" spans="1:35" ht="15.6" hidden="1" outlineLevel="1" x14ac:dyDescent="0.3">
      <c r="A147" s="35"/>
      <c r="B147" s="29">
        <f>IFERROR(VLOOKUP($A147,APOIO!$B:$N,MATCH(B$5,APOIO!$B$5:$N$5,0),FALSE),0)</f>
        <v>0</v>
      </c>
      <c r="C147" s="38">
        <f t="shared" si="1347"/>
        <v>0</v>
      </c>
      <c r="D147" s="29">
        <f>IFERROR(VLOOKUP($A147,APOIO!$B:$N,MATCH(D$5,APOIO!$B$5:$N$5,0),FALSE),0)</f>
        <v>0</v>
      </c>
      <c r="E147" s="38">
        <f t="shared" si="1347"/>
        <v>0</v>
      </c>
      <c r="F147" s="29">
        <f>IFERROR(VLOOKUP($A147,APOIO!$B:$N,MATCH(F$5,APOIO!$B$5:$N$5,0),FALSE),0)</f>
        <v>0</v>
      </c>
      <c r="G147" s="38">
        <f t="shared" ref="G147" si="1701">IFERROR(F147/F$19,0)</f>
        <v>0</v>
      </c>
      <c r="H147" s="30">
        <f t="shared" si="1682"/>
        <v>0</v>
      </c>
      <c r="I147" s="40">
        <f t="shared" ref="I147" si="1702">IFERROR(H147/H$19,0)</f>
        <v>0</v>
      </c>
      <c r="J147" s="29">
        <f>IFERROR(VLOOKUP($A147,APOIO!$B:$N,MATCH(J$5,APOIO!$B$5:$N$5,0),FALSE),0)</f>
        <v>0</v>
      </c>
      <c r="K147" s="38">
        <f t="shared" ref="K147" si="1703">IFERROR(J147/J$19,0)</f>
        <v>0</v>
      </c>
      <c r="L147" s="29">
        <f>IFERROR(VLOOKUP($A147,APOIO!$B:$N,MATCH(L$5,APOIO!$B$5:$N$5,0),FALSE),0)</f>
        <v>0</v>
      </c>
      <c r="M147" s="38">
        <f t="shared" ref="M147" si="1704">IFERROR(L147/L$19,0)</f>
        <v>0</v>
      </c>
      <c r="N147" s="29">
        <f>IFERROR(VLOOKUP($A147,APOIO!$B:$N,MATCH(N$5,APOIO!$B$5:$N$5,0),FALSE),0)</f>
        <v>0</v>
      </c>
      <c r="O147" s="38">
        <f t="shared" ref="O147" si="1705">IFERROR(N147/N$19,0)</f>
        <v>0</v>
      </c>
      <c r="P147" s="30">
        <f t="shared" si="1687"/>
        <v>0</v>
      </c>
      <c r="Q147" s="41">
        <f t="shared" ref="Q147" si="1706">IFERROR(P147/P$19,0)</f>
        <v>0</v>
      </c>
      <c r="R147" s="29">
        <f>IFERROR(VLOOKUP($A147,APOIO!$B:$N,MATCH(R$5,APOIO!$B$5:$N$5,0),FALSE),0)</f>
        <v>0</v>
      </c>
      <c r="S147" s="41">
        <f t="shared" ref="S147" si="1707">IFERROR(R147/R$19,0)</f>
        <v>0</v>
      </c>
      <c r="T147" s="29">
        <f>IFERROR(VLOOKUP($A147,APOIO!$B:$N,MATCH(T$5,APOIO!$B$5:$N$5,0),FALSE),0)</f>
        <v>0</v>
      </c>
      <c r="U147" s="41">
        <f t="shared" ref="U147" si="1708">IFERROR(T147/T$19,0)</f>
        <v>0</v>
      </c>
      <c r="V147" s="29">
        <f>IFERROR(VLOOKUP($A147,APOIO!$B:$N,MATCH(V$5,APOIO!$B$5:$N$5,0),FALSE),0)</f>
        <v>0</v>
      </c>
      <c r="W147" s="38">
        <f t="shared" ref="W147" si="1709">IFERROR(V147/V$19,0)</f>
        <v>0</v>
      </c>
      <c r="X147" s="30">
        <f t="shared" si="1692"/>
        <v>0</v>
      </c>
      <c r="Y147" s="41">
        <f t="shared" ref="Y147" si="1710">IFERROR(X147/X$19,0)</f>
        <v>0</v>
      </c>
      <c r="Z147" s="29">
        <f>IFERROR(VLOOKUP($A147,APOIO!$B:$N,MATCH(Z$5,APOIO!$B$5:$N$5,0),FALSE),0)</f>
        <v>0</v>
      </c>
      <c r="AA147" s="38">
        <f t="shared" ref="AA147" si="1711">IFERROR(Z147/Z$19,0)</f>
        <v>0</v>
      </c>
      <c r="AB147" s="29">
        <f>IFERROR(VLOOKUP($A147,APOIO!$B:$N,MATCH(AB$5,APOIO!$B$5:$N$5,0),FALSE),0)</f>
        <v>0</v>
      </c>
      <c r="AC147" s="38">
        <f t="shared" ref="AC147" si="1712">IFERROR(AB147/AB$19,0)</f>
        <v>0</v>
      </c>
      <c r="AD147" s="29">
        <f>IFERROR(VLOOKUP($A147,APOIO!$B:$N,MATCH(AD$5,APOIO!$B$5:$N$5,0),FALSE),0)</f>
        <v>0</v>
      </c>
      <c r="AE147" s="38">
        <f t="shared" ref="AE147" si="1713">IFERROR(AD147/AD$19,0)</f>
        <v>0</v>
      </c>
      <c r="AF147" s="30">
        <f t="shared" si="1697"/>
        <v>0</v>
      </c>
      <c r="AG147" s="41">
        <f t="shared" ref="AG147" si="1714">IFERROR(AF147/AF$19,0)</f>
        <v>0</v>
      </c>
      <c r="AH147" s="29">
        <f t="shared" si="1699"/>
        <v>0</v>
      </c>
      <c r="AI147" s="41">
        <f t="shared" ref="AI147" si="1715">IFERROR(AH147/AH$19,0)</f>
        <v>0</v>
      </c>
    </row>
    <row r="148" spans="1:35" ht="15.6" collapsed="1" x14ac:dyDescent="0.3">
      <c r="A148" s="50" t="s">
        <v>71</v>
      </c>
      <c r="B148" s="51">
        <f>SUM(B34:B35)</f>
        <v>-110465.96999999994</v>
      </c>
      <c r="C148" s="47">
        <f t="shared" si="1347"/>
        <v>-0.71188241931049701</v>
      </c>
      <c r="D148" s="51">
        <f>SUM(D34:D35)</f>
        <v>152292.711346</v>
      </c>
      <c r="E148" s="47">
        <f t="shared" si="1347"/>
        <v>0.41716742076596647</v>
      </c>
      <c r="F148" s="51">
        <f>SUM(F34:F35)</f>
        <v>-86865.256095999997</v>
      </c>
      <c r="G148" s="47">
        <f t="shared" ref="G148" si="1716">IFERROR(F148/F$19,0)</f>
        <v>0</v>
      </c>
      <c r="H148" s="51">
        <f t="shared" si="1580"/>
        <v>-45038.514749999944</v>
      </c>
      <c r="I148" s="47">
        <f t="shared" ref="I148" si="1717">IFERROR(H148/H$19,0)</f>
        <v>-8.6572866338561746E-2</v>
      </c>
      <c r="J148" s="51">
        <f>SUM(J34:J35)</f>
        <v>-65470.008964999994</v>
      </c>
      <c r="K148" s="47">
        <f t="shared" ref="K148" si="1718">IFERROR(J148/J$19,0)</f>
        <v>0</v>
      </c>
      <c r="L148" s="51">
        <f>SUM(L34:L35)</f>
        <v>-74954.096102915137</v>
      </c>
      <c r="M148" s="47">
        <f t="shared" ref="M148" si="1719">IFERROR(L148/L$19,0)</f>
        <v>0</v>
      </c>
      <c r="N148" s="51">
        <f>SUM(N34:N35)</f>
        <v>0</v>
      </c>
      <c r="O148" s="47">
        <f t="shared" ref="O148" si="1720">IFERROR(N148/N$19,0)</f>
        <v>0</v>
      </c>
      <c r="P148" s="51">
        <f t="shared" si="1585"/>
        <v>-140424.10506791514</v>
      </c>
      <c r="Q148" s="48">
        <f t="shared" ref="Q148" si="1721">IFERROR(P148/P$19,0)</f>
        <v>0</v>
      </c>
      <c r="R148" s="51">
        <f>SUM(R34:R35)</f>
        <v>0</v>
      </c>
      <c r="S148" s="48">
        <f t="shared" ref="S148" si="1722">IFERROR(R148/R$19,0)</f>
        <v>0</v>
      </c>
      <c r="T148" s="51">
        <f>SUM(T34:T35)</f>
        <v>0</v>
      </c>
      <c r="U148" s="48">
        <f t="shared" ref="U148" si="1723">IFERROR(T148/T$19,0)</f>
        <v>0</v>
      </c>
      <c r="V148" s="51">
        <f>SUM(V34:V35)</f>
        <v>0</v>
      </c>
      <c r="W148" s="47">
        <f t="shared" ref="W148" si="1724">IFERROR(V148/V$19,0)</f>
        <v>0</v>
      </c>
      <c r="X148" s="51">
        <f t="shared" si="1590"/>
        <v>0</v>
      </c>
      <c r="Y148" s="48">
        <f t="shared" ref="Y148" si="1725">IFERROR(X148/X$19,0)</f>
        <v>0</v>
      </c>
      <c r="Z148" s="51">
        <f>SUM(Z34:Z35)</f>
        <v>0</v>
      </c>
      <c r="AA148" s="47">
        <f t="shared" ref="AA148" si="1726">IFERROR(Z148/Z$19,0)</f>
        <v>0</v>
      </c>
      <c r="AB148" s="51">
        <f>SUM(AB34:AB35)</f>
        <v>0</v>
      </c>
      <c r="AC148" s="47">
        <f t="shared" ref="AC148" si="1727">IFERROR(AB148/AB$19,0)</f>
        <v>0</v>
      </c>
      <c r="AD148" s="51">
        <f>SUM(AD34:AD35)</f>
        <v>0</v>
      </c>
      <c r="AE148" s="47">
        <f t="shared" ref="AE148" si="1728">IFERROR(AD148/AD$19,0)</f>
        <v>0</v>
      </c>
      <c r="AF148" s="51">
        <f t="shared" si="1595"/>
        <v>0</v>
      </c>
      <c r="AG148" s="48">
        <f t="shared" ref="AG148" si="1729">IFERROR(AF148/AF$19,0)</f>
        <v>0</v>
      </c>
      <c r="AH148" s="51">
        <f t="shared" si="1597"/>
        <v>-185462.61981791508</v>
      </c>
      <c r="AI148" s="48">
        <f t="shared" ref="AI148" si="1730">IFERROR(AH148/AH$19,0)</f>
        <v>-0.35649556130835502</v>
      </c>
    </row>
    <row r="149" spans="1:35" ht="16.2" thickBot="1" x14ac:dyDescent="0.35">
      <c r="A149" s="60" t="s">
        <v>35</v>
      </c>
      <c r="B149" s="43">
        <f>IFERROR(VLOOKUP($A149,APOIO!$B:$N,MATCH(B$5,APOIO!$B$5:$N$5,0),FALSE),0)</f>
        <v>0</v>
      </c>
      <c r="C149" s="40">
        <f t="shared" si="1347"/>
        <v>0</v>
      </c>
      <c r="D149" s="43">
        <f>IFERROR(VLOOKUP($A149,APOIO!$B:$N,MATCH(D$5,APOIO!$B$5:$N$5,0),FALSE),0)</f>
        <v>0</v>
      </c>
      <c r="E149" s="40">
        <f t="shared" si="1347"/>
        <v>0</v>
      </c>
      <c r="F149" s="43">
        <f>IFERROR(VLOOKUP($A149,APOIO!$B:$N,MATCH(F$5,APOIO!$B$5:$N$5,0),FALSE),0)</f>
        <v>0</v>
      </c>
      <c r="G149" s="40">
        <f t="shared" ref="G149" si="1731">IFERROR(F149/F$19,0)</f>
        <v>0</v>
      </c>
      <c r="H149" s="43">
        <f t="shared" si="1580"/>
        <v>0</v>
      </c>
      <c r="I149" s="40">
        <f t="shared" ref="I149" si="1732">IFERROR(H149/H$19,0)</f>
        <v>0</v>
      </c>
      <c r="J149" s="43">
        <f>IFERROR(VLOOKUP($A149,APOIO!$B:$N,MATCH(J$5,APOIO!$B$5:$N$5,0),FALSE),0)</f>
        <v>0</v>
      </c>
      <c r="K149" s="40">
        <f t="shared" ref="K149" si="1733">IFERROR(J149/J$19,0)</f>
        <v>0</v>
      </c>
      <c r="L149" s="43">
        <f>IFERROR(VLOOKUP($A149,APOIO!$B:$N,MATCH(L$5,APOIO!$B$5:$N$5,0),FALSE),0)</f>
        <v>0</v>
      </c>
      <c r="M149" s="40">
        <f t="shared" ref="M149" si="1734">IFERROR(L149/L$19,0)</f>
        <v>0</v>
      </c>
      <c r="N149" s="43">
        <f>IFERROR(VLOOKUP($A149,APOIO!$B:$N,MATCH(N$5,APOIO!$B$5:$N$5,0),FALSE),0)</f>
        <v>0</v>
      </c>
      <c r="O149" s="40">
        <f t="shared" ref="O149" si="1735">IFERROR(N149/N$19,0)</f>
        <v>0</v>
      </c>
      <c r="P149" s="43">
        <f t="shared" si="1585"/>
        <v>0</v>
      </c>
      <c r="Q149" s="41">
        <f t="shared" ref="Q149" si="1736">IFERROR(P149/P$19,0)</f>
        <v>0</v>
      </c>
      <c r="R149" s="43">
        <f>IFERROR(VLOOKUP($A149,APOIO!$B:$N,MATCH(R$5,APOIO!$B$5:$N$5,0),FALSE),0)</f>
        <v>0</v>
      </c>
      <c r="S149" s="41">
        <f t="shared" ref="S149" si="1737">IFERROR(R149/R$19,0)</f>
        <v>0</v>
      </c>
      <c r="T149" s="43">
        <f>IFERROR(VLOOKUP($A149,APOIO!$B:$N,MATCH(T$5,APOIO!$B$5:$N$5,0),FALSE),0)</f>
        <v>0</v>
      </c>
      <c r="U149" s="41">
        <f t="shared" ref="U149" si="1738">IFERROR(T149/T$19,0)</f>
        <v>0</v>
      </c>
      <c r="V149" s="43">
        <f>IFERROR(VLOOKUP($A149,APOIO!$B:$N,MATCH(V$5,APOIO!$B$5:$N$5,0),FALSE),0)</f>
        <v>0</v>
      </c>
      <c r="W149" s="40">
        <f t="shared" ref="W149" si="1739">IFERROR(V149/V$19,0)</f>
        <v>0</v>
      </c>
      <c r="X149" s="43">
        <f t="shared" si="1590"/>
        <v>0</v>
      </c>
      <c r="Y149" s="41">
        <f t="shared" ref="Y149" si="1740">IFERROR(X149/X$19,0)</f>
        <v>0</v>
      </c>
      <c r="Z149" s="43">
        <f>IFERROR(VLOOKUP($A149,APOIO!$B:$N,MATCH(Z$5,APOIO!$B$5:$N$5,0),FALSE),0)</f>
        <v>0</v>
      </c>
      <c r="AA149" s="40">
        <f t="shared" ref="AA149" si="1741">IFERROR(Z149/Z$19,0)</f>
        <v>0</v>
      </c>
      <c r="AB149" s="43">
        <f>IFERROR(VLOOKUP($A149,APOIO!$B:$N,MATCH(AB$5,APOIO!$B$5:$N$5,0),FALSE),0)</f>
        <v>0</v>
      </c>
      <c r="AC149" s="40">
        <f t="shared" ref="AC149" si="1742">IFERROR(AB149/AB$19,0)</f>
        <v>0</v>
      </c>
      <c r="AD149" s="43">
        <f>IFERROR(VLOOKUP($A149,APOIO!$B:$N,MATCH(AD$5,APOIO!$B$5:$N$5,0),FALSE),0)</f>
        <v>0</v>
      </c>
      <c r="AE149" s="40">
        <f t="shared" ref="AE149" si="1743">IFERROR(AD149/AD$19,0)</f>
        <v>0</v>
      </c>
      <c r="AF149" s="43">
        <f t="shared" si="1595"/>
        <v>0</v>
      </c>
      <c r="AG149" s="41">
        <f t="shared" ref="AG149" si="1744">IFERROR(AF149/AF$19,0)</f>
        <v>0</v>
      </c>
      <c r="AH149" s="43">
        <f t="shared" si="1597"/>
        <v>0</v>
      </c>
      <c r="AI149" s="41">
        <f t="shared" ref="AI149" si="1745">IFERROR(AH149/AH$19,0)</f>
        <v>0</v>
      </c>
    </row>
    <row r="150" spans="1:35" ht="16.8" thickTop="1" thickBot="1" x14ac:dyDescent="0.35">
      <c r="A150" s="52" t="s">
        <v>67</v>
      </c>
      <c r="B150" s="53">
        <f>IFERROR(VLOOKUP($A150,APOIO!$B:$N,MATCH(B$5,APOIO!$B$5:$N$5,0),FALSE),0)</f>
        <v>0</v>
      </c>
      <c r="C150" s="54">
        <f t="shared" si="1347"/>
        <v>0</v>
      </c>
      <c r="D150" s="53">
        <f>IFERROR(VLOOKUP($A150,APOIO!$B:$N,MATCH(D$5,APOIO!$B$5:$N$5,0),FALSE),0)</f>
        <v>0</v>
      </c>
      <c r="E150" s="54">
        <f t="shared" si="1347"/>
        <v>0</v>
      </c>
      <c r="F150" s="53">
        <f>IFERROR(VLOOKUP($A150,APOIO!$B:$N,MATCH(F$5,APOIO!$B$5:$N$5,0),FALSE),0)</f>
        <v>0</v>
      </c>
      <c r="G150" s="54">
        <f t="shared" ref="G150" si="1746">IFERROR(F150/F$19,0)</f>
        <v>0</v>
      </c>
      <c r="H150" s="53">
        <f t="shared" si="1580"/>
        <v>0</v>
      </c>
      <c r="I150" s="54">
        <f t="shared" ref="I150" si="1747">IFERROR(H150/H$19,0)</f>
        <v>0</v>
      </c>
      <c r="J150" s="53">
        <f>IFERROR(VLOOKUP($A150,APOIO!$B:$N,MATCH(J$5,APOIO!$B$5:$N$5,0),FALSE),0)</f>
        <v>-31.571072999999998</v>
      </c>
      <c r="K150" s="54">
        <f t="shared" ref="K150" si="1748">IFERROR(J150/J$19,0)</f>
        <v>0</v>
      </c>
      <c r="L150" s="53">
        <f>IFERROR(VLOOKUP($A150,APOIO!$B:$N,MATCH(L$5,APOIO!$B$5:$N$5,0),FALSE),0)</f>
        <v>0</v>
      </c>
      <c r="M150" s="54">
        <f t="shared" ref="M150" si="1749">IFERROR(L150/L$19,0)</f>
        <v>0</v>
      </c>
      <c r="N150" s="53">
        <f>IFERROR(VLOOKUP($A150,APOIO!$B:$N,MATCH(N$5,APOIO!$B$5:$N$5,0),FALSE),0)</f>
        <v>0</v>
      </c>
      <c r="O150" s="54">
        <f t="shared" ref="O150" si="1750">IFERROR(N150/N$19,0)</f>
        <v>0</v>
      </c>
      <c r="P150" s="53">
        <f t="shared" si="1585"/>
        <v>-31.571072999999998</v>
      </c>
      <c r="Q150" s="55">
        <f t="shared" ref="Q150" si="1751">IFERROR(P150/P$19,0)</f>
        <v>0</v>
      </c>
      <c r="R150" s="53">
        <f>IFERROR(VLOOKUP($A150,APOIO!$B:$N,MATCH(R$5,APOIO!$B$5:$N$5,0),FALSE),0)</f>
        <v>0</v>
      </c>
      <c r="S150" s="55">
        <f t="shared" ref="S150" si="1752">IFERROR(R150/R$19,0)</f>
        <v>0</v>
      </c>
      <c r="T150" s="53">
        <f>IFERROR(VLOOKUP($A150,APOIO!$B:$N,MATCH(T$5,APOIO!$B$5:$N$5,0),FALSE),0)</f>
        <v>0</v>
      </c>
      <c r="U150" s="55">
        <f t="shared" ref="U150" si="1753">IFERROR(T150/T$19,0)</f>
        <v>0</v>
      </c>
      <c r="V150" s="53">
        <f>IFERROR(VLOOKUP($A150,APOIO!$B:$N,MATCH(V$5,APOIO!$B$5:$N$5,0),FALSE),0)</f>
        <v>0</v>
      </c>
      <c r="W150" s="54">
        <f t="shared" ref="W150" si="1754">IFERROR(V150/V$19,0)</f>
        <v>0</v>
      </c>
      <c r="X150" s="53">
        <f t="shared" si="1590"/>
        <v>0</v>
      </c>
      <c r="Y150" s="55">
        <f t="shared" ref="Y150" si="1755">IFERROR(X150/X$19,0)</f>
        <v>0</v>
      </c>
      <c r="Z150" s="53">
        <f>IFERROR(VLOOKUP($A150,APOIO!$B:$N,MATCH(Z$5,APOIO!$B$5:$N$5,0),FALSE),0)</f>
        <v>0</v>
      </c>
      <c r="AA150" s="54">
        <f t="shared" ref="AA150" si="1756">IFERROR(Z150/Z$19,0)</f>
        <v>0</v>
      </c>
      <c r="AB150" s="53">
        <f>IFERROR(VLOOKUP($A150,APOIO!$B:$N,MATCH(AB$5,APOIO!$B$5:$N$5,0),FALSE),0)</f>
        <v>0</v>
      </c>
      <c r="AC150" s="54">
        <f t="shared" ref="AC150" si="1757">IFERROR(AB150/AB$19,0)</f>
        <v>0</v>
      </c>
      <c r="AD150" s="53">
        <f>IFERROR(VLOOKUP($A150,APOIO!$B:$N,MATCH(AD$5,APOIO!$B$5:$N$5,0),FALSE),0)</f>
        <v>0</v>
      </c>
      <c r="AE150" s="54">
        <f t="shared" ref="AE150" si="1758">IFERROR(AD150/AD$19,0)</f>
        <v>0</v>
      </c>
      <c r="AF150" s="53">
        <f t="shared" si="1595"/>
        <v>0</v>
      </c>
      <c r="AG150" s="55">
        <f t="shared" ref="AG150" si="1759">IFERROR(AF150/AF$19,0)</f>
        <v>0</v>
      </c>
      <c r="AH150" s="53">
        <f t="shared" si="1597"/>
        <v>-31.571072999999998</v>
      </c>
      <c r="AI150" s="55">
        <f t="shared" ref="AI150" si="1760">IFERROR(AH150/AH$19,0)</f>
        <v>-6.0685799657591486E-5</v>
      </c>
    </row>
    <row r="151" spans="1:35" ht="16.2" hidden="1" outlineLevel="1" thickTop="1" x14ac:dyDescent="0.3">
      <c r="A151" s="36" t="s">
        <v>162</v>
      </c>
      <c r="B151" s="37">
        <f>IFERROR(VLOOKUP($A151,APOIO!$B:$N,MATCH(B$5,APOIO!$B$5:$N$5,0),FALSE),0)</f>
        <v>0</v>
      </c>
      <c r="C151" s="39">
        <f t="shared" si="1347"/>
        <v>0</v>
      </c>
      <c r="D151" s="37">
        <f>IFERROR(VLOOKUP($A151,APOIO!$B:$N,MATCH(D$5,APOIO!$B$5:$N$5,0),FALSE),0)</f>
        <v>0</v>
      </c>
      <c r="E151" s="39">
        <f t="shared" si="1347"/>
        <v>0</v>
      </c>
      <c r="F151" s="37">
        <f>IFERROR(VLOOKUP($A151,APOIO!$B:$N,MATCH(F$5,APOIO!$B$5:$N$5,0),FALSE),0)</f>
        <v>0</v>
      </c>
      <c r="G151" s="39">
        <f t="shared" ref="G151" si="1761">IFERROR(F151/F$19,0)</f>
        <v>0</v>
      </c>
      <c r="H151" s="37">
        <f t="shared" si="1580"/>
        <v>0</v>
      </c>
      <c r="I151" s="39">
        <f t="shared" ref="I151" si="1762">IFERROR(H151/H$19,0)</f>
        <v>0</v>
      </c>
      <c r="J151" s="37">
        <f>IFERROR(VLOOKUP($A151,APOIO!$B:$N,MATCH(J$5,APOIO!$B$5:$N$5,0),FALSE),0)</f>
        <v>0</v>
      </c>
      <c r="K151" s="39">
        <f t="shared" ref="K151" si="1763">IFERROR(J151/J$19,0)</f>
        <v>0</v>
      </c>
      <c r="L151" s="37">
        <f>IFERROR(VLOOKUP($A151,APOIO!$B:$N,MATCH(L$5,APOIO!$B$5:$N$5,0),FALSE),0)</f>
        <v>0</v>
      </c>
      <c r="M151" s="39">
        <f t="shared" ref="M151" si="1764">IFERROR(L151/L$19,0)</f>
        <v>0</v>
      </c>
      <c r="N151" s="37">
        <f>IFERROR(VLOOKUP($A151,APOIO!$B:$N,MATCH(N$5,APOIO!$B$5:$N$5,0),FALSE),0)</f>
        <v>0</v>
      </c>
      <c r="O151" s="39">
        <f t="shared" ref="O151" si="1765">IFERROR(N151/N$19,0)</f>
        <v>0</v>
      </c>
      <c r="P151" s="37">
        <f t="shared" si="1585"/>
        <v>0</v>
      </c>
      <c r="Q151" s="42">
        <f t="shared" ref="Q151" si="1766">IFERROR(P151/P$19,0)</f>
        <v>0</v>
      </c>
      <c r="R151" s="37">
        <f>IFERROR(VLOOKUP($A151,APOIO!$B:$N,MATCH(R$5,APOIO!$B$5:$N$5,0),FALSE),0)</f>
        <v>0</v>
      </c>
      <c r="S151" s="42">
        <f t="shared" ref="S151" si="1767">IFERROR(R151/R$19,0)</f>
        <v>0</v>
      </c>
      <c r="T151" s="37">
        <f>IFERROR(VLOOKUP($A151,APOIO!$B:$N,MATCH(T$5,APOIO!$B$5:$N$5,0),FALSE),0)</f>
        <v>0</v>
      </c>
      <c r="U151" s="42">
        <f t="shared" ref="U151" si="1768">IFERROR(T151/T$19,0)</f>
        <v>0</v>
      </c>
      <c r="V151" s="37">
        <f>IFERROR(VLOOKUP($A151,APOIO!$B:$N,MATCH(V$5,APOIO!$B$5:$N$5,0),FALSE),0)</f>
        <v>0</v>
      </c>
      <c r="W151" s="39">
        <f t="shared" ref="W151" si="1769">IFERROR(V151/V$19,0)</f>
        <v>0</v>
      </c>
      <c r="X151" s="37">
        <f t="shared" si="1590"/>
        <v>0</v>
      </c>
      <c r="Y151" s="42">
        <f t="shared" ref="Y151" si="1770">IFERROR(X151/X$19,0)</f>
        <v>0</v>
      </c>
      <c r="Z151" s="37">
        <f>IFERROR(VLOOKUP($A151,APOIO!$B:$N,MATCH(Z$5,APOIO!$B$5:$N$5,0),FALSE),0)</f>
        <v>0</v>
      </c>
      <c r="AA151" s="39">
        <f t="shared" ref="AA151" si="1771">IFERROR(Z151/Z$19,0)</f>
        <v>0</v>
      </c>
      <c r="AB151" s="37">
        <f>IFERROR(VLOOKUP($A151,APOIO!$B:$N,MATCH(AB$5,APOIO!$B$5:$N$5,0),FALSE),0)</f>
        <v>0</v>
      </c>
      <c r="AC151" s="39">
        <f t="shared" ref="AC151" si="1772">IFERROR(AB151/AB$19,0)</f>
        <v>0</v>
      </c>
      <c r="AD151" s="37">
        <f>IFERROR(VLOOKUP($A151,APOIO!$B:$N,MATCH(AD$5,APOIO!$B$5:$N$5,0),FALSE),0)</f>
        <v>0</v>
      </c>
      <c r="AE151" s="39">
        <f t="shared" ref="AE151" si="1773">IFERROR(AD151/AD$19,0)</f>
        <v>0</v>
      </c>
      <c r="AF151" s="37">
        <f t="shared" si="1595"/>
        <v>0</v>
      </c>
      <c r="AG151" s="42">
        <f t="shared" ref="AG151" si="1774">IFERROR(AF151/AF$19,0)</f>
        <v>0</v>
      </c>
      <c r="AH151" s="37">
        <f t="shared" si="1597"/>
        <v>0</v>
      </c>
      <c r="AI151" s="42">
        <f t="shared" ref="AI151" si="1775">IFERROR(AH151/AH$19,0)</f>
        <v>0</v>
      </c>
    </row>
    <row r="152" spans="1:35" ht="15.6" hidden="1" outlineLevel="1" x14ac:dyDescent="0.3">
      <c r="A152" s="35" t="s">
        <v>2396</v>
      </c>
      <c r="B152" s="29">
        <v>229.96000000000004</v>
      </c>
      <c r="C152" s="38">
        <v>2.9138183361737452E-4</v>
      </c>
      <c r="D152" s="29">
        <v>5.330000000000001</v>
      </c>
      <c r="E152" s="38">
        <v>3.5451395468357871E-6</v>
      </c>
      <c r="F152" s="29">
        <v>0</v>
      </c>
      <c r="G152" s="38">
        <v>0</v>
      </c>
      <c r="H152" s="30">
        <v>235.29000000000005</v>
      </c>
      <c r="I152" s="40">
        <v>1.0262698250618861E-4</v>
      </c>
      <c r="J152" s="29">
        <v>0</v>
      </c>
      <c r="K152" s="38">
        <v>0</v>
      </c>
      <c r="L152" s="29">
        <v>0</v>
      </c>
      <c r="M152" s="38">
        <v>0</v>
      </c>
      <c r="N152" s="29">
        <v>0</v>
      </c>
      <c r="O152" s="38">
        <v>0</v>
      </c>
      <c r="P152" s="30">
        <v>0</v>
      </c>
      <c r="Q152" s="41">
        <v>0</v>
      </c>
      <c r="R152" s="29">
        <v>0</v>
      </c>
      <c r="S152" s="41">
        <v>0</v>
      </c>
      <c r="T152" s="29">
        <v>0</v>
      </c>
      <c r="U152" s="41">
        <v>0</v>
      </c>
      <c r="V152" s="29">
        <v>0</v>
      </c>
      <c r="W152" s="38">
        <v>0</v>
      </c>
      <c r="X152" s="30">
        <v>0</v>
      </c>
      <c r="Y152" s="41">
        <v>0</v>
      </c>
      <c r="Z152" s="29">
        <v>0</v>
      </c>
      <c r="AA152" s="38">
        <v>0</v>
      </c>
      <c r="AB152" s="29">
        <v>0</v>
      </c>
      <c r="AC152" s="38">
        <v>0</v>
      </c>
      <c r="AD152" s="29">
        <v>0</v>
      </c>
      <c r="AE152" s="38">
        <v>0</v>
      </c>
      <c r="AF152" s="30">
        <v>0</v>
      </c>
      <c r="AG152" s="41">
        <v>0</v>
      </c>
      <c r="AH152" s="29">
        <v>235.29000000000005</v>
      </c>
      <c r="AI152" s="41">
        <v>1.0262698250618861E-4</v>
      </c>
    </row>
    <row r="153" spans="1:35" ht="15.6" hidden="1" outlineLevel="1" x14ac:dyDescent="0.3">
      <c r="A153" s="35" t="s">
        <v>2397</v>
      </c>
      <c r="B153" s="29">
        <v>229.96000000000004</v>
      </c>
      <c r="C153" s="38">
        <v>2.9138183361737452E-4</v>
      </c>
      <c r="D153" s="29">
        <v>5.330000000000001</v>
      </c>
      <c r="E153" s="38">
        <v>3.5451395468357871E-6</v>
      </c>
      <c r="F153" s="29">
        <v>0</v>
      </c>
      <c r="G153" s="38">
        <v>0</v>
      </c>
      <c r="H153" s="30">
        <v>235.29000000000005</v>
      </c>
      <c r="I153" s="40">
        <v>1.0262698250618861E-4</v>
      </c>
      <c r="J153" s="29">
        <v>0</v>
      </c>
      <c r="K153" s="38">
        <v>0</v>
      </c>
      <c r="L153" s="29">
        <v>0</v>
      </c>
      <c r="M153" s="38">
        <v>0</v>
      </c>
      <c r="N153" s="29">
        <v>0</v>
      </c>
      <c r="O153" s="38">
        <v>0</v>
      </c>
      <c r="P153" s="30">
        <v>0</v>
      </c>
      <c r="Q153" s="41">
        <v>0</v>
      </c>
      <c r="R153" s="29">
        <v>0</v>
      </c>
      <c r="S153" s="41">
        <v>0</v>
      </c>
      <c r="T153" s="29">
        <v>0</v>
      </c>
      <c r="U153" s="41">
        <v>0</v>
      </c>
      <c r="V153" s="29">
        <v>0</v>
      </c>
      <c r="W153" s="38">
        <v>0</v>
      </c>
      <c r="X153" s="30">
        <v>0</v>
      </c>
      <c r="Y153" s="41">
        <v>0</v>
      </c>
      <c r="Z153" s="29">
        <v>0</v>
      </c>
      <c r="AA153" s="38">
        <v>0</v>
      </c>
      <c r="AB153" s="29">
        <v>0</v>
      </c>
      <c r="AC153" s="38">
        <v>0</v>
      </c>
      <c r="AD153" s="29">
        <v>0</v>
      </c>
      <c r="AE153" s="38">
        <v>0</v>
      </c>
      <c r="AF153" s="30">
        <v>0</v>
      </c>
      <c r="AG153" s="41">
        <v>0</v>
      </c>
      <c r="AH153" s="29">
        <v>235.29000000000005</v>
      </c>
      <c r="AI153" s="41">
        <v>1.0262698250618861E-4</v>
      </c>
    </row>
    <row r="154" spans="1:35" ht="15.6" hidden="1" outlineLevel="1" x14ac:dyDescent="0.3">
      <c r="A154" s="35" t="s">
        <v>5</v>
      </c>
      <c r="B154" s="29">
        <f>IFERROR(VLOOKUP($A154,APOIO!$B:$N,MATCH(B$5,APOIO!$B$5:$N$5,0),FALSE),0)</f>
        <v>0</v>
      </c>
      <c r="C154" s="38">
        <f t="shared" si="1347"/>
        <v>0</v>
      </c>
      <c r="D154" s="29">
        <f>IFERROR(VLOOKUP($A154,APOIO!$B:$N,MATCH(D$5,APOIO!$B$5:$N$5,0),FALSE),0)</f>
        <v>0</v>
      </c>
      <c r="E154" s="38">
        <f t="shared" si="1347"/>
        <v>0</v>
      </c>
      <c r="F154" s="29">
        <f>IFERROR(VLOOKUP($A154,APOIO!$B:$N,MATCH(F$5,APOIO!$B$5:$N$5,0),FALSE),0)</f>
        <v>0</v>
      </c>
      <c r="G154" s="38">
        <f t="shared" ref="G154" si="1776">IFERROR(F154/F$19,0)</f>
        <v>0</v>
      </c>
      <c r="H154" s="30">
        <f t="shared" si="1580"/>
        <v>0</v>
      </c>
      <c r="I154" s="40">
        <f t="shared" ref="I154" si="1777">IFERROR(H154/H$19,0)</f>
        <v>0</v>
      </c>
      <c r="J154" s="29">
        <f>IFERROR(VLOOKUP($A154,APOIO!$B:$N,MATCH(J$5,APOIO!$B$5:$N$5,0),FALSE),0)</f>
        <v>0</v>
      </c>
      <c r="K154" s="38">
        <f t="shared" ref="K154" si="1778">IFERROR(J154/J$19,0)</f>
        <v>0</v>
      </c>
      <c r="L154" s="29">
        <f>IFERROR(VLOOKUP($A154,APOIO!$B:$N,MATCH(L$5,APOIO!$B$5:$N$5,0),FALSE),0)</f>
        <v>0</v>
      </c>
      <c r="M154" s="38">
        <f t="shared" ref="M154" si="1779">IFERROR(L154/L$19,0)</f>
        <v>0</v>
      </c>
      <c r="N154" s="29">
        <f>IFERROR(VLOOKUP($A154,APOIO!$B:$N,MATCH(N$5,APOIO!$B$5:$N$5,0),FALSE),0)</f>
        <v>0</v>
      </c>
      <c r="O154" s="38">
        <f t="shared" ref="O154" si="1780">IFERROR(N154/N$19,0)</f>
        <v>0</v>
      </c>
      <c r="P154" s="30">
        <f t="shared" si="1585"/>
        <v>0</v>
      </c>
      <c r="Q154" s="41">
        <f t="shared" ref="Q154" si="1781">IFERROR(P154/P$19,0)</f>
        <v>0</v>
      </c>
      <c r="R154" s="29">
        <f>IFERROR(VLOOKUP($A154,APOIO!$B:$N,MATCH(R$5,APOIO!$B$5:$N$5,0),FALSE),0)</f>
        <v>0</v>
      </c>
      <c r="S154" s="41">
        <f t="shared" ref="S154" si="1782">IFERROR(R154/R$19,0)</f>
        <v>0</v>
      </c>
      <c r="T154" s="29">
        <f>IFERROR(VLOOKUP($A154,APOIO!$B:$N,MATCH(T$5,APOIO!$B$5:$N$5,0),FALSE),0)</f>
        <v>0</v>
      </c>
      <c r="U154" s="41">
        <f t="shared" ref="U154" si="1783">IFERROR(T154/T$19,0)</f>
        <v>0</v>
      </c>
      <c r="V154" s="29">
        <f>IFERROR(VLOOKUP($A154,APOIO!$B:$N,MATCH(V$5,APOIO!$B$5:$N$5,0),FALSE),0)</f>
        <v>0</v>
      </c>
      <c r="W154" s="38">
        <f t="shared" ref="W154" si="1784">IFERROR(V154/V$19,0)</f>
        <v>0</v>
      </c>
      <c r="X154" s="30">
        <f t="shared" si="1590"/>
        <v>0</v>
      </c>
      <c r="Y154" s="41">
        <f t="shared" ref="Y154" si="1785">IFERROR(X154/X$19,0)</f>
        <v>0</v>
      </c>
      <c r="Z154" s="29">
        <f>IFERROR(VLOOKUP($A154,APOIO!$B:$N,MATCH(Z$5,APOIO!$B$5:$N$5,0),FALSE),0)</f>
        <v>0</v>
      </c>
      <c r="AA154" s="38">
        <f t="shared" ref="AA154" si="1786">IFERROR(Z154/Z$19,0)</f>
        <v>0</v>
      </c>
      <c r="AB154" s="29">
        <f>IFERROR(VLOOKUP($A154,APOIO!$B:$N,MATCH(AB$5,APOIO!$B$5:$N$5,0),FALSE),0)</f>
        <v>0</v>
      </c>
      <c r="AC154" s="38">
        <f t="shared" ref="AC154" si="1787">IFERROR(AB154/AB$19,0)</f>
        <v>0</v>
      </c>
      <c r="AD154" s="29">
        <f>IFERROR(VLOOKUP($A154,APOIO!$B:$N,MATCH(AD$5,APOIO!$B$5:$N$5,0),FALSE),0)</f>
        <v>0</v>
      </c>
      <c r="AE154" s="38">
        <f t="shared" ref="AE154" si="1788">IFERROR(AD154/AD$19,0)</f>
        <v>0</v>
      </c>
      <c r="AF154" s="30">
        <f t="shared" si="1595"/>
        <v>0</v>
      </c>
      <c r="AG154" s="41">
        <f t="shared" ref="AG154" si="1789">IFERROR(AF154/AF$19,0)</f>
        <v>0</v>
      </c>
      <c r="AH154" s="29">
        <f t="shared" si="1597"/>
        <v>0</v>
      </c>
      <c r="AI154" s="41">
        <f t="shared" ref="AI154" si="1790">IFERROR(AH154/AH$19,0)</f>
        <v>0</v>
      </c>
    </row>
    <row r="155" spans="1:35" ht="15.6" hidden="1" outlineLevel="1" x14ac:dyDescent="0.3">
      <c r="A155" s="36" t="s">
        <v>161</v>
      </c>
      <c r="B155" s="37">
        <f>IFERROR(VLOOKUP($A155,APOIO!$B:$N,MATCH(B$5,APOIO!$B$5:$N$5,0),FALSE),0)</f>
        <v>0</v>
      </c>
      <c r="C155" s="39">
        <f t="shared" si="1347"/>
        <v>0</v>
      </c>
      <c r="D155" s="37">
        <f>IFERROR(VLOOKUP($A155,APOIO!$B:$N,MATCH(D$5,APOIO!$B$5:$N$5,0),FALSE),0)</f>
        <v>0</v>
      </c>
      <c r="E155" s="39">
        <f t="shared" si="1347"/>
        <v>0</v>
      </c>
      <c r="F155" s="37">
        <f>IFERROR(VLOOKUP($A155,APOIO!$B:$N,MATCH(F$5,APOIO!$B$5:$N$5,0),FALSE),0)</f>
        <v>0</v>
      </c>
      <c r="G155" s="39">
        <f t="shared" ref="G155:G161" si="1791">IFERROR(F155/F$19,0)</f>
        <v>0</v>
      </c>
      <c r="H155" s="37">
        <f t="shared" si="1580"/>
        <v>0</v>
      </c>
      <c r="I155" s="39">
        <f t="shared" ref="I155:I161" si="1792">IFERROR(H155/H$19,0)</f>
        <v>0</v>
      </c>
      <c r="J155" s="37">
        <f>IFERROR(VLOOKUP($A155,APOIO!$B:$N,MATCH(J$5,APOIO!$B$5:$N$5,0),FALSE),0)</f>
        <v>-31.571072999999998</v>
      </c>
      <c r="K155" s="39">
        <f t="shared" ref="K155:K161" si="1793">IFERROR(J155/J$19,0)</f>
        <v>0</v>
      </c>
      <c r="L155" s="37">
        <f>IFERROR(VLOOKUP($A155,APOIO!$B:$N,MATCH(L$5,APOIO!$B$5:$N$5,0),FALSE),0)</f>
        <v>0</v>
      </c>
      <c r="M155" s="39">
        <f t="shared" ref="M155:M161" si="1794">IFERROR(L155/L$19,0)</f>
        <v>0</v>
      </c>
      <c r="N155" s="37">
        <f>IFERROR(VLOOKUP($A155,APOIO!$B:$N,MATCH(N$5,APOIO!$B$5:$N$5,0),FALSE),0)</f>
        <v>0</v>
      </c>
      <c r="O155" s="39">
        <f t="shared" ref="O155:O161" si="1795">IFERROR(N155/N$19,0)</f>
        <v>0</v>
      </c>
      <c r="P155" s="37">
        <f t="shared" si="1585"/>
        <v>-31.571072999999998</v>
      </c>
      <c r="Q155" s="42">
        <f t="shared" ref="Q155:Q161" si="1796">IFERROR(P155/P$19,0)</f>
        <v>0</v>
      </c>
      <c r="R155" s="37">
        <f>IFERROR(VLOOKUP($A155,APOIO!$B:$N,MATCH(R$5,APOIO!$B$5:$N$5,0),FALSE),0)</f>
        <v>0</v>
      </c>
      <c r="S155" s="42">
        <f t="shared" ref="S155:S161" si="1797">IFERROR(R155/R$19,0)</f>
        <v>0</v>
      </c>
      <c r="T155" s="37">
        <f>IFERROR(VLOOKUP($A155,APOIO!$B:$N,MATCH(T$5,APOIO!$B$5:$N$5,0),FALSE),0)</f>
        <v>0</v>
      </c>
      <c r="U155" s="42">
        <f t="shared" ref="U155:U161" si="1798">IFERROR(T155/T$19,0)</f>
        <v>0</v>
      </c>
      <c r="V155" s="37">
        <f>IFERROR(VLOOKUP($A155,APOIO!$B:$N,MATCH(V$5,APOIO!$B$5:$N$5,0),FALSE),0)</f>
        <v>0</v>
      </c>
      <c r="W155" s="39">
        <f t="shared" ref="W155:W161" si="1799">IFERROR(V155/V$19,0)</f>
        <v>0</v>
      </c>
      <c r="X155" s="37">
        <f t="shared" si="1590"/>
        <v>0</v>
      </c>
      <c r="Y155" s="42">
        <f t="shared" ref="Y155:Y161" si="1800">IFERROR(X155/X$19,0)</f>
        <v>0</v>
      </c>
      <c r="Z155" s="37">
        <f>IFERROR(VLOOKUP($A155,APOIO!$B:$N,MATCH(Z$5,APOIO!$B$5:$N$5,0),FALSE),0)</f>
        <v>0</v>
      </c>
      <c r="AA155" s="39">
        <f t="shared" ref="AA155:AA161" si="1801">IFERROR(Z155/Z$19,0)</f>
        <v>0</v>
      </c>
      <c r="AB155" s="37">
        <f>IFERROR(VLOOKUP($A155,APOIO!$B:$N,MATCH(AB$5,APOIO!$B$5:$N$5,0),FALSE),0)</f>
        <v>0</v>
      </c>
      <c r="AC155" s="39">
        <f t="shared" ref="AC155:AC161" si="1802">IFERROR(AB155/AB$19,0)</f>
        <v>0</v>
      </c>
      <c r="AD155" s="37">
        <f>IFERROR(VLOOKUP($A155,APOIO!$B:$N,MATCH(AD$5,APOIO!$B$5:$N$5,0),FALSE),0)</f>
        <v>0</v>
      </c>
      <c r="AE155" s="39">
        <f t="shared" ref="AE155:AE161" si="1803">IFERROR(AD155/AD$19,0)</f>
        <v>0</v>
      </c>
      <c r="AF155" s="37">
        <f t="shared" si="1595"/>
        <v>0</v>
      </c>
      <c r="AG155" s="42">
        <f t="shared" ref="AG155:AG161" si="1804">IFERROR(AF155/AF$19,0)</f>
        <v>0</v>
      </c>
      <c r="AH155" s="37">
        <f t="shared" si="1597"/>
        <v>-31.571072999999998</v>
      </c>
      <c r="AI155" s="42">
        <f t="shared" ref="AI155:AI161" si="1805">IFERROR(AH155/AH$19,0)</f>
        <v>-6.0685799657591486E-5</v>
      </c>
    </row>
    <row r="156" spans="1:35" ht="15.6" hidden="1" outlineLevel="1" x14ac:dyDescent="0.3">
      <c r="A156" s="35" t="s">
        <v>176</v>
      </c>
      <c r="B156" s="29">
        <f>IFERROR(VLOOKUP($A156,APOIO!$B:$N,MATCH(B$5,APOIO!$B$5:$N$5,0),FALSE),0)</f>
        <v>0</v>
      </c>
      <c r="C156" s="38">
        <f t="shared" ref="C156:C161" si="1806">IFERROR(B156/B$19,0)</f>
        <v>0</v>
      </c>
      <c r="D156" s="29">
        <f>IFERROR(VLOOKUP($A156,APOIO!$B:$N,MATCH(D$5,APOIO!$B$5:$N$5,0),FALSE),0)</f>
        <v>0</v>
      </c>
      <c r="E156" s="38">
        <f t="shared" ref="E156:E161" si="1807">IFERROR(D156/D$19,0)</f>
        <v>0</v>
      </c>
      <c r="F156" s="29">
        <f>IFERROR(VLOOKUP($A156,APOIO!$B:$N,MATCH(F$5,APOIO!$B$5:$N$5,0),FALSE),0)</f>
        <v>0</v>
      </c>
      <c r="G156" s="38">
        <f t="shared" si="1791"/>
        <v>0</v>
      </c>
      <c r="H156" s="30">
        <f t="shared" ref="H156:H161" si="1808">SUM(B156,D156,F156)</f>
        <v>0</v>
      </c>
      <c r="I156" s="40">
        <f t="shared" si="1792"/>
        <v>0</v>
      </c>
      <c r="J156" s="29">
        <f>IFERROR(VLOOKUP($A156,APOIO!$B:$N,MATCH(J$5,APOIO!$B$5:$N$5,0),FALSE),0)</f>
        <v>0</v>
      </c>
      <c r="K156" s="38">
        <f t="shared" si="1793"/>
        <v>0</v>
      </c>
      <c r="L156" s="29">
        <f>IFERROR(VLOOKUP($A156,APOIO!$B:$N,MATCH(L$5,APOIO!$B$5:$N$5,0),FALSE),0)</f>
        <v>0</v>
      </c>
      <c r="M156" s="38">
        <f t="shared" si="1794"/>
        <v>0</v>
      </c>
      <c r="N156" s="29">
        <f>IFERROR(VLOOKUP($A156,APOIO!$B:$N,MATCH(N$5,APOIO!$B$5:$N$5,0),FALSE),0)</f>
        <v>0</v>
      </c>
      <c r="O156" s="38">
        <f t="shared" si="1795"/>
        <v>0</v>
      </c>
      <c r="P156" s="30">
        <f t="shared" ref="P156:P161" si="1809">SUM(J156,L156,N156)</f>
        <v>0</v>
      </c>
      <c r="Q156" s="41">
        <f t="shared" si="1796"/>
        <v>0</v>
      </c>
      <c r="R156" s="29">
        <f>IFERROR(VLOOKUP($A156,APOIO!$B:$N,MATCH(R$5,APOIO!$B$5:$N$5,0),FALSE),0)</f>
        <v>0</v>
      </c>
      <c r="S156" s="41">
        <f t="shared" si="1797"/>
        <v>0</v>
      </c>
      <c r="T156" s="29">
        <f>IFERROR(VLOOKUP($A156,APOIO!$B:$N,MATCH(T$5,APOIO!$B$5:$N$5,0),FALSE),0)</f>
        <v>0</v>
      </c>
      <c r="U156" s="41">
        <f t="shared" si="1798"/>
        <v>0</v>
      </c>
      <c r="V156" s="29">
        <f>IFERROR(VLOOKUP($A156,APOIO!$B:$N,MATCH(V$5,APOIO!$B$5:$N$5,0),FALSE),0)</f>
        <v>0</v>
      </c>
      <c r="W156" s="38">
        <f t="shared" si="1799"/>
        <v>0</v>
      </c>
      <c r="X156" s="30">
        <f t="shared" ref="X156:X161" si="1810">SUM(R156,T156,V156)</f>
        <v>0</v>
      </c>
      <c r="Y156" s="41">
        <f t="shared" si="1800"/>
        <v>0</v>
      </c>
      <c r="Z156" s="29">
        <f>IFERROR(VLOOKUP($A156,APOIO!$B:$N,MATCH(Z$5,APOIO!$B$5:$N$5,0),FALSE),0)</f>
        <v>0</v>
      </c>
      <c r="AA156" s="38">
        <f t="shared" si="1801"/>
        <v>0</v>
      </c>
      <c r="AB156" s="29">
        <f>IFERROR(VLOOKUP($A156,APOIO!$B:$N,MATCH(AB$5,APOIO!$B$5:$N$5,0),FALSE),0)</f>
        <v>0</v>
      </c>
      <c r="AC156" s="38">
        <f t="shared" si="1802"/>
        <v>0</v>
      </c>
      <c r="AD156" s="29">
        <f>IFERROR(VLOOKUP($A156,APOIO!$B:$N,MATCH(AD$5,APOIO!$B$5:$N$5,0),FALSE),0)</f>
        <v>0</v>
      </c>
      <c r="AE156" s="38">
        <f t="shared" si="1803"/>
        <v>0</v>
      </c>
      <c r="AF156" s="30">
        <f t="shared" ref="AF156:AF161" si="1811">SUM(Z156,AB156,AD156)</f>
        <v>0</v>
      </c>
      <c r="AG156" s="41">
        <f t="shared" si="1804"/>
        <v>0</v>
      </c>
      <c r="AH156" s="29">
        <f t="shared" ref="AH156:AH161" si="1812">SUM(B156,D156,F156,J156,L156,N156,R156,T156,V156,Z156,AB156,AD156)</f>
        <v>0</v>
      </c>
      <c r="AI156" s="41">
        <f t="shared" si="1805"/>
        <v>0</v>
      </c>
    </row>
    <row r="157" spans="1:35" ht="15.6" hidden="1" outlineLevel="1" x14ac:dyDescent="0.3">
      <c r="A157" s="35" t="s">
        <v>1749</v>
      </c>
      <c r="B157" s="29">
        <f>IFERROR(VLOOKUP($A157,APOIO!$B:$N,MATCH(B$5,APOIO!$B$5:$N$5,0),FALSE),0)</f>
        <v>0</v>
      </c>
      <c r="C157" s="38">
        <f t="shared" ref="C157:C159" si="1813">IFERROR(B157/B$19,0)</f>
        <v>0</v>
      </c>
      <c r="D157" s="29">
        <f>IFERROR(VLOOKUP($A157,APOIO!$B:$N,MATCH(D$5,APOIO!$B$5:$N$5,0),FALSE),0)</f>
        <v>0</v>
      </c>
      <c r="E157" s="38">
        <f t="shared" ref="E157:E159" si="1814">IFERROR(D157/D$19,0)</f>
        <v>0</v>
      </c>
      <c r="F157" s="29">
        <f>IFERROR(VLOOKUP($A157,APOIO!$B:$N,MATCH(F$5,APOIO!$B$5:$N$5,0),FALSE),0)</f>
        <v>0</v>
      </c>
      <c r="G157" s="38">
        <f t="shared" ref="G157:G159" si="1815">IFERROR(F157/F$19,0)</f>
        <v>0</v>
      </c>
      <c r="H157" s="30">
        <f t="shared" ref="H157:H159" si="1816">SUM(B157,D157,F157)</f>
        <v>0</v>
      </c>
      <c r="I157" s="40">
        <f t="shared" ref="I157:I159" si="1817">IFERROR(H157/H$19,0)</f>
        <v>0</v>
      </c>
      <c r="J157" s="29">
        <f>IFERROR(VLOOKUP($A157,APOIO!$B:$N,MATCH(J$5,APOIO!$B$5:$N$5,0),FALSE),0)</f>
        <v>-31.571072999999998</v>
      </c>
      <c r="K157" s="38">
        <f t="shared" ref="K157:K159" si="1818">IFERROR(J157/J$19,0)</f>
        <v>0</v>
      </c>
      <c r="L157" s="29">
        <f>IFERROR(VLOOKUP($A157,APOIO!$B:$N,MATCH(L$5,APOIO!$B$5:$N$5,0),FALSE),0)</f>
        <v>0</v>
      </c>
      <c r="M157" s="38">
        <f t="shared" ref="M157:M159" si="1819">IFERROR(L157/L$19,0)</f>
        <v>0</v>
      </c>
      <c r="N157" s="29">
        <f>IFERROR(VLOOKUP($A157,APOIO!$B:$N,MATCH(N$5,APOIO!$B$5:$N$5,0),FALSE),0)</f>
        <v>0</v>
      </c>
      <c r="O157" s="38">
        <f t="shared" ref="O157:O159" si="1820">IFERROR(N157/N$19,0)</f>
        <v>0</v>
      </c>
      <c r="P157" s="30">
        <f t="shared" ref="P157:P159" si="1821">SUM(J157,L157,N157)</f>
        <v>-31.571072999999998</v>
      </c>
      <c r="Q157" s="41">
        <f t="shared" ref="Q157:Q159" si="1822">IFERROR(P157/P$19,0)</f>
        <v>0</v>
      </c>
      <c r="R157" s="29">
        <f>IFERROR(VLOOKUP($A157,APOIO!$B:$N,MATCH(R$5,APOIO!$B$5:$N$5,0),FALSE),0)</f>
        <v>0</v>
      </c>
      <c r="S157" s="41">
        <f t="shared" ref="S157:S159" si="1823">IFERROR(R157/R$19,0)</f>
        <v>0</v>
      </c>
      <c r="T157" s="29">
        <f>IFERROR(VLOOKUP($A157,APOIO!$B:$N,MATCH(T$5,APOIO!$B$5:$N$5,0),FALSE),0)</f>
        <v>0</v>
      </c>
      <c r="U157" s="41">
        <f t="shared" ref="U157:U159" si="1824">IFERROR(T157/T$19,0)</f>
        <v>0</v>
      </c>
      <c r="V157" s="29">
        <f>IFERROR(VLOOKUP($A157,APOIO!$B:$N,MATCH(V$5,APOIO!$B$5:$N$5,0),FALSE),0)</f>
        <v>0</v>
      </c>
      <c r="W157" s="38">
        <f t="shared" ref="W157:W159" si="1825">IFERROR(V157/V$19,0)</f>
        <v>0</v>
      </c>
      <c r="X157" s="30">
        <f t="shared" ref="X157:X159" si="1826">SUM(R157,T157,V157)</f>
        <v>0</v>
      </c>
      <c r="Y157" s="41">
        <f t="shared" ref="Y157:Y159" si="1827">IFERROR(X157/X$19,0)</f>
        <v>0</v>
      </c>
      <c r="Z157" s="29">
        <f>IFERROR(VLOOKUP($A157,APOIO!$B:$N,MATCH(Z$5,APOIO!$B$5:$N$5,0),FALSE),0)</f>
        <v>0</v>
      </c>
      <c r="AA157" s="38">
        <f t="shared" ref="AA157:AA159" si="1828">IFERROR(Z157/Z$19,0)</f>
        <v>0</v>
      </c>
      <c r="AB157" s="29">
        <f>IFERROR(VLOOKUP($A157,APOIO!$B:$N,MATCH(AB$5,APOIO!$B$5:$N$5,0),FALSE),0)</f>
        <v>0</v>
      </c>
      <c r="AC157" s="38">
        <f t="shared" ref="AC157:AC159" si="1829">IFERROR(AB157/AB$19,0)</f>
        <v>0</v>
      </c>
      <c r="AD157" s="29">
        <f>IFERROR(VLOOKUP($A157,APOIO!$B:$N,MATCH(AD$5,APOIO!$B$5:$N$5,0),FALSE),0)</f>
        <v>0</v>
      </c>
      <c r="AE157" s="38">
        <f t="shared" ref="AE157:AE159" si="1830">IFERROR(AD157/AD$19,0)</f>
        <v>0</v>
      </c>
      <c r="AF157" s="30">
        <f t="shared" ref="AF157:AF159" si="1831">SUM(Z157,AB157,AD157)</f>
        <v>0</v>
      </c>
      <c r="AG157" s="41">
        <f t="shared" ref="AG157:AG159" si="1832">IFERROR(AF157/AF$19,0)</f>
        <v>0</v>
      </c>
      <c r="AH157" s="29">
        <f t="shared" ref="AH157:AH159" si="1833">SUM(B157,D157,F157,J157,L157,N157,R157,T157,V157,Z157,AB157,AD157)</f>
        <v>-31.571072999999998</v>
      </c>
      <c r="AI157" s="41">
        <f t="shared" ref="AI157:AI159" si="1834">IFERROR(AH157/AH$19,0)</f>
        <v>-6.0685799657591486E-5</v>
      </c>
    </row>
    <row r="158" spans="1:35" ht="15.6" hidden="1" outlineLevel="1" x14ac:dyDescent="0.3">
      <c r="A158" s="35" t="s">
        <v>1756</v>
      </c>
      <c r="B158" s="29">
        <f>IFERROR(VLOOKUP($A158,APOIO!$B:$N,MATCH(B$5,APOIO!$B$5:$N$5,0),FALSE),0)</f>
        <v>0</v>
      </c>
      <c r="C158" s="38">
        <f t="shared" ref="C158" si="1835">IFERROR(B158/B$19,0)</f>
        <v>0</v>
      </c>
      <c r="D158" s="29">
        <f>IFERROR(VLOOKUP($A158,APOIO!$B:$N,MATCH(D$5,APOIO!$B$5:$N$5,0),FALSE),0)</f>
        <v>0</v>
      </c>
      <c r="E158" s="38">
        <f t="shared" ref="E158" si="1836">IFERROR(D158/D$19,0)</f>
        <v>0</v>
      </c>
      <c r="F158" s="29">
        <f>IFERROR(VLOOKUP($A158,APOIO!$B:$N,MATCH(F$5,APOIO!$B$5:$N$5,0),FALSE),0)</f>
        <v>0</v>
      </c>
      <c r="G158" s="38">
        <f t="shared" ref="G158" si="1837">IFERROR(F158/F$19,0)</f>
        <v>0</v>
      </c>
      <c r="H158" s="30">
        <f t="shared" ref="H158" si="1838">SUM(B158,D158,F158)</f>
        <v>0</v>
      </c>
      <c r="I158" s="40">
        <f t="shared" ref="I158" si="1839">IFERROR(H158/H$19,0)</f>
        <v>0</v>
      </c>
      <c r="J158" s="29">
        <f>IFERROR(VLOOKUP($A158,APOIO!$B:$N,MATCH(J$5,APOIO!$B$5:$N$5,0),FALSE),0)</f>
        <v>0</v>
      </c>
      <c r="K158" s="38">
        <f t="shared" ref="K158" si="1840">IFERROR(J158/J$19,0)</f>
        <v>0</v>
      </c>
      <c r="L158" s="29">
        <f>IFERROR(VLOOKUP($A158,APOIO!$B:$N,MATCH(L$5,APOIO!$B$5:$N$5,0),FALSE),0)</f>
        <v>0</v>
      </c>
      <c r="M158" s="38">
        <f t="shared" ref="M158" si="1841">IFERROR(L158/L$19,0)</f>
        <v>0</v>
      </c>
      <c r="N158" s="29">
        <f>IFERROR(VLOOKUP($A158,APOIO!$B:$N,MATCH(N$5,APOIO!$B$5:$N$5,0),FALSE),0)</f>
        <v>0</v>
      </c>
      <c r="O158" s="38">
        <f t="shared" ref="O158" si="1842">IFERROR(N158/N$19,0)</f>
        <v>0</v>
      </c>
      <c r="P158" s="30">
        <f t="shared" ref="P158" si="1843">SUM(J158,L158,N158)</f>
        <v>0</v>
      </c>
      <c r="Q158" s="41">
        <f t="shared" ref="Q158" si="1844">IFERROR(P158/P$19,0)</f>
        <v>0</v>
      </c>
      <c r="R158" s="29">
        <f>IFERROR(VLOOKUP($A158,APOIO!$B:$N,MATCH(R$5,APOIO!$B$5:$N$5,0),FALSE),0)</f>
        <v>0</v>
      </c>
      <c r="S158" s="41">
        <f t="shared" ref="S158" si="1845">IFERROR(R158/R$19,0)</f>
        <v>0</v>
      </c>
      <c r="T158" s="29">
        <f>IFERROR(VLOOKUP($A158,APOIO!$B:$N,MATCH(T$5,APOIO!$B$5:$N$5,0),FALSE),0)</f>
        <v>0</v>
      </c>
      <c r="U158" s="41">
        <f t="shared" ref="U158" si="1846">IFERROR(T158/T$19,0)</f>
        <v>0</v>
      </c>
      <c r="V158" s="29">
        <f>IFERROR(VLOOKUP($A158,APOIO!$B:$N,MATCH(V$5,APOIO!$B$5:$N$5,0),FALSE),0)</f>
        <v>0</v>
      </c>
      <c r="W158" s="38">
        <f t="shared" ref="W158" si="1847">IFERROR(V158/V$19,0)</f>
        <v>0</v>
      </c>
      <c r="X158" s="30">
        <f t="shared" ref="X158" si="1848">SUM(R158,T158,V158)</f>
        <v>0</v>
      </c>
      <c r="Y158" s="41">
        <f t="shared" ref="Y158" si="1849">IFERROR(X158/X$19,0)</f>
        <v>0</v>
      </c>
      <c r="Z158" s="29">
        <f>IFERROR(VLOOKUP($A158,APOIO!$B:$N,MATCH(Z$5,APOIO!$B$5:$N$5,0),FALSE),0)</f>
        <v>0</v>
      </c>
      <c r="AA158" s="38">
        <f t="shared" ref="AA158" si="1850">IFERROR(Z158/Z$19,0)</f>
        <v>0</v>
      </c>
      <c r="AB158" s="29">
        <f>IFERROR(VLOOKUP($A158,APOIO!$B:$N,MATCH(AB$5,APOIO!$B$5:$N$5,0),FALSE),0)</f>
        <v>0</v>
      </c>
      <c r="AC158" s="38">
        <f t="shared" ref="AC158" si="1851">IFERROR(AB158/AB$19,0)</f>
        <v>0</v>
      </c>
      <c r="AD158" s="29">
        <f>IFERROR(VLOOKUP($A158,APOIO!$B:$N,MATCH(AD$5,APOIO!$B$5:$N$5,0),FALSE),0)</f>
        <v>0</v>
      </c>
      <c r="AE158" s="38">
        <f t="shared" ref="AE158" si="1852">IFERROR(AD158/AD$19,0)</f>
        <v>0</v>
      </c>
      <c r="AF158" s="30">
        <f t="shared" ref="AF158" si="1853">SUM(Z158,AB158,AD158)</f>
        <v>0</v>
      </c>
      <c r="AG158" s="41">
        <f t="shared" ref="AG158" si="1854">IFERROR(AF158/AF$19,0)</f>
        <v>0</v>
      </c>
      <c r="AH158" s="29">
        <f t="shared" ref="AH158" si="1855">SUM(B158,D158,F158,J158,L158,N158,R158,T158,V158,Z158,AB158,AD158)</f>
        <v>0</v>
      </c>
      <c r="AI158" s="41">
        <f t="shared" ref="AI158" si="1856">IFERROR(AH158/AH$19,0)</f>
        <v>0</v>
      </c>
    </row>
    <row r="159" spans="1:35" ht="15.6" hidden="1" outlineLevel="1" x14ac:dyDescent="0.3">
      <c r="A159" s="35" t="s">
        <v>1755</v>
      </c>
      <c r="B159" s="29">
        <f>IFERROR(VLOOKUP($A159,APOIO!$B:$N,MATCH(B$5,APOIO!$B$5:$N$5,0),FALSE),0)</f>
        <v>0</v>
      </c>
      <c r="C159" s="38">
        <f t="shared" si="1813"/>
        <v>0</v>
      </c>
      <c r="D159" s="29">
        <f>IFERROR(VLOOKUP($A159,APOIO!$B:$N,MATCH(D$5,APOIO!$B$5:$N$5,0),FALSE),0)</f>
        <v>0</v>
      </c>
      <c r="E159" s="38">
        <f t="shared" si="1814"/>
        <v>0</v>
      </c>
      <c r="F159" s="29">
        <f>IFERROR(VLOOKUP($A159,APOIO!$B:$N,MATCH(F$5,APOIO!$B$5:$N$5,0),FALSE),0)</f>
        <v>0</v>
      </c>
      <c r="G159" s="38">
        <f t="shared" si="1815"/>
        <v>0</v>
      </c>
      <c r="H159" s="30">
        <f t="shared" si="1816"/>
        <v>0</v>
      </c>
      <c r="I159" s="40">
        <f t="shared" si="1817"/>
        <v>0</v>
      </c>
      <c r="J159" s="29">
        <f>IFERROR(VLOOKUP($A159,APOIO!$B:$N,MATCH(J$5,APOIO!$B$5:$N$5,0),FALSE),0)</f>
        <v>0</v>
      </c>
      <c r="K159" s="38">
        <f t="shared" si="1818"/>
        <v>0</v>
      </c>
      <c r="L159" s="29">
        <f>IFERROR(VLOOKUP($A159,APOIO!$B:$N,MATCH(L$5,APOIO!$B$5:$N$5,0),FALSE),0)</f>
        <v>0</v>
      </c>
      <c r="M159" s="38">
        <f t="shared" si="1819"/>
        <v>0</v>
      </c>
      <c r="N159" s="29">
        <f>IFERROR(VLOOKUP($A159,APOIO!$B:$N,MATCH(N$5,APOIO!$B$5:$N$5,0),FALSE),0)</f>
        <v>0</v>
      </c>
      <c r="O159" s="38">
        <f t="shared" si="1820"/>
        <v>0</v>
      </c>
      <c r="P159" s="30">
        <f t="shared" si="1821"/>
        <v>0</v>
      </c>
      <c r="Q159" s="41">
        <f t="shared" si="1822"/>
        <v>0</v>
      </c>
      <c r="R159" s="29">
        <f>IFERROR(VLOOKUP($A159,APOIO!$B:$N,MATCH(R$5,APOIO!$B$5:$N$5,0),FALSE),0)</f>
        <v>0</v>
      </c>
      <c r="S159" s="41">
        <f t="shared" si="1823"/>
        <v>0</v>
      </c>
      <c r="T159" s="29">
        <f>IFERROR(VLOOKUP($A159,APOIO!$B:$N,MATCH(T$5,APOIO!$B$5:$N$5,0),FALSE),0)</f>
        <v>0</v>
      </c>
      <c r="U159" s="41">
        <f t="shared" si="1824"/>
        <v>0</v>
      </c>
      <c r="V159" s="29">
        <f>IFERROR(VLOOKUP($A159,APOIO!$B:$N,MATCH(V$5,APOIO!$B$5:$N$5,0),FALSE),0)</f>
        <v>0</v>
      </c>
      <c r="W159" s="38">
        <f t="shared" si="1825"/>
        <v>0</v>
      </c>
      <c r="X159" s="30">
        <f t="shared" si="1826"/>
        <v>0</v>
      </c>
      <c r="Y159" s="41">
        <f t="shared" si="1827"/>
        <v>0</v>
      </c>
      <c r="Z159" s="29">
        <f>IFERROR(VLOOKUP($A159,APOIO!$B:$N,MATCH(Z$5,APOIO!$B$5:$N$5,0),FALSE),0)</f>
        <v>0</v>
      </c>
      <c r="AA159" s="38">
        <f t="shared" si="1828"/>
        <v>0</v>
      </c>
      <c r="AB159" s="29">
        <f>IFERROR(VLOOKUP($A159,APOIO!$B:$N,MATCH(AB$5,APOIO!$B$5:$N$5,0),FALSE),0)</f>
        <v>0</v>
      </c>
      <c r="AC159" s="38">
        <f t="shared" si="1829"/>
        <v>0</v>
      </c>
      <c r="AD159" s="29">
        <f>IFERROR(VLOOKUP($A159,APOIO!$B:$N,MATCH(AD$5,APOIO!$B$5:$N$5,0),FALSE),0)</f>
        <v>0</v>
      </c>
      <c r="AE159" s="38">
        <f t="shared" si="1830"/>
        <v>0</v>
      </c>
      <c r="AF159" s="30">
        <f t="shared" si="1831"/>
        <v>0</v>
      </c>
      <c r="AG159" s="41">
        <f t="shared" si="1832"/>
        <v>0</v>
      </c>
      <c r="AH159" s="29">
        <f t="shared" si="1833"/>
        <v>0</v>
      </c>
      <c r="AI159" s="41">
        <f t="shared" si="1834"/>
        <v>0</v>
      </c>
    </row>
    <row r="160" spans="1:35" ht="15.6" hidden="1" outlineLevel="1" x14ac:dyDescent="0.3">
      <c r="A160" s="35" t="s">
        <v>1751</v>
      </c>
      <c r="B160" s="29">
        <f>IFERROR(VLOOKUP($A160,APOIO!$B:$N,MATCH(B$5,APOIO!$B$5:$N$5,0),FALSE),0)</f>
        <v>0</v>
      </c>
      <c r="C160" s="38">
        <f t="shared" ref="C160" si="1857">IFERROR(B160/B$19,0)</f>
        <v>0</v>
      </c>
      <c r="D160" s="29">
        <f>IFERROR(VLOOKUP($A160,APOIO!$B:$N,MATCH(D$5,APOIO!$B$5:$N$5,0),FALSE),0)</f>
        <v>0</v>
      </c>
      <c r="E160" s="38">
        <f t="shared" ref="E160" si="1858">IFERROR(D160/D$19,0)</f>
        <v>0</v>
      </c>
      <c r="F160" s="29">
        <f>IFERROR(VLOOKUP($A160,APOIO!$B:$N,MATCH(F$5,APOIO!$B$5:$N$5,0),FALSE),0)</f>
        <v>0</v>
      </c>
      <c r="G160" s="38">
        <f t="shared" ref="G160" si="1859">IFERROR(F160/F$19,0)</f>
        <v>0</v>
      </c>
      <c r="H160" s="30">
        <f t="shared" ref="H160" si="1860">SUM(B160,D160,F160)</f>
        <v>0</v>
      </c>
      <c r="I160" s="40">
        <f t="shared" ref="I160" si="1861">IFERROR(H160/H$19,0)</f>
        <v>0</v>
      </c>
      <c r="J160" s="29">
        <f>IFERROR(VLOOKUP($A160,APOIO!$B:$N,MATCH(J$5,APOIO!$B$5:$N$5,0),FALSE),0)</f>
        <v>0</v>
      </c>
      <c r="K160" s="38">
        <f t="shared" ref="K160" si="1862">IFERROR(J160/J$19,0)</f>
        <v>0</v>
      </c>
      <c r="L160" s="29">
        <f>IFERROR(VLOOKUP($A160,APOIO!$B:$N,MATCH(L$5,APOIO!$B$5:$N$5,0),FALSE),0)</f>
        <v>0</v>
      </c>
      <c r="M160" s="38">
        <f t="shared" ref="M160" si="1863">IFERROR(L160/L$19,0)</f>
        <v>0</v>
      </c>
      <c r="N160" s="29">
        <f>IFERROR(VLOOKUP($A160,APOIO!$B:$N,MATCH(N$5,APOIO!$B$5:$N$5,0),FALSE),0)</f>
        <v>0</v>
      </c>
      <c r="O160" s="38">
        <f t="shared" ref="O160" si="1864">IFERROR(N160/N$19,0)</f>
        <v>0</v>
      </c>
      <c r="P160" s="30">
        <f t="shared" ref="P160" si="1865">SUM(J160,L160,N160)</f>
        <v>0</v>
      </c>
      <c r="Q160" s="41">
        <f t="shared" ref="Q160" si="1866">IFERROR(P160/P$19,0)</f>
        <v>0</v>
      </c>
      <c r="R160" s="29">
        <f>IFERROR(VLOOKUP($A160,APOIO!$B:$N,MATCH(R$5,APOIO!$B$5:$N$5,0),FALSE),0)</f>
        <v>0</v>
      </c>
      <c r="S160" s="41">
        <f t="shared" ref="S160" si="1867">IFERROR(R160/R$19,0)</f>
        <v>0</v>
      </c>
      <c r="T160" s="29">
        <f>IFERROR(VLOOKUP($A160,APOIO!$B:$N,MATCH(T$5,APOIO!$B$5:$N$5,0),FALSE),0)</f>
        <v>0</v>
      </c>
      <c r="U160" s="41">
        <f t="shared" ref="U160" si="1868">IFERROR(T160/T$19,0)</f>
        <v>0</v>
      </c>
      <c r="V160" s="29">
        <f>IFERROR(VLOOKUP($A160,APOIO!$B:$N,MATCH(V$5,APOIO!$B$5:$N$5,0),FALSE),0)</f>
        <v>0</v>
      </c>
      <c r="W160" s="38">
        <f t="shared" ref="W160" si="1869">IFERROR(V160/V$19,0)</f>
        <v>0</v>
      </c>
      <c r="X160" s="30">
        <f t="shared" ref="X160" si="1870">SUM(R160,T160,V160)</f>
        <v>0</v>
      </c>
      <c r="Y160" s="41">
        <f t="shared" ref="Y160" si="1871">IFERROR(X160/X$19,0)</f>
        <v>0</v>
      </c>
      <c r="Z160" s="29">
        <f>IFERROR(VLOOKUP($A160,APOIO!$B:$N,MATCH(Z$5,APOIO!$B$5:$N$5,0),FALSE),0)</f>
        <v>0</v>
      </c>
      <c r="AA160" s="38">
        <f t="shared" ref="AA160" si="1872">IFERROR(Z160/Z$19,0)</f>
        <v>0</v>
      </c>
      <c r="AB160" s="29">
        <f>IFERROR(VLOOKUP($A160,APOIO!$B:$N,MATCH(AB$5,APOIO!$B$5:$N$5,0),FALSE),0)</f>
        <v>0</v>
      </c>
      <c r="AC160" s="38">
        <f t="shared" ref="AC160" si="1873">IFERROR(AB160/AB$19,0)</f>
        <v>0</v>
      </c>
      <c r="AD160" s="29">
        <f>IFERROR(VLOOKUP($A160,APOIO!$B:$N,MATCH(AD$5,APOIO!$B$5:$N$5,0),FALSE),0)</f>
        <v>0</v>
      </c>
      <c r="AE160" s="38">
        <f t="shared" ref="AE160" si="1874">IFERROR(AD160/AD$19,0)</f>
        <v>0</v>
      </c>
      <c r="AF160" s="30">
        <f t="shared" ref="AF160" si="1875">SUM(Z160,AB160,AD160)</f>
        <v>0</v>
      </c>
      <c r="AG160" s="41">
        <f t="shared" ref="AG160" si="1876">IFERROR(AF160/AF$19,0)</f>
        <v>0</v>
      </c>
      <c r="AH160" s="29">
        <f t="shared" ref="AH160" si="1877">SUM(B160,D160,F160,J160,L160,N160,R160,T160,V160,Z160,AB160,AD160)</f>
        <v>0</v>
      </c>
      <c r="AI160" s="41">
        <f t="shared" ref="AI160" si="1878">IFERROR(AH160/AH$19,0)</f>
        <v>0</v>
      </c>
    </row>
    <row r="161" spans="1:35" ht="15.6" hidden="1" outlineLevel="1" x14ac:dyDescent="0.3">
      <c r="A161" s="35"/>
      <c r="B161" s="29">
        <f>IFERROR(VLOOKUP($A161,APOIO!$B:$N,MATCH(B$5,APOIO!$B$5:$N$5,0),FALSE),0)</f>
        <v>0</v>
      </c>
      <c r="C161" s="38">
        <f t="shared" si="1806"/>
        <v>0</v>
      </c>
      <c r="D161" s="29">
        <f>IFERROR(VLOOKUP($A161,APOIO!$B:$N,MATCH(D$5,APOIO!$B$5:$N$5,0),FALSE),0)</f>
        <v>0</v>
      </c>
      <c r="E161" s="38">
        <f t="shared" si="1807"/>
        <v>0</v>
      </c>
      <c r="F161" s="29">
        <f>IFERROR(VLOOKUP($A161,APOIO!$B:$N,MATCH(F$5,APOIO!$B$5:$N$5,0),FALSE),0)</f>
        <v>0</v>
      </c>
      <c r="G161" s="38">
        <f t="shared" si="1791"/>
        <v>0</v>
      </c>
      <c r="H161" s="30">
        <f t="shared" si="1808"/>
        <v>0</v>
      </c>
      <c r="I161" s="40">
        <f t="shared" si="1792"/>
        <v>0</v>
      </c>
      <c r="J161" s="29">
        <f>IFERROR(VLOOKUP($A161,APOIO!$B:$N,MATCH(J$5,APOIO!$B$5:$N$5,0),FALSE),0)</f>
        <v>0</v>
      </c>
      <c r="K161" s="38">
        <f t="shared" si="1793"/>
        <v>0</v>
      </c>
      <c r="L161" s="29">
        <f>IFERROR(VLOOKUP($A161,APOIO!$B:$N,MATCH(L$5,APOIO!$B$5:$N$5,0),FALSE),0)</f>
        <v>0</v>
      </c>
      <c r="M161" s="38">
        <f t="shared" si="1794"/>
        <v>0</v>
      </c>
      <c r="N161" s="29">
        <f>IFERROR(VLOOKUP($A161,APOIO!$B:$N,MATCH(N$5,APOIO!$B$5:$N$5,0),FALSE),0)</f>
        <v>0</v>
      </c>
      <c r="O161" s="38">
        <f t="shared" si="1795"/>
        <v>0</v>
      </c>
      <c r="P161" s="30">
        <f t="shared" si="1809"/>
        <v>0</v>
      </c>
      <c r="Q161" s="41">
        <f t="shared" si="1796"/>
        <v>0</v>
      </c>
      <c r="R161" s="29">
        <f>IFERROR(VLOOKUP($A161,APOIO!$B:$N,MATCH(R$5,APOIO!$B$5:$N$5,0),FALSE),0)</f>
        <v>0</v>
      </c>
      <c r="S161" s="41">
        <f t="shared" si="1797"/>
        <v>0</v>
      </c>
      <c r="T161" s="29">
        <f>IFERROR(VLOOKUP($A161,APOIO!$B:$N,MATCH(T$5,APOIO!$B$5:$N$5,0),FALSE),0)</f>
        <v>0</v>
      </c>
      <c r="U161" s="41">
        <f t="shared" si="1798"/>
        <v>0</v>
      </c>
      <c r="V161" s="29">
        <f>IFERROR(VLOOKUP($A161,APOIO!$B:$N,MATCH(V$5,APOIO!$B$5:$N$5,0),FALSE),0)</f>
        <v>0</v>
      </c>
      <c r="W161" s="38">
        <f t="shared" si="1799"/>
        <v>0</v>
      </c>
      <c r="X161" s="30">
        <f t="shared" si="1810"/>
        <v>0</v>
      </c>
      <c r="Y161" s="41">
        <f t="shared" si="1800"/>
        <v>0</v>
      </c>
      <c r="Z161" s="29">
        <f>IFERROR(VLOOKUP($A161,APOIO!$B:$N,MATCH(Z$5,APOIO!$B$5:$N$5,0),FALSE),0)</f>
        <v>0</v>
      </c>
      <c r="AA161" s="38">
        <f t="shared" si="1801"/>
        <v>0</v>
      </c>
      <c r="AB161" s="29">
        <f>IFERROR(VLOOKUP($A161,APOIO!$B:$N,MATCH(AB$5,APOIO!$B$5:$N$5,0),FALSE),0)</f>
        <v>0</v>
      </c>
      <c r="AC161" s="38">
        <f t="shared" si="1802"/>
        <v>0</v>
      </c>
      <c r="AD161" s="29">
        <f>IFERROR(VLOOKUP($A161,APOIO!$B:$N,MATCH(AD$5,APOIO!$B$5:$N$5,0),FALSE),0)</f>
        <v>0</v>
      </c>
      <c r="AE161" s="38">
        <f t="shared" si="1803"/>
        <v>0</v>
      </c>
      <c r="AF161" s="30">
        <f t="shared" si="1811"/>
        <v>0</v>
      </c>
      <c r="AG161" s="41">
        <f t="shared" si="1804"/>
        <v>0</v>
      </c>
      <c r="AH161" s="29">
        <f t="shared" si="1812"/>
        <v>0</v>
      </c>
      <c r="AI161" s="41">
        <f t="shared" si="1805"/>
        <v>0</v>
      </c>
    </row>
    <row r="162" spans="1:35" ht="16.2" hidden="1" outlineLevel="1" thickBot="1" x14ac:dyDescent="0.35">
      <c r="A162" s="35"/>
      <c r="B162" s="29">
        <f>IFERROR(VLOOKUP($A162,APOIO!$B:$N,MATCH(B$5,APOIO!$B$5:$N$5,0),FALSE),0)</f>
        <v>0</v>
      </c>
      <c r="C162" s="38">
        <f t="shared" si="1347"/>
        <v>0</v>
      </c>
      <c r="D162" s="29">
        <f>IFERROR(VLOOKUP($A162,APOIO!$B:$N,MATCH(D$5,APOIO!$B$5:$N$5,0),FALSE),0)</f>
        <v>0</v>
      </c>
      <c r="E162" s="38">
        <f t="shared" si="1347"/>
        <v>0</v>
      </c>
      <c r="F162" s="29">
        <f>IFERROR(VLOOKUP($A162,APOIO!$B:$N,MATCH(F$5,APOIO!$B$5:$N$5,0),FALSE),0)</f>
        <v>0</v>
      </c>
      <c r="G162" s="38">
        <f t="shared" ref="G162" si="1879">IFERROR(F162/F$19,0)</f>
        <v>0</v>
      </c>
      <c r="H162" s="30">
        <f t="shared" si="1580"/>
        <v>0</v>
      </c>
      <c r="I162" s="40">
        <f t="shared" ref="I162" si="1880">IFERROR(H162/H$19,0)</f>
        <v>0</v>
      </c>
      <c r="J162" s="29">
        <f>IFERROR(VLOOKUP($A162,APOIO!$B:$N,MATCH(J$5,APOIO!$B$5:$N$5,0),FALSE),0)</f>
        <v>0</v>
      </c>
      <c r="K162" s="38">
        <f t="shared" ref="K162" si="1881">IFERROR(J162/J$19,0)</f>
        <v>0</v>
      </c>
      <c r="L162" s="29">
        <f>IFERROR(VLOOKUP($A162,APOIO!$B:$N,MATCH(L$5,APOIO!$B$5:$N$5,0),FALSE),0)</f>
        <v>0</v>
      </c>
      <c r="M162" s="38">
        <f t="shared" ref="M162" si="1882">IFERROR(L162/L$19,0)</f>
        <v>0</v>
      </c>
      <c r="N162" s="29">
        <f>IFERROR(VLOOKUP($A162,APOIO!$B:$N,MATCH(N$5,APOIO!$B$5:$N$5,0),FALSE),0)</f>
        <v>0</v>
      </c>
      <c r="O162" s="38">
        <f t="shared" ref="O162" si="1883">IFERROR(N162/N$19,0)</f>
        <v>0</v>
      </c>
      <c r="P162" s="30">
        <f t="shared" si="1585"/>
        <v>0</v>
      </c>
      <c r="Q162" s="41">
        <f t="shared" ref="Q162" si="1884">IFERROR(P162/P$19,0)</f>
        <v>0</v>
      </c>
      <c r="R162" s="29">
        <f>IFERROR(VLOOKUP($A162,APOIO!$B:$N,MATCH(R$5,APOIO!$B$5:$N$5,0),FALSE),0)</f>
        <v>0</v>
      </c>
      <c r="S162" s="41">
        <f t="shared" ref="S162" si="1885">IFERROR(R162/R$19,0)</f>
        <v>0</v>
      </c>
      <c r="T162" s="29">
        <f>IFERROR(VLOOKUP($A162,APOIO!$B:$N,MATCH(T$5,APOIO!$B$5:$N$5,0),FALSE),0)</f>
        <v>0</v>
      </c>
      <c r="U162" s="41">
        <f t="shared" ref="U162" si="1886">IFERROR(T162/T$19,0)</f>
        <v>0</v>
      </c>
      <c r="V162" s="29">
        <f>IFERROR(VLOOKUP($A162,APOIO!$B:$N,MATCH(V$5,APOIO!$B$5:$N$5,0),FALSE),0)</f>
        <v>0</v>
      </c>
      <c r="W162" s="38">
        <f t="shared" ref="W162" si="1887">IFERROR(V162/V$19,0)</f>
        <v>0</v>
      </c>
      <c r="X162" s="30">
        <f t="shared" si="1590"/>
        <v>0</v>
      </c>
      <c r="Y162" s="41">
        <f t="shared" ref="Y162" si="1888">IFERROR(X162/X$19,0)</f>
        <v>0</v>
      </c>
      <c r="Z162" s="29">
        <f>IFERROR(VLOOKUP($A162,APOIO!$B:$N,MATCH(Z$5,APOIO!$B$5:$N$5,0),FALSE),0)</f>
        <v>0</v>
      </c>
      <c r="AA162" s="38">
        <f t="shared" ref="AA162" si="1889">IFERROR(Z162/Z$19,0)</f>
        <v>0</v>
      </c>
      <c r="AB162" s="29">
        <f>IFERROR(VLOOKUP($A162,APOIO!$B:$N,MATCH(AB$5,APOIO!$B$5:$N$5,0),FALSE),0)</f>
        <v>0</v>
      </c>
      <c r="AC162" s="38">
        <f t="shared" ref="AC162" si="1890">IFERROR(AB162/AB$19,0)</f>
        <v>0</v>
      </c>
      <c r="AD162" s="29">
        <f>IFERROR(VLOOKUP($A162,APOIO!$B:$N,MATCH(AD$5,APOIO!$B$5:$N$5,0),FALSE),0)</f>
        <v>0</v>
      </c>
      <c r="AE162" s="38">
        <f t="shared" ref="AE162" si="1891">IFERROR(AD162/AD$19,0)</f>
        <v>0</v>
      </c>
      <c r="AF162" s="30">
        <f t="shared" si="1595"/>
        <v>0</v>
      </c>
      <c r="AG162" s="41">
        <f t="shared" ref="AG162" si="1892">IFERROR(AF162/AF$19,0)</f>
        <v>0</v>
      </c>
      <c r="AH162" s="29">
        <f t="shared" si="1597"/>
        <v>0</v>
      </c>
      <c r="AI162" s="41">
        <f t="shared" ref="AI162" si="1893">IFERROR(AH162/AH$19,0)</f>
        <v>0</v>
      </c>
    </row>
    <row r="163" spans="1:35" ht="16.8" collapsed="1" thickTop="1" thickBot="1" x14ac:dyDescent="0.35">
      <c r="A163" s="52" t="s">
        <v>68</v>
      </c>
      <c r="B163" s="53">
        <f>IFERROR(VLOOKUP($A163,APOIO!$B:$N,MATCH(B$5,APOIO!$B$5:$N$5,0),FALSE),0)</f>
        <v>0</v>
      </c>
      <c r="C163" s="54">
        <f t="shared" si="1347"/>
        <v>0</v>
      </c>
      <c r="D163" s="53">
        <f>IFERROR(VLOOKUP($A163,APOIO!$B:$N,MATCH(D$5,APOIO!$B$5:$N$5,0),FALSE),0)</f>
        <v>0</v>
      </c>
      <c r="E163" s="54">
        <f t="shared" si="1347"/>
        <v>0</v>
      </c>
      <c r="F163" s="53">
        <f>IFERROR(VLOOKUP($A163,APOIO!$B:$N,MATCH(F$5,APOIO!$B$5:$N$5,0),FALSE),0)</f>
        <v>0</v>
      </c>
      <c r="G163" s="54">
        <f t="shared" ref="G163" si="1894">IFERROR(F163/F$19,0)</f>
        <v>0</v>
      </c>
      <c r="H163" s="53">
        <f t="shared" si="1580"/>
        <v>0</v>
      </c>
      <c r="I163" s="54">
        <f t="shared" ref="I163" si="1895">IFERROR(H163/H$19,0)</f>
        <v>0</v>
      </c>
      <c r="J163" s="53">
        <f>IFERROR(VLOOKUP($A163,APOIO!$B:$N,MATCH(J$5,APOIO!$B$5:$N$5,0),FALSE),0)</f>
        <v>0</v>
      </c>
      <c r="K163" s="54">
        <f t="shared" ref="K163" si="1896">IFERROR(J163/J$19,0)</f>
        <v>0</v>
      </c>
      <c r="L163" s="53">
        <f>IFERROR(VLOOKUP($A163,APOIO!$B:$N,MATCH(L$5,APOIO!$B$5:$N$5,0),FALSE),0)</f>
        <v>0</v>
      </c>
      <c r="M163" s="54">
        <f t="shared" ref="M163" si="1897">IFERROR(L163/L$19,0)</f>
        <v>0</v>
      </c>
      <c r="N163" s="53">
        <f>IFERROR(VLOOKUP($A163,APOIO!$B:$N,MATCH(N$5,APOIO!$B$5:$N$5,0),FALSE),0)</f>
        <v>0</v>
      </c>
      <c r="O163" s="54">
        <f t="shared" ref="O163" si="1898">IFERROR(N163/N$19,0)</f>
        <v>0</v>
      </c>
      <c r="P163" s="53">
        <f t="shared" si="1585"/>
        <v>0</v>
      </c>
      <c r="Q163" s="55">
        <f t="shared" ref="Q163" si="1899">IFERROR(P163/P$19,0)</f>
        <v>0</v>
      </c>
      <c r="R163" s="53">
        <f>IFERROR(VLOOKUP($A163,APOIO!$B:$N,MATCH(R$5,APOIO!$B$5:$N$5,0),FALSE),0)</f>
        <v>0</v>
      </c>
      <c r="S163" s="55">
        <f t="shared" ref="S163" si="1900">IFERROR(R163/R$19,0)</f>
        <v>0</v>
      </c>
      <c r="T163" s="53">
        <f>IFERROR(VLOOKUP($A163,APOIO!$B:$N,MATCH(T$5,APOIO!$B$5:$N$5,0),FALSE),0)</f>
        <v>0</v>
      </c>
      <c r="U163" s="55">
        <f t="shared" ref="U163" si="1901">IFERROR(T163/T$19,0)</f>
        <v>0</v>
      </c>
      <c r="V163" s="53">
        <f>IFERROR(VLOOKUP($A163,APOIO!$B:$N,MATCH(V$5,APOIO!$B$5:$N$5,0),FALSE),0)</f>
        <v>0</v>
      </c>
      <c r="W163" s="54">
        <f t="shared" ref="W163" si="1902">IFERROR(V163/V$19,0)</f>
        <v>0</v>
      </c>
      <c r="X163" s="53">
        <f t="shared" si="1590"/>
        <v>0</v>
      </c>
      <c r="Y163" s="55">
        <f t="shared" ref="Y163" si="1903">IFERROR(X163/X$19,0)</f>
        <v>0</v>
      </c>
      <c r="Z163" s="53">
        <f>IFERROR(VLOOKUP($A163,APOIO!$B:$N,MATCH(Z$5,APOIO!$B$5:$N$5,0),FALSE),0)</f>
        <v>0</v>
      </c>
      <c r="AA163" s="54">
        <f t="shared" ref="AA163" si="1904">IFERROR(Z163/Z$19,0)</f>
        <v>0</v>
      </c>
      <c r="AB163" s="53">
        <f>IFERROR(VLOOKUP($A163,APOIO!$B:$N,MATCH(AB$5,APOIO!$B$5:$N$5,0),FALSE),0)</f>
        <v>0</v>
      </c>
      <c r="AC163" s="54">
        <f t="shared" ref="AC163" si="1905">IFERROR(AB163/AB$19,0)</f>
        <v>0</v>
      </c>
      <c r="AD163" s="53">
        <f>IFERROR(VLOOKUP($A163,APOIO!$B:$N,MATCH(AD$5,APOIO!$B$5:$N$5,0),FALSE),0)</f>
        <v>0</v>
      </c>
      <c r="AE163" s="54">
        <f t="shared" ref="AE163" si="1906">IFERROR(AD163/AD$19,0)</f>
        <v>0</v>
      </c>
      <c r="AF163" s="53">
        <f t="shared" si="1595"/>
        <v>0</v>
      </c>
      <c r="AG163" s="55">
        <f t="shared" ref="AG163" si="1907">IFERROR(AF163/AF$19,0)</f>
        <v>0</v>
      </c>
      <c r="AH163" s="53">
        <f t="shared" si="1597"/>
        <v>0</v>
      </c>
      <c r="AI163" s="55">
        <f t="shared" ref="AI163" si="1908">IFERROR(AH163/AH$19,0)</f>
        <v>0</v>
      </c>
    </row>
    <row r="164" spans="1:35" ht="16.2" hidden="1" outlineLevel="1" thickTop="1" x14ac:dyDescent="0.3">
      <c r="A164" s="36" t="s">
        <v>160</v>
      </c>
      <c r="B164" s="37">
        <f>IFERROR(VLOOKUP($A164,APOIO!$B:$N,MATCH(B$5,APOIO!$B$5:$N$5,0),FALSE),0)</f>
        <v>0</v>
      </c>
      <c r="C164" s="39">
        <f t="shared" si="1347"/>
        <v>0</v>
      </c>
      <c r="D164" s="37">
        <f>IFERROR(VLOOKUP($A164,APOIO!$B:$N,MATCH(D$5,APOIO!$B$5:$N$5,0),FALSE),0)</f>
        <v>0</v>
      </c>
      <c r="E164" s="39">
        <f t="shared" si="1347"/>
        <v>0</v>
      </c>
      <c r="F164" s="37">
        <f>IFERROR(VLOOKUP($A164,APOIO!$B:$N,MATCH(F$5,APOIO!$B$5:$N$5,0),FALSE),0)</f>
        <v>0</v>
      </c>
      <c r="G164" s="39">
        <f t="shared" ref="G164" si="1909">IFERROR(F164/F$19,0)</f>
        <v>0</v>
      </c>
      <c r="H164" s="37">
        <f t="shared" si="1580"/>
        <v>0</v>
      </c>
      <c r="I164" s="39">
        <f t="shared" ref="I164" si="1910">IFERROR(H164/H$19,0)</f>
        <v>0</v>
      </c>
      <c r="J164" s="37">
        <f>IFERROR(VLOOKUP($A164,APOIO!$B:$N,MATCH(J$5,APOIO!$B$5:$N$5,0),FALSE),0)</f>
        <v>0</v>
      </c>
      <c r="K164" s="39">
        <f t="shared" ref="K164" si="1911">IFERROR(J164/J$19,0)</f>
        <v>0</v>
      </c>
      <c r="L164" s="37">
        <f>IFERROR(VLOOKUP($A164,APOIO!$B:$N,MATCH(L$5,APOIO!$B$5:$N$5,0),FALSE),0)</f>
        <v>0</v>
      </c>
      <c r="M164" s="39">
        <f t="shared" ref="M164" si="1912">IFERROR(L164/L$19,0)</f>
        <v>0</v>
      </c>
      <c r="N164" s="37">
        <f>IFERROR(VLOOKUP($A164,APOIO!$B:$N,MATCH(N$5,APOIO!$B$5:$N$5,0),FALSE),0)</f>
        <v>0</v>
      </c>
      <c r="O164" s="39">
        <f t="shared" ref="O164" si="1913">IFERROR(N164/N$19,0)</f>
        <v>0</v>
      </c>
      <c r="P164" s="37">
        <f t="shared" si="1585"/>
        <v>0</v>
      </c>
      <c r="Q164" s="42">
        <f t="shared" ref="Q164" si="1914">IFERROR(P164/P$19,0)</f>
        <v>0</v>
      </c>
      <c r="R164" s="37">
        <f>IFERROR(VLOOKUP($A164,APOIO!$B:$N,MATCH(R$5,APOIO!$B$5:$N$5,0),FALSE),0)</f>
        <v>0</v>
      </c>
      <c r="S164" s="42">
        <f t="shared" ref="S164" si="1915">IFERROR(R164/R$19,0)</f>
        <v>0</v>
      </c>
      <c r="T164" s="37">
        <f>IFERROR(VLOOKUP($A164,APOIO!$B:$N,MATCH(T$5,APOIO!$B$5:$N$5,0),FALSE),0)</f>
        <v>0</v>
      </c>
      <c r="U164" s="42">
        <f t="shared" ref="U164" si="1916">IFERROR(T164/T$19,0)</f>
        <v>0</v>
      </c>
      <c r="V164" s="37">
        <f>IFERROR(VLOOKUP($A164,APOIO!$B:$N,MATCH(V$5,APOIO!$B$5:$N$5,0),FALSE),0)</f>
        <v>0</v>
      </c>
      <c r="W164" s="39">
        <f t="shared" ref="W164" si="1917">IFERROR(V164/V$19,0)</f>
        <v>0</v>
      </c>
      <c r="X164" s="37">
        <f t="shared" si="1590"/>
        <v>0</v>
      </c>
      <c r="Y164" s="42">
        <f t="shared" ref="Y164" si="1918">IFERROR(X164/X$19,0)</f>
        <v>0</v>
      </c>
      <c r="Z164" s="37">
        <f>IFERROR(VLOOKUP($A164,APOIO!$B:$N,MATCH(Z$5,APOIO!$B$5:$N$5,0),FALSE),0)</f>
        <v>0</v>
      </c>
      <c r="AA164" s="39">
        <f t="shared" ref="AA164" si="1919">IFERROR(Z164/Z$19,0)</f>
        <v>0</v>
      </c>
      <c r="AB164" s="37">
        <f>IFERROR(VLOOKUP($A164,APOIO!$B:$N,MATCH(AB$5,APOIO!$B$5:$N$5,0),FALSE),0)</f>
        <v>0</v>
      </c>
      <c r="AC164" s="39">
        <f t="shared" ref="AC164" si="1920">IFERROR(AB164/AB$19,0)</f>
        <v>0</v>
      </c>
      <c r="AD164" s="37">
        <f>IFERROR(VLOOKUP($A164,APOIO!$B:$N,MATCH(AD$5,APOIO!$B$5:$N$5,0),FALSE),0)</f>
        <v>0</v>
      </c>
      <c r="AE164" s="39">
        <f t="shared" ref="AE164" si="1921">IFERROR(AD164/AD$19,0)</f>
        <v>0</v>
      </c>
      <c r="AF164" s="37">
        <f t="shared" si="1595"/>
        <v>0</v>
      </c>
      <c r="AG164" s="42">
        <f t="shared" ref="AG164" si="1922">IFERROR(AF164/AF$19,0)</f>
        <v>0</v>
      </c>
      <c r="AH164" s="37">
        <f t="shared" si="1597"/>
        <v>0</v>
      </c>
      <c r="AI164" s="42">
        <f t="shared" ref="AI164" si="1923">IFERROR(AH164/AH$19,0)</f>
        <v>0</v>
      </c>
    </row>
    <row r="165" spans="1:35" ht="15.6" hidden="1" outlineLevel="1" x14ac:dyDescent="0.3">
      <c r="A165" s="35" t="s">
        <v>33</v>
      </c>
      <c r="B165" s="29">
        <f>IFERROR(VLOOKUP($A165,APOIO!$B:$N,MATCH(B$5,APOIO!$B$5:$N$5,0),FALSE),0)</f>
        <v>0</v>
      </c>
      <c r="C165" s="38">
        <f t="shared" si="1347"/>
        <v>0</v>
      </c>
      <c r="D165" s="29">
        <f>IFERROR(VLOOKUP($A165,APOIO!$B:$N,MATCH(D$5,APOIO!$B$5:$N$5,0),FALSE),0)</f>
        <v>0</v>
      </c>
      <c r="E165" s="38">
        <f t="shared" si="1347"/>
        <v>0</v>
      </c>
      <c r="F165" s="29">
        <f>IFERROR(VLOOKUP($A165,APOIO!$B:$N,MATCH(F$5,APOIO!$B$5:$N$5,0),FALSE),0)</f>
        <v>0</v>
      </c>
      <c r="G165" s="38">
        <f t="shared" ref="G165" si="1924">IFERROR(F165/F$19,0)</f>
        <v>0</v>
      </c>
      <c r="H165" s="30">
        <f t="shared" si="1580"/>
        <v>0</v>
      </c>
      <c r="I165" s="40">
        <f t="shared" ref="I165" si="1925">IFERROR(H165/H$19,0)</f>
        <v>0</v>
      </c>
      <c r="J165" s="29">
        <f>IFERROR(VLOOKUP($A165,APOIO!$B:$N,MATCH(J$5,APOIO!$B$5:$N$5,0),FALSE),0)</f>
        <v>0</v>
      </c>
      <c r="K165" s="38">
        <f t="shared" ref="K165" si="1926">IFERROR(J165/J$19,0)</f>
        <v>0</v>
      </c>
      <c r="L165" s="29">
        <f>IFERROR(VLOOKUP($A165,APOIO!$B:$N,MATCH(L$5,APOIO!$B$5:$N$5,0),FALSE),0)</f>
        <v>0</v>
      </c>
      <c r="M165" s="38">
        <f t="shared" ref="M165" si="1927">IFERROR(L165/L$19,0)</f>
        <v>0</v>
      </c>
      <c r="N165" s="29">
        <f>IFERROR(VLOOKUP($A165,APOIO!$B:$N,MATCH(N$5,APOIO!$B$5:$N$5,0),FALSE),0)</f>
        <v>0</v>
      </c>
      <c r="O165" s="38">
        <f t="shared" ref="O165" si="1928">IFERROR(N165/N$19,0)</f>
        <v>0</v>
      </c>
      <c r="P165" s="30">
        <f t="shared" si="1585"/>
        <v>0</v>
      </c>
      <c r="Q165" s="41">
        <f t="shared" ref="Q165" si="1929">IFERROR(P165/P$19,0)</f>
        <v>0</v>
      </c>
      <c r="R165" s="29">
        <f>IFERROR(VLOOKUP($A165,APOIO!$B:$N,MATCH(R$5,APOIO!$B$5:$N$5,0),FALSE),0)</f>
        <v>0</v>
      </c>
      <c r="S165" s="41">
        <f t="shared" ref="S165" si="1930">IFERROR(R165/R$19,0)</f>
        <v>0</v>
      </c>
      <c r="T165" s="29">
        <f>IFERROR(VLOOKUP($A165,APOIO!$B:$N,MATCH(T$5,APOIO!$B$5:$N$5,0),FALSE),0)</f>
        <v>0</v>
      </c>
      <c r="U165" s="41">
        <f t="shared" ref="U165" si="1931">IFERROR(T165/T$19,0)</f>
        <v>0</v>
      </c>
      <c r="V165" s="29">
        <f>IFERROR(VLOOKUP($A165,APOIO!$B:$N,MATCH(V$5,APOIO!$B$5:$N$5,0),FALSE),0)</f>
        <v>0</v>
      </c>
      <c r="W165" s="38">
        <f t="shared" ref="W165" si="1932">IFERROR(V165/V$19,0)</f>
        <v>0</v>
      </c>
      <c r="X165" s="30">
        <f t="shared" si="1590"/>
        <v>0</v>
      </c>
      <c r="Y165" s="41">
        <f t="shared" ref="Y165" si="1933">IFERROR(X165/X$19,0)</f>
        <v>0</v>
      </c>
      <c r="Z165" s="29">
        <f>IFERROR(VLOOKUP($A165,APOIO!$B:$N,MATCH(Z$5,APOIO!$B$5:$N$5,0),FALSE),0)</f>
        <v>0</v>
      </c>
      <c r="AA165" s="38">
        <f t="shared" ref="AA165" si="1934">IFERROR(Z165/Z$19,0)</f>
        <v>0</v>
      </c>
      <c r="AB165" s="29">
        <f>IFERROR(VLOOKUP($A165,APOIO!$B:$N,MATCH(AB$5,APOIO!$B$5:$N$5,0),FALSE),0)</f>
        <v>0</v>
      </c>
      <c r="AC165" s="38">
        <f t="shared" ref="AC165" si="1935">IFERROR(AB165/AB$19,0)</f>
        <v>0</v>
      </c>
      <c r="AD165" s="29">
        <f>IFERROR(VLOOKUP($A165,APOIO!$B:$N,MATCH(AD$5,APOIO!$B$5:$N$5,0),FALSE),0)</f>
        <v>0</v>
      </c>
      <c r="AE165" s="38">
        <f t="shared" ref="AE165" si="1936">IFERROR(AD165/AD$19,0)</f>
        <v>0</v>
      </c>
      <c r="AF165" s="30">
        <f t="shared" si="1595"/>
        <v>0</v>
      </c>
      <c r="AG165" s="41">
        <f t="shared" ref="AG165" si="1937">IFERROR(AF165/AF$19,0)</f>
        <v>0</v>
      </c>
      <c r="AH165" s="29">
        <f t="shared" si="1597"/>
        <v>0</v>
      </c>
      <c r="AI165" s="41">
        <f t="shared" ref="AI165" si="1938">IFERROR(AH165/AH$19,0)</f>
        <v>0</v>
      </c>
    </row>
    <row r="166" spans="1:35" ht="15.6" hidden="1" outlineLevel="1" x14ac:dyDescent="0.3">
      <c r="A166" s="35" t="s">
        <v>55</v>
      </c>
      <c r="B166" s="29">
        <f>IFERROR(VLOOKUP($A166,APOIO!$B:$N,MATCH(B$5,APOIO!$B$5:$N$5,0),FALSE),0)</f>
        <v>0</v>
      </c>
      <c r="C166" s="38">
        <f t="shared" si="1347"/>
        <v>0</v>
      </c>
      <c r="D166" s="29">
        <f>IFERROR(VLOOKUP($A166,APOIO!$B:$N,MATCH(D$5,APOIO!$B$5:$N$5,0),FALSE),0)</f>
        <v>0</v>
      </c>
      <c r="E166" s="38">
        <f t="shared" si="1347"/>
        <v>0</v>
      </c>
      <c r="F166" s="29">
        <f>IFERROR(VLOOKUP($A166,APOIO!$B:$N,MATCH(F$5,APOIO!$B$5:$N$5,0),FALSE),0)</f>
        <v>0</v>
      </c>
      <c r="G166" s="38">
        <f t="shared" ref="G166" si="1939">IFERROR(F166/F$19,0)</f>
        <v>0</v>
      </c>
      <c r="H166" s="30">
        <f t="shared" si="1580"/>
        <v>0</v>
      </c>
      <c r="I166" s="40">
        <f t="shared" ref="I166" si="1940">IFERROR(H166/H$19,0)</f>
        <v>0</v>
      </c>
      <c r="J166" s="29">
        <f>IFERROR(VLOOKUP($A166,APOIO!$B:$N,MATCH(J$5,APOIO!$B$5:$N$5,0),FALSE),0)</f>
        <v>0</v>
      </c>
      <c r="K166" s="38">
        <f t="shared" ref="K166" si="1941">IFERROR(J166/J$19,0)</f>
        <v>0</v>
      </c>
      <c r="L166" s="29">
        <f>IFERROR(VLOOKUP($A166,APOIO!$B:$N,MATCH(L$5,APOIO!$B$5:$N$5,0),FALSE),0)</f>
        <v>0</v>
      </c>
      <c r="M166" s="38">
        <f t="shared" ref="M166" si="1942">IFERROR(L166/L$19,0)</f>
        <v>0</v>
      </c>
      <c r="N166" s="29">
        <f>IFERROR(VLOOKUP($A166,APOIO!$B:$N,MATCH(N$5,APOIO!$B$5:$N$5,0),FALSE),0)</f>
        <v>0</v>
      </c>
      <c r="O166" s="38">
        <f t="shared" ref="O166" si="1943">IFERROR(N166/N$19,0)</f>
        <v>0</v>
      </c>
      <c r="P166" s="30">
        <f t="shared" si="1585"/>
        <v>0</v>
      </c>
      <c r="Q166" s="41">
        <f t="shared" ref="Q166" si="1944">IFERROR(P166/P$19,0)</f>
        <v>0</v>
      </c>
      <c r="R166" s="29">
        <f>IFERROR(VLOOKUP($A166,APOIO!$B:$N,MATCH(R$5,APOIO!$B$5:$N$5,0),FALSE),0)</f>
        <v>0</v>
      </c>
      <c r="S166" s="41">
        <f t="shared" ref="S166" si="1945">IFERROR(R166/R$19,0)</f>
        <v>0</v>
      </c>
      <c r="T166" s="29">
        <f>IFERROR(VLOOKUP($A166,APOIO!$B:$N,MATCH(T$5,APOIO!$B$5:$N$5,0),FALSE),0)</f>
        <v>0</v>
      </c>
      <c r="U166" s="41">
        <f t="shared" ref="U166" si="1946">IFERROR(T166/T$19,0)</f>
        <v>0</v>
      </c>
      <c r="V166" s="29">
        <f>IFERROR(VLOOKUP($A166,APOIO!$B:$N,MATCH(V$5,APOIO!$B$5:$N$5,0),FALSE),0)</f>
        <v>0</v>
      </c>
      <c r="W166" s="38">
        <f t="shared" ref="W166" si="1947">IFERROR(V166/V$19,0)</f>
        <v>0</v>
      </c>
      <c r="X166" s="30">
        <f t="shared" si="1590"/>
        <v>0</v>
      </c>
      <c r="Y166" s="41">
        <f t="shared" ref="Y166" si="1948">IFERROR(X166/X$19,0)</f>
        <v>0</v>
      </c>
      <c r="Z166" s="29">
        <f>IFERROR(VLOOKUP($A166,APOIO!$B:$N,MATCH(Z$5,APOIO!$B$5:$N$5,0),FALSE),0)</f>
        <v>0</v>
      </c>
      <c r="AA166" s="38">
        <f t="shared" ref="AA166" si="1949">IFERROR(Z166/Z$19,0)</f>
        <v>0</v>
      </c>
      <c r="AB166" s="29">
        <f>IFERROR(VLOOKUP($A166,APOIO!$B:$N,MATCH(AB$5,APOIO!$B$5:$N$5,0),FALSE),0)</f>
        <v>0</v>
      </c>
      <c r="AC166" s="38">
        <f t="shared" ref="AC166" si="1950">IFERROR(AB166/AB$19,0)</f>
        <v>0</v>
      </c>
      <c r="AD166" s="29">
        <f>IFERROR(VLOOKUP($A166,APOIO!$B:$N,MATCH(AD$5,APOIO!$B$5:$N$5,0),FALSE),0)</f>
        <v>0</v>
      </c>
      <c r="AE166" s="38">
        <f t="shared" ref="AE166" si="1951">IFERROR(AD166/AD$19,0)</f>
        <v>0</v>
      </c>
      <c r="AF166" s="30">
        <f t="shared" si="1595"/>
        <v>0</v>
      </c>
      <c r="AG166" s="41">
        <f t="shared" ref="AG166" si="1952">IFERROR(AF166/AF$19,0)</f>
        <v>0</v>
      </c>
      <c r="AH166" s="29">
        <f t="shared" si="1597"/>
        <v>0</v>
      </c>
      <c r="AI166" s="41">
        <f t="shared" ref="AI166" si="1953">IFERROR(AH166/AH$19,0)</f>
        <v>0</v>
      </c>
    </row>
    <row r="167" spans="1:35" ht="15.6" hidden="1" outlineLevel="1" x14ac:dyDescent="0.3">
      <c r="A167" s="36" t="s">
        <v>159</v>
      </c>
      <c r="B167" s="37">
        <f>IFERROR(VLOOKUP($A167,APOIO!$B:$N,MATCH(B$5,APOIO!$B$5:$N$5,0),FALSE),0)</f>
        <v>0</v>
      </c>
      <c r="C167" s="39">
        <f t="shared" si="1347"/>
        <v>0</v>
      </c>
      <c r="D167" s="37">
        <f>IFERROR(VLOOKUP($A167,APOIO!$B:$N,MATCH(D$5,APOIO!$B$5:$N$5,0),FALSE),0)</f>
        <v>0</v>
      </c>
      <c r="E167" s="39">
        <f t="shared" si="1347"/>
        <v>0</v>
      </c>
      <c r="F167" s="37">
        <f>IFERROR(VLOOKUP($A167,APOIO!$B:$N,MATCH(F$5,APOIO!$B$5:$N$5,0),FALSE),0)</f>
        <v>0</v>
      </c>
      <c r="G167" s="39">
        <f t="shared" ref="G167" si="1954">IFERROR(F167/F$19,0)</f>
        <v>0</v>
      </c>
      <c r="H167" s="37">
        <f t="shared" si="1580"/>
        <v>0</v>
      </c>
      <c r="I167" s="39">
        <f t="shared" ref="I167" si="1955">IFERROR(H167/H$19,0)</f>
        <v>0</v>
      </c>
      <c r="J167" s="37">
        <f>IFERROR(VLOOKUP($A167,APOIO!$B:$N,MATCH(J$5,APOIO!$B$5:$N$5,0),FALSE),0)</f>
        <v>0</v>
      </c>
      <c r="K167" s="39">
        <f t="shared" ref="K167" si="1956">IFERROR(J167/J$19,0)</f>
        <v>0</v>
      </c>
      <c r="L167" s="37">
        <f>IFERROR(VLOOKUP($A167,APOIO!$B:$N,MATCH(L$5,APOIO!$B$5:$N$5,0),FALSE),0)</f>
        <v>0</v>
      </c>
      <c r="M167" s="39">
        <f t="shared" ref="M167" si="1957">IFERROR(L167/L$19,0)</f>
        <v>0</v>
      </c>
      <c r="N167" s="37">
        <f>IFERROR(VLOOKUP($A167,APOIO!$B:$N,MATCH(N$5,APOIO!$B$5:$N$5,0),FALSE),0)</f>
        <v>0</v>
      </c>
      <c r="O167" s="39">
        <f t="shared" ref="O167" si="1958">IFERROR(N167/N$19,0)</f>
        <v>0</v>
      </c>
      <c r="P167" s="37">
        <f t="shared" si="1585"/>
        <v>0</v>
      </c>
      <c r="Q167" s="42">
        <f t="shared" ref="Q167" si="1959">IFERROR(P167/P$19,0)</f>
        <v>0</v>
      </c>
      <c r="R167" s="37">
        <f>IFERROR(VLOOKUP($A167,APOIO!$B:$N,MATCH(R$5,APOIO!$B$5:$N$5,0),FALSE),0)</f>
        <v>0</v>
      </c>
      <c r="S167" s="42">
        <f t="shared" ref="S167" si="1960">IFERROR(R167/R$19,0)</f>
        <v>0</v>
      </c>
      <c r="T167" s="37">
        <f>IFERROR(VLOOKUP($A167,APOIO!$B:$N,MATCH(T$5,APOIO!$B$5:$N$5,0),FALSE),0)</f>
        <v>0</v>
      </c>
      <c r="U167" s="42">
        <f t="shared" ref="U167" si="1961">IFERROR(T167/T$19,0)</f>
        <v>0</v>
      </c>
      <c r="V167" s="37">
        <f>IFERROR(VLOOKUP($A167,APOIO!$B:$N,MATCH(V$5,APOIO!$B$5:$N$5,0),FALSE),0)</f>
        <v>0</v>
      </c>
      <c r="W167" s="39">
        <f t="shared" ref="W167" si="1962">IFERROR(V167/V$19,0)</f>
        <v>0</v>
      </c>
      <c r="X167" s="37">
        <f t="shared" si="1590"/>
        <v>0</v>
      </c>
      <c r="Y167" s="42">
        <f t="shared" ref="Y167" si="1963">IFERROR(X167/X$19,0)</f>
        <v>0</v>
      </c>
      <c r="Z167" s="37">
        <f>IFERROR(VLOOKUP($A167,APOIO!$B:$N,MATCH(Z$5,APOIO!$B$5:$N$5,0),FALSE),0)</f>
        <v>0</v>
      </c>
      <c r="AA167" s="39">
        <f t="shared" ref="AA167" si="1964">IFERROR(Z167/Z$19,0)</f>
        <v>0</v>
      </c>
      <c r="AB167" s="37">
        <f>IFERROR(VLOOKUP($A167,APOIO!$B:$N,MATCH(AB$5,APOIO!$B$5:$N$5,0),FALSE),0)</f>
        <v>0</v>
      </c>
      <c r="AC167" s="39">
        <f t="shared" ref="AC167" si="1965">IFERROR(AB167/AB$19,0)</f>
        <v>0</v>
      </c>
      <c r="AD167" s="37">
        <f>IFERROR(VLOOKUP($A167,APOIO!$B:$N,MATCH(AD$5,APOIO!$B$5:$N$5,0),FALSE),0)</f>
        <v>0</v>
      </c>
      <c r="AE167" s="39">
        <f t="shared" ref="AE167" si="1966">IFERROR(AD167/AD$19,0)</f>
        <v>0</v>
      </c>
      <c r="AF167" s="37">
        <f t="shared" si="1595"/>
        <v>0</v>
      </c>
      <c r="AG167" s="42">
        <f t="shared" ref="AG167" si="1967">IFERROR(AF167/AF$19,0)</f>
        <v>0</v>
      </c>
      <c r="AH167" s="37">
        <f t="shared" si="1597"/>
        <v>0</v>
      </c>
      <c r="AI167" s="42">
        <f t="shared" ref="AI167" si="1968">IFERROR(AH167/AH$19,0)</f>
        <v>0</v>
      </c>
    </row>
    <row r="168" spans="1:35" ht="15.6" hidden="1" outlineLevel="1" x14ac:dyDescent="0.3">
      <c r="A168" s="35" t="s">
        <v>32</v>
      </c>
      <c r="B168" s="29">
        <f>IFERROR(VLOOKUP($A168,APOIO!$B:$N,MATCH(B$5,APOIO!$B$5:$N$5,0),FALSE),0)</f>
        <v>0</v>
      </c>
      <c r="C168" s="38">
        <f t="shared" si="1347"/>
        <v>0</v>
      </c>
      <c r="D168" s="29">
        <f>IFERROR(VLOOKUP($A168,APOIO!$B:$N,MATCH(D$5,APOIO!$B$5:$N$5,0),FALSE),0)</f>
        <v>0</v>
      </c>
      <c r="E168" s="38">
        <f t="shared" si="1347"/>
        <v>0</v>
      </c>
      <c r="F168" s="29">
        <f>IFERROR(VLOOKUP($A168,APOIO!$B:$N,MATCH(F$5,APOIO!$B$5:$N$5,0),FALSE),0)</f>
        <v>0</v>
      </c>
      <c r="G168" s="38">
        <f t="shared" ref="G168:G170" si="1969">IFERROR(F168/F$19,0)</f>
        <v>0</v>
      </c>
      <c r="H168" s="30">
        <f t="shared" si="1580"/>
        <v>0</v>
      </c>
      <c r="I168" s="40">
        <f t="shared" ref="I168:I170" si="1970">IFERROR(H168/H$19,0)</f>
        <v>0</v>
      </c>
      <c r="J168" s="29">
        <f>IFERROR(VLOOKUP($A168,APOIO!$B:$N,MATCH(J$5,APOIO!$B$5:$N$5,0),FALSE),0)</f>
        <v>0</v>
      </c>
      <c r="K168" s="38">
        <f t="shared" ref="K168:K170" si="1971">IFERROR(J168/J$19,0)</f>
        <v>0</v>
      </c>
      <c r="L168" s="29">
        <f>IFERROR(VLOOKUP($A168,APOIO!$B:$N,MATCH(L$5,APOIO!$B$5:$N$5,0),FALSE),0)</f>
        <v>0</v>
      </c>
      <c r="M168" s="38">
        <f t="shared" ref="M168:M170" si="1972">IFERROR(L168/L$19,0)</f>
        <v>0</v>
      </c>
      <c r="N168" s="29">
        <f>IFERROR(VLOOKUP($A168,APOIO!$B:$N,MATCH(N$5,APOIO!$B$5:$N$5,0),FALSE),0)</f>
        <v>0</v>
      </c>
      <c r="O168" s="38">
        <f t="shared" ref="O168:O170" si="1973">IFERROR(N168/N$19,0)</f>
        <v>0</v>
      </c>
      <c r="P168" s="30">
        <f t="shared" si="1585"/>
        <v>0</v>
      </c>
      <c r="Q168" s="41">
        <f t="shared" ref="Q168:Q170" si="1974">IFERROR(P168/P$19,0)</f>
        <v>0</v>
      </c>
      <c r="R168" s="29">
        <f>IFERROR(VLOOKUP($A168,APOIO!$B:$N,MATCH(R$5,APOIO!$B$5:$N$5,0),FALSE),0)</f>
        <v>0</v>
      </c>
      <c r="S168" s="41">
        <f t="shared" ref="S168:S170" si="1975">IFERROR(R168/R$19,0)</f>
        <v>0</v>
      </c>
      <c r="T168" s="29">
        <f>IFERROR(VLOOKUP($A168,APOIO!$B:$N,MATCH(T$5,APOIO!$B$5:$N$5,0),FALSE),0)</f>
        <v>0</v>
      </c>
      <c r="U168" s="41">
        <f t="shared" ref="U168:U170" si="1976">IFERROR(T168/T$19,0)</f>
        <v>0</v>
      </c>
      <c r="V168" s="29">
        <f>IFERROR(VLOOKUP($A168,APOIO!$B:$N,MATCH(V$5,APOIO!$B$5:$N$5,0),FALSE),0)</f>
        <v>0</v>
      </c>
      <c r="W168" s="38">
        <f t="shared" ref="W168:W170" si="1977">IFERROR(V168/V$19,0)</f>
        <v>0</v>
      </c>
      <c r="X168" s="30">
        <f t="shared" si="1590"/>
        <v>0</v>
      </c>
      <c r="Y168" s="41">
        <f t="shared" ref="Y168:Y170" si="1978">IFERROR(X168/X$19,0)</f>
        <v>0</v>
      </c>
      <c r="Z168" s="29">
        <f>IFERROR(VLOOKUP($A168,APOIO!$B:$N,MATCH(Z$5,APOIO!$B$5:$N$5,0),FALSE),0)</f>
        <v>0</v>
      </c>
      <c r="AA168" s="38">
        <f t="shared" ref="AA168:AA170" si="1979">IFERROR(Z168/Z$19,0)</f>
        <v>0</v>
      </c>
      <c r="AB168" s="29">
        <f>IFERROR(VLOOKUP($A168,APOIO!$B:$N,MATCH(AB$5,APOIO!$B$5:$N$5,0),FALSE),0)</f>
        <v>0</v>
      </c>
      <c r="AC168" s="38">
        <f t="shared" ref="AC168:AC170" si="1980">IFERROR(AB168/AB$19,0)</f>
        <v>0</v>
      </c>
      <c r="AD168" s="29">
        <f>IFERROR(VLOOKUP($A168,APOIO!$B:$N,MATCH(AD$5,APOIO!$B$5:$N$5,0),FALSE),0)</f>
        <v>0</v>
      </c>
      <c r="AE168" s="38">
        <f t="shared" ref="AE168:AE170" si="1981">IFERROR(AD168/AD$19,0)</f>
        <v>0</v>
      </c>
      <c r="AF168" s="30">
        <f t="shared" si="1595"/>
        <v>0</v>
      </c>
      <c r="AG168" s="41">
        <f t="shared" ref="AG168:AG170" si="1982">IFERROR(AF168/AF$19,0)</f>
        <v>0</v>
      </c>
      <c r="AH168" s="29">
        <f t="shared" si="1597"/>
        <v>0</v>
      </c>
      <c r="AI168" s="41">
        <f t="shared" ref="AI168:AI170" si="1983">IFERROR(AH168/AH$19,0)</f>
        <v>0</v>
      </c>
    </row>
    <row r="169" spans="1:35" ht="15.6" hidden="1" outlineLevel="1" x14ac:dyDescent="0.3">
      <c r="A169" s="35" t="s">
        <v>1753</v>
      </c>
      <c r="B169" s="29">
        <f>IFERROR(VLOOKUP($A169,APOIO!$B:$N,MATCH(B$5,APOIO!$B$5:$N$5,0),FALSE),0)</f>
        <v>0</v>
      </c>
      <c r="C169" s="38">
        <f t="shared" si="1347"/>
        <v>0</v>
      </c>
      <c r="D169" s="29">
        <f>IFERROR(VLOOKUP($A169,APOIO!$B:$N,MATCH(D$5,APOIO!$B$5:$N$5,0),FALSE),0)</f>
        <v>0</v>
      </c>
      <c r="E169" s="38">
        <f t="shared" si="1347"/>
        <v>0</v>
      </c>
      <c r="F169" s="29">
        <f>IFERROR(VLOOKUP($A169,APOIO!$B:$N,MATCH(F$5,APOIO!$B$5:$N$5,0),FALSE),0)</f>
        <v>0</v>
      </c>
      <c r="G169" s="38">
        <f t="shared" ref="G169" si="1984">IFERROR(F169/F$19,0)</f>
        <v>0</v>
      </c>
      <c r="H169" s="30">
        <f t="shared" si="1580"/>
        <v>0</v>
      </c>
      <c r="I169" s="40">
        <f t="shared" ref="I169" si="1985">IFERROR(H169/H$19,0)</f>
        <v>0</v>
      </c>
      <c r="J169" s="29">
        <f>IFERROR(VLOOKUP($A169,APOIO!$B:$N,MATCH(J$5,APOIO!$B$5:$N$5,0),FALSE),0)</f>
        <v>0</v>
      </c>
      <c r="K169" s="38">
        <f t="shared" ref="K169" si="1986">IFERROR(J169/J$19,0)</f>
        <v>0</v>
      </c>
      <c r="L169" s="29">
        <f>IFERROR(VLOOKUP($A169,APOIO!$B:$N,MATCH(L$5,APOIO!$B$5:$N$5,0),FALSE),0)</f>
        <v>0</v>
      </c>
      <c r="M169" s="38">
        <f t="shared" ref="M169" si="1987">IFERROR(L169/L$19,0)</f>
        <v>0</v>
      </c>
      <c r="N169" s="29">
        <f>IFERROR(VLOOKUP($A169,APOIO!$B:$N,MATCH(N$5,APOIO!$B$5:$N$5,0),FALSE),0)</f>
        <v>0</v>
      </c>
      <c r="O169" s="38">
        <f t="shared" ref="O169" si="1988">IFERROR(N169/N$19,0)</f>
        <v>0</v>
      </c>
      <c r="P169" s="30">
        <f t="shared" si="1585"/>
        <v>0</v>
      </c>
      <c r="Q169" s="41">
        <f t="shared" ref="Q169" si="1989">IFERROR(P169/P$19,0)</f>
        <v>0</v>
      </c>
      <c r="R169" s="29">
        <f>IFERROR(VLOOKUP($A169,APOIO!$B:$N,MATCH(R$5,APOIO!$B$5:$N$5,0),FALSE),0)</f>
        <v>0</v>
      </c>
      <c r="S169" s="41">
        <f t="shared" ref="S169" si="1990">IFERROR(R169/R$19,0)</f>
        <v>0</v>
      </c>
      <c r="T169" s="29">
        <f>IFERROR(VLOOKUP($A169,APOIO!$B:$N,MATCH(T$5,APOIO!$B$5:$N$5,0),FALSE),0)</f>
        <v>0</v>
      </c>
      <c r="U169" s="41">
        <f t="shared" ref="U169" si="1991">IFERROR(T169/T$19,0)</f>
        <v>0</v>
      </c>
      <c r="V169" s="29">
        <f>IFERROR(VLOOKUP($A169,APOIO!$B:$N,MATCH(V$5,APOIO!$B$5:$N$5,0),FALSE),0)</f>
        <v>0</v>
      </c>
      <c r="W169" s="38">
        <f t="shared" ref="W169" si="1992">IFERROR(V169/V$19,0)</f>
        <v>0</v>
      </c>
      <c r="X169" s="30">
        <f t="shared" si="1590"/>
        <v>0</v>
      </c>
      <c r="Y169" s="41">
        <f t="shared" ref="Y169" si="1993">IFERROR(X169/X$19,0)</f>
        <v>0</v>
      </c>
      <c r="Z169" s="29">
        <f>IFERROR(VLOOKUP($A169,APOIO!$B:$N,MATCH(Z$5,APOIO!$B$5:$N$5,0),FALSE),0)</f>
        <v>0</v>
      </c>
      <c r="AA169" s="38">
        <f t="shared" ref="AA169" si="1994">IFERROR(Z169/Z$19,0)</f>
        <v>0</v>
      </c>
      <c r="AB169" s="29">
        <f>IFERROR(VLOOKUP($A169,APOIO!$B:$N,MATCH(AB$5,APOIO!$B$5:$N$5,0),FALSE),0)</f>
        <v>0</v>
      </c>
      <c r="AC169" s="38">
        <f t="shared" ref="AC169" si="1995">IFERROR(AB169/AB$19,0)</f>
        <v>0</v>
      </c>
      <c r="AD169" s="29">
        <f>IFERROR(VLOOKUP($A169,APOIO!$B:$N,MATCH(AD$5,APOIO!$B$5:$N$5,0),FALSE),0)</f>
        <v>0</v>
      </c>
      <c r="AE169" s="38">
        <f t="shared" ref="AE169" si="1996">IFERROR(AD169/AD$19,0)</f>
        <v>0</v>
      </c>
      <c r="AF169" s="30">
        <f t="shared" si="1595"/>
        <v>0</v>
      </c>
      <c r="AG169" s="41">
        <f t="shared" ref="AG169" si="1997">IFERROR(AF169/AF$19,0)</f>
        <v>0</v>
      </c>
      <c r="AH169" s="29">
        <f t="shared" si="1597"/>
        <v>0</v>
      </c>
      <c r="AI169" s="41">
        <f t="shared" ref="AI169" si="1998">IFERROR(AH169/AH$19,0)</f>
        <v>0</v>
      </c>
    </row>
    <row r="170" spans="1:35" ht="15.6" hidden="1" outlineLevel="1" x14ac:dyDescent="0.3">
      <c r="A170" s="35" t="s">
        <v>1752</v>
      </c>
      <c r="B170" s="29">
        <f>IFERROR(VLOOKUP($A170,APOIO!$B:$N,MATCH(B$5,APOIO!$B$5:$N$5,0),FALSE),0)</f>
        <v>0</v>
      </c>
      <c r="C170" s="38">
        <f t="shared" ref="C170" si="1999">IFERROR(B170/B$19,0)</f>
        <v>0</v>
      </c>
      <c r="D170" s="29">
        <f>IFERROR(VLOOKUP($A170,APOIO!$B:$N,MATCH(D$5,APOIO!$B$5:$N$5,0),FALSE),0)</f>
        <v>0</v>
      </c>
      <c r="E170" s="38">
        <f t="shared" ref="E170" si="2000">IFERROR(D170/D$19,0)</f>
        <v>0</v>
      </c>
      <c r="F170" s="29">
        <f>IFERROR(VLOOKUP($A170,APOIO!$B:$N,MATCH(F$5,APOIO!$B$5:$N$5,0),FALSE),0)</f>
        <v>0</v>
      </c>
      <c r="G170" s="38">
        <f t="shared" si="1969"/>
        <v>0</v>
      </c>
      <c r="H170" s="30">
        <f t="shared" ref="H170" si="2001">SUM(B170,D170,F170)</f>
        <v>0</v>
      </c>
      <c r="I170" s="40">
        <f t="shared" si="1970"/>
        <v>0</v>
      </c>
      <c r="J170" s="29">
        <f>IFERROR(VLOOKUP($A170,APOIO!$B:$N,MATCH(J$5,APOIO!$B$5:$N$5,0),FALSE),0)</f>
        <v>0</v>
      </c>
      <c r="K170" s="38">
        <f t="shared" si="1971"/>
        <v>0</v>
      </c>
      <c r="L170" s="29">
        <f>IFERROR(VLOOKUP($A170,APOIO!$B:$N,MATCH(L$5,APOIO!$B$5:$N$5,0),FALSE),0)</f>
        <v>0</v>
      </c>
      <c r="M170" s="38">
        <f t="shared" si="1972"/>
        <v>0</v>
      </c>
      <c r="N170" s="29">
        <f>IFERROR(VLOOKUP($A170,APOIO!$B:$N,MATCH(N$5,APOIO!$B$5:$N$5,0),FALSE),0)</f>
        <v>0</v>
      </c>
      <c r="O170" s="38">
        <f t="shared" si="1973"/>
        <v>0</v>
      </c>
      <c r="P170" s="30">
        <f t="shared" ref="P170" si="2002">SUM(J170,L170,N170)</f>
        <v>0</v>
      </c>
      <c r="Q170" s="41">
        <f t="shared" si="1974"/>
        <v>0</v>
      </c>
      <c r="R170" s="29">
        <f>IFERROR(VLOOKUP($A170,APOIO!$B:$N,MATCH(R$5,APOIO!$B$5:$N$5,0),FALSE),0)</f>
        <v>0</v>
      </c>
      <c r="S170" s="41">
        <f t="shared" si="1975"/>
        <v>0</v>
      </c>
      <c r="T170" s="29">
        <f>IFERROR(VLOOKUP($A170,APOIO!$B:$N,MATCH(T$5,APOIO!$B$5:$N$5,0),FALSE),0)</f>
        <v>0</v>
      </c>
      <c r="U170" s="41">
        <f t="shared" si="1976"/>
        <v>0</v>
      </c>
      <c r="V170" s="29">
        <f>IFERROR(VLOOKUP($A170,APOIO!$B:$N,MATCH(V$5,APOIO!$B$5:$N$5,0),FALSE),0)</f>
        <v>0</v>
      </c>
      <c r="W170" s="38">
        <f t="shared" si="1977"/>
        <v>0</v>
      </c>
      <c r="X170" s="30">
        <f t="shared" ref="X170" si="2003">SUM(R170,T170,V170)</f>
        <v>0</v>
      </c>
      <c r="Y170" s="41">
        <f t="shared" si="1978"/>
        <v>0</v>
      </c>
      <c r="Z170" s="29">
        <f>IFERROR(VLOOKUP($A170,APOIO!$B:$N,MATCH(Z$5,APOIO!$B$5:$N$5,0),FALSE),0)</f>
        <v>0</v>
      </c>
      <c r="AA170" s="38">
        <f t="shared" si="1979"/>
        <v>0</v>
      </c>
      <c r="AB170" s="29">
        <f>IFERROR(VLOOKUP($A170,APOIO!$B:$N,MATCH(AB$5,APOIO!$B$5:$N$5,0),FALSE),0)</f>
        <v>0</v>
      </c>
      <c r="AC170" s="38">
        <f t="shared" si="1980"/>
        <v>0</v>
      </c>
      <c r="AD170" s="29">
        <f>IFERROR(VLOOKUP($A170,APOIO!$B:$N,MATCH(AD$5,APOIO!$B$5:$N$5,0),FALSE),0)</f>
        <v>0</v>
      </c>
      <c r="AE170" s="38">
        <f t="shared" si="1981"/>
        <v>0</v>
      </c>
      <c r="AF170" s="30">
        <f t="shared" ref="AF170" si="2004">SUM(Z170,AB170,AD170)</f>
        <v>0</v>
      </c>
      <c r="AG170" s="41">
        <f t="shared" si="1982"/>
        <v>0</v>
      </c>
      <c r="AH170" s="29">
        <f t="shared" ref="AH170" si="2005">SUM(B170,D170,F170,J170,L170,N170,R170,T170,V170,Z170,AB170,AD170)</f>
        <v>0</v>
      </c>
      <c r="AI170" s="41">
        <f t="shared" si="1983"/>
        <v>0</v>
      </c>
    </row>
    <row r="171" spans="1:35" ht="15.6" hidden="1" outlineLevel="1" x14ac:dyDescent="0.3">
      <c r="A171" s="35" t="s">
        <v>34</v>
      </c>
      <c r="B171" s="29">
        <f>IFERROR(VLOOKUP($A171,APOIO!$B:$N,MATCH(B$5,APOIO!$B$5:$N$5,0),FALSE),0)</f>
        <v>0</v>
      </c>
      <c r="C171" s="38">
        <f t="shared" si="1347"/>
        <v>0</v>
      </c>
      <c r="D171" s="29">
        <f>IFERROR(VLOOKUP($A171,APOIO!$B:$N,MATCH(D$5,APOIO!$B$5:$N$5,0),FALSE),0)</f>
        <v>0</v>
      </c>
      <c r="E171" s="38">
        <f t="shared" si="1347"/>
        <v>0</v>
      </c>
      <c r="F171" s="29">
        <f>IFERROR(VLOOKUP($A171,APOIO!$B:$N,MATCH(F$5,APOIO!$B$5:$N$5,0),FALSE),0)</f>
        <v>0</v>
      </c>
      <c r="G171" s="38">
        <f t="shared" ref="G171" si="2006">IFERROR(F171/F$19,0)</f>
        <v>0</v>
      </c>
      <c r="H171" s="30">
        <f t="shared" si="1580"/>
        <v>0</v>
      </c>
      <c r="I171" s="40">
        <f t="shared" ref="I171" si="2007">IFERROR(H171/H$19,0)</f>
        <v>0</v>
      </c>
      <c r="J171" s="29">
        <f>IFERROR(VLOOKUP($A171,APOIO!$B:$N,MATCH(J$5,APOIO!$B$5:$N$5,0),FALSE),0)</f>
        <v>0</v>
      </c>
      <c r="K171" s="38">
        <f t="shared" ref="K171" si="2008">IFERROR(J171/J$19,0)</f>
        <v>0</v>
      </c>
      <c r="L171" s="29">
        <f>IFERROR(VLOOKUP($A171,APOIO!$B:$N,MATCH(L$5,APOIO!$B$5:$N$5,0),FALSE),0)</f>
        <v>0</v>
      </c>
      <c r="M171" s="38">
        <f t="shared" ref="M171" si="2009">IFERROR(L171/L$19,0)</f>
        <v>0</v>
      </c>
      <c r="N171" s="29">
        <f>IFERROR(VLOOKUP($A171,APOIO!$B:$N,MATCH(N$5,APOIO!$B$5:$N$5,0),FALSE),0)</f>
        <v>0</v>
      </c>
      <c r="O171" s="38">
        <f t="shared" ref="O171" si="2010">IFERROR(N171/N$19,0)</f>
        <v>0</v>
      </c>
      <c r="P171" s="30">
        <f t="shared" si="1585"/>
        <v>0</v>
      </c>
      <c r="Q171" s="41">
        <f t="shared" ref="Q171" si="2011">IFERROR(P171/P$19,0)</f>
        <v>0</v>
      </c>
      <c r="R171" s="29">
        <f>IFERROR(VLOOKUP($A171,APOIO!$B:$N,MATCH(R$5,APOIO!$B$5:$N$5,0),FALSE),0)</f>
        <v>0</v>
      </c>
      <c r="S171" s="41">
        <f t="shared" ref="S171" si="2012">IFERROR(R171/R$19,0)</f>
        <v>0</v>
      </c>
      <c r="T171" s="29">
        <f>IFERROR(VLOOKUP($A171,APOIO!$B:$N,MATCH(T$5,APOIO!$B$5:$N$5,0),FALSE),0)</f>
        <v>0</v>
      </c>
      <c r="U171" s="41">
        <f t="shared" ref="U171" si="2013">IFERROR(T171/T$19,0)</f>
        <v>0</v>
      </c>
      <c r="V171" s="29">
        <f>IFERROR(VLOOKUP($A171,APOIO!$B:$N,MATCH(V$5,APOIO!$B$5:$N$5,0),FALSE),0)</f>
        <v>0</v>
      </c>
      <c r="W171" s="38">
        <f t="shared" ref="W171" si="2014">IFERROR(V171/V$19,0)</f>
        <v>0</v>
      </c>
      <c r="X171" s="30">
        <f t="shared" si="1590"/>
        <v>0</v>
      </c>
      <c r="Y171" s="41">
        <f t="shared" ref="Y171" si="2015">IFERROR(X171/X$19,0)</f>
        <v>0</v>
      </c>
      <c r="Z171" s="29">
        <f>IFERROR(VLOOKUP($A171,APOIO!$B:$N,MATCH(Z$5,APOIO!$B$5:$N$5,0),FALSE),0)</f>
        <v>0</v>
      </c>
      <c r="AA171" s="38">
        <f t="shared" ref="AA171" si="2016">IFERROR(Z171/Z$19,0)</f>
        <v>0</v>
      </c>
      <c r="AB171" s="29">
        <f>IFERROR(VLOOKUP($A171,APOIO!$B:$N,MATCH(AB$5,APOIO!$B$5:$N$5,0),FALSE),0)</f>
        <v>0</v>
      </c>
      <c r="AC171" s="38">
        <f t="shared" ref="AC171" si="2017">IFERROR(AB171/AB$19,0)</f>
        <v>0</v>
      </c>
      <c r="AD171" s="29">
        <f>IFERROR(VLOOKUP($A171,APOIO!$B:$N,MATCH(AD$5,APOIO!$B$5:$N$5,0),FALSE),0)</f>
        <v>0</v>
      </c>
      <c r="AE171" s="38">
        <f t="shared" ref="AE171" si="2018">IFERROR(AD171/AD$19,0)</f>
        <v>0</v>
      </c>
      <c r="AF171" s="30">
        <f t="shared" si="1595"/>
        <v>0</v>
      </c>
      <c r="AG171" s="41">
        <f t="shared" ref="AG171" si="2019">IFERROR(AF171/AF$19,0)</f>
        <v>0</v>
      </c>
      <c r="AH171" s="29">
        <f t="shared" si="1597"/>
        <v>0</v>
      </c>
      <c r="AI171" s="41">
        <f t="shared" ref="AI171" si="2020">IFERROR(AH171/AH$19,0)</f>
        <v>0</v>
      </c>
    </row>
    <row r="172" spans="1:35" ht="16.2" collapsed="1" thickTop="1" x14ac:dyDescent="0.3">
      <c r="A172" s="50" t="s">
        <v>36</v>
      </c>
      <c r="B172" s="51">
        <f>SUM(B148,B149,B150,B163)</f>
        <v>-110465.96999999994</v>
      </c>
      <c r="C172" s="47">
        <f t="shared" si="1347"/>
        <v>-0.71188241931049701</v>
      </c>
      <c r="D172" s="51">
        <f>SUM(D148,D149,D150,D163)</f>
        <v>152292.711346</v>
      </c>
      <c r="E172" s="47">
        <f t="shared" si="1347"/>
        <v>0.41716742076596647</v>
      </c>
      <c r="F172" s="51">
        <f>SUM(F148,F149,F150,F163)</f>
        <v>-86865.256095999997</v>
      </c>
      <c r="G172" s="47">
        <f t="shared" ref="G172" si="2021">IFERROR(F172/F$19,0)</f>
        <v>0</v>
      </c>
      <c r="H172" s="51">
        <f t="shared" si="1580"/>
        <v>-45038.514749999944</v>
      </c>
      <c r="I172" s="47">
        <f t="shared" ref="I172" si="2022">IFERROR(H172/H$19,0)</f>
        <v>-8.6572866338561746E-2</v>
      </c>
      <c r="J172" s="51">
        <f>SUM(J148,J149,J150,J163)</f>
        <v>-65501.580037999993</v>
      </c>
      <c r="K172" s="47">
        <f t="shared" ref="K172" si="2023">IFERROR(J172/J$19,0)</f>
        <v>0</v>
      </c>
      <c r="L172" s="51">
        <f>SUM(L148,L149,L150,L163)</f>
        <v>-74954.096102915137</v>
      </c>
      <c r="M172" s="47">
        <f t="shared" ref="M172" si="2024">IFERROR(L172/L$19,0)</f>
        <v>0</v>
      </c>
      <c r="N172" s="51">
        <f>SUM(N148,N149,N150,N163)</f>
        <v>0</v>
      </c>
      <c r="O172" s="47">
        <f t="shared" ref="O172" si="2025">IFERROR(N172/N$19,0)</f>
        <v>0</v>
      </c>
      <c r="P172" s="51">
        <f t="shared" si="1585"/>
        <v>-140455.67614091514</v>
      </c>
      <c r="Q172" s="48">
        <f t="shared" ref="Q172" si="2026">IFERROR(P172/P$19,0)</f>
        <v>0</v>
      </c>
      <c r="R172" s="51">
        <f>SUM(R148,R149,R150,R163)</f>
        <v>0</v>
      </c>
      <c r="S172" s="48">
        <f t="shared" ref="S172" si="2027">IFERROR(R172/R$19,0)</f>
        <v>0</v>
      </c>
      <c r="T172" s="51">
        <f>SUM(T148,T149,T150,T163)</f>
        <v>0</v>
      </c>
      <c r="U172" s="48">
        <f t="shared" ref="U172" si="2028">IFERROR(T172/T$19,0)</f>
        <v>0</v>
      </c>
      <c r="V172" s="51">
        <f>SUM(V148,V149,V150,V163)</f>
        <v>0</v>
      </c>
      <c r="W172" s="47">
        <f t="shared" ref="W172" si="2029">IFERROR(V172/V$19,0)</f>
        <v>0</v>
      </c>
      <c r="X172" s="51">
        <f t="shared" si="1590"/>
        <v>0</v>
      </c>
      <c r="Y172" s="48">
        <f t="shared" ref="Y172" si="2030">IFERROR(X172/X$19,0)</f>
        <v>0</v>
      </c>
      <c r="Z172" s="51">
        <f>SUM(Z148,Z149,Z150,Z163)</f>
        <v>0</v>
      </c>
      <c r="AA172" s="47">
        <f t="shared" ref="AA172" si="2031">IFERROR(Z172/Z$19,0)</f>
        <v>0</v>
      </c>
      <c r="AB172" s="51">
        <f>SUM(AB148,AB149,AB150,AB163)</f>
        <v>0</v>
      </c>
      <c r="AC172" s="47">
        <f t="shared" ref="AC172" si="2032">IFERROR(AB172/AB$19,0)</f>
        <v>0</v>
      </c>
      <c r="AD172" s="51">
        <f>SUM(AD148,AD149,AD150,AD163)</f>
        <v>0</v>
      </c>
      <c r="AE172" s="47">
        <f t="shared" ref="AE172" si="2033">IFERROR(AD172/AD$19,0)</f>
        <v>0</v>
      </c>
      <c r="AF172" s="51">
        <f t="shared" si="1595"/>
        <v>0</v>
      </c>
      <c r="AG172" s="48">
        <f t="shared" ref="AG172" si="2034">IFERROR(AF172/AF$19,0)</f>
        <v>0</v>
      </c>
      <c r="AH172" s="51">
        <f t="shared" si="1597"/>
        <v>-185494.19089091505</v>
      </c>
      <c r="AI172" s="48">
        <f t="shared" ref="AI172" si="2035">IFERROR(AH172/AH$19,0)</f>
        <v>-0.35655624710801254</v>
      </c>
    </row>
    <row r="173" spans="1:35" ht="16.2" thickBot="1" x14ac:dyDescent="0.35">
      <c r="A173" s="56" t="s">
        <v>37</v>
      </c>
      <c r="B173" s="57">
        <f>IFERROR(VLOOKUP($A173,APOIO!$B:$N,MATCH(B$5,APOIO!$B$5:$N$5,0),FALSE),0)</f>
        <v>-1317.3600000000001</v>
      </c>
      <c r="C173" s="58">
        <f t="shared" si="1347"/>
        <v>-8.4895413845809432E-3</v>
      </c>
      <c r="D173" s="57">
        <f>IFERROR(VLOOKUP($A173,APOIO!$B:$N,MATCH(D$5,APOIO!$B$5:$N$5,0),FALSE),0)</f>
        <v>-4048.63</v>
      </c>
      <c r="E173" s="58">
        <f t="shared" si="1347"/>
        <v>-1.1090199391739148E-2</v>
      </c>
      <c r="F173" s="57">
        <f>IFERROR(VLOOKUP($A173,APOIO!$B:$N,MATCH(F$5,APOIO!$B$5:$N$5,0),FALSE),0)</f>
        <v>0</v>
      </c>
      <c r="G173" s="58">
        <f t="shared" ref="G173" si="2036">IFERROR(F173/F$19,0)</f>
        <v>0</v>
      </c>
      <c r="H173" s="57">
        <f t="shared" si="1580"/>
        <v>-5365.99</v>
      </c>
      <c r="I173" s="58">
        <f t="shared" ref="I173" si="2037">IFERROR(H173/H$19,0)</f>
        <v>-1.0314486115332202E-2</v>
      </c>
      <c r="J173" s="57">
        <f>IFERROR(VLOOKUP($A173,APOIO!$B:$N,MATCH(J$5,APOIO!$B$5:$N$5,0),FALSE),0)</f>
        <v>0</v>
      </c>
      <c r="K173" s="58">
        <f t="shared" ref="K173" si="2038">IFERROR(J173/J$19,0)</f>
        <v>0</v>
      </c>
      <c r="L173" s="57">
        <f>IFERROR(VLOOKUP($A173,APOIO!$B:$N,MATCH(L$5,APOIO!$B$5:$N$5,0),FALSE),0)</f>
        <v>0</v>
      </c>
      <c r="M173" s="58">
        <f t="shared" ref="M173" si="2039">IFERROR(L173/L$19,0)</f>
        <v>0</v>
      </c>
      <c r="N173" s="57">
        <f>IFERROR(VLOOKUP($A173,APOIO!$B:$N,MATCH(N$5,APOIO!$B$5:$N$5,0),FALSE),0)</f>
        <v>0</v>
      </c>
      <c r="O173" s="58">
        <f t="shared" ref="O173" si="2040">IFERROR(N173/N$19,0)</f>
        <v>0</v>
      </c>
      <c r="P173" s="57">
        <f t="shared" si="1585"/>
        <v>0</v>
      </c>
      <c r="Q173" s="59">
        <f t="shared" ref="Q173" si="2041">IFERROR(P173/P$19,0)</f>
        <v>0</v>
      </c>
      <c r="R173" s="57">
        <f>IFERROR(VLOOKUP($A173,APOIO!$B:$N,MATCH(R$5,APOIO!$B$5:$N$5,0),FALSE),0)</f>
        <v>0</v>
      </c>
      <c r="S173" s="59">
        <f t="shared" ref="S173" si="2042">IFERROR(R173/R$19,0)</f>
        <v>0</v>
      </c>
      <c r="T173" s="57">
        <f>IFERROR(VLOOKUP($A173,APOIO!$B:$N,MATCH(T$5,APOIO!$B$5:$N$5,0),FALSE),0)</f>
        <v>0</v>
      </c>
      <c r="U173" s="59">
        <f t="shared" ref="U173" si="2043">IFERROR(T173/T$19,0)</f>
        <v>0</v>
      </c>
      <c r="V173" s="57">
        <f>IFERROR(VLOOKUP($A173,APOIO!$B:$N,MATCH(V$5,APOIO!$B$5:$N$5,0),FALSE),0)</f>
        <v>0</v>
      </c>
      <c r="W173" s="58">
        <f t="shared" ref="W173" si="2044">IFERROR(V173/V$19,0)</f>
        <v>0</v>
      </c>
      <c r="X173" s="57">
        <f t="shared" si="1590"/>
        <v>0</v>
      </c>
      <c r="Y173" s="59">
        <f t="shared" ref="Y173" si="2045">IFERROR(X173/X$19,0)</f>
        <v>0</v>
      </c>
      <c r="Z173" s="57">
        <f>IFERROR(VLOOKUP($A173,APOIO!$B:$N,MATCH(Z$5,APOIO!$B$5:$N$5,0),FALSE),0)</f>
        <v>0</v>
      </c>
      <c r="AA173" s="58">
        <f t="shared" ref="AA173" si="2046">IFERROR(Z173/Z$19,0)</f>
        <v>0</v>
      </c>
      <c r="AB173" s="57">
        <f>IFERROR(VLOOKUP($A173,APOIO!$B:$N,MATCH(AB$5,APOIO!$B$5:$N$5,0),FALSE),0)</f>
        <v>0</v>
      </c>
      <c r="AC173" s="58">
        <f t="shared" ref="AC173" si="2047">IFERROR(AB173/AB$19,0)</f>
        <v>0</v>
      </c>
      <c r="AD173" s="57">
        <f>IFERROR(VLOOKUP($A173,APOIO!$B:$N,MATCH(AD$5,APOIO!$B$5:$N$5,0),FALSE),0)</f>
        <v>0</v>
      </c>
      <c r="AE173" s="58">
        <f t="shared" ref="AE173" si="2048">IFERROR(AD173/AD$19,0)</f>
        <v>0</v>
      </c>
      <c r="AF173" s="57">
        <f t="shared" si="1595"/>
        <v>0</v>
      </c>
      <c r="AG173" s="59">
        <f t="shared" ref="AG173" si="2049">IFERROR(AF173/AF$19,0)</f>
        <v>0</v>
      </c>
      <c r="AH173" s="57">
        <f t="shared" si="1597"/>
        <v>-5365.99</v>
      </c>
      <c r="AI173" s="59">
        <f t="shared" ref="AI173" si="2050">IFERROR(AH173/AH$19,0)</f>
        <v>-1.0314486115332202E-2</v>
      </c>
    </row>
    <row r="174" spans="1:35" ht="16.2" hidden="1" outlineLevel="1" thickTop="1" x14ac:dyDescent="0.3">
      <c r="A174" s="35" t="s">
        <v>21</v>
      </c>
      <c r="B174" s="29">
        <f>IFERROR(VLOOKUP($A174,APOIO!$B:$N,MATCH(B$5,APOIO!$B$5:$N$5,0),FALSE),0)</f>
        <v>-1317.3600000000001</v>
      </c>
      <c r="C174" s="38">
        <f t="shared" si="1347"/>
        <v>-8.4895413845809432E-3</v>
      </c>
      <c r="D174" s="29">
        <f>IFERROR(VLOOKUP($A174,APOIO!$B:$N,MATCH(D$5,APOIO!$B$5:$N$5,0),FALSE),0)</f>
        <v>-4048.63</v>
      </c>
      <c r="E174" s="38">
        <f t="shared" si="1347"/>
        <v>-1.1090199391739148E-2</v>
      </c>
      <c r="F174" s="29">
        <f>IFERROR(VLOOKUP($A174,APOIO!$B:$N,MATCH(F$5,APOIO!$B$5:$N$5,0),FALSE),0)</f>
        <v>0</v>
      </c>
      <c r="G174" s="38">
        <f t="shared" ref="G174:G175" si="2051">IFERROR(F174/F$19,0)</f>
        <v>0</v>
      </c>
      <c r="H174" s="30">
        <f t="shared" si="1580"/>
        <v>-5365.99</v>
      </c>
      <c r="I174" s="40">
        <f t="shared" ref="I174:I175" si="2052">IFERROR(H174/H$19,0)</f>
        <v>-1.0314486115332202E-2</v>
      </c>
      <c r="J174" s="29">
        <f>IFERROR(VLOOKUP($A174,APOIO!$B:$N,MATCH(J$5,APOIO!$B$5:$N$5,0),FALSE),0)</f>
        <v>0</v>
      </c>
      <c r="K174" s="38">
        <f t="shared" ref="K174:K175" si="2053">IFERROR(J174/J$19,0)</f>
        <v>0</v>
      </c>
      <c r="L174" s="29">
        <f>IFERROR(VLOOKUP($A174,APOIO!$B:$N,MATCH(L$5,APOIO!$B$5:$N$5,0),FALSE),0)</f>
        <v>0</v>
      </c>
      <c r="M174" s="38">
        <f t="shared" ref="M174:M175" si="2054">IFERROR(L174/L$19,0)</f>
        <v>0</v>
      </c>
      <c r="N174" s="29">
        <f>IFERROR(VLOOKUP($A174,APOIO!$B:$N,MATCH(N$5,APOIO!$B$5:$N$5,0),FALSE),0)</f>
        <v>0</v>
      </c>
      <c r="O174" s="38">
        <f t="shared" ref="O174:O175" si="2055">IFERROR(N174/N$19,0)</f>
        <v>0</v>
      </c>
      <c r="P174" s="30">
        <f t="shared" si="1585"/>
        <v>0</v>
      </c>
      <c r="Q174" s="41">
        <f t="shared" ref="Q174:Q175" si="2056">IFERROR(P174/P$19,0)</f>
        <v>0</v>
      </c>
      <c r="R174" s="29">
        <f>IFERROR(VLOOKUP($A174,APOIO!$B:$N,MATCH(R$5,APOIO!$B$5:$N$5,0),FALSE),0)</f>
        <v>0</v>
      </c>
      <c r="S174" s="41">
        <f t="shared" ref="S174:S175" si="2057">IFERROR(R174/R$19,0)</f>
        <v>0</v>
      </c>
      <c r="T174" s="29">
        <f>IFERROR(VLOOKUP($A174,APOIO!$B:$N,MATCH(T$5,APOIO!$B$5:$N$5,0),FALSE),0)</f>
        <v>0</v>
      </c>
      <c r="U174" s="41">
        <f t="shared" ref="U174:U175" si="2058">IFERROR(T174/T$19,0)</f>
        <v>0</v>
      </c>
      <c r="V174" s="29">
        <f>IFERROR(VLOOKUP($A174,APOIO!$B:$N,MATCH(V$5,APOIO!$B$5:$N$5,0),FALSE),0)</f>
        <v>0</v>
      </c>
      <c r="W174" s="38">
        <f t="shared" ref="W174:W175" si="2059">IFERROR(V174/V$19,0)</f>
        <v>0</v>
      </c>
      <c r="X174" s="30">
        <f t="shared" si="1590"/>
        <v>0</v>
      </c>
      <c r="Y174" s="41">
        <f t="shared" ref="Y174:Y175" si="2060">IFERROR(X174/X$19,0)</f>
        <v>0</v>
      </c>
      <c r="Z174" s="29">
        <f>IFERROR(VLOOKUP($A174,APOIO!$B:$N,MATCH(Z$5,APOIO!$B$5:$N$5,0),FALSE),0)</f>
        <v>0</v>
      </c>
      <c r="AA174" s="38">
        <f t="shared" ref="AA174:AA175" si="2061">IFERROR(Z174/Z$19,0)</f>
        <v>0</v>
      </c>
      <c r="AB174" s="29">
        <f>IFERROR(VLOOKUP($A174,APOIO!$B:$N,MATCH(AB$5,APOIO!$B$5:$N$5,0),FALSE),0)</f>
        <v>0</v>
      </c>
      <c r="AC174" s="38">
        <f t="shared" ref="AC174:AC175" si="2062">IFERROR(AB174/AB$19,0)</f>
        <v>0</v>
      </c>
      <c r="AD174" s="29">
        <f>IFERROR(VLOOKUP($A174,APOIO!$B:$N,MATCH(AD$5,APOIO!$B$5:$N$5,0),FALSE),0)</f>
        <v>0</v>
      </c>
      <c r="AE174" s="38">
        <f t="shared" ref="AE174:AE175" si="2063">IFERROR(AD174/AD$19,0)</f>
        <v>0</v>
      </c>
      <c r="AF174" s="30">
        <f t="shared" si="1595"/>
        <v>0</v>
      </c>
      <c r="AG174" s="41">
        <f t="shared" ref="AG174:AG175" si="2064">IFERROR(AF174/AF$19,0)</f>
        <v>0</v>
      </c>
      <c r="AH174" s="29">
        <f t="shared" si="1597"/>
        <v>-5365.99</v>
      </c>
      <c r="AI174" s="41">
        <f t="shared" ref="AI174:AI175" si="2065">IFERROR(AH174/AH$19,0)</f>
        <v>-1.0314486115332202E-2</v>
      </c>
    </row>
    <row r="175" spans="1:35" ht="15.6" hidden="1" outlineLevel="1" x14ac:dyDescent="0.3">
      <c r="A175" s="35" t="s">
        <v>22</v>
      </c>
      <c r="B175" s="29">
        <f>IFERROR(VLOOKUP($A175,APOIO!$B:$N,MATCH(B$5,APOIO!$B$5:$N$5,0),FALSE),0)</f>
        <v>0</v>
      </c>
      <c r="C175" s="38">
        <f t="shared" ref="C175" si="2066">IFERROR(B175/B$19,0)</f>
        <v>0</v>
      </c>
      <c r="D175" s="29">
        <f>IFERROR(VLOOKUP($A175,APOIO!$B:$N,MATCH(D$5,APOIO!$B$5:$N$5,0),FALSE),0)</f>
        <v>0</v>
      </c>
      <c r="E175" s="38">
        <f t="shared" ref="E175" si="2067">IFERROR(D175/D$19,0)</f>
        <v>0</v>
      </c>
      <c r="F175" s="29">
        <f>IFERROR(VLOOKUP($A175,APOIO!$B:$N,MATCH(F$5,APOIO!$B$5:$N$5,0),FALSE),0)</f>
        <v>0</v>
      </c>
      <c r="G175" s="38">
        <f t="shared" si="2051"/>
        <v>0</v>
      </c>
      <c r="H175" s="30">
        <f t="shared" ref="H175" si="2068">SUM(B175,D175,F175)</f>
        <v>0</v>
      </c>
      <c r="I175" s="40">
        <f t="shared" si="2052"/>
        <v>0</v>
      </c>
      <c r="J175" s="29">
        <f>IFERROR(VLOOKUP($A175,APOIO!$B:$N,MATCH(J$5,APOIO!$B$5:$N$5,0),FALSE),0)</f>
        <v>0</v>
      </c>
      <c r="K175" s="38">
        <f t="shared" si="2053"/>
        <v>0</v>
      </c>
      <c r="L175" s="29">
        <f>IFERROR(VLOOKUP($A175,APOIO!$B:$N,MATCH(L$5,APOIO!$B$5:$N$5,0),FALSE),0)</f>
        <v>0</v>
      </c>
      <c r="M175" s="38">
        <f t="shared" si="2054"/>
        <v>0</v>
      </c>
      <c r="N175" s="29">
        <f>IFERROR(VLOOKUP($A175,APOIO!$B:$N,MATCH(N$5,APOIO!$B$5:$N$5,0),FALSE),0)</f>
        <v>0</v>
      </c>
      <c r="O175" s="38">
        <f t="shared" si="2055"/>
        <v>0</v>
      </c>
      <c r="P175" s="30">
        <f t="shared" ref="P175" si="2069">SUM(J175,L175,N175)</f>
        <v>0</v>
      </c>
      <c r="Q175" s="41">
        <f t="shared" si="2056"/>
        <v>0</v>
      </c>
      <c r="R175" s="29">
        <f>IFERROR(VLOOKUP($A175,APOIO!$B:$N,MATCH(R$5,APOIO!$B$5:$N$5,0),FALSE),0)</f>
        <v>0</v>
      </c>
      <c r="S175" s="41">
        <f t="shared" si="2057"/>
        <v>0</v>
      </c>
      <c r="T175" s="29">
        <f>IFERROR(VLOOKUP($A175,APOIO!$B:$N,MATCH(T$5,APOIO!$B$5:$N$5,0),FALSE),0)</f>
        <v>0</v>
      </c>
      <c r="U175" s="41">
        <f t="shared" si="2058"/>
        <v>0</v>
      </c>
      <c r="V175" s="29">
        <f>IFERROR(VLOOKUP($A175,APOIO!$B:$N,MATCH(V$5,APOIO!$B$5:$N$5,0),FALSE),0)</f>
        <v>0</v>
      </c>
      <c r="W175" s="38">
        <f t="shared" si="2059"/>
        <v>0</v>
      </c>
      <c r="X175" s="30">
        <f t="shared" ref="X175" si="2070">SUM(R175,T175,V175)</f>
        <v>0</v>
      </c>
      <c r="Y175" s="41">
        <f t="shared" si="2060"/>
        <v>0</v>
      </c>
      <c r="Z175" s="29">
        <f>IFERROR(VLOOKUP($A175,APOIO!$B:$N,MATCH(Z$5,APOIO!$B$5:$N$5,0),FALSE),0)</f>
        <v>0</v>
      </c>
      <c r="AA175" s="38">
        <f t="shared" si="2061"/>
        <v>0</v>
      </c>
      <c r="AB175" s="29">
        <f>IFERROR(VLOOKUP($A175,APOIO!$B:$N,MATCH(AB$5,APOIO!$B$5:$N$5,0),FALSE),0)</f>
        <v>0</v>
      </c>
      <c r="AC175" s="38">
        <f t="shared" si="2062"/>
        <v>0</v>
      </c>
      <c r="AD175" s="29">
        <f>IFERROR(VLOOKUP($A175,APOIO!$B:$N,MATCH(AD$5,APOIO!$B$5:$N$5,0),FALSE),0)</f>
        <v>0</v>
      </c>
      <c r="AE175" s="38">
        <f t="shared" si="2063"/>
        <v>0</v>
      </c>
      <c r="AF175" s="30">
        <f t="shared" ref="AF175" si="2071">SUM(Z175,AB175,AD175)</f>
        <v>0</v>
      </c>
      <c r="AG175" s="41">
        <f t="shared" si="2064"/>
        <v>0</v>
      </c>
      <c r="AH175" s="29">
        <f t="shared" ref="AH175" si="2072">SUM(B175,D175,F175,J175,L175,N175,R175,T175,V175,Z175,AB175,AD175)</f>
        <v>0</v>
      </c>
      <c r="AI175" s="41">
        <f t="shared" si="2065"/>
        <v>0</v>
      </c>
    </row>
    <row r="176" spans="1:35" ht="15.6" hidden="1" outlineLevel="1" x14ac:dyDescent="0.3">
      <c r="A176" s="35" t="s">
        <v>178</v>
      </c>
      <c r="B176" s="29">
        <f>IFERROR(VLOOKUP($A176,APOIO!$B:$N,MATCH(B$5,APOIO!$B$5:$N$5,0),FALSE),0)</f>
        <v>0</v>
      </c>
      <c r="C176" s="38">
        <f t="shared" si="1347"/>
        <v>0</v>
      </c>
      <c r="D176" s="29">
        <f>IFERROR(VLOOKUP($A176,APOIO!$B:$N,MATCH(D$5,APOIO!$B$5:$N$5,0),FALSE),0)</f>
        <v>0</v>
      </c>
      <c r="E176" s="38">
        <f t="shared" si="1347"/>
        <v>0</v>
      </c>
      <c r="F176" s="29">
        <f>IFERROR(VLOOKUP($A176,APOIO!$B:$N,MATCH(F$5,APOIO!$B$5:$N$5,0),FALSE),0)</f>
        <v>0</v>
      </c>
      <c r="G176" s="38">
        <f t="shared" ref="G176" si="2073">IFERROR(F176/F$19,0)</f>
        <v>0</v>
      </c>
      <c r="H176" s="30">
        <f t="shared" si="1580"/>
        <v>0</v>
      </c>
      <c r="I176" s="40">
        <f t="shared" ref="I176" si="2074">IFERROR(H176/H$19,0)</f>
        <v>0</v>
      </c>
      <c r="J176" s="29">
        <f>IFERROR(VLOOKUP($A176,APOIO!$B:$N,MATCH(J$5,APOIO!$B$5:$N$5,0),FALSE),0)</f>
        <v>0</v>
      </c>
      <c r="K176" s="38">
        <f t="shared" ref="K176" si="2075">IFERROR(J176/J$19,0)</f>
        <v>0</v>
      </c>
      <c r="L176" s="29">
        <f>IFERROR(VLOOKUP($A176,APOIO!$B:$N,MATCH(L$5,APOIO!$B$5:$N$5,0),FALSE),0)</f>
        <v>0</v>
      </c>
      <c r="M176" s="38">
        <f t="shared" ref="M176" si="2076">IFERROR(L176/L$19,0)</f>
        <v>0</v>
      </c>
      <c r="N176" s="29">
        <f>IFERROR(VLOOKUP($A176,APOIO!$B:$N,MATCH(N$5,APOIO!$B$5:$N$5,0),FALSE),0)</f>
        <v>0</v>
      </c>
      <c r="O176" s="38">
        <f t="shared" ref="O176" si="2077">IFERROR(N176/N$19,0)</f>
        <v>0</v>
      </c>
      <c r="P176" s="30">
        <f t="shared" si="1585"/>
        <v>0</v>
      </c>
      <c r="Q176" s="41">
        <f t="shared" ref="Q176" si="2078">IFERROR(P176/P$19,0)</f>
        <v>0</v>
      </c>
      <c r="R176" s="29">
        <f>IFERROR(VLOOKUP($A176,APOIO!$B:$N,MATCH(R$5,APOIO!$B$5:$N$5,0),FALSE),0)</f>
        <v>0</v>
      </c>
      <c r="S176" s="41">
        <f t="shared" ref="S176" si="2079">IFERROR(R176/R$19,0)</f>
        <v>0</v>
      </c>
      <c r="T176" s="29">
        <f>IFERROR(VLOOKUP($A176,APOIO!$B:$N,MATCH(T$5,APOIO!$B$5:$N$5,0),FALSE),0)</f>
        <v>0</v>
      </c>
      <c r="U176" s="41">
        <f t="shared" ref="U176" si="2080">IFERROR(T176/T$19,0)</f>
        <v>0</v>
      </c>
      <c r="V176" s="29">
        <f>IFERROR(VLOOKUP($A176,APOIO!$B:$N,MATCH(V$5,APOIO!$B$5:$N$5,0),FALSE),0)</f>
        <v>0</v>
      </c>
      <c r="W176" s="38">
        <f t="shared" ref="W176" si="2081">IFERROR(V176/V$19,0)</f>
        <v>0</v>
      </c>
      <c r="X176" s="30">
        <f t="shared" si="1590"/>
        <v>0</v>
      </c>
      <c r="Y176" s="41">
        <f t="shared" ref="Y176" si="2082">IFERROR(X176/X$19,0)</f>
        <v>0</v>
      </c>
      <c r="Z176" s="29">
        <f>IFERROR(VLOOKUP($A176,APOIO!$B:$N,MATCH(Z$5,APOIO!$B$5:$N$5,0),FALSE),0)</f>
        <v>0</v>
      </c>
      <c r="AA176" s="38">
        <f t="shared" ref="AA176" si="2083">IFERROR(Z176/Z$19,0)</f>
        <v>0</v>
      </c>
      <c r="AB176" s="29">
        <f>IFERROR(VLOOKUP($A176,APOIO!$B:$N,MATCH(AB$5,APOIO!$B$5:$N$5,0),FALSE),0)</f>
        <v>0</v>
      </c>
      <c r="AC176" s="38">
        <f t="shared" ref="AC176" si="2084">IFERROR(AB176/AB$19,0)</f>
        <v>0</v>
      </c>
      <c r="AD176" s="29">
        <f>IFERROR(VLOOKUP($A176,APOIO!$B:$N,MATCH(AD$5,APOIO!$B$5:$N$5,0),FALSE),0)</f>
        <v>0</v>
      </c>
      <c r="AE176" s="38">
        <f t="shared" ref="AE176" si="2085">IFERROR(AD176/AD$19,0)</f>
        <v>0</v>
      </c>
      <c r="AF176" s="30">
        <f t="shared" si="1595"/>
        <v>0</v>
      </c>
      <c r="AG176" s="41">
        <f t="shared" ref="AG176" si="2086">IFERROR(AF176/AF$19,0)</f>
        <v>0</v>
      </c>
      <c r="AH176" s="29">
        <f t="shared" si="1597"/>
        <v>0</v>
      </c>
      <c r="AI176" s="41">
        <f t="shared" ref="AI176" si="2087">IFERROR(AH176/AH$19,0)</f>
        <v>0</v>
      </c>
    </row>
    <row r="177" spans="1:35" ht="16.2" collapsed="1" thickTop="1" x14ac:dyDescent="0.3">
      <c r="A177" s="50" t="s">
        <v>39</v>
      </c>
      <c r="B177" s="51">
        <f>SUM(B172,B173)</f>
        <v>-111783.32999999994</v>
      </c>
      <c r="C177" s="47">
        <f t="shared" si="1347"/>
        <v>-0.72037196069507803</v>
      </c>
      <c r="D177" s="51">
        <f>SUM(D172,D173)</f>
        <v>148244.08134599999</v>
      </c>
      <c r="E177" s="47">
        <f t="shared" si="1347"/>
        <v>0.4060772213742273</v>
      </c>
      <c r="F177" s="51">
        <f>SUM(F172,F173)</f>
        <v>-86865.256095999997</v>
      </c>
      <c r="G177" s="47">
        <f t="shared" ref="G177" si="2088">IFERROR(F177/F$19,0)</f>
        <v>0</v>
      </c>
      <c r="H177" s="51">
        <f t="shared" si="1580"/>
        <v>-50404.504749999949</v>
      </c>
      <c r="I177" s="47">
        <f t="shared" ref="I177" si="2089">IFERROR(H177/H$19,0)</f>
        <v>-9.688735245389396E-2</v>
      </c>
      <c r="J177" s="51">
        <f>SUM(J172,J173)</f>
        <v>-65501.580037999993</v>
      </c>
      <c r="K177" s="47">
        <f t="shared" ref="K177" si="2090">IFERROR(J177/J$19,0)</f>
        <v>0</v>
      </c>
      <c r="L177" s="51">
        <f>SUM(L172,L173)</f>
        <v>-74954.096102915137</v>
      </c>
      <c r="M177" s="47">
        <f t="shared" ref="M177" si="2091">IFERROR(L177/L$19,0)</f>
        <v>0</v>
      </c>
      <c r="N177" s="51">
        <f>SUM(N172,N173)</f>
        <v>0</v>
      </c>
      <c r="O177" s="47">
        <f t="shared" ref="O177" si="2092">IFERROR(N177/N$19,0)</f>
        <v>0</v>
      </c>
      <c r="P177" s="51">
        <f t="shared" si="1585"/>
        <v>-140455.67614091514</v>
      </c>
      <c r="Q177" s="48">
        <f t="shared" ref="Q177" si="2093">IFERROR(P177/P$19,0)</f>
        <v>0</v>
      </c>
      <c r="R177" s="51">
        <f>SUM(R172,R173)</f>
        <v>0</v>
      </c>
      <c r="S177" s="48">
        <f t="shared" ref="S177" si="2094">IFERROR(R177/R$19,0)</f>
        <v>0</v>
      </c>
      <c r="T177" s="51">
        <f>SUM(T172,T173)</f>
        <v>0</v>
      </c>
      <c r="U177" s="48">
        <f t="shared" ref="U177" si="2095">IFERROR(T177/T$19,0)</f>
        <v>0</v>
      </c>
      <c r="V177" s="51">
        <f>SUM(V172,V173)</f>
        <v>0</v>
      </c>
      <c r="W177" s="47">
        <f t="shared" ref="W177" si="2096">IFERROR(V177/V$19,0)</f>
        <v>0</v>
      </c>
      <c r="X177" s="51">
        <f t="shared" si="1590"/>
        <v>0</v>
      </c>
      <c r="Y177" s="48">
        <f t="shared" ref="Y177" si="2097">IFERROR(X177/X$19,0)</f>
        <v>0</v>
      </c>
      <c r="Z177" s="51">
        <f>SUM(Z172,Z173)</f>
        <v>0</v>
      </c>
      <c r="AA177" s="47">
        <f t="shared" ref="AA177" si="2098">IFERROR(Z177/Z$19,0)</f>
        <v>0</v>
      </c>
      <c r="AB177" s="51">
        <f>SUM(AB172,AB173)</f>
        <v>0</v>
      </c>
      <c r="AC177" s="47">
        <f t="shared" ref="AC177" si="2099">IFERROR(AB177/AB$19,0)</f>
        <v>0</v>
      </c>
      <c r="AD177" s="51">
        <f>SUM(AD172,AD173)</f>
        <v>0</v>
      </c>
      <c r="AE177" s="47">
        <f t="shared" ref="AE177" si="2100">IFERROR(AD177/AD$19,0)</f>
        <v>0</v>
      </c>
      <c r="AF177" s="51">
        <f t="shared" si="1595"/>
        <v>0</v>
      </c>
      <c r="AG177" s="48">
        <f t="shared" ref="AG177" si="2101">IFERROR(AF177/AF$19,0)</f>
        <v>0</v>
      </c>
      <c r="AH177" s="51">
        <f t="shared" si="1597"/>
        <v>-190860.1808909151</v>
      </c>
      <c r="AI177" s="48">
        <f t="shared" ref="AI177" si="2102">IFERROR(AH177/AH$19,0)</f>
        <v>-0.36687073322334485</v>
      </c>
    </row>
    <row r="178" spans="1:35" ht="16.2" thickBot="1" x14ac:dyDescent="0.35">
      <c r="A178" s="56" t="s">
        <v>38</v>
      </c>
      <c r="B178" s="57">
        <f>IFERROR(VLOOKUP($A178,APOIO!$B:$N,MATCH(B$5,APOIO!$B$5:$N$5,0),FALSE),0)</f>
        <v>0</v>
      </c>
      <c r="C178" s="58">
        <f t="shared" si="1347"/>
        <v>0</v>
      </c>
      <c r="D178" s="57">
        <f>IFERROR(VLOOKUP($A178,APOIO!$B:$N,MATCH(D$5,APOIO!$B$5:$N$5,0),FALSE),0)</f>
        <v>0</v>
      </c>
      <c r="E178" s="58">
        <f t="shared" si="1347"/>
        <v>0</v>
      </c>
      <c r="F178" s="57">
        <f>IFERROR(VLOOKUP($A178,APOIO!$B:$N,MATCH(F$5,APOIO!$B$5:$N$5,0),FALSE),0)</f>
        <v>0</v>
      </c>
      <c r="G178" s="58">
        <f t="shared" ref="G178" si="2103">IFERROR(F178/F$19,0)</f>
        <v>0</v>
      </c>
      <c r="H178" s="57">
        <f t="shared" si="1580"/>
        <v>0</v>
      </c>
      <c r="I178" s="58">
        <f t="shared" ref="I178" si="2104">IFERROR(H178/H$19,0)</f>
        <v>0</v>
      </c>
      <c r="J178" s="57">
        <f>IFERROR(VLOOKUP($A178,APOIO!$B:$N,MATCH(J$5,APOIO!$B$5:$N$5,0),FALSE),0)</f>
        <v>0</v>
      </c>
      <c r="K178" s="58">
        <f t="shared" ref="K178" si="2105">IFERROR(J178/J$19,0)</f>
        <v>0</v>
      </c>
      <c r="L178" s="57">
        <f>IFERROR(VLOOKUP($A178,APOIO!$B:$N,MATCH(L$5,APOIO!$B$5:$N$5,0),FALSE),0)</f>
        <v>0</v>
      </c>
      <c r="M178" s="58">
        <f t="shared" ref="M178" si="2106">IFERROR(L178/L$19,0)</f>
        <v>0</v>
      </c>
      <c r="N178" s="57">
        <f>IFERROR(VLOOKUP($A178,APOIO!$B:$N,MATCH(N$5,APOIO!$B$5:$N$5,0),FALSE),0)</f>
        <v>0</v>
      </c>
      <c r="O178" s="58">
        <f t="shared" ref="O178" si="2107">IFERROR(N178/N$19,0)</f>
        <v>0</v>
      </c>
      <c r="P178" s="57">
        <f t="shared" si="1585"/>
        <v>0</v>
      </c>
      <c r="Q178" s="59">
        <f t="shared" ref="Q178" si="2108">IFERROR(P178/P$19,0)</f>
        <v>0</v>
      </c>
      <c r="R178" s="57">
        <f>IFERROR(VLOOKUP($A178,APOIO!$B:$N,MATCH(R$5,APOIO!$B$5:$N$5,0),FALSE),0)</f>
        <v>0</v>
      </c>
      <c r="S178" s="59">
        <f t="shared" ref="S178" si="2109">IFERROR(R178/R$19,0)</f>
        <v>0</v>
      </c>
      <c r="T178" s="57">
        <f>IFERROR(VLOOKUP($A178,APOIO!$B:$N,MATCH(T$5,APOIO!$B$5:$N$5,0),FALSE),0)</f>
        <v>0</v>
      </c>
      <c r="U178" s="59">
        <f t="shared" ref="U178" si="2110">IFERROR(T178/T$19,0)</f>
        <v>0</v>
      </c>
      <c r="V178" s="57">
        <f>IFERROR(VLOOKUP($A178,APOIO!$B:$N,MATCH(V$5,APOIO!$B$5:$N$5,0),FALSE),0)</f>
        <v>0</v>
      </c>
      <c r="W178" s="58">
        <f t="shared" ref="W178" si="2111">IFERROR(V178/V$19,0)</f>
        <v>0</v>
      </c>
      <c r="X178" s="57">
        <f t="shared" si="1590"/>
        <v>0</v>
      </c>
      <c r="Y178" s="59">
        <f t="shared" ref="Y178" si="2112">IFERROR(X178/X$19,0)</f>
        <v>0</v>
      </c>
      <c r="Z178" s="57">
        <f>IFERROR(VLOOKUP($A178,APOIO!$B:$N,MATCH(Z$5,APOIO!$B$5:$N$5,0),FALSE),0)</f>
        <v>0</v>
      </c>
      <c r="AA178" s="58">
        <f t="shared" ref="AA178" si="2113">IFERROR(Z178/Z$19,0)</f>
        <v>0</v>
      </c>
      <c r="AB178" s="57">
        <f>IFERROR(VLOOKUP($A178,APOIO!$B:$N,MATCH(AB$5,APOIO!$B$5:$N$5,0),FALSE),0)</f>
        <v>0</v>
      </c>
      <c r="AC178" s="58">
        <f t="shared" ref="AC178" si="2114">IFERROR(AB178/AB$19,0)</f>
        <v>0</v>
      </c>
      <c r="AD178" s="57">
        <f>IFERROR(VLOOKUP($A178,APOIO!$B:$N,MATCH(AD$5,APOIO!$B$5:$N$5,0),FALSE),0)</f>
        <v>0</v>
      </c>
      <c r="AE178" s="58">
        <f t="shared" ref="AE178" si="2115">IFERROR(AD178/AD$19,0)</f>
        <v>0</v>
      </c>
      <c r="AF178" s="57">
        <f t="shared" si="1595"/>
        <v>0</v>
      </c>
      <c r="AG178" s="59">
        <f t="shared" ref="AG178" si="2116">IFERROR(AF178/AF$19,0)</f>
        <v>0</v>
      </c>
      <c r="AH178" s="57">
        <f t="shared" si="1597"/>
        <v>0</v>
      </c>
      <c r="AI178" s="59">
        <f t="shared" ref="AI178" si="2117">IFERROR(AH178/AH$19,0)</f>
        <v>0</v>
      </c>
    </row>
    <row r="179" spans="1:35" ht="16.2" hidden="1" outlineLevel="1" thickTop="1" x14ac:dyDescent="0.3">
      <c r="A179" s="35" t="s">
        <v>20</v>
      </c>
      <c r="B179" s="29">
        <f>IFERROR(VLOOKUP($A179,APOIO!$B:$N,MATCH(B$5,APOIO!$B$5:$N$5,0),FALSE),0)</f>
        <v>0</v>
      </c>
      <c r="C179" s="38">
        <f t="shared" si="1347"/>
        <v>0</v>
      </c>
      <c r="D179" s="29">
        <f>IFERROR(VLOOKUP($A179,APOIO!$B:$N,MATCH(D$5,APOIO!$B$5:$N$5,0),FALSE),0)</f>
        <v>0</v>
      </c>
      <c r="E179" s="38">
        <f t="shared" si="1347"/>
        <v>0</v>
      </c>
      <c r="F179" s="29">
        <f>IFERROR(VLOOKUP($A179,APOIO!$B:$N,MATCH(F$5,APOIO!$B$5:$N$5,0),FALSE),0)</f>
        <v>0</v>
      </c>
      <c r="G179" s="38">
        <f t="shared" ref="G179" si="2118">IFERROR(F179/F$19,0)</f>
        <v>0</v>
      </c>
      <c r="H179" s="30">
        <f t="shared" si="1580"/>
        <v>0</v>
      </c>
      <c r="I179" s="40">
        <f t="shared" ref="I179" si="2119">IFERROR(H179/H$19,0)</f>
        <v>0</v>
      </c>
      <c r="J179" s="29">
        <f>IFERROR(VLOOKUP($A179,APOIO!$B:$N,MATCH(J$5,APOIO!$B$5:$N$5,0),FALSE),0)</f>
        <v>0</v>
      </c>
      <c r="K179" s="38">
        <f t="shared" ref="K179" si="2120">IFERROR(J179/J$19,0)</f>
        <v>0</v>
      </c>
      <c r="L179" s="29">
        <f>IFERROR(VLOOKUP($A179,APOIO!$B:$N,MATCH(L$5,APOIO!$B$5:$N$5,0),FALSE),0)</f>
        <v>0</v>
      </c>
      <c r="M179" s="38">
        <f t="shared" ref="M179" si="2121">IFERROR(L179/L$19,0)</f>
        <v>0</v>
      </c>
      <c r="N179" s="29">
        <f>IFERROR(VLOOKUP($A179,APOIO!$B:$N,MATCH(N$5,APOIO!$B$5:$N$5,0),FALSE),0)</f>
        <v>0</v>
      </c>
      <c r="O179" s="38">
        <f t="shared" ref="O179" si="2122">IFERROR(N179/N$19,0)</f>
        <v>0</v>
      </c>
      <c r="P179" s="30">
        <f t="shared" si="1585"/>
        <v>0</v>
      </c>
      <c r="Q179" s="41">
        <f t="shared" ref="Q179" si="2123">IFERROR(P179/P$19,0)</f>
        <v>0</v>
      </c>
      <c r="R179" s="29">
        <f>IFERROR(VLOOKUP($A179,APOIO!$B:$N,MATCH(R$5,APOIO!$B$5:$N$5,0),FALSE),0)</f>
        <v>0</v>
      </c>
      <c r="S179" s="41">
        <f t="shared" ref="S179" si="2124">IFERROR(R179/R$19,0)</f>
        <v>0</v>
      </c>
      <c r="T179" s="29">
        <f>IFERROR(VLOOKUP($A179,APOIO!$B:$N,MATCH(T$5,APOIO!$B$5:$N$5,0),FALSE),0)</f>
        <v>0</v>
      </c>
      <c r="U179" s="41">
        <f t="shared" ref="U179" si="2125">IFERROR(T179/T$19,0)</f>
        <v>0</v>
      </c>
      <c r="V179" s="29">
        <f>IFERROR(VLOOKUP($A179,APOIO!$B:$N,MATCH(V$5,APOIO!$B$5:$N$5,0),FALSE),0)</f>
        <v>0</v>
      </c>
      <c r="W179" s="38">
        <f t="shared" ref="W179" si="2126">IFERROR(V179/V$19,0)</f>
        <v>0</v>
      </c>
      <c r="X179" s="30">
        <f t="shared" si="1590"/>
        <v>0</v>
      </c>
      <c r="Y179" s="41">
        <f t="shared" ref="Y179" si="2127">IFERROR(X179/X$19,0)</f>
        <v>0</v>
      </c>
      <c r="Z179" s="29">
        <f>IFERROR(VLOOKUP($A179,APOIO!$B:$N,MATCH(Z$5,APOIO!$B$5:$N$5,0),FALSE),0)</f>
        <v>0</v>
      </c>
      <c r="AA179" s="38">
        <f t="shared" ref="AA179" si="2128">IFERROR(Z179/Z$19,0)</f>
        <v>0</v>
      </c>
      <c r="AB179" s="29">
        <f>IFERROR(VLOOKUP($A179,APOIO!$B:$N,MATCH(AB$5,APOIO!$B$5:$N$5,0),FALSE),0)</f>
        <v>0</v>
      </c>
      <c r="AC179" s="38">
        <f t="shared" ref="AC179" si="2129">IFERROR(AB179/AB$19,0)</f>
        <v>0</v>
      </c>
      <c r="AD179" s="29">
        <f>IFERROR(VLOOKUP($A179,APOIO!$B:$N,MATCH(AD$5,APOIO!$B$5:$N$5,0),FALSE),0)</f>
        <v>0</v>
      </c>
      <c r="AE179" s="38">
        <f t="shared" ref="AE179" si="2130">IFERROR(AD179/AD$19,0)</f>
        <v>0</v>
      </c>
      <c r="AF179" s="30">
        <f t="shared" si="1595"/>
        <v>0</v>
      </c>
      <c r="AG179" s="41">
        <f t="shared" ref="AG179" si="2131">IFERROR(AF179/AF$19,0)</f>
        <v>0</v>
      </c>
      <c r="AH179" s="29">
        <f t="shared" si="1597"/>
        <v>0</v>
      </c>
      <c r="AI179" s="41">
        <f t="shared" ref="AI179" si="2132">IFERROR(AH179/AH$19,0)</f>
        <v>0</v>
      </c>
    </row>
    <row r="180" spans="1:35" ht="15.6" hidden="1" outlineLevel="1" x14ac:dyDescent="0.3">
      <c r="A180" s="35" t="s">
        <v>23</v>
      </c>
      <c r="B180" s="29">
        <f>IFERROR(VLOOKUP($A180,APOIO!$B:$N,MATCH(B$5,APOIO!$B$5:$N$5,0),FALSE),0)</f>
        <v>0</v>
      </c>
      <c r="C180" s="38">
        <f t="shared" si="1347"/>
        <v>0</v>
      </c>
      <c r="D180" s="29">
        <f>IFERROR(VLOOKUP($A180,APOIO!$B:$N,MATCH(D$5,APOIO!$B$5:$N$5,0),FALSE),0)</f>
        <v>0</v>
      </c>
      <c r="E180" s="38">
        <f t="shared" si="1347"/>
        <v>0</v>
      </c>
      <c r="F180" s="29">
        <f>IFERROR(VLOOKUP($A180,APOIO!$B:$N,MATCH(F$5,APOIO!$B$5:$N$5,0),FALSE),0)</f>
        <v>0</v>
      </c>
      <c r="G180" s="38">
        <f t="shared" ref="G180:G182" si="2133">IFERROR(F180/F$19,0)</f>
        <v>0</v>
      </c>
      <c r="H180" s="30">
        <f t="shared" ref="H180:H182" si="2134">SUM(B180,D180,F180)</f>
        <v>0</v>
      </c>
      <c r="I180" s="40">
        <f t="shared" ref="I180:I182" si="2135">IFERROR(H180/H$19,0)</f>
        <v>0</v>
      </c>
      <c r="J180" s="29">
        <f>IFERROR(VLOOKUP($A180,APOIO!$B:$N,MATCH(J$5,APOIO!$B$5:$N$5,0),FALSE),0)</f>
        <v>0</v>
      </c>
      <c r="K180" s="38">
        <f t="shared" ref="K180:K182" si="2136">IFERROR(J180/J$19,0)</f>
        <v>0</v>
      </c>
      <c r="L180" s="29">
        <f>IFERROR(VLOOKUP($A180,APOIO!$B:$N,MATCH(L$5,APOIO!$B$5:$N$5,0),FALSE),0)</f>
        <v>0</v>
      </c>
      <c r="M180" s="38">
        <f t="shared" ref="M180:M182" si="2137">IFERROR(L180/L$19,0)</f>
        <v>0</v>
      </c>
      <c r="N180" s="29">
        <f>IFERROR(VLOOKUP($A180,APOIO!$B:$N,MATCH(N$5,APOIO!$B$5:$N$5,0),FALSE),0)</f>
        <v>0</v>
      </c>
      <c r="O180" s="38">
        <f t="shared" ref="O180:O182" si="2138">IFERROR(N180/N$19,0)</f>
        <v>0</v>
      </c>
      <c r="P180" s="30">
        <f t="shared" ref="P180:P182" si="2139">SUM(J180,L180,N180)</f>
        <v>0</v>
      </c>
      <c r="Q180" s="41">
        <f t="shared" ref="Q180:Q182" si="2140">IFERROR(P180/P$19,0)</f>
        <v>0</v>
      </c>
      <c r="R180" s="29">
        <f>IFERROR(VLOOKUP($A180,APOIO!$B:$N,MATCH(R$5,APOIO!$B$5:$N$5,0),FALSE),0)</f>
        <v>0</v>
      </c>
      <c r="S180" s="41">
        <f t="shared" ref="S180:S182" si="2141">IFERROR(R180/R$19,0)</f>
        <v>0</v>
      </c>
      <c r="T180" s="29">
        <f>IFERROR(VLOOKUP($A180,APOIO!$B:$N,MATCH(T$5,APOIO!$B$5:$N$5,0),FALSE),0)</f>
        <v>0</v>
      </c>
      <c r="U180" s="41">
        <f t="shared" ref="U180:U182" si="2142">IFERROR(T180/T$19,0)</f>
        <v>0</v>
      </c>
      <c r="V180" s="29">
        <f>IFERROR(VLOOKUP($A180,APOIO!$B:$N,MATCH(V$5,APOIO!$B$5:$N$5,0),FALSE),0)</f>
        <v>0</v>
      </c>
      <c r="W180" s="38">
        <f t="shared" ref="W180:W182" si="2143">IFERROR(V180/V$19,0)</f>
        <v>0</v>
      </c>
      <c r="X180" s="30">
        <f t="shared" ref="X180:X182" si="2144">SUM(R180,T180,V180)</f>
        <v>0</v>
      </c>
      <c r="Y180" s="41">
        <f t="shared" ref="Y180:Y182" si="2145">IFERROR(X180/X$19,0)</f>
        <v>0</v>
      </c>
      <c r="Z180" s="29">
        <f>IFERROR(VLOOKUP($A180,APOIO!$B:$N,MATCH(Z$5,APOIO!$B$5:$N$5,0),FALSE),0)</f>
        <v>0</v>
      </c>
      <c r="AA180" s="38">
        <f t="shared" ref="AA180:AA182" si="2146">IFERROR(Z180/Z$19,0)</f>
        <v>0</v>
      </c>
      <c r="AB180" s="29">
        <f>IFERROR(VLOOKUP($A180,APOIO!$B:$N,MATCH(AB$5,APOIO!$B$5:$N$5,0),FALSE),0)</f>
        <v>0</v>
      </c>
      <c r="AC180" s="38">
        <f t="shared" ref="AC180:AC182" si="2147">IFERROR(AB180/AB$19,0)</f>
        <v>0</v>
      </c>
      <c r="AD180" s="29">
        <f>IFERROR(VLOOKUP($A180,APOIO!$B:$N,MATCH(AD$5,APOIO!$B$5:$N$5,0),FALSE),0)</f>
        <v>0</v>
      </c>
      <c r="AE180" s="38">
        <f t="shared" ref="AE180:AE182" si="2148">IFERROR(AD180/AD$19,0)</f>
        <v>0</v>
      </c>
      <c r="AF180" s="30">
        <f t="shared" ref="AF180:AF182" si="2149">SUM(Z180,AB180,AD180)</f>
        <v>0</v>
      </c>
      <c r="AG180" s="41">
        <f t="shared" ref="AG180:AG182" si="2150">IFERROR(AF180/AF$19,0)</f>
        <v>0</v>
      </c>
      <c r="AH180" s="29">
        <f t="shared" ref="AH180:AH182" si="2151">SUM(B180,D180,F180,J180,L180,N180,R180,T180,V180,Z180,AB180,AD180)</f>
        <v>0</v>
      </c>
      <c r="AI180" s="41">
        <f t="shared" ref="AI180:AI182" si="2152">IFERROR(AH180/AH$19,0)</f>
        <v>0</v>
      </c>
    </row>
    <row r="181" spans="1:35" ht="15.6" hidden="1" outlineLevel="1" x14ac:dyDescent="0.3">
      <c r="A181" s="35" t="s">
        <v>1754</v>
      </c>
      <c r="B181" s="29">
        <f>IFERROR(VLOOKUP($A181,APOIO!$B:$N,MATCH(B$5,APOIO!$B$5:$N$5,0),FALSE),0)</f>
        <v>0</v>
      </c>
      <c r="C181" s="38">
        <f t="shared" ref="C181" si="2153">IFERROR(B181/B$19,0)</f>
        <v>0</v>
      </c>
      <c r="D181" s="29">
        <f>IFERROR(VLOOKUP($A181,APOIO!$B:$N,MATCH(D$5,APOIO!$B$5:$N$5,0),FALSE),0)</f>
        <v>0</v>
      </c>
      <c r="E181" s="38">
        <f t="shared" ref="E181" si="2154">IFERROR(D181/D$19,0)</f>
        <v>0</v>
      </c>
      <c r="F181" s="29">
        <f>IFERROR(VLOOKUP($A181,APOIO!$B:$N,MATCH(F$5,APOIO!$B$5:$N$5,0),FALSE),0)</f>
        <v>0</v>
      </c>
      <c r="G181" s="38">
        <f t="shared" ref="G181" si="2155">IFERROR(F181/F$19,0)</f>
        <v>0</v>
      </c>
      <c r="H181" s="30">
        <f t="shared" ref="H181" si="2156">SUM(B181,D181,F181)</f>
        <v>0</v>
      </c>
      <c r="I181" s="40">
        <f t="shared" ref="I181" si="2157">IFERROR(H181/H$19,0)</f>
        <v>0</v>
      </c>
      <c r="J181" s="29">
        <f>IFERROR(VLOOKUP($A181,APOIO!$B:$N,MATCH(J$5,APOIO!$B$5:$N$5,0),FALSE),0)</f>
        <v>0</v>
      </c>
      <c r="K181" s="38">
        <f t="shared" ref="K181" si="2158">IFERROR(J181/J$19,0)</f>
        <v>0</v>
      </c>
      <c r="L181" s="29">
        <f>IFERROR(VLOOKUP($A181,APOIO!$B:$N,MATCH(L$5,APOIO!$B$5:$N$5,0),FALSE),0)</f>
        <v>0</v>
      </c>
      <c r="M181" s="38">
        <f t="shared" ref="M181" si="2159">IFERROR(L181/L$19,0)</f>
        <v>0</v>
      </c>
      <c r="N181" s="29">
        <f>IFERROR(VLOOKUP($A181,APOIO!$B:$N,MATCH(N$5,APOIO!$B$5:$N$5,0),FALSE),0)</f>
        <v>0</v>
      </c>
      <c r="O181" s="38">
        <f t="shared" ref="O181" si="2160">IFERROR(N181/N$19,0)</f>
        <v>0</v>
      </c>
      <c r="P181" s="30">
        <f t="shared" ref="P181" si="2161">SUM(J181,L181,N181)</f>
        <v>0</v>
      </c>
      <c r="Q181" s="41">
        <f t="shared" ref="Q181" si="2162">IFERROR(P181/P$19,0)</f>
        <v>0</v>
      </c>
      <c r="R181" s="29">
        <f>IFERROR(VLOOKUP($A181,APOIO!$B:$N,MATCH(R$5,APOIO!$B$5:$N$5,0),FALSE),0)</f>
        <v>0</v>
      </c>
      <c r="S181" s="41">
        <f t="shared" ref="S181" si="2163">IFERROR(R181/R$19,0)</f>
        <v>0</v>
      </c>
      <c r="T181" s="29">
        <f>IFERROR(VLOOKUP($A181,APOIO!$B:$N,MATCH(T$5,APOIO!$B$5:$N$5,0),FALSE),0)</f>
        <v>0</v>
      </c>
      <c r="U181" s="41">
        <f t="shared" ref="U181" si="2164">IFERROR(T181/T$19,0)</f>
        <v>0</v>
      </c>
      <c r="V181" s="29">
        <f>IFERROR(VLOOKUP($A181,APOIO!$B:$N,MATCH(V$5,APOIO!$B$5:$N$5,0),FALSE),0)</f>
        <v>0</v>
      </c>
      <c r="W181" s="38">
        <f t="shared" ref="W181" si="2165">IFERROR(V181/V$19,0)</f>
        <v>0</v>
      </c>
      <c r="X181" s="30">
        <f t="shared" ref="X181" si="2166">SUM(R181,T181,V181)</f>
        <v>0</v>
      </c>
      <c r="Y181" s="41">
        <f t="shared" ref="Y181" si="2167">IFERROR(X181/X$19,0)</f>
        <v>0</v>
      </c>
      <c r="Z181" s="29">
        <f>IFERROR(VLOOKUP($A181,APOIO!$B:$N,MATCH(Z$5,APOIO!$B$5:$N$5,0),FALSE),0)</f>
        <v>0</v>
      </c>
      <c r="AA181" s="38">
        <f t="shared" ref="AA181" si="2168">IFERROR(Z181/Z$19,0)</f>
        <v>0</v>
      </c>
      <c r="AB181" s="29">
        <f>IFERROR(VLOOKUP($A181,APOIO!$B:$N,MATCH(AB$5,APOIO!$B$5:$N$5,0),FALSE),0)</f>
        <v>0</v>
      </c>
      <c r="AC181" s="38">
        <f t="shared" ref="AC181" si="2169">IFERROR(AB181/AB$19,0)</f>
        <v>0</v>
      </c>
      <c r="AD181" s="29">
        <f>IFERROR(VLOOKUP($A181,APOIO!$B:$N,MATCH(AD$5,APOIO!$B$5:$N$5,0),FALSE),0)</f>
        <v>0</v>
      </c>
      <c r="AE181" s="38">
        <f t="shared" ref="AE181" si="2170">IFERROR(AD181/AD$19,0)</f>
        <v>0</v>
      </c>
      <c r="AF181" s="30">
        <f t="shared" ref="AF181" si="2171">SUM(Z181,AB181,AD181)</f>
        <v>0</v>
      </c>
      <c r="AG181" s="41">
        <f t="shared" ref="AG181" si="2172">IFERROR(AF181/AF$19,0)</f>
        <v>0</v>
      </c>
      <c r="AH181" s="29">
        <f t="shared" ref="AH181" si="2173">SUM(B181,D181,F181,J181,L181,N181,R181,T181,V181,Z181,AB181,AD181)</f>
        <v>0</v>
      </c>
      <c r="AI181" s="41">
        <f t="shared" ref="AI181" si="2174">IFERROR(AH181/AH$19,0)</f>
        <v>0</v>
      </c>
    </row>
    <row r="182" spans="1:35" ht="15.6" hidden="1" outlineLevel="1" x14ac:dyDescent="0.3">
      <c r="A182" s="35" t="s">
        <v>1750</v>
      </c>
      <c r="B182" s="29">
        <f>IFERROR(VLOOKUP($A182,APOIO!$B:$N,MATCH(B$5,APOIO!$B$5:$N$5,0),FALSE),0)</f>
        <v>0</v>
      </c>
      <c r="C182" s="38">
        <f t="shared" ref="C182" si="2175">IFERROR(B182/B$19,0)</f>
        <v>0</v>
      </c>
      <c r="D182" s="29">
        <f>IFERROR(VLOOKUP($A182,APOIO!$B:$N,MATCH(D$5,APOIO!$B$5:$N$5,0),FALSE),0)</f>
        <v>0</v>
      </c>
      <c r="E182" s="38">
        <f t="shared" ref="E182" si="2176">IFERROR(D182/D$19,0)</f>
        <v>0</v>
      </c>
      <c r="F182" s="29">
        <f>IFERROR(VLOOKUP($A182,APOIO!$B:$N,MATCH(F$5,APOIO!$B$5:$N$5,0),FALSE),0)</f>
        <v>0</v>
      </c>
      <c r="G182" s="38">
        <f t="shared" si="2133"/>
        <v>0</v>
      </c>
      <c r="H182" s="30">
        <f t="shared" si="2134"/>
        <v>0</v>
      </c>
      <c r="I182" s="40">
        <f t="shared" si="2135"/>
        <v>0</v>
      </c>
      <c r="J182" s="29">
        <f>IFERROR(VLOOKUP($A182,APOIO!$B:$N,MATCH(J$5,APOIO!$B$5:$N$5,0),FALSE),0)</f>
        <v>0</v>
      </c>
      <c r="K182" s="38">
        <f t="shared" si="2136"/>
        <v>0</v>
      </c>
      <c r="L182" s="29">
        <f>IFERROR(VLOOKUP($A182,APOIO!$B:$N,MATCH(L$5,APOIO!$B$5:$N$5,0),FALSE),0)</f>
        <v>0</v>
      </c>
      <c r="M182" s="38">
        <f t="shared" si="2137"/>
        <v>0</v>
      </c>
      <c r="N182" s="29">
        <f>IFERROR(VLOOKUP($A182,APOIO!$B:$N,MATCH(N$5,APOIO!$B$5:$N$5,0),FALSE),0)</f>
        <v>0</v>
      </c>
      <c r="O182" s="38">
        <f t="shared" si="2138"/>
        <v>0</v>
      </c>
      <c r="P182" s="30">
        <f t="shared" si="2139"/>
        <v>0</v>
      </c>
      <c r="Q182" s="41">
        <f t="shared" si="2140"/>
        <v>0</v>
      </c>
      <c r="R182" s="29">
        <f>IFERROR(VLOOKUP($A182,APOIO!$B:$N,MATCH(R$5,APOIO!$B$5:$N$5,0),FALSE),0)</f>
        <v>0</v>
      </c>
      <c r="S182" s="41">
        <f t="shared" si="2141"/>
        <v>0</v>
      </c>
      <c r="T182" s="29">
        <f>IFERROR(VLOOKUP($A182,APOIO!$B:$N,MATCH(T$5,APOIO!$B$5:$N$5,0),FALSE),0)</f>
        <v>0</v>
      </c>
      <c r="U182" s="41">
        <f t="shared" si="2142"/>
        <v>0</v>
      </c>
      <c r="V182" s="29">
        <f>IFERROR(VLOOKUP($A182,APOIO!$B:$N,MATCH(V$5,APOIO!$B$5:$N$5,0),FALSE),0)</f>
        <v>0</v>
      </c>
      <c r="W182" s="38">
        <f t="shared" si="2143"/>
        <v>0</v>
      </c>
      <c r="X182" s="30">
        <f t="shared" si="2144"/>
        <v>0</v>
      </c>
      <c r="Y182" s="41">
        <f t="shared" si="2145"/>
        <v>0</v>
      </c>
      <c r="Z182" s="29">
        <f>IFERROR(VLOOKUP($A182,APOIO!$B:$N,MATCH(Z$5,APOIO!$B$5:$N$5,0),FALSE),0)</f>
        <v>0</v>
      </c>
      <c r="AA182" s="38">
        <f t="shared" si="2146"/>
        <v>0</v>
      </c>
      <c r="AB182" s="29">
        <f>IFERROR(VLOOKUP($A182,APOIO!$B:$N,MATCH(AB$5,APOIO!$B$5:$N$5,0),FALSE),0)</f>
        <v>0</v>
      </c>
      <c r="AC182" s="38">
        <f t="shared" si="2147"/>
        <v>0</v>
      </c>
      <c r="AD182" s="29">
        <f>IFERROR(VLOOKUP($A182,APOIO!$B:$N,MATCH(AD$5,APOIO!$B$5:$N$5,0),FALSE),0)</f>
        <v>0</v>
      </c>
      <c r="AE182" s="38">
        <f t="shared" si="2148"/>
        <v>0</v>
      </c>
      <c r="AF182" s="30">
        <f t="shared" si="2149"/>
        <v>0</v>
      </c>
      <c r="AG182" s="41">
        <f t="shared" si="2150"/>
        <v>0</v>
      </c>
      <c r="AH182" s="29">
        <f t="shared" si="2151"/>
        <v>0</v>
      </c>
      <c r="AI182" s="41">
        <f t="shared" si="2152"/>
        <v>0</v>
      </c>
    </row>
    <row r="183" spans="1:35" ht="15.6" hidden="1" outlineLevel="1" x14ac:dyDescent="0.3">
      <c r="A183" s="35" t="s">
        <v>54</v>
      </c>
      <c r="B183" s="29">
        <f>IFERROR(VLOOKUP($A183,APOIO!$B:$N,MATCH(B$5,APOIO!$B$5:$N$5,0),FALSE),0)</f>
        <v>0</v>
      </c>
      <c r="C183" s="38">
        <f t="shared" si="1347"/>
        <v>0</v>
      </c>
      <c r="D183" s="29">
        <f>IFERROR(VLOOKUP($A183,APOIO!$B:$N,MATCH(D$5,APOIO!$B$5:$N$5,0),FALSE),0)</f>
        <v>0</v>
      </c>
      <c r="E183" s="38">
        <f t="shared" si="1347"/>
        <v>0</v>
      </c>
      <c r="F183" s="29">
        <f>IFERROR(VLOOKUP($A183,APOIO!$B:$N,MATCH(F$5,APOIO!$B$5:$N$5,0),FALSE),0)</f>
        <v>0</v>
      </c>
      <c r="G183" s="38">
        <f t="shared" ref="G183" si="2177">IFERROR(F183/F$19,0)</f>
        <v>0</v>
      </c>
      <c r="H183" s="30">
        <f t="shared" si="1580"/>
        <v>0</v>
      </c>
      <c r="I183" s="40">
        <f t="shared" ref="I183" si="2178">IFERROR(H183/H$19,0)</f>
        <v>0</v>
      </c>
      <c r="J183" s="29">
        <f>IFERROR(VLOOKUP($A183,APOIO!$B:$N,MATCH(J$5,APOIO!$B$5:$N$5,0),FALSE),0)</f>
        <v>0</v>
      </c>
      <c r="K183" s="38">
        <f t="shared" ref="K183" si="2179">IFERROR(J183/J$19,0)</f>
        <v>0</v>
      </c>
      <c r="L183" s="29">
        <f>IFERROR(VLOOKUP($A183,APOIO!$B:$N,MATCH(L$5,APOIO!$B$5:$N$5,0),FALSE),0)</f>
        <v>0</v>
      </c>
      <c r="M183" s="38">
        <f t="shared" ref="M183" si="2180">IFERROR(L183/L$19,0)</f>
        <v>0</v>
      </c>
      <c r="N183" s="29">
        <f>IFERROR(VLOOKUP($A183,APOIO!$B:$N,MATCH(N$5,APOIO!$B$5:$N$5,0),FALSE),0)</f>
        <v>0</v>
      </c>
      <c r="O183" s="38">
        <f t="shared" ref="O183" si="2181">IFERROR(N183/N$19,0)</f>
        <v>0</v>
      </c>
      <c r="P183" s="30">
        <f t="shared" si="1585"/>
        <v>0</v>
      </c>
      <c r="Q183" s="41">
        <f t="shared" ref="Q183" si="2182">IFERROR(P183/P$19,0)</f>
        <v>0</v>
      </c>
      <c r="R183" s="29">
        <f>IFERROR(VLOOKUP($A183,APOIO!$B:$N,MATCH(R$5,APOIO!$B$5:$N$5,0),FALSE),0)</f>
        <v>0</v>
      </c>
      <c r="S183" s="41">
        <f t="shared" ref="S183" si="2183">IFERROR(R183/R$19,0)</f>
        <v>0</v>
      </c>
      <c r="T183" s="29">
        <f>IFERROR(VLOOKUP($A183,APOIO!$B:$N,MATCH(T$5,APOIO!$B$5:$N$5,0),FALSE),0)</f>
        <v>0</v>
      </c>
      <c r="U183" s="41">
        <f t="shared" ref="U183" si="2184">IFERROR(T183/T$19,0)</f>
        <v>0</v>
      </c>
      <c r="V183" s="29">
        <f>IFERROR(VLOOKUP($A183,APOIO!$B:$N,MATCH(V$5,APOIO!$B$5:$N$5,0),FALSE),0)</f>
        <v>0</v>
      </c>
      <c r="W183" s="38">
        <f t="shared" ref="W183" si="2185">IFERROR(V183/V$19,0)</f>
        <v>0</v>
      </c>
      <c r="X183" s="30">
        <f t="shared" si="1590"/>
        <v>0</v>
      </c>
      <c r="Y183" s="41">
        <f t="shared" ref="Y183" si="2186">IFERROR(X183/X$19,0)</f>
        <v>0</v>
      </c>
      <c r="Z183" s="29">
        <f>IFERROR(VLOOKUP($A183,APOIO!$B:$N,MATCH(Z$5,APOIO!$B$5:$N$5,0),FALSE),0)</f>
        <v>0</v>
      </c>
      <c r="AA183" s="38">
        <f t="shared" ref="AA183" si="2187">IFERROR(Z183/Z$19,0)</f>
        <v>0</v>
      </c>
      <c r="AB183" s="29">
        <f>IFERROR(VLOOKUP($A183,APOIO!$B:$N,MATCH(AB$5,APOIO!$B$5:$N$5,0),FALSE),0)</f>
        <v>0</v>
      </c>
      <c r="AC183" s="38">
        <f t="shared" ref="AC183" si="2188">IFERROR(AB183/AB$19,0)</f>
        <v>0</v>
      </c>
      <c r="AD183" s="29">
        <f>IFERROR(VLOOKUP($A183,APOIO!$B:$N,MATCH(AD$5,APOIO!$B$5:$N$5,0),FALSE),0)</f>
        <v>0</v>
      </c>
      <c r="AE183" s="38">
        <f t="shared" ref="AE183" si="2189">IFERROR(AD183/AD$19,0)</f>
        <v>0</v>
      </c>
      <c r="AF183" s="30">
        <f t="shared" si="1595"/>
        <v>0</v>
      </c>
      <c r="AG183" s="41">
        <f t="shared" ref="AG183" si="2190">IFERROR(AF183/AF$19,0)</f>
        <v>0</v>
      </c>
      <c r="AH183" s="29">
        <f t="shared" si="1597"/>
        <v>0</v>
      </c>
      <c r="AI183" s="41">
        <f t="shared" ref="AI183" si="2191">IFERROR(AH183/AH$19,0)</f>
        <v>0</v>
      </c>
    </row>
    <row r="184" spans="1:35" ht="15.6" hidden="1" outlineLevel="1" x14ac:dyDescent="0.3">
      <c r="A184" s="35" t="s">
        <v>31</v>
      </c>
      <c r="B184" s="29">
        <f>IFERROR(VLOOKUP($A184,APOIO!$B:$N,MATCH(B$5,APOIO!$B$5:$N$5,0),FALSE),0)</f>
        <v>0</v>
      </c>
      <c r="C184" s="38">
        <f t="shared" si="1347"/>
        <v>0</v>
      </c>
      <c r="D184" s="29">
        <f>IFERROR(VLOOKUP($A184,APOIO!$B:$N,MATCH(D$5,APOIO!$B$5:$N$5,0),FALSE),0)</f>
        <v>0</v>
      </c>
      <c r="E184" s="38">
        <f t="shared" si="1347"/>
        <v>0</v>
      </c>
      <c r="F184" s="29">
        <f>IFERROR(VLOOKUP($A184,APOIO!$B:$N,MATCH(F$5,APOIO!$B$5:$N$5,0),FALSE),0)</f>
        <v>0</v>
      </c>
      <c r="G184" s="38">
        <f t="shared" ref="G184" si="2192">IFERROR(F184/F$19,0)</f>
        <v>0</v>
      </c>
      <c r="H184" s="30">
        <f t="shared" ref="H184" si="2193">SUM(B184,D184,F184)</f>
        <v>0</v>
      </c>
      <c r="I184" s="40">
        <f t="shared" ref="I184" si="2194">IFERROR(H184/H$19,0)</f>
        <v>0</v>
      </c>
      <c r="J184" s="29">
        <f>IFERROR(VLOOKUP($A184,APOIO!$B:$N,MATCH(J$5,APOIO!$B$5:$N$5,0),FALSE),0)</f>
        <v>0</v>
      </c>
      <c r="K184" s="38">
        <f t="shared" ref="K184" si="2195">IFERROR(J184/J$19,0)</f>
        <v>0</v>
      </c>
      <c r="L184" s="29">
        <f>IFERROR(VLOOKUP($A184,APOIO!$B:$N,MATCH(L$5,APOIO!$B$5:$N$5,0),FALSE),0)</f>
        <v>0</v>
      </c>
      <c r="M184" s="38">
        <f t="shared" ref="M184" si="2196">IFERROR(L184/L$19,0)</f>
        <v>0</v>
      </c>
      <c r="N184" s="29">
        <f>IFERROR(VLOOKUP($A184,APOIO!$B:$N,MATCH(N$5,APOIO!$B$5:$N$5,0),FALSE),0)</f>
        <v>0</v>
      </c>
      <c r="O184" s="38">
        <f t="shared" ref="O184" si="2197">IFERROR(N184/N$19,0)</f>
        <v>0</v>
      </c>
      <c r="P184" s="30">
        <f t="shared" ref="P184" si="2198">SUM(J184,L184,N184)</f>
        <v>0</v>
      </c>
      <c r="Q184" s="41">
        <f t="shared" ref="Q184" si="2199">IFERROR(P184/P$19,0)</f>
        <v>0</v>
      </c>
      <c r="R184" s="29">
        <f>IFERROR(VLOOKUP($A184,APOIO!$B:$N,MATCH(R$5,APOIO!$B$5:$N$5,0),FALSE),0)</f>
        <v>0</v>
      </c>
      <c r="S184" s="41">
        <f t="shared" ref="S184" si="2200">IFERROR(R184/R$19,0)</f>
        <v>0</v>
      </c>
      <c r="T184" s="29">
        <f>IFERROR(VLOOKUP($A184,APOIO!$B:$N,MATCH(T$5,APOIO!$B$5:$N$5,0),FALSE),0)</f>
        <v>0</v>
      </c>
      <c r="U184" s="41">
        <f t="shared" ref="U184" si="2201">IFERROR(T184/T$19,0)</f>
        <v>0</v>
      </c>
      <c r="V184" s="29">
        <f>IFERROR(VLOOKUP($A184,APOIO!$B:$N,MATCH(V$5,APOIO!$B$5:$N$5,0),FALSE),0)</f>
        <v>0</v>
      </c>
      <c r="W184" s="38">
        <f t="shared" ref="W184" si="2202">IFERROR(V184/V$19,0)</f>
        <v>0</v>
      </c>
      <c r="X184" s="30">
        <f t="shared" ref="X184" si="2203">SUM(R184,T184,V184)</f>
        <v>0</v>
      </c>
      <c r="Y184" s="41">
        <f t="shared" ref="Y184" si="2204">IFERROR(X184/X$19,0)</f>
        <v>0</v>
      </c>
      <c r="Z184" s="29">
        <f>IFERROR(VLOOKUP($A184,APOIO!$B:$N,MATCH(Z$5,APOIO!$B$5:$N$5,0),FALSE),0)</f>
        <v>0</v>
      </c>
      <c r="AA184" s="38">
        <f t="shared" ref="AA184" si="2205">IFERROR(Z184/Z$19,0)</f>
        <v>0</v>
      </c>
      <c r="AB184" s="29">
        <f>IFERROR(VLOOKUP($A184,APOIO!$B:$N,MATCH(AB$5,APOIO!$B$5:$N$5,0),FALSE),0)</f>
        <v>0</v>
      </c>
      <c r="AC184" s="38">
        <f t="shared" ref="AC184" si="2206">IFERROR(AB184/AB$19,0)</f>
        <v>0</v>
      </c>
      <c r="AD184" s="29">
        <f>IFERROR(VLOOKUP($A184,APOIO!$B:$N,MATCH(AD$5,APOIO!$B$5:$N$5,0),FALSE),0)</f>
        <v>0</v>
      </c>
      <c r="AE184" s="38">
        <f t="shared" ref="AE184" si="2207">IFERROR(AD184/AD$19,0)</f>
        <v>0</v>
      </c>
      <c r="AF184" s="30">
        <f t="shared" ref="AF184" si="2208">SUM(Z184,AB184,AD184)</f>
        <v>0</v>
      </c>
      <c r="AG184" s="41">
        <f t="shared" ref="AG184" si="2209">IFERROR(AF184/AF$19,0)</f>
        <v>0</v>
      </c>
      <c r="AH184" s="29">
        <f t="shared" ref="AH184" si="2210">SUM(B184,D184,F184,J184,L184,N184,R184,T184,V184,Z184,AB184,AD184)</f>
        <v>0</v>
      </c>
      <c r="AI184" s="41">
        <f t="shared" ref="AI184" si="2211">IFERROR(AH184/AH$19,0)</f>
        <v>0</v>
      </c>
    </row>
    <row r="185" spans="1:35" ht="16.2" collapsed="1" thickTop="1" x14ac:dyDescent="0.3">
      <c r="A185" s="50" t="s">
        <v>40</v>
      </c>
      <c r="B185" s="51">
        <f>SUM(B177:B178)</f>
        <v>-111783.32999999994</v>
      </c>
      <c r="C185" s="47">
        <f t="shared" si="1347"/>
        <v>-0.72037196069507803</v>
      </c>
      <c r="D185" s="51">
        <f>SUM(D177:D178)</f>
        <v>148244.08134599999</v>
      </c>
      <c r="E185" s="47">
        <f t="shared" si="1347"/>
        <v>0.4060772213742273</v>
      </c>
      <c r="F185" s="51">
        <f>SUM(F177:F178)</f>
        <v>-86865.256095999997</v>
      </c>
      <c r="G185" s="47">
        <f t="shared" ref="G185" si="2212">IFERROR(F185/F$19,0)</f>
        <v>0</v>
      </c>
      <c r="H185" s="51">
        <f t="shared" si="1580"/>
        <v>-50404.504749999949</v>
      </c>
      <c r="I185" s="47">
        <f t="shared" ref="I185" si="2213">IFERROR(H185/H$19,0)</f>
        <v>-9.688735245389396E-2</v>
      </c>
      <c r="J185" s="51">
        <f>SUM(J177:J178)</f>
        <v>-65501.580037999993</v>
      </c>
      <c r="K185" s="47">
        <f t="shared" ref="K185" si="2214">IFERROR(J185/J$19,0)</f>
        <v>0</v>
      </c>
      <c r="L185" s="51">
        <f>SUM(L177:L178)</f>
        <v>-74954.096102915137</v>
      </c>
      <c r="M185" s="47">
        <f t="shared" ref="M185" si="2215">IFERROR(L185/L$19,0)</f>
        <v>0</v>
      </c>
      <c r="N185" s="51">
        <f>SUM(N177:N178)</f>
        <v>0</v>
      </c>
      <c r="O185" s="47">
        <f t="shared" ref="O185" si="2216">IFERROR(N185/N$19,0)</f>
        <v>0</v>
      </c>
      <c r="P185" s="51">
        <f t="shared" si="1585"/>
        <v>-140455.67614091514</v>
      </c>
      <c r="Q185" s="48">
        <f t="shared" ref="Q185" si="2217">IFERROR(P185/P$19,0)</f>
        <v>0</v>
      </c>
      <c r="R185" s="51">
        <f>SUM(R177:R178)</f>
        <v>0</v>
      </c>
      <c r="S185" s="48">
        <f t="shared" ref="S185" si="2218">IFERROR(R185/R$19,0)</f>
        <v>0</v>
      </c>
      <c r="T185" s="51">
        <f>SUM(T177:T178)</f>
        <v>0</v>
      </c>
      <c r="U185" s="48">
        <f t="shared" ref="U185" si="2219">IFERROR(T185/T$19,0)</f>
        <v>0</v>
      </c>
      <c r="V185" s="51">
        <f>SUM(V177:V178)</f>
        <v>0</v>
      </c>
      <c r="W185" s="47">
        <f t="shared" ref="W185" si="2220">IFERROR(V185/V$19,0)</f>
        <v>0</v>
      </c>
      <c r="X185" s="51">
        <f t="shared" si="1590"/>
        <v>0</v>
      </c>
      <c r="Y185" s="48">
        <f t="shared" ref="Y185" si="2221">IFERROR(X185/X$19,0)</f>
        <v>0</v>
      </c>
      <c r="Z185" s="51">
        <f>SUM(Z177:Z178)</f>
        <v>0</v>
      </c>
      <c r="AA185" s="47">
        <f t="shared" ref="AA185" si="2222">IFERROR(Z185/Z$19,0)</f>
        <v>0</v>
      </c>
      <c r="AB185" s="51">
        <f>SUM(AB177:AB178)</f>
        <v>0</v>
      </c>
      <c r="AC185" s="47">
        <f t="shared" ref="AC185" si="2223">IFERROR(AB185/AB$19,0)</f>
        <v>0</v>
      </c>
      <c r="AD185" s="51">
        <f>SUM(AD177:AD178)</f>
        <v>0</v>
      </c>
      <c r="AE185" s="47">
        <f t="shared" ref="AE185" si="2224">IFERROR(AD185/AD$19,0)</f>
        <v>0</v>
      </c>
      <c r="AF185" s="51">
        <f t="shared" si="1595"/>
        <v>0</v>
      </c>
      <c r="AG185" s="48">
        <f t="shared" ref="AG185" si="2225">IFERROR(AF185/AF$19,0)</f>
        <v>0</v>
      </c>
      <c r="AH185" s="51">
        <f t="shared" si="1597"/>
        <v>-190860.1808909151</v>
      </c>
      <c r="AI185" s="48">
        <f t="shared" ref="AI185" si="2226">IFERROR(AH185/AH$19,0)</f>
        <v>-0.36687073322334485</v>
      </c>
    </row>
    <row r="186" spans="1:35" x14ac:dyDescent="0.3"/>
    <row r="187" spans="1:35" x14ac:dyDescent="0.3"/>
    <row r="188" spans="1:35" x14ac:dyDescent="0.3"/>
    <row r="189" spans="1:35" x14ac:dyDescent="0.3"/>
    <row r="190" spans="1:35" x14ac:dyDescent="0.3"/>
    <row r="191" spans="1:35" x14ac:dyDescent="0.3"/>
    <row r="192" spans="1:35" x14ac:dyDescent="0.3"/>
    <row r="193" x14ac:dyDescent="0.3"/>
    <row r="194" x14ac:dyDescent="0.3"/>
    <row r="195" x14ac:dyDescent="0.3"/>
    <row r="196" x14ac:dyDescent="0.3"/>
    <row r="197" x14ac:dyDescent="0.3"/>
    <row r="198" x14ac:dyDescent="0.3"/>
    <row r="199" x14ac:dyDescent="0.3"/>
    <row r="200" x14ac:dyDescent="0.3"/>
    <row r="201" x14ac:dyDescent="0.3"/>
    <row r="202" x14ac:dyDescent="0.3"/>
    <row r="203" x14ac:dyDescent="0.3"/>
    <row r="204" x14ac:dyDescent="0.3"/>
    <row r="205" x14ac:dyDescent="0.3"/>
    <row r="206" x14ac:dyDescent="0.3"/>
    <row r="207" x14ac:dyDescent="0.3"/>
    <row r="208" x14ac:dyDescent="0.3"/>
    <row r="209" x14ac:dyDescent="0.3"/>
    <row r="210" x14ac:dyDescent="0.3"/>
    <row r="211" x14ac:dyDescent="0.3"/>
  </sheetData>
  <phoneticPr fontId="9" type="noConversion"/>
  <pageMargins left="0.511811024" right="0.511811024" top="0.78740157499999996" bottom="0.78740157499999996" header="0.31496062000000002" footer="0.31496062000000002"/>
  <pageSetup paperSize="9" scale="79" orientation="landscape" r:id="rId1"/>
  <ignoredErrors>
    <ignoredError sqref="C16:AJ18 C6:AJ11" formula="1"/>
    <ignoredError sqref="C183:AJ188 C84:AJ90 C58:AJ65 C42:AJ47 C49:AJ56 C19:AJ22 C129:AJ139 C154:AJ155 C171:AJ174 C28:AJ37 C99:AJ99 C67:AJ71 C176:AJ180 C162:AJ168 C142:AJ151 C79:AJ82 C73:AJ76 C72:K72 M72:AJ72" formula="1" calculatedColumn="1"/>
    <ignoredError sqref="B183:B188 B84:B90 B58:B65 B42:B47 B49:B56 B19:B22 B129:B139 B154:B155 B171:B174 B28:B37 B99 B67:B76 B176:B180 B162:B168 B142:B151 B79:B82" calculatedColumn="1"/>
  </ignoredErrors>
  <drawing r:id="rId2"/>
  <tableParts count="1">
    <tablePart r:id="rId3"/>
  </tableParts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404CF-39A4-4160-9653-4515263E3F41}">
  <dimension ref="A1:R4964"/>
  <sheetViews>
    <sheetView showGridLines="0" zoomScale="60" zoomScaleNormal="60" workbookViewId="0">
      <pane ySplit="1" topLeftCell="A4943" activePane="bottomLeft" state="frozen"/>
      <selection pane="bottomLeft" activeCell="O4798" sqref="O4798"/>
    </sheetView>
  </sheetViews>
  <sheetFormatPr defaultColWidth="4.77734375" defaultRowHeight="14.4" x14ac:dyDescent="0.3"/>
  <cols>
    <col min="1" max="1" width="14.5546875" style="13" customWidth="1"/>
    <col min="2" max="2" width="63.77734375" style="11" customWidth="1"/>
    <col min="3" max="5" width="18.21875" style="12" customWidth="1"/>
    <col min="6" max="6" width="44.5546875" style="11" bestFit="1" customWidth="1"/>
    <col min="7" max="7" width="36.5546875" style="11" customWidth="1"/>
    <col min="8" max="8" width="15.44140625" style="14" customWidth="1"/>
    <col min="9" max="9" width="15.77734375" style="15" bestFit="1" customWidth="1"/>
    <col min="10" max="10" width="12.5546875" style="15" bestFit="1" customWidth="1"/>
    <col min="11" max="11" width="12.5546875" style="11" hidden="1" customWidth="1"/>
    <col min="12" max="12" width="12.5546875" style="1" hidden="1" customWidth="1"/>
    <col min="13" max="13" width="22.5546875" style="1" customWidth="1"/>
    <col min="14" max="14" width="20.5546875" style="1" customWidth="1"/>
    <col min="15" max="15" width="27.5546875" style="1" customWidth="1"/>
    <col min="16" max="16" width="19.5546875" style="1" customWidth="1"/>
    <col min="17" max="17" width="12.77734375" style="1" bestFit="1" customWidth="1"/>
    <col min="18" max="18" width="9.77734375" style="1" bestFit="1" customWidth="1"/>
    <col min="19" max="16384" width="4.77734375" style="1"/>
  </cols>
  <sheetData>
    <row r="1">
      <c r="A1" s="3" t="inlineStr">
        <is>
          <t>Data</t>
        </is>
      </c>
      <c r="B1" s="2" t="inlineStr">
        <is>
          <t>Histórico</t>
        </is>
      </c>
      <c r="C1" s="17" t="inlineStr">
        <is>
          <t>Crédito</t>
        </is>
      </c>
      <c r="D1" s="17" t="inlineStr">
        <is>
          <t>Débito</t>
        </is>
      </c>
      <c r="E1" s="17" t="inlineStr">
        <is>
          <t>Saldo</t>
        </is>
      </c>
      <c r="F1" s="17" t="inlineStr">
        <is>
          <t>Natureza</t>
        </is>
      </c>
      <c r="G1" s="17" t="inlineStr">
        <is>
          <t>Centro de Custo - Obra</t>
        </is>
      </c>
      <c r="H1" s="17" t="inlineStr">
        <is>
          <t>Ano Fluxo</t>
        </is>
      </c>
      <c r="I1" s="18" t="inlineStr">
        <is>
          <t>C. Mês</t>
        </is>
      </c>
      <c r="J1" s="2" t="inlineStr">
        <is>
          <t>Mês</t>
        </is>
      </c>
      <c r="K1" s="17" t="inlineStr">
        <is>
          <t>Banco</t>
        </is>
      </c>
      <c r="L1" s="17" t="inlineStr">
        <is>
          <t>Empresa</t>
        </is>
      </c>
      <c r="M1" s="2" t="inlineStr">
        <is>
          <t>Valor</t>
        </is>
      </c>
      <c r="N1" s="2" t="inlineStr">
        <is>
          <t>Rubrica</t>
        </is>
      </c>
      <c r="O1" s="2" t="inlineStr">
        <is>
          <t>Conta Filho</t>
        </is>
      </c>
      <c r="P1" s="2" t="inlineStr">
        <is>
          <t>Conta Pai</t>
        </is>
      </c>
      <c r="Q1" s="2" t="inlineStr">
        <is>
          <t>Cod</t>
        </is>
      </c>
      <c r="R1" s="2" t="inlineStr">
        <is>
          <t>Ano</t>
        </is>
      </c>
    </row>
    <row r="2">
      <c r="A2" s="19" t="n">
        <v>45809</v>
      </c>
      <c r="B2" s="16" t="inlineStr">
        <is>
          <t>ALUGUEIS OBRAS</t>
        </is>
      </c>
      <c r="C2" s="88" t="n"/>
      <c r="D2" s="88" t="n">
        <v>850</v>
      </c>
      <c r="E2" s="88" t="n">
        <v>-850</v>
      </c>
      <c r="F2" s="1" t="inlineStr">
        <is>
          <t>5.3 - ALUGUEL ALOJAMENTO</t>
        </is>
      </c>
      <c r="G2" s="1" t="inlineStr">
        <is>
          <t>FOSFATO CMOC CONTRAT</t>
        </is>
      </c>
      <c r="H2" s="63" t="n">
        <v>2025</v>
      </c>
      <c r="I2" s="64" t="n">
        <v>6</v>
      </c>
      <c r="J2" s="16" t="inlineStr">
        <is>
          <t>Jun</t>
        </is>
      </c>
      <c r="K2" s="16" t="n"/>
      <c r="L2" s="16" t="n"/>
      <c r="M2" s="89" t="n">
        <v>-850</v>
      </c>
      <c r="N2" s="1" t="inlineStr">
        <is>
          <t>ALUGUEL ALOJAMENTO</t>
        </is>
      </c>
      <c r="O2" s="1" t="inlineStr">
        <is>
          <t>Despesas com Infraestrutura</t>
        </is>
      </c>
      <c r="P2" s="1" t="inlineStr">
        <is>
          <t>(-)Gastos Fixos</t>
        </is>
      </c>
      <c r="Q2" s="1" t="n">
        <v>4</v>
      </c>
      <c r="R2" s="1" t="n">
        <v>2025</v>
      </c>
    </row>
    <row r="3">
      <c r="A3" s="61" t="n">
        <v>45809</v>
      </c>
      <c r="B3" s="16" t="inlineStr">
        <is>
          <t>ALUGUEIS OBRAS</t>
        </is>
      </c>
      <c r="C3" s="90" t="n"/>
      <c r="D3" s="90" t="n">
        <v>1100</v>
      </c>
      <c r="E3" s="90" t="n">
        <v>-1100</v>
      </c>
      <c r="F3" s="16" t="inlineStr">
        <is>
          <t>5.3 - ALUGUEL ALOJAMENTO</t>
        </is>
      </c>
      <c r="G3" s="16" t="inlineStr">
        <is>
          <t>FOSFATO CMOC CONTRAT</t>
        </is>
      </c>
      <c r="H3" s="63" t="n">
        <v>2025</v>
      </c>
      <c r="I3" s="64" t="n">
        <v>6</v>
      </c>
      <c r="J3" s="16" t="inlineStr">
        <is>
          <t>Jun</t>
        </is>
      </c>
      <c r="K3" s="16" t="n"/>
      <c r="M3" s="89" t="n">
        <v>-1100</v>
      </c>
      <c r="N3" s="1" t="inlineStr">
        <is>
          <t>ALUGUEL ALOJAMENTO</t>
        </is>
      </c>
      <c r="O3" s="1" t="inlineStr">
        <is>
          <t>Despesas com Infraestrutura</t>
        </is>
      </c>
      <c r="P3" s="1" t="inlineStr">
        <is>
          <t>(-)Gastos Fixos</t>
        </is>
      </c>
      <c r="Q3" s="1" t="n">
        <v>4</v>
      </c>
      <c r="R3" s="1" t="n">
        <v>2025</v>
      </c>
    </row>
    <row r="4">
      <c r="A4" s="61" t="n">
        <v>45809</v>
      </c>
      <c r="B4" s="16" t="inlineStr">
        <is>
          <t>ALUGUEIS OBRAS</t>
        </is>
      </c>
      <c r="C4" s="90" t="n"/>
      <c r="D4" s="90" t="n">
        <v>1200</v>
      </c>
      <c r="E4" s="90" t="n">
        <v>-1200</v>
      </c>
      <c r="F4" s="16" t="inlineStr">
        <is>
          <t>5.3 - ALUGUEL ALOJAMENTO</t>
        </is>
      </c>
      <c r="G4" s="16" t="inlineStr">
        <is>
          <t>NIOBIO CMOC CONTRATO</t>
        </is>
      </c>
      <c r="H4" s="63" t="n">
        <v>2025</v>
      </c>
      <c r="I4" s="64" t="n">
        <v>6</v>
      </c>
      <c r="J4" s="16" t="inlineStr">
        <is>
          <t>Jun</t>
        </is>
      </c>
      <c r="K4" s="16" t="n"/>
      <c r="M4" s="89" t="n">
        <v>-1200</v>
      </c>
      <c r="N4" s="1" t="inlineStr">
        <is>
          <t>ALUGUEL ALOJAMENTO</t>
        </is>
      </c>
      <c r="O4" s="1" t="inlineStr">
        <is>
          <t>Despesas com Infraestrutura</t>
        </is>
      </c>
      <c r="P4" s="1" t="inlineStr">
        <is>
          <t>(-)Gastos Fixos</t>
        </is>
      </c>
      <c r="Q4" s="1" t="n">
        <v>4</v>
      </c>
      <c r="R4" s="1" t="n">
        <v>2025</v>
      </c>
    </row>
    <row r="5">
      <c r="A5" s="61" t="n">
        <v>45809</v>
      </c>
      <c r="B5" s="16" t="inlineStr">
        <is>
          <t>ALUGUEIS OBRAS</t>
        </is>
      </c>
      <c r="C5" s="90" t="n"/>
      <c r="D5" s="90" t="n">
        <v>1000</v>
      </c>
      <c r="E5" s="90" t="n">
        <v>-1000</v>
      </c>
      <c r="F5" s="16" t="inlineStr">
        <is>
          <t>5.3 - ALUGUEL ALOJAMENTO</t>
        </is>
      </c>
      <c r="G5" s="16" t="inlineStr">
        <is>
          <t>NIOBIO CMOC CONTRATO</t>
        </is>
      </c>
      <c r="H5" s="63" t="n">
        <v>2025</v>
      </c>
      <c r="I5" s="64" t="n">
        <v>6</v>
      </c>
      <c r="J5" s="16" t="inlineStr">
        <is>
          <t>Jun</t>
        </is>
      </c>
      <c r="K5" s="16" t="n"/>
      <c r="M5" s="89" t="n">
        <v>-1000</v>
      </c>
      <c r="N5" s="1" t="inlineStr">
        <is>
          <t>ALUGUEL ALOJAMENTO</t>
        </is>
      </c>
      <c r="O5" s="1" t="inlineStr">
        <is>
          <t>Despesas com Infraestrutura</t>
        </is>
      </c>
      <c r="P5" s="1" t="inlineStr">
        <is>
          <t>(-)Gastos Fixos</t>
        </is>
      </c>
      <c r="Q5" s="1" t="n">
        <v>4</v>
      </c>
      <c r="R5" s="1" t="n">
        <v>2025</v>
      </c>
    </row>
    <row r="6">
      <c r="A6" s="61" t="n">
        <v>45809</v>
      </c>
      <c r="B6" s="16" t="inlineStr">
        <is>
          <t>74 - MATA FOME REFEICAO COLETIVA LTDA</t>
        </is>
      </c>
      <c r="C6" s="90" t="n"/>
      <c r="D6" s="90" t="n">
        <v>6040</v>
      </c>
      <c r="E6" s="90" t="n">
        <v>-6040</v>
      </c>
      <c r="F6" s="16" t="inlineStr">
        <is>
          <t>12.5 - REFEIÇÕES FUNCIONARIOS</t>
        </is>
      </c>
      <c r="G6" s="16" t="inlineStr">
        <is>
          <t>VLI PINTURA</t>
        </is>
      </c>
      <c r="H6" s="63" t="n">
        <v>2025</v>
      </c>
      <c r="I6" s="64" t="n">
        <v>6</v>
      </c>
      <c r="J6" s="16" t="inlineStr">
        <is>
          <t>Jun</t>
        </is>
      </c>
      <c r="K6" s="16" t="n"/>
      <c r="M6" s="89" t="n">
        <v>-6040</v>
      </c>
      <c r="N6" s="1" t="inlineStr">
        <is>
          <t>12.5 - REFEIÇÕES FUNCIONARIOS</t>
        </is>
      </c>
      <c r="O6" s="1" t="n"/>
      <c r="P6" s="1" t="n"/>
      <c r="Q6" s="1" t="n"/>
      <c r="R6" s="1" t="n">
        <v>2025</v>
      </c>
    </row>
    <row r="7">
      <c r="A7" s="61" t="n">
        <v>45809</v>
      </c>
      <c r="B7" s="16" t="inlineStr">
        <is>
          <t>4947 - LOC RADIO - LOCAÇAO E SERVIÇOS</t>
        </is>
      </c>
      <c r="C7" s="90" t="n"/>
      <c r="D7" s="90" t="n">
        <v>390</v>
      </c>
      <c r="E7" s="90" t="n">
        <v>-390</v>
      </c>
      <c r="F7" s="16" t="inlineStr">
        <is>
          <t>7.10 - LOCAÇAO RADIOS DE COMUNICAÇÃO</t>
        </is>
      </c>
      <c r="G7" s="16" t="inlineStr">
        <is>
          <t>FOSFATO CMOC CONTRAT</t>
        </is>
      </c>
      <c r="H7" s="63" t="n">
        <v>2025</v>
      </c>
      <c r="I7" s="64" t="n">
        <v>6</v>
      </c>
      <c r="J7" s="16" t="inlineStr">
        <is>
          <t>Jun</t>
        </is>
      </c>
      <c r="K7" s="16" t="n"/>
      <c r="M7" s="89" t="n">
        <v>-390</v>
      </c>
      <c r="N7" s="1" t="inlineStr">
        <is>
          <t>LOCAÇAO RADIOS DE COMUNICAÇÃO</t>
        </is>
      </c>
      <c r="O7" s="1" t="inlineStr">
        <is>
          <t>Despesas com Locações</t>
        </is>
      </c>
      <c r="P7" s="1" t="inlineStr">
        <is>
          <t>(-)Gastos Fixos</t>
        </is>
      </c>
      <c r="Q7" s="1" t="n">
        <v>4</v>
      </c>
      <c r="R7" s="1" t="n">
        <v>2025</v>
      </c>
    </row>
    <row r="8">
      <c r="A8" s="61" t="n">
        <v>45809</v>
      </c>
      <c r="B8" s="16" t="inlineStr">
        <is>
          <t>4947 - LOC RADIO - LOCAÇAO E SERVIÇOS</t>
        </is>
      </c>
      <c r="C8" s="90" t="n"/>
      <c r="D8" s="90" t="n">
        <v>390</v>
      </c>
      <c r="E8" s="90" t="n">
        <v>-390</v>
      </c>
      <c r="F8" s="16" t="inlineStr">
        <is>
          <t>7.10 - LOCAÇAO RADIOS DE COMUNICAÇÃO</t>
        </is>
      </c>
      <c r="G8" s="16" t="inlineStr">
        <is>
          <t>NIOBIO CMOC CONTRATO</t>
        </is>
      </c>
      <c r="H8" s="63" t="n">
        <v>2025</v>
      </c>
      <c r="I8" s="64" t="n">
        <v>6</v>
      </c>
      <c r="J8" s="16" t="inlineStr">
        <is>
          <t>Jun</t>
        </is>
      </c>
      <c r="K8" s="16" t="n"/>
      <c r="M8" s="89" t="n">
        <v>-390</v>
      </c>
      <c r="N8" s="1" t="inlineStr">
        <is>
          <t>LOCAÇAO RADIOS DE COMUNICAÇÃO</t>
        </is>
      </c>
      <c r="O8" s="1" t="inlineStr">
        <is>
          <t>Despesas com Locações</t>
        </is>
      </c>
      <c r="P8" s="1" t="inlineStr">
        <is>
          <t>(-)Gastos Fixos</t>
        </is>
      </c>
      <c r="Q8" s="1" t="n">
        <v>4</v>
      </c>
      <c r="R8" s="1" t="n">
        <v>2025</v>
      </c>
    </row>
    <row r="9">
      <c r="A9" s="61" t="n">
        <v>45809</v>
      </c>
      <c r="B9" s="16" t="inlineStr">
        <is>
          <t>LOC BEM - VILMAR</t>
        </is>
      </c>
      <c r="C9" s="90" t="n"/>
      <c r="D9" s="90" t="n">
        <v>1600</v>
      </c>
      <c r="E9" s="90" t="n">
        <v>-1600</v>
      </c>
      <c r="F9" s="16" t="inlineStr">
        <is>
          <t>7.2 - LOCAÇÃO COMPRESSORES</t>
        </is>
      </c>
      <c r="G9" s="16" t="inlineStr">
        <is>
          <t>MOSAIC ARAXA</t>
        </is>
      </c>
      <c r="H9" s="63" t="n">
        <v>2025</v>
      </c>
      <c r="I9" s="64" t="n">
        <v>6</v>
      </c>
      <c r="J9" s="16" t="inlineStr">
        <is>
          <t>Jun</t>
        </is>
      </c>
      <c r="K9" s="16" t="n"/>
      <c r="M9" s="89" t="n">
        <v>-1600</v>
      </c>
      <c r="N9" s="1" t="inlineStr">
        <is>
          <t>LOCAÇÃO COMPRESSORES</t>
        </is>
      </c>
      <c r="O9" s="1" t="inlineStr">
        <is>
          <t>Despesas com Locações</t>
        </is>
      </c>
      <c r="P9" s="1" t="inlineStr">
        <is>
          <t>(-)Gastos Fixos</t>
        </is>
      </c>
      <c r="Q9" s="1" t="n">
        <v>4</v>
      </c>
      <c r="R9" s="1" t="n">
        <v>2025</v>
      </c>
    </row>
    <row r="10">
      <c r="A10" s="61" t="n">
        <v>45809</v>
      </c>
      <c r="B10" s="16" t="inlineStr">
        <is>
          <t>LOC BEM - VILMAR</t>
        </is>
      </c>
      <c r="C10" s="90" t="n"/>
      <c r="D10" s="90" t="n">
        <v>7500</v>
      </c>
      <c r="E10" s="90" t="n">
        <v>-7500</v>
      </c>
      <c r="F10" s="16" t="inlineStr">
        <is>
          <t>7.2 - LOCAÇÃO COMPRESSORES</t>
        </is>
      </c>
      <c r="G10" s="16" t="inlineStr">
        <is>
          <t>MOSAIC UBERABA CONTRAT0 3 ANOS</t>
        </is>
      </c>
      <c r="H10" s="63" t="n">
        <v>2025</v>
      </c>
      <c r="I10" s="64" t="n">
        <v>6</v>
      </c>
      <c r="J10" s="16" t="inlineStr">
        <is>
          <t>Jun</t>
        </is>
      </c>
      <c r="K10" s="16" t="n"/>
      <c r="M10" s="89" t="n">
        <v>-7500</v>
      </c>
      <c r="N10" s="1" t="inlineStr">
        <is>
          <t>LOCAÇÃO COMPRESSORES</t>
        </is>
      </c>
      <c r="O10" s="1" t="inlineStr">
        <is>
          <t>Despesas com Locações</t>
        </is>
      </c>
      <c r="P10" s="1" t="inlineStr">
        <is>
          <t>(-)Gastos Fixos</t>
        </is>
      </c>
      <c r="Q10" s="1" t="n">
        <v>4</v>
      </c>
      <c r="R10" s="1" t="n">
        <v>2025</v>
      </c>
    </row>
    <row r="11">
      <c r="A11" s="61" t="n">
        <v>45809</v>
      </c>
      <c r="B11" s="16" t="inlineStr">
        <is>
          <t>LOC BEM - VILMAR</t>
        </is>
      </c>
      <c r="C11" s="90" t="n"/>
      <c r="D11" s="90" t="n">
        <v>15000</v>
      </c>
      <c r="E11" s="90" t="n">
        <v>-15000</v>
      </c>
      <c r="F11" s="16" t="inlineStr">
        <is>
          <t>7.2 - LOCAÇÃO COMPRESSORES</t>
        </is>
      </c>
      <c r="G11" s="16" t="inlineStr">
        <is>
          <t>EUROCHEM SERRA DO SALITRE</t>
        </is>
      </c>
      <c r="H11" s="63" t="n">
        <v>2025</v>
      </c>
      <c r="I11" s="64" t="n">
        <v>6</v>
      </c>
      <c r="J11" s="16" t="inlineStr">
        <is>
          <t>Jun</t>
        </is>
      </c>
      <c r="K11" s="16" t="n"/>
      <c r="M11" s="89" t="n">
        <v>-15000</v>
      </c>
      <c r="N11" s="1" t="inlineStr">
        <is>
          <t>LOCAÇÃO COMPRESSORES</t>
        </is>
      </c>
      <c r="O11" s="1" t="inlineStr">
        <is>
          <t>Despesas com Locações</t>
        </is>
      </c>
      <c r="P11" s="1" t="inlineStr">
        <is>
          <t>(-)Gastos Fixos</t>
        </is>
      </c>
      <c r="Q11" s="1" t="n">
        <v>4</v>
      </c>
      <c r="R11" s="1" t="n">
        <v>2025</v>
      </c>
    </row>
    <row r="12">
      <c r="A12" s="61" t="n">
        <v>45809</v>
      </c>
      <c r="B12" s="16" t="inlineStr">
        <is>
          <t>23923 - SUPORTE LOCAÇOES E SERVIÇOS LTDA</t>
        </is>
      </c>
      <c r="C12" s="90" t="n"/>
      <c r="D12" s="90" t="n">
        <v>1350</v>
      </c>
      <c r="E12" s="90" t="n">
        <v>-1350</v>
      </c>
      <c r="F12" s="16" t="inlineStr">
        <is>
          <t>7.6 - LOCAÇÃO CONTAINER</t>
        </is>
      </c>
      <c r="G12" s="16" t="inlineStr">
        <is>
          <t>MOSAIC UBERABA CONTRAT0 3 ANOS</t>
        </is>
      </c>
      <c r="H12" s="63" t="n">
        <v>2025</v>
      </c>
      <c r="I12" s="64" t="n">
        <v>6</v>
      </c>
      <c r="J12" s="16" t="inlineStr">
        <is>
          <t>Jun</t>
        </is>
      </c>
      <c r="K12" s="16" t="n"/>
      <c r="M12" s="89" t="n">
        <v>-1350</v>
      </c>
      <c r="N12" s="1" t="inlineStr">
        <is>
          <t>LOCAÇÃO CONTAINER</t>
        </is>
      </c>
      <c r="O12" s="1" t="inlineStr">
        <is>
          <t>Despesas com Locações</t>
        </is>
      </c>
      <c r="P12" s="1" t="inlineStr">
        <is>
          <t>(-)Gastos Fixos</t>
        </is>
      </c>
      <c r="Q12" s="1" t="n">
        <v>4</v>
      </c>
      <c r="R12" s="1" t="n">
        <v>2025</v>
      </c>
    </row>
    <row r="13">
      <c r="A13" s="61" t="n">
        <v>45810</v>
      </c>
      <c r="B13" s="16" t="inlineStr">
        <is>
          <t>811 - CONTEINERES BARRO ALTO LTDA</t>
        </is>
      </c>
      <c r="C13" s="90" t="n"/>
      <c r="D13" s="90" t="n">
        <v>1500</v>
      </c>
      <c r="E13" s="90" t="n">
        <v>-1500</v>
      </c>
      <c r="F13" s="16" t="inlineStr">
        <is>
          <t>7.6 - LOCAÇÃO CONTAINER</t>
        </is>
      </c>
      <c r="G13" s="16" t="inlineStr">
        <is>
          <t>ANGLO AMERICAN</t>
        </is>
      </c>
      <c r="H13" s="63" t="n">
        <v>2025</v>
      </c>
      <c r="I13" s="64" t="n">
        <v>6</v>
      </c>
      <c r="J13" s="16" t="inlineStr">
        <is>
          <t>Jun</t>
        </is>
      </c>
      <c r="K13" s="16" t="n"/>
      <c r="M13" s="89" t="n">
        <v>-1500</v>
      </c>
      <c r="N13" s="1" t="inlineStr">
        <is>
          <t>LOCAÇÃO CONTAINER</t>
        </is>
      </c>
      <c r="O13" s="1" t="inlineStr">
        <is>
          <t>Despesas com Locações</t>
        </is>
      </c>
      <c r="P13" s="1" t="inlineStr">
        <is>
          <t>(-)Gastos Fixos</t>
        </is>
      </c>
      <c r="Q13" s="1" t="n">
        <v>4</v>
      </c>
      <c r="R13" s="1" t="n">
        <v>2025</v>
      </c>
    </row>
    <row r="14">
      <c r="A14" s="61" t="n">
        <v>45810</v>
      </c>
      <c r="B14" s="16" t="inlineStr">
        <is>
          <t>ENCOMENDA DE CATALAO</t>
        </is>
      </c>
      <c r="C14" s="90" t="n"/>
      <c r="D14" s="90" t="n">
        <v>220</v>
      </c>
      <c r="E14" s="90" t="n">
        <v>-220</v>
      </c>
      <c r="F14" s="16" t="inlineStr">
        <is>
          <t>10.4 - FRETE TRANSPORTADORA</t>
        </is>
      </c>
      <c r="G14" s="16" t="inlineStr">
        <is>
          <t>NIOBIO CMOC CONTRATO</t>
        </is>
      </c>
      <c r="H14" s="63" t="n">
        <v>2025</v>
      </c>
      <c r="I14" s="64" t="n">
        <v>6</v>
      </c>
      <c r="J14" s="16" t="inlineStr">
        <is>
          <t>Jun</t>
        </is>
      </c>
      <c r="K14" s="16" t="n"/>
      <c r="M14" s="89" t="n">
        <v>-220</v>
      </c>
      <c r="N14" s="1" t="inlineStr">
        <is>
          <t>FRETE TRANSPORTADORA</t>
        </is>
      </c>
      <c r="O14" s="1" t="inlineStr">
        <is>
          <t>Fornecedores</t>
        </is>
      </c>
      <c r="P14" s="1" t="inlineStr">
        <is>
          <t>(-)Custos Variavéis</t>
        </is>
      </c>
      <c r="Q14" s="1" t="n">
        <v>3</v>
      </c>
      <c r="R14" s="1" t="n">
        <v>2025</v>
      </c>
    </row>
    <row r="15">
      <c r="A15" s="61" t="n">
        <v>45810</v>
      </c>
      <c r="B15" s="16" t="inlineStr">
        <is>
          <t>1040 - AQUARELA LANCHONETE E CONVENIENCIA LTDA</t>
        </is>
      </c>
      <c r="C15" s="90" t="n"/>
      <c r="D15" s="90" t="n">
        <v>3228</v>
      </c>
      <c r="E15" s="90" t="n">
        <v>-3228</v>
      </c>
      <c r="F15" s="16" t="inlineStr">
        <is>
          <t>12.5 - REFEIÇÕES FUNCIONARIOS</t>
        </is>
      </c>
      <c r="G15" s="16" t="inlineStr">
        <is>
          <t>ANGLO AMERICAN</t>
        </is>
      </c>
      <c r="H15" s="63" t="n">
        <v>2025</v>
      </c>
      <c r="I15" s="64" t="n">
        <v>6</v>
      </c>
      <c r="J15" s="16" t="inlineStr">
        <is>
          <t>Jun</t>
        </is>
      </c>
      <c r="K15" s="16" t="n"/>
      <c r="M15" s="89" t="n">
        <v>-3228</v>
      </c>
      <c r="N15" s="1" t="inlineStr">
        <is>
          <t>12.5 - REFEIÇÕES FUNCIONARIOS</t>
        </is>
      </c>
      <c r="O15" s="1" t="n"/>
      <c r="P15" s="1" t="n"/>
      <c r="Q15" s="1" t="n"/>
      <c r="R15" s="1" t="n">
        <v>2025</v>
      </c>
    </row>
    <row r="16">
      <c r="A16" s="61" t="n">
        <v>45810</v>
      </c>
      <c r="B16" s="16" t="inlineStr">
        <is>
          <t>RESTAURANTE EL SHADAY</t>
        </is>
      </c>
      <c r="C16" s="90" t="n"/>
      <c r="D16" s="90" t="n">
        <v>64</v>
      </c>
      <c r="E16" s="90" t="n">
        <v>-64</v>
      </c>
      <c r="F16" s="16" t="inlineStr">
        <is>
          <t>11.5 - ALIMENTAÇÃO ADM</t>
        </is>
      </c>
      <c r="G16" s="16" t="inlineStr">
        <is>
          <t>ADMINISTRATIVO</t>
        </is>
      </c>
      <c r="H16" s="63" t="n">
        <v>2025</v>
      </c>
      <c r="I16" s="64" t="n">
        <v>6</v>
      </c>
      <c r="J16" s="16" t="inlineStr">
        <is>
          <t>Jun</t>
        </is>
      </c>
      <c r="K16" s="16" t="n"/>
      <c r="M16" s="89" t="n">
        <v>-64</v>
      </c>
      <c r="N16" s="1" t="inlineStr">
        <is>
          <t>ALIMENTAÇÃO ADM</t>
        </is>
      </c>
      <c r="O16" s="1" t="inlineStr">
        <is>
          <t>Despesas com Pessoal</t>
        </is>
      </c>
      <c r="P16" s="1" t="inlineStr">
        <is>
          <t>(-)Gastos Fixos</t>
        </is>
      </c>
      <c r="Q16" s="1" t="n">
        <v>4</v>
      </c>
      <c r="R16" s="1" t="n">
        <v>2025</v>
      </c>
    </row>
    <row r="17">
      <c r="A17" s="61" t="n">
        <v>45810</v>
      </c>
      <c r="B17" s="16" t="inlineStr">
        <is>
          <t>REFEIÇÃO OBRAS</t>
        </is>
      </c>
      <c r="C17" s="90" t="n"/>
      <c r="D17" s="90" t="n">
        <v>4490</v>
      </c>
      <c r="E17" s="90" t="n">
        <v>-4490</v>
      </c>
      <c r="F17" s="16" t="inlineStr">
        <is>
          <t>12.5 - REFEIÇÕES FUNCIONARIOS</t>
        </is>
      </c>
      <c r="G17" s="16" t="inlineStr">
        <is>
          <t>NIOBIO CMOC CONTRATO</t>
        </is>
      </c>
      <c r="H17" s="63" t="n">
        <v>2025</v>
      </c>
      <c r="I17" s="64" t="n">
        <v>6</v>
      </c>
      <c r="J17" s="16" t="inlineStr">
        <is>
          <t>Jun</t>
        </is>
      </c>
      <c r="K17" s="16" t="n"/>
      <c r="M17" s="89" t="n">
        <v>-4490</v>
      </c>
      <c r="N17" s="1" t="inlineStr">
        <is>
          <t>12.5 - REFEIÇÕES FUNCIONARIOS</t>
        </is>
      </c>
      <c r="O17" s="1" t="n"/>
      <c r="P17" s="1" t="n"/>
      <c r="Q17" s="1" t="n"/>
      <c r="R17" s="1" t="n">
        <v>2025</v>
      </c>
    </row>
    <row r="18">
      <c r="A18" s="61" t="n">
        <v>45810</v>
      </c>
      <c r="B18" s="16" t="inlineStr">
        <is>
          <t>REFEIÇÃO OBRAS</t>
        </is>
      </c>
      <c r="C18" s="90" t="n"/>
      <c r="D18" s="90" t="n">
        <v>1896</v>
      </c>
      <c r="E18" s="90" t="n">
        <v>-1896</v>
      </c>
      <c r="F18" s="16" t="inlineStr">
        <is>
          <t>12.5 - REFEIÇÕES FUNCIONARIOS</t>
        </is>
      </c>
      <c r="G18" s="16" t="inlineStr">
        <is>
          <t>SERENA 21 TORRES 2024</t>
        </is>
      </c>
      <c r="H18" s="63" t="n">
        <v>2025</v>
      </c>
      <c r="I18" s="64" t="n">
        <v>6</v>
      </c>
      <c r="J18" s="16" t="inlineStr">
        <is>
          <t>Jun</t>
        </is>
      </c>
      <c r="K18" s="16" t="n"/>
      <c r="M18" s="89" t="n">
        <v>-1896</v>
      </c>
      <c r="N18" s="1" t="inlineStr">
        <is>
          <t>12.5 - REFEIÇÕES FUNCIONARIOS</t>
        </is>
      </c>
      <c r="O18" s="1" t="n"/>
      <c r="P18" s="1" t="n"/>
      <c r="Q18" s="1" t="n"/>
      <c r="R18" s="1" t="n">
        <v>2025</v>
      </c>
    </row>
    <row r="19">
      <c r="A19" s="61" t="n">
        <v>45810</v>
      </c>
      <c r="B19" s="16" t="inlineStr">
        <is>
          <t>REFEIÇÃO OBRAS</t>
        </is>
      </c>
      <c r="C19" s="90" t="n"/>
      <c r="D19" s="90" t="n">
        <v>6700</v>
      </c>
      <c r="E19" s="90" t="n">
        <v>-6700</v>
      </c>
      <c r="F19" s="16" t="inlineStr">
        <is>
          <t>12.5 - REFEIÇÕES FUNCIONARIOS</t>
        </is>
      </c>
      <c r="G19" s="16" t="inlineStr">
        <is>
          <t>MOSAIC UBERABA CONTRAT0 3 ANOS</t>
        </is>
      </c>
      <c r="H19" s="63" t="n">
        <v>2025</v>
      </c>
      <c r="I19" s="64" t="n">
        <v>6</v>
      </c>
      <c r="J19" s="16" t="inlineStr">
        <is>
          <t>Jun</t>
        </is>
      </c>
      <c r="K19" s="16" t="n"/>
      <c r="M19" s="89" t="n">
        <v>-6700</v>
      </c>
      <c r="N19" s="1" t="inlineStr">
        <is>
          <t>12.5 - REFEIÇÕES FUNCIONARIOS</t>
        </is>
      </c>
      <c r="O19" s="1" t="n"/>
      <c r="P19" s="1" t="n"/>
      <c r="Q19" s="1" t="n"/>
      <c r="R19" s="1" t="n">
        <v>2025</v>
      </c>
    </row>
    <row r="20">
      <c r="A20" s="61" t="n">
        <v>45810</v>
      </c>
      <c r="B20" s="16" t="inlineStr">
        <is>
          <t>REFEIÇÃO OBRAS</t>
        </is>
      </c>
      <c r="C20" s="90" t="n"/>
      <c r="D20" s="90" t="n">
        <v>3075</v>
      </c>
      <c r="E20" s="90" t="n">
        <v>-3075</v>
      </c>
      <c r="F20" s="16" t="inlineStr">
        <is>
          <t>12.5 - REFEIÇÕES FUNCIONARIOS</t>
        </is>
      </c>
      <c r="G20" s="16" t="inlineStr">
        <is>
          <t>ANGLO AMERICAN</t>
        </is>
      </c>
      <c r="H20" s="63" t="n">
        <v>2025</v>
      </c>
      <c r="I20" s="64" t="n">
        <v>6</v>
      </c>
      <c r="J20" s="16" t="inlineStr">
        <is>
          <t>Jun</t>
        </is>
      </c>
      <c r="K20" s="16" t="n"/>
      <c r="M20" s="89" t="n">
        <v>-3075</v>
      </c>
      <c r="N20" s="1" t="inlineStr">
        <is>
          <t>12.5 - REFEIÇÕES FUNCIONARIOS</t>
        </is>
      </c>
      <c r="O20" s="1" t="n"/>
      <c r="P20" s="1" t="n"/>
      <c r="Q20" s="1" t="n"/>
      <c r="R20" s="1" t="n">
        <v>2025</v>
      </c>
    </row>
    <row r="21">
      <c r="A21" s="61" t="n">
        <v>45810</v>
      </c>
      <c r="B21" s="16" t="inlineStr">
        <is>
          <t>REFEIÇÃO OBRAS</t>
        </is>
      </c>
      <c r="C21" s="90" t="n"/>
      <c r="D21" s="90" t="n">
        <v>5817.5</v>
      </c>
      <c r="E21" s="90" t="n">
        <v>-5817.5</v>
      </c>
      <c r="F21" s="16" t="inlineStr">
        <is>
          <t>12.5 - REFEIÇÕES FUNCIONARIOS</t>
        </is>
      </c>
      <c r="G21" s="16" t="inlineStr">
        <is>
          <t>FOSFATO CMOC CONTRAT</t>
        </is>
      </c>
      <c r="H21" s="63" t="n">
        <v>2025</v>
      </c>
      <c r="I21" s="64" t="n">
        <v>6</v>
      </c>
      <c r="J21" s="16" t="inlineStr">
        <is>
          <t>Jun</t>
        </is>
      </c>
      <c r="K21" s="16" t="n"/>
      <c r="M21" s="89" t="n">
        <v>-5817.5</v>
      </c>
      <c r="N21" s="1" t="inlineStr">
        <is>
          <t>12.5 - REFEIÇÕES FUNCIONARIOS</t>
        </is>
      </c>
      <c r="O21" s="1" t="n"/>
      <c r="P21" s="1" t="n"/>
      <c r="Q21" s="1" t="n"/>
      <c r="R21" s="1" t="n">
        <v>2025</v>
      </c>
    </row>
    <row r="22">
      <c r="A22" s="61" t="n">
        <v>45810</v>
      </c>
      <c r="B22" s="16" t="inlineStr">
        <is>
          <t>REFEIÇÃO OBRAS</t>
        </is>
      </c>
      <c r="C22" s="90" t="n"/>
      <c r="D22" s="90" t="n">
        <v>3587.5</v>
      </c>
      <c r="E22" s="90" t="n">
        <v>-3587.5</v>
      </c>
      <c r="F22" s="16" t="inlineStr">
        <is>
          <t>12.5 - REFEIÇÕES FUNCIONARIOS</t>
        </is>
      </c>
      <c r="G22" s="16" t="inlineStr">
        <is>
          <t>EUROCHEM SERRA DO SALITRE</t>
        </is>
      </c>
      <c r="H22" s="63" t="n">
        <v>2025</v>
      </c>
      <c r="I22" s="64" t="n">
        <v>6</v>
      </c>
      <c r="J22" s="16" t="inlineStr">
        <is>
          <t>Jun</t>
        </is>
      </c>
      <c r="K22" s="16" t="n"/>
      <c r="M22" s="89" t="n">
        <v>-3587.5</v>
      </c>
      <c r="N22" s="1" t="inlineStr">
        <is>
          <t>12.5 - REFEIÇÕES FUNCIONARIOS</t>
        </is>
      </c>
      <c r="O22" s="1" t="n"/>
      <c r="P22" s="1" t="n"/>
      <c r="Q22" s="1" t="n"/>
      <c r="R22" s="1" t="n">
        <v>2025</v>
      </c>
    </row>
    <row r="23">
      <c r="A23" s="61" t="n">
        <v>45810</v>
      </c>
      <c r="B23" s="16" t="inlineStr">
        <is>
          <t>REFEIÇÃO OBRAS</t>
        </is>
      </c>
      <c r="C23" s="90" t="n"/>
      <c r="D23" s="90" t="n">
        <v>12.52</v>
      </c>
      <c r="E23" s="90" t="n">
        <v>-12.52</v>
      </c>
      <c r="F23" s="16" t="inlineStr">
        <is>
          <t>11.5 - ALIMENTAÇÃO ADM</t>
        </is>
      </c>
      <c r="G23" s="16" t="inlineStr">
        <is>
          <t>ADMINISTRATIVO</t>
        </is>
      </c>
      <c r="H23" s="63" t="n">
        <v>2025</v>
      </c>
      <c r="I23" s="64" t="n">
        <v>6</v>
      </c>
      <c r="J23" s="16" t="inlineStr">
        <is>
          <t>Jun</t>
        </is>
      </c>
      <c r="K23" s="16" t="n"/>
      <c r="M23" s="89" t="n">
        <v>-12.52</v>
      </c>
      <c r="N23" s="1" t="inlineStr">
        <is>
          <t>ALIMENTAÇÃO ADM</t>
        </is>
      </c>
      <c r="O23" s="1" t="inlineStr">
        <is>
          <t>Despesas com Pessoal</t>
        </is>
      </c>
      <c r="P23" s="1" t="inlineStr">
        <is>
          <t>(-)Gastos Fixos</t>
        </is>
      </c>
      <c r="Q23" s="1" t="n">
        <v>4</v>
      </c>
      <c r="R23" s="1" t="n">
        <v>2025</v>
      </c>
    </row>
    <row r="24">
      <c r="A24" s="61" t="n">
        <v>45810</v>
      </c>
      <c r="B24" s="16" t="inlineStr">
        <is>
          <t>PLANETA EMBALAGENS</t>
        </is>
      </c>
      <c r="C24" s="90" t="n"/>
      <c r="D24" s="90" t="n">
        <v>355</v>
      </c>
      <c r="E24" s="90" t="n">
        <v>-355</v>
      </c>
      <c r="F24" s="16" t="inlineStr">
        <is>
          <t>8.8 - MATERIAIS DE CONSUMO EM OBRAS</t>
        </is>
      </c>
      <c r="G24" s="16" t="inlineStr">
        <is>
          <t>ADMINISTRATIVO</t>
        </is>
      </c>
      <c r="H24" s="63" t="n">
        <v>2025</v>
      </c>
      <c r="I24" s="64" t="n">
        <v>6</v>
      </c>
      <c r="J24" s="16" t="inlineStr">
        <is>
          <t>Jun</t>
        </is>
      </c>
      <c r="K24" s="16" t="n"/>
      <c r="M24" s="89" t="n">
        <v>-355</v>
      </c>
      <c r="N24" s="1" t="inlineStr">
        <is>
          <t>MATERIAIS DE CONSUMO EM OBRAS</t>
        </is>
      </c>
      <c r="O24" s="1" t="inlineStr">
        <is>
          <t>Despesas com Máquinas e Equipamentos</t>
        </is>
      </c>
      <c r="P24" s="1" t="inlineStr">
        <is>
          <t>(-)Gastos Fixos</t>
        </is>
      </c>
      <c r="Q24" s="1" t="n">
        <v>4</v>
      </c>
      <c r="R24" s="1" t="n">
        <v>2025</v>
      </c>
    </row>
    <row r="25">
      <c r="A25" s="61" t="n">
        <v>45810</v>
      </c>
      <c r="B25" s="16" t="inlineStr">
        <is>
          <t>289 - RESTAURANTE MARINA LTDA</t>
        </is>
      </c>
      <c r="C25" s="90" t="n"/>
      <c r="D25" s="90" t="n">
        <v>2708</v>
      </c>
      <c r="E25" s="90" t="n">
        <v>-2708</v>
      </c>
      <c r="F25" s="16" t="inlineStr">
        <is>
          <t>12.5 - REFEIÇÕES FUNCIONARIOS</t>
        </is>
      </c>
      <c r="G25" s="16" t="inlineStr">
        <is>
          <t>VLI PINTURA</t>
        </is>
      </c>
      <c r="H25" s="63" t="n">
        <v>2025</v>
      </c>
      <c r="I25" s="64" t="n">
        <v>6</v>
      </c>
      <c r="J25" s="16" t="inlineStr">
        <is>
          <t>Jun</t>
        </is>
      </c>
      <c r="K25" s="16" t="n"/>
      <c r="M25" s="89" t="n">
        <v>-2708</v>
      </c>
      <c r="N25" s="1" t="inlineStr">
        <is>
          <t>12.5 - REFEIÇÕES FUNCIONARIOS</t>
        </is>
      </c>
      <c r="O25" s="1" t="n"/>
      <c r="P25" s="1" t="n"/>
      <c r="Q25" s="1" t="n"/>
      <c r="R25" s="1" t="n">
        <v>2025</v>
      </c>
    </row>
    <row r="26">
      <c r="A26" s="61" t="n">
        <v>45810</v>
      </c>
      <c r="B26" s="16" t="inlineStr">
        <is>
          <t>RIBEIRO REMOÇOES LEVES E PESADOS</t>
        </is>
      </c>
      <c r="C26" s="90" t="n"/>
      <c r="D26" s="90" t="n">
        <v>500</v>
      </c>
      <c r="E26" s="90" t="n">
        <v>-500</v>
      </c>
      <c r="F26" s="16" t="inlineStr">
        <is>
          <t>10.1 - FRETE MATERIAIS E EQUIPAMENTOS</t>
        </is>
      </c>
      <c r="G26" s="16" t="inlineStr">
        <is>
          <t>FOSFATO CMOC CONTRAT</t>
        </is>
      </c>
      <c r="H26" s="63" t="n">
        <v>2025</v>
      </c>
      <c r="I26" s="64" t="n">
        <v>6</v>
      </c>
      <c r="J26" s="16" t="inlineStr">
        <is>
          <t>Jun</t>
        </is>
      </c>
      <c r="K26" s="16" t="n"/>
      <c r="M26" s="89" t="n">
        <v>-500</v>
      </c>
      <c r="N26" s="1" t="inlineStr">
        <is>
          <t>FRETE MATERIAIS E EQUIPAMENTOS</t>
        </is>
      </c>
      <c r="O26" s="1" t="inlineStr">
        <is>
          <t>Fornecedores</t>
        </is>
      </c>
      <c r="P26" s="1" t="inlineStr">
        <is>
          <t>(-)Custos Variavéis</t>
        </is>
      </c>
      <c r="Q26" s="1" t="n">
        <v>3</v>
      </c>
      <c r="R26" s="1" t="n">
        <v>2025</v>
      </c>
    </row>
    <row r="27">
      <c r="A27" s="61" t="n">
        <v>45810</v>
      </c>
      <c r="B27" s="16" t="inlineStr">
        <is>
          <t>GERENCIE SOLUCOES ONLINE LTDA</t>
        </is>
      </c>
      <c r="C27" s="90" t="n"/>
      <c r="D27" s="90" t="n">
        <v>195.9</v>
      </c>
      <c r="E27" s="90" t="n">
        <v>-195.9</v>
      </c>
      <c r="F27" s="16" t="inlineStr">
        <is>
          <t>11.8 - SISTEMA / SERVIDOR</t>
        </is>
      </c>
      <c r="G27" s="16" t="inlineStr">
        <is>
          <t>ADMINISTRATIVO</t>
        </is>
      </c>
      <c r="H27" s="63" t="n">
        <v>2025</v>
      </c>
      <c r="I27" s="64" t="n">
        <v>6</v>
      </c>
      <c r="J27" s="16" t="inlineStr">
        <is>
          <t>Jun</t>
        </is>
      </c>
      <c r="K27" s="16" t="n"/>
      <c r="M27" s="89" t="n">
        <v>-195.9</v>
      </c>
      <c r="N27" s="1" t="inlineStr">
        <is>
          <t>SISTEMA / SERVIDOR</t>
        </is>
      </c>
      <c r="O27" s="1" t="inlineStr">
        <is>
          <t>Despesas Administrativas</t>
        </is>
      </c>
      <c r="P27" s="1" t="inlineStr">
        <is>
          <t>(-)Gastos Fixos</t>
        </is>
      </c>
      <c r="Q27" s="1" t="n">
        <v>4</v>
      </c>
      <c r="R27" s="1" t="n">
        <v>2025</v>
      </c>
    </row>
    <row r="28">
      <c r="A28" s="61" t="n">
        <v>45810</v>
      </c>
      <c r="B28" s="16" t="inlineStr">
        <is>
          <t>IPOG</t>
        </is>
      </c>
      <c r="C28" s="90" t="n"/>
      <c r="D28" s="90" t="n">
        <v>1105</v>
      </c>
      <c r="E28" s="90" t="n">
        <v>-1105</v>
      </c>
      <c r="F28" s="16" t="inlineStr">
        <is>
          <t>14.2 - CURSOS / TREINAMENTOS</t>
        </is>
      </c>
      <c r="G28" s="16" t="inlineStr">
        <is>
          <t>ADMINISTRATIVO</t>
        </is>
      </c>
      <c r="H28" s="63" t="n">
        <v>2025</v>
      </c>
      <c r="I28" s="64" t="n">
        <v>6</v>
      </c>
      <c r="J28" s="16" t="inlineStr">
        <is>
          <t>Jun</t>
        </is>
      </c>
      <c r="K28" s="16" t="n"/>
      <c r="M28" s="89" t="n">
        <v>-1105</v>
      </c>
      <c r="N28" s="1" t="inlineStr">
        <is>
          <t>CURSOS / TREINAMENTOS</t>
        </is>
      </c>
      <c r="O28" s="1" t="inlineStr">
        <is>
          <t>Despesas com Pessoal</t>
        </is>
      </c>
      <c r="P28" s="1" t="inlineStr">
        <is>
          <t>(-)Gastos Fixos</t>
        </is>
      </c>
      <c r="Q28" s="1" t="n">
        <v>4</v>
      </c>
      <c r="R28" s="1" t="n">
        <v>2025</v>
      </c>
    </row>
    <row r="29">
      <c r="A29" s="61" t="n">
        <v>45810</v>
      </c>
      <c r="B29" s="16" t="inlineStr">
        <is>
          <t>IPOG</t>
        </is>
      </c>
      <c r="C29" s="90" t="n"/>
      <c r="D29" s="90" t="n">
        <v>1105</v>
      </c>
      <c r="E29" s="90" t="n">
        <v>-1105</v>
      </c>
      <c r="F29" s="16" t="inlineStr">
        <is>
          <t>14.2 - CURSOS / TREINAMENTOS</t>
        </is>
      </c>
      <c r="G29" s="16" t="inlineStr">
        <is>
          <t>ADMINISTRATIVO</t>
        </is>
      </c>
      <c r="H29" s="63" t="n">
        <v>2025</v>
      </c>
      <c r="I29" s="64" t="n">
        <v>6</v>
      </c>
      <c r="J29" s="16" t="inlineStr">
        <is>
          <t>Jun</t>
        </is>
      </c>
      <c r="K29" s="16" t="n"/>
      <c r="M29" s="89" t="n">
        <v>-1105</v>
      </c>
      <c r="N29" s="1" t="inlineStr">
        <is>
          <t>CURSOS / TREINAMENTOS</t>
        </is>
      </c>
      <c r="O29" s="1" t="inlineStr">
        <is>
          <t>Despesas com Pessoal</t>
        </is>
      </c>
      <c r="P29" s="1" t="inlineStr">
        <is>
          <t>(-)Gastos Fixos</t>
        </is>
      </c>
      <c r="Q29" s="1" t="n">
        <v>4</v>
      </c>
      <c r="R29" s="1" t="n">
        <v>2025</v>
      </c>
    </row>
    <row r="30">
      <c r="A30" s="61" t="n">
        <v>45810</v>
      </c>
      <c r="B30" s="16" t="inlineStr">
        <is>
          <t>16410 - ENERMONT COMERCIO LTDA</t>
        </is>
      </c>
      <c r="C30" s="90" t="n"/>
      <c r="D30" s="90" t="n">
        <v>258.45</v>
      </c>
      <c r="E30" s="90" t="n">
        <v>-258.45</v>
      </c>
      <c r="F30" s="16" t="inlineStr">
        <is>
          <t>8.8 - MATERIAIS DE CONSUMO EM OBRAS</t>
        </is>
      </c>
      <c r="G30" s="16" t="inlineStr">
        <is>
          <t>MOSAIC UBERABA CONTRAT0 3 ANOS</t>
        </is>
      </c>
      <c r="H30" s="63" t="n">
        <v>2025</v>
      </c>
      <c r="I30" s="64" t="n">
        <v>6</v>
      </c>
      <c r="J30" s="16" t="inlineStr">
        <is>
          <t>Jun</t>
        </is>
      </c>
      <c r="K30" s="16" t="n"/>
      <c r="M30" s="89" t="n">
        <v>-258.45</v>
      </c>
      <c r="N30" s="1" t="inlineStr">
        <is>
          <t>MATERIAIS DE CONSUMO EM OBRAS</t>
        </is>
      </c>
      <c r="O30" s="1" t="inlineStr">
        <is>
          <t>Despesas com Máquinas e Equipamentos</t>
        </is>
      </c>
      <c r="P30" s="1" t="inlineStr">
        <is>
          <t>(-)Gastos Fixos</t>
        </is>
      </c>
      <c r="Q30" s="1" t="n">
        <v>4</v>
      </c>
      <c r="R30" s="1" t="n">
        <v>2025</v>
      </c>
    </row>
    <row r="31">
      <c r="A31" s="61" t="n">
        <v>45810</v>
      </c>
      <c r="B31" s="16" t="inlineStr">
        <is>
          <t>242 - 52891012 ERIKA BARBOSA DE MENEZES</t>
        </is>
      </c>
      <c r="C31" s="90" t="n"/>
      <c r="D31" s="90" t="n">
        <v>175</v>
      </c>
      <c r="E31" s="90" t="n">
        <v>-175</v>
      </c>
      <c r="F31" s="16" t="inlineStr">
        <is>
          <t>12.5 - REFEIÇÕES FUNCIONARIOS</t>
        </is>
      </c>
      <c r="G31" s="16" t="inlineStr">
        <is>
          <t>MOSAIC ARAXA</t>
        </is>
      </c>
      <c r="H31" s="63" t="n">
        <v>2025</v>
      </c>
      <c r="I31" s="64" t="n">
        <v>6</v>
      </c>
      <c r="J31" s="16" t="inlineStr">
        <is>
          <t>Jun</t>
        </is>
      </c>
      <c r="K31" s="16" t="n"/>
      <c r="M31" s="89" t="n">
        <v>-175</v>
      </c>
      <c r="N31" s="1" t="inlineStr">
        <is>
          <t>12.5 - REFEIÇÕES FUNCIONARIOS</t>
        </is>
      </c>
      <c r="O31" s="1" t="n"/>
      <c r="P31" s="1" t="n"/>
      <c r="Q31" s="1" t="n"/>
      <c r="R31" s="1" t="n">
        <v>2025</v>
      </c>
    </row>
    <row r="32">
      <c r="A32" s="61" t="n">
        <v>45810</v>
      </c>
      <c r="B32" s="16" t="inlineStr">
        <is>
          <t>15847 - QUALI TINTAS</t>
        </is>
      </c>
      <c r="C32" s="90" t="n"/>
      <c r="D32" s="90" t="n">
        <v>77.75</v>
      </c>
      <c r="E32" s="90" t="n">
        <v>-77.75</v>
      </c>
      <c r="F32" s="16" t="inlineStr">
        <is>
          <t>4.1 - TINTAS E SOLVENTES</t>
        </is>
      </c>
      <c r="G32" s="16" t="inlineStr">
        <is>
          <t>ADMINISTRATIVO</t>
        </is>
      </c>
      <c r="H32" s="63" t="n">
        <v>2025</v>
      </c>
      <c r="I32" s="64" t="n">
        <v>6</v>
      </c>
      <c r="J32" s="16" t="inlineStr">
        <is>
          <t>Jun</t>
        </is>
      </c>
      <c r="K32" s="16" t="n"/>
      <c r="M32" s="89" t="n">
        <v>-77.75</v>
      </c>
      <c r="N32" s="1" t="inlineStr">
        <is>
          <t>TINTAS E SOLVENTES</t>
        </is>
      </c>
      <c r="O32" s="1" t="inlineStr">
        <is>
          <t>Fornecedores</t>
        </is>
      </c>
      <c r="P32" s="1" t="inlineStr">
        <is>
          <t>(-)Custos Variavéis</t>
        </is>
      </c>
      <c r="Q32" s="1" t="n">
        <v>3</v>
      </c>
      <c r="R32" s="1" t="n">
        <v>2025</v>
      </c>
    </row>
    <row r="33">
      <c r="A33" s="61" t="n">
        <v>45810</v>
      </c>
      <c r="B33" s="16" t="inlineStr">
        <is>
          <t>1344 - MATRIX CONSULTORIA E GESTAO DE TREINAMENTO EIRELI</t>
        </is>
      </c>
      <c r="C33" s="90" t="n"/>
      <c r="D33" s="90" t="n">
        <v>894.35</v>
      </c>
      <c r="E33" s="90" t="n">
        <v>-894.35</v>
      </c>
      <c r="F33" s="16" t="inlineStr">
        <is>
          <t>14.2 - CURSOS / TREINAMENTOS</t>
        </is>
      </c>
      <c r="G33" s="16" t="inlineStr">
        <is>
          <t>ANGLO AMERICAN</t>
        </is>
      </c>
      <c r="H33" s="63" t="n">
        <v>2025</v>
      </c>
      <c r="I33" s="64" t="n">
        <v>6</v>
      </c>
      <c r="J33" s="16" t="inlineStr">
        <is>
          <t>Jun</t>
        </is>
      </c>
      <c r="K33" s="16" t="n"/>
      <c r="M33" s="89" t="n">
        <v>-894.35</v>
      </c>
      <c r="N33" s="1" t="inlineStr">
        <is>
          <t>CURSOS / TREINAMENTOS</t>
        </is>
      </c>
      <c r="O33" s="1" t="inlineStr">
        <is>
          <t>Despesas com Pessoal</t>
        </is>
      </c>
      <c r="P33" s="1" t="inlineStr">
        <is>
          <t>(-)Gastos Fixos</t>
        </is>
      </c>
      <c r="Q33" s="1" t="n">
        <v>4</v>
      </c>
      <c r="R33" s="1" t="n">
        <v>2025</v>
      </c>
    </row>
    <row r="34">
      <c r="A34" s="61" t="n">
        <v>45810</v>
      </c>
      <c r="B34" s="16" t="inlineStr">
        <is>
          <t>1344 - MATRIX CONSULTORIA E GESTAO DE TREINAMENTO EIRELI</t>
        </is>
      </c>
      <c r="C34" s="90" t="n"/>
      <c r="D34" s="90" t="n">
        <v>894.35</v>
      </c>
      <c r="E34" s="90" t="n">
        <v>-894.35</v>
      </c>
      <c r="F34" s="16" t="inlineStr">
        <is>
          <t>14.2 - CURSOS / TREINAMENTOS</t>
        </is>
      </c>
      <c r="G34" s="16" t="inlineStr">
        <is>
          <t>ANGLO AMERICAN</t>
        </is>
      </c>
      <c r="H34" s="63" t="n">
        <v>2025</v>
      </c>
      <c r="I34" s="64" t="n">
        <v>6</v>
      </c>
      <c r="J34" s="16" t="inlineStr">
        <is>
          <t>Jun</t>
        </is>
      </c>
      <c r="K34" s="16" t="n"/>
      <c r="M34" s="89" t="n">
        <v>-894.35</v>
      </c>
      <c r="N34" s="1" t="inlineStr">
        <is>
          <t>CURSOS / TREINAMENTOS</t>
        </is>
      </c>
      <c r="O34" s="1" t="inlineStr">
        <is>
          <t>Despesas com Pessoal</t>
        </is>
      </c>
      <c r="P34" s="1" t="inlineStr">
        <is>
          <t>(-)Gastos Fixos</t>
        </is>
      </c>
      <c r="Q34" s="1" t="n">
        <v>4</v>
      </c>
      <c r="R34" s="1" t="n">
        <v>2025</v>
      </c>
    </row>
    <row r="35">
      <c r="A35" s="61" t="n">
        <v>45810</v>
      </c>
      <c r="B35" s="16" t="inlineStr">
        <is>
          <t>19020 - POSTO A+ COMERCIO DE COMBUSTIVEL LTDA</t>
        </is>
      </c>
      <c r="C35" s="90" t="n"/>
      <c r="D35" s="90" t="n">
        <v>1067.87</v>
      </c>
      <c r="E35" s="90" t="n">
        <v>-1067.87</v>
      </c>
      <c r="F35" s="16" t="inlineStr">
        <is>
          <t>8.13 - COMBUSTIVEL EQUIPAMENTOS</t>
        </is>
      </c>
      <c r="G35" s="16" t="inlineStr">
        <is>
          <t>VLI PINTURA</t>
        </is>
      </c>
      <c r="H35" s="63" t="n">
        <v>2025</v>
      </c>
      <c r="I35" s="64" t="n">
        <v>6</v>
      </c>
      <c r="J35" s="16" t="inlineStr">
        <is>
          <t>Jun</t>
        </is>
      </c>
      <c r="K35" s="16" t="n"/>
      <c r="M35" s="89" t="n">
        <v>-1067.87</v>
      </c>
      <c r="N35" s="1" t="inlineStr">
        <is>
          <t>COMBUSTIVEL EQUIPAMENTOS</t>
        </is>
      </c>
      <c r="O35" s="1" t="inlineStr">
        <is>
          <t>Despesas com Máquinas e Equipamentos</t>
        </is>
      </c>
      <c r="P35" s="1" t="inlineStr">
        <is>
          <t>(-)Gastos Fixos</t>
        </is>
      </c>
      <c r="Q35" s="1" t="n">
        <v>4</v>
      </c>
      <c r="R35" s="1" t="n">
        <v>2025</v>
      </c>
    </row>
    <row r="36">
      <c r="A36" s="61" t="n">
        <v>45810</v>
      </c>
      <c r="B36" s="16" t="inlineStr">
        <is>
          <t>19020 - POSTO A+ COMERCIO DE COMBUSTIVEL LTDA</t>
        </is>
      </c>
      <c r="C36" s="90" t="n"/>
      <c r="D36" s="90" t="n">
        <v>1457.31</v>
      </c>
      <c r="E36" s="90" t="n">
        <v>-1457.31</v>
      </c>
      <c r="F36" s="16" t="inlineStr">
        <is>
          <t>6.4 - COMBUSTIVEL VEICULOS</t>
        </is>
      </c>
      <c r="G36" s="16" t="inlineStr">
        <is>
          <t>VLI PINTURA</t>
        </is>
      </c>
      <c r="H36" s="63" t="n">
        <v>2025</v>
      </c>
      <c r="I36" s="64" t="n">
        <v>6</v>
      </c>
      <c r="J36" s="16" t="inlineStr">
        <is>
          <t>Jun</t>
        </is>
      </c>
      <c r="K36" s="16" t="n"/>
      <c r="M36" s="89" t="n">
        <v>-1457.31</v>
      </c>
      <c r="N36" s="1" t="inlineStr">
        <is>
          <t>COMBUSTIVEL VEICULOS</t>
        </is>
      </c>
      <c r="O36" s="1" t="inlineStr">
        <is>
          <t>Despesas com Veículos e Equipamentos</t>
        </is>
      </c>
      <c r="P36" s="1" t="inlineStr">
        <is>
          <t>(-)Gastos Fixos</t>
        </is>
      </c>
      <c r="Q36" s="1" t="n">
        <v>4</v>
      </c>
      <c r="R36" s="1" t="n">
        <v>2025</v>
      </c>
    </row>
    <row r="37">
      <c r="A37" s="61" t="n">
        <v>45810</v>
      </c>
      <c r="B37" s="16" t="inlineStr">
        <is>
          <t>DESPESAS VEICULOS</t>
        </is>
      </c>
      <c r="C37" s="90" t="n"/>
      <c r="D37" s="90" t="n">
        <v>250</v>
      </c>
      <c r="E37" s="90" t="n">
        <v>-250</v>
      </c>
      <c r="F37" s="16" t="inlineStr">
        <is>
          <t>6.3 - MANUTENÇÃO/PEÇAS  VEICULOS</t>
        </is>
      </c>
      <c r="G37" s="16" t="inlineStr">
        <is>
          <t>FOSFATO CMOC CONTRAT</t>
        </is>
      </c>
      <c r="H37" s="63" t="n">
        <v>2025</v>
      </c>
      <c r="I37" s="64" t="n">
        <v>6</v>
      </c>
      <c r="J37" s="16" t="inlineStr">
        <is>
          <t>Jun</t>
        </is>
      </c>
      <c r="K37" s="16" t="n"/>
      <c r="M37" s="89" t="n">
        <v>-250</v>
      </c>
      <c r="N37" s="1" t="inlineStr">
        <is>
          <t>MANUTENÇÃO/PEÇAS  VEICULOS</t>
        </is>
      </c>
      <c r="O37" s="1" t="inlineStr">
        <is>
          <t>Despesas com Veículos e Equipamentos</t>
        </is>
      </c>
      <c r="P37" s="1" t="inlineStr">
        <is>
          <t>(-)Gastos Fixos</t>
        </is>
      </c>
      <c r="Q37" s="1" t="n">
        <v>4</v>
      </c>
      <c r="R37" s="1" t="n">
        <v>2025</v>
      </c>
    </row>
    <row r="38">
      <c r="A38" s="61" t="n">
        <v>45810</v>
      </c>
      <c r="B38" s="16" t="inlineStr">
        <is>
          <t>FRETE OBRAS</t>
        </is>
      </c>
      <c r="C38" s="90" t="n"/>
      <c r="D38" s="90" t="n">
        <v>3200</v>
      </c>
      <c r="E38" s="90" t="n">
        <v>-3200</v>
      </c>
      <c r="F38" s="16" t="inlineStr">
        <is>
          <t>10.1 - FRETE MATERIAIS E EQUIPAMENTOS</t>
        </is>
      </c>
      <c r="G38" s="16" t="inlineStr">
        <is>
          <t>ADMINISTRATIVO</t>
        </is>
      </c>
      <c r="H38" s="63" t="n">
        <v>2025</v>
      </c>
      <c r="I38" s="64" t="n">
        <v>6</v>
      </c>
      <c r="J38" s="16" t="inlineStr">
        <is>
          <t>Jun</t>
        </is>
      </c>
      <c r="K38" s="16" t="n"/>
      <c r="M38" s="89" t="n">
        <v>-3200</v>
      </c>
      <c r="N38" s="1" t="inlineStr">
        <is>
          <t>FRETE MATERIAIS E EQUIPAMENTOS</t>
        </is>
      </c>
      <c r="O38" s="1" t="inlineStr">
        <is>
          <t>Fornecedores</t>
        </is>
      </c>
      <c r="P38" s="1" t="inlineStr">
        <is>
          <t>(-)Custos Variavéis</t>
        </is>
      </c>
      <c r="Q38" s="1" t="n">
        <v>3</v>
      </c>
      <c r="R38" s="1" t="n">
        <v>2025</v>
      </c>
    </row>
    <row r="39">
      <c r="A39" s="61" t="n">
        <v>45810</v>
      </c>
      <c r="B39" s="16" t="inlineStr">
        <is>
          <t>12284 - MARCOS CONTAINER LTDA M.E</t>
        </is>
      </c>
      <c r="C39" s="90" t="n"/>
      <c r="D39" s="90" t="n">
        <v>500</v>
      </c>
      <c r="E39" s="90" t="n">
        <v>-500</v>
      </c>
      <c r="F39" s="16" t="inlineStr">
        <is>
          <t>7.6 - LOCAÇÃO CONTAINER</t>
        </is>
      </c>
      <c r="G39" s="16" t="inlineStr">
        <is>
          <t>FOSFATO CMOC CONTRAT</t>
        </is>
      </c>
      <c r="H39" s="63" t="n">
        <v>2025</v>
      </c>
      <c r="I39" s="64" t="n">
        <v>6</v>
      </c>
      <c r="J39" s="16" t="inlineStr">
        <is>
          <t>Jun</t>
        </is>
      </c>
      <c r="K39" s="16" t="n"/>
      <c r="M39" s="89" t="n">
        <v>-500</v>
      </c>
      <c r="N39" s="1" t="inlineStr">
        <is>
          <t>LOCAÇÃO CONTAINER</t>
        </is>
      </c>
      <c r="O39" s="1" t="inlineStr">
        <is>
          <t>Despesas com Locações</t>
        </is>
      </c>
      <c r="P39" s="1" t="inlineStr">
        <is>
          <t>(-)Gastos Fixos</t>
        </is>
      </c>
      <c r="Q39" s="1" t="n">
        <v>4</v>
      </c>
      <c r="R39" s="1" t="n">
        <v>2025</v>
      </c>
    </row>
    <row r="40">
      <c r="A40" s="61" t="n">
        <v>45810</v>
      </c>
      <c r="B40" s="16" t="inlineStr">
        <is>
          <t>30174 - REDE MAQUINAS COMERCIO E SERVIÇOS DE MAQUINAS</t>
        </is>
      </c>
      <c r="C40" s="90" t="n"/>
      <c r="D40" s="90" t="n">
        <v>633.54</v>
      </c>
      <c r="E40" s="90" t="n">
        <v>-633.54</v>
      </c>
      <c r="F40" s="16" t="inlineStr">
        <is>
          <t>7.6 - LOCAÇÃO CONTAINER</t>
        </is>
      </c>
      <c r="G40" s="16" t="inlineStr">
        <is>
          <t>SERENA 21 TORRES 2024</t>
        </is>
      </c>
      <c r="H40" s="63" t="n">
        <v>2025</v>
      </c>
      <c r="I40" s="64" t="n">
        <v>6</v>
      </c>
      <c r="J40" s="16" t="inlineStr">
        <is>
          <t>Jun</t>
        </is>
      </c>
      <c r="K40" s="16" t="n"/>
      <c r="M40" s="89" t="n">
        <v>-633.54</v>
      </c>
      <c r="N40" s="1" t="inlineStr">
        <is>
          <t>LOCAÇÃO CONTAINER</t>
        </is>
      </c>
      <c r="O40" s="1" t="inlineStr">
        <is>
          <t>Despesas com Locações</t>
        </is>
      </c>
      <c r="P40" s="1" t="inlineStr">
        <is>
          <t>(-)Gastos Fixos</t>
        </is>
      </c>
      <c r="Q40" s="1" t="n">
        <v>4</v>
      </c>
      <c r="R40" s="1" t="n">
        <v>2025</v>
      </c>
    </row>
    <row r="41">
      <c r="A41" s="61" t="n">
        <v>45810</v>
      </c>
      <c r="B41" s="16" t="inlineStr">
        <is>
          <t>25122484501 - CAIXA CARTÕES PRÉ-PAGOS S.A</t>
        </is>
      </c>
      <c r="C41" s="90" t="n"/>
      <c r="D41" s="90" t="n">
        <v>257.38</v>
      </c>
      <c r="E41" s="90" t="n">
        <v>-257.38</v>
      </c>
      <c r="F41" s="16" t="inlineStr">
        <is>
          <t>6.6 - PEDAGIOS</t>
        </is>
      </c>
      <c r="G41" s="16" t="inlineStr">
        <is>
          <t>VEICULOS</t>
        </is>
      </c>
      <c r="H41" s="63" t="n">
        <v>2025</v>
      </c>
      <c r="I41" s="64" t="n">
        <v>6</v>
      </c>
      <c r="J41" s="16" t="inlineStr">
        <is>
          <t>Jun</t>
        </is>
      </c>
      <c r="K41" s="16" t="n"/>
      <c r="M41" s="89" t="n">
        <v>-257.38</v>
      </c>
      <c r="N41" s="1" t="inlineStr">
        <is>
          <t>PEDAGIOS</t>
        </is>
      </c>
      <c r="O41" s="1" t="inlineStr">
        <is>
          <t>Despesas com Veículos e Equipamentos</t>
        </is>
      </c>
      <c r="P41" s="1" t="inlineStr">
        <is>
          <t>(-)Gastos Fixos</t>
        </is>
      </c>
      <c r="Q41" s="1" t="n">
        <v>4</v>
      </c>
      <c r="R41" s="1" t="n">
        <v>2025</v>
      </c>
    </row>
    <row r="42">
      <c r="A42" s="61" t="n">
        <v>45810</v>
      </c>
      <c r="B42" s="16" t="inlineStr">
        <is>
          <t>17043 - POSTO FERREIRA MATIAS COMBUSTIVEL LTDA</t>
        </is>
      </c>
      <c r="C42" s="90" t="n"/>
      <c r="D42" s="90" t="n">
        <v>572.22</v>
      </c>
      <c r="E42" s="90" t="n">
        <v>-572.22</v>
      </c>
      <c r="F42" s="16" t="inlineStr">
        <is>
          <t>6.4 - COMBUSTIVEL VEICULOS</t>
        </is>
      </c>
      <c r="G42" s="16" t="inlineStr">
        <is>
          <t>ANGLO AMERICAN</t>
        </is>
      </c>
      <c r="H42" s="63" t="n">
        <v>2025</v>
      </c>
      <c r="I42" s="64" t="n">
        <v>6</v>
      </c>
      <c r="J42" s="16" t="inlineStr">
        <is>
          <t>Jun</t>
        </is>
      </c>
      <c r="K42" s="16" t="n"/>
      <c r="M42" s="89" t="n">
        <v>-572.22</v>
      </c>
      <c r="N42" s="1" t="inlineStr">
        <is>
          <t>COMBUSTIVEL VEICULOS</t>
        </is>
      </c>
      <c r="O42" s="1" t="inlineStr">
        <is>
          <t>Despesas com Veículos e Equipamentos</t>
        </is>
      </c>
      <c r="P42" s="1" t="inlineStr">
        <is>
          <t>(-)Gastos Fixos</t>
        </is>
      </c>
      <c r="Q42" s="1" t="n">
        <v>4</v>
      </c>
      <c r="R42" s="1" t="n">
        <v>2025</v>
      </c>
    </row>
    <row r="43">
      <c r="A43" s="61" t="n">
        <v>45810</v>
      </c>
      <c r="B43" s="16" t="inlineStr">
        <is>
          <t>BANCO CAIXA</t>
        </is>
      </c>
      <c r="C43" s="90" t="n"/>
      <c r="D43" s="90" t="n">
        <v>287.49</v>
      </c>
      <c r="E43" s="90" t="n">
        <v>-287.49</v>
      </c>
      <c r="F43" s="16" t="inlineStr">
        <is>
          <t>18.1 - JUROS BANCARIOS</t>
        </is>
      </c>
      <c r="G43" s="16" t="inlineStr">
        <is>
          <t>ADMINISTRATIVO</t>
        </is>
      </c>
      <c r="H43" s="63" t="n">
        <v>2025</v>
      </c>
      <c r="I43" s="64" t="n">
        <v>6</v>
      </c>
      <c r="J43" s="16" t="inlineStr">
        <is>
          <t>Jun</t>
        </is>
      </c>
      <c r="K43" s="16" t="n"/>
      <c r="M43" s="89" t="n">
        <v>-287.49</v>
      </c>
      <c r="N43" s="1" t="inlineStr">
        <is>
          <t>Juros Bancários</t>
        </is>
      </c>
      <c r="O43" s="1" t="inlineStr">
        <is>
          <t>(-) Despesas Financeiras</t>
        </is>
      </c>
      <c r="P43" s="1" t="inlineStr">
        <is>
          <t>(+/-)Despesas e Receitas Financeiras</t>
        </is>
      </c>
      <c r="Q43" s="1" t="n">
        <v>6</v>
      </c>
      <c r="R43" s="1" t="n">
        <v>2025</v>
      </c>
    </row>
    <row r="44">
      <c r="A44" s="61" t="n">
        <v>45810</v>
      </c>
      <c r="B44" s="16" t="inlineStr">
        <is>
          <t>BANCO MERCANTIL</t>
        </is>
      </c>
      <c r="C44" s="90" t="n"/>
      <c r="D44" s="90" t="n">
        <v>190</v>
      </c>
      <c r="E44" s="90" t="n">
        <v>-190</v>
      </c>
      <c r="F44" s="16" t="inlineStr">
        <is>
          <t>18.2 - TARIFAS BANCARIAS</t>
        </is>
      </c>
      <c r="G44" s="16" t="inlineStr">
        <is>
          <t>ADMINISTRATIVO</t>
        </is>
      </c>
      <c r="H44" s="63" t="n">
        <v>2025</v>
      </c>
      <c r="I44" s="64" t="n">
        <v>6</v>
      </c>
      <c r="J44" s="16" t="inlineStr">
        <is>
          <t>Jun</t>
        </is>
      </c>
      <c r="K44" s="16" t="n"/>
      <c r="M44" s="89" t="n">
        <v>-190</v>
      </c>
      <c r="N44" s="1" t="inlineStr">
        <is>
          <t>TARIFAS BANCARIAS</t>
        </is>
      </c>
      <c r="O44" s="1" t="inlineStr">
        <is>
          <t>Despesas Financeiras</t>
        </is>
      </c>
      <c r="P44" s="1" t="inlineStr">
        <is>
          <t>(-)Gastos Fixos</t>
        </is>
      </c>
      <c r="Q44" s="1" t="n">
        <v>4</v>
      </c>
      <c r="R44" s="1" t="n">
        <v>2025</v>
      </c>
    </row>
    <row r="45">
      <c r="A45" s="61" t="n">
        <v>45810</v>
      </c>
      <c r="B45" s="16" t="inlineStr">
        <is>
          <t>BANCO MERCANTIL</t>
        </is>
      </c>
      <c r="C45" s="90" t="n"/>
      <c r="D45" s="90" t="n">
        <v>586.78</v>
      </c>
      <c r="E45" s="90" t="n">
        <v>-586.78</v>
      </c>
      <c r="F45" s="16" t="inlineStr">
        <is>
          <t>18.1 - JUROS BANCARIOS</t>
        </is>
      </c>
      <c r="G45" s="16" t="inlineStr">
        <is>
          <t>ADMINISTRATIVO</t>
        </is>
      </c>
      <c r="H45" s="63" t="n">
        <v>2025</v>
      </c>
      <c r="I45" s="64" t="n">
        <v>6</v>
      </c>
      <c r="J45" s="16" t="inlineStr">
        <is>
          <t>Jun</t>
        </is>
      </c>
      <c r="K45" s="16" t="n"/>
      <c r="M45" s="89" t="n">
        <v>-586.78</v>
      </c>
      <c r="N45" s="1" t="inlineStr">
        <is>
          <t>Juros Bancários</t>
        </is>
      </c>
      <c r="O45" s="1" t="inlineStr">
        <is>
          <t>(-) Despesas Financeiras</t>
        </is>
      </c>
      <c r="P45" s="1" t="inlineStr">
        <is>
          <t>(+/-)Despesas e Receitas Financeiras</t>
        </is>
      </c>
      <c r="Q45" s="1" t="n">
        <v>6</v>
      </c>
      <c r="R45" s="1" t="n">
        <v>2025</v>
      </c>
    </row>
    <row r="46">
      <c r="A46" s="61" t="n">
        <v>45810</v>
      </c>
      <c r="B46" s="16" t="inlineStr">
        <is>
          <t>204245 - SODEXO DO BRASIL COMERCIAL S.A</t>
        </is>
      </c>
      <c r="C46" s="90" t="n"/>
      <c r="D46" s="90" t="n">
        <v>2540.14</v>
      </c>
      <c r="E46" s="90" t="n">
        <v>-2540.14</v>
      </c>
      <c r="F46" s="16" t="inlineStr">
        <is>
          <t>12.5 - REFEIÇÕES FUNCIONARIOS</t>
        </is>
      </c>
      <c r="G46" s="16" t="inlineStr">
        <is>
          <t>EUROCHEM SERRA DO SALITRE</t>
        </is>
      </c>
      <c r="H46" s="63" t="n">
        <v>2025</v>
      </c>
      <c r="I46" s="64" t="n">
        <v>6</v>
      </c>
      <c r="J46" s="16" t="inlineStr">
        <is>
          <t>Jun</t>
        </is>
      </c>
      <c r="K46" s="16" t="n"/>
      <c r="M46" s="89" t="n">
        <v>-2540.14</v>
      </c>
      <c r="N46" s="1" t="inlineStr">
        <is>
          <t>12.5 - REFEIÇÕES FUNCIONARIOS</t>
        </is>
      </c>
      <c r="O46" s="1" t="n"/>
      <c r="P46" s="1" t="n"/>
      <c r="Q46" s="1" t="n"/>
      <c r="R46" s="1" t="n">
        <v>2025</v>
      </c>
    </row>
    <row r="47">
      <c r="A47" s="61" t="n">
        <v>45810</v>
      </c>
      <c r="B47" s="16" t="inlineStr">
        <is>
          <t>208746 - ALCON ENGENHARIA DE SISTEMA LTDA</t>
        </is>
      </c>
      <c r="C47" s="90" t="n"/>
      <c r="D47" s="90" t="n">
        <v>903.54</v>
      </c>
      <c r="E47" s="90" t="n">
        <v>-903.54</v>
      </c>
      <c r="F47" s="16" t="inlineStr">
        <is>
          <t>7.10 - LOCAÇAO RADIOS DE COMUNICAÇÃO</t>
        </is>
      </c>
      <c r="G47" s="16" t="inlineStr">
        <is>
          <t>VLI PINTURA</t>
        </is>
      </c>
      <c r="H47" s="63" t="n">
        <v>2025</v>
      </c>
      <c r="I47" s="64" t="n">
        <v>6</v>
      </c>
      <c r="J47" s="16" t="inlineStr">
        <is>
          <t>Jun</t>
        </is>
      </c>
      <c r="K47" s="16" t="n"/>
      <c r="M47" s="89" t="n">
        <v>-903.54</v>
      </c>
      <c r="N47" s="1" t="inlineStr">
        <is>
          <t>LOCAÇAO RADIOS DE COMUNICAÇÃO</t>
        </is>
      </c>
      <c r="O47" s="1" t="inlineStr">
        <is>
          <t>Despesas com Locações</t>
        </is>
      </c>
      <c r="P47" s="1" t="inlineStr">
        <is>
          <t>(-)Gastos Fixos</t>
        </is>
      </c>
      <c r="Q47" s="1" t="n">
        <v>4</v>
      </c>
      <c r="R47" s="1" t="n">
        <v>2025</v>
      </c>
    </row>
    <row r="48">
      <c r="A48" s="61" t="n">
        <v>45810</v>
      </c>
      <c r="B48" s="16" t="inlineStr">
        <is>
          <t>3337 - JC RESTAURANTE INDUSTRIAL NIQUELANDIA LTDA</t>
        </is>
      </c>
      <c r="C48" s="90" t="n"/>
      <c r="D48" s="90" t="n">
        <v>4102.4</v>
      </c>
      <c r="E48" s="90" t="n">
        <v>-4102.4</v>
      </c>
      <c r="F48" s="16" t="inlineStr">
        <is>
          <t>12.5 - REFEIÇÕES FUNCIONARIOS</t>
        </is>
      </c>
      <c r="G48" s="16" t="inlineStr">
        <is>
          <t>NIOBIO CMOC CONTRATO</t>
        </is>
      </c>
      <c r="H48" s="63" t="n">
        <v>2025</v>
      </c>
      <c r="I48" s="64" t="n">
        <v>6</v>
      </c>
      <c r="J48" s="16" t="inlineStr">
        <is>
          <t>Jun</t>
        </is>
      </c>
      <c r="K48" s="16" t="n"/>
      <c r="M48" s="89" t="n">
        <v>-4102.4</v>
      </c>
      <c r="N48" s="1" t="inlineStr">
        <is>
          <t>12.5 - REFEIÇÕES FUNCIONARIOS</t>
        </is>
      </c>
      <c r="O48" s="1" t="n"/>
      <c r="P48" s="1" t="n"/>
      <c r="Q48" s="1" t="n"/>
      <c r="R48" s="1" t="n">
        <v>2025</v>
      </c>
    </row>
    <row r="49">
      <c r="A49" s="61" t="n">
        <v>45810</v>
      </c>
      <c r="B49" s="16" t="inlineStr">
        <is>
          <t>3338 - JC RESTAURANTE INDUSTRIAL NIQUELANDIA LTDA</t>
        </is>
      </c>
      <c r="C49" s="90" t="n"/>
      <c r="D49" s="90" t="n">
        <v>2522</v>
      </c>
      <c r="E49" s="90" t="n">
        <v>-2522</v>
      </c>
      <c r="F49" s="16" t="inlineStr">
        <is>
          <t>12.5 - REFEIÇÕES FUNCIONARIOS</t>
        </is>
      </c>
      <c r="G49" s="16" t="inlineStr">
        <is>
          <t>FOSFATO CMOC CONTRAT</t>
        </is>
      </c>
      <c r="H49" s="63" t="n">
        <v>2025</v>
      </c>
      <c r="I49" s="64" t="n">
        <v>6</v>
      </c>
      <c r="J49" s="16" t="inlineStr">
        <is>
          <t>Jun</t>
        </is>
      </c>
      <c r="K49" s="16" t="n"/>
      <c r="M49" s="89" t="n">
        <v>-2522</v>
      </c>
      <c r="N49" s="1" t="inlineStr">
        <is>
          <t>12.5 - REFEIÇÕES FUNCIONARIOS</t>
        </is>
      </c>
      <c r="O49" s="1" t="n"/>
      <c r="P49" s="1" t="n"/>
      <c r="Q49" s="1" t="n"/>
      <c r="R49" s="1" t="n">
        <v>2025</v>
      </c>
    </row>
    <row r="50">
      <c r="A50" s="61" t="n">
        <v>45810</v>
      </c>
      <c r="B50" s="16" t="inlineStr">
        <is>
          <t>3339 - JC RESTAURANTE INDUSTRIAL NIQUELANDIA LTDA</t>
        </is>
      </c>
      <c r="C50" s="90" t="n"/>
      <c r="D50" s="90" t="n">
        <v>529.4</v>
      </c>
      <c r="E50" s="90" t="n">
        <v>-529.4</v>
      </c>
      <c r="F50" s="16" t="inlineStr">
        <is>
          <t>12.5 - REFEIÇÕES FUNCIONARIOS</t>
        </is>
      </c>
      <c r="G50" s="16" t="inlineStr">
        <is>
          <t>NIOBIO CMOC CONTRATO</t>
        </is>
      </c>
      <c r="H50" s="63" t="n">
        <v>2025</v>
      </c>
      <c r="I50" s="64" t="n">
        <v>6</v>
      </c>
      <c r="J50" s="16" t="inlineStr">
        <is>
          <t>Jun</t>
        </is>
      </c>
      <c r="K50" s="16" t="n"/>
      <c r="M50" s="89" t="n">
        <v>-529.4</v>
      </c>
      <c r="N50" s="1" t="inlineStr">
        <is>
          <t>12.5 - REFEIÇÕES FUNCIONARIOS</t>
        </is>
      </c>
      <c r="O50" s="1" t="n"/>
      <c r="P50" s="1" t="n"/>
      <c r="Q50" s="1" t="n"/>
      <c r="R50" s="1" t="n">
        <v>2025</v>
      </c>
    </row>
    <row r="51">
      <c r="A51" s="61" t="n">
        <v>45810</v>
      </c>
      <c r="B51" s="16" t="inlineStr">
        <is>
          <t>73287775 - HAPVIDA ASSISTENCIA MEDICA S.A.</t>
        </is>
      </c>
      <c r="C51" s="90" t="n"/>
      <c r="D51" s="90" t="n">
        <v>10350.2</v>
      </c>
      <c r="E51" s="90" t="n">
        <v>-10350.2</v>
      </c>
      <c r="F51" s="16" t="inlineStr">
        <is>
          <t>12.10 - PLANO DE SAUDE</t>
        </is>
      </c>
      <c r="G51" s="16" t="inlineStr">
        <is>
          <t>VLI PINTURA</t>
        </is>
      </c>
      <c r="H51" s="63" t="n">
        <v>2025</v>
      </c>
      <c r="I51" s="64" t="n">
        <v>6</v>
      </c>
      <c r="J51" s="16" t="inlineStr">
        <is>
          <t>Jun</t>
        </is>
      </c>
      <c r="K51" s="16" t="n"/>
      <c r="M51" s="89" t="n">
        <v>-10350.2</v>
      </c>
      <c r="N51" s="1" t="inlineStr">
        <is>
          <t>PLANO DE SAUDE</t>
        </is>
      </c>
      <c r="O51" s="1" t="inlineStr">
        <is>
          <t>Despesas com Pessoal</t>
        </is>
      </c>
      <c r="P51" s="1" t="inlineStr">
        <is>
          <t>(-)Gastos Fixos</t>
        </is>
      </c>
      <c r="Q51" s="1" t="n">
        <v>4</v>
      </c>
      <c r="R51" s="1" t="n">
        <v>2025</v>
      </c>
    </row>
    <row r="52">
      <c r="A52" s="61" t="n">
        <v>45810</v>
      </c>
      <c r="B52" s="16" t="inlineStr">
        <is>
          <t>247730 - CONCIERGE BLINDADO SERVICOS AUTOMOTIVOS LTDA</t>
        </is>
      </c>
      <c r="C52" s="90" t="n"/>
      <c r="D52" s="90" t="n">
        <v>1820.93</v>
      </c>
      <c r="E52" s="90" t="n">
        <v>-1820.93</v>
      </c>
      <c r="F52" s="16" t="inlineStr">
        <is>
          <t>3.14 - SERVIÇO TELEMETRIA / FADIGA</t>
        </is>
      </c>
      <c r="G52" s="16" t="inlineStr">
        <is>
          <t>VEICULOS</t>
        </is>
      </c>
      <c r="H52" s="63" t="n">
        <v>2025</v>
      </c>
      <c r="I52" s="64" t="n">
        <v>6</v>
      </c>
      <c r="J52" s="16" t="inlineStr">
        <is>
          <t>Jun</t>
        </is>
      </c>
      <c r="K52" s="16" t="n"/>
      <c r="M52" s="89" t="n">
        <v>-1820.93</v>
      </c>
      <c r="N52" s="1" t="inlineStr">
        <is>
          <t>SERVIÇO TELEMETRIA / FADIGA</t>
        </is>
      </c>
      <c r="O52" s="1" t="inlineStr">
        <is>
          <t>Despesas Administrativas</t>
        </is>
      </c>
      <c r="P52" s="1" t="inlineStr">
        <is>
          <t>(-)Gastos Fixos</t>
        </is>
      </c>
      <c r="Q52" s="1" t="n">
        <v>4</v>
      </c>
      <c r="R52" s="1" t="n">
        <v>2025</v>
      </c>
    </row>
    <row r="53">
      <c r="A53" s="61" t="n">
        <v>45811</v>
      </c>
      <c r="B53" s="16" t="inlineStr">
        <is>
          <t>CLINICA OBRAS</t>
        </is>
      </c>
      <c r="C53" s="90" t="n"/>
      <c r="D53" s="90" t="n">
        <v>200</v>
      </c>
      <c r="E53" s="90" t="n">
        <v>-200</v>
      </c>
      <c r="F53" s="16" t="inlineStr">
        <is>
          <t>3.3 - SERVIÇOS DE CONSULTORIA</t>
        </is>
      </c>
      <c r="G53" s="16" t="inlineStr">
        <is>
          <t>ANGLO AMERICAN</t>
        </is>
      </c>
      <c r="H53" s="63" t="n">
        <v>2025</v>
      </c>
      <c r="I53" s="64" t="n">
        <v>6</v>
      </c>
      <c r="J53" s="16" t="inlineStr">
        <is>
          <t>Jun</t>
        </is>
      </c>
      <c r="K53" s="16" t="n"/>
      <c r="M53" s="89" t="n">
        <v>-200</v>
      </c>
      <c r="N53" s="1" t="inlineStr">
        <is>
          <t>SERVIÇOS DE CONSULTORIA</t>
        </is>
      </c>
      <c r="O53" s="1" t="inlineStr">
        <is>
          <t>Despesas Administrativas</t>
        </is>
      </c>
      <c r="P53" s="1" t="inlineStr">
        <is>
          <t>(-)Gastos Fixos</t>
        </is>
      </c>
      <c r="Q53" s="1" t="n">
        <v>4</v>
      </c>
      <c r="R53" s="1" t="n">
        <v>2025</v>
      </c>
    </row>
    <row r="54">
      <c r="A54" s="61" t="n">
        <v>45811</v>
      </c>
      <c r="B54" s="16" t="inlineStr">
        <is>
          <t>ENCOMENDA GOIANÉSIA</t>
        </is>
      </c>
      <c r="C54" s="90" t="n"/>
      <c r="D54" s="90" t="n">
        <v>100</v>
      </c>
      <c r="E54" s="90" t="n">
        <v>-100</v>
      </c>
      <c r="F54" s="16" t="inlineStr">
        <is>
          <t>12.9 - PASSAGENS FUNCIONARIOS</t>
        </is>
      </c>
      <c r="G54" s="16" t="inlineStr">
        <is>
          <t>ANGLO AMERICAN</t>
        </is>
      </c>
      <c r="H54" s="63" t="n">
        <v>2025</v>
      </c>
      <c r="I54" s="64" t="n">
        <v>6</v>
      </c>
      <c r="J54" s="16" t="inlineStr">
        <is>
          <t>Jun</t>
        </is>
      </c>
      <c r="K54" s="16" t="n"/>
      <c r="M54" s="89" t="n">
        <v>-100</v>
      </c>
      <c r="N54" s="1" t="inlineStr">
        <is>
          <t>12.9 - PASSAGENS FUNCIONARIOS</t>
        </is>
      </c>
      <c r="O54" s="1" t="n"/>
      <c r="P54" s="1" t="n"/>
      <c r="Q54" s="1" t="n"/>
      <c r="R54" s="1" t="n">
        <v>2025</v>
      </c>
    </row>
    <row r="55">
      <c r="A55" s="61" t="n">
        <v>45811</v>
      </c>
      <c r="B55" s="16" t="inlineStr">
        <is>
          <t>UBER OBRAS</t>
        </is>
      </c>
      <c r="C55" s="90" t="n"/>
      <c r="D55" s="90" t="n">
        <v>16.39</v>
      </c>
      <c r="E55" s="90" t="n">
        <v>-16.39</v>
      </c>
      <c r="F55" s="16" t="inlineStr">
        <is>
          <t>12.7 - TRANSPORTE FUNCIONARIOS</t>
        </is>
      </c>
      <c r="G55" s="16" t="inlineStr">
        <is>
          <t>ADMINISTRATIVO</t>
        </is>
      </c>
      <c r="H55" s="63" t="n">
        <v>2025</v>
      </c>
      <c r="I55" s="64" t="n">
        <v>6</v>
      </c>
      <c r="J55" s="16" t="inlineStr">
        <is>
          <t>Jun</t>
        </is>
      </c>
      <c r="K55" s="16" t="n"/>
      <c r="M55" s="89" t="n">
        <v>-16.39</v>
      </c>
      <c r="N55" s="1" t="inlineStr">
        <is>
          <t>12.7 - TRANSPORTE FUNCIONARIOS</t>
        </is>
      </c>
      <c r="O55" s="1" t="n"/>
      <c r="P55" s="1" t="n"/>
      <c r="Q55" s="1" t="n"/>
      <c r="R55" s="1" t="n">
        <v>2025</v>
      </c>
    </row>
    <row r="56">
      <c r="A56" s="61" t="n">
        <v>45811</v>
      </c>
      <c r="B56" s="16" t="inlineStr">
        <is>
          <t>DESPESAS VEICULOS</t>
        </is>
      </c>
      <c r="C56" s="90" t="n"/>
      <c r="D56" s="90" t="n">
        <v>40</v>
      </c>
      <c r="E56" s="90" t="n">
        <v>-40</v>
      </c>
      <c r="F56" s="16" t="inlineStr">
        <is>
          <t>6.3 - MANUTENÇÃO/PEÇAS  VEICULOS</t>
        </is>
      </c>
      <c r="G56" s="16" t="inlineStr">
        <is>
          <t>SERENA 21 TORRES 2024</t>
        </is>
      </c>
      <c r="H56" s="63" t="n">
        <v>2025</v>
      </c>
      <c r="I56" s="64" t="n">
        <v>6</v>
      </c>
      <c r="J56" s="16" t="inlineStr">
        <is>
          <t>Jun</t>
        </is>
      </c>
      <c r="K56" s="16" t="n"/>
      <c r="M56" s="89" t="n">
        <v>-40</v>
      </c>
      <c r="N56" s="1" t="inlineStr">
        <is>
          <t>MANUTENÇÃO/PEÇAS  VEICULOS</t>
        </is>
      </c>
      <c r="O56" s="1" t="inlineStr">
        <is>
          <t>Despesas com Veículos e Equipamentos</t>
        </is>
      </c>
      <c r="P56" s="1" t="inlineStr">
        <is>
          <t>(-)Gastos Fixos</t>
        </is>
      </c>
      <c r="Q56" s="1" t="n">
        <v>4</v>
      </c>
      <c r="R56" s="1" t="n">
        <v>2025</v>
      </c>
    </row>
    <row r="57">
      <c r="A57" s="61" t="n">
        <v>45811</v>
      </c>
      <c r="B57" s="16" t="inlineStr">
        <is>
          <t>DESPESAS LOTE TRINDADE AIDEAL</t>
        </is>
      </c>
      <c r="C57" s="90" t="n"/>
      <c r="D57" s="90" t="n">
        <v>1100</v>
      </c>
      <c r="E57" s="90" t="n">
        <v>-1100</v>
      </c>
      <c r="F57" s="16" t="inlineStr">
        <is>
          <t>15.7 - DESPESAS C/ GALPÃO ALMOXARIFADO</t>
        </is>
      </c>
      <c r="G57" s="16" t="inlineStr">
        <is>
          <t>LOTE TRINDADE</t>
        </is>
      </c>
      <c r="H57" s="63" t="n">
        <v>2025</v>
      </c>
      <c r="I57" s="64" t="n">
        <v>6</v>
      </c>
      <c r="J57" s="16" t="inlineStr">
        <is>
          <t>Jun</t>
        </is>
      </c>
      <c r="K57" s="16" t="n"/>
      <c r="M57" s="89" t="n">
        <v>-1100</v>
      </c>
      <c r="N57" s="1" t="inlineStr">
        <is>
          <t>Construção da Nova Sede</t>
        </is>
      </c>
      <c r="O57" s="1" t="inlineStr">
        <is>
          <t>Investimentos</t>
        </is>
      </c>
      <c r="P57" s="1" t="inlineStr">
        <is>
          <t>(-)Investimentos</t>
        </is>
      </c>
      <c r="Q57" s="1" t="n">
        <v>8</v>
      </c>
      <c r="R57" s="1" t="n">
        <v>2025</v>
      </c>
    </row>
    <row r="58">
      <c r="A58" s="61" t="n">
        <v>45811</v>
      </c>
      <c r="B58" s="16" t="inlineStr">
        <is>
          <t>HELIO APARECIDO BIAQUINI</t>
        </is>
      </c>
      <c r="C58" s="90" t="n"/>
      <c r="D58" s="90" t="n">
        <v>380</v>
      </c>
      <c r="E58" s="90" t="n">
        <v>-380</v>
      </c>
      <c r="F58" s="16" t="inlineStr">
        <is>
          <t>11.14 - INTERNET OBRAS</t>
        </is>
      </c>
      <c r="G58" s="16" t="inlineStr">
        <is>
          <t>MOSAIC UBERABA CONTRAT0 3 ANOS</t>
        </is>
      </c>
      <c r="H58" s="63" t="n">
        <v>2025</v>
      </c>
      <c r="I58" s="64" t="n">
        <v>6</v>
      </c>
      <c r="J58" s="16" t="inlineStr">
        <is>
          <t>Jun</t>
        </is>
      </c>
      <c r="K58" s="16" t="n"/>
      <c r="M58" s="89" t="n">
        <v>-380</v>
      </c>
      <c r="N58" s="1" t="inlineStr">
        <is>
          <t>INTERNET OBRAS</t>
        </is>
      </c>
      <c r="O58" s="1" t="inlineStr">
        <is>
          <t>Despesas com Infraestrutura</t>
        </is>
      </c>
      <c r="P58" s="1" t="inlineStr">
        <is>
          <t>(-)Gastos Fixos</t>
        </is>
      </c>
      <c r="Q58" s="1" t="n">
        <v>4</v>
      </c>
      <c r="R58" s="1" t="n">
        <v>2025</v>
      </c>
    </row>
    <row r="59">
      <c r="A59" s="61" t="n">
        <v>45811</v>
      </c>
      <c r="B59" s="16" t="inlineStr">
        <is>
          <t>982 - SH LOCACAO DE ANDAIMES</t>
        </is>
      </c>
      <c r="C59" s="90" t="n"/>
      <c r="D59" s="90" t="n">
        <v>27463.12</v>
      </c>
      <c r="E59" s="90" t="n">
        <v>-27463.12</v>
      </c>
      <c r="F59" s="16" t="inlineStr">
        <is>
          <t>7.7 - LOCAÇÃO ANDAIMES</t>
        </is>
      </c>
      <c r="G59" s="16" t="inlineStr">
        <is>
          <t>VLI PINTURA</t>
        </is>
      </c>
      <c r="H59" s="63" t="n">
        <v>2025</v>
      </c>
      <c r="I59" s="64" t="n">
        <v>6</v>
      </c>
      <c r="J59" s="16" t="inlineStr">
        <is>
          <t>Jun</t>
        </is>
      </c>
      <c r="K59" s="16" t="n"/>
      <c r="M59" s="89" t="n">
        <v>-27463.12</v>
      </c>
      <c r="N59" s="1" t="inlineStr">
        <is>
          <t>LOCAÇÃO ANDAIMES</t>
        </is>
      </c>
      <c r="O59" s="1" t="inlineStr">
        <is>
          <t>Despesas com Locações</t>
        </is>
      </c>
      <c r="P59" s="1" t="inlineStr">
        <is>
          <t>(-)Gastos Fixos</t>
        </is>
      </c>
      <c r="Q59" s="1" t="n">
        <v>4</v>
      </c>
      <c r="R59" s="1" t="n">
        <v>2025</v>
      </c>
    </row>
    <row r="60">
      <c r="A60" s="61" t="n">
        <v>45811</v>
      </c>
      <c r="B60" s="16" t="inlineStr">
        <is>
          <t>73590 - CAB INDUSTRIAL LTDA</t>
        </is>
      </c>
      <c r="C60" s="90" t="n"/>
      <c r="D60" s="90" t="n">
        <v>152.54</v>
      </c>
      <c r="E60" s="90" t="n">
        <v>-152.54</v>
      </c>
      <c r="F60" s="16" t="inlineStr">
        <is>
          <t>13.1 - EPIS</t>
        </is>
      </c>
      <c r="G60" s="16" t="inlineStr">
        <is>
          <t>MOSAIC UBERABA CONTRAT0 3 ANOS</t>
        </is>
      </c>
      <c r="H60" s="63" t="n">
        <v>2025</v>
      </c>
      <c r="I60" s="64" t="n">
        <v>6</v>
      </c>
      <c r="J60" s="16" t="inlineStr">
        <is>
          <t>Jun</t>
        </is>
      </c>
      <c r="K60" s="16" t="n"/>
      <c r="M60" s="89" t="n">
        <v>-152.54</v>
      </c>
      <c r="N60" s="1" t="inlineStr">
        <is>
          <t>EPIS</t>
        </is>
      </c>
      <c r="O60" s="1" t="inlineStr">
        <is>
          <t>Despesas com Pessoal</t>
        </is>
      </c>
      <c r="P60" s="1" t="inlineStr">
        <is>
          <t>(-)Gastos Fixos</t>
        </is>
      </c>
      <c r="Q60" s="1" t="n">
        <v>4</v>
      </c>
      <c r="R60" s="1" t="n">
        <v>2025</v>
      </c>
    </row>
    <row r="61">
      <c r="A61" s="61" t="n">
        <v>45811</v>
      </c>
      <c r="B61" s="16" t="inlineStr">
        <is>
          <t>AUTO SOCORRO EZEQUIEL HIDRAULICA</t>
        </is>
      </c>
      <c r="C61" s="90" t="n"/>
      <c r="D61" s="90" t="n">
        <v>250</v>
      </c>
      <c r="E61" s="90" t="n">
        <v>-250</v>
      </c>
      <c r="F61" s="16" t="inlineStr">
        <is>
          <t>6.3 - MANUTENÇÃO/PEÇAS  VEICULOS</t>
        </is>
      </c>
      <c r="G61" s="16" t="inlineStr">
        <is>
          <t>FOSFATO CMOC CONTRAT</t>
        </is>
      </c>
      <c r="H61" s="63" t="n">
        <v>2025</v>
      </c>
      <c r="I61" s="64" t="n">
        <v>6</v>
      </c>
      <c r="J61" s="16" t="inlineStr">
        <is>
          <t>Jun</t>
        </is>
      </c>
      <c r="K61" s="16" t="n"/>
      <c r="M61" s="89" t="n">
        <v>-250</v>
      </c>
      <c r="N61" s="1" t="inlineStr">
        <is>
          <t>MANUTENÇÃO/PEÇAS  VEICULOS</t>
        </is>
      </c>
      <c r="O61" s="1" t="inlineStr">
        <is>
          <t>Despesas com Veículos e Equipamentos</t>
        </is>
      </c>
      <c r="P61" s="1" t="inlineStr">
        <is>
          <t>(-)Gastos Fixos</t>
        </is>
      </c>
      <c r="Q61" s="1" t="n">
        <v>4</v>
      </c>
      <c r="R61" s="1" t="n">
        <v>2025</v>
      </c>
    </row>
    <row r="62">
      <c r="A62" s="61" t="n">
        <v>45811</v>
      </c>
      <c r="B62" s="16" t="inlineStr">
        <is>
          <t>ALUGUEIS OBRAS</t>
        </is>
      </c>
      <c r="C62" s="90" t="n"/>
      <c r="D62" s="90" t="n">
        <v>250</v>
      </c>
      <c r="E62" s="90" t="n">
        <v>-250</v>
      </c>
      <c r="F62" s="16" t="inlineStr">
        <is>
          <t>5.5 - ENERGIA ALOJAMENTO</t>
        </is>
      </c>
      <c r="G62" s="16" t="inlineStr">
        <is>
          <t>ADMINISTRATIVO</t>
        </is>
      </c>
      <c r="H62" s="63" t="n">
        <v>2025</v>
      </c>
      <c r="I62" s="64" t="n">
        <v>6</v>
      </c>
      <c r="J62" s="16" t="inlineStr">
        <is>
          <t>Jun</t>
        </is>
      </c>
      <c r="K62" s="16" t="n"/>
      <c r="M62" s="89" t="n">
        <v>-250</v>
      </c>
      <c r="N62" s="1" t="inlineStr">
        <is>
          <t>ENERGIA ALOJAMENTO</t>
        </is>
      </c>
      <c r="O62" s="1" t="inlineStr">
        <is>
          <t>Despesas com Infraestrutura</t>
        </is>
      </c>
      <c r="P62" s="1" t="inlineStr">
        <is>
          <t>(-)Gastos Fixos</t>
        </is>
      </c>
      <c r="Q62" s="1" t="n">
        <v>4</v>
      </c>
      <c r="R62" s="1" t="n">
        <v>2025</v>
      </c>
    </row>
    <row r="63">
      <c r="A63" s="61" t="n">
        <v>45811</v>
      </c>
      <c r="B63" s="16" t="inlineStr">
        <is>
          <t>YCARO GOMES</t>
        </is>
      </c>
      <c r="C63" s="90" t="n"/>
      <c r="D63" s="90" t="n">
        <v>13.678205</v>
      </c>
      <c r="E63" s="90" t="n">
        <v>-13.678205</v>
      </c>
      <c r="F63" s="16" t="inlineStr">
        <is>
          <t>8.10 - MATERIAS DE ESCRITORIO</t>
        </is>
      </c>
      <c r="G63" s="16" t="inlineStr">
        <is>
          <t>VLI PINTURA</t>
        </is>
      </c>
      <c r="H63" s="63" t="n">
        <v>2025</v>
      </c>
      <c r="I63" s="64" t="n">
        <v>6</v>
      </c>
      <c r="J63" s="16" t="inlineStr">
        <is>
          <t>Jun</t>
        </is>
      </c>
      <c r="K63" s="16" t="n"/>
      <c r="M63" s="89" t="n">
        <v>-13.678205</v>
      </c>
      <c r="N63" s="1" t="inlineStr">
        <is>
          <t>MATERIAS DE ESCRITORIO / PAPELARIA</t>
        </is>
      </c>
      <c r="O63" s="1" t="inlineStr">
        <is>
          <t>Despesas Administrativas</t>
        </is>
      </c>
      <c r="P63" s="1" t="inlineStr">
        <is>
          <t>(-)Gastos Fixos</t>
        </is>
      </c>
      <c r="Q63" s="1" t="n">
        <v>4</v>
      </c>
      <c r="R63" s="1" t="n">
        <v>2025</v>
      </c>
    </row>
    <row r="64">
      <c r="A64" s="61" t="n">
        <v>45811</v>
      </c>
      <c r="B64" s="16" t="inlineStr">
        <is>
          <t>YCARO GOMES</t>
        </is>
      </c>
      <c r="C64" s="90" t="n"/>
      <c r="D64" s="90" t="n">
        <v>64.417357</v>
      </c>
      <c r="E64" s="90" t="n">
        <v>-64.417357</v>
      </c>
      <c r="F64" s="16" t="inlineStr">
        <is>
          <t>6.10 - SERVIÇO LAVA JATO</t>
        </is>
      </c>
      <c r="G64" s="16" t="inlineStr">
        <is>
          <t>VLI PINTURA</t>
        </is>
      </c>
      <c r="H64" s="63" t="n">
        <v>2025</v>
      </c>
      <c r="I64" s="64" t="n">
        <v>6</v>
      </c>
      <c r="J64" s="16" t="inlineStr">
        <is>
          <t>Jun</t>
        </is>
      </c>
      <c r="K64" s="16" t="n"/>
      <c r="M64" s="89" t="n">
        <v>-64.417357</v>
      </c>
      <c r="N64" s="1" t="inlineStr">
        <is>
          <t>SERVIÇO LAVA JATO</t>
        </is>
      </c>
      <c r="O64" s="1" t="inlineStr">
        <is>
          <t>Despesas com Veículos e Equipamentos</t>
        </is>
      </c>
      <c r="P64" s="1" t="inlineStr">
        <is>
          <t>(-)Gastos Fixos</t>
        </is>
      </c>
      <c r="Q64" s="1" t="n">
        <v>4</v>
      </c>
      <c r="R64" s="1" t="n">
        <v>2025</v>
      </c>
    </row>
    <row r="65">
      <c r="A65" s="61" t="n">
        <v>45811</v>
      </c>
      <c r="B65" s="16" t="inlineStr">
        <is>
          <t>YCARO GOMES</t>
        </is>
      </c>
      <c r="C65" s="90" t="n"/>
      <c r="D65" s="90" t="n">
        <v>65.895003</v>
      </c>
      <c r="E65" s="90" t="n">
        <v>-65.895003</v>
      </c>
      <c r="F65" s="16" t="inlineStr">
        <is>
          <t>8.14 - MANUTENÇÃO/PEÇAS MAQUINAS E EQUIPAMENTOS</t>
        </is>
      </c>
      <c r="G65" s="16" t="inlineStr">
        <is>
          <t>VLI PINTURA</t>
        </is>
      </c>
      <c r="H65" s="63" t="n">
        <v>2025</v>
      </c>
      <c r="I65" s="64" t="n">
        <v>6</v>
      </c>
      <c r="J65" s="16" t="inlineStr">
        <is>
          <t>Jun</t>
        </is>
      </c>
      <c r="K65" s="16" t="n"/>
      <c r="M65" s="89" t="n">
        <v>-65.895003</v>
      </c>
      <c r="N65" s="1" t="inlineStr">
        <is>
          <t>MANUTENÇÃO/PEÇAS MAQUINAS E EQUIPAMENTOS</t>
        </is>
      </c>
      <c r="O65" s="1" t="inlineStr">
        <is>
          <t>Despesas com Máquinas e Equipamentos</t>
        </is>
      </c>
      <c r="P65" s="1" t="inlineStr">
        <is>
          <t>(-)Gastos Fixos</t>
        </is>
      </c>
      <c r="Q65" s="1" t="n">
        <v>4</v>
      </c>
      <c r="R65" s="1" t="n">
        <v>2025</v>
      </c>
    </row>
    <row r="66">
      <c r="A66" s="61" t="n">
        <v>45811</v>
      </c>
      <c r="B66" s="16" t="inlineStr">
        <is>
          <t>YCARO GOMES</t>
        </is>
      </c>
      <c r="C66" s="90" t="n"/>
      <c r="D66" s="90" t="n">
        <v>91.35443600000001</v>
      </c>
      <c r="E66" s="90" t="n">
        <v>-91.35443600000001</v>
      </c>
      <c r="F66" s="16" t="inlineStr">
        <is>
          <t>5.1 - HOTEL FUNCIONARIOS</t>
        </is>
      </c>
      <c r="G66" s="16" t="inlineStr">
        <is>
          <t>VLI PINTURA</t>
        </is>
      </c>
      <c r="H66" s="63" t="n">
        <v>2025</v>
      </c>
      <c r="I66" s="64" t="n">
        <v>6</v>
      </c>
      <c r="J66" s="16" t="inlineStr">
        <is>
          <t>Jun</t>
        </is>
      </c>
      <c r="K66" s="16" t="n"/>
      <c r="M66" s="89" t="n">
        <v>-91.35443600000001</v>
      </c>
      <c r="N66" s="1" t="inlineStr">
        <is>
          <t>5.1 - HOTEL FUNCIONARIOS</t>
        </is>
      </c>
      <c r="O66" s="1" t="n"/>
      <c r="P66" s="1" t="n"/>
      <c r="Q66" s="1" t="n"/>
      <c r="R66" s="1" t="n">
        <v>2025</v>
      </c>
    </row>
    <row r="67">
      <c r="A67" s="61" t="n">
        <v>45811</v>
      </c>
      <c r="B67" s="16" t="inlineStr">
        <is>
          <t>YCARO GOMES</t>
        </is>
      </c>
      <c r="C67" s="90" t="n"/>
      <c r="D67" s="90" t="n">
        <v>99.840914</v>
      </c>
      <c r="E67" s="90" t="n">
        <v>-99.840914</v>
      </c>
      <c r="F67" s="16" t="inlineStr">
        <is>
          <t>3.7 - SERVIÇO LIMPEZA ALOJAMENTO/ESCRITORIO</t>
        </is>
      </c>
      <c r="G67" s="16" t="inlineStr">
        <is>
          <t>VLI PINTURA</t>
        </is>
      </c>
      <c r="H67" s="63" t="n">
        <v>2025</v>
      </c>
      <c r="I67" s="64" t="n">
        <v>6</v>
      </c>
      <c r="J67" s="16" t="inlineStr">
        <is>
          <t>Jun</t>
        </is>
      </c>
      <c r="K67" s="16" t="n"/>
      <c r="M67" s="89" t="n">
        <v>-99.840914</v>
      </c>
      <c r="N67" s="1" t="inlineStr">
        <is>
          <t>SERVIÇO LIMPEZA ALOJAMENTO/ESCRITORIO</t>
        </is>
      </c>
      <c r="O67" s="1" t="inlineStr">
        <is>
          <t>Despesas com Infraestrutura</t>
        </is>
      </c>
      <c r="P67" s="1" t="inlineStr">
        <is>
          <t>(-)Gastos Fixos</t>
        </is>
      </c>
      <c r="Q67" s="1" t="n">
        <v>4</v>
      </c>
      <c r="R67" s="1" t="n">
        <v>2025</v>
      </c>
    </row>
    <row r="68">
      <c r="A68" s="61" t="n">
        <v>45811</v>
      </c>
      <c r="B68" s="16" t="inlineStr">
        <is>
          <t>YCARO GOMES</t>
        </is>
      </c>
      <c r="C68" s="90" t="n"/>
      <c r="D68" s="90" t="n">
        <v>124.491635</v>
      </c>
      <c r="E68" s="90" t="n">
        <v>-124.491635</v>
      </c>
      <c r="F68" s="16" t="inlineStr">
        <is>
          <t>5.5 - ENERGIA ALOJAMENTO</t>
        </is>
      </c>
      <c r="G68" s="16" t="inlineStr">
        <is>
          <t>VLI PINTURA</t>
        </is>
      </c>
      <c r="H68" s="63" t="n">
        <v>2025</v>
      </c>
      <c r="I68" s="64" t="n">
        <v>6</v>
      </c>
      <c r="J68" s="16" t="inlineStr">
        <is>
          <t>Jun</t>
        </is>
      </c>
      <c r="K68" s="16" t="n"/>
      <c r="M68" s="89" t="n">
        <v>-124.491635</v>
      </c>
      <c r="N68" s="1" t="inlineStr">
        <is>
          <t>ENERGIA ALOJAMENTO</t>
        </is>
      </c>
      <c r="O68" s="1" t="inlineStr">
        <is>
          <t>Despesas com Infraestrutura</t>
        </is>
      </c>
      <c r="P68" s="1" t="inlineStr">
        <is>
          <t>(-)Gastos Fixos</t>
        </is>
      </c>
      <c r="Q68" s="1" t="n">
        <v>4</v>
      </c>
      <c r="R68" s="1" t="n">
        <v>2025</v>
      </c>
    </row>
    <row r="69">
      <c r="A69" s="61" t="n">
        <v>45811</v>
      </c>
      <c r="B69" s="16" t="inlineStr">
        <is>
          <t>YCARO GOMES</t>
        </is>
      </c>
      <c r="C69" s="90" t="n"/>
      <c r="D69" s="90" t="n">
        <v>134.076363</v>
      </c>
      <c r="E69" s="90" t="n">
        <v>-134.076363</v>
      </c>
      <c r="F69" s="16" t="inlineStr">
        <is>
          <t>12.5 - REFEIÇÕES FUNCIONARIOS</t>
        </is>
      </c>
      <c r="G69" s="16" t="inlineStr">
        <is>
          <t>VLI PINTURA</t>
        </is>
      </c>
      <c r="H69" s="63" t="n">
        <v>2025</v>
      </c>
      <c r="I69" s="64" t="n">
        <v>6</v>
      </c>
      <c r="J69" s="16" t="inlineStr">
        <is>
          <t>Jun</t>
        </is>
      </c>
      <c r="K69" s="16" t="n"/>
      <c r="M69" s="89" t="n">
        <v>-134.076363</v>
      </c>
      <c r="N69" s="1" t="inlineStr">
        <is>
          <t>12.5 - REFEIÇÕES FUNCIONARIOS</t>
        </is>
      </c>
      <c r="O69" s="1" t="n"/>
      <c r="P69" s="1" t="n"/>
      <c r="Q69" s="1" t="n"/>
      <c r="R69" s="1" t="n">
        <v>2025</v>
      </c>
    </row>
    <row r="70">
      <c r="A70" s="61" t="n">
        <v>45811</v>
      </c>
      <c r="B70" s="16" t="inlineStr">
        <is>
          <t>YCARO GOMES</t>
        </is>
      </c>
      <c r="C70" s="90" t="n"/>
      <c r="D70" s="90" t="n">
        <v>193.326954</v>
      </c>
      <c r="E70" s="90" t="n">
        <v>-193.326954</v>
      </c>
      <c r="F70" s="16" t="inlineStr">
        <is>
          <t>11.14 - INTERNET OBRAS</t>
        </is>
      </c>
      <c r="G70" s="16" t="inlineStr">
        <is>
          <t>VLI PINTURA</t>
        </is>
      </c>
      <c r="H70" s="63" t="n">
        <v>2025</v>
      </c>
      <c r="I70" s="64" t="n">
        <v>6</v>
      </c>
      <c r="J70" s="16" t="inlineStr">
        <is>
          <t>Jun</t>
        </is>
      </c>
      <c r="K70" s="16" t="n"/>
      <c r="M70" s="89" t="n">
        <v>-193.326954</v>
      </c>
      <c r="N70" s="1" t="inlineStr">
        <is>
          <t>INTERNET OBRAS</t>
        </is>
      </c>
      <c r="O70" s="1" t="inlineStr">
        <is>
          <t>Despesas com Infraestrutura</t>
        </is>
      </c>
      <c r="P70" s="1" t="inlineStr">
        <is>
          <t>(-)Gastos Fixos</t>
        </is>
      </c>
      <c r="Q70" s="1" t="n">
        <v>4</v>
      </c>
      <c r="R70" s="1" t="n">
        <v>2025</v>
      </c>
    </row>
    <row r="71">
      <c r="A71" s="61" t="n">
        <v>45811</v>
      </c>
      <c r="B71" s="16" t="inlineStr">
        <is>
          <t>YCARO GOMES</t>
        </is>
      </c>
      <c r="C71" s="90" t="n"/>
      <c r="D71" s="90" t="n">
        <v>237.336829</v>
      </c>
      <c r="E71" s="90" t="n">
        <v>-237.336829</v>
      </c>
      <c r="F71" s="16" t="inlineStr">
        <is>
          <t>14.2 - CURSOS / TREINAMENTOS</t>
        </is>
      </c>
      <c r="G71" s="16" t="inlineStr">
        <is>
          <t>VLI PINTURA</t>
        </is>
      </c>
      <c r="H71" s="63" t="n">
        <v>2025</v>
      </c>
      <c r="I71" s="64" t="n">
        <v>6</v>
      </c>
      <c r="J71" s="16" t="inlineStr">
        <is>
          <t>Jun</t>
        </is>
      </c>
      <c r="K71" s="16" t="n"/>
      <c r="M71" s="89" t="n">
        <v>-237.336829</v>
      </c>
      <c r="N71" s="1" t="inlineStr">
        <is>
          <t>CURSOS / TREINAMENTOS</t>
        </is>
      </c>
      <c r="O71" s="1" t="inlineStr">
        <is>
          <t>Despesas com Pessoal</t>
        </is>
      </c>
      <c r="P71" s="1" t="inlineStr">
        <is>
          <t>(-)Gastos Fixos</t>
        </is>
      </c>
      <c r="Q71" s="1" t="n">
        <v>4</v>
      </c>
      <c r="R71" s="1" t="n">
        <v>2025</v>
      </c>
    </row>
    <row r="72">
      <c r="A72" s="61" t="n">
        <v>45811</v>
      </c>
      <c r="B72" s="16" t="inlineStr">
        <is>
          <t>YCARO GOMES</t>
        </is>
      </c>
      <c r="C72" s="90" t="n"/>
      <c r="D72" s="90" t="n">
        <v>689.296678</v>
      </c>
      <c r="E72" s="90" t="n">
        <v>-689.296678</v>
      </c>
      <c r="F72" s="16" t="inlineStr">
        <is>
          <t>6.4 - COMBUSTIVEL VEICULOS</t>
        </is>
      </c>
      <c r="G72" s="16" t="inlineStr">
        <is>
          <t>VLI PINTURA</t>
        </is>
      </c>
      <c r="H72" s="63" t="n">
        <v>2025</v>
      </c>
      <c r="I72" s="64" t="n">
        <v>6</v>
      </c>
      <c r="J72" s="16" t="inlineStr">
        <is>
          <t>Jun</t>
        </is>
      </c>
      <c r="K72" s="16" t="n"/>
      <c r="M72" s="89" t="n">
        <v>-689.296678</v>
      </c>
      <c r="N72" s="1" t="inlineStr">
        <is>
          <t>COMBUSTIVEL VEICULOS</t>
        </is>
      </c>
      <c r="O72" s="1" t="inlineStr">
        <is>
          <t>Despesas com Veículos e Equipamentos</t>
        </is>
      </c>
      <c r="P72" s="1" t="inlineStr">
        <is>
          <t>(-)Gastos Fixos</t>
        </is>
      </c>
      <c r="Q72" s="1" t="n">
        <v>4</v>
      </c>
      <c r="R72" s="1" t="n">
        <v>2025</v>
      </c>
    </row>
    <row r="73">
      <c r="A73" s="61" t="n">
        <v>45811</v>
      </c>
      <c r="B73" s="16" t="inlineStr">
        <is>
          <t>YCARO GOMES</t>
        </is>
      </c>
      <c r="C73" s="90" t="n"/>
      <c r="D73" s="90" t="n">
        <v>1178.122785</v>
      </c>
      <c r="E73" s="90" t="n">
        <v>-1178.122785</v>
      </c>
      <c r="F73" s="16" t="inlineStr">
        <is>
          <t>13.1 - EPIS</t>
        </is>
      </c>
      <c r="G73" s="16" t="inlineStr">
        <is>
          <t>VLI PINTURA</t>
        </is>
      </c>
      <c r="H73" s="63" t="n">
        <v>2025</v>
      </c>
      <c r="I73" s="64" t="n">
        <v>6</v>
      </c>
      <c r="J73" s="16" t="inlineStr">
        <is>
          <t>Jun</t>
        </is>
      </c>
      <c r="K73" s="16" t="n"/>
      <c r="M73" s="89" t="n">
        <v>-1178.122785</v>
      </c>
      <c r="N73" s="1" t="inlineStr">
        <is>
          <t>EPIS</t>
        </is>
      </c>
      <c r="O73" s="1" t="inlineStr">
        <is>
          <t>Despesas com Pessoal</t>
        </is>
      </c>
      <c r="P73" s="1" t="inlineStr">
        <is>
          <t>(-)Gastos Fixos</t>
        </is>
      </c>
      <c r="Q73" s="1" t="n">
        <v>4</v>
      </c>
      <c r="R73" s="1" t="n">
        <v>2025</v>
      </c>
    </row>
    <row r="74">
      <c r="A74" s="61" t="n">
        <v>45811</v>
      </c>
      <c r="B74" s="16" t="inlineStr">
        <is>
          <t>YCARO GOMES</t>
        </is>
      </c>
      <c r="C74" s="90" t="n"/>
      <c r="D74" s="90" t="n">
        <v>3089.102839</v>
      </c>
      <c r="E74" s="90" t="n">
        <v>-3089.102839</v>
      </c>
      <c r="F74" s="16" t="inlineStr">
        <is>
          <t>6.3 - MANUTENÇÃO/PEÇAS  VEICULOS</t>
        </is>
      </c>
      <c r="G74" s="16" t="inlineStr">
        <is>
          <t>VLI PINTURA</t>
        </is>
      </c>
      <c r="H74" s="63" t="n">
        <v>2025</v>
      </c>
      <c r="I74" s="64" t="n">
        <v>6</v>
      </c>
      <c r="J74" s="16" t="inlineStr">
        <is>
          <t>Jun</t>
        </is>
      </c>
      <c r="K74" s="16" t="n"/>
      <c r="M74" s="89" t="n">
        <v>-3089.102839</v>
      </c>
      <c r="N74" s="1" t="inlineStr">
        <is>
          <t>MANUTENÇÃO/PEÇAS  VEICULOS</t>
        </is>
      </c>
      <c r="O74" s="1" t="inlineStr">
        <is>
          <t>Despesas com Veículos e Equipamentos</t>
        </is>
      </c>
      <c r="P74" s="1" t="inlineStr">
        <is>
          <t>(-)Gastos Fixos</t>
        </is>
      </c>
      <c r="Q74" s="1" t="n">
        <v>4</v>
      </c>
      <c r="R74" s="1" t="n">
        <v>2025</v>
      </c>
    </row>
    <row r="75">
      <c r="A75" s="61" t="n">
        <v>45811</v>
      </c>
      <c r="B75" s="16" t="inlineStr">
        <is>
          <t>YCARO GOMES</t>
        </is>
      </c>
      <c r="C75" s="90" t="n"/>
      <c r="D75" s="90" t="n">
        <v>13.721794</v>
      </c>
      <c r="E75" s="90" t="n">
        <v>-13.721794</v>
      </c>
      <c r="F75" s="16" t="inlineStr">
        <is>
          <t>8.10 - MATERIAS DE ESCRITORIO</t>
        </is>
      </c>
      <c r="G75" s="16" t="inlineStr">
        <is>
          <t>VLI PINTURA</t>
        </is>
      </c>
      <c r="H75" s="63" t="n">
        <v>2025</v>
      </c>
      <c r="I75" s="64" t="n">
        <v>6</v>
      </c>
      <c r="J75" s="16" t="inlineStr">
        <is>
          <t>Jun</t>
        </is>
      </c>
      <c r="K75" s="16" t="n"/>
      <c r="M75" s="89" t="n">
        <v>-13.721794</v>
      </c>
      <c r="N75" s="1" t="inlineStr">
        <is>
          <t>MATERIAS DE ESCRITORIO / PAPELARIA</t>
        </is>
      </c>
      <c r="O75" s="1" t="inlineStr">
        <is>
          <t>Despesas Administrativas</t>
        </is>
      </c>
      <c r="P75" s="1" t="inlineStr">
        <is>
          <t>(-)Gastos Fixos</t>
        </is>
      </c>
      <c r="Q75" s="1" t="n">
        <v>4</v>
      </c>
      <c r="R75" s="1" t="n">
        <v>2025</v>
      </c>
    </row>
    <row r="76">
      <c r="A76" s="61" t="n">
        <v>45811</v>
      </c>
      <c r="B76" s="16" t="inlineStr">
        <is>
          <t>YCARO GOMES</t>
        </is>
      </c>
      <c r="C76" s="90" t="n"/>
      <c r="D76" s="90" t="n">
        <v>64.622642</v>
      </c>
      <c r="E76" s="90" t="n">
        <v>-64.622642</v>
      </c>
      <c r="F76" s="16" t="inlineStr">
        <is>
          <t>6.10 - SERVIÇO LAVA JATO</t>
        </is>
      </c>
      <c r="G76" s="16" t="inlineStr">
        <is>
          <t>VLI PINTURA</t>
        </is>
      </c>
      <c r="H76" s="63" t="n">
        <v>2025</v>
      </c>
      <c r="I76" s="64" t="n">
        <v>6</v>
      </c>
      <c r="J76" s="16" t="inlineStr">
        <is>
          <t>Jun</t>
        </is>
      </c>
      <c r="K76" s="16" t="n"/>
      <c r="M76" s="89" t="n">
        <v>-64.622642</v>
      </c>
      <c r="N76" s="1" t="inlineStr">
        <is>
          <t>SERVIÇO LAVA JATO</t>
        </is>
      </c>
      <c r="O76" s="1" t="inlineStr">
        <is>
          <t>Despesas com Veículos e Equipamentos</t>
        </is>
      </c>
      <c r="P76" s="1" t="inlineStr">
        <is>
          <t>(-)Gastos Fixos</t>
        </is>
      </c>
      <c r="Q76" s="1" t="n">
        <v>4</v>
      </c>
      <c r="R76" s="1" t="n">
        <v>2025</v>
      </c>
    </row>
    <row r="77">
      <c r="A77" s="61" t="n">
        <v>45811</v>
      </c>
      <c r="B77" s="16" t="inlineStr">
        <is>
          <t>YCARO GOMES</t>
        </is>
      </c>
      <c r="C77" s="90" t="n"/>
      <c r="D77" s="90" t="n">
        <v>66.104996</v>
      </c>
      <c r="E77" s="90" t="n">
        <v>-66.104996</v>
      </c>
      <c r="F77" s="16" t="inlineStr">
        <is>
          <t>8.14 - MANUTENÇÃO/PEÇAS MAQUINAS E EQUIPAMENTOS</t>
        </is>
      </c>
      <c r="G77" s="16" t="inlineStr">
        <is>
          <t>VLI PINTURA</t>
        </is>
      </c>
      <c r="H77" s="63" t="n">
        <v>2025</v>
      </c>
      <c r="I77" s="64" t="n">
        <v>6</v>
      </c>
      <c r="J77" s="16" t="inlineStr">
        <is>
          <t>Jun</t>
        </is>
      </c>
      <c r="K77" s="16" t="n"/>
      <c r="M77" s="89" t="n">
        <v>-66.104996</v>
      </c>
      <c r="N77" s="1" t="inlineStr">
        <is>
          <t>MANUTENÇÃO/PEÇAS MAQUINAS E EQUIPAMENTOS</t>
        </is>
      </c>
      <c r="O77" s="1" t="inlineStr">
        <is>
          <t>Despesas com Máquinas e Equipamentos</t>
        </is>
      </c>
      <c r="P77" s="1" t="inlineStr">
        <is>
          <t>(-)Gastos Fixos</t>
        </is>
      </c>
      <c r="Q77" s="1" t="n">
        <v>4</v>
      </c>
      <c r="R77" s="1" t="n">
        <v>2025</v>
      </c>
    </row>
    <row r="78">
      <c r="A78" s="61" t="n">
        <v>45811</v>
      </c>
      <c r="B78" s="16" t="inlineStr">
        <is>
          <t>YCARO GOMES</t>
        </is>
      </c>
      <c r="C78" s="90" t="n"/>
      <c r="D78" s="90" t="n">
        <v>91.64556399999999</v>
      </c>
      <c r="E78" s="90" t="n">
        <v>-91.64556399999999</v>
      </c>
      <c r="F78" s="16" t="inlineStr">
        <is>
          <t>5.1 - HOTEL FUNCIONARIOS</t>
        </is>
      </c>
      <c r="G78" s="16" t="inlineStr">
        <is>
          <t>VLI PINTURA</t>
        </is>
      </c>
      <c r="H78" s="63" t="n">
        <v>2025</v>
      </c>
      <c r="I78" s="64" t="n">
        <v>6</v>
      </c>
      <c r="J78" s="16" t="inlineStr">
        <is>
          <t>Jun</t>
        </is>
      </c>
      <c r="K78" s="16" t="n"/>
      <c r="M78" s="89" t="n">
        <v>-91.64556399999999</v>
      </c>
      <c r="N78" s="1" t="inlineStr">
        <is>
          <t>5.1 - HOTEL FUNCIONARIOS</t>
        </is>
      </c>
      <c r="O78" s="1" t="n"/>
      <c r="P78" s="1" t="n"/>
      <c r="Q78" s="1" t="n"/>
      <c r="R78" s="1" t="n">
        <v>2025</v>
      </c>
    </row>
    <row r="79">
      <c r="A79" s="61" t="n">
        <v>45811</v>
      </c>
      <c r="B79" s="16" t="inlineStr">
        <is>
          <t>YCARO GOMES</t>
        </is>
      </c>
      <c r="C79" s="90" t="n"/>
      <c r="D79" s="90" t="n">
        <v>100.159086</v>
      </c>
      <c r="E79" s="90" t="n">
        <v>-100.159086</v>
      </c>
      <c r="F79" s="16" t="inlineStr">
        <is>
          <t>3.7 - SERVIÇO LIMPEZA ALOJAMENTO/ESCRITORIO</t>
        </is>
      </c>
      <c r="G79" s="16" t="inlineStr">
        <is>
          <t>VLI PINTURA</t>
        </is>
      </c>
      <c r="H79" s="63" t="n">
        <v>2025</v>
      </c>
      <c r="I79" s="64" t="n">
        <v>6</v>
      </c>
      <c r="J79" s="16" t="inlineStr">
        <is>
          <t>Jun</t>
        </is>
      </c>
      <c r="K79" s="16" t="n"/>
      <c r="M79" s="89" t="n">
        <v>-100.159086</v>
      </c>
      <c r="N79" s="1" t="inlineStr">
        <is>
          <t>SERVIÇO LIMPEZA ALOJAMENTO/ESCRITORIO</t>
        </is>
      </c>
      <c r="O79" s="1" t="inlineStr">
        <is>
          <t>Despesas com Infraestrutura</t>
        </is>
      </c>
      <c r="P79" s="1" t="inlineStr">
        <is>
          <t>(-)Gastos Fixos</t>
        </is>
      </c>
      <c r="Q79" s="1" t="n">
        <v>4</v>
      </c>
      <c r="R79" s="1" t="n">
        <v>2025</v>
      </c>
    </row>
    <row r="80">
      <c r="A80" s="61" t="n">
        <v>45811</v>
      </c>
      <c r="B80" s="16" t="inlineStr">
        <is>
          <t>YCARO GOMES</t>
        </is>
      </c>
      <c r="C80" s="90" t="n"/>
      <c r="D80" s="90" t="n">
        <v>124.888364</v>
      </c>
      <c r="E80" s="90" t="n">
        <v>-124.888364</v>
      </c>
      <c r="F80" s="16" t="inlineStr">
        <is>
          <t>5.5 - ENERGIA ALOJAMENTO</t>
        </is>
      </c>
      <c r="G80" s="16" t="inlineStr">
        <is>
          <t>VLI PINTURA</t>
        </is>
      </c>
      <c r="H80" s="63" t="n">
        <v>2025</v>
      </c>
      <c r="I80" s="64" t="n">
        <v>6</v>
      </c>
      <c r="J80" s="16" t="inlineStr">
        <is>
          <t>Jun</t>
        </is>
      </c>
      <c r="K80" s="16" t="n"/>
      <c r="M80" s="89" t="n">
        <v>-124.888364</v>
      </c>
      <c r="N80" s="1" t="inlineStr">
        <is>
          <t>ENERGIA ALOJAMENTO</t>
        </is>
      </c>
      <c r="O80" s="1" t="inlineStr">
        <is>
          <t>Despesas com Infraestrutura</t>
        </is>
      </c>
      <c r="P80" s="1" t="inlineStr">
        <is>
          <t>(-)Gastos Fixos</t>
        </is>
      </c>
      <c r="Q80" s="1" t="n">
        <v>4</v>
      </c>
      <c r="R80" s="1" t="n">
        <v>2025</v>
      </c>
    </row>
    <row r="81">
      <c r="A81" s="61" t="n">
        <v>45811</v>
      </c>
      <c r="B81" s="16" t="inlineStr">
        <is>
          <t>YCARO GOMES</t>
        </is>
      </c>
      <c r="C81" s="90" t="n"/>
      <c r="D81" s="90" t="n">
        <v>134.503636</v>
      </c>
      <c r="E81" s="90" t="n">
        <v>-134.503636</v>
      </c>
      <c r="F81" s="16" t="inlineStr">
        <is>
          <t>12.5 - REFEIÇÕES FUNCIONARIOS</t>
        </is>
      </c>
      <c r="G81" s="16" t="inlineStr">
        <is>
          <t>VLI PINTURA</t>
        </is>
      </c>
      <c r="H81" s="63" t="n">
        <v>2025</v>
      </c>
      <c r="I81" s="64" t="n">
        <v>6</v>
      </c>
      <c r="J81" s="16" t="inlineStr">
        <is>
          <t>Jun</t>
        </is>
      </c>
      <c r="K81" s="16" t="n"/>
      <c r="M81" s="89" t="n">
        <v>-134.503636</v>
      </c>
      <c r="N81" s="1" t="inlineStr">
        <is>
          <t>12.5 - REFEIÇÕES FUNCIONARIOS</t>
        </is>
      </c>
      <c r="O81" s="1" t="n"/>
      <c r="P81" s="1" t="n"/>
      <c r="Q81" s="1" t="n"/>
      <c r="R81" s="1" t="n">
        <v>2025</v>
      </c>
    </row>
    <row r="82">
      <c r="A82" s="61" t="n">
        <v>45811</v>
      </c>
      <c r="B82" s="16" t="inlineStr">
        <is>
          <t>YCARO GOMES</t>
        </is>
      </c>
      <c r="C82" s="90" t="n"/>
      <c r="D82" s="90" t="n">
        <v>193.943046</v>
      </c>
      <c r="E82" s="90" t="n">
        <v>-193.943046</v>
      </c>
      <c r="F82" s="16" t="inlineStr">
        <is>
          <t>11.14 - INTERNET OBRAS</t>
        </is>
      </c>
      <c r="G82" s="16" t="inlineStr">
        <is>
          <t>VLI PINTURA</t>
        </is>
      </c>
      <c r="H82" s="63" t="n">
        <v>2025</v>
      </c>
      <c r="I82" s="64" t="n">
        <v>6</v>
      </c>
      <c r="J82" s="16" t="inlineStr">
        <is>
          <t>Jun</t>
        </is>
      </c>
      <c r="K82" s="16" t="n"/>
      <c r="M82" s="89" t="n">
        <v>-193.943046</v>
      </c>
      <c r="N82" s="1" t="inlineStr">
        <is>
          <t>INTERNET OBRAS</t>
        </is>
      </c>
      <c r="O82" s="1" t="inlineStr">
        <is>
          <t>Despesas com Infraestrutura</t>
        </is>
      </c>
      <c r="P82" s="1" t="inlineStr">
        <is>
          <t>(-)Gastos Fixos</t>
        </is>
      </c>
      <c r="Q82" s="1" t="n">
        <v>4</v>
      </c>
      <c r="R82" s="1" t="n">
        <v>2025</v>
      </c>
    </row>
    <row r="83">
      <c r="A83" s="61" t="n">
        <v>45811</v>
      </c>
      <c r="B83" s="16" t="inlineStr">
        <is>
          <t>YCARO GOMES</t>
        </is>
      </c>
      <c r="C83" s="90" t="n"/>
      <c r="D83" s="90" t="n">
        <v>238.093171</v>
      </c>
      <c r="E83" s="90" t="n">
        <v>-238.093171</v>
      </c>
      <c r="F83" s="16" t="inlineStr">
        <is>
          <t>14.2 - CURSOS / TREINAMENTOS</t>
        </is>
      </c>
      <c r="G83" s="16" t="inlineStr">
        <is>
          <t>VLI PINTURA</t>
        </is>
      </c>
      <c r="H83" s="63" t="n">
        <v>2025</v>
      </c>
      <c r="I83" s="64" t="n">
        <v>6</v>
      </c>
      <c r="J83" s="16" t="inlineStr">
        <is>
          <t>Jun</t>
        </is>
      </c>
      <c r="K83" s="16" t="n"/>
      <c r="M83" s="89" t="n">
        <v>-238.093171</v>
      </c>
      <c r="N83" s="1" t="inlineStr">
        <is>
          <t>CURSOS / TREINAMENTOS</t>
        </is>
      </c>
      <c r="O83" s="1" t="inlineStr">
        <is>
          <t>Despesas com Pessoal</t>
        </is>
      </c>
      <c r="P83" s="1" t="inlineStr">
        <is>
          <t>(-)Gastos Fixos</t>
        </is>
      </c>
      <c r="Q83" s="1" t="n">
        <v>4</v>
      </c>
      <c r="R83" s="1" t="n">
        <v>2025</v>
      </c>
    </row>
    <row r="84">
      <c r="A84" s="61" t="n">
        <v>45811</v>
      </c>
      <c r="B84" s="16" t="inlineStr">
        <is>
          <t>YCARO GOMES</t>
        </is>
      </c>
      <c r="C84" s="90" t="n"/>
      <c r="D84" s="90" t="n">
        <v>691.493321</v>
      </c>
      <c r="E84" s="90" t="n">
        <v>-691.493321</v>
      </c>
      <c r="F84" s="16" t="inlineStr">
        <is>
          <t>6.4 - COMBUSTIVEL VEICULOS</t>
        </is>
      </c>
      <c r="G84" s="16" t="inlineStr">
        <is>
          <t>VLI PINTURA</t>
        </is>
      </c>
      <c r="H84" s="63" t="n">
        <v>2025</v>
      </c>
      <c r="I84" s="64" t="n">
        <v>6</v>
      </c>
      <c r="J84" s="16" t="inlineStr">
        <is>
          <t>Jun</t>
        </is>
      </c>
      <c r="K84" s="16" t="n"/>
      <c r="M84" s="89" t="n">
        <v>-691.493321</v>
      </c>
      <c r="N84" s="1" t="inlineStr">
        <is>
          <t>COMBUSTIVEL VEICULOS</t>
        </is>
      </c>
      <c r="O84" s="1" t="inlineStr">
        <is>
          <t>Despesas com Veículos e Equipamentos</t>
        </is>
      </c>
      <c r="P84" s="1" t="inlineStr">
        <is>
          <t>(-)Gastos Fixos</t>
        </is>
      </c>
      <c r="Q84" s="1" t="n">
        <v>4</v>
      </c>
      <c r="R84" s="1" t="n">
        <v>2025</v>
      </c>
    </row>
    <row r="85">
      <c r="A85" s="61" t="n">
        <v>45811</v>
      </c>
      <c r="B85" s="16" t="inlineStr">
        <is>
          <t>YCARO GOMES</t>
        </is>
      </c>
      <c r="C85" s="90" t="n"/>
      <c r="D85" s="90" t="n">
        <v>1181.877215</v>
      </c>
      <c r="E85" s="90" t="n">
        <v>-1181.877215</v>
      </c>
      <c r="F85" s="16" t="inlineStr">
        <is>
          <t>13.1 - EPIS</t>
        </is>
      </c>
      <c r="G85" s="16" t="inlineStr">
        <is>
          <t>VLI PINTURA</t>
        </is>
      </c>
      <c r="H85" s="63" t="n">
        <v>2025</v>
      </c>
      <c r="I85" s="64" t="n">
        <v>6</v>
      </c>
      <c r="J85" s="16" t="inlineStr">
        <is>
          <t>Jun</t>
        </is>
      </c>
      <c r="K85" s="16" t="n"/>
      <c r="M85" s="89" t="n">
        <v>-1181.877215</v>
      </c>
      <c r="N85" s="1" t="inlineStr">
        <is>
          <t>EPIS</t>
        </is>
      </c>
      <c r="O85" s="1" t="inlineStr">
        <is>
          <t>Despesas com Pessoal</t>
        </is>
      </c>
      <c r="P85" s="1" t="inlineStr">
        <is>
          <t>(-)Gastos Fixos</t>
        </is>
      </c>
      <c r="Q85" s="1" t="n">
        <v>4</v>
      </c>
      <c r="R85" s="1" t="n">
        <v>2025</v>
      </c>
    </row>
    <row r="86">
      <c r="A86" s="61" t="n">
        <v>45811</v>
      </c>
      <c r="B86" s="16" t="inlineStr">
        <is>
          <t>YCARO GOMES</t>
        </is>
      </c>
      <c r="C86" s="90" t="n"/>
      <c r="D86" s="90" t="n">
        <v>3098.947161</v>
      </c>
      <c r="E86" s="90" t="n">
        <v>-3098.947161</v>
      </c>
      <c r="F86" s="16" t="inlineStr">
        <is>
          <t>6.3 - MANUTENÇÃO/PEÇAS  VEICULOS</t>
        </is>
      </c>
      <c r="G86" s="16" t="inlineStr">
        <is>
          <t>VLI PINTURA</t>
        </is>
      </c>
      <c r="H86" s="63" t="n">
        <v>2025</v>
      </c>
      <c r="I86" s="64" t="n">
        <v>6</v>
      </c>
      <c r="J86" s="16" t="inlineStr">
        <is>
          <t>Jun</t>
        </is>
      </c>
      <c r="K86" s="16" t="n"/>
      <c r="M86" s="89" t="n">
        <v>-3098.947161</v>
      </c>
      <c r="N86" s="1" t="inlineStr">
        <is>
          <t>MANUTENÇÃO/PEÇAS  VEICULOS</t>
        </is>
      </c>
      <c r="O86" s="1" t="inlineStr">
        <is>
          <t>Despesas com Veículos e Equipamentos</t>
        </is>
      </c>
      <c r="P86" s="1" t="inlineStr">
        <is>
          <t>(-)Gastos Fixos</t>
        </is>
      </c>
      <c r="Q86" s="1" t="n">
        <v>4</v>
      </c>
      <c r="R86" s="1" t="n">
        <v>2025</v>
      </c>
    </row>
    <row r="87">
      <c r="A87" s="61" t="n">
        <v>45811</v>
      </c>
      <c r="B87" s="16" t="inlineStr">
        <is>
          <t>DETRAN - GO</t>
        </is>
      </c>
      <c r="C87" s="90" t="n"/>
      <c r="D87" s="90" t="n">
        <v>621.55</v>
      </c>
      <c r="E87" s="90" t="n">
        <v>-621.55</v>
      </c>
      <c r="F87" s="16" t="inlineStr">
        <is>
          <t>6.1 - IPVA</t>
        </is>
      </c>
      <c r="G87" s="16" t="inlineStr">
        <is>
          <t>VEICULOS</t>
        </is>
      </c>
      <c r="H87" s="63" t="n">
        <v>2025</v>
      </c>
      <c r="I87" s="64" t="n">
        <v>6</v>
      </c>
      <c r="J87" s="16" t="inlineStr">
        <is>
          <t>Jun</t>
        </is>
      </c>
      <c r="K87" s="16" t="n"/>
      <c r="M87" s="89" t="n">
        <v>-621.55</v>
      </c>
      <c r="N87" s="1" t="inlineStr">
        <is>
          <t>IPVA</t>
        </is>
      </c>
      <c r="O87" s="1" t="inlineStr">
        <is>
          <t>Despesas com Veículos e Equipamentos</t>
        </is>
      </c>
      <c r="P87" s="1" t="inlineStr">
        <is>
          <t>(-)Gastos Fixos</t>
        </is>
      </c>
      <c r="Q87" s="1" t="n">
        <v>4</v>
      </c>
      <c r="R87" s="1" t="n">
        <v>2025</v>
      </c>
    </row>
    <row r="88">
      <c r="A88" s="61" t="n">
        <v>45811</v>
      </c>
      <c r="B88" s="16" t="inlineStr">
        <is>
          <t>DETRAN - GO</t>
        </is>
      </c>
      <c r="C88" s="90" t="n"/>
      <c r="D88" s="90" t="n">
        <v>621.51</v>
      </c>
      <c r="E88" s="90" t="n">
        <v>-621.51</v>
      </c>
      <c r="F88" s="16" t="inlineStr">
        <is>
          <t>6.1 - IPVA</t>
        </is>
      </c>
      <c r="G88" s="16" t="inlineStr">
        <is>
          <t>VEICULOS</t>
        </is>
      </c>
      <c r="H88" s="63" t="n">
        <v>2025</v>
      </c>
      <c r="I88" s="64" t="n">
        <v>6</v>
      </c>
      <c r="J88" s="16" t="inlineStr">
        <is>
          <t>Jun</t>
        </is>
      </c>
      <c r="K88" s="16" t="n"/>
      <c r="M88" s="89" t="n">
        <v>-621.51</v>
      </c>
      <c r="N88" s="1" t="inlineStr">
        <is>
          <t>IPVA</t>
        </is>
      </c>
      <c r="O88" s="1" t="inlineStr">
        <is>
          <t>Despesas com Veículos e Equipamentos</t>
        </is>
      </c>
      <c r="P88" s="1" t="inlineStr">
        <is>
          <t>(-)Gastos Fixos</t>
        </is>
      </c>
      <c r="Q88" s="1" t="n">
        <v>4</v>
      </c>
      <c r="R88" s="1" t="n">
        <v>2025</v>
      </c>
    </row>
    <row r="89">
      <c r="A89" s="61" t="n">
        <v>45811</v>
      </c>
      <c r="B89" s="16" t="inlineStr">
        <is>
          <t>DETRAN - GO</t>
        </is>
      </c>
      <c r="C89" s="90" t="n"/>
      <c r="D89" s="90" t="n">
        <v>621.51</v>
      </c>
      <c r="E89" s="90" t="n">
        <v>-621.51</v>
      </c>
      <c r="F89" s="16" t="inlineStr">
        <is>
          <t>6.1 - IPVA</t>
        </is>
      </c>
      <c r="G89" s="16" t="inlineStr">
        <is>
          <t>VEICULOS</t>
        </is>
      </c>
      <c r="H89" s="63" t="n">
        <v>2025</v>
      </c>
      <c r="I89" s="64" t="n">
        <v>6</v>
      </c>
      <c r="J89" s="16" t="inlineStr">
        <is>
          <t>Jun</t>
        </is>
      </c>
      <c r="K89" s="16" t="n"/>
      <c r="M89" s="89" t="n">
        <v>-621.51</v>
      </c>
      <c r="N89" s="1" t="inlineStr">
        <is>
          <t>IPVA</t>
        </is>
      </c>
      <c r="O89" s="1" t="inlineStr">
        <is>
          <t>Despesas com Veículos e Equipamentos</t>
        </is>
      </c>
      <c r="P89" s="1" t="inlineStr">
        <is>
          <t>(-)Gastos Fixos</t>
        </is>
      </c>
      <c r="Q89" s="1" t="n">
        <v>4</v>
      </c>
      <c r="R89" s="1" t="n">
        <v>2025</v>
      </c>
    </row>
    <row r="90">
      <c r="A90" s="61" t="n">
        <v>45811</v>
      </c>
      <c r="B90" s="16" t="inlineStr">
        <is>
          <t>DETRAN - GO</t>
        </is>
      </c>
      <c r="C90" s="90" t="n"/>
      <c r="D90" s="90" t="n">
        <v>621.51</v>
      </c>
      <c r="E90" s="90" t="n">
        <v>-621.51</v>
      </c>
      <c r="F90" s="16" t="inlineStr">
        <is>
          <t>6.1 - IPVA</t>
        </is>
      </c>
      <c r="G90" s="16" t="inlineStr">
        <is>
          <t>VEICULOS</t>
        </is>
      </c>
      <c r="H90" s="63" t="n">
        <v>2025</v>
      </c>
      <c r="I90" s="64" t="n">
        <v>6</v>
      </c>
      <c r="J90" s="16" t="inlineStr">
        <is>
          <t>Jun</t>
        </is>
      </c>
      <c r="K90" s="16" t="n"/>
      <c r="M90" s="89" t="n">
        <v>-621.51</v>
      </c>
      <c r="N90" s="1" t="inlineStr">
        <is>
          <t>IPVA</t>
        </is>
      </c>
      <c r="O90" s="1" t="inlineStr">
        <is>
          <t>Despesas com Veículos e Equipamentos</t>
        </is>
      </c>
      <c r="P90" s="1" t="inlineStr">
        <is>
          <t>(-)Gastos Fixos</t>
        </is>
      </c>
      <c r="Q90" s="1" t="n">
        <v>4</v>
      </c>
      <c r="R90" s="1" t="n">
        <v>2025</v>
      </c>
    </row>
    <row r="91">
      <c r="A91" s="61" t="n">
        <v>45811</v>
      </c>
      <c r="B91" s="16" t="inlineStr">
        <is>
          <t>DETRAN - GO</t>
        </is>
      </c>
      <c r="C91" s="90" t="n"/>
      <c r="D91" s="90" t="n">
        <v>621.51</v>
      </c>
      <c r="E91" s="90" t="n">
        <v>-621.51</v>
      </c>
      <c r="F91" s="16" t="inlineStr">
        <is>
          <t>6.1 - IPVA</t>
        </is>
      </c>
      <c r="G91" s="16" t="inlineStr">
        <is>
          <t>VEICULOS</t>
        </is>
      </c>
      <c r="H91" s="63" t="n">
        <v>2025</v>
      </c>
      <c r="I91" s="64" t="n">
        <v>6</v>
      </c>
      <c r="J91" s="16" t="inlineStr">
        <is>
          <t>Jun</t>
        </is>
      </c>
      <c r="K91" s="16" t="n"/>
      <c r="M91" s="89" t="n">
        <v>-621.51</v>
      </c>
      <c r="N91" s="1" t="inlineStr">
        <is>
          <t>IPVA</t>
        </is>
      </c>
      <c r="O91" s="1" t="inlineStr">
        <is>
          <t>Despesas com Veículos e Equipamentos</t>
        </is>
      </c>
      <c r="P91" s="1" t="inlineStr">
        <is>
          <t>(-)Gastos Fixos</t>
        </is>
      </c>
      <c r="Q91" s="1" t="n">
        <v>4</v>
      </c>
      <c r="R91" s="1" t="n">
        <v>2025</v>
      </c>
    </row>
    <row r="92">
      <c r="A92" s="61" t="n">
        <v>45811</v>
      </c>
      <c r="B92" s="16" t="inlineStr">
        <is>
          <t>DETRAN - GO</t>
        </is>
      </c>
      <c r="C92" s="90" t="n"/>
      <c r="D92" s="90" t="n">
        <v>621.51</v>
      </c>
      <c r="E92" s="90" t="n">
        <v>-621.51</v>
      </c>
      <c r="F92" s="16" t="inlineStr">
        <is>
          <t>6.1 - IPVA</t>
        </is>
      </c>
      <c r="G92" s="16" t="inlineStr">
        <is>
          <t>VEICULOS</t>
        </is>
      </c>
      <c r="H92" s="63" t="n">
        <v>2025</v>
      </c>
      <c r="I92" s="64" t="n">
        <v>6</v>
      </c>
      <c r="J92" s="16" t="inlineStr">
        <is>
          <t>Jun</t>
        </is>
      </c>
      <c r="K92" s="16" t="n"/>
      <c r="M92" s="89" t="n">
        <v>-621.51</v>
      </c>
      <c r="N92" s="1" t="inlineStr">
        <is>
          <t>IPVA</t>
        </is>
      </c>
      <c r="O92" s="1" t="inlineStr">
        <is>
          <t>Despesas com Veículos e Equipamentos</t>
        </is>
      </c>
      <c r="P92" s="1" t="inlineStr">
        <is>
          <t>(-)Gastos Fixos</t>
        </is>
      </c>
      <c r="Q92" s="1" t="n">
        <v>4</v>
      </c>
      <c r="R92" s="1" t="n">
        <v>2025</v>
      </c>
    </row>
    <row r="93">
      <c r="A93" s="61" t="n">
        <v>45811</v>
      </c>
      <c r="B93" s="16" t="inlineStr">
        <is>
          <t>DETRAN - GO</t>
        </is>
      </c>
      <c r="C93" s="90" t="n"/>
      <c r="D93" s="90" t="n">
        <v>621.51</v>
      </c>
      <c r="E93" s="90" t="n">
        <v>-621.51</v>
      </c>
      <c r="F93" s="16" t="inlineStr">
        <is>
          <t>6.1 - IPVA</t>
        </is>
      </c>
      <c r="G93" s="16" t="inlineStr">
        <is>
          <t>VEICULOS</t>
        </is>
      </c>
      <c r="H93" s="63" t="n">
        <v>2025</v>
      </c>
      <c r="I93" s="64" t="n">
        <v>6</v>
      </c>
      <c r="J93" s="16" t="inlineStr">
        <is>
          <t>Jun</t>
        </is>
      </c>
      <c r="K93" s="16" t="n"/>
      <c r="M93" s="89" t="n">
        <v>-621.51</v>
      </c>
      <c r="N93" s="1" t="inlineStr">
        <is>
          <t>IPVA</t>
        </is>
      </c>
      <c r="O93" s="1" t="inlineStr">
        <is>
          <t>Despesas com Veículos e Equipamentos</t>
        </is>
      </c>
      <c r="P93" s="1" t="inlineStr">
        <is>
          <t>(-)Gastos Fixos</t>
        </is>
      </c>
      <c r="Q93" s="1" t="n">
        <v>4</v>
      </c>
      <c r="R93" s="1" t="n">
        <v>2025</v>
      </c>
    </row>
    <row r="94">
      <c r="A94" s="61" t="n">
        <v>45811</v>
      </c>
      <c r="B94" s="16" t="inlineStr">
        <is>
          <t>DETRAN - GO</t>
        </is>
      </c>
      <c r="C94" s="90" t="n"/>
      <c r="D94" s="90" t="n">
        <v>621.51</v>
      </c>
      <c r="E94" s="90" t="n">
        <v>-621.51</v>
      </c>
      <c r="F94" s="16" t="inlineStr">
        <is>
          <t>6.1 - IPVA</t>
        </is>
      </c>
      <c r="G94" s="16" t="inlineStr">
        <is>
          <t>VEICULOS</t>
        </is>
      </c>
      <c r="H94" s="63" t="n">
        <v>2025</v>
      </c>
      <c r="I94" s="64" t="n">
        <v>6</v>
      </c>
      <c r="J94" s="16" t="inlineStr">
        <is>
          <t>Jun</t>
        </is>
      </c>
      <c r="K94" s="16" t="n"/>
      <c r="M94" s="89" t="n">
        <v>-621.51</v>
      </c>
      <c r="N94" s="1" t="inlineStr">
        <is>
          <t>IPVA</t>
        </is>
      </c>
      <c r="O94" s="1" t="inlineStr">
        <is>
          <t>Despesas com Veículos e Equipamentos</t>
        </is>
      </c>
      <c r="P94" s="1" t="inlineStr">
        <is>
          <t>(-)Gastos Fixos</t>
        </is>
      </c>
      <c r="Q94" s="1" t="n">
        <v>4</v>
      </c>
      <c r="R94" s="1" t="n">
        <v>2025</v>
      </c>
    </row>
    <row r="95">
      <c r="A95" s="61" t="n">
        <v>45811</v>
      </c>
      <c r="B95" s="16" t="inlineStr">
        <is>
          <t>MASTER TUR TRANSPORTE DE PASSAGEIROS LTDA</t>
        </is>
      </c>
      <c r="C95" s="90" t="n"/>
      <c r="D95" s="90" t="n">
        <v>335</v>
      </c>
      <c r="E95" s="90" t="n">
        <v>-335</v>
      </c>
      <c r="F95" s="16" t="inlineStr">
        <is>
          <t>6.3 - MANUTENÇÃO/PEÇAS  VEICULOS</t>
        </is>
      </c>
      <c r="G95" s="16" t="inlineStr">
        <is>
          <t>MOSAIC UBERABA CONTRAT0 3 ANOS</t>
        </is>
      </c>
      <c r="H95" s="63" t="n">
        <v>2025</v>
      </c>
      <c r="I95" s="64" t="n">
        <v>6</v>
      </c>
      <c r="J95" s="16" t="inlineStr">
        <is>
          <t>Jun</t>
        </is>
      </c>
      <c r="K95" s="16" t="n"/>
      <c r="M95" s="89" t="n">
        <v>-335</v>
      </c>
      <c r="N95" s="1" t="inlineStr">
        <is>
          <t>MANUTENÇÃO/PEÇAS  VEICULOS</t>
        </is>
      </c>
      <c r="O95" s="1" t="inlineStr">
        <is>
          <t>Despesas com Veículos e Equipamentos</t>
        </is>
      </c>
      <c r="P95" s="1" t="inlineStr">
        <is>
          <t>(-)Gastos Fixos</t>
        </is>
      </c>
      <c r="Q95" s="1" t="n">
        <v>4</v>
      </c>
      <c r="R95" s="1" t="n">
        <v>2025</v>
      </c>
    </row>
    <row r="96">
      <c r="A96" s="61" t="n">
        <v>45811</v>
      </c>
      <c r="B96" s="16" t="inlineStr">
        <is>
          <t>MASTER TUR TRANSPORTE DE PASSAGEIROS LTDA</t>
        </is>
      </c>
      <c r="C96" s="90" t="n"/>
      <c r="D96" s="90" t="n">
        <v>200</v>
      </c>
      <c r="E96" s="90" t="n">
        <v>-200</v>
      </c>
      <c r="F96" s="16" t="inlineStr">
        <is>
          <t>6.3 - MANUTENÇÃO/PEÇAS  VEICULOS</t>
        </is>
      </c>
      <c r="G96" s="16" t="inlineStr">
        <is>
          <t>MOSAIC UBERABA CONTRAT0 3 ANOS</t>
        </is>
      </c>
      <c r="H96" s="63" t="n">
        <v>2025</v>
      </c>
      <c r="I96" s="64" t="n">
        <v>6</v>
      </c>
      <c r="J96" s="16" t="inlineStr">
        <is>
          <t>Jun</t>
        </is>
      </c>
      <c r="K96" s="16" t="n"/>
      <c r="M96" s="89" t="n">
        <v>-200</v>
      </c>
      <c r="N96" s="1" t="inlineStr">
        <is>
          <t>MANUTENÇÃO/PEÇAS  VEICULOS</t>
        </is>
      </c>
      <c r="O96" s="1" t="inlineStr">
        <is>
          <t>Despesas com Veículos e Equipamentos</t>
        </is>
      </c>
      <c r="P96" s="1" t="inlineStr">
        <is>
          <t>(-)Gastos Fixos</t>
        </is>
      </c>
      <c r="Q96" s="1" t="n">
        <v>4</v>
      </c>
      <c r="R96" s="1" t="n">
        <v>2025</v>
      </c>
    </row>
    <row r="97">
      <c r="A97" s="61" t="n">
        <v>45811</v>
      </c>
      <c r="B97" s="16" t="inlineStr">
        <is>
          <t>DETRAN - GO</t>
        </is>
      </c>
      <c r="C97" s="90" t="n"/>
      <c r="D97" s="90" t="n">
        <v>621.51</v>
      </c>
      <c r="E97" s="90" t="n">
        <v>-621.51</v>
      </c>
      <c r="F97" s="16" t="inlineStr">
        <is>
          <t>6.1 - IPVA</t>
        </is>
      </c>
      <c r="G97" s="16" t="inlineStr">
        <is>
          <t>VEICULOS</t>
        </is>
      </c>
      <c r="H97" s="63" t="n">
        <v>2025</v>
      </c>
      <c r="I97" s="64" t="n">
        <v>6</v>
      </c>
      <c r="J97" s="16" t="inlineStr">
        <is>
          <t>Jun</t>
        </is>
      </c>
      <c r="K97" s="16" t="n"/>
      <c r="M97" s="89" t="n">
        <v>-621.51</v>
      </c>
      <c r="N97" s="1" t="inlineStr">
        <is>
          <t>IPVA</t>
        </is>
      </c>
      <c r="O97" s="1" t="inlineStr">
        <is>
          <t>Despesas com Veículos e Equipamentos</t>
        </is>
      </c>
      <c r="P97" s="1" t="inlineStr">
        <is>
          <t>(-)Gastos Fixos</t>
        </is>
      </c>
      <c r="Q97" s="1" t="n">
        <v>4</v>
      </c>
      <c r="R97" s="1" t="n">
        <v>2025</v>
      </c>
    </row>
    <row r="98">
      <c r="A98" s="61" t="n">
        <v>45811</v>
      </c>
      <c r="B98" s="16" t="inlineStr">
        <is>
          <t>RODOVIARIA MATEUS CABEÇA BRANCA</t>
        </is>
      </c>
      <c r="C98" s="90" t="n"/>
      <c r="D98" s="90" t="n">
        <v>719.89</v>
      </c>
      <c r="E98" s="90" t="n">
        <v>-719.89</v>
      </c>
      <c r="F98" s="16" t="inlineStr">
        <is>
          <t>12.9 - PASSAGENS FUNCIONARIOS</t>
        </is>
      </c>
      <c r="G98" s="16" t="inlineStr">
        <is>
          <t>MOSAIC UBERABA CONTRAT0 3 ANOS</t>
        </is>
      </c>
      <c r="H98" s="63" t="n">
        <v>2025</v>
      </c>
      <c r="I98" s="64" t="n">
        <v>6</v>
      </c>
      <c r="J98" s="16" t="inlineStr">
        <is>
          <t>Jun</t>
        </is>
      </c>
      <c r="K98" s="16" t="n"/>
      <c r="M98" s="89" t="n">
        <v>-719.89</v>
      </c>
      <c r="N98" s="1" t="inlineStr">
        <is>
          <t>12.9 - PASSAGENS FUNCIONARIOS</t>
        </is>
      </c>
      <c r="O98" s="1" t="n"/>
      <c r="P98" s="1" t="n"/>
      <c r="Q98" s="1" t="n"/>
      <c r="R98" s="1" t="n">
        <v>2025</v>
      </c>
    </row>
    <row r="99">
      <c r="A99" s="61" t="n">
        <v>45811</v>
      </c>
      <c r="B99" s="16" t="inlineStr">
        <is>
          <t>RODOVIARIA MATEUS CABEÇA BRANCA</t>
        </is>
      </c>
      <c r="C99" s="90" t="n"/>
      <c r="D99" s="90" t="n">
        <v>941.5</v>
      </c>
      <c r="E99" s="90" t="n">
        <v>-941.5</v>
      </c>
      <c r="F99" s="16" t="inlineStr">
        <is>
          <t>12.9 - PASSAGENS FUNCIONARIOS</t>
        </is>
      </c>
      <c r="G99" s="16" t="inlineStr">
        <is>
          <t>ANGLO AMERICAN</t>
        </is>
      </c>
      <c r="H99" s="63" t="n">
        <v>2025</v>
      </c>
      <c r="I99" s="64" t="n">
        <v>6</v>
      </c>
      <c r="J99" s="16" t="inlineStr">
        <is>
          <t>Jun</t>
        </is>
      </c>
      <c r="K99" s="16" t="n"/>
      <c r="M99" s="89" t="n">
        <v>-941.5</v>
      </c>
      <c r="N99" s="1" t="inlineStr">
        <is>
          <t>12.9 - PASSAGENS FUNCIONARIOS</t>
        </is>
      </c>
      <c r="O99" s="1" t="n"/>
      <c r="P99" s="1" t="n"/>
      <c r="Q99" s="1" t="n"/>
      <c r="R99" s="1" t="n">
        <v>2025</v>
      </c>
    </row>
    <row r="100">
      <c r="A100" s="61" t="n">
        <v>45811</v>
      </c>
      <c r="B100" s="16" t="inlineStr">
        <is>
          <t>RODOVIARIA MATEUS CABEÇA BRANCA</t>
        </is>
      </c>
      <c r="C100" s="90" t="n"/>
      <c r="D100" s="90" t="n">
        <v>693.52</v>
      </c>
      <c r="E100" s="90" t="n">
        <v>-693.52</v>
      </c>
      <c r="F100" s="16" t="inlineStr">
        <is>
          <t>12.9 - PASSAGENS FUNCIONARIOS</t>
        </is>
      </c>
      <c r="G100" s="16" t="inlineStr">
        <is>
          <t>SERENA 21 TORRES 2024</t>
        </is>
      </c>
      <c r="H100" s="63" t="n">
        <v>2025</v>
      </c>
      <c r="I100" s="64" t="n">
        <v>6</v>
      </c>
      <c r="J100" s="16" t="inlineStr">
        <is>
          <t>Jun</t>
        </is>
      </c>
      <c r="K100" s="16" t="n"/>
      <c r="M100" s="89" t="n">
        <v>-693.52</v>
      </c>
      <c r="N100" s="1" t="inlineStr">
        <is>
          <t>12.9 - PASSAGENS FUNCIONARIOS</t>
        </is>
      </c>
      <c r="O100" s="1" t="n"/>
      <c r="P100" s="1" t="n"/>
      <c r="Q100" s="1" t="n"/>
      <c r="R100" s="1" t="n">
        <v>2025</v>
      </c>
    </row>
    <row r="101">
      <c r="A101" s="61" t="n">
        <v>45811</v>
      </c>
      <c r="B101" s="16" t="inlineStr">
        <is>
          <t>RODOVIARIA MATEUS CABEÇA BRANCA</t>
        </is>
      </c>
      <c r="C101" s="90" t="n"/>
      <c r="D101" s="90" t="n">
        <v>545.47</v>
      </c>
      <c r="E101" s="90" t="n">
        <v>-545.47</v>
      </c>
      <c r="F101" s="16" t="inlineStr">
        <is>
          <t>12.9 - PASSAGENS FUNCIONARIOS</t>
        </is>
      </c>
      <c r="G101" s="16" t="inlineStr">
        <is>
          <t>FOSFATO CMOC CONTRAT</t>
        </is>
      </c>
      <c r="H101" s="63" t="n">
        <v>2025</v>
      </c>
      <c r="I101" s="64" t="n">
        <v>6</v>
      </c>
      <c r="J101" s="16" t="inlineStr">
        <is>
          <t>Jun</t>
        </is>
      </c>
      <c r="K101" s="16" t="n"/>
      <c r="M101" s="89" t="n">
        <v>-545.47</v>
      </c>
      <c r="N101" s="1" t="inlineStr">
        <is>
          <t>12.9 - PASSAGENS FUNCIONARIOS</t>
        </is>
      </c>
      <c r="O101" s="1" t="n"/>
      <c r="P101" s="1" t="n"/>
      <c r="Q101" s="1" t="n"/>
      <c r="R101" s="1" t="n">
        <v>2025</v>
      </c>
    </row>
    <row r="102">
      <c r="A102" s="61" t="n">
        <v>45811</v>
      </c>
      <c r="B102" s="16" t="inlineStr">
        <is>
          <t>RODOVIARIA MATEUS CABEÇA BRANCA</t>
        </is>
      </c>
      <c r="C102" s="90" t="n"/>
      <c r="D102" s="90" t="n">
        <v>542.5</v>
      </c>
      <c r="E102" s="90" t="n">
        <v>-542.5</v>
      </c>
      <c r="F102" s="16" t="inlineStr">
        <is>
          <t>12.9 - PASSAGENS FUNCIONARIOS</t>
        </is>
      </c>
      <c r="G102" s="16" t="inlineStr">
        <is>
          <t>NIOBIO CMOC CONTRATO</t>
        </is>
      </c>
      <c r="H102" s="63" t="n">
        <v>2025</v>
      </c>
      <c r="I102" s="64" t="n">
        <v>6</v>
      </c>
      <c r="J102" s="16" t="inlineStr">
        <is>
          <t>Jun</t>
        </is>
      </c>
      <c r="K102" s="16" t="n"/>
      <c r="M102" s="89" t="n">
        <v>-542.5</v>
      </c>
      <c r="N102" s="1" t="inlineStr">
        <is>
          <t>12.9 - PASSAGENS FUNCIONARIOS</t>
        </is>
      </c>
      <c r="O102" s="1" t="n"/>
      <c r="P102" s="1" t="n"/>
      <c r="Q102" s="1" t="n"/>
      <c r="R102" s="1" t="n">
        <v>2025</v>
      </c>
    </row>
    <row r="103">
      <c r="A103" s="61" t="n">
        <v>45811</v>
      </c>
      <c r="B103" s="16" t="inlineStr">
        <is>
          <t>BANCO ITAU</t>
        </is>
      </c>
      <c r="C103" s="90" t="n"/>
      <c r="D103" s="90" t="n">
        <v>579.6900000000001</v>
      </c>
      <c r="E103" s="90" t="n">
        <v>-579.6900000000001</v>
      </c>
      <c r="F103" s="16" t="inlineStr">
        <is>
          <t>18.2 - TARIFAS BANCARIAS</t>
        </is>
      </c>
      <c r="G103" s="16" t="inlineStr">
        <is>
          <t>ADMINISTRATIVO</t>
        </is>
      </c>
      <c r="H103" s="63" t="n">
        <v>2025</v>
      </c>
      <c r="I103" s="64" t="n">
        <v>6</v>
      </c>
      <c r="J103" s="16" t="inlineStr">
        <is>
          <t>Jun</t>
        </is>
      </c>
      <c r="K103" s="16" t="n"/>
      <c r="M103" s="89" t="n">
        <v>-579.6900000000001</v>
      </c>
      <c r="N103" s="1" t="inlineStr">
        <is>
          <t>TARIFAS BANCARIAS</t>
        </is>
      </c>
      <c r="O103" s="1" t="inlineStr">
        <is>
          <t>Despesas Financeiras</t>
        </is>
      </c>
      <c r="P103" s="1" t="inlineStr">
        <is>
          <t>(-)Gastos Fixos</t>
        </is>
      </c>
      <c r="Q103" s="1" t="n">
        <v>4</v>
      </c>
      <c r="R103" s="1" t="n">
        <v>2025</v>
      </c>
    </row>
    <row r="104">
      <c r="A104" s="61" t="n">
        <v>45811</v>
      </c>
      <c r="B104" s="16" t="inlineStr">
        <is>
          <t>BANCO ITAU</t>
        </is>
      </c>
      <c r="C104" s="90" t="n"/>
      <c r="D104" s="90" t="n">
        <v>429.15</v>
      </c>
      <c r="E104" s="90" t="n">
        <v>-429.15</v>
      </c>
      <c r="F104" s="16" t="inlineStr">
        <is>
          <t>18.1 - JUROS BANCARIOS</t>
        </is>
      </c>
      <c r="G104" s="16" t="inlineStr">
        <is>
          <t>ADMINISTRATIVO</t>
        </is>
      </c>
      <c r="H104" s="63" t="n">
        <v>2025</v>
      </c>
      <c r="I104" s="64" t="n">
        <v>6</v>
      </c>
      <c r="J104" s="16" t="inlineStr">
        <is>
          <t>Jun</t>
        </is>
      </c>
      <c r="K104" s="16" t="n"/>
      <c r="M104" s="89" t="n">
        <v>-429.15</v>
      </c>
      <c r="N104" s="1" t="inlineStr">
        <is>
          <t>Juros Bancários</t>
        </is>
      </c>
      <c r="O104" s="1" t="inlineStr">
        <is>
          <t>(-) Despesas Financeiras</t>
        </is>
      </c>
      <c r="P104" s="1" t="inlineStr">
        <is>
          <t>(+/-)Despesas e Receitas Financeiras</t>
        </is>
      </c>
      <c r="Q104" s="1" t="n">
        <v>6</v>
      </c>
      <c r="R104" s="1" t="n">
        <v>2025</v>
      </c>
    </row>
    <row r="105">
      <c r="A105" s="61" t="n">
        <v>45811</v>
      </c>
      <c r="B105" s="16" t="inlineStr">
        <is>
          <t>RESTAURANTE EL SHADAY</t>
        </is>
      </c>
      <c r="C105" s="90" t="n"/>
      <c r="D105" s="90" t="n">
        <v>80</v>
      </c>
      <c r="E105" s="90" t="n">
        <v>-80</v>
      </c>
      <c r="F105" s="16" t="inlineStr">
        <is>
          <t>11.5 - ALIMENTAÇÃO ADM</t>
        </is>
      </c>
      <c r="G105" s="16" t="inlineStr">
        <is>
          <t>ADMINISTRATIVO</t>
        </is>
      </c>
      <c r="H105" s="63" t="n">
        <v>2025</v>
      </c>
      <c r="I105" s="64" t="n">
        <v>6</v>
      </c>
      <c r="J105" s="16" t="inlineStr">
        <is>
          <t>Jun</t>
        </is>
      </c>
      <c r="K105" s="16" t="n"/>
      <c r="M105" s="89" t="n">
        <v>-80</v>
      </c>
      <c r="N105" s="1" t="inlineStr">
        <is>
          <t>ALIMENTAÇÃO ADM</t>
        </is>
      </c>
      <c r="O105" s="1" t="inlineStr">
        <is>
          <t>Despesas com Pessoal</t>
        </is>
      </c>
      <c r="P105" s="1" t="inlineStr">
        <is>
          <t>(-)Gastos Fixos</t>
        </is>
      </c>
      <c r="Q105" s="1" t="n">
        <v>4</v>
      </c>
      <c r="R105" s="1" t="n">
        <v>2025</v>
      </c>
    </row>
    <row r="106">
      <c r="A106" s="61" t="n">
        <v>45811</v>
      </c>
      <c r="B106" s="16" t="inlineStr">
        <is>
          <t>4760 - REDE DE POSTOS 2000 III DE COMBUSTIVEIS LTDA - UBERABA</t>
        </is>
      </c>
      <c r="C106" s="90" t="n"/>
      <c r="D106" s="90" t="n">
        <v>5544.18</v>
      </c>
      <c r="E106" s="90" t="n">
        <v>-5544.18</v>
      </c>
      <c r="F106" s="16" t="inlineStr">
        <is>
          <t>6.4 - COMBUSTIVEL VEICULOS</t>
        </is>
      </c>
      <c r="G106" s="16" t="inlineStr">
        <is>
          <t>MOSAIC UBERABA CONTRAT0 3 ANOS</t>
        </is>
      </c>
      <c r="H106" s="63" t="n">
        <v>2025</v>
      </c>
      <c r="I106" s="64" t="n">
        <v>6</v>
      </c>
      <c r="J106" s="16" t="inlineStr">
        <is>
          <t>Jun</t>
        </is>
      </c>
      <c r="K106" s="16" t="n"/>
      <c r="M106" s="89" t="n">
        <v>-5544.18</v>
      </c>
      <c r="N106" s="1" t="inlineStr">
        <is>
          <t>COMBUSTIVEL VEICULOS</t>
        </is>
      </c>
      <c r="O106" s="1" t="inlineStr">
        <is>
          <t>Despesas com Veículos e Equipamentos</t>
        </is>
      </c>
      <c r="P106" s="1" t="inlineStr">
        <is>
          <t>(-)Gastos Fixos</t>
        </is>
      </c>
      <c r="Q106" s="1" t="n">
        <v>4</v>
      </c>
      <c r="R106" s="1" t="n">
        <v>2025</v>
      </c>
    </row>
    <row r="107">
      <c r="A107" s="61" t="n">
        <v>45811</v>
      </c>
      <c r="B107" s="16" t="inlineStr">
        <is>
          <t>37 - MASTER TUR TRANSPORTE DE PASSAGEIROS LTDA</t>
        </is>
      </c>
      <c r="C107" s="90" t="n"/>
      <c r="D107" s="90" t="n">
        <v>29650</v>
      </c>
      <c r="E107" s="90" t="n">
        <v>-29650</v>
      </c>
      <c r="F107" s="16" t="inlineStr">
        <is>
          <t>12.7 - TRANSPORTE FUNCIONARIOS</t>
        </is>
      </c>
      <c r="G107" s="16" t="inlineStr">
        <is>
          <t>MOSAIC UBERABA CONTRAT0 3 ANOS</t>
        </is>
      </c>
      <c r="H107" s="63" t="n">
        <v>2025</v>
      </c>
      <c r="I107" s="64" t="n">
        <v>6</v>
      </c>
      <c r="J107" s="16" t="inlineStr">
        <is>
          <t>Jun</t>
        </is>
      </c>
      <c r="K107" s="16" t="n"/>
      <c r="M107" s="89" t="n">
        <v>-29650</v>
      </c>
      <c r="N107" s="1" t="inlineStr">
        <is>
          <t>12.7 - TRANSPORTE FUNCIONARIOS</t>
        </is>
      </c>
      <c r="O107" s="1" t="n"/>
      <c r="P107" s="1" t="n"/>
      <c r="Q107" s="1" t="n"/>
      <c r="R107" s="1" t="n">
        <v>2025</v>
      </c>
    </row>
    <row r="108">
      <c r="A108" s="61" t="n">
        <v>45811</v>
      </c>
      <c r="B108" s="16" t="inlineStr">
        <is>
          <t>BANCO ITAU</t>
        </is>
      </c>
      <c r="C108" s="90" t="n"/>
      <c r="D108" s="90" t="n">
        <v>159</v>
      </c>
      <c r="E108" s="90" t="n">
        <v>-159</v>
      </c>
      <c r="F108" s="16" t="inlineStr">
        <is>
          <t>18.2 - TARIFAS BANCARIAS</t>
        </is>
      </c>
      <c r="G108" s="16" t="inlineStr">
        <is>
          <t>ADMINISTRATIVO</t>
        </is>
      </c>
      <c r="H108" s="63" t="n">
        <v>2025</v>
      </c>
      <c r="I108" s="64" t="n">
        <v>6</v>
      </c>
      <c r="J108" s="16" t="inlineStr">
        <is>
          <t>Jun</t>
        </is>
      </c>
      <c r="K108" s="16" t="n"/>
      <c r="M108" s="89" t="n">
        <v>-159</v>
      </c>
      <c r="N108" s="1" t="inlineStr">
        <is>
          <t>TARIFAS BANCARIAS</t>
        </is>
      </c>
      <c r="O108" s="1" t="inlineStr">
        <is>
          <t>Despesas Financeiras</t>
        </is>
      </c>
      <c r="P108" s="1" t="inlineStr">
        <is>
          <t>(-)Gastos Fixos</t>
        </is>
      </c>
      <c r="Q108" s="1" t="n">
        <v>4</v>
      </c>
      <c r="R108" s="1" t="n">
        <v>2025</v>
      </c>
    </row>
    <row r="109">
      <c r="A109" s="61" t="n">
        <v>45811</v>
      </c>
      <c r="B109" s="16" t="inlineStr">
        <is>
          <t>30544 - BR HIDRAULICA EIRELI</t>
        </is>
      </c>
      <c r="C109" s="90" t="n"/>
      <c r="D109" s="90" t="n">
        <v>122</v>
      </c>
      <c r="E109" s="90" t="n">
        <v>-122</v>
      </c>
      <c r="F109" s="16" t="inlineStr">
        <is>
          <t>8.6 - MANGUEIRAS / CONEXÕES</t>
        </is>
      </c>
      <c r="G109" s="16" t="inlineStr">
        <is>
          <t>VLI PINTURA</t>
        </is>
      </c>
      <c r="H109" s="63" t="n">
        <v>2025</v>
      </c>
      <c r="I109" s="64" t="n">
        <v>6</v>
      </c>
      <c r="J109" s="16" t="inlineStr">
        <is>
          <t>Jun</t>
        </is>
      </c>
      <c r="K109" s="16" t="n"/>
      <c r="M109" s="89" t="n">
        <v>-122</v>
      </c>
      <c r="N109" s="1" t="inlineStr">
        <is>
          <t>MANGUEIRAS / CONEXÕES</t>
        </is>
      </c>
      <c r="O109" s="1" t="inlineStr">
        <is>
          <t>Despesas com Máquinas e Equipamentos</t>
        </is>
      </c>
      <c r="P109" s="1" t="inlineStr">
        <is>
          <t>(-)Gastos Fixos</t>
        </is>
      </c>
      <c r="Q109" s="1" t="n">
        <v>4</v>
      </c>
      <c r="R109" s="1" t="n">
        <v>2025</v>
      </c>
    </row>
    <row r="110">
      <c r="A110" s="61" t="n">
        <v>45811</v>
      </c>
      <c r="B110" s="16" t="inlineStr">
        <is>
          <t>2604 - TECSUPORT RADIOCOM E TELECOM LTDA</t>
        </is>
      </c>
      <c r="C110" s="90" t="n"/>
      <c r="D110" s="90" t="n">
        <v>840</v>
      </c>
      <c r="E110" s="90" t="n">
        <v>-840</v>
      </c>
      <c r="F110" s="16" t="inlineStr">
        <is>
          <t>7.10 - LOCAÇAO RADIOS DE COMUNICAÇÃO</t>
        </is>
      </c>
      <c r="G110" s="16" t="inlineStr">
        <is>
          <t>MOSAIC UBERABA CONTRAT0 3 ANOS</t>
        </is>
      </c>
      <c r="H110" s="63" t="n">
        <v>2025</v>
      </c>
      <c r="I110" s="64" t="n">
        <v>6</v>
      </c>
      <c r="J110" s="16" t="inlineStr">
        <is>
          <t>Jun</t>
        </is>
      </c>
      <c r="K110" s="16" t="n"/>
      <c r="M110" s="89" t="n">
        <v>-840</v>
      </c>
      <c r="N110" s="1" t="inlineStr">
        <is>
          <t>LOCAÇAO RADIOS DE COMUNICAÇÃO</t>
        </is>
      </c>
      <c r="O110" s="1" t="inlineStr">
        <is>
          <t>Despesas com Locações</t>
        </is>
      </c>
      <c r="P110" s="1" t="inlineStr">
        <is>
          <t>(-)Gastos Fixos</t>
        </is>
      </c>
      <c r="Q110" s="1" t="n">
        <v>4</v>
      </c>
      <c r="R110" s="1" t="n">
        <v>2025</v>
      </c>
    </row>
    <row r="111">
      <c r="A111" s="61" t="n">
        <v>45811</v>
      </c>
      <c r="B111" s="16" t="inlineStr">
        <is>
          <t>91581 - RHTRON INFORMATICA LTDA</t>
        </is>
      </c>
      <c r="C111" s="90" t="n"/>
      <c r="D111" s="90" t="n">
        <v>1567.02</v>
      </c>
      <c r="E111" s="90" t="n">
        <v>-1567.02</v>
      </c>
      <c r="F111" s="16" t="inlineStr">
        <is>
          <t>11.8 - SISTEMA / SERVIDOR</t>
        </is>
      </c>
      <c r="G111" s="16" t="inlineStr">
        <is>
          <t>ADMINISTRATIVO</t>
        </is>
      </c>
      <c r="H111" s="63" t="n">
        <v>2025</v>
      </c>
      <c r="I111" s="64" t="n">
        <v>6</v>
      </c>
      <c r="J111" s="16" t="inlineStr">
        <is>
          <t>Jun</t>
        </is>
      </c>
      <c r="K111" s="16" t="n"/>
      <c r="M111" s="89" t="n">
        <v>-1567.02</v>
      </c>
      <c r="N111" s="1" t="inlineStr">
        <is>
          <t>SISTEMA / SERVIDOR</t>
        </is>
      </c>
      <c r="O111" s="1" t="inlineStr">
        <is>
          <t>Despesas Administrativas</t>
        </is>
      </c>
      <c r="P111" s="1" t="inlineStr">
        <is>
          <t>(-)Gastos Fixos</t>
        </is>
      </c>
      <c r="Q111" s="1" t="n">
        <v>4</v>
      </c>
      <c r="R111" s="1" t="n">
        <v>2025</v>
      </c>
    </row>
    <row r="112">
      <c r="A112" s="61" t="n">
        <v>45811</v>
      </c>
      <c r="B112" s="16" t="inlineStr">
        <is>
          <t>1542 - JC RESTAURANTE INDUSTRIAL NIQUELANDIA LTDA</t>
        </is>
      </c>
      <c r="C112" s="90" t="n"/>
      <c r="D112" s="90" t="n">
        <v>3026.4</v>
      </c>
      <c r="E112" s="90" t="n">
        <v>-3026.4</v>
      </c>
      <c r="F112" s="16" t="inlineStr">
        <is>
          <t>12.5 - REFEIÇÕES FUNCIONARIOS</t>
        </is>
      </c>
      <c r="G112" s="16" t="inlineStr">
        <is>
          <t>FOSFATO CMOC CONTRAT</t>
        </is>
      </c>
      <c r="H112" s="63" t="n">
        <v>2025</v>
      </c>
      <c r="I112" s="64" t="n">
        <v>6</v>
      </c>
      <c r="J112" s="16" t="inlineStr">
        <is>
          <t>Jun</t>
        </is>
      </c>
      <c r="K112" s="16" t="n"/>
      <c r="M112" s="89" t="n">
        <v>-3026.4</v>
      </c>
      <c r="N112" s="1" t="inlineStr">
        <is>
          <t>12.5 - REFEIÇÕES FUNCIONARIOS</t>
        </is>
      </c>
      <c r="O112" s="1" t="n"/>
      <c r="P112" s="1" t="n"/>
      <c r="Q112" s="1" t="n"/>
      <c r="R112" s="1" t="n">
        <v>2025</v>
      </c>
    </row>
    <row r="113">
      <c r="A113" s="61" t="n">
        <v>45812</v>
      </c>
      <c r="B113" s="16" t="inlineStr">
        <is>
          <t>575416707 - SINDICATO DO TRABALHADORES NAS INDUSTRIAIS DA CONSTRUÇAO EDO MOBILIARIA DE UBERABA</t>
        </is>
      </c>
      <c r="C113" s="90" t="n"/>
      <c r="D113" s="90" t="n">
        <v>482.89</v>
      </c>
      <c r="E113" s="90" t="n">
        <v>-482.89</v>
      </c>
      <c r="F113" s="16" t="inlineStr">
        <is>
          <t>12.8 - SINDICATO</t>
        </is>
      </c>
      <c r="G113" s="16" t="inlineStr">
        <is>
          <t>MOSAIC UBERABA CONTRAT0 3 ANOS</t>
        </is>
      </c>
      <c r="H113" s="63" t="n">
        <v>2025</v>
      </c>
      <c r="I113" s="64" t="n">
        <v>6</v>
      </c>
      <c r="J113" s="16" t="inlineStr">
        <is>
          <t>Jun</t>
        </is>
      </c>
      <c r="K113" s="16" t="n"/>
      <c r="M113" s="89" t="n">
        <v>-482.89</v>
      </c>
      <c r="N113" s="1" t="inlineStr">
        <is>
          <t>SINDICATO</t>
        </is>
      </c>
      <c r="O113" s="1" t="inlineStr">
        <is>
          <t>Despesas com Pessoal</t>
        </is>
      </c>
      <c r="P113" s="1" t="inlineStr">
        <is>
          <t>(-)Gastos Fixos</t>
        </is>
      </c>
      <c r="Q113" s="1" t="n">
        <v>4</v>
      </c>
      <c r="R113" s="1" t="n">
        <v>2025</v>
      </c>
    </row>
    <row r="114">
      <c r="A114" s="61" t="n">
        <v>45812</v>
      </c>
      <c r="B114" s="16" t="inlineStr">
        <is>
          <t>SINDICATO EM MONTAGENS INDUSTRIAIS CEARA</t>
        </is>
      </c>
      <c r="C114" s="90" t="n"/>
      <c r="D114" s="90" t="n">
        <v>1361.51</v>
      </c>
      <c r="E114" s="90" t="n">
        <v>-1361.51</v>
      </c>
      <c r="F114" s="16" t="inlineStr">
        <is>
          <t>12.8 - SINDICATO</t>
        </is>
      </c>
      <c r="G114" s="16" t="inlineStr">
        <is>
          <t>VLI PINTURA</t>
        </is>
      </c>
      <c r="H114" s="63" t="n">
        <v>2025</v>
      </c>
      <c r="I114" s="64" t="n">
        <v>6</v>
      </c>
      <c r="J114" s="16" t="inlineStr">
        <is>
          <t>Jun</t>
        </is>
      </c>
      <c r="K114" s="16" t="n"/>
      <c r="M114" s="89" t="n">
        <v>-1361.51</v>
      </c>
      <c r="N114" s="1" t="inlineStr">
        <is>
          <t>SINDICATO</t>
        </is>
      </c>
      <c r="O114" s="1" t="inlineStr">
        <is>
          <t>Despesas com Pessoal</t>
        </is>
      </c>
      <c r="P114" s="1" t="inlineStr">
        <is>
          <t>(-)Gastos Fixos</t>
        </is>
      </c>
      <c r="Q114" s="1" t="n">
        <v>4</v>
      </c>
      <c r="R114" s="1" t="n">
        <v>2025</v>
      </c>
    </row>
    <row r="115">
      <c r="A115" s="61" t="n">
        <v>45812</v>
      </c>
      <c r="B115" s="16" t="inlineStr">
        <is>
          <t>RODRIGO ELETRICISTA</t>
        </is>
      </c>
      <c r="C115" s="90" t="n"/>
      <c r="D115" s="90" t="n">
        <v>450</v>
      </c>
      <c r="E115" s="90" t="n">
        <v>-450</v>
      </c>
      <c r="F115" s="16" t="inlineStr">
        <is>
          <t>3.2 - SERVIÇO ELETRICO</t>
        </is>
      </c>
      <c r="G115" s="16" t="inlineStr">
        <is>
          <t>ADMINISTRATIVO</t>
        </is>
      </c>
      <c r="H115" s="63" t="n">
        <v>2025</v>
      </c>
      <c r="I115" s="64" t="n">
        <v>6</v>
      </c>
      <c r="J115" s="16" t="inlineStr">
        <is>
          <t>Jun</t>
        </is>
      </c>
      <c r="K115" s="16" t="n"/>
      <c r="M115" s="89" t="n">
        <v>-450</v>
      </c>
      <c r="N115" s="1" t="inlineStr">
        <is>
          <t>SERVIÇO ELETRICO</t>
        </is>
      </c>
      <c r="O115" s="1" t="inlineStr">
        <is>
          <t>Serviços de Terceiros</t>
        </is>
      </c>
      <c r="P115" s="1" t="inlineStr">
        <is>
          <t>(-)Gastos Fixos</t>
        </is>
      </c>
      <c r="Q115" s="1" t="n">
        <v>4</v>
      </c>
      <c r="R115" s="1" t="n">
        <v>2025</v>
      </c>
    </row>
    <row r="116">
      <c r="A116" s="61" t="n">
        <v>45812</v>
      </c>
      <c r="B116" s="16" t="inlineStr">
        <is>
          <t>CLINICA OBRAS</t>
        </is>
      </c>
      <c r="C116" s="90" t="n"/>
      <c r="D116" s="90" t="n">
        <v>30</v>
      </c>
      <c r="E116" s="90" t="n">
        <v>-30</v>
      </c>
      <c r="F116" s="16" t="inlineStr">
        <is>
          <t>14.1 - EXAMES</t>
        </is>
      </c>
      <c r="G116" s="16" t="inlineStr">
        <is>
          <t>ADMINISTRATIVO</t>
        </is>
      </c>
      <c r="H116" s="63" t="n">
        <v>2025</v>
      </c>
      <c r="I116" s="64" t="n">
        <v>6</v>
      </c>
      <c r="J116" s="16" t="inlineStr">
        <is>
          <t>Jun</t>
        </is>
      </c>
      <c r="K116" s="16" t="n"/>
      <c r="M116" s="89" t="n">
        <v>-30</v>
      </c>
      <c r="N116" s="1" t="inlineStr">
        <is>
          <t>EXAMES MÉDICOS</t>
        </is>
      </c>
      <c r="O116" s="1" t="inlineStr">
        <is>
          <t>Despesas com Pessoal</t>
        </is>
      </c>
      <c r="P116" s="1" t="inlineStr">
        <is>
          <t>(-)Gastos Fixos</t>
        </is>
      </c>
      <c r="Q116" s="1" t="n">
        <v>4</v>
      </c>
      <c r="R116" s="1" t="n">
        <v>2025</v>
      </c>
    </row>
    <row r="117">
      <c r="A117" s="61" t="n">
        <v>45812</v>
      </c>
      <c r="B117" s="16" t="inlineStr">
        <is>
          <t>CLINICA OBRAS</t>
        </is>
      </c>
      <c r="C117" s="90" t="n"/>
      <c r="D117" s="90" t="n">
        <v>52.5</v>
      </c>
      <c r="E117" s="90" t="n">
        <v>-52.5</v>
      </c>
      <c r="F117" s="16" t="inlineStr">
        <is>
          <t>8.8 - MATERIAIS DE CONSUMO EM OBRAS</t>
        </is>
      </c>
      <c r="G117" s="16" t="inlineStr">
        <is>
          <t>ADMINISTRATIVO</t>
        </is>
      </c>
      <c r="H117" s="63" t="n">
        <v>2025</v>
      </c>
      <c r="I117" s="64" t="n">
        <v>6</v>
      </c>
      <c r="J117" s="16" t="inlineStr">
        <is>
          <t>Jun</t>
        </is>
      </c>
      <c r="K117" s="16" t="n"/>
      <c r="M117" s="89" t="n">
        <v>-52.5</v>
      </c>
      <c r="N117" s="1" t="inlineStr">
        <is>
          <t>MATERIAIS DE CONSUMO EM OBRAS</t>
        </is>
      </c>
      <c r="O117" s="1" t="inlineStr">
        <is>
          <t>Despesas com Máquinas e Equipamentos</t>
        </is>
      </c>
      <c r="P117" s="1" t="inlineStr">
        <is>
          <t>(-)Gastos Fixos</t>
        </is>
      </c>
      <c r="Q117" s="1" t="n">
        <v>4</v>
      </c>
      <c r="R117" s="1" t="n">
        <v>2025</v>
      </c>
    </row>
    <row r="118">
      <c r="A118" s="61" t="n">
        <v>45812</v>
      </c>
      <c r="B118" s="16" t="inlineStr">
        <is>
          <t>REFEIÇÃO OBRAS</t>
        </is>
      </c>
      <c r="C118" s="90" t="n"/>
      <c r="D118" s="90" t="n">
        <v>410</v>
      </c>
      <c r="E118" s="90" t="n">
        <v>-410</v>
      </c>
      <c r="F118" s="16" t="inlineStr">
        <is>
          <t>12.5 - REFEIÇÕES FUNCIONARIOS</t>
        </is>
      </c>
      <c r="G118" s="16" t="inlineStr">
        <is>
          <t>FOSFATO CMOC CONTRAT</t>
        </is>
      </c>
      <c r="H118" s="63" t="n">
        <v>2025</v>
      </c>
      <c r="I118" s="64" t="n">
        <v>6</v>
      </c>
      <c r="J118" s="16" t="inlineStr">
        <is>
          <t>Jun</t>
        </is>
      </c>
      <c r="K118" s="16" t="n"/>
      <c r="M118" s="89" t="n">
        <v>-410</v>
      </c>
      <c r="N118" s="1" t="inlineStr">
        <is>
          <t>12.5 - REFEIÇÕES FUNCIONARIOS</t>
        </is>
      </c>
      <c r="O118" s="1" t="n"/>
      <c r="P118" s="1" t="n"/>
      <c r="Q118" s="1" t="n"/>
      <c r="R118" s="1" t="n">
        <v>2025</v>
      </c>
    </row>
    <row r="119">
      <c r="A119" s="61" t="n">
        <v>45812</v>
      </c>
      <c r="B119" s="16" t="inlineStr">
        <is>
          <t>DESPESAS LOTE TRINDADE AIDEAL</t>
        </is>
      </c>
      <c r="C119" s="90" t="n"/>
      <c r="D119" s="90" t="n">
        <v>3060</v>
      </c>
      <c r="E119" s="90" t="n">
        <v>-3060</v>
      </c>
      <c r="F119" s="16" t="inlineStr">
        <is>
          <t>15.7 - DESPESAS C/ GALPÃO ALMOXARIFADO</t>
        </is>
      </c>
      <c r="G119" s="16" t="inlineStr">
        <is>
          <t>LOTE TRINDADE</t>
        </is>
      </c>
      <c r="H119" s="63" t="n">
        <v>2025</v>
      </c>
      <c r="I119" s="64" t="n">
        <v>6</v>
      </c>
      <c r="J119" s="16" t="inlineStr">
        <is>
          <t>Jun</t>
        </is>
      </c>
      <c r="K119" s="16" t="n"/>
      <c r="M119" s="89" t="n">
        <v>-3060</v>
      </c>
      <c r="N119" s="1" t="inlineStr">
        <is>
          <t>Construção da Nova Sede</t>
        </is>
      </c>
      <c r="O119" s="1" t="inlineStr">
        <is>
          <t>Investimentos</t>
        </is>
      </c>
      <c r="P119" s="1" t="inlineStr">
        <is>
          <t>(-)Investimentos</t>
        </is>
      </c>
      <c r="Q119" s="1" t="n">
        <v>8</v>
      </c>
      <c r="R119" s="1" t="n">
        <v>2025</v>
      </c>
    </row>
    <row r="120">
      <c r="A120" s="61" t="n">
        <v>45812</v>
      </c>
      <c r="B120" s="16" t="inlineStr">
        <is>
          <t>MARCIO ROBERTO NOVATO PESSOA</t>
        </is>
      </c>
      <c r="C120" s="90" t="n"/>
      <c r="D120" s="90" t="n">
        <v>30</v>
      </c>
      <c r="E120" s="90" t="n">
        <v>-30</v>
      </c>
      <c r="F120" s="16" t="inlineStr">
        <is>
          <t>14.1 - EXAMES</t>
        </is>
      </c>
      <c r="G120" s="16" t="inlineStr">
        <is>
          <t>ADMINISTRATIVO</t>
        </is>
      </c>
      <c r="H120" s="63" t="n">
        <v>2025</v>
      </c>
      <c r="I120" s="64" t="n">
        <v>6</v>
      </c>
      <c r="J120" s="16" t="inlineStr">
        <is>
          <t>Jun</t>
        </is>
      </c>
      <c r="K120" s="16" t="n"/>
      <c r="M120" s="89" t="n">
        <v>-30</v>
      </c>
      <c r="N120" s="1" t="inlineStr">
        <is>
          <t>EXAMES MÉDICOS</t>
        </is>
      </c>
      <c r="O120" s="1" t="inlineStr">
        <is>
          <t>Despesas com Pessoal</t>
        </is>
      </c>
      <c r="P120" s="1" t="inlineStr">
        <is>
          <t>(-)Gastos Fixos</t>
        </is>
      </c>
      <c r="Q120" s="1" t="n">
        <v>4</v>
      </c>
      <c r="R120" s="1" t="n">
        <v>2025</v>
      </c>
    </row>
    <row r="121">
      <c r="A121" s="61" t="n">
        <v>45812</v>
      </c>
      <c r="B121" s="16" t="inlineStr">
        <is>
          <t>752296 - PAPELARIA TRIBUTARIA LTDA</t>
        </is>
      </c>
      <c r="C121" s="90" t="n"/>
      <c r="D121" s="90" t="n">
        <v>177.96</v>
      </c>
      <c r="E121" s="90" t="n">
        <v>-177.96</v>
      </c>
      <c r="F121" s="16" t="inlineStr">
        <is>
          <t>8.10 - MATERIAS DE ESCRITORIO</t>
        </is>
      </c>
      <c r="G121" s="16" t="inlineStr">
        <is>
          <t>ANGLO AMERICAN</t>
        </is>
      </c>
      <c r="H121" s="63" t="n">
        <v>2025</v>
      </c>
      <c r="I121" s="64" t="n">
        <v>6</v>
      </c>
      <c r="J121" s="16" t="inlineStr">
        <is>
          <t>Jun</t>
        </is>
      </c>
      <c r="K121" s="16" t="n"/>
      <c r="M121" s="89" t="n">
        <v>-177.96</v>
      </c>
      <c r="N121" s="1" t="inlineStr">
        <is>
          <t>MATERIAS DE ESCRITORIO / PAPELARIA</t>
        </is>
      </c>
      <c r="O121" s="1" t="inlineStr">
        <is>
          <t>Despesas Administrativas</t>
        </is>
      </c>
      <c r="P121" s="1" t="inlineStr">
        <is>
          <t>(-)Gastos Fixos</t>
        </is>
      </c>
      <c r="Q121" s="1" t="n">
        <v>4</v>
      </c>
      <c r="R121" s="1" t="n">
        <v>2025</v>
      </c>
    </row>
    <row r="122">
      <c r="A122" s="61" t="n">
        <v>45812</v>
      </c>
      <c r="B122" s="16" t="inlineStr">
        <is>
          <t>752296 - PAPELARIA TRIBUTARIA LTDA</t>
        </is>
      </c>
      <c r="C122" s="90" t="n"/>
      <c r="D122" s="90" t="n">
        <v>177.55</v>
      </c>
      <c r="E122" s="90" t="n">
        <v>-177.55</v>
      </c>
      <c r="F122" s="16" t="inlineStr">
        <is>
          <t>8.10 - MATERIAS DE ESCRITORIO</t>
        </is>
      </c>
      <c r="G122" s="16" t="inlineStr">
        <is>
          <t>ANGLO AMERICAN</t>
        </is>
      </c>
      <c r="H122" s="63" t="n">
        <v>2025</v>
      </c>
      <c r="I122" s="64" t="n">
        <v>6</v>
      </c>
      <c r="J122" s="16" t="inlineStr">
        <is>
          <t>Jun</t>
        </is>
      </c>
      <c r="K122" s="16" t="n"/>
      <c r="M122" s="89" t="n">
        <v>-177.55</v>
      </c>
      <c r="N122" s="1" t="inlineStr">
        <is>
          <t>MATERIAS DE ESCRITORIO / PAPELARIA</t>
        </is>
      </c>
      <c r="O122" s="1" t="inlineStr">
        <is>
          <t>Despesas Administrativas</t>
        </is>
      </c>
      <c r="P122" s="1" t="inlineStr">
        <is>
          <t>(-)Gastos Fixos</t>
        </is>
      </c>
      <c r="Q122" s="1" t="n">
        <v>4</v>
      </c>
      <c r="R122" s="1" t="n">
        <v>2025</v>
      </c>
    </row>
    <row r="123">
      <c r="A123" s="61" t="n">
        <v>45812</v>
      </c>
      <c r="B123" s="16" t="inlineStr">
        <is>
          <t>CAIXA ROTATIVO OBRAS</t>
        </is>
      </c>
      <c r="C123" s="90" t="n"/>
      <c r="D123" s="90" t="n">
        <v>80</v>
      </c>
      <c r="E123" s="90" t="n">
        <v>-80</v>
      </c>
      <c r="F123" s="16" t="inlineStr">
        <is>
          <t>6.10 - SERVIÇO LAVA JATO</t>
        </is>
      </c>
      <c r="G123" s="16" t="inlineStr">
        <is>
          <t>EUROCHEM SERRA DO SALITRE</t>
        </is>
      </c>
      <c r="H123" s="63" t="n">
        <v>2025</v>
      </c>
      <c r="I123" s="64" t="n">
        <v>6</v>
      </c>
      <c r="J123" s="16" t="inlineStr">
        <is>
          <t>Jun</t>
        </is>
      </c>
      <c r="K123" s="16" t="n"/>
      <c r="M123" s="89" t="n">
        <v>-80</v>
      </c>
      <c r="N123" s="1" t="inlineStr">
        <is>
          <t>SERVIÇO LAVA JATO</t>
        </is>
      </c>
      <c r="O123" s="1" t="inlineStr">
        <is>
          <t>Despesas com Veículos e Equipamentos</t>
        </is>
      </c>
      <c r="P123" s="1" t="inlineStr">
        <is>
          <t>(-)Gastos Fixos</t>
        </is>
      </c>
      <c r="Q123" s="1" t="n">
        <v>4</v>
      </c>
      <c r="R123" s="1" t="n">
        <v>2025</v>
      </c>
    </row>
    <row r="124">
      <c r="A124" s="61" t="n">
        <v>45812</v>
      </c>
      <c r="B124" s="16" t="inlineStr">
        <is>
          <t>CAIXA ROTATIVO OBRAS</t>
        </is>
      </c>
      <c r="C124" s="90" t="n"/>
      <c r="D124" s="90" t="n">
        <v>250</v>
      </c>
      <c r="E124" s="90" t="n">
        <v>-250</v>
      </c>
      <c r="F124" s="16" t="inlineStr">
        <is>
          <t>8.11 - MATERIAIS DE LIMPEZA / HIGIENE</t>
        </is>
      </c>
      <c r="G124" s="16" t="inlineStr">
        <is>
          <t>EUROCHEM SERRA DO SALITRE</t>
        </is>
      </c>
      <c r="H124" s="63" t="n">
        <v>2025</v>
      </c>
      <c r="I124" s="64" t="n">
        <v>6</v>
      </c>
      <c r="J124" s="16" t="inlineStr">
        <is>
          <t>Jun</t>
        </is>
      </c>
      <c r="K124" s="16" t="n"/>
      <c r="M124" s="89" t="n">
        <v>-250</v>
      </c>
      <c r="N124" s="1" t="inlineStr">
        <is>
          <t>MATERIAIS DE LIMPEZA / HIGIENE</t>
        </is>
      </c>
      <c r="O124" s="1" t="inlineStr">
        <is>
          <t>Despesas com Máquinas e Equipamentos</t>
        </is>
      </c>
      <c r="P124" s="1" t="inlineStr">
        <is>
          <t>(-)Gastos Fixos</t>
        </is>
      </c>
      <c r="Q124" s="1" t="n">
        <v>4</v>
      </c>
      <c r="R124" s="1" t="n">
        <v>2025</v>
      </c>
    </row>
    <row r="125">
      <c r="A125" s="61" t="n">
        <v>45812</v>
      </c>
      <c r="B125" s="16" t="inlineStr">
        <is>
          <t>CAIXA ROTATIVO OBRAS</t>
        </is>
      </c>
      <c r="C125" s="90" t="n"/>
      <c r="D125" s="90" t="n">
        <v>300</v>
      </c>
      <c r="E125" s="90" t="n">
        <v>-300</v>
      </c>
      <c r="F125" s="16" t="inlineStr">
        <is>
          <t>12.5 - REFEIÇÕES FUNCIONARIOS</t>
        </is>
      </c>
      <c r="G125" s="16" t="inlineStr">
        <is>
          <t>EUROCHEM SERRA DO SALITRE</t>
        </is>
      </c>
      <c r="H125" s="63" t="n">
        <v>2025</v>
      </c>
      <c r="I125" s="64" t="n">
        <v>6</v>
      </c>
      <c r="J125" s="16" t="inlineStr">
        <is>
          <t>Jun</t>
        </is>
      </c>
      <c r="K125" s="16" t="n"/>
      <c r="M125" s="89" t="n">
        <v>-300</v>
      </c>
      <c r="N125" s="1" t="inlineStr">
        <is>
          <t>12.5 - REFEIÇÕES FUNCIONARIOS</t>
        </is>
      </c>
      <c r="O125" s="1" t="n"/>
      <c r="P125" s="1" t="n"/>
      <c r="Q125" s="1" t="n"/>
      <c r="R125" s="1" t="n">
        <v>2025</v>
      </c>
    </row>
    <row r="126">
      <c r="A126" s="61" t="n">
        <v>45812</v>
      </c>
      <c r="B126" s="16" t="inlineStr">
        <is>
          <t>CAIXA ROTATIVO OBRAS</t>
        </is>
      </c>
      <c r="C126" s="90" t="n"/>
      <c r="D126" s="90" t="n">
        <v>345.55</v>
      </c>
      <c r="E126" s="90" t="n">
        <v>-345.55</v>
      </c>
      <c r="F126" s="16" t="inlineStr">
        <is>
          <t>8.8 - MATERIAIS DE CONSUMO EM OBRAS</t>
        </is>
      </c>
      <c r="G126" s="16" t="inlineStr">
        <is>
          <t>EUROCHEM SERRA DO SALITRE</t>
        </is>
      </c>
      <c r="H126" s="63" t="n">
        <v>2025</v>
      </c>
      <c r="I126" s="64" t="n">
        <v>6</v>
      </c>
      <c r="J126" s="16" t="inlineStr">
        <is>
          <t>Jun</t>
        </is>
      </c>
      <c r="K126" s="16" t="n"/>
      <c r="M126" s="89" t="n">
        <v>-345.55</v>
      </c>
      <c r="N126" s="1" t="inlineStr">
        <is>
          <t>MATERIAIS DE CONSUMO EM OBRAS</t>
        </is>
      </c>
      <c r="O126" s="1" t="inlineStr">
        <is>
          <t>Despesas com Máquinas e Equipamentos</t>
        </is>
      </c>
      <c r="P126" s="1" t="inlineStr">
        <is>
          <t>(-)Gastos Fixos</t>
        </is>
      </c>
      <c r="Q126" s="1" t="n">
        <v>4</v>
      </c>
      <c r="R126" s="1" t="n">
        <v>2025</v>
      </c>
    </row>
    <row r="127">
      <c r="A127" s="61" t="n">
        <v>45812</v>
      </c>
      <c r="B127" s="16" t="inlineStr">
        <is>
          <t>PREFEITURA DE GOIANIA</t>
        </is>
      </c>
      <c r="C127" s="90" t="n"/>
      <c r="D127" s="90" t="n">
        <v>4328.72</v>
      </c>
      <c r="E127" s="90" t="n">
        <v>-4328.72</v>
      </c>
      <c r="F127" s="16" t="inlineStr">
        <is>
          <t>11.4 - IPTU</t>
        </is>
      </c>
      <c r="G127" s="16" t="inlineStr">
        <is>
          <t>ADMINISTRATIVO</t>
        </is>
      </c>
      <c r="H127" s="63" t="n">
        <v>2025</v>
      </c>
      <c r="I127" s="64" t="n">
        <v>6</v>
      </c>
      <c r="J127" s="16" t="inlineStr">
        <is>
          <t>Jun</t>
        </is>
      </c>
      <c r="K127" s="16" t="n"/>
      <c r="M127" s="89" t="n">
        <v>-4328.72</v>
      </c>
      <c r="N127" s="1" t="inlineStr">
        <is>
          <t>IPTU</t>
        </is>
      </c>
      <c r="O127" s="1" t="inlineStr">
        <is>
          <t>Despesas com Infraestrutura</t>
        </is>
      </c>
      <c r="P127" s="1" t="inlineStr">
        <is>
          <t>(-)Gastos Fixos</t>
        </is>
      </c>
      <c r="Q127" s="1" t="n">
        <v>4</v>
      </c>
      <c r="R127" s="1" t="n">
        <v>2025</v>
      </c>
    </row>
    <row r="128">
      <c r="A128" s="61" t="n">
        <v>45812</v>
      </c>
      <c r="B128" s="16" t="inlineStr">
        <is>
          <t>RESTAURANTE EL SHADAY</t>
        </is>
      </c>
      <c r="C128" s="90" t="n"/>
      <c r="D128" s="90" t="n">
        <v>96</v>
      </c>
      <c r="E128" s="90" t="n">
        <v>-96</v>
      </c>
      <c r="F128" s="16" t="inlineStr">
        <is>
          <t>11.5 - ALIMENTAÇÃO ADM</t>
        </is>
      </c>
      <c r="G128" s="16" t="inlineStr">
        <is>
          <t>ADMINISTRATIVO</t>
        </is>
      </c>
      <c r="H128" s="63" t="n">
        <v>2025</v>
      </c>
      <c r="I128" s="64" t="n">
        <v>6</v>
      </c>
      <c r="J128" s="16" t="inlineStr">
        <is>
          <t>Jun</t>
        </is>
      </c>
      <c r="K128" s="16" t="n"/>
      <c r="M128" s="89" t="n">
        <v>-96</v>
      </c>
      <c r="N128" s="1" t="inlineStr">
        <is>
          <t>ALIMENTAÇÃO ADM</t>
        </is>
      </c>
      <c r="O128" s="1" t="inlineStr">
        <is>
          <t>Despesas com Pessoal</t>
        </is>
      </c>
      <c r="P128" s="1" t="inlineStr">
        <is>
          <t>(-)Gastos Fixos</t>
        </is>
      </c>
      <c r="Q128" s="1" t="n">
        <v>4</v>
      </c>
      <c r="R128" s="1" t="n">
        <v>2025</v>
      </c>
    </row>
    <row r="129">
      <c r="A129" s="61" t="n">
        <v>45812</v>
      </c>
      <c r="B129" s="16" t="inlineStr">
        <is>
          <t>65843 - SOLUCAO PRODUTOS PARA CONSTRUCAO LTDA - EPP</t>
        </is>
      </c>
      <c r="C129" s="90" t="n"/>
      <c r="D129" s="90" t="n">
        <v>4491.9</v>
      </c>
      <c r="E129" s="90" t="n">
        <v>-4491.9</v>
      </c>
      <c r="F129" s="16" t="inlineStr">
        <is>
          <t>4.1 - TINTAS E SOLVENTES</t>
        </is>
      </c>
      <c r="G129" s="16" t="inlineStr">
        <is>
          <t>FOSFATO CMOC CONTRAT</t>
        </is>
      </c>
      <c r="H129" s="63" t="n">
        <v>2025</v>
      </c>
      <c r="I129" s="64" t="n">
        <v>6</v>
      </c>
      <c r="J129" s="16" t="inlineStr">
        <is>
          <t>Jun</t>
        </is>
      </c>
      <c r="K129" s="16" t="n"/>
      <c r="M129" s="89" t="n">
        <v>-4491.9</v>
      </c>
      <c r="N129" s="1" t="inlineStr">
        <is>
          <t>TINTAS E SOLVENTES</t>
        </is>
      </c>
      <c r="O129" s="1" t="inlineStr">
        <is>
          <t>Fornecedores</t>
        </is>
      </c>
      <c r="P129" s="1" t="inlineStr">
        <is>
          <t>(-)Custos Variavéis</t>
        </is>
      </c>
      <c r="Q129" s="1" t="n">
        <v>3</v>
      </c>
      <c r="R129" s="1" t="n">
        <v>2025</v>
      </c>
    </row>
    <row r="130">
      <c r="A130" s="61" t="n">
        <v>45812</v>
      </c>
      <c r="B130" s="16" t="inlineStr">
        <is>
          <t>HOTEIS OBRAS</t>
        </is>
      </c>
      <c r="C130" s="90" t="n"/>
      <c r="D130" s="90" t="n">
        <v>95</v>
      </c>
      <c r="E130" s="90" t="n">
        <v>-95</v>
      </c>
      <c r="F130" s="16" t="inlineStr">
        <is>
          <t>5.1 - HOTEL FUNCIONARIOS</t>
        </is>
      </c>
      <c r="G130" s="16" t="inlineStr">
        <is>
          <t>ADMINISTRATIVO</t>
        </is>
      </c>
      <c r="H130" s="63" t="n">
        <v>2025</v>
      </c>
      <c r="I130" s="64" t="n">
        <v>6</v>
      </c>
      <c r="J130" s="16" t="inlineStr">
        <is>
          <t>Jun</t>
        </is>
      </c>
      <c r="K130" s="16" t="n"/>
      <c r="M130" s="89" t="n">
        <v>-95</v>
      </c>
      <c r="N130" s="1" t="inlineStr">
        <is>
          <t>5.1 - HOTEL FUNCIONARIOS</t>
        </is>
      </c>
      <c r="O130" s="1" t="n"/>
      <c r="P130" s="1" t="n"/>
      <c r="Q130" s="1" t="n"/>
      <c r="R130" s="1" t="n">
        <v>2025</v>
      </c>
    </row>
    <row r="131">
      <c r="A131" s="61" t="n">
        <v>45812</v>
      </c>
      <c r="B131" s="16" t="inlineStr">
        <is>
          <t>54987 - NEOBETEL EPI, EQUIPAMENTOS DE PROTECAO INDIVIDUAL LTDA</t>
        </is>
      </c>
      <c r="C131" s="90" t="n"/>
      <c r="D131" s="90" t="n">
        <v>1688.72</v>
      </c>
      <c r="E131" s="90" t="n">
        <v>-1688.72</v>
      </c>
      <c r="F131" s="16" t="inlineStr">
        <is>
          <t>13.1 - EPIS</t>
        </is>
      </c>
      <c r="G131" s="16" t="inlineStr">
        <is>
          <t>FOSFATO CMOC CONTRAT</t>
        </is>
      </c>
      <c r="H131" s="63" t="n">
        <v>2025</v>
      </c>
      <c r="I131" s="64" t="n">
        <v>6</v>
      </c>
      <c r="J131" s="16" t="inlineStr">
        <is>
          <t>Jun</t>
        </is>
      </c>
      <c r="K131" s="16" t="n"/>
      <c r="M131" s="89" t="n">
        <v>-1688.72</v>
      </c>
      <c r="N131" s="1" t="inlineStr">
        <is>
          <t>EPIS</t>
        </is>
      </c>
      <c r="O131" s="1" t="inlineStr">
        <is>
          <t>Despesas com Pessoal</t>
        </is>
      </c>
      <c r="P131" s="1" t="inlineStr">
        <is>
          <t>(-)Gastos Fixos</t>
        </is>
      </c>
      <c r="Q131" s="1" t="n">
        <v>4</v>
      </c>
      <c r="R131" s="1" t="n">
        <v>2025</v>
      </c>
    </row>
    <row r="132">
      <c r="A132" s="61" t="n">
        <v>45812</v>
      </c>
      <c r="B132" s="16" t="inlineStr">
        <is>
          <t>54987 - NEOBETEL EPI, EQUIPAMENTOS DE PROTECAO INDIVIDUAL LTDA</t>
        </is>
      </c>
      <c r="C132" s="90" t="n"/>
      <c r="D132" s="90" t="n">
        <v>1688.73</v>
      </c>
      <c r="E132" s="90" t="n">
        <v>-1688.73</v>
      </c>
      <c r="F132" s="16" t="inlineStr">
        <is>
          <t>13.1 - EPIS</t>
        </is>
      </c>
      <c r="G132" s="16" t="inlineStr">
        <is>
          <t>FOSFATO CMOC CONTRAT</t>
        </is>
      </c>
      <c r="H132" s="63" t="n">
        <v>2025</v>
      </c>
      <c r="I132" s="64" t="n">
        <v>6</v>
      </c>
      <c r="J132" s="16" t="inlineStr">
        <is>
          <t>Jun</t>
        </is>
      </c>
      <c r="K132" s="16" t="n"/>
      <c r="M132" s="89" t="n">
        <v>-1688.73</v>
      </c>
      <c r="N132" s="1" t="inlineStr">
        <is>
          <t>EPIS</t>
        </is>
      </c>
      <c r="O132" s="1" t="inlineStr">
        <is>
          <t>Despesas com Pessoal</t>
        </is>
      </c>
      <c r="P132" s="1" t="inlineStr">
        <is>
          <t>(-)Gastos Fixos</t>
        </is>
      </c>
      <c r="Q132" s="1" t="n">
        <v>4</v>
      </c>
      <c r="R132" s="1" t="n">
        <v>2025</v>
      </c>
    </row>
    <row r="133">
      <c r="A133" s="61" t="n">
        <v>45812</v>
      </c>
      <c r="B133" s="16" t="inlineStr">
        <is>
          <t>54987 - NEOBETEL EPI, EQUIPAMENTOS DE PROTECAO INDIVIDUAL LTDA</t>
        </is>
      </c>
      <c r="C133" s="90" t="n"/>
      <c r="D133" s="90" t="n">
        <v>1688.73</v>
      </c>
      <c r="E133" s="90" t="n">
        <v>-1688.73</v>
      </c>
      <c r="F133" s="16" t="inlineStr">
        <is>
          <t>13.1 - EPIS</t>
        </is>
      </c>
      <c r="G133" s="16" t="inlineStr">
        <is>
          <t>FOSFATO CMOC CONTRAT</t>
        </is>
      </c>
      <c r="H133" s="63" t="n">
        <v>2025</v>
      </c>
      <c r="I133" s="64" t="n">
        <v>6</v>
      </c>
      <c r="J133" s="16" t="inlineStr">
        <is>
          <t>Jun</t>
        </is>
      </c>
      <c r="K133" s="16" t="n"/>
      <c r="M133" s="89" t="n">
        <v>-1688.73</v>
      </c>
      <c r="N133" s="1" t="inlineStr">
        <is>
          <t>EPIS</t>
        </is>
      </c>
      <c r="O133" s="1" t="inlineStr">
        <is>
          <t>Despesas com Pessoal</t>
        </is>
      </c>
      <c r="P133" s="1" t="inlineStr">
        <is>
          <t>(-)Gastos Fixos</t>
        </is>
      </c>
      <c r="Q133" s="1" t="n">
        <v>4</v>
      </c>
      <c r="R133" s="1" t="n">
        <v>2025</v>
      </c>
    </row>
    <row r="134">
      <c r="A134" s="61" t="n">
        <v>45812</v>
      </c>
      <c r="B134" s="16" t="inlineStr">
        <is>
          <t>54985 - NEOBETEL EPI, EQUIPAMENTOS DE PROTECAO INDIVIDUAL LTDA</t>
        </is>
      </c>
      <c r="C134" s="90" t="n"/>
      <c r="D134" s="90" t="n">
        <v>1179.71</v>
      </c>
      <c r="E134" s="90" t="n">
        <v>-1179.71</v>
      </c>
      <c r="F134" s="16" t="inlineStr">
        <is>
          <t>13.1 - EPIS</t>
        </is>
      </c>
      <c r="G134" s="16" t="inlineStr">
        <is>
          <t>ANGLO AMERICAN</t>
        </is>
      </c>
      <c r="H134" s="63" t="n">
        <v>2025</v>
      </c>
      <c r="I134" s="64" t="n">
        <v>6</v>
      </c>
      <c r="J134" s="16" t="inlineStr">
        <is>
          <t>Jun</t>
        </is>
      </c>
      <c r="K134" s="16" t="n"/>
      <c r="M134" s="89" t="n">
        <v>-1179.71</v>
      </c>
      <c r="N134" s="1" t="inlineStr">
        <is>
          <t>EPIS</t>
        </is>
      </c>
      <c r="O134" s="1" t="inlineStr">
        <is>
          <t>Despesas com Pessoal</t>
        </is>
      </c>
      <c r="P134" s="1" t="inlineStr">
        <is>
          <t>(-)Gastos Fixos</t>
        </is>
      </c>
      <c r="Q134" s="1" t="n">
        <v>4</v>
      </c>
      <c r="R134" s="1" t="n">
        <v>2025</v>
      </c>
    </row>
    <row r="135">
      <c r="A135" s="61" t="n">
        <v>45812</v>
      </c>
      <c r="B135" s="16" t="inlineStr">
        <is>
          <t>54985 - NEOBETEL EPI, EQUIPAMENTOS DE PROTECAO INDIVIDUAL LTDA</t>
        </is>
      </c>
      <c r="C135" s="90" t="n"/>
      <c r="D135" s="90" t="n">
        <v>1179.72</v>
      </c>
      <c r="E135" s="90" t="n">
        <v>-1179.72</v>
      </c>
      <c r="F135" s="16" t="inlineStr">
        <is>
          <t>13.1 - EPIS</t>
        </is>
      </c>
      <c r="G135" s="16" t="inlineStr">
        <is>
          <t>ANGLO AMERICAN</t>
        </is>
      </c>
      <c r="H135" s="63" t="n">
        <v>2025</v>
      </c>
      <c r="I135" s="64" t="n">
        <v>6</v>
      </c>
      <c r="J135" s="16" t="inlineStr">
        <is>
          <t>Jun</t>
        </is>
      </c>
      <c r="K135" s="16" t="n"/>
      <c r="M135" s="89" t="n">
        <v>-1179.72</v>
      </c>
      <c r="N135" s="1" t="inlineStr">
        <is>
          <t>EPIS</t>
        </is>
      </c>
      <c r="O135" s="1" t="inlineStr">
        <is>
          <t>Despesas com Pessoal</t>
        </is>
      </c>
      <c r="P135" s="1" t="inlineStr">
        <is>
          <t>(-)Gastos Fixos</t>
        </is>
      </c>
      <c r="Q135" s="1" t="n">
        <v>4</v>
      </c>
      <c r="R135" s="1" t="n">
        <v>2025</v>
      </c>
    </row>
    <row r="136">
      <c r="A136" s="61" t="n">
        <v>45812</v>
      </c>
      <c r="B136" s="16" t="inlineStr">
        <is>
          <t>54985 - NEOBETEL EPI, EQUIPAMENTOS DE PROTECAO INDIVIDUAL LTDA</t>
        </is>
      </c>
      <c r="C136" s="90" t="n"/>
      <c r="D136" s="90" t="n">
        <v>1179.72</v>
      </c>
      <c r="E136" s="90" t="n">
        <v>-1179.72</v>
      </c>
      <c r="F136" s="16" t="inlineStr">
        <is>
          <t>13.1 - EPIS</t>
        </is>
      </c>
      <c r="G136" s="16" t="inlineStr">
        <is>
          <t>ANGLO AMERICAN</t>
        </is>
      </c>
      <c r="H136" s="63" t="n">
        <v>2025</v>
      </c>
      <c r="I136" s="64" t="n">
        <v>6</v>
      </c>
      <c r="J136" s="16" t="inlineStr">
        <is>
          <t>Jun</t>
        </is>
      </c>
      <c r="K136" s="16" t="n"/>
      <c r="M136" s="89" t="n">
        <v>-1179.72</v>
      </c>
      <c r="N136" s="1" t="inlineStr">
        <is>
          <t>EPIS</t>
        </is>
      </c>
      <c r="O136" s="1" t="inlineStr">
        <is>
          <t>Despesas com Pessoal</t>
        </is>
      </c>
      <c r="P136" s="1" t="inlineStr">
        <is>
          <t>(-)Gastos Fixos</t>
        </is>
      </c>
      <c r="Q136" s="1" t="n">
        <v>4</v>
      </c>
      <c r="R136" s="1" t="n">
        <v>2025</v>
      </c>
    </row>
    <row r="137">
      <c r="A137" s="61" t="n">
        <v>45812</v>
      </c>
      <c r="B137" s="16" t="inlineStr">
        <is>
          <t>54986 - NEOBETEL EPI, EQUIPAMENTOS DE PROTECAO INDIVIDUAL LTDA</t>
        </is>
      </c>
      <c r="C137" s="90" t="n"/>
      <c r="D137" s="90" t="n">
        <v>742.62</v>
      </c>
      <c r="E137" s="90" t="n">
        <v>-742.62</v>
      </c>
      <c r="F137" s="16" t="inlineStr">
        <is>
          <t>13.1 - EPIS</t>
        </is>
      </c>
      <c r="G137" s="16" t="inlineStr">
        <is>
          <t>FOSFATO CMOC CONTRAT</t>
        </is>
      </c>
      <c r="H137" s="63" t="n">
        <v>2025</v>
      </c>
      <c r="I137" s="64" t="n">
        <v>6</v>
      </c>
      <c r="J137" s="16" t="inlineStr">
        <is>
          <t>Jun</t>
        </is>
      </c>
      <c r="K137" s="16" t="n"/>
      <c r="M137" s="89" t="n">
        <v>-742.62</v>
      </c>
      <c r="N137" s="1" t="inlineStr">
        <is>
          <t>EPIS</t>
        </is>
      </c>
      <c r="O137" s="1" t="inlineStr">
        <is>
          <t>Despesas com Pessoal</t>
        </is>
      </c>
      <c r="P137" s="1" t="inlineStr">
        <is>
          <t>(-)Gastos Fixos</t>
        </is>
      </c>
      <c r="Q137" s="1" t="n">
        <v>4</v>
      </c>
      <c r="R137" s="1" t="n">
        <v>2025</v>
      </c>
    </row>
    <row r="138">
      <c r="A138" s="61" t="n">
        <v>45812</v>
      </c>
      <c r="B138" s="16" t="inlineStr">
        <is>
          <t>54986 - NEOBETEL EPI, EQUIPAMENTOS DE PROTECAO INDIVIDUAL LTDA</t>
        </is>
      </c>
      <c r="C138" s="90" t="n"/>
      <c r="D138" s="90" t="n">
        <v>742.63</v>
      </c>
      <c r="E138" s="90" t="n">
        <v>-742.63</v>
      </c>
      <c r="F138" s="16" t="inlineStr">
        <is>
          <t>13.1 - EPIS</t>
        </is>
      </c>
      <c r="G138" s="16" t="inlineStr">
        <is>
          <t>FOSFATO CMOC CONTRAT</t>
        </is>
      </c>
      <c r="H138" s="63" t="n">
        <v>2025</v>
      </c>
      <c r="I138" s="64" t="n">
        <v>6</v>
      </c>
      <c r="J138" s="16" t="inlineStr">
        <is>
          <t>Jun</t>
        </is>
      </c>
      <c r="K138" s="16" t="n"/>
      <c r="M138" s="89" t="n">
        <v>-742.63</v>
      </c>
      <c r="N138" s="1" t="inlineStr">
        <is>
          <t>EPIS</t>
        </is>
      </c>
      <c r="O138" s="1" t="inlineStr">
        <is>
          <t>Despesas com Pessoal</t>
        </is>
      </c>
      <c r="P138" s="1" t="inlineStr">
        <is>
          <t>(-)Gastos Fixos</t>
        </is>
      </c>
      <c r="Q138" s="1" t="n">
        <v>4</v>
      </c>
      <c r="R138" s="1" t="n">
        <v>2025</v>
      </c>
    </row>
    <row r="139">
      <c r="A139" s="61" t="n">
        <v>45812</v>
      </c>
      <c r="B139" s="16" t="inlineStr">
        <is>
          <t>54984 - NEOBETEL EPI, EQUIPAMENTOS DE PROTECAO INDIVIDUAL LTDA</t>
        </is>
      </c>
      <c r="C139" s="90" t="n"/>
      <c r="D139" s="90" t="n">
        <v>1170.92</v>
      </c>
      <c r="E139" s="90" t="n">
        <v>-1170.92</v>
      </c>
      <c r="F139" s="16" t="inlineStr">
        <is>
          <t>13.1 - EPIS</t>
        </is>
      </c>
      <c r="G139" s="16" t="inlineStr">
        <is>
          <t>NIOBIO CMOC CONTRATO</t>
        </is>
      </c>
      <c r="H139" s="63" t="n">
        <v>2025</v>
      </c>
      <c r="I139" s="64" t="n">
        <v>6</v>
      </c>
      <c r="J139" s="16" t="inlineStr">
        <is>
          <t>Jun</t>
        </is>
      </c>
      <c r="K139" s="16" t="n"/>
      <c r="M139" s="89" t="n">
        <v>-1170.92</v>
      </c>
      <c r="N139" s="1" t="inlineStr">
        <is>
          <t>EPIS</t>
        </is>
      </c>
      <c r="O139" s="1" t="inlineStr">
        <is>
          <t>Despesas com Pessoal</t>
        </is>
      </c>
      <c r="P139" s="1" t="inlineStr">
        <is>
          <t>(-)Gastos Fixos</t>
        </is>
      </c>
      <c r="Q139" s="1" t="n">
        <v>4</v>
      </c>
      <c r="R139" s="1" t="n">
        <v>2025</v>
      </c>
    </row>
    <row r="140">
      <c r="A140" s="61" t="n">
        <v>45812</v>
      </c>
      <c r="B140" s="16" t="inlineStr">
        <is>
          <t>1352 - MATRIX CONSULTORIA E GESTAO DE TREINAMENTO EIRELI</t>
        </is>
      </c>
      <c r="C140" s="90" t="n"/>
      <c r="D140" s="90" t="n">
        <v>669.5</v>
      </c>
      <c r="E140" s="90" t="n">
        <v>-669.5</v>
      </c>
      <c r="F140" s="16" t="inlineStr">
        <is>
          <t>14.2 - CURSOS / TREINAMENTOS</t>
        </is>
      </c>
      <c r="G140" s="16" t="inlineStr">
        <is>
          <t>ANGLO AMERICAN</t>
        </is>
      </c>
      <c r="H140" s="63" t="n">
        <v>2025</v>
      </c>
      <c r="I140" s="64" t="n">
        <v>6</v>
      </c>
      <c r="J140" s="16" t="inlineStr">
        <is>
          <t>Jun</t>
        </is>
      </c>
      <c r="K140" s="16" t="n"/>
      <c r="M140" s="89" t="n">
        <v>-669.5</v>
      </c>
      <c r="N140" s="1" t="inlineStr">
        <is>
          <t>CURSOS / TREINAMENTOS</t>
        </is>
      </c>
      <c r="O140" s="1" t="inlineStr">
        <is>
          <t>Despesas com Pessoal</t>
        </is>
      </c>
      <c r="P140" s="1" t="inlineStr">
        <is>
          <t>(-)Gastos Fixos</t>
        </is>
      </c>
      <c r="Q140" s="1" t="n">
        <v>4</v>
      </c>
      <c r="R140" s="1" t="n">
        <v>2025</v>
      </c>
    </row>
    <row r="141">
      <c r="A141" s="61" t="n">
        <v>45812</v>
      </c>
      <c r="B141" s="16" t="inlineStr">
        <is>
          <t>652 - CORDEIRO REMOCOES GUINDASTES E TRANSPORTES LTDA</t>
        </is>
      </c>
      <c r="C141" s="90" t="n"/>
      <c r="D141" s="90" t="n">
        <v>2750</v>
      </c>
      <c r="E141" s="90" t="n">
        <v>-2750</v>
      </c>
      <c r="F141" s="16" t="inlineStr">
        <is>
          <t>7.6 - LOCAÇÃO CONTAINER</t>
        </is>
      </c>
      <c r="G141" s="16" t="inlineStr">
        <is>
          <t>VLI PINTURA</t>
        </is>
      </c>
      <c r="H141" s="63" t="n">
        <v>2025</v>
      </c>
      <c r="I141" s="64" t="n">
        <v>6</v>
      </c>
      <c r="J141" s="16" t="inlineStr">
        <is>
          <t>Jun</t>
        </is>
      </c>
      <c r="K141" s="16" t="n"/>
      <c r="M141" s="89" t="n">
        <v>-2750</v>
      </c>
      <c r="N141" s="1" t="inlineStr">
        <is>
          <t>LOCAÇÃO CONTAINER</t>
        </is>
      </c>
      <c r="O141" s="1" t="inlineStr">
        <is>
          <t>Despesas com Locações</t>
        </is>
      </c>
      <c r="P141" s="1" t="inlineStr">
        <is>
          <t>(-)Gastos Fixos</t>
        </is>
      </c>
      <c r="Q141" s="1" t="n">
        <v>4</v>
      </c>
      <c r="R141" s="1" t="n">
        <v>2025</v>
      </c>
    </row>
    <row r="142">
      <c r="A142" s="61" t="n">
        <v>45812</v>
      </c>
      <c r="B142" s="16" t="inlineStr">
        <is>
          <t>3575 - TRANSPORTADORA AQUINO E DINIZ LTDA</t>
        </is>
      </c>
      <c r="C142" s="90" t="n"/>
      <c r="D142" s="90" t="n">
        <v>4115.85</v>
      </c>
      <c r="E142" s="90" t="n">
        <v>-4115.85</v>
      </c>
      <c r="F142" s="16" t="inlineStr">
        <is>
          <t>12.7 - TRANSPORTE FUNCIONARIOS</t>
        </is>
      </c>
      <c r="G142" s="16" t="inlineStr">
        <is>
          <t>ANGLO AMERICAN</t>
        </is>
      </c>
      <c r="H142" s="63" t="n">
        <v>2025</v>
      </c>
      <c r="I142" s="64" t="n">
        <v>6</v>
      </c>
      <c r="J142" s="16" t="inlineStr">
        <is>
          <t>Jun</t>
        </is>
      </c>
      <c r="K142" s="16" t="n"/>
      <c r="M142" s="89" t="n">
        <v>-4115.85</v>
      </c>
      <c r="N142" s="1" t="inlineStr">
        <is>
          <t>12.7 - TRANSPORTE FUNCIONARIOS</t>
        </is>
      </c>
      <c r="O142" s="1" t="n"/>
      <c r="P142" s="1" t="n"/>
      <c r="Q142" s="1" t="n"/>
      <c r="R142" s="1" t="n">
        <v>2025</v>
      </c>
    </row>
    <row r="143">
      <c r="A143" s="61" t="n">
        <v>45812</v>
      </c>
      <c r="B143" s="16" t="inlineStr">
        <is>
          <t>5809 - JVC - SERVICOS MEDICOS EIRELI-ME</t>
        </is>
      </c>
      <c r="C143" s="90" t="n"/>
      <c r="D143" s="90" t="n">
        <v>1536.322258</v>
      </c>
      <c r="E143" s="90" t="n">
        <v>-1536.322258</v>
      </c>
      <c r="F143" s="16" t="inlineStr">
        <is>
          <t>14.1 - EXAMES</t>
        </is>
      </c>
      <c r="G143" s="16" t="inlineStr">
        <is>
          <t>FOSFATO CMOC CONTRAT</t>
        </is>
      </c>
      <c r="H143" s="63" t="n">
        <v>2025</v>
      </c>
      <c r="I143" s="64" t="n">
        <v>6</v>
      </c>
      <c r="J143" s="16" t="inlineStr">
        <is>
          <t>Jun</t>
        </is>
      </c>
      <c r="K143" s="16" t="n"/>
      <c r="M143" s="89" t="n">
        <v>-1536.322258</v>
      </c>
      <c r="N143" s="1" t="inlineStr">
        <is>
          <t>EXAMES MÉDICOS</t>
        </is>
      </c>
      <c r="O143" s="1" t="inlineStr">
        <is>
          <t>Despesas com Pessoal</t>
        </is>
      </c>
      <c r="P143" s="1" t="inlineStr">
        <is>
          <t>(-)Gastos Fixos</t>
        </is>
      </c>
      <c r="Q143" s="1" t="n">
        <v>4</v>
      </c>
      <c r="R143" s="1" t="n">
        <v>2025</v>
      </c>
    </row>
    <row r="144">
      <c r="A144" s="61" t="n">
        <v>45812</v>
      </c>
      <c r="B144" s="16" t="inlineStr">
        <is>
          <t>5809 - JVC - SERVICOS MEDICOS EIRELI-ME</t>
        </is>
      </c>
      <c r="C144" s="90" t="n"/>
      <c r="D144" s="90" t="n">
        <v>176.437742</v>
      </c>
      <c r="E144" s="90" t="n">
        <v>-176.437742</v>
      </c>
      <c r="F144" s="16" t="inlineStr">
        <is>
          <t>14.1 - EXAMES</t>
        </is>
      </c>
      <c r="G144" s="16" t="inlineStr">
        <is>
          <t>NIOBIO CMOC CONTRATO</t>
        </is>
      </c>
      <c r="H144" s="63" t="n">
        <v>2025</v>
      </c>
      <c r="I144" s="64" t="n">
        <v>6</v>
      </c>
      <c r="J144" s="16" t="inlineStr">
        <is>
          <t>Jun</t>
        </is>
      </c>
      <c r="K144" s="16" t="n"/>
      <c r="M144" s="89" t="n">
        <v>-176.437742</v>
      </c>
      <c r="N144" s="1" t="inlineStr">
        <is>
          <t>EXAMES MÉDICOS</t>
        </is>
      </c>
      <c r="O144" s="1" t="inlineStr">
        <is>
          <t>Despesas com Pessoal</t>
        </is>
      </c>
      <c r="P144" s="1" t="inlineStr">
        <is>
          <t>(-)Gastos Fixos</t>
        </is>
      </c>
      <c r="Q144" s="1" t="n">
        <v>4</v>
      </c>
      <c r="R144" s="1" t="n">
        <v>2025</v>
      </c>
    </row>
    <row r="145">
      <c r="A145" s="61" t="n">
        <v>45812</v>
      </c>
      <c r="B145" s="16" t="inlineStr">
        <is>
          <t>90146 - REAL BORRACHA EIRELI</t>
        </is>
      </c>
      <c r="C145" s="90" t="n"/>
      <c r="D145" s="90" t="n">
        <v>417.95</v>
      </c>
      <c r="E145" s="90" t="n">
        <v>-417.95</v>
      </c>
      <c r="F145" s="16" t="inlineStr">
        <is>
          <t>8.8 - MATERIAIS DE CONSUMO EM OBRAS</t>
        </is>
      </c>
      <c r="G145" s="16" t="inlineStr">
        <is>
          <t>NIOBIO CMOC CONTRATO</t>
        </is>
      </c>
      <c r="H145" s="63" t="n">
        <v>2025</v>
      </c>
      <c r="I145" s="64" t="n">
        <v>6</v>
      </c>
      <c r="J145" s="16" t="inlineStr">
        <is>
          <t>Jun</t>
        </is>
      </c>
      <c r="K145" s="16" t="n"/>
      <c r="M145" s="89" t="n">
        <v>-417.95</v>
      </c>
      <c r="N145" s="1" t="inlineStr">
        <is>
          <t>MATERIAIS DE CONSUMO EM OBRAS</t>
        </is>
      </c>
      <c r="O145" s="1" t="inlineStr">
        <is>
          <t>Despesas com Máquinas e Equipamentos</t>
        </is>
      </c>
      <c r="P145" s="1" t="inlineStr">
        <is>
          <t>(-)Gastos Fixos</t>
        </is>
      </c>
      <c r="Q145" s="1" t="n">
        <v>4</v>
      </c>
      <c r="R145" s="1" t="n">
        <v>2025</v>
      </c>
    </row>
    <row r="146">
      <c r="A146" s="61" t="n">
        <v>45812</v>
      </c>
      <c r="B146" s="16" t="inlineStr">
        <is>
          <t>90146 - REAL BORRACHA EIRELI</t>
        </is>
      </c>
      <c r="C146" s="90" t="n"/>
      <c r="D146" s="90" t="n">
        <v>417.95</v>
      </c>
      <c r="E146" s="90" t="n">
        <v>-417.95</v>
      </c>
      <c r="F146" s="16" t="inlineStr">
        <is>
          <t>8.8 - MATERIAIS DE CONSUMO EM OBRAS</t>
        </is>
      </c>
      <c r="G146" s="16" t="inlineStr">
        <is>
          <t>NIOBIO CMOC CONTRATO</t>
        </is>
      </c>
      <c r="H146" s="63" t="n">
        <v>2025</v>
      </c>
      <c r="I146" s="64" t="n">
        <v>6</v>
      </c>
      <c r="J146" s="16" t="inlineStr">
        <is>
          <t>Jun</t>
        </is>
      </c>
      <c r="K146" s="16" t="n"/>
      <c r="M146" s="89" t="n">
        <v>-417.95</v>
      </c>
      <c r="N146" s="1" t="inlineStr">
        <is>
          <t>MATERIAIS DE CONSUMO EM OBRAS</t>
        </is>
      </c>
      <c r="O146" s="1" t="inlineStr">
        <is>
          <t>Despesas com Máquinas e Equipamentos</t>
        </is>
      </c>
      <c r="P146" s="1" t="inlineStr">
        <is>
          <t>(-)Gastos Fixos</t>
        </is>
      </c>
      <c r="Q146" s="1" t="n">
        <v>4</v>
      </c>
      <c r="R146" s="1" t="n">
        <v>2025</v>
      </c>
    </row>
    <row r="147">
      <c r="A147" s="61" t="n">
        <v>45813</v>
      </c>
      <c r="B147" s="16" t="inlineStr">
        <is>
          <t>ALUGUEIS OBRAS</t>
        </is>
      </c>
      <c r="C147" s="90" t="n"/>
      <c r="D147" s="90" t="n">
        <v>1600</v>
      </c>
      <c r="E147" s="90" t="n">
        <v>-1600</v>
      </c>
      <c r="F147" s="16" t="inlineStr">
        <is>
          <t>5.3 - ALUGUEL ALOJAMENTO</t>
        </is>
      </c>
      <c r="G147" s="16" t="inlineStr">
        <is>
          <t>EUROCHEM SERRA DO SALITRE</t>
        </is>
      </c>
      <c r="H147" s="63" t="n">
        <v>2025</v>
      </c>
      <c r="I147" s="64" t="n">
        <v>6</v>
      </c>
      <c r="J147" s="16" t="inlineStr">
        <is>
          <t>Jun</t>
        </is>
      </c>
      <c r="K147" s="16" t="n"/>
      <c r="M147" s="89" t="n">
        <v>-1600</v>
      </c>
      <c r="N147" s="1" t="inlineStr">
        <is>
          <t>ALUGUEL ALOJAMENTO</t>
        </is>
      </c>
      <c r="O147" s="1" t="inlineStr">
        <is>
          <t>Despesas com Infraestrutura</t>
        </is>
      </c>
      <c r="P147" s="1" t="inlineStr">
        <is>
          <t>(-)Gastos Fixos</t>
        </is>
      </c>
      <c r="Q147" s="1" t="n">
        <v>4</v>
      </c>
      <c r="R147" s="1" t="n">
        <v>2025</v>
      </c>
    </row>
    <row r="148">
      <c r="A148" s="61" t="n">
        <v>45813</v>
      </c>
      <c r="B148" s="16" t="inlineStr">
        <is>
          <t>ALUGUEIS OBRAS</t>
        </is>
      </c>
      <c r="C148" s="90" t="n"/>
      <c r="D148" s="90" t="n">
        <v>4000</v>
      </c>
      <c r="E148" s="90" t="n">
        <v>-4000</v>
      </c>
      <c r="F148" s="16" t="inlineStr">
        <is>
          <t>5.3 - ALUGUEL ALOJAMENTO</t>
        </is>
      </c>
      <c r="G148" s="16" t="inlineStr">
        <is>
          <t>EUROCHEM SERRA DO SALITRE</t>
        </is>
      </c>
      <c r="H148" s="63" t="n">
        <v>2025</v>
      </c>
      <c r="I148" s="64" t="n">
        <v>6</v>
      </c>
      <c r="J148" s="16" t="inlineStr">
        <is>
          <t>Jun</t>
        </is>
      </c>
      <c r="K148" s="16" t="n"/>
      <c r="M148" s="89" t="n">
        <v>-4000</v>
      </c>
      <c r="N148" s="1" t="inlineStr">
        <is>
          <t>ALUGUEL ALOJAMENTO</t>
        </is>
      </c>
      <c r="O148" s="1" t="inlineStr">
        <is>
          <t>Despesas com Infraestrutura</t>
        </is>
      </c>
      <c r="P148" s="1" t="inlineStr">
        <is>
          <t>(-)Gastos Fixos</t>
        </is>
      </c>
      <c r="Q148" s="1" t="n">
        <v>4</v>
      </c>
      <c r="R148" s="1" t="n">
        <v>2025</v>
      </c>
    </row>
    <row r="149">
      <c r="A149" s="61" t="n">
        <v>45813</v>
      </c>
      <c r="B149" s="16" t="inlineStr">
        <is>
          <t>IMPERIO DO ESPETO</t>
        </is>
      </c>
      <c r="C149" s="90" t="n"/>
      <c r="D149" s="90" t="n">
        <v>228</v>
      </c>
      <c r="E149" s="90" t="n">
        <v>-228</v>
      </c>
      <c r="F149" s="16" t="inlineStr">
        <is>
          <t>11.5 - ALIMENTAÇÃO ADM</t>
        </is>
      </c>
      <c r="G149" s="16" t="inlineStr">
        <is>
          <t>ADMINISTRATIVO</t>
        </is>
      </c>
      <c r="H149" s="63" t="n">
        <v>2025</v>
      </c>
      <c r="I149" s="64" t="n">
        <v>6</v>
      </c>
      <c r="J149" s="16" t="inlineStr">
        <is>
          <t>Jun</t>
        </is>
      </c>
      <c r="K149" s="16" t="n"/>
      <c r="M149" s="89" t="n">
        <v>-228</v>
      </c>
      <c r="N149" s="1" t="inlineStr">
        <is>
          <t>ALIMENTAÇÃO ADM</t>
        </is>
      </c>
      <c r="O149" s="1" t="inlineStr">
        <is>
          <t>Despesas com Pessoal</t>
        </is>
      </c>
      <c r="P149" s="1" t="inlineStr">
        <is>
          <t>(-)Gastos Fixos</t>
        </is>
      </c>
      <c r="Q149" s="1" t="n">
        <v>4</v>
      </c>
      <c r="R149" s="1" t="n">
        <v>2025</v>
      </c>
    </row>
    <row r="150">
      <c r="A150" s="61" t="n">
        <v>45813</v>
      </c>
      <c r="B150" s="16" t="inlineStr">
        <is>
          <t>UBER JULIANO</t>
        </is>
      </c>
      <c r="C150" s="90" t="n"/>
      <c r="D150" s="90" t="n">
        <v>235</v>
      </c>
      <c r="E150" s="90" t="n">
        <v>-235</v>
      </c>
      <c r="F150" s="16" t="inlineStr">
        <is>
          <t>12.7 - TRANSPORTE FUNCIONARIOS</t>
        </is>
      </c>
      <c r="G150" s="16" t="inlineStr">
        <is>
          <t>FOSFATO CMOC CONTRAT</t>
        </is>
      </c>
      <c r="H150" s="63" t="n">
        <v>2025</v>
      </c>
      <c r="I150" s="64" t="n">
        <v>6</v>
      </c>
      <c r="J150" s="16" t="inlineStr">
        <is>
          <t>Jun</t>
        </is>
      </c>
      <c r="K150" s="16" t="n"/>
      <c r="M150" s="89" t="n">
        <v>-235</v>
      </c>
      <c r="N150" s="1" t="inlineStr">
        <is>
          <t>12.7 - TRANSPORTE FUNCIONARIOS</t>
        </is>
      </c>
      <c r="O150" s="1" t="n"/>
      <c r="P150" s="1" t="n"/>
      <c r="Q150" s="1" t="n"/>
      <c r="R150" s="1" t="n">
        <v>2025</v>
      </c>
    </row>
    <row r="151">
      <c r="A151" s="61" t="n">
        <v>45813</v>
      </c>
      <c r="B151" s="16" t="inlineStr">
        <is>
          <t>UBER JULIANO</t>
        </is>
      </c>
      <c r="C151" s="90" t="n"/>
      <c r="D151" s="90" t="n">
        <v>750</v>
      </c>
      <c r="E151" s="90" t="n">
        <v>-750</v>
      </c>
      <c r="F151" s="16" t="inlineStr">
        <is>
          <t>12.7 - TRANSPORTE FUNCIONARIOS</t>
        </is>
      </c>
      <c r="G151" s="16" t="inlineStr">
        <is>
          <t>NIOBIO CMOC CONTRATO</t>
        </is>
      </c>
      <c r="H151" s="63" t="n">
        <v>2025</v>
      </c>
      <c r="I151" s="64" t="n">
        <v>6</v>
      </c>
      <c r="J151" s="16" t="inlineStr">
        <is>
          <t>Jun</t>
        </is>
      </c>
      <c r="K151" s="16" t="n"/>
      <c r="M151" s="89" t="n">
        <v>-750</v>
      </c>
      <c r="N151" s="1" t="inlineStr">
        <is>
          <t>12.7 - TRANSPORTE FUNCIONARIOS</t>
        </is>
      </c>
      <c r="O151" s="1" t="n"/>
      <c r="P151" s="1" t="n"/>
      <c r="Q151" s="1" t="n"/>
      <c r="R151" s="1" t="n">
        <v>2025</v>
      </c>
    </row>
    <row r="152">
      <c r="A152" s="61" t="n">
        <v>45813</v>
      </c>
      <c r="B152" s="16" t="inlineStr">
        <is>
          <t>15874 - QUALI TINTAS</t>
        </is>
      </c>
      <c r="C152" s="90" t="n"/>
      <c r="D152" s="90" t="n">
        <v>4597.5</v>
      </c>
      <c r="E152" s="90" t="n">
        <v>-4597.5</v>
      </c>
      <c r="F152" s="16" t="inlineStr">
        <is>
          <t>4.1 - TINTAS E SOLVENTES</t>
        </is>
      </c>
      <c r="G152" s="16" t="inlineStr">
        <is>
          <t>NIOBIO CMOC CONTRATO</t>
        </is>
      </c>
      <c r="H152" s="63" t="n">
        <v>2025</v>
      </c>
      <c r="I152" s="64" t="n">
        <v>6</v>
      </c>
      <c r="J152" s="16" t="inlineStr">
        <is>
          <t>Jun</t>
        </is>
      </c>
      <c r="K152" s="16" t="n"/>
      <c r="M152" s="89" t="n">
        <v>-4597.5</v>
      </c>
      <c r="N152" s="1" t="inlineStr">
        <is>
          <t>TINTAS E SOLVENTES</t>
        </is>
      </c>
      <c r="O152" s="1" t="inlineStr">
        <is>
          <t>Fornecedores</t>
        </is>
      </c>
      <c r="P152" s="1" t="inlineStr">
        <is>
          <t>(-)Custos Variavéis</t>
        </is>
      </c>
      <c r="Q152" s="1" t="n">
        <v>3</v>
      </c>
      <c r="R152" s="1" t="n">
        <v>2025</v>
      </c>
    </row>
    <row r="153">
      <c r="A153" s="61" t="n">
        <v>45813</v>
      </c>
      <c r="B153" s="16" t="inlineStr">
        <is>
          <t>15874 - QUALI TINTAS</t>
        </is>
      </c>
      <c r="C153" s="90" t="n"/>
      <c r="D153" s="90" t="n">
        <v>4597.5</v>
      </c>
      <c r="E153" s="90" t="n">
        <v>-4597.5</v>
      </c>
      <c r="F153" s="16" t="inlineStr">
        <is>
          <t>4.1 - TINTAS E SOLVENTES</t>
        </is>
      </c>
      <c r="G153" s="16" t="inlineStr">
        <is>
          <t>NIOBIO CMOC CONTRATO</t>
        </is>
      </c>
      <c r="H153" s="63" t="n">
        <v>2025</v>
      </c>
      <c r="I153" s="64" t="n">
        <v>6</v>
      </c>
      <c r="J153" s="16" t="inlineStr">
        <is>
          <t>Jun</t>
        </is>
      </c>
      <c r="K153" s="16" t="n"/>
      <c r="M153" s="89" t="n">
        <v>-4597.5</v>
      </c>
      <c r="N153" s="1" t="inlineStr">
        <is>
          <t>TINTAS E SOLVENTES</t>
        </is>
      </c>
      <c r="O153" s="1" t="inlineStr">
        <is>
          <t>Fornecedores</t>
        </is>
      </c>
      <c r="P153" s="1" t="inlineStr">
        <is>
          <t>(-)Custos Variavéis</t>
        </is>
      </c>
      <c r="Q153" s="1" t="n">
        <v>3</v>
      </c>
      <c r="R153" s="1" t="n">
        <v>2025</v>
      </c>
    </row>
    <row r="154">
      <c r="A154" s="61" t="n">
        <v>45813</v>
      </c>
      <c r="B154" s="16" t="inlineStr">
        <is>
          <t>LAVA JATO OBRAS</t>
        </is>
      </c>
      <c r="C154" s="90" t="n"/>
      <c r="D154" s="90" t="n">
        <v>102</v>
      </c>
      <c r="E154" s="90" t="n">
        <v>-102</v>
      </c>
      <c r="F154" s="16" t="inlineStr">
        <is>
          <t>6.10 - SERVIÇO LAVA JATO</t>
        </is>
      </c>
      <c r="G154" s="16" t="inlineStr">
        <is>
          <t>ADMINISTRATIVO</t>
        </is>
      </c>
      <c r="H154" s="63" t="n">
        <v>2025</v>
      </c>
      <c r="I154" s="64" t="n">
        <v>6</v>
      </c>
      <c r="J154" s="16" t="inlineStr">
        <is>
          <t>Jun</t>
        </is>
      </c>
      <c r="K154" s="16" t="n"/>
      <c r="M154" s="89" t="n">
        <v>-102</v>
      </c>
      <c r="N154" s="1" t="inlineStr">
        <is>
          <t>SERVIÇO LAVA JATO</t>
        </is>
      </c>
      <c r="O154" s="1" t="inlineStr">
        <is>
          <t>Despesas com Veículos e Equipamentos</t>
        </is>
      </c>
      <c r="P154" s="1" t="inlineStr">
        <is>
          <t>(-)Gastos Fixos</t>
        </is>
      </c>
      <c r="Q154" s="1" t="n">
        <v>4</v>
      </c>
      <c r="R154" s="1" t="n">
        <v>2025</v>
      </c>
    </row>
    <row r="155">
      <c r="A155" s="61" t="n">
        <v>45813</v>
      </c>
      <c r="B155" s="16" t="inlineStr">
        <is>
          <t>4161 - IDELFONSO SOARES DOS REIS - ME</t>
        </is>
      </c>
      <c r="C155" s="90" t="n"/>
      <c r="D155" s="90" t="n">
        <v>567.9</v>
      </c>
      <c r="E155" s="90" t="n">
        <v>-567.9</v>
      </c>
      <c r="F155" s="16" t="inlineStr">
        <is>
          <t>8.8 - MATERIAIS DE CONSUMO EM OBRAS</t>
        </is>
      </c>
      <c r="G155" s="16" t="inlineStr">
        <is>
          <t>ANGLO AMERICAN</t>
        </is>
      </c>
      <c r="H155" s="63" t="n">
        <v>2025</v>
      </c>
      <c r="I155" s="64" t="n">
        <v>6</v>
      </c>
      <c r="J155" s="16" t="inlineStr">
        <is>
          <t>Jun</t>
        </is>
      </c>
      <c r="K155" s="16" t="n"/>
      <c r="M155" s="89" t="n">
        <v>-567.9</v>
      </c>
      <c r="N155" s="1" t="inlineStr">
        <is>
          <t>MATERIAIS DE CONSUMO EM OBRAS</t>
        </is>
      </c>
      <c r="O155" s="1" t="inlineStr">
        <is>
          <t>Despesas com Máquinas e Equipamentos</t>
        </is>
      </c>
      <c r="P155" s="1" t="inlineStr">
        <is>
          <t>(-)Gastos Fixos</t>
        </is>
      </c>
      <c r="Q155" s="1" t="n">
        <v>4</v>
      </c>
      <c r="R155" s="1" t="n">
        <v>2025</v>
      </c>
    </row>
    <row r="156">
      <c r="A156" s="61" t="n">
        <v>45813</v>
      </c>
      <c r="B156" s="16" t="inlineStr">
        <is>
          <t>DESPESAS LOTE TRINDADE AIDEAL</t>
        </is>
      </c>
      <c r="C156" s="90" t="n"/>
      <c r="D156" s="90" t="n">
        <v>2000</v>
      </c>
      <c r="E156" s="90" t="n">
        <v>-2000</v>
      </c>
      <c r="F156" s="16" t="inlineStr">
        <is>
          <t>15.4 - DESPESAS C/ CONSTRUÇÃO ESCRITORIO ADM</t>
        </is>
      </c>
      <c r="G156" s="16" t="inlineStr">
        <is>
          <t>LOTE TRINDADE</t>
        </is>
      </c>
      <c r="H156" s="63" t="n">
        <v>2025</v>
      </c>
      <c r="I156" s="64" t="n">
        <v>6</v>
      </c>
      <c r="J156" s="16" t="inlineStr">
        <is>
          <t>Jun</t>
        </is>
      </c>
      <c r="K156" s="16" t="n"/>
      <c r="M156" s="89" t="n">
        <v>-2000</v>
      </c>
      <c r="N156" s="1" t="inlineStr">
        <is>
          <t>Construção da Nova Sede</t>
        </is>
      </c>
      <c r="O156" s="1" t="inlineStr">
        <is>
          <t>Investimentos</t>
        </is>
      </c>
      <c r="P156" s="1" t="inlineStr">
        <is>
          <t>(-)Investimentos</t>
        </is>
      </c>
      <c r="Q156" s="1" t="n">
        <v>8</v>
      </c>
      <c r="R156" s="1" t="n">
        <v>2025</v>
      </c>
    </row>
    <row r="157">
      <c r="A157" s="61" t="n">
        <v>45813</v>
      </c>
      <c r="B157" s="16" t="inlineStr">
        <is>
          <t>BANCO CAIXA</t>
        </is>
      </c>
      <c r="C157" s="90" t="n"/>
      <c r="D157" s="90" t="n">
        <v>389</v>
      </c>
      <c r="E157" s="90" t="n">
        <v>-389</v>
      </c>
      <c r="F157" s="16" t="inlineStr">
        <is>
          <t>18.2 - TARIFAS BANCARIAS</t>
        </is>
      </c>
      <c r="G157" s="16" t="inlineStr">
        <is>
          <t>ADMINISTRATIVO</t>
        </is>
      </c>
      <c r="H157" s="63" t="n">
        <v>2025</v>
      </c>
      <c r="I157" s="64" t="n">
        <v>6</v>
      </c>
      <c r="J157" s="16" t="inlineStr">
        <is>
          <t>Jun</t>
        </is>
      </c>
      <c r="K157" s="16" t="n"/>
      <c r="M157" s="89" t="n">
        <v>-389</v>
      </c>
      <c r="N157" s="1" t="inlineStr">
        <is>
          <t>TARIFAS BANCARIAS</t>
        </is>
      </c>
      <c r="O157" s="1" t="inlineStr">
        <is>
          <t>Despesas Financeiras</t>
        </is>
      </c>
      <c r="P157" s="1" t="inlineStr">
        <is>
          <t>(-)Gastos Fixos</t>
        </is>
      </c>
      <c r="Q157" s="1" t="n">
        <v>4</v>
      </c>
      <c r="R157" s="1" t="n">
        <v>2025</v>
      </c>
    </row>
    <row r="158">
      <c r="A158" s="61" t="n">
        <v>45813</v>
      </c>
      <c r="B158" s="16" t="inlineStr">
        <is>
          <t>249492 - BRASLIMP TRANSPORTES ESPECIALIZADOS LTDA</t>
        </is>
      </c>
      <c r="C158" s="90" t="n"/>
      <c r="D158" s="90" t="n">
        <v>4019.93</v>
      </c>
      <c r="E158" s="90" t="n">
        <v>-4019.93</v>
      </c>
      <c r="F158" s="16" t="inlineStr">
        <is>
          <t>7.9 - LOCAÇAO CAÇAMBA P/ RESIDUOS</t>
        </is>
      </c>
      <c r="G158" s="16" t="inlineStr">
        <is>
          <t>VLI PINTURA</t>
        </is>
      </c>
      <c r="H158" s="63" t="n">
        <v>2025</v>
      </c>
      <c r="I158" s="64" t="n">
        <v>6</v>
      </c>
      <c r="J158" s="16" t="inlineStr">
        <is>
          <t>Jun</t>
        </is>
      </c>
      <c r="K158" s="16" t="n"/>
      <c r="M158" s="89" t="n">
        <v>-4019.93</v>
      </c>
      <c r="N158" s="1" t="inlineStr">
        <is>
          <t>LOCAÇAO CAÇAMBA P/ RESIDUOS</t>
        </is>
      </c>
      <c r="O158" s="1" t="inlineStr">
        <is>
          <t>Despesas com Locações</t>
        </is>
      </c>
      <c r="P158" s="1" t="inlineStr">
        <is>
          <t>(-)Gastos Fixos</t>
        </is>
      </c>
      <c r="Q158" s="1" t="n">
        <v>4</v>
      </c>
      <c r="R158" s="1" t="n">
        <v>2025</v>
      </c>
    </row>
    <row r="159">
      <c r="A159" s="61" t="n">
        <v>45813</v>
      </c>
      <c r="B159" s="16" t="inlineStr">
        <is>
          <t>274362 - FUNDAÇAO SAO FRANCISCO XAVIER</t>
        </is>
      </c>
      <c r="C159" s="90" t="n"/>
      <c r="D159" s="90" t="n">
        <v>35</v>
      </c>
      <c r="E159" s="90" t="n">
        <v>-35</v>
      </c>
      <c r="F159" s="16" t="inlineStr">
        <is>
          <t>12.10 - PLANO DE SAUDE</t>
        </is>
      </c>
      <c r="G159" s="16" t="inlineStr">
        <is>
          <t>MOSAIC UBERABA CONTRAT0 3 ANOS</t>
        </is>
      </c>
      <c r="H159" s="63" t="n">
        <v>2025</v>
      </c>
      <c r="I159" s="64" t="n">
        <v>6</v>
      </c>
      <c r="J159" s="16" t="inlineStr">
        <is>
          <t>Jun</t>
        </is>
      </c>
      <c r="K159" s="16" t="n"/>
      <c r="M159" s="89" t="n">
        <v>-35</v>
      </c>
      <c r="N159" s="1" t="inlineStr">
        <is>
          <t>PLANO DE SAUDE</t>
        </is>
      </c>
      <c r="O159" s="1" t="inlineStr">
        <is>
          <t>Despesas com Pessoal</t>
        </is>
      </c>
      <c r="P159" s="1" t="inlineStr">
        <is>
          <t>(-)Gastos Fixos</t>
        </is>
      </c>
      <c r="Q159" s="1" t="n">
        <v>4</v>
      </c>
      <c r="R159" s="1" t="n">
        <v>2025</v>
      </c>
    </row>
    <row r="160">
      <c r="A160" s="61" t="n">
        <v>45813</v>
      </c>
      <c r="B160" s="16" t="inlineStr">
        <is>
          <t>273639 - FUNDAÇAO SAO FRANCISCO XAVIER</t>
        </is>
      </c>
      <c r="C160" s="90" t="n"/>
      <c r="D160" s="90" t="n">
        <v>1216.42</v>
      </c>
      <c r="E160" s="90" t="n">
        <v>-1216.42</v>
      </c>
      <c r="F160" s="16" t="inlineStr">
        <is>
          <t>12.10 - PLANO DE SAUDE</t>
        </is>
      </c>
      <c r="G160" s="16" t="inlineStr">
        <is>
          <t>MOSAIC UBERABA CONTRAT0 3 ANOS</t>
        </is>
      </c>
      <c r="H160" s="63" t="n">
        <v>2025</v>
      </c>
      <c r="I160" s="64" t="n">
        <v>6</v>
      </c>
      <c r="J160" s="16" t="inlineStr">
        <is>
          <t>Jun</t>
        </is>
      </c>
      <c r="K160" s="16" t="n"/>
      <c r="M160" s="89" t="n">
        <v>-1216.42</v>
      </c>
      <c r="N160" s="1" t="inlineStr">
        <is>
          <t>PLANO DE SAUDE</t>
        </is>
      </c>
      <c r="O160" s="1" t="inlineStr">
        <is>
          <t>Despesas com Pessoal</t>
        </is>
      </c>
      <c r="P160" s="1" t="inlineStr">
        <is>
          <t>(-)Gastos Fixos</t>
        </is>
      </c>
      <c r="Q160" s="1" t="n">
        <v>4</v>
      </c>
      <c r="R160" s="1" t="n">
        <v>2025</v>
      </c>
    </row>
    <row r="161">
      <c r="A161" s="61" t="n">
        <v>45813</v>
      </c>
      <c r="B161" s="16" t="inlineStr">
        <is>
          <t>2235 - EXPLORERNET TECNOLOGIA E COMUNICACAO LTDA</t>
        </is>
      </c>
      <c r="C161" s="90" t="n"/>
      <c r="D161" s="90" t="n">
        <v>900</v>
      </c>
      <c r="E161" s="90" t="n">
        <v>-900</v>
      </c>
      <c r="F161" s="16" t="inlineStr">
        <is>
          <t>11.6 - INTERNET / TELEFONE ADM</t>
        </is>
      </c>
      <c r="G161" s="16" t="inlineStr">
        <is>
          <t>ADMINISTRATIVO</t>
        </is>
      </c>
      <c r="H161" s="63" t="n">
        <v>2025</v>
      </c>
      <c r="I161" s="64" t="n">
        <v>6</v>
      </c>
      <c r="J161" s="16" t="inlineStr">
        <is>
          <t>Jun</t>
        </is>
      </c>
      <c r="K161" s="16" t="n"/>
      <c r="M161" s="89" t="n">
        <v>-900</v>
      </c>
      <c r="N161" s="1" t="inlineStr">
        <is>
          <t>INTERNET / TELEFONE ADM</t>
        </is>
      </c>
      <c r="O161" s="1" t="inlineStr">
        <is>
          <t>Despesas com Infraestrutura</t>
        </is>
      </c>
      <c r="P161" s="1" t="inlineStr">
        <is>
          <t>(-)Gastos Fixos</t>
        </is>
      </c>
      <c r="Q161" s="1" t="n">
        <v>4</v>
      </c>
      <c r="R161" s="1" t="n">
        <v>2025</v>
      </c>
    </row>
    <row r="162">
      <c r="A162" s="61" t="n">
        <v>45814</v>
      </c>
      <c r="B162" s="16" t="inlineStr">
        <is>
          <t>BANCO CAIXA</t>
        </is>
      </c>
      <c r="C162" s="90" t="n"/>
      <c r="D162" s="90" t="n">
        <v>20031.85</v>
      </c>
      <c r="E162" s="90" t="n">
        <v>-20031.85</v>
      </c>
      <c r="F162" s="16" t="inlineStr">
        <is>
          <t>11.9 - PAGAMENTOS EMPRESTIMOS</t>
        </is>
      </c>
      <c r="G162" s="16" t="inlineStr">
        <is>
          <t>EMPRESTIMOS</t>
        </is>
      </c>
      <c r="H162" s="63" t="n">
        <v>2025</v>
      </c>
      <c r="I162" s="64" t="n">
        <v>6</v>
      </c>
      <c r="J162" s="16" t="inlineStr">
        <is>
          <t>Jun</t>
        </is>
      </c>
      <c r="K162" s="16" t="n"/>
      <c r="M162" s="89" t="n">
        <v>-20031.85</v>
      </c>
      <c r="N162" s="1" t="inlineStr">
        <is>
          <t>Empréstimos Bancários</t>
        </is>
      </c>
      <c r="O162" s="1" t="inlineStr">
        <is>
          <t>(-) Despesas Financeiras</t>
        </is>
      </c>
      <c r="P162" s="1" t="inlineStr">
        <is>
          <t>(+/-)Despesas e Receitas Financeiras</t>
        </is>
      </c>
      <c r="Q162" s="1" t="n">
        <v>6</v>
      </c>
      <c r="R162" s="1" t="n">
        <v>2025</v>
      </c>
    </row>
    <row r="163">
      <c r="A163" s="61" t="n">
        <v>45814</v>
      </c>
      <c r="B163" s="16" t="inlineStr">
        <is>
          <t>19003 - BIRCK &amp; AMP ROCHA LTDA</t>
        </is>
      </c>
      <c r="C163" s="90" t="n"/>
      <c r="D163" s="90" t="n">
        <v>737</v>
      </c>
      <c r="E163" s="90" t="n">
        <v>-737</v>
      </c>
      <c r="F163" s="16" t="inlineStr">
        <is>
          <t>4.1 - TINTAS E SOLVENTES</t>
        </is>
      </c>
      <c r="G163" s="16" t="inlineStr">
        <is>
          <t>NIOBIO CMOC CONTRATO</t>
        </is>
      </c>
      <c r="H163" s="63" t="n">
        <v>2025</v>
      </c>
      <c r="I163" s="64" t="n">
        <v>6</v>
      </c>
      <c r="J163" s="16" t="inlineStr">
        <is>
          <t>Jun</t>
        </is>
      </c>
      <c r="K163" s="16" t="n"/>
      <c r="M163" s="89" t="n">
        <v>-737</v>
      </c>
      <c r="N163" s="1" t="inlineStr">
        <is>
          <t>TINTAS E SOLVENTES</t>
        </is>
      </c>
      <c r="O163" s="1" t="inlineStr">
        <is>
          <t>Fornecedores</t>
        </is>
      </c>
      <c r="P163" s="1" t="inlineStr">
        <is>
          <t>(-)Custos Variavéis</t>
        </is>
      </c>
      <c r="Q163" s="1" t="n">
        <v>3</v>
      </c>
      <c r="R163" s="1" t="n">
        <v>2025</v>
      </c>
    </row>
    <row r="164">
      <c r="A164" s="61" t="n">
        <v>45814</v>
      </c>
      <c r="B164" s="16" t="inlineStr">
        <is>
          <t>IMPERIO DO ESPETO</t>
        </is>
      </c>
      <c r="C164" s="90" t="n"/>
      <c r="D164" s="90" t="n">
        <v>216</v>
      </c>
      <c r="E164" s="90" t="n">
        <v>-216</v>
      </c>
      <c r="F164" s="16" t="inlineStr">
        <is>
          <t>11.5 - ALIMENTAÇÃO ADM</t>
        </is>
      </c>
      <c r="G164" s="16" t="inlineStr">
        <is>
          <t>ADMINISTRATIVO</t>
        </is>
      </c>
      <c r="H164" s="63" t="n">
        <v>2025</v>
      </c>
      <c r="I164" s="64" t="n">
        <v>6</v>
      </c>
      <c r="J164" s="16" t="inlineStr">
        <is>
          <t>Jun</t>
        </is>
      </c>
      <c r="K164" s="16" t="n"/>
      <c r="M164" s="89" t="n">
        <v>-216</v>
      </c>
      <c r="N164" s="1" t="inlineStr">
        <is>
          <t>ALIMENTAÇÃO ADM</t>
        </is>
      </c>
      <c r="O164" s="1" t="inlineStr">
        <is>
          <t>Despesas com Pessoal</t>
        </is>
      </c>
      <c r="P164" s="1" t="inlineStr">
        <is>
          <t>(-)Gastos Fixos</t>
        </is>
      </c>
      <c r="Q164" s="1" t="n">
        <v>4</v>
      </c>
      <c r="R164" s="1" t="n">
        <v>2025</v>
      </c>
    </row>
    <row r="165">
      <c r="A165" s="61" t="n">
        <v>45814</v>
      </c>
      <c r="B165" s="16" t="inlineStr">
        <is>
          <t>1532 - EL SHADDAI PARAFUSOS E FERRAMENTAS</t>
        </is>
      </c>
      <c r="C165" s="90" t="n"/>
      <c r="D165" s="90" t="n">
        <v>349.14</v>
      </c>
      <c r="E165" s="90" t="n">
        <v>-349.14</v>
      </c>
      <c r="F165" s="16" t="inlineStr">
        <is>
          <t>8.8 - MATERIAIS DE CONSUMO EM OBRAS</t>
        </is>
      </c>
      <c r="G165" s="16" t="inlineStr">
        <is>
          <t>NIOBIO CMOC CONTRATO</t>
        </is>
      </c>
      <c r="H165" s="63" t="n">
        <v>2025</v>
      </c>
      <c r="I165" s="64" t="n">
        <v>6</v>
      </c>
      <c r="J165" s="16" t="inlineStr">
        <is>
          <t>Jun</t>
        </is>
      </c>
      <c r="K165" s="16" t="n"/>
      <c r="M165" s="89" t="n">
        <v>-349.14</v>
      </c>
      <c r="N165" s="1" t="inlineStr">
        <is>
          <t>MATERIAIS DE CONSUMO EM OBRAS</t>
        </is>
      </c>
      <c r="O165" s="1" t="inlineStr">
        <is>
          <t>Despesas com Máquinas e Equipamentos</t>
        </is>
      </c>
      <c r="P165" s="1" t="inlineStr">
        <is>
          <t>(-)Gastos Fixos</t>
        </is>
      </c>
      <c r="Q165" s="1" t="n">
        <v>4</v>
      </c>
      <c r="R165" s="1" t="n">
        <v>2025</v>
      </c>
    </row>
    <row r="166">
      <c r="A166" s="61" t="n">
        <v>45814</v>
      </c>
      <c r="B166" s="16" t="inlineStr">
        <is>
          <t>VALE TRANSPORTE</t>
        </is>
      </c>
      <c r="C166" s="90" t="n"/>
      <c r="D166" s="90" t="n">
        <v>146.2</v>
      </c>
      <c r="E166" s="90" t="n">
        <v>-146.2</v>
      </c>
      <c r="F166" s="16" t="inlineStr">
        <is>
          <t>12.7 - TRANSPORTE FUNCIONARIOS</t>
        </is>
      </c>
      <c r="G166" s="16" t="inlineStr">
        <is>
          <t>ADMINISTRATIVO</t>
        </is>
      </c>
      <c r="H166" s="63" t="n">
        <v>2025</v>
      </c>
      <c r="I166" s="64" t="n">
        <v>6</v>
      </c>
      <c r="J166" s="16" t="inlineStr">
        <is>
          <t>Jun</t>
        </is>
      </c>
      <c r="K166" s="16" t="n"/>
      <c r="M166" s="89" t="n">
        <v>-146.2</v>
      </c>
      <c r="N166" s="1" t="inlineStr">
        <is>
          <t>12.7 - TRANSPORTE FUNCIONARIOS</t>
        </is>
      </c>
      <c r="O166" s="1" t="n"/>
      <c r="P166" s="1" t="n"/>
      <c r="Q166" s="1" t="n"/>
      <c r="R166" s="1" t="n">
        <v>2025</v>
      </c>
    </row>
    <row r="167">
      <c r="A167" s="61" t="n">
        <v>45814</v>
      </c>
      <c r="B167" s="16" t="inlineStr">
        <is>
          <t>VALE ALIMENTAÇÃO OBRAS</t>
        </is>
      </c>
      <c r="C167" s="90" t="n"/>
      <c r="D167" s="90" t="n">
        <v>2432</v>
      </c>
      <c r="E167" s="90" t="n">
        <v>-2432</v>
      </c>
      <c r="F167" s="16" t="inlineStr">
        <is>
          <t>12.13 - VALE ALIMENTAÇÃO</t>
        </is>
      </c>
      <c r="G167" s="16" t="inlineStr">
        <is>
          <t>MOSAIC UBERABA CONTRAT0 3 ANOS</t>
        </is>
      </c>
      <c r="H167" s="63" t="n">
        <v>2025</v>
      </c>
      <c r="I167" s="64" t="n">
        <v>6</v>
      </c>
      <c r="J167" s="16" t="inlineStr">
        <is>
          <t>Jun</t>
        </is>
      </c>
      <c r="K167" s="16" t="n"/>
      <c r="M167" s="89" t="n">
        <v>-2432</v>
      </c>
      <c r="N167" s="1" t="inlineStr">
        <is>
          <t>VALE ALIMENTAÇÃO</t>
        </is>
      </c>
      <c r="O167" s="1" t="inlineStr">
        <is>
          <t>Despesas com Pessoal</t>
        </is>
      </c>
      <c r="P167" s="1" t="inlineStr">
        <is>
          <t>(-)Gastos Fixos</t>
        </is>
      </c>
      <c r="Q167" s="1" t="n">
        <v>4</v>
      </c>
      <c r="R167" s="1" t="n">
        <v>2025</v>
      </c>
    </row>
    <row r="168">
      <c r="A168" s="61" t="n">
        <v>45814</v>
      </c>
      <c r="B168" s="16" t="inlineStr">
        <is>
          <t>VALE ALIMENTAÇÃO OBRAS</t>
        </is>
      </c>
      <c r="C168" s="90" t="n"/>
      <c r="D168" s="90" t="n">
        <v>1393.34</v>
      </c>
      <c r="E168" s="90" t="n">
        <v>-1393.34</v>
      </c>
      <c r="F168" s="16" t="inlineStr">
        <is>
          <t>12.13 - VALE ALIMENTAÇÃO</t>
        </is>
      </c>
      <c r="G168" s="16" t="inlineStr">
        <is>
          <t>ANGLO AMERICAN</t>
        </is>
      </c>
      <c r="H168" s="63" t="n">
        <v>2025</v>
      </c>
      <c r="I168" s="64" t="n">
        <v>6</v>
      </c>
      <c r="J168" s="16" t="inlineStr">
        <is>
          <t>Jun</t>
        </is>
      </c>
      <c r="K168" s="16" t="n"/>
      <c r="M168" s="89" t="n">
        <v>-1393.34</v>
      </c>
      <c r="N168" s="1" t="inlineStr">
        <is>
          <t>VALE ALIMENTAÇÃO</t>
        </is>
      </c>
      <c r="O168" s="1" t="inlineStr">
        <is>
          <t>Despesas com Pessoal</t>
        </is>
      </c>
      <c r="P168" s="1" t="inlineStr">
        <is>
          <t>(-)Gastos Fixos</t>
        </is>
      </c>
      <c r="Q168" s="1" t="n">
        <v>4</v>
      </c>
      <c r="R168" s="1" t="n">
        <v>2025</v>
      </c>
    </row>
    <row r="169">
      <c r="A169" s="61" t="n">
        <v>45814</v>
      </c>
      <c r="B169" s="16" t="inlineStr">
        <is>
          <t>VALE ALIMENTAÇÃO OBRAS</t>
        </is>
      </c>
      <c r="C169" s="90" t="n"/>
      <c r="D169" s="90" t="n">
        <v>570</v>
      </c>
      <c r="E169" s="90" t="n">
        <v>-570</v>
      </c>
      <c r="F169" s="16" t="inlineStr">
        <is>
          <t>12.13 - VALE ALIMENTAÇÃO</t>
        </is>
      </c>
      <c r="G169" s="16" t="inlineStr">
        <is>
          <t>NIOBIO CMOC CONTRATO</t>
        </is>
      </c>
      <c r="H169" s="63" t="n">
        <v>2025</v>
      </c>
      <c r="I169" s="64" t="n">
        <v>6</v>
      </c>
      <c r="J169" s="16" t="inlineStr">
        <is>
          <t>Jun</t>
        </is>
      </c>
      <c r="K169" s="16" t="n"/>
      <c r="M169" s="89" t="n">
        <v>-570</v>
      </c>
      <c r="N169" s="1" t="inlineStr">
        <is>
          <t>VALE ALIMENTAÇÃO</t>
        </is>
      </c>
      <c r="O169" s="1" t="inlineStr">
        <is>
          <t>Despesas com Pessoal</t>
        </is>
      </c>
      <c r="P169" s="1" t="inlineStr">
        <is>
          <t>(-)Gastos Fixos</t>
        </is>
      </c>
      <c r="Q169" s="1" t="n">
        <v>4</v>
      </c>
      <c r="R169" s="1" t="n">
        <v>2025</v>
      </c>
    </row>
    <row r="170">
      <c r="A170" s="61" t="n">
        <v>45814</v>
      </c>
      <c r="B170" s="16" t="inlineStr">
        <is>
          <t>FGTS</t>
        </is>
      </c>
      <c r="C170" s="90" t="n"/>
      <c r="D170" s="90" t="n">
        <v>378.45</v>
      </c>
      <c r="E170" s="90" t="n">
        <v>-378.45</v>
      </c>
      <c r="F170" s="16" t="inlineStr">
        <is>
          <t>12.14 - FGTS FUNCIONARIOS</t>
        </is>
      </c>
      <c r="G170" s="16" t="inlineStr">
        <is>
          <t>FOSFATO CMOC CONTRAT</t>
        </is>
      </c>
      <c r="H170" s="63" t="n">
        <v>2025</v>
      </c>
      <c r="I170" s="64" t="n">
        <v>6</v>
      </c>
      <c r="J170" s="16" t="inlineStr">
        <is>
          <t>Jun</t>
        </is>
      </c>
      <c r="K170" s="16" t="n"/>
      <c r="M170" s="89" t="n">
        <v>-378.45</v>
      </c>
      <c r="N170" s="1" t="inlineStr">
        <is>
          <t>FGTS FUNCIONARIOS</t>
        </is>
      </c>
      <c r="O170" s="1" t="inlineStr">
        <is>
          <t>Despesas com Pessoal</t>
        </is>
      </c>
      <c r="P170" s="1" t="inlineStr">
        <is>
          <t>(-)Gastos Fixos</t>
        </is>
      </c>
      <c r="Q170" s="1" t="n">
        <v>4</v>
      </c>
      <c r="R170" s="1" t="n">
        <v>2025</v>
      </c>
    </row>
    <row r="171">
      <c r="A171" s="61" t="n">
        <v>45814</v>
      </c>
      <c r="B171" s="16" t="inlineStr">
        <is>
          <t>FGTS</t>
        </is>
      </c>
      <c r="C171" s="90" t="n"/>
      <c r="D171" s="90" t="n">
        <v>304.33</v>
      </c>
      <c r="E171" s="90" t="n">
        <v>-304.33</v>
      </c>
      <c r="F171" s="16" t="inlineStr">
        <is>
          <t>12.14 - FGTS FUNCIONARIOS</t>
        </is>
      </c>
      <c r="G171" s="16" t="inlineStr">
        <is>
          <t>MOSAIC UBERABA CONTRAT0 3 ANOS</t>
        </is>
      </c>
      <c r="H171" s="63" t="n">
        <v>2025</v>
      </c>
      <c r="I171" s="64" t="n">
        <v>6</v>
      </c>
      <c r="J171" s="16" t="inlineStr">
        <is>
          <t>Jun</t>
        </is>
      </c>
      <c r="K171" s="16" t="n"/>
      <c r="M171" s="89" t="n">
        <v>-304.33</v>
      </c>
      <c r="N171" s="1" t="inlineStr">
        <is>
          <t>FGTS FUNCIONARIOS</t>
        </is>
      </c>
      <c r="O171" s="1" t="inlineStr">
        <is>
          <t>Despesas com Pessoal</t>
        </is>
      </c>
      <c r="P171" s="1" t="inlineStr">
        <is>
          <t>(-)Gastos Fixos</t>
        </is>
      </c>
      <c r="Q171" s="1" t="n">
        <v>4</v>
      </c>
      <c r="R171" s="1" t="n">
        <v>2025</v>
      </c>
    </row>
    <row r="172">
      <c r="A172" s="61" t="n">
        <v>45814</v>
      </c>
      <c r="B172" s="16" t="inlineStr">
        <is>
          <t>POSTO OBRAS</t>
        </is>
      </c>
      <c r="C172" s="90" t="n"/>
      <c r="D172" s="90" t="n">
        <v>179.67</v>
      </c>
      <c r="E172" s="90" t="n">
        <v>-179.67</v>
      </c>
      <c r="F172" s="16" t="inlineStr">
        <is>
          <t>6.4 - COMBUSTIVEL VEICULOS</t>
        </is>
      </c>
      <c r="G172" s="16" t="inlineStr">
        <is>
          <t>ADMINISTRATIVO</t>
        </is>
      </c>
      <c r="H172" s="63" t="n">
        <v>2025</v>
      </c>
      <c r="I172" s="64" t="n">
        <v>6</v>
      </c>
      <c r="J172" s="16" t="inlineStr">
        <is>
          <t>Jun</t>
        </is>
      </c>
      <c r="K172" s="16" t="n"/>
      <c r="M172" s="89" t="n">
        <v>-179.67</v>
      </c>
      <c r="N172" s="1" t="inlineStr">
        <is>
          <t>COMBUSTIVEL VEICULOS</t>
        </is>
      </c>
      <c r="O172" s="1" t="inlineStr">
        <is>
          <t>Despesas com Veículos e Equipamentos</t>
        </is>
      </c>
      <c r="P172" s="1" t="inlineStr">
        <is>
          <t>(-)Gastos Fixos</t>
        </is>
      </c>
      <c r="Q172" s="1" t="n">
        <v>4</v>
      </c>
      <c r="R172" s="1" t="n">
        <v>2025</v>
      </c>
    </row>
    <row r="173">
      <c r="A173" s="61" t="n">
        <v>45814</v>
      </c>
      <c r="B173" s="16" t="inlineStr">
        <is>
          <t>VALE ALIMENTAÇÃO OBRAS</t>
        </is>
      </c>
      <c r="C173" s="90" t="n"/>
      <c r="D173" s="90" t="n">
        <v>19200</v>
      </c>
      <c r="E173" s="90" t="n">
        <v>-19200</v>
      </c>
      <c r="F173" s="16" t="inlineStr">
        <is>
          <t>12.13 - VALE ALIMENTAÇÃO</t>
        </is>
      </c>
      <c r="G173" s="16" t="inlineStr">
        <is>
          <t>MOSAIC UBERABA CONTRAT0 3 ANOS</t>
        </is>
      </c>
      <c r="H173" s="63" t="n">
        <v>2025</v>
      </c>
      <c r="I173" s="64" t="n">
        <v>6</v>
      </c>
      <c r="J173" s="16" t="inlineStr">
        <is>
          <t>Jun</t>
        </is>
      </c>
      <c r="K173" s="16" t="n"/>
      <c r="M173" s="89" t="n">
        <v>-19200</v>
      </c>
      <c r="N173" s="1" t="inlineStr">
        <is>
          <t>VALE ALIMENTAÇÃO</t>
        </is>
      </c>
      <c r="O173" s="1" t="inlineStr">
        <is>
          <t>Despesas com Pessoal</t>
        </is>
      </c>
      <c r="P173" s="1" t="inlineStr">
        <is>
          <t>(-)Gastos Fixos</t>
        </is>
      </c>
      <c r="Q173" s="1" t="n">
        <v>4</v>
      </c>
      <c r="R173" s="1" t="n">
        <v>2025</v>
      </c>
    </row>
    <row r="174">
      <c r="A174" s="61" t="n">
        <v>45814</v>
      </c>
      <c r="B174" s="16" t="inlineStr">
        <is>
          <t>VALE ALIMENTAÇÃO OBRAS</t>
        </is>
      </c>
      <c r="C174" s="90" t="n"/>
      <c r="D174" s="90" t="n">
        <v>640</v>
      </c>
      <c r="E174" s="90" t="n">
        <v>-640</v>
      </c>
      <c r="F174" s="16" t="inlineStr">
        <is>
          <t>12.13 - VALE ALIMENTAÇÃO</t>
        </is>
      </c>
      <c r="G174" s="16" t="inlineStr">
        <is>
          <t>MOSAIC UBERABA CONTRAT0 3 ANOS</t>
        </is>
      </c>
      <c r="H174" s="63" t="n">
        <v>2025</v>
      </c>
      <c r="I174" s="64" t="n">
        <v>6</v>
      </c>
      <c r="J174" s="16" t="inlineStr">
        <is>
          <t>Jun</t>
        </is>
      </c>
      <c r="K174" s="16" t="n"/>
      <c r="M174" s="89" t="n">
        <v>-640</v>
      </c>
      <c r="N174" s="1" t="inlineStr">
        <is>
          <t>VALE ALIMENTAÇÃO</t>
        </is>
      </c>
      <c r="O174" s="1" t="inlineStr">
        <is>
          <t>Despesas com Pessoal</t>
        </is>
      </c>
      <c r="P174" s="1" t="inlineStr">
        <is>
          <t>(-)Gastos Fixos</t>
        </is>
      </c>
      <c r="Q174" s="1" t="n">
        <v>4</v>
      </c>
      <c r="R174" s="1" t="n">
        <v>2025</v>
      </c>
    </row>
    <row r="175">
      <c r="A175" s="61" t="n">
        <v>45814</v>
      </c>
      <c r="B175" s="16" t="inlineStr">
        <is>
          <t>VALE ALIMENTAÇÃO OBRAS</t>
        </is>
      </c>
      <c r="C175" s="90" t="n"/>
      <c r="D175" s="90" t="n">
        <v>2388</v>
      </c>
      <c r="E175" s="90" t="n">
        <v>-2388</v>
      </c>
      <c r="F175" s="16" t="inlineStr">
        <is>
          <t>12.13 - VALE ALIMENTAÇÃO</t>
        </is>
      </c>
      <c r="G175" s="16" t="inlineStr">
        <is>
          <t>ANGLO AMERICAN</t>
        </is>
      </c>
      <c r="H175" s="63" t="n">
        <v>2025</v>
      </c>
      <c r="I175" s="64" t="n">
        <v>6</v>
      </c>
      <c r="J175" s="16" t="inlineStr">
        <is>
          <t>Jun</t>
        </is>
      </c>
      <c r="K175" s="16" t="n"/>
      <c r="M175" s="89" t="n">
        <v>-2388</v>
      </c>
      <c r="N175" s="1" t="inlineStr">
        <is>
          <t>VALE ALIMENTAÇÃO</t>
        </is>
      </c>
      <c r="O175" s="1" t="inlineStr">
        <is>
          <t>Despesas com Pessoal</t>
        </is>
      </c>
      <c r="P175" s="1" t="inlineStr">
        <is>
          <t>(-)Gastos Fixos</t>
        </is>
      </c>
      <c r="Q175" s="1" t="n">
        <v>4</v>
      </c>
      <c r="R175" s="1" t="n">
        <v>2025</v>
      </c>
    </row>
    <row r="176">
      <c r="A176" s="61" t="n">
        <v>45814</v>
      </c>
      <c r="B176" s="16" t="inlineStr">
        <is>
          <t>VALE ALIMENTAÇÃO OBRAS</t>
        </is>
      </c>
      <c r="C176" s="90" t="n"/>
      <c r="D176" s="90" t="n">
        <v>985</v>
      </c>
      <c r="E176" s="90" t="n">
        <v>-985</v>
      </c>
      <c r="F176" s="16" t="inlineStr">
        <is>
          <t>12.13 - VALE ALIMENTAÇÃO</t>
        </is>
      </c>
      <c r="G176" s="16" t="inlineStr">
        <is>
          <t>ANGLO AMERICAN</t>
        </is>
      </c>
      <c r="H176" s="63" t="n">
        <v>2025</v>
      </c>
      <c r="I176" s="64" t="n">
        <v>6</v>
      </c>
      <c r="J176" s="16" t="inlineStr">
        <is>
          <t>Jun</t>
        </is>
      </c>
      <c r="K176" s="16" t="n"/>
      <c r="M176" s="89" t="n">
        <v>-985</v>
      </c>
      <c r="N176" s="1" t="inlineStr">
        <is>
          <t>VALE ALIMENTAÇÃO</t>
        </is>
      </c>
      <c r="O176" s="1" t="inlineStr">
        <is>
          <t>Despesas com Pessoal</t>
        </is>
      </c>
      <c r="P176" s="1" t="inlineStr">
        <is>
          <t>(-)Gastos Fixos</t>
        </is>
      </c>
      <c r="Q176" s="1" t="n">
        <v>4</v>
      </c>
      <c r="R176" s="1" t="n">
        <v>2025</v>
      </c>
    </row>
    <row r="177">
      <c r="A177" s="61" t="n">
        <v>45814</v>
      </c>
      <c r="B177" s="16" t="inlineStr">
        <is>
          <t>VALE ALIMENTAÇÃO OBRAS</t>
        </is>
      </c>
      <c r="C177" s="90" t="n"/>
      <c r="D177" s="90" t="n">
        <v>1727.22</v>
      </c>
      <c r="E177" s="90" t="n">
        <v>-1727.22</v>
      </c>
      <c r="F177" s="16" t="inlineStr">
        <is>
          <t>12.13 - VALE ALIMENTAÇÃO</t>
        </is>
      </c>
      <c r="G177" s="16" t="inlineStr">
        <is>
          <t>NIOBIO CMOC CONTRATO</t>
        </is>
      </c>
      <c r="H177" s="63" t="n">
        <v>2025</v>
      </c>
      <c r="I177" s="64" t="n">
        <v>6</v>
      </c>
      <c r="J177" s="16" t="inlineStr">
        <is>
          <t>Jun</t>
        </is>
      </c>
      <c r="K177" s="16" t="n"/>
      <c r="M177" s="89" t="n">
        <v>-1727.22</v>
      </c>
      <c r="N177" s="1" t="inlineStr">
        <is>
          <t>VALE ALIMENTAÇÃO</t>
        </is>
      </c>
      <c r="O177" s="1" t="inlineStr">
        <is>
          <t>Despesas com Pessoal</t>
        </is>
      </c>
      <c r="P177" s="1" t="inlineStr">
        <is>
          <t>(-)Gastos Fixos</t>
        </is>
      </c>
      <c r="Q177" s="1" t="n">
        <v>4</v>
      </c>
      <c r="R177" s="1" t="n">
        <v>2025</v>
      </c>
    </row>
    <row r="178">
      <c r="A178" s="61" t="n">
        <v>45814</v>
      </c>
      <c r="B178" s="16" t="inlineStr">
        <is>
          <t>VALE ALIMENTAÇÃO OBRAS</t>
        </is>
      </c>
      <c r="C178" s="90" t="n"/>
      <c r="D178" s="90" t="n">
        <v>600</v>
      </c>
      <c r="E178" s="90" t="n">
        <v>-600</v>
      </c>
      <c r="F178" s="16" t="inlineStr">
        <is>
          <t>12.13 - VALE ALIMENTAÇÃO</t>
        </is>
      </c>
      <c r="G178" s="16" t="inlineStr">
        <is>
          <t>FOSFATO CMOC CONTRAT</t>
        </is>
      </c>
      <c r="H178" s="63" t="n">
        <v>2025</v>
      </c>
      <c r="I178" s="64" t="n">
        <v>6</v>
      </c>
      <c r="J178" s="16" t="inlineStr">
        <is>
          <t>Jun</t>
        </is>
      </c>
      <c r="K178" s="16" t="n"/>
      <c r="M178" s="89" t="n">
        <v>-600</v>
      </c>
      <c r="N178" s="1" t="inlineStr">
        <is>
          <t>VALE ALIMENTAÇÃO</t>
        </is>
      </c>
      <c r="O178" s="1" t="inlineStr">
        <is>
          <t>Despesas com Pessoal</t>
        </is>
      </c>
      <c r="P178" s="1" t="inlineStr">
        <is>
          <t>(-)Gastos Fixos</t>
        </is>
      </c>
      <c r="Q178" s="1" t="n">
        <v>4</v>
      </c>
      <c r="R178" s="1" t="n">
        <v>2025</v>
      </c>
    </row>
    <row r="179">
      <c r="A179" s="61" t="n">
        <v>45814</v>
      </c>
      <c r="B179" s="16" t="inlineStr">
        <is>
          <t>VALE ALIMENTAÇÃO OBRAS</t>
        </is>
      </c>
      <c r="C179" s="90" t="n"/>
      <c r="D179" s="90" t="n">
        <v>850</v>
      </c>
      <c r="E179" s="90" t="n">
        <v>-850</v>
      </c>
      <c r="F179" s="16" t="inlineStr">
        <is>
          <t>12.13 - VALE ALIMENTAÇÃO</t>
        </is>
      </c>
      <c r="G179" s="16" t="inlineStr">
        <is>
          <t>FOSFATO CMOC CONTRAT</t>
        </is>
      </c>
      <c r="H179" s="63" t="n">
        <v>2025</v>
      </c>
      <c r="I179" s="64" t="n">
        <v>6</v>
      </c>
      <c r="J179" s="16" t="inlineStr">
        <is>
          <t>Jun</t>
        </is>
      </c>
      <c r="K179" s="16" t="n"/>
      <c r="M179" s="89" t="n">
        <v>-850</v>
      </c>
      <c r="N179" s="1" t="inlineStr">
        <is>
          <t>VALE ALIMENTAÇÃO</t>
        </is>
      </c>
      <c r="O179" s="1" t="inlineStr">
        <is>
          <t>Despesas com Pessoal</t>
        </is>
      </c>
      <c r="P179" s="1" t="inlineStr">
        <is>
          <t>(-)Gastos Fixos</t>
        </is>
      </c>
      <c r="Q179" s="1" t="n">
        <v>4</v>
      </c>
      <c r="R179" s="1" t="n">
        <v>2025</v>
      </c>
    </row>
    <row r="180">
      <c r="A180" s="61" t="n">
        <v>45814</v>
      </c>
      <c r="B180" s="16" t="inlineStr">
        <is>
          <t>VALE ALIMENTAÇÃO OBRAS</t>
        </is>
      </c>
      <c r="C180" s="90" t="n"/>
      <c r="D180" s="90" t="n">
        <v>1640</v>
      </c>
      <c r="E180" s="90" t="n">
        <v>-1640</v>
      </c>
      <c r="F180" s="16" t="inlineStr">
        <is>
          <t>12.13 - VALE ALIMENTAÇÃO</t>
        </is>
      </c>
      <c r="G180" s="16" t="inlineStr">
        <is>
          <t>EUROCHEM SERRA DO SALITRE</t>
        </is>
      </c>
      <c r="H180" s="63" t="n">
        <v>2025</v>
      </c>
      <c r="I180" s="64" t="n">
        <v>6</v>
      </c>
      <c r="J180" s="16" t="inlineStr">
        <is>
          <t>Jun</t>
        </is>
      </c>
      <c r="K180" s="16" t="n"/>
      <c r="M180" s="89" t="n">
        <v>-1640</v>
      </c>
      <c r="N180" s="1" t="inlineStr">
        <is>
          <t>VALE ALIMENTAÇÃO</t>
        </is>
      </c>
      <c r="O180" s="1" t="inlineStr">
        <is>
          <t>Despesas com Pessoal</t>
        </is>
      </c>
      <c r="P180" s="1" t="inlineStr">
        <is>
          <t>(-)Gastos Fixos</t>
        </is>
      </c>
      <c r="Q180" s="1" t="n">
        <v>4</v>
      </c>
      <c r="R180" s="1" t="n">
        <v>2025</v>
      </c>
    </row>
    <row r="181">
      <c r="A181" s="61" t="n">
        <v>45814</v>
      </c>
      <c r="B181" s="16" t="inlineStr">
        <is>
          <t>VALE ALIMENTAÇÃO OBRAS</t>
        </is>
      </c>
      <c r="C181" s="90" t="n"/>
      <c r="D181" s="90" t="n">
        <v>27</v>
      </c>
      <c r="E181" s="90" t="n">
        <v>-27</v>
      </c>
      <c r="F181" s="16" t="inlineStr">
        <is>
          <t>12.13 - VALE ALIMENTAÇÃO</t>
        </is>
      </c>
      <c r="G181" s="16" t="inlineStr">
        <is>
          <t>EUROCHEM SERRA DO SALITRE</t>
        </is>
      </c>
      <c r="H181" s="63" t="n">
        <v>2025</v>
      </c>
      <c r="I181" s="64" t="n">
        <v>6</v>
      </c>
      <c r="J181" s="16" t="inlineStr">
        <is>
          <t>Jun</t>
        </is>
      </c>
      <c r="K181" s="16" t="n"/>
      <c r="M181" s="89" t="n">
        <v>-27</v>
      </c>
      <c r="N181" s="1" t="inlineStr">
        <is>
          <t>VALE ALIMENTAÇÃO</t>
        </is>
      </c>
      <c r="O181" s="1" t="inlineStr">
        <is>
          <t>Despesas com Pessoal</t>
        </is>
      </c>
      <c r="P181" s="1" t="inlineStr">
        <is>
          <t>(-)Gastos Fixos</t>
        </is>
      </c>
      <c r="Q181" s="1" t="n">
        <v>4</v>
      </c>
      <c r="R181" s="1" t="n">
        <v>2025</v>
      </c>
    </row>
    <row r="182">
      <c r="A182" s="61" t="n">
        <v>45814</v>
      </c>
      <c r="B182" s="16" t="inlineStr">
        <is>
          <t>VALE ALIMENTAÇÃO OBRAS</t>
        </is>
      </c>
      <c r="C182" s="90" t="n"/>
      <c r="D182" s="90" t="n">
        <v>770</v>
      </c>
      <c r="E182" s="90" t="n">
        <v>-770</v>
      </c>
      <c r="F182" s="16" t="inlineStr">
        <is>
          <t>12.13 - VALE ALIMENTAÇÃO</t>
        </is>
      </c>
      <c r="G182" s="16" t="inlineStr">
        <is>
          <t>SERENA 21 TORRES 2024</t>
        </is>
      </c>
      <c r="H182" s="63" t="n">
        <v>2025</v>
      </c>
      <c r="I182" s="64" t="n">
        <v>6</v>
      </c>
      <c r="J182" s="16" t="inlineStr">
        <is>
          <t>Jun</t>
        </is>
      </c>
      <c r="K182" s="16" t="n"/>
      <c r="M182" s="89" t="n">
        <v>-770</v>
      </c>
      <c r="N182" s="1" t="inlineStr">
        <is>
          <t>VALE ALIMENTAÇÃO</t>
        </is>
      </c>
      <c r="O182" s="1" t="inlineStr">
        <is>
          <t>Despesas com Pessoal</t>
        </is>
      </c>
      <c r="P182" s="1" t="inlineStr">
        <is>
          <t>(-)Gastos Fixos</t>
        </is>
      </c>
      <c r="Q182" s="1" t="n">
        <v>4</v>
      </c>
      <c r="R182" s="1" t="n">
        <v>2025</v>
      </c>
    </row>
    <row r="183">
      <c r="A183" s="61" t="n">
        <v>45814</v>
      </c>
      <c r="B183" s="16" t="inlineStr">
        <is>
          <t>VALE ALIMENTAÇÃO OBRAS</t>
        </is>
      </c>
      <c r="C183" s="90" t="n"/>
      <c r="D183" s="90" t="n">
        <v>1710</v>
      </c>
      <c r="E183" s="90" t="n">
        <v>-1710</v>
      </c>
      <c r="F183" s="16" t="inlineStr">
        <is>
          <t>12.13 - VALE ALIMENTAÇÃO</t>
        </is>
      </c>
      <c r="G183" s="16" t="inlineStr">
        <is>
          <t>ADMINISTRATIVO</t>
        </is>
      </c>
      <c r="H183" s="63" t="n">
        <v>2025</v>
      </c>
      <c r="I183" s="64" t="n">
        <v>6</v>
      </c>
      <c r="J183" s="16" t="inlineStr">
        <is>
          <t>Jun</t>
        </is>
      </c>
      <c r="K183" s="16" t="n"/>
      <c r="M183" s="89" t="n">
        <v>-1710</v>
      </c>
      <c r="N183" s="1" t="inlineStr">
        <is>
          <t>VALE ALIMENTAÇÃO</t>
        </is>
      </c>
      <c r="O183" s="1" t="inlineStr">
        <is>
          <t>Despesas com Pessoal</t>
        </is>
      </c>
      <c r="P183" s="1" t="inlineStr">
        <is>
          <t>(-)Gastos Fixos</t>
        </is>
      </c>
      <c r="Q183" s="1" t="n">
        <v>4</v>
      </c>
      <c r="R183" s="1" t="n">
        <v>2025</v>
      </c>
    </row>
    <row r="184">
      <c r="A184" s="61" t="n">
        <v>45814</v>
      </c>
      <c r="B184" s="16" t="inlineStr">
        <is>
          <t>VALE ALIMENTAÇÃO OBRAS</t>
        </is>
      </c>
      <c r="C184" s="90" t="n"/>
      <c r="D184" s="90" t="n">
        <v>680</v>
      </c>
      <c r="E184" s="90" t="n">
        <v>-680</v>
      </c>
      <c r="F184" s="16" t="inlineStr">
        <is>
          <t>12.13 - VALE ALIMENTAÇÃO</t>
        </is>
      </c>
      <c r="G184" s="16" t="inlineStr">
        <is>
          <t>VLI PINTURA</t>
        </is>
      </c>
      <c r="H184" s="63" t="n">
        <v>2025</v>
      </c>
      <c r="I184" s="64" t="n">
        <v>6</v>
      </c>
      <c r="J184" s="16" t="inlineStr">
        <is>
          <t>Jun</t>
        </is>
      </c>
      <c r="K184" s="16" t="n"/>
      <c r="M184" s="89" t="n">
        <v>-680</v>
      </c>
      <c r="N184" s="1" t="inlineStr">
        <is>
          <t>VALE ALIMENTAÇÃO</t>
        </is>
      </c>
      <c r="O184" s="1" t="inlineStr">
        <is>
          <t>Despesas com Pessoal</t>
        </is>
      </c>
      <c r="P184" s="1" t="inlineStr">
        <is>
          <t>(-)Gastos Fixos</t>
        </is>
      </c>
      <c r="Q184" s="1" t="n">
        <v>4</v>
      </c>
      <c r="R184" s="1" t="n">
        <v>2025</v>
      </c>
    </row>
    <row r="185">
      <c r="A185" s="61" t="n">
        <v>45814</v>
      </c>
      <c r="B185" s="16" t="inlineStr">
        <is>
          <t>VALE ALIMENTAÇÃO OBRAS</t>
        </is>
      </c>
      <c r="C185" s="90" t="n"/>
      <c r="D185" s="90" t="n">
        <v>16320</v>
      </c>
      <c r="E185" s="90" t="n">
        <v>-16320</v>
      </c>
      <c r="F185" s="16" t="inlineStr">
        <is>
          <t>12.13 - VALE ALIMENTAÇÃO</t>
        </is>
      </c>
      <c r="G185" s="16" t="inlineStr">
        <is>
          <t>VLI PINTURA</t>
        </is>
      </c>
      <c r="H185" s="63" t="n">
        <v>2025</v>
      </c>
      <c r="I185" s="64" t="n">
        <v>6</v>
      </c>
      <c r="J185" s="16" t="inlineStr">
        <is>
          <t>Jun</t>
        </is>
      </c>
      <c r="K185" s="16" t="n"/>
      <c r="M185" s="89" t="n">
        <v>-16320</v>
      </c>
      <c r="N185" s="1" t="inlineStr">
        <is>
          <t>VALE ALIMENTAÇÃO</t>
        </is>
      </c>
      <c r="O185" s="1" t="inlineStr">
        <is>
          <t>Despesas com Pessoal</t>
        </is>
      </c>
      <c r="P185" s="1" t="inlineStr">
        <is>
          <t>(-)Gastos Fixos</t>
        </is>
      </c>
      <c r="Q185" s="1" t="n">
        <v>4</v>
      </c>
      <c r="R185" s="1" t="n">
        <v>2025</v>
      </c>
    </row>
    <row r="186">
      <c r="A186" s="61" t="n">
        <v>45814</v>
      </c>
      <c r="B186" s="16" t="inlineStr">
        <is>
          <t>VALE ALIMENTAÇÃO OBRAS</t>
        </is>
      </c>
      <c r="C186" s="90" t="n"/>
      <c r="D186" s="90" t="n">
        <v>6440</v>
      </c>
      <c r="E186" s="90" t="n">
        <v>-6440</v>
      </c>
      <c r="F186" s="16" t="inlineStr">
        <is>
          <t>12.13 - VALE ALIMENTAÇÃO</t>
        </is>
      </c>
      <c r="G186" s="16" t="inlineStr">
        <is>
          <t>VLI PINTURA</t>
        </is>
      </c>
      <c r="H186" s="63" t="n">
        <v>2025</v>
      </c>
      <c r="I186" s="64" t="n">
        <v>6</v>
      </c>
      <c r="J186" s="16" t="inlineStr">
        <is>
          <t>Jun</t>
        </is>
      </c>
      <c r="K186" s="16" t="n"/>
      <c r="M186" s="89" t="n">
        <v>-6440</v>
      </c>
      <c r="N186" s="1" t="inlineStr">
        <is>
          <t>VALE ALIMENTAÇÃO</t>
        </is>
      </c>
      <c r="O186" s="1" t="inlineStr">
        <is>
          <t>Despesas com Pessoal</t>
        </is>
      </c>
      <c r="P186" s="1" t="inlineStr">
        <is>
          <t>(-)Gastos Fixos</t>
        </is>
      </c>
      <c r="Q186" s="1" t="n">
        <v>4</v>
      </c>
      <c r="R186" s="1" t="n">
        <v>2025</v>
      </c>
    </row>
    <row r="187">
      <c r="A187" s="61" t="n">
        <v>45814</v>
      </c>
      <c r="B187" s="16" t="inlineStr">
        <is>
          <t>UBER JULIANO</t>
        </is>
      </c>
      <c r="C187" s="90" t="n"/>
      <c r="D187" s="90" t="n">
        <v>560</v>
      </c>
      <c r="E187" s="90" t="n">
        <v>-560</v>
      </c>
      <c r="F187" s="16" t="inlineStr">
        <is>
          <t>12.7 - TRANSPORTE FUNCIONARIOS</t>
        </is>
      </c>
      <c r="G187" s="16" t="inlineStr">
        <is>
          <t>FOSFATO CMOC CONTRAT</t>
        </is>
      </c>
      <c r="H187" s="63" t="n">
        <v>2025</v>
      </c>
      <c r="I187" s="64" t="n">
        <v>6</v>
      </c>
      <c r="J187" s="16" t="inlineStr">
        <is>
          <t>Jun</t>
        </is>
      </c>
      <c r="K187" s="16" t="n"/>
      <c r="M187" s="89" t="n">
        <v>-560</v>
      </c>
      <c r="N187" s="1" t="inlineStr">
        <is>
          <t>12.7 - TRANSPORTE FUNCIONARIOS</t>
        </is>
      </c>
      <c r="O187" s="1" t="n"/>
      <c r="P187" s="1" t="n"/>
      <c r="Q187" s="1" t="n"/>
      <c r="R187" s="1" t="n">
        <v>2025</v>
      </c>
    </row>
    <row r="188">
      <c r="A188" s="61" t="n">
        <v>45814</v>
      </c>
      <c r="B188" s="16" t="inlineStr">
        <is>
          <t>UBER JULIANO</t>
        </is>
      </c>
      <c r="C188" s="90" t="n"/>
      <c r="D188" s="90" t="n">
        <v>1380</v>
      </c>
      <c r="E188" s="90" t="n">
        <v>-1380</v>
      </c>
      <c r="F188" s="16" t="inlineStr">
        <is>
          <t>12.7 - TRANSPORTE FUNCIONARIOS</t>
        </is>
      </c>
      <c r="G188" s="16" t="inlineStr">
        <is>
          <t>NIOBIO CMOC CONTRATO</t>
        </is>
      </c>
      <c r="H188" s="63" t="n">
        <v>2025</v>
      </c>
      <c r="I188" s="64" t="n">
        <v>6</v>
      </c>
      <c r="J188" s="16" t="inlineStr">
        <is>
          <t>Jun</t>
        </is>
      </c>
      <c r="K188" s="16" t="n"/>
      <c r="M188" s="89" t="n">
        <v>-1380</v>
      </c>
      <c r="N188" s="1" t="inlineStr">
        <is>
          <t>12.7 - TRANSPORTE FUNCIONARIOS</t>
        </is>
      </c>
      <c r="O188" s="1" t="n"/>
      <c r="P188" s="1" t="n"/>
      <c r="Q188" s="1" t="n"/>
      <c r="R188" s="1" t="n">
        <v>2025</v>
      </c>
    </row>
    <row r="189">
      <c r="A189" s="61" t="n">
        <v>45814</v>
      </c>
      <c r="B189" s="16" t="inlineStr">
        <is>
          <t>VATIC TECNOLOGIA VILMAR</t>
        </is>
      </c>
      <c r="C189" s="90" t="n"/>
      <c r="D189" s="90" t="n">
        <v>730.9400000000001</v>
      </c>
      <c r="E189" s="90" t="n">
        <v>-730.9400000000001</v>
      </c>
      <c r="F189" s="16" t="inlineStr">
        <is>
          <t>11.8 - SISTEMA / SERVIDOR</t>
        </is>
      </c>
      <c r="G189" s="16" t="inlineStr">
        <is>
          <t>ADMINISTRATIVO</t>
        </is>
      </c>
      <c r="H189" s="63" t="n">
        <v>2025</v>
      </c>
      <c r="I189" s="64" t="n">
        <v>6</v>
      </c>
      <c r="J189" s="16" t="inlineStr">
        <is>
          <t>Jun</t>
        </is>
      </c>
      <c r="K189" s="16" t="n"/>
      <c r="M189" s="89" t="n">
        <v>-730.9400000000001</v>
      </c>
      <c r="N189" s="1" t="inlineStr">
        <is>
          <t>SISTEMA / SERVIDOR</t>
        </is>
      </c>
      <c r="O189" s="1" t="inlineStr">
        <is>
          <t>Despesas Administrativas</t>
        </is>
      </c>
      <c r="P189" s="1" t="inlineStr">
        <is>
          <t>(-)Gastos Fixos</t>
        </is>
      </c>
      <c r="Q189" s="1" t="n">
        <v>4</v>
      </c>
      <c r="R189" s="1" t="n">
        <v>2025</v>
      </c>
    </row>
    <row r="190">
      <c r="A190" s="61" t="n">
        <v>45814</v>
      </c>
      <c r="B190" s="16" t="inlineStr">
        <is>
          <t>HOTEIS OBRAS</t>
        </is>
      </c>
      <c r="C190" s="90" t="n"/>
      <c r="D190" s="90" t="n">
        <v>330</v>
      </c>
      <c r="E190" s="90" t="n">
        <v>-330</v>
      </c>
      <c r="F190" s="16" t="inlineStr">
        <is>
          <t>5.1 - HOTEL FUNCIONARIOS</t>
        </is>
      </c>
      <c r="G190" s="16" t="inlineStr">
        <is>
          <t>ADMINISTRATIVO</t>
        </is>
      </c>
      <c r="H190" s="63" t="n">
        <v>2025</v>
      </c>
      <c r="I190" s="64" t="n">
        <v>6</v>
      </c>
      <c r="J190" s="16" t="inlineStr">
        <is>
          <t>Jun</t>
        </is>
      </c>
      <c r="K190" s="16" t="n"/>
      <c r="M190" s="89" t="n">
        <v>-330</v>
      </c>
      <c r="N190" s="1" t="inlineStr">
        <is>
          <t>5.1 - HOTEL FUNCIONARIOS</t>
        </is>
      </c>
      <c r="O190" s="1" t="n"/>
      <c r="P190" s="1" t="n"/>
      <c r="Q190" s="1" t="n"/>
      <c r="R190" s="1" t="n">
        <v>2025</v>
      </c>
    </row>
    <row r="191">
      <c r="A191" s="61" t="n">
        <v>45814</v>
      </c>
      <c r="B191" s="16" t="inlineStr">
        <is>
          <t>FGTS</t>
        </is>
      </c>
      <c r="C191" s="90" t="n"/>
      <c r="D191" s="90" t="n">
        <v>960</v>
      </c>
      <c r="E191" s="90" t="n">
        <v>-960</v>
      </c>
      <c r="F191" s="16" t="inlineStr">
        <is>
          <t>12.14 - FGTS FUNCIONARIOS</t>
        </is>
      </c>
      <c r="G191" s="16" t="inlineStr">
        <is>
          <t>ADMINISTRATIVO</t>
        </is>
      </c>
      <c r="H191" s="63" t="n">
        <v>2025</v>
      </c>
      <c r="I191" s="64" t="n">
        <v>6</v>
      </c>
      <c r="J191" s="16" t="inlineStr">
        <is>
          <t>Jun</t>
        </is>
      </c>
      <c r="K191" s="16" t="n"/>
      <c r="M191" s="89" t="n">
        <v>-960</v>
      </c>
      <c r="N191" s="1" t="inlineStr">
        <is>
          <t>FGTS FUNCIONARIOS</t>
        </is>
      </c>
      <c r="O191" s="1" t="inlineStr">
        <is>
          <t>Despesas com Pessoal</t>
        </is>
      </c>
      <c r="P191" s="1" t="inlineStr">
        <is>
          <t>(-)Gastos Fixos</t>
        </is>
      </c>
      <c r="Q191" s="1" t="n">
        <v>4</v>
      </c>
      <c r="R191" s="1" t="n">
        <v>2025</v>
      </c>
    </row>
    <row r="192">
      <c r="A192" s="61" t="n">
        <v>45814</v>
      </c>
      <c r="B192" s="16" t="inlineStr">
        <is>
          <t>ALEX INFORMATICA XCELL CELULARES E COMPUTADORES</t>
        </is>
      </c>
      <c r="C192" s="90" t="n"/>
      <c r="D192" s="90" t="n">
        <v>1000</v>
      </c>
      <c r="E192" s="90" t="n">
        <v>-1000</v>
      </c>
      <c r="F192" s="16" t="inlineStr">
        <is>
          <t>11.8 - SISTEMA / SERVIDOR</t>
        </is>
      </c>
      <c r="G192" s="16" t="inlineStr">
        <is>
          <t>ADMINISTRATIVO</t>
        </is>
      </c>
      <c r="H192" s="63" t="n">
        <v>2025</v>
      </c>
      <c r="I192" s="64" t="n">
        <v>6</v>
      </c>
      <c r="J192" s="16" t="inlineStr">
        <is>
          <t>Jun</t>
        </is>
      </c>
      <c r="K192" s="16" t="n"/>
      <c r="M192" s="89" t="n">
        <v>-1000</v>
      </c>
      <c r="N192" s="1" t="inlineStr">
        <is>
          <t>SISTEMA / SERVIDOR</t>
        </is>
      </c>
      <c r="O192" s="1" t="inlineStr">
        <is>
          <t>Despesas Administrativas</t>
        </is>
      </c>
      <c r="P192" s="1" t="inlineStr">
        <is>
          <t>(-)Gastos Fixos</t>
        </is>
      </c>
      <c r="Q192" s="1" t="n">
        <v>4</v>
      </c>
      <c r="R192" s="1" t="n">
        <v>2025</v>
      </c>
    </row>
    <row r="193">
      <c r="A193" s="61" t="n">
        <v>45814</v>
      </c>
      <c r="B193" s="16" t="inlineStr">
        <is>
          <t>AGSMB ASSOSIAÇAO GOIANIA DE SOCORRO</t>
        </is>
      </c>
      <c r="C193" s="90" t="n"/>
      <c r="D193" s="90" t="n">
        <v>600</v>
      </c>
      <c r="E193" s="90" t="n">
        <v>-600</v>
      </c>
      <c r="F193" s="16" t="inlineStr">
        <is>
          <t>6.5 - SEGUROS DE VEICULOS</t>
        </is>
      </c>
      <c r="G193" s="16" t="inlineStr">
        <is>
          <t>VEICULOS</t>
        </is>
      </c>
      <c r="H193" s="63" t="n">
        <v>2025</v>
      </c>
      <c r="I193" s="64" t="n">
        <v>6</v>
      </c>
      <c r="J193" s="16" t="inlineStr">
        <is>
          <t>Jun</t>
        </is>
      </c>
      <c r="K193" s="16" t="n"/>
      <c r="M193" s="89" t="n">
        <v>-600</v>
      </c>
      <c r="N193" s="1" t="inlineStr">
        <is>
          <t>SEGUROS DE VEICULOS</t>
        </is>
      </c>
      <c r="O193" s="1" t="inlineStr">
        <is>
          <t>Despesas com Veículos e Equipamentos</t>
        </is>
      </c>
      <c r="P193" s="1" t="inlineStr">
        <is>
          <t>(-)Gastos Fixos</t>
        </is>
      </c>
      <c r="Q193" s="1" t="n">
        <v>4</v>
      </c>
      <c r="R193" s="1" t="n">
        <v>2025</v>
      </c>
    </row>
    <row r="194">
      <c r="A194" s="61" t="n">
        <v>45814</v>
      </c>
      <c r="B194" s="16" t="inlineStr">
        <is>
          <t>UBER MOACIR</t>
        </is>
      </c>
      <c r="C194" s="90" t="n"/>
      <c r="D194" s="90" t="n">
        <v>50</v>
      </c>
      <c r="E194" s="90" t="n">
        <v>-50</v>
      </c>
      <c r="F194" s="16" t="inlineStr">
        <is>
          <t>3.8 - SERVIÇO MOTOBOY / UBER</t>
        </is>
      </c>
      <c r="G194" s="16" t="inlineStr">
        <is>
          <t>ADMINISTRATIVO</t>
        </is>
      </c>
      <c r="H194" s="63" t="n">
        <v>2025</v>
      </c>
      <c r="I194" s="64" t="n">
        <v>6</v>
      </c>
      <c r="J194" s="16" t="inlineStr">
        <is>
          <t>Jun</t>
        </is>
      </c>
      <c r="K194" s="16" t="n"/>
      <c r="M194" s="89" t="n">
        <v>-50</v>
      </c>
      <c r="N194" s="1" t="inlineStr">
        <is>
          <t>SERVIÇO MOTOBOY / UBER</t>
        </is>
      </c>
      <c r="O194" s="1" t="inlineStr">
        <is>
          <t>Despesas Administrativas</t>
        </is>
      </c>
      <c r="P194" s="1" t="inlineStr">
        <is>
          <t>(-)Gastos Fixos</t>
        </is>
      </c>
      <c r="Q194" s="1" t="n">
        <v>4</v>
      </c>
      <c r="R194" s="1" t="n">
        <v>2025</v>
      </c>
    </row>
    <row r="195">
      <c r="A195" s="61" t="n">
        <v>45814</v>
      </c>
      <c r="B195" s="16" t="inlineStr">
        <is>
          <t>FOLHA DE PAGAMENTO</t>
        </is>
      </c>
      <c r="C195" s="90" t="n"/>
      <c r="D195" s="90" t="n">
        <v>51989.7</v>
      </c>
      <c r="E195" s="90" t="n">
        <v>-51989.7</v>
      </c>
      <c r="F195" s="16" t="inlineStr">
        <is>
          <t>12.1 - SALARIO</t>
        </is>
      </c>
      <c r="G195" s="16" t="inlineStr">
        <is>
          <t>ADMINISTRATIVO</t>
        </is>
      </c>
      <c r="H195" s="63" t="n">
        <v>2025</v>
      </c>
      <c r="I195" s="64" t="n">
        <v>6</v>
      </c>
      <c r="J195" s="16" t="inlineStr">
        <is>
          <t>Jun</t>
        </is>
      </c>
      <c r="K195" s="16" t="n"/>
      <c r="M195" s="89" t="n">
        <v>-51989.7</v>
      </c>
      <c r="N195" s="1" t="inlineStr">
        <is>
          <t>SALARIO</t>
        </is>
      </c>
      <c r="O195" s="1" t="inlineStr">
        <is>
          <t>Despesas com Pessoal</t>
        </is>
      </c>
      <c r="P195" s="1" t="inlineStr">
        <is>
          <t>(-)Gastos Fixos</t>
        </is>
      </c>
      <c r="Q195" s="1" t="n">
        <v>4</v>
      </c>
      <c r="R195" s="1" t="n">
        <v>2025</v>
      </c>
    </row>
    <row r="196">
      <c r="A196" s="61" t="n">
        <v>45814</v>
      </c>
      <c r="B196" s="16" t="inlineStr">
        <is>
          <t>FOLHA DE PAGAMENTO</t>
        </is>
      </c>
      <c r="C196" s="90" t="n"/>
      <c r="D196" s="90" t="n">
        <v>110354.62</v>
      </c>
      <c r="E196" s="90" t="n">
        <v>-110354.62</v>
      </c>
      <c r="F196" s="16" t="inlineStr">
        <is>
          <t>12.1 - SALARIO</t>
        </is>
      </c>
      <c r="G196" s="16" t="inlineStr">
        <is>
          <t>VLI PINTURA</t>
        </is>
      </c>
      <c r="H196" s="63" t="n">
        <v>2025</v>
      </c>
      <c r="I196" s="64" t="n">
        <v>6</v>
      </c>
      <c r="J196" s="16" t="inlineStr">
        <is>
          <t>Jun</t>
        </is>
      </c>
      <c r="K196" s="16" t="n"/>
      <c r="M196" s="89" t="n">
        <v>-110354.62</v>
      </c>
      <c r="N196" s="1" t="inlineStr">
        <is>
          <t>SALARIO</t>
        </is>
      </c>
      <c r="O196" s="1" t="inlineStr">
        <is>
          <t>Despesas com Pessoal</t>
        </is>
      </c>
      <c r="P196" s="1" t="inlineStr">
        <is>
          <t>(-)Gastos Fixos</t>
        </is>
      </c>
      <c r="Q196" s="1" t="n">
        <v>4</v>
      </c>
      <c r="R196" s="1" t="n">
        <v>2025</v>
      </c>
    </row>
    <row r="197">
      <c r="A197" s="61" t="n">
        <v>45814</v>
      </c>
      <c r="B197" s="16" t="inlineStr">
        <is>
          <t>FOLHA DE PAGAMENTO</t>
        </is>
      </c>
      <c r="C197" s="90" t="n"/>
      <c r="D197" s="90" t="n">
        <v>19268.79</v>
      </c>
      <c r="E197" s="90" t="n">
        <v>-19268.79</v>
      </c>
      <c r="F197" s="16" t="inlineStr">
        <is>
          <t>12.1 - SALARIO</t>
        </is>
      </c>
      <c r="G197" s="16" t="inlineStr">
        <is>
          <t>ADMINISTRATIVO</t>
        </is>
      </c>
      <c r="H197" s="63" t="n">
        <v>2025</v>
      </c>
      <c r="I197" s="64" t="n">
        <v>6</v>
      </c>
      <c r="J197" s="16" t="inlineStr">
        <is>
          <t>Jun</t>
        </is>
      </c>
      <c r="K197" s="16" t="n"/>
      <c r="M197" s="89" t="n">
        <v>-19268.79</v>
      </c>
      <c r="N197" s="1" t="inlineStr">
        <is>
          <t>SALARIO</t>
        </is>
      </c>
      <c r="O197" s="1" t="inlineStr">
        <is>
          <t>Despesas com Pessoal</t>
        </is>
      </c>
      <c r="P197" s="1" t="inlineStr">
        <is>
          <t>(-)Gastos Fixos</t>
        </is>
      </c>
      <c r="Q197" s="1" t="n">
        <v>4</v>
      </c>
      <c r="R197" s="1" t="n">
        <v>2025</v>
      </c>
    </row>
    <row r="198">
      <c r="A198" s="61" t="n">
        <v>45814</v>
      </c>
      <c r="B198" s="16" t="inlineStr">
        <is>
          <t>FOLHA DE PAGAMENTO</t>
        </is>
      </c>
      <c r="C198" s="90" t="n"/>
      <c r="D198" s="90" t="n">
        <v>57862.9</v>
      </c>
      <c r="E198" s="90" t="n">
        <v>-57862.9</v>
      </c>
      <c r="F198" s="16" t="inlineStr">
        <is>
          <t>12.1 - SALARIO</t>
        </is>
      </c>
      <c r="G198" s="16" t="inlineStr">
        <is>
          <t>MOSAIC UBERABA CONTRAT0 3 ANOS</t>
        </is>
      </c>
      <c r="H198" s="63" t="n">
        <v>2025</v>
      </c>
      <c r="I198" s="64" t="n">
        <v>6</v>
      </c>
      <c r="J198" s="16" t="inlineStr">
        <is>
          <t>Jun</t>
        </is>
      </c>
      <c r="K198" s="16" t="n"/>
      <c r="M198" s="89" t="n">
        <v>-57862.9</v>
      </c>
      <c r="N198" s="1" t="inlineStr">
        <is>
          <t>SALARIO</t>
        </is>
      </c>
      <c r="O198" s="1" t="inlineStr">
        <is>
          <t>Despesas com Pessoal</t>
        </is>
      </c>
      <c r="P198" s="1" t="inlineStr">
        <is>
          <t>(-)Gastos Fixos</t>
        </is>
      </c>
      <c r="Q198" s="1" t="n">
        <v>4</v>
      </c>
      <c r="R198" s="1" t="n">
        <v>2025</v>
      </c>
    </row>
    <row r="199">
      <c r="A199" s="61" t="n">
        <v>45814</v>
      </c>
      <c r="B199" s="16" t="inlineStr">
        <is>
          <t>FOLHA DE PAGAMENTO</t>
        </is>
      </c>
      <c r="C199" s="90" t="n"/>
      <c r="D199" s="90" t="n">
        <v>52891.2</v>
      </c>
      <c r="E199" s="90" t="n">
        <v>-52891.2</v>
      </c>
      <c r="F199" s="16" t="inlineStr">
        <is>
          <t>12.1 - SALARIO</t>
        </is>
      </c>
      <c r="G199" s="16" t="inlineStr">
        <is>
          <t>ANGLO AMERICAN</t>
        </is>
      </c>
      <c r="H199" s="63" t="n">
        <v>2025</v>
      </c>
      <c r="I199" s="64" t="n">
        <v>6</v>
      </c>
      <c r="J199" s="16" t="inlineStr">
        <is>
          <t>Jun</t>
        </is>
      </c>
      <c r="K199" s="16" t="n"/>
      <c r="M199" s="89" t="n">
        <v>-52891.2</v>
      </c>
      <c r="N199" s="1" t="inlineStr">
        <is>
          <t>SALARIO</t>
        </is>
      </c>
      <c r="O199" s="1" t="inlineStr">
        <is>
          <t>Despesas com Pessoal</t>
        </is>
      </c>
      <c r="P199" s="1" t="inlineStr">
        <is>
          <t>(-)Gastos Fixos</t>
        </is>
      </c>
      <c r="Q199" s="1" t="n">
        <v>4</v>
      </c>
      <c r="R199" s="1" t="n">
        <v>2025</v>
      </c>
    </row>
    <row r="200">
      <c r="A200" s="61" t="n">
        <v>45814</v>
      </c>
      <c r="B200" s="16" t="inlineStr">
        <is>
          <t>FOLHA DE PAGAMENTO</t>
        </is>
      </c>
      <c r="C200" s="90" t="n"/>
      <c r="D200" s="90" t="n">
        <v>26350.14</v>
      </c>
      <c r="E200" s="90" t="n">
        <v>-26350.14</v>
      </c>
      <c r="F200" s="16" t="inlineStr">
        <is>
          <t>12.1 - SALARIO</t>
        </is>
      </c>
      <c r="G200" s="16" t="inlineStr">
        <is>
          <t>EUROCHEM SERRA DO SALITRE</t>
        </is>
      </c>
      <c r="H200" s="63" t="n">
        <v>2025</v>
      </c>
      <c r="I200" s="64" t="n">
        <v>6</v>
      </c>
      <c r="J200" s="16" t="inlineStr">
        <is>
          <t>Jun</t>
        </is>
      </c>
      <c r="K200" s="16" t="n"/>
      <c r="M200" s="89" t="n">
        <v>-26350.14</v>
      </c>
      <c r="N200" s="1" t="inlineStr">
        <is>
          <t>SALARIO</t>
        </is>
      </c>
      <c r="O200" s="1" t="inlineStr">
        <is>
          <t>Despesas com Pessoal</t>
        </is>
      </c>
      <c r="P200" s="1" t="inlineStr">
        <is>
          <t>(-)Gastos Fixos</t>
        </is>
      </c>
      <c r="Q200" s="1" t="n">
        <v>4</v>
      </c>
      <c r="R200" s="1" t="n">
        <v>2025</v>
      </c>
    </row>
    <row r="201">
      <c r="A201" s="61" t="n">
        <v>45814</v>
      </c>
      <c r="B201" s="16" t="inlineStr">
        <is>
          <t>FOLHA DE PAGAMENTO</t>
        </is>
      </c>
      <c r="C201" s="90" t="n"/>
      <c r="D201" s="90" t="n">
        <v>29733.29</v>
      </c>
      <c r="E201" s="90" t="n">
        <v>-29733.29</v>
      </c>
      <c r="F201" s="16" t="inlineStr">
        <is>
          <t>12.1 - SALARIO</t>
        </is>
      </c>
      <c r="G201" s="16" t="inlineStr">
        <is>
          <t>SERENA 21 TORRES 2024</t>
        </is>
      </c>
      <c r="H201" s="63" t="n">
        <v>2025</v>
      </c>
      <c r="I201" s="64" t="n">
        <v>6</v>
      </c>
      <c r="J201" s="16" t="inlineStr">
        <is>
          <t>Jun</t>
        </is>
      </c>
      <c r="K201" s="16" t="n"/>
      <c r="M201" s="89" t="n">
        <v>-29733.29</v>
      </c>
      <c r="N201" s="1" t="inlineStr">
        <is>
          <t>SALARIO</t>
        </is>
      </c>
      <c r="O201" s="1" t="inlineStr">
        <is>
          <t>Despesas com Pessoal</t>
        </is>
      </c>
      <c r="P201" s="1" t="inlineStr">
        <is>
          <t>(-)Gastos Fixos</t>
        </is>
      </c>
      <c r="Q201" s="1" t="n">
        <v>4</v>
      </c>
      <c r="R201" s="1" t="n">
        <v>2025</v>
      </c>
    </row>
    <row r="202">
      <c r="A202" s="61" t="n">
        <v>45814</v>
      </c>
      <c r="B202" s="16" t="inlineStr">
        <is>
          <t>FOLHA DE PAGAMENTO</t>
        </is>
      </c>
      <c r="C202" s="90" t="n"/>
      <c r="D202" s="90" t="n">
        <v>25053.6</v>
      </c>
      <c r="E202" s="90" t="n">
        <v>-25053.6</v>
      </c>
      <c r="F202" s="16" t="inlineStr">
        <is>
          <t>12.1 - SALARIO</t>
        </is>
      </c>
      <c r="G202" s="16" t="inlineStr">
        <is>
          <t>FOSFATO CMOC CONTRAT</t>
        </is>
      </c>
      <c r="H202" s="63" t="n">
        <v>2025</v>
      </c>
      <c r="I202" s="64" t="n">
        <v>6</v>
      </c>
      <c r="J202" s="16" t="inlineStr">
        <is>
          <t>Jun</t>
        </is>
      </c>
      <c r="K202" s="16" t="n"/>
      <c r="M202" s="89" t="n">
        <v>-25053.6</v>
      </c>
      <c r="N202" s="1" t="inlineStr">
        <is>
          <t>SALARIO</t>
        </is>
      </c>
      <c r="O202" s="1" t="inlineStr">
        <is>
          <t>Despesas com Pessoal</t>
        </is>
      </c>
      <c r="P202" s="1" t="inlineStr">
        <is>
          <t>(-)Gastos Fixos</t>
        </is>
      </c>
      <c r="Q202" s="1" t="n">
        <v>4</v>
      </c>
      <c r="R202" s="1" t="n">
        <v>2025</v>
      </c>
    </row>
    <row r="203">
      <c r="A203" s="61" t="n">
        <v>45814</v>
      </c>
      <c r="B203" s="16" t="inlineStr">
        <is>
          <t>FOLHA DE PAGAMENTO</t>
        </is>
      </c>
      <c r="C203" s="90" t="n"/>
      <c r="D203" s="90" t="n">
        <v>34827.16</v>
      </c>
      <c r="E203" s="90" t="n">
        <v>-34827.16</v>
      </c>
      <c r="F203" s="16" t="inlineStr">
        <is>
          <t>12.1 - SALARIO</t>
        </is>
      </c>
      <c r="G203" s="16" t="inlineStr">
        <is>
          <t>NIOBIO CMOC CONTRATO</t>
        </is>
      </c>
      <c r="H203" s="63" t="n">
        <v>2025</v>
      </c>
      <c r="I203" s="64" t="n">
        <v>6</v>
      </c>
      <c r="J203" s="16" t="inlineStr">
        <is>
          <t>Jun</t>
        </is>
      </c>
      <c r="K203" s="16" t="n"/>
      <c r="M203" s="89" t="n">
        <v>-34827.16</v>
      </c>
      <c r="N203" s="1" t="inlineStr">
        <is>
          <t>SALARIO</t>
        </is>
      </c>
      <c r="O203" s="1" t="inlineStr">
        <is>
          <t>Despesas com Pessoal</t>
        </is>
      </c>
      <c r="P203" s="1" t="inlineStr">
        <is>
          <t>(-)Gastos Fixos</t>
        </is>
      </c>
      <c r="Q203" s="1" t="n">
        <v>4</v>
      </c>
      <c r="R203" s="1" t="n">
        <v>2025</v>
      </c>
    </row>
    <row r="204">
      <c r="A204" s="61" t="n">
        <v>45814</v>
      </c>
      <c r="B204" s="16" t="inlineStr">
        <is>
          <t>FOLHA DE PAGAMENTO</t>
        </is>
      </c>
      <c r="C204" s="90" t="n"/>
      <c r="D204" s="90" t="n">
        <v>7719.67</v>
      </c>
      <c r="E204" s="90" t="n">
        <v>-7719.67</v>
      </c>
      <c r="F204" s="16" t="inlineStr">
        <is>
          <t>12.1 - SALARIO</t>
        </is>
      </c>
      <c r="G204" s="16" t="inlineStr">
        <is>
          <t>LOTE TRINDADE</t>
        </is>
      </c>
      <c r="H204" s="63" t="n">
        <v>2025</v>
      </c>
      <c r="I204" s="64" t="n">
        <v>6</v>
      </c>
      <c r="J204" s="16" t="inlineStr">
        <is>
          <t>Jun</t>
        </is>
      </c>
      <c r="K204" s="16" t="n"/>
      <c r="M204" s="89" t="n">
        <v>-7719.67</v>
      </c>
      <c r="N204" s="1" t="inlineStr">
        <is>
          <t>SALARIO</t>
        </is>
      </c>
      <c r="O204" s="1" t="inlineStr">
        <is>
          <t>Despesas com Pessoal</t>
        </is>
      </c>
      <c r="P204" s="1" t="inlineStr">
        <is>
          <t>(-)Gastos Fixos</t>
        </is>
      </c>
      <c r="Q204" s="1" t="n">
        <v>4</v>
      </c>
      <c r="R204" s="1" t="n">
        <v>2025</v>
      </c>
    </row>
    <row r="205">
      <c r="A205" s="61" t="n">
        <v>45814</v>
      </c>
      <c r="B205" s="16" t="inlineStr">
        <is>
          <t>FOLHA DE PAGAMENTO</t>
        </is>
      </c>
      <c r="C205" s="90" t="n"/>
      <c r="D205" s="90" t="n">
        <v>39171.68</v>
      </c>
      <c r="E205" s="90" t="n">
        <v>-39171.68</v>
      </c>
      <c r="F205" s="16" t="inlineStr">
        <is>
          <t>12.1 - SALARIO</t>
        </is>
      </c>
      <c r="G205" s="16" t="inlineStr">
        <is>
          <t>FOSFATO CMOC CONTRAT</t>
        </is>
      </c>
      <c r="H205" s="63" t="n">
        <v>2025</v>
      </c>
      <c r="I205" s="64" t="n">
        <v>6</v>
      </c>
      <c r="J205" s="16" t="inlineStr">
        <is>
          <t>Jun</t>
        </is>
      </c>
      <c r="K205" s="16" t="n"/>
      <c r="M205" s="89" t="n">
        <v>-39171.68</v>
      </c>
      <c r="N205" s="1" t="inlineStr">
        <is>
          <t>SALARIO</t>
        </is>
      </c>
      <c r="O205" s="1" t="inlineStr">
        <is>
          <t>Despesas com Pessoal</t>
        </is>
      </c>
      <c r="P205" s="1" t="inlineStr">
        <is>
          <t>(-)Gastos Fixos</t>
        </is>
      </c>
      <c r="Q205" s="1" t="n">
        <v>4</v>
      </c>
      <c r="R205" s="1" t="n">
        <v>2025</v>
      </c>
    </row>
    <row r="206">
      <c r="A206" s="61" t="n">
        <v>45814</v>
      </c>
      <c r="B206" s="16" t="inlineStr">
        <is>
          <t>DESPESAS LOTE TRINDADE AIDEAL</t>
        </is>
      </c>
      <c r="C206" s="90" t="n"/>
      <c r="D206" s="90" t="n">
        <v>7820</v>
      </c>
      <c r="E206" s="90" t="n">
        <v>-7820</v>
      </c>
      <c r="F206" s="16" t="inlineStr">
        <is>
          <t>15.7 - DESPESAS C/ GALPÃO ALMOXARIFADO</t>
        </is>
      </c>
      <c r="G206" s="16" t="inlineStr">
        <is>
          <t>LOTE TRINDADE</t>
        </is>
      </c>
      <c r="H206" s="63" t="n">
        <v>2025</v>
      </c>
      <c r="I206" s="64" t="n">
        <v>6</v>
      </c>
      <c r="J206" s="16" t="inlineStr">
        <is>
          <t>Jun</t>
        </is>
      </c>
      <c r="K206" s="16" t="n"/>
      <c r="M206" s="89" t="n">
        <v>-7820</v>
      </c>
      <c r="N206" s="1" t="inlineStr">
        <is>
          <t>Construção da Nova Sede</t>
        </is>
      </c>
      <c r="O206" s="1" t="inlineStr">
        <is>
          <t>Investimentos</t>
        </is>
      </c>
      <c r="P206" s="1" t="inlineStr">
        <is>
          <t>(-)Investimentos</t>
        </is>
      </c>
      <c r="Q206" s="1" t="n">
        <v>8</v>
      </c>
      <c r="R206" s="1" t="n">
        <v>2025</v>
      </c>
    </row>
    <row r="207">
      <c r="A207" s="61" t="n">
        <v>45814</v>
      </c>
      <c r="B207" s="16" t="inlineStr">
        <is>
          <t>DESPESAS LOTE TRINDADE AIDEAL</t>
        </is>
      </c>
      <c r="C207" s="90" t="n"/>
      <c r="D207" s="90" t="n">
        <v>5600</v>
      </c>
      <c r="E207" s="90" t="n">
        <v>-5600</v>
      </c>
      <c r="F207" s="16" t="inlineStr">
        <is>
          <t>15.7 - DESPESAS C/ GALPÃO ALMOXARIFADO</t>
        </is>
      </c>
      <c r="G207" s="16" t="inlineStr">
        <is>
          <t>LOTE TRINDADE</t>
        </is>
      </c>
      <c r="H207" s="63" t="n">
        <v>2025</v>
      </c>
      <c r="I207" s="64" t="n">
        <v>6</v>
      </c>
      <c r="J207" s="16" t="inlineStr">
        <is>
          <t>Jun</t>
        </is>
      </c>
      <c r="K207" s="16" t="n"/>
      <c r="M207" s="89" t="n">
        <v>-5600</v>
      </c>
      <c r="N207" s="1" t="inlineStr">
        <is>
          <t>Construção da Nova Sede</t>
        </is>
      </c>
      <c r="O207" s="1" t="inlineStr">
        <is>
          <t>Investimentos</t>
        </is>
      </c>
      <c r="P207" s="1" t="inlineStr">
        <is>
          <t>(-)Investimentos</t>
        </is>
      </c>
      <c r="Q207" s="1" t="n">
        <v>8</v>
      </c>
      <c r="R207" s="1" t="n">
        <v>2025</v>
      </c>
    </row>
    <row r="208">
      <c r="A208" s="61" t="n">
        <v>45814</v>
      </c>
      <c r="B208" s="16" t="inlineStr">
        <is>
          <t>DESPESAS LOTE TRINDADE AIDEAL</t>
        </is>
      </c>
      <c r="C208" s="90" t="n"/>
      <c r="D208" s="90" t="n">
        <v>1100</v>
      </c>
      <c r="E208" s="90" t="n">
        <v>-1100</v>
      </c>
      <c r="F208" s="16" t="inlineStr">
        <is>
          <t>15.4 - DESPESAS C/ CONSTRUÇÃO ESCRITORIO ADM</t>
        </is>
      </c>
      <c r="G208" s="16" t="inlineStr">
        <is>
          <t>LOTE TRINDADE</t>
        </is>
      </c>
      <c r="H208" s="63" t="n">
        <v>2025</v>
      </c>
      <c r="I208" s="64" t="n">
        <v>6</v>
      </c>
      <c r="J208" s="16" t="inlineStr">
        <is>
          <t>Jun</t>
        </is>
      </c>
      <c r="K208" s="16" t="n"/>
      <c r="M208" s="89" t="n">
        <v>-1100</v>
      </c>
      <c r="N208" s="1" t="inlineStr">
        <is>
          <t>Construção da Nova Sede</t>
        </is>
      </c>
      <c r="O208" s="1" t="inlineStr">
        <is>
          <t>Investimentos</t>
        </is>
      </c>
      <c r="P208" s="1" t="inlineStr">
        <is>
          <t>(-)Investimentos</t>
        </is>
      </c>
      <c r="Q208" s="1" t="n">
        <v>8</v>
      </c>
      <c r="R208" s="1" t="n">
        <v>2025</v>
      </c>
    </row>
    <row r="209">
      <c r="A209" s="61" t="n">
        <v>45814</v>
      </c>
      <c r="B209" s="16" t="inlineStr">
        <is>
          <t>DESPESAS LOTE TRINDADE AIDEAL</t>
        </is>
      </c>
      <c r="C209" s="90" t="n"/>
      <c r="D209" s="90" t="n">
        <v>1106</v>
      </c>
      <c r="E209" s="90" t="n">
        <v>-1106</v>
      </c>
      <c r="F209" s="16" t="inlineStr">
        <is>
          <t>15.4 - DESPESAS C/ CONSTRUÇÃO ESCRITORIO ADM</t>
        </is>
      </c>
      <c r="G209" s="16" t="inlineStr">
        <is>
          <t>LOTE TRINDADE</t>
        </is>
      </c>
      <c r="H209" s="63" t="n">
        <v>2025</v>
      </c>
      <c r="I209" s="64" t="n">
        <v>6</v>
      </c>
      <c r="J209" s="16" t="inlineStr">
        <is>
          <t>Jun</t>
        </is>
      </c>
      <c r="K209" s="16" t="n"/>
      <c r="M209" s="89" t="n">
        <v>-1106</v>
      </c>
      <c r="N209" s="1" t="inlineStr">
        <is>
          <t>Construção da Nova Sede</t>
        </is>
      </c>
      <c r="O209" s="1" t="inlineStr">
        <is>
          <t>Investimentos</t>
        </is>
      </c>
      <c r="P209" s="1" t="inlineStr">
        <is>
          <t>(-)Investimentos</t>
        </is>
      </c>
      <c r="Q209" s="1" t="n">
        <v>8</v>
      </c>
      <c r="R209" s="1" t="n">
        <v>2025</v>
      </c>
    </row>
    <row r="210">
      <c r="A210" s="61" t="n">
        <v>45814</v>
      </c>
      <c r="B210" s="16" t="inlineStr">
        <is>
          <t>DESPESAS LOTE TRINDADE AIDEAL</t>
        </is>
      </c>
      <c r="C210" s="90" t="n"/>
      <c r="D210" s="90" t="n">
        <v>6673.759999</v>
      </c>
      <c r="E210" s="90" t="n">
        <v>-6673.759999</v>
      </c>
      <c r="F210" s="16" t="inlineStr">
        <is>
          <t>15.7 - DESPESAS C/ GALPÃO ALMOXARIFADO</t>
        </is>
      </c>
      <c r="G210" s="16" t="inlineStr">
        <is>
          <t>LOTE TRINDADE</t>
        </is>
      </c>
      <c r="H210" s="63" t="n">
        <v>2025</v>
      </c>
      <c r="I210" s="64" t="n">
        <v>6</v>
      </c>
      <c r="J210" s="16" t="inlineStr">
        <is>
          <t>Jun</t>
        </is>
      </c>
      <c r="K210" s="16" t="n"/>
      <c r="M210" s="89" t="n">
        <v>-6673.759999</v>
      </c>
      <c r="N210" s="1" t="inlineStr">
        <is>
          <t>Construção da Nova Sede</t>
        </is>
      </c>
      <c r="O210" s="1" t="inlineStr">
        <is>
          <t>Investimentos</t>
        </is>
      </c>
      <c r="P210" s="1" t="inlineStr">
        <is>
          <t>(-)Investimentos</t>
        </is>
      </c>
      <c r="Q210" s="1" t="n">
        <v>8</v>
      </c>
      <c r="R210" s="1" t="n">
        <v>2025</v>
      </c>
    </row>
    <row r="211">
      <c r="A211" s="61" t="n">
        <v>45814</v>
      </c>
      <c r="B211" s="16" t="inlineStr">
        <is>
          <t>DESPESAS LOTE TRINDADE AIDEAL</t>
        </is>
      </c>
      <c r="C211" s="90" t="n"/>
      <c r="D211" s="90" t="n">
        <v>6673.77</v>
      </c>
      <c r="E211" s="90" t="n">
        <v>-6673.77</v>
      </c>
      <c r="F211" s="16" t="inlineStr">
        <is>
          <t>15.4 - DESPESAS C/ CONSTRUÇÃO ESCRITORIO ADM</t>
        </is>
      </c>
      <c r="G211" s="16" t="inlineStr">
        <is>
          <t>LOTE TRINDADE</t>
        </is>
      </c>
      <c r="H211" s="63" t="n">
        <v>2025</v>
      </c>
      <c r="I211" s="64" t="n">
        <v>6</v>
      </c>
      <c r="J211" s="16" t="inlineStr">
        <is>
          <t>Jun</t>
        </is>
      </c>
      <c r="K211" s="16" t="n"/>
      <c r="M211" s="89" t="n">
        <v>-6673.77</v>
      </c>
      <c r="N211" s="1" t="inlineStr">
        <is>
          <t>Construção da Nova Sede</t>
        </is>
      </c>
      <c r="O211" s="1" t="inlineStr">
        <is>
          <t>Investimentos</t>
        </is>
      </c>
      <c r="P211" s="1" t="inlineStr">
        <is>
          <t>(-)Investimentos</t>
        </is>
      </c>
      <c r="Q211" s="1" t="n">
        <v>8</v>
      </c>
      <c r="R211" s="1" t="n">
        <v>2025</v>
      </c>
    </row>
    <row r="212">
      <c r="A212" s="61" t="n">
        <v>45814</v>
      </c>
      <c r="B212" s="16" t="inlineStr">
        <is>
          <t>DESPESAS LOTE TRINDADE AIDEAL</t>
        </is>
      </c>
      <c r="C212" s="90" t="n"/>
      <c r="D212" s="90" t="n">
        <v>271.15</v>
      </c>
      <c r="E212" s="90" t="n">
        <v>-271.15</v>
      </c>
      <c r="F212" s="16" t="inlineStr">
        <is>
          <t>15.4 - DESPESAS C/ CONSTRUÇÃO ESCRITORIO ADM</t>
        </is>
      </c>
      <c r="G212" s="16" t="inlineStr">
        <is>
          <t>LOTE TRINDADE</t>
        </is>
      </c>
      <c r="H212" s="63" t="n">
        <v>2025</v>
      </c>
      <c r="I212" s="64" t="n">
        <v>6</v>
      </c>
      <c r="J212" s="16" t="inlineStr">
        <is>
          <t>Jun</t>
        </is>
      </c>
      <c r="K212" s="16" t="n"/>
      <c r="M212" s="89" t="n">
        <v>-271.15</v>
      </c>
      <c r="N212" s="1" t="inlineStr">
        <is>
          <t>Construção da Nova Sede</t>
        </is>
      </c>
      <c r="O212" s="1" t="inlineStr">
        <is>
          <t>Investimentos</t>
        </is>
      </c>
      <c r="P212" s="1" t="inlineStr">
        <is>
          <t>(-)Investimentos</t>
        </is>
      </c>
      <c r="Q212" s="1" t="n">
        <v>8</v>
      </c>
      <c r="R212" s="1" t="n">
        <v>2025</v>
      </c>
    </row>
    <row r="213">
      <c r="A213" s="61" t="n">
        <v>45814</v>
      </c>
      <c r="B213" s="16" t="inlineStr">
        <is>
          <t>2625 - V A PINT LOCAÇOES SERVIÇOS E PINTURA LTDA</t>
        </is>
      </c>
      <c r="C213" s="90" t="n"/>
      <c r="D213" s="90" t="n">
        <v>9600</v>
      </c>
      <c r="E213" s="90" t="n">
        <v>-9600</v>
      </c>
      <c r="F213" s="16" t="inlineStr">
        <is>
          <t>7.2 - LOCAÇÃO COMPRESSORES</t>
        </is>
      </c>
      <c r="G213" s="16" t="inlineStr">
        <is>
          <t>VLI PINTURA</t>
        </is>
      </c>
      <c r="H213" s="63" t="n">
        <v>2025</v>
      </c>
      <c r="I213" s="64" t="n">
        <v>6</v>
      </c>
      <c r="J213" s="16" t="inlineStr">
        <is>
          <t>Jun</t>
        </is>
      </c>
      <c r="K213" s="16" t="n"/>
      <c r="M213" s="89" t="n">
        <v>-9600</v>
      </c>
      <c r="N213" s="1" t="inlineStr">
        <is>
          <t>LOCAÇÃO COMPRESSORES</t>
        </is>
      </c>
      <c r="O213" s="1" t="inlineStr">
        <is>
          <t>Despesas com Locações</t>
        </is>
      </c>
      <c r="P213" s="1" t="inlineStr">
        <is>
          <t>(-)Gastos Fixos</t>
        </is>
      </c>
      <c r="Q213" s="1" t="n">
        <v>4</v>
      </c>
      <c r="R213" s="1" t="n">
        <v>2025</v>
      </c>
    </row>
    <row r="214">
      <c r="A214" s="61" t="n">
        <v>45814</v>
      </c>
      <c r="B214" s="16" t="inlineStr">
        <is>
          <t>17205 - FONTEBRAS HOME CENTER COM. DE MAT. PARA CONST. LTDA - EPP</t>
        </is>
      </c>
      <c r="C214" s="90" t="n"/>
      <c r="D214" s="90" t="n">
        <v>481.04</v>
      </c>
      <c r="E214" s="90" t="n">
        <v>-481.04</v>
      </c>
      <c r="F214" s="16" t="inlineStr">
        <is>
          <t>8.8 - MATERIAIS DE CONSUMO EM OBRAS</t>
        </is>
      </c>
      <c r="G214" s="16" t="inlineStr">
        <is>
          <t>VLI PINTURA</t>
        </is>
      </c>
      <c r="H214" s="63" t="n">
        <v>2025</v>
      </c>
      <c r="I214" s="64" t="n">
        <v>6</v>
      </c>
      <c r="J214" s="16" t="inlineStr">
        <is>
          <t>Jun</t>
        </is>
      </c>
      <c r="K214" s="16" t="n"/>
      <c r="M214" s="89" t="n">
        <v>-481.04</v>
      </c>
      <c r="N214" s="1" t="inlineStr">
        <is>
          <t>MATERIAIS DE CONSUMO EM OBRAS</t>
        </is>
      </c>
      <c r="O214" s="1" t="inlineStr">
        <is>
          <t>Despesas com Máquinas e Equipamentos</t>
        </is>
      </c>
      <c r="P214" s="1" t="inlineStr">
        <is>
          <t>(-)Gastos Fixos</t>
        </is>
      </c>
      <c r="Q214" s="1" t="n">
        <v>4</v>
      </c>
      <c r="R214" s="1" t="n">
        <v>2025</v>
      </c>
    </row>
    <row r="215">
      <c r="A215" s="61" t="n">
        <v>45814</v>
      </c>
      <c r="B215" s="16" t="inlineStr">
        <is>
          <t>5079 - SOLUÇOES CLINICA MEDICA LTDA</t>
        </is>
      </c>
      <c r="C215" s="90" t="n"/>
      <c r="D215" s="90" t="n">
        <v>318.47</v>
      </c>
      <c r="E215" s="90" t="n">
        <v>-318.47</v>
      </c>
      <c r="F215" s="16" t="inlineStr">
        <is>
          <t>14.1 - EXAMES</t>
        </is>
      </c>
      <c r="G215" s="16" t="inlineStr">
        <is>
          <t>ANGLO AMERICAN</t>
        </is>
      </c>
      <c r="H215" s="63" t="n">
        <v>2025</v>
      </c>
      <c r="I215" s="64" t="n">
        <v>6</v>
      </c>
      <c r="J215" s="16" t="inlineStr">
        <is>
          <t>Jun</t>
        </is>
      </c>
      <c r="K215" s="16" t="n"/>
      <c r="M215" s="89" t="n">
        <v>-318.47</v>
      </c>
      <c r="N215" s="1" t="inlineStr">
        <is>
          <t>EXAMES MÉDICOS</t>
        </is>
      </c>
      <c r="O215" s="1" t="inlineStr">
        <is>
          <t>Despesas com Pessoal</t>
        </is>
      </c>
      <c r="P215" s="1" t="inlineStr">
        <is>
          <t>(-)Gastos Fixos</t>
        </is>
      </c>
      <c r="Q215" s="1" t="n">
        <v>4</v>
      </c>
      <c r="R215" s="1" t="n">
        <v>2025</v>
      </c>
    </row>
    <row r="216">
      <c r="A216" s="61" t="n">
        <v>45814</v>
      </c>
      <c r="B216" s="16" t="inlineStr">
        <is>
          <t>3813 - NUCLEO DE SAUDE DO TRABALHADOR CLINICA MEDICA LTDA</t>
        </is>
      </c>
      <c r="C216" s="90" t="n"/>
      <c r="D216" s="90" t="n">
        <v>2834.3</v>
      </c>
      <c r="E216" s="90" t="n">
        <v>-2834.3</v>
      </c>
      <c r="F216" s="16" t="inlineStr">
        <is>
          <t>14.1 - EXAMES</t>
        </is>
      </c>
      <c r="G216" s="16" t="inlineStr">
        <is>
          <t>VLI PINTURA</t>
        </is>
      </c>
      <c r="H216" s="63" t="n">
        <v>2025</v>
      </c>
      <c r="I216" s="64" t="n">
        <v>6</v>
      </c>
      <c r="J216" s="16" t="inlineStr">
        <is>
          <t>Jun</t>
        </is>
      </c>
      <c r="K216" s="16" t="n"/>
      <c r="M216" s="89" t="n">
        <v>-2834.3</v>
      </c>
      <c r="N216" s="1" t="inlineStr">
        <is>
          <t>EXAMES MÉDICOS</t>
        </is>
      </c>
      <c r="O216" s="1" t="inlineStr">
        <is>
          <t>Despesas com Pessoal</t>
        </is>
      </c>
      <c r="P216" s="1" t="inlineStr">
        <is>
          <t>(-)Gastos Fixos</t>
        </is>
      </c>
      <c r="Q216" s="1" t="n">
        <v>4</v>
      </c>
      <c r="R216" s="1" t="n">
        <v>2025</v>
      </c>
    </row>
    <row r="217">
      <c r="A217" s="61" t="n">
        <v>45814</v>
      </c>
      <c r="B217" s="16" t="inlineStr">
        <is>
          <t>15966 - QUALI TINTAS</t>
        </is>
      </c>
      <c r="C217" s="90" t="n"/>
      <c r="D217" s="90" t="n">
        <v>90</v>
      </c>
      <c r="E217" s="90" t="n">
        <v>-90</v>
      </c>
      <c r="F217" s="16" t="inlineStr">
        <is>
          <t>4.1 - TINTAS E SOLVENTES</t>
        </is>
      </c>
      <c r="G217" s="16" t="inlineStr">
        <is>
          <t>ADMINISTRATIVO</t>
        </is>
      </c>
      <c r="H217" s="63" t="n">
        <v>2025</v>
      </c>
      <c r="I217" s="64" t="n">
        <v>6</v>
      </c>
      <c r="J217" s="16" t="inlineStr">
        <is>
          <t>Jun</t>
        </is>
      </c>
      <c r="K217" s="16" t="n"/>
      <c r="M217" s="89" t="n">
        <v>-90</v>
      </c>
      <c r="N217" s="1" t="inlineStr">
        <is>
          <t>TINTAS E SOLVENTES</t>
        </is>
      </c>
      <c r="O217" s="1" t="inlineStr">
        <is>
          <t>Fornecedores</t>
        </is>
      </c>
      <c r="P217" s="1" t="inlineStr">
        <is>
          <t>(-)Custos Variavéis</t>
        </is>
      </c>
      <c r="Q217" s="1" t="n">
        <v>3</v>
      </c>
      <c r="R217" s="1" t="n">
        <v>2025</v>
      </c>
    </row>
    <row r="218">
      <c r="A218" s="61" t="n">
        <v>45814</v>
      </c>
      <c r="B218" s="16" t="inlineStr">
        <is>
          <t>15955 - QUALI TINTAS</t>
        </is>
      </c>
      <c r="C218" s="90" t="n"/>
      <c r="D218" s="90" t="n">
        <v>880</v>
      </c>
      <c r="E218" s="90" t="n">
        <v>-880</v>
      </c>
      <c r="F218" s="16" t="inlineStr">
        <is>
          <t>4.1 - TINTAS E SOLVENTES</t>
        </is>
      </c>
      <c r="G218" s="16" t="inlineStr">
        <is>
          <t>NIOBIO CMOC CONTRATO</t>
        </is>
      </c>
      <c r="H218" s="63" t="n">
        <v>2025</v>
      </c>
      <c r="I218" s="64" t="n">
        <v>6</v>
      </c>
      <c r="J218" s="16" t="inlineStr">
        <is>
          <t>Jun</t>
        </is>
      </c>
      <c r="K218" s="16" t="n"/>
      <c r="M218" s="89" t="n">
        <v>-880</v>
      </c>
      <c r="N218" s="1" t="inlineStr">
        <is>
          <t>TINTAS E SOLVENTES</t>
        </is>
      </c>
      <c r="O218" s="1" t="inlineStr">
        <is>
          <t>Fornecedores</t>
        </is>
      </c>
      <c r="P218" s="1" t="inlineStr">
        <is>
          <t>(-)Custos Variavéis</t>
        </is>
      </c>
      <c r="Q218" s="1" t="n">
        <v>3</v>
      </c>
      <c r="R218" s="1" t="n">
        <v>2025</v>
      </c>
    </row>
    <row r="219">
      <c r="A219" s="61" t="n">
        <v>45814</v>
      </c>
      <c r="B219" s="16" t="inlineStr">
        <is>
          <t>15955 - QUALI TINTAS</t>
        </is>
      </c>
      <c r="C219" s="90" t="n"/>
      <c r="D219" s="90" t="n">
        <v>880</v>
      </c>
      <c r="E219" s="90" t="n">
        <v>-880</v>
      </c>
      <c r="F219" s="16" t="inlineStr">
        <is>
          <t>4.1 - TINTAS E SOLVENTES</t>
        </is>
      </c>
      <c r="G219" s="16" t="inlineStr">
        <is>
          <t>NIOBIO CMOC CONTRATO</t>
        </is>
      </c>
      <c r="H219" s="63" t="n">
        <v>2025</v>
      </c>
      <c r="I219" s="64" t="n">
        <v>6</v>
      </c>
      <c r="J219" s="16" t="inlineStr">
        <is>
          <t>Jun</t>
        </is>
      </c>
      <c r="K219" s="16" t="n"/>
      <c r="M219" s="89" t="n">
        <v>-880</v>
      </c>
      <c r="N219" s="1" t="inlineStr">
        <is>
          <t>TINTAS E SOLVENTES</t>
        </is>
      </c>
      <c r="O219" s="1" t="inlineStr">
        <is>
          <t>Fornecedores</t>
        </is>
      </c>
      <c r="P219" s="1" t="inlineStr">
        <is>
          <t>(-)Custos Variavéis</t>
        </is>
      </c>
      <c r="Q219" s="1" t="n">
        <v>3</v>
      </c>
      <c r="R219" s="1" t="n">
        <v>2025</v>
      </c>
    </row>
    <row r="220">
      <c r="A220" s="61" t="n">
        <v>45814</v>
      </c>
      <c r="B220" s="16" t="inlineStr">
        <is>
          <t>15963 - QUALI TINTAS</t>
        </is>
      </c>
      <c r="C220" s="90" t="n"/>
      <c r="D220" s="90" t="n">
        <v>3530</v>
      </c>
      <c r="E220" s="90" t="n">
        <v>-3530</v>
      </c>
      <c r="F220" s="16" t="inlineStr">
        <is>
          <t>4.1 - TINTAS E SOLVENTES</t>
        </is>
      </c>
      <c r="G220" s="16" t="inlineStr">
        <is>
          <t>EUROCHEM SERRA DO SALITRE</t>
        </is>
      </c>
      <c r="H220" s="63" t="n">
        <v>2025</v>
      </c>
      <c r="I220" s="64" t="n">
        <v>6</v>
      </c>
      <c r="J220" s="16" t="inlineStr">
        <is>
          <t>Jun</t>
        </is>
      </c>
      <c r="K220" s="16" t="n"/>
      <c r="M220" s="89" t="n">
        <v>-3530</v>
      </c>
      <c r="N220" s="1" t="inlineStr">
        <is>
          <t>TINTAS E SOLVENTES</t>
        </is>
      </c>
      <c r="O220" s="1" t="inlineStr">
        <is>
          <t>Fornecedores</t>
        </is>
      </c>
      <c r="P220" s="1" t="inlineStr">
        <is>
          <t>(-)Custos Variavéis</t>
        </is>
      </c>
      <c r="Q220" s="1" t="n">
        <v>3</v>
      </c>
      <c r="R220" s="1" t="n">
        <v>2025</v>
      </c>
    </row>
    <row r="221">
      <c r="A221" s="61" t="n">
        <v>45814</v>
      </c>
      <c r="B221" s="16" t="inlineStr">
        <is>
          <t>15963 - QUALI TINTAS</t>
        </is>
      </c>
      <c r="C221" s="90" t="n"/>
      <c r="D221" s="90" t="n">
        <v>3530</v>
      </c>
      <c r="E221" s="90" t="n">
        <v>-3530</v>
      </c>
      <c r="F221" s="16" t="inlineStr">
        <is>
          <t>4.1 - TINTAS E SOLVENTES</t>
        </is>
      </c>
      <c r="G221" s="16" t="inlineStr">
        <is>
          <t>EUROCHEM SERRA DO SALITRE</t>
        </is>
      </c>
      <c r="H221" s="63" t="n">
        <v>2025</v>
      </c>
      <c r="I221" s="64" t="n">
        <v>6</v>
      </c>
      <c r="J221" s="16" t="inlineStr">
        <is>
          <t>Jun</t>
        </is>
      </c>
      <c r="K221" s="16" t="n"/>
      <c r="M221" s="89" t="n">
        <v>-3530</v>
      </c>
      <c r="N221" s="1" t="inlineStr">
        <is>
          <t>TINTAS E SOLVENTES</t>
        </is>
      </c>
      <c r="O221" s="1" t="inlineStr">
        <is>
          <t>Fornecedores</t>
        </is>
      </c>
      <c r="P221" s="1" t="inlineStr">
        <is>
          <t>(-)Custos Variavéis</t>
        </is>
      </c>
      <c r="Q221" s="1" t="n">
        <v>3</v>
      </c>
      <c r="R221" s="1" t="n">
        <v>2025</v>
      </c>
    </row>
    <row r="222">
      <c r="A222" s="61" t="n">
        <v>45814</v>
      </c>
      <c r="B222" s="16" t="inlineStr">
        <is>
          <t>15963 - QUALI TINTAS</t>
        </is>
      </c>
      <c r="C222" s="90" t="n"/>
      <c r="D222" s="90" t="n">
        <v>3530</v>
      </c>
      <c r="E222" s="90" t="n">
        <v>-3530</v>
      </c>
      <c r="F222" s="16" t="inlineStr">
        <is>
          <t>4.1 - TINTAS E SOLVENTES</t>
        </is>
      </c>
      <c r="G222" s="16" t="inlineStr">
        <is>
          <t>EUROCHEM SERRA DO SALITRE</t>
        </is>
      </c>
      <c r="H222" s="63" t="n">
        <v>2025</v>
      </c>
      <c r="I222" s="64" t="n">
        <v>6</v>
      </c>
      <c r="J222" s="16" t="inlineStr">
        <is>
          <t>Jun</t>
        </is>
      </c>
      <c r="K222" s="16" t="n"/>
      <c r="M222" s="89" t="n">
        <v>-3530</v>
      </c>
      <c r="N222" s="1" t="inlineStr">
        <is>
          <t>TINTAS E SOLVENTES</t>
        </is>
      </c>
      <c r="O222" s="1" t="inlineStr">
        <is>
          <t>Fornecedores</t>
        </is>
      </c>
      <c r="P222" s="1" t="inlineStr">
        <is>
          <t>(-)Custos Variavéis</t>
        </is>
      </c>
      <c r="Q222" s="1" t="n">
        <v>3</v>
      </c>
      <c r="R222" s="1" t="n">
        <v>2025</v>
      </c>
    </row>
    <row r="223">
      <c r="A223" s="61" t="n">
        <v>45814</v>
      </c>
      <c r="B223" s="16" t="inlineStr">
        <is>
          <t>13° PREVISAO</t>
        </is>
      </c>
      <c r="C223" s="90" t="n"/>
      <c r="D223" s="90" t="n">
        <v>4332.474999999999</v>
      </c>
      <c r="E223" s="90" t="n">
        <v>-4332.474999999999</v>
      </c>
      <c r="F223" s="16" t="inlineStr">
        <is>
          <t>12.3 - PREVISÃO 13°</t>
        </is>
      </c>
      <c r="G223" s="16" t="inlineStr">
        <is>
          <t>ADMINISTRATIVO</t>
        </is>
      </c>
      <c r="H223" s="63" t="n">
        <v>2025</v>
      </c>
      <c r="I223" s="64" t="n">
        <v>6</v>
      </c>
      <c r="J223" s="16" t="inlineStr">
        <is>
          <t>Jun</t>
        </is>
      </c>
      <c r="K223" s="16" t="n"/>
      <c r="M223" s="89" t="n">
        <v>-4332.474999999999</v>
      </c>
      <c r="N223" s="1" t="inlineStr">
        <is>
          <t>13° PREVISAO</t>
        </is>
      </c>
      <c r="O223" s="1" t="inlineStr">
        <is>
          <t>Despesas com Pessoal</t>
        </is>
      </c>
      <c r="P223" s="1" t="inlineStr">
        <is>
          <t>(-)Gastos Fixos</t>
        </is>
      </c>
      <c r="Q223" s="1" t="n">
        <v>4</v>
      </c>
      <c r="R223" s="1" t="n">
        <v>2025</v>
      </c>
    </row>
    <row r="224">
      <c r="A224" s="61" t="n">
        <v>45814</v>
      </c>
      <c r="B224" s="16" t="inlineStr">
        <is>
          <t>13° PREVISAO</t>
        </is>
      </c>
      <c r="C224" s="90" t="n"/>
      <c r="D224" s="90" t="n">
        <v>9196.218333333332</v>
      </c>
      <c r="E224" s="90" t="n">
        <v>-9196.218333333332</v>
      </c>
      <c r="F224" s="16" t="inlineStr">
        <is>
          <t>12.3 - PREVISÃO 13°</t>
        </is>
      </c>
      <c r="G224" s="16" t="inlineStr">
        <is>
          <t>VLI PINTURA</t>
        </is>
      </c>
      <c r="H224" s="63" t="n">
        <v>2025</v>
      </c>
      <c r="I224" s="64" t="n">
        <v>6</v>
      </c>
      <c r="J224" s="16" t="inlineStr">
        <is>
          <t>Jun</t>
        </is>
      </c>
      <c r="K224" s="16" t="n"/>
      <c r="M224" s="89" t="n">
        <v>-9196.218333333332</v>
      </c>
      <c r="N224" s="1" t="inlineStr">
        <is>
          <t>13° PREVISAO</t>
        </is>
      </c>
      <c r="O224" s="1" t="inlineStr">
        <is>
          <t>Despesas com Pessoal</t>
        </is>
      </c>
      <c r="P224" s="1" t="inlineStr">
        <is>
          <t>(-)Gastos Fixos</t>
        </is>
      </c>
      <c r="Q224" s="1" t="n">
        <v>4</v>
      </c>
      <c r="R224" s="1" t="n">
        <v>2025</v>
      </c>
    </row>
    <row r="225">
      <c r="A225" s="61" t="n">
        <v>45814</v>
      </c>
      <c r="B225" s="16" t="inlineStr">
        <is>
          <t>13° PREVISAO</t>
        </is>
      </c>
      <c r="C225" s="90" t="n"/>
      <c r="D225" s="90" t="n">
        <v>1605.7325</v>
      </c>
      <c r="E225" s="90" t="n">
        <v>-1605.7325</v>
      </c>
      <c r="F225" s="16" t="inlineStr">
        <is>
          <t>12.3 - PREVISÃO 13°</t>
        </is>
      </c>
      <c r="G225" s="16" t="inlineStr">
        <is>
          <t>ADMINISTRATIVO</t>
        </is>
      </c>
      <c r="H225" s="63" t="n">
        <v>2025</v>
      </c>
      <c r="I225" s="64" t="n">
        <v>6</v>
      </c>
      <c r="J225" s="16" t="inlineStr">
        <is>
          <t>Jun</t>
        </is>
      </c>
      <c r="K225" s="16" t="n"/>
      <c r="M225" s="89" t="n">
        <v>-1605.7325</v>
      </c>
      <c r="N225" s="1" t="inlineStr">
        <is>
          <t>13° PREVISAO</t>
        </is>
      </c>
      <c r="O225" s="1" t="inlineStr">
        <is>
          <t>Despesas com Pessoal</t>
        </is>
      </c>
      <c r="P225" s="1" t="inlineStr">
        <is>
          <t>(-)Gastos Fixos</t>
        </is>
      </c>
      <c r="Q225" s="1" t="n">
        <v>4</v>
      </c>
      <c r="R225" s="1" t="n">
        <v>2025</v>
      </c>
    </row>
    <row r="226">
      <c r="A226" s="61" t="n">
        <v>45814</v>
      </c>
      <c r="B226" s="16" t="inlineStr">
        <is>
          <t>13° PREVISAO</t>
        </is>
      </c>
      <c r="C226" s="90" t="n"/>
      <c r="D226" s="90" t="n">
        <v>4821.908333333334</v>
      </c>
      <c r="E226" s="90" t="n">
        <v>-4821.908333333334</v>
      </c>
      <c r="F226" s="16" t="inlineStr">
        <is>
          <t>12.3 - PREVISÃO 13°</t>
        </is>
      </c>
      <c r="G226" s="16" t="inlineStr">
        <is>
          <t>MOSAIC UBERABA CONTRAT0 3 ANOS</t>
        </is>
      </c>
      <c r="H226" s="63" t="n">
        <v>2025</v>
      </c>
      <c r="I226" s="64" t="n">
        <v>6</v>
      </c>
      <c r="J226" s="16" t="inlineStr">
        <is>
          <t>Jun</t>
        </is>
      </c>
      <c r="K226" s="16" t="n"/>
      <c r="M226" s="89" t="n">
        <v>-4821.908333333334</v>
      </c>
      <c r="N226" s="1" t="inlineStr">
        <is>
          <t>13° PREVISAO</t>
        </is>
      </c>
      <c r="O226" s="1" t="inlineStr">
        <is>
          <t>Despesas com Pessoal</t>
        </is>
      </c>
      <c r="P226" s="1" t="inlineStr">
        <is>
          <t>(-)Gastos Fixos</t>
        </is>
      </c>
      <c r="Q226" s="1" t="n">
        <v>4</v>
      </c>
      <c r="R226" s="1" t="n">
        <v>2025</v>
      </c>
    </row>
    <row r="227">
      <c r="A227" s="61" t="n">
        <v>45814</v>
      </c>
      <c r="B227" s="16" t="inlineStr">
        <is>
          <t>13° PREVISAO</t>
        </is>
      </c>
      <c r="C227" s="90" t="n"/>
      <c r="D227" s="90" t="n">
        <v>4407.599999999999</v>
      </c>
      <c r="E227" s="90" t="n">
        <v>-4407.599999999999</v>
      </c>
      <c r="F227" s="16" t="inlineStr">
        <is>
          <t>12.3 - PREVISÃO 13°</t>
        </is>
      </c>
      <c r="G227" s="16" t="inlineStr">
        <is>
          <t>ANGLO AMERICAN</t>
        </is>
      </c>
      <c r="H227" s="63" t="n">
        <v>2025</v>
      </c>
      <c r="I227" s="64" t="n">
        <v>6</v>
      </c>
      <c r="J227" s="16" t="inlineStr">
        <is>
          <t>Jun</t>
        </is>
      </c>
      <c r="K227" s="16" t="n"/>
      <c r="M227" s="89" t="n">
        <v>-4407.599999999999</v>
      </c>
      <c r="N227" s="1" t="inlineStr">
        <is>
          <t>13° PREVISAO</t>
        </is>
      </c>
      <c r="O227" s="1" t="inlineStr">
        <is>
          <t>Despesas com Pessoal</t>
        </is>
      </c>
      <c r="P227" s="1" t="inlineStr">
        <is>
          <t>(-)Gastos Fixos</t>
        </is>
      </c>
      <c r="Q227" s="1" t="n">
        <v>4</v>
      </c>
      <c r="R227" s="1" t="n">
        <v>2025</v>
      </c>
    </row>
    <row r="228">
      <c r="A228" s="61" t="n">
        <v>45814</v>
      </c>
      <c r="B228" s="16" t="inlineStr">
        <is>
          <t>13° PREVISAO</t>
        </is>
      </c>
      <c r="C228" s="90" t="n"/>
      <c r="D228" s="90" t="n">
        <v>2195.845</v>
      </c>
      <c r="E228" s="90" t="n">
        <v>-2195.845</v>
      </c>
      <c r="F228" s="16" t="inlineStr">
        <is>
          <t>12.3 - PREVISÃO 13°</t>
        </is>
      </c>
      <c r="G228" s="16" t="inlineStr">
        <is>
          <t>EUROCHEM SERRA DO SALITRE</t>
        </is>
      </c>
      <c r="H228" s="63" t="n">
        <v>2025</v>
      </c>
      <c r="I228" s="64" t="n">
        <v>6</v>
      </c>
      <c r="J228" s="16" t="inlineStr">
        <is>
          <t>Jun</t>
        </is>
      </c>
      <c r="K228" s="16" t="n"/>
      <c r="M228" s="89" t="n">
        <v>-2195.845</v>
      </c>
      <c r="N228" s="1" t="inlineStr">
        <is>
          <t>13° PREVISAO</t>
        </is>
      </c>
      <c r="O228" s="1" t="inlineStr">
        <is>
          <t>Despesas com Pessoal</t>
        </is>
      </c>
      <c r="P228" s="1" t="inlineStr">
        <is>
          <t>(-)Gastos Fixos</t>
        </is>
      </c>
      <c r="Q228" s="1" t="n">
        <v>4</v>
      </c>
      <c r="R228" s="1" t="n">
        <v>2025</v>
      </c>
    </row>
    <row r="229">
      <c r="A229" s="61" t="n">
        <v>45814</v>
      </c>
      <c r="B229" s="16" t="inlineStr">
        <is>
          <t>13° PREVISAO</t>
        </is>
      </c>
      <c r="C229" s="90" t="n"/>
      <c r="D229" s="90" t="n">
        <v>2477.774166666667</v>
      </c>
      <c r="E229" s="90" t="n">
        <v>-2477.774166666667</v>
      </c>
      <c r="F229" s="16" t="inlineStr">
        <is>
          <t>12.3 - PREVISÃO 13°</t>
        </is>
      </c>
      <c r="G229" s="16" t="inlineStr">
        <is>
          <t>SERENA 21 TORRES 2024</t>
        </is>
      </c>
      <c r="H229" s="63" t="n">
        <v>2025</v>
      </c>
      <c r="I229" s="64" t="n">
        <v>6</v>
      </c>
      <c r="J229" s="16" t="inlineStr">
        <is>
          <t>Jun</t>
        </is>
      </c>
      <c r="K229" s="16" t="n"/>
      <c r="M229" s="89" t="n">
        <v>-2477.774166666667</v>
      </c>
      <c r="N229" s="1" t="inlineStr">
        <is>
          <t>13° PREVISAO</t>
        </is>
      </c>
      <c r="O229" s="1" t="inlineStr">
        <is>
          <t>Despesas com Pessoal</t>
        </is>
      </c>
      <c r="P229" s="1" t="inlineStr">
        <is>
          <t>(-)Gastos Fixos</t>
        </is>
      </c>
      <c r="Q229" s="1" t="n">
        <v>4</v>
      </c>
      <c r="R229" s="1" t="n">
        <v>2025</v>
      </c>
    </row>
    <row r="230">
      <c r="A230" s="61" t="n">
        <v>45814</v>
      </c>
      <c r="B230" s="16" t="inlineStr">
        <is>
          <t>13° PREVISAO</t>
        </is>
      </c>
      <c r="C230" s="90" t="n"/>
      <c r="D230" s="90" t="n">
        <v>2087.8</v>
      </c>
      <c r="E230" s="90" t="n">
        <v>-2087.8</v>
      </c>
      <c r="F230" s="16" t="inlineStr">
        <is>
          <t>12.3 - PREVISÃO 13°</t>
        </is>
      </c>
      <c r="G230" s="16" t="inlineStr">
        <is>
          <t>FOSFATO CMOC CONTRAT</t>
        </is>
      </c>
      <c r="H230" s="63" t="n">
        <v>2025</v>
      </c>
      <c r="I230" s="64" t="n">
        <v>6</v>
      </c>
      <c r="J230" s="16" t="inlineStr">
        <is>
          <t>Jun</t>
        </is>
      </c>
      <c r="K230" s="16" t="n"/>
      <c r="M230" s="89" t="n">
        <v>-2087.8</v>
      </c>
      <c r="N230" s="1" t="inlineStr">
        <is>
          <t>13° PREVISAO</t>
        </is>
      </c>
      <c r="O230" s="1" t="inlineStr">
        <is>
          <t>Despesas com Pessoal</t>
        </is>
      </c>
      <c r="P230" s="1" t="inlineStr">
        <is>
          <t>(-)Gastos Fixos</t>
        </is>
      </c>
      <c r="Q230" s="1" t="n">
        <v>4</v>
      </c>
      <c r="R230" s="1" t="n">
        <v>2025</v>
      </c>
    </row>
    <row r="231">
      <c r="A231" s="61" t="n">
        <v>45814</v>
      </c>
      <c r="B231" s="16" t="inlineStr">
        <is>
          <t>13° PREVISAO</t>
        </is>
      </c>
      <c r="C231" s="90" t="n"/>
      <c r="D231" s="90" t="n">
        <v>2902.263333333334</v>
      </c>
      <c r="E231" s="90" t="n">
        <v>-2902.263333333334</v>
      </c>
      <c r="F231" s="16" t="inlineStr">
        <is>
          <t>12.3 - PREVISÃO 13°</t>
        </is>
      </c>
      <c r="G231" s="16" t="inlineStr">
        <is>
          <t>NIOBIO CMOC CONTRATO</t>
        </is>
      </c>
      <c r="H231" s="63" t="n">
        <v>2025</v>
      </c>
      <c r="I231" s="64" t="n">
        <v>6</v>
      </c>
      <c r="J231" s="16" t="inlineStr">
        <is>
          <t>Jun</t>
        </is>
      </c>
      <c r="K231" s="16" t="n"/>
      <c r="M231" s="89" t="n">
        <v>-2902.263333333334</v>
      </c>
      <c r="N231" s="1" t="inlineStr">
        <is>
          <t>13° PREVISAO</t>
        </is>
      </c>
      <c r="O231" s="1" t="inlineStr">
        <is>
          <t>Despesas com Pessoal</t>
        </is>
      </c>
      <c r="P231" s="1" t="inlineStr">
        <is>
          <t>(-)Gastos Fixos</t>
        </is>
      </c>
      <c r="Q231" s="1" t="n">
        <v>4</v>
      </c>
      <c r="R231" s="1" t="n">
        <v>2025</v>
      </c>
    </row>
    <row r="232">
      <c r="A232" s="61" t="n">
        <v>45814</v>
      </c>
      <c r="B232" s="16" t="inlineStr">
        <is>
          <t>13° PREVISAO</t>
        </is>
      </c>
      <c r="C232" s="90" t="n"/>
      <c r="D232" s="90" t="n">
        <v>643.3058333333333</v>
      </c>
      <c r="E232" s="90" t="n">
        <v>-643.3058333333333</v>
      </c>
      <c r="F232" s="16" t="inlineStr">
        <is>
          <t>12.3 - PREVISÃO 13°</t>
        </is>
      </c>
      <c r="G232" s="16" t="inlineStr">
        <is>
          <t>LOTE TRINDADE</t>
        </is>
      </c>
      <c r="H232" s="63" t="n">
        <v>2025</v>
      </c>
      <c r="I232" s="64" t="n">
        <v>6</v>
      </c>
      <c r="J232" s="16" t="inlineStr">
        <is>
          <t>Jun</t>
        </is>
      </c>
      <c r="K232" s="16" t="n"/>
      <c r="M232" s="89" t="n">
        <v>-643.3058333333333</v>
      </c>
      <c r="N232" s="1" t="inlineStr">
        <is>
          <t>13° PREVISAO</t>
        </is>
      </c>
      <c r="O232" s="1" t="inlineStr">
        <is>
          <t>Despesas com Pessoal</t>
        </is>
      </c>
      <c r="P232" s="1" t="inlineStr">
        <is>
          <t>(-)Gastos Fixos</t>
        </is>
      </c>
      <c r="Q232" s="1" t="n">
        <v>4</v>
      </c>
      <c r="R232" s="1" t="n">
        <v>2025</v>
      </c>
    </row>
    <row r="233">
      <c r="A233" s="61" t="n">
        <v>45814</v>
      </c>
      <c r="B233" s="16" t="inlineStr">
        <is>
          <t>13° PREVISAO</t>
        </is>
      </c>
      <c r="C233" s="90" t="n"/>
      <c r="D233" s="90" t="n">
        <v>3264.306666666667</v>
      </c>
      <c r="E233" s="90" t="n">
        <v>-3264.306666666667</v>
      </c>
      <c r="F233" s="16" t="inlineStr">
        <is>
          <t>12.3 - PREVISÃO 13°</t>
        </is>
      </c>
      <c r="G233" s="16" t="inlineStr">
        <is>
          <t>FOSFATO CMOC CONTRAT</t>
        </is>
      </c>
      <c r="H233" s="63" t="n">
        <v>2025</v>
      </c>
      <c r="I233" s="64" t="n">
        <v>6</v>
      </c>
      <c r="J233" s="16" t="inlineStr">
        <is>
          <t>Jun</t>
        </is>
      </c>
      <c r="K233" s="16" t="n"/>
      <c r="M233" s="89" t="n">
        <v>-3264.306666666667</v>
      </c>
      <c r="N233" s="1" t="inlineStr">
        <is>
          <t>13° PREVISAO</t>
        </is>
      </c>
      <c r="O233" s="1" t="inlineStr">
        <is>
          <t>Despesas com Pessoal</t>
        </is>
      </c>
      <c r="P233" s="1" t="inlineStr">
        <is>
          <t>(-)Gastos Fixos</t>
        </is>
      </c>
      <c r="Q233" s="1" t="n">
        <v>4</v>
      </c>
      <c r="R233" s="1" t="n">
        <v>2025</v>
      </c>
    </row>
    <row r="234">
      <c r="A234" s="61" t="n">
        <v>45814</v>
      </c>
      <c r="B234" s="16" t="inlineStr">
        <is>
          <t>FÉRIAS PREVISAO</t>
        </is>
      </c>
      <c r="C234" s="90" t="n"/>
      <c r="D234" s="90" t="n">
        <v>5762.191749999999</v>
      </c>
      <c r="E234" s="90" t="n">
        <v>-5762.191749999999</v>
      </c>
      <c r="F234" s="16" t="inlineStr">
        <is>
          <t>12.4 - PREVISÃO FÉRIAS</t>
        </is>
      </c>
      <c r="G234" s="16" t="inlineStr">
        <is>
          <t>ADMINISTRATIVO</t>
        </is>
      </c>
      <c r="H234" s="63" t="n">
        <v>2025</v>
      </c>
      <c r="I234" s="64" t="n">
        <v>6</v>
      </c>
      <c r="J234" s="16" t="inlineStr">
        <is>
          <t>Jun</t>
        </is>
      </c>
      <c r="K234" s="16" t="n"/>
      <c r="M234" s="89" t="n">
        <v>-5762.191749999999</v>
      </c>
      <c r="N234" s="1" t="inlineStr">
        <is>
          <t>12.4 - PREVISÃO FÉRIAS</t>
        </is>
      </c>
      <c r="O234" s="1" t="n"/>
      <c r="P234" s="1" t="n"/>
      <c r="Q234" s="1" t="n"/>
      <c r="R234" s="1" t="n">
        <v>2025</v>
      </c>
    </row>
    <row r="235">
      <c r="A235" s="61" t="n">
        <v>45814</v>
      </c>
      <c r="B235" s="16" t="inlineStr">
        <is>
          <t>FÉRIAS PREVISAO</t>
        </is>
      </c>
      <c r="C235" s="90" t="n"/>
      <c r="D235" s="90" t="n">
        <v>12230.97038333333</v>
      </c>
      <c r="E235" s="90" t="n">
        <v>-12230.97038333333</v>
      </c>
      <c r="F235" s="16" t="inlineStr">
        <is>
          <t>12.4 - PREVISÃO FÉRIAS</t>
        </is>
      </c>
      <c r="G235" s="16" t="inlineStr">
        <is>
          <t>VLI PINTURA</t>
        </is>
      </c>
      <c r="H235" s="63" t="n">
        <v>2025</v>
      </c>
      <c r="I235" s="64" t="n">
        <v>6</v>
      </c>
      <c r="J235" s="16" t="inlineStr">
        <is>
          <t>Jun</t>
        </is>
      </c>
      <c r="K235" s="16" t="n"/>
      <c r="M235" s="89" t="n">
        <v>-12230.97038333333</v>
      </c>
      <c r="N235" s="1" t="inlineStr">
        <is>
          <t>12.4 - PREVISÃO FÉRIAS</t>
        </is>
      </c>
      <c r="O235" s="1" t="n"/>
      <c r="P235" s="1" t="n"/>
      <c r="Q235" s="1" t="n"/>
      <c r="R235" s="1" t="n">
        <v>2025</v>
      </c>
    </row>
    <row r="236">
      <c r="A236" s="61" t="n">
        <v>45814</v>
      </c>
      <c r="B236" s="16" t="inlineStr">
        <is>
          <t>FÉRIAS PREVISAO</t>
        </is>
      </c>
      <c r="C236" s="90" t="n"/>
      <c r="D236" s="90" t="n">
        <v>2135.624225</v>
      </c>
      <c r="E236" s="90" t="n">
        <v>-2135.624225</v>
      </c>
      <c r="F236" s="16" t="inlineStr">
        <is>
          <t>12.4 - PREVISÃO FÉRIAS</t>
        </is>
      </c>
      <c r="G236" s="16" t="inlineStr">
        <is>
          <t>ADMINISTRATIVO</t>
        </is>
      </c>
      <c r="H236" s="63" t="n">
        <v>2025</v>
      </c>
      <c r="I236" s="64" t="n">
        <v>6</v>
      </c>
      <c r="J236" s="16" t="inlineStr">
        <is>
          <t>Jun</t>
        </is>
      </c>
      <c r="K236" s="16" t="n"/>
      <c r="M236" s="89" t="n">
        <v>-2135.624225</v>
      </c>
      <c r="N236" s="1" t="inlineStr">
        <is>
          <t>12.4 - PREVISÃO FÉRIAS</t>
        </is>
      </c>
      <c r="O236" s="1" t="n"/>
      <c r="P236" s="1" t="n"/>
      <c r="Q236" s="1" t="n"/>
      <c r="R236" s="1" t="n">
        <v>2025</v>
      </c>
    </row>
    <row r="237">
      <c r="A237" s="61" t="n">
        <v>45814</v>
      </c>
      <c r="B237" s="16" t="inlineStr">
        <is>
          <t>FÉRIAS PREVISAO</t>
        </is>
      </c>
      <c r="C237" s="90" t="n"/>
      <c r="D237" s="90" t="n">
        <v>6413.138083333334</v>
      </c>
      <c r="E237" s="90" t="n">
        <v>-6413.138083333334</v>
      </c>
      <c r="F237" s="16" t="inlineStr">
        <is>
          <t>12.4 - PREVISÃO FÉRIAS</t>
        </is>
      </c>
      <c r="G237" s="16" t="inlineStr">
        <is>
          <t>MOSAIC UBERABA CONTRAT0 3 ANOS</t>
        </is>
      </c>
      <c r="H237" s="63" t="n">
        <v>2025</v>
      </c>
      <c r="I237" s="64" t="n">
        <v>6</v>
      </c>
      <c r="J237" s="16" t="inlineStr">
        <is>
          <t>Jun</t>
        </is>
      </c>
      <c r="K237" s="16" t="n"/>
      <c r="M237" s="89" t="n">
        <v>-6413.138083333334</v>
      </c>
      <c r="N237" s="1" t="inlineStr">
        <is>
          <t>12.4 - PREVISÃO FÉRIAS</t>
        </is>
      </c>
      <c r="O237" s="1" t="n"/>
      <c r="P237" s="1" t="n"/>
      <c r="Q237" s="1" t="n"/>
      <c r="R237" s="1" t="n">
        <v>2025</v>
      </c>
    </row>
    <row r="238">
      <c r="A238" s="61" t="n">
        <v>45814</v>
      </c>
      <c r="B238" s="16" t="inlineStr">
        <is>
          <t>FÉRIAS PREVISAO</t>
        </is>
      </c>
      <c r="C238" s="90" t="n"/>
      <c r="D238" s="90" t="n">
        <v>5862.107999999999</v>
      </c>
      <c r="E238" s="90" t="n">
        <v>-5862.107999999999</v>
      </c>
      <c r="F238" s="16" t="inlineStr">
        <is>
          <t>12.4 - PREVISÃO FÉRIAS</t>
        </is>
      </c>
      <c r="G238" s="16" t="inlineStr">
        <is>
          <t>ANGLO AMERICAN</t>
        </is>
      </c>
      <c r="H238" s="63" t="n">
        <v>2025</v>
      </c>
      <c r="I238" s="64" t="n">
        <v>6</v>
      </c>
      <c r="J238" s="16" t="inlineStr">
        <is>
          <t>Jun</t>
        </is>
      </c>
      <c r="K238" s="16" t="n"/>
      <c r="M238" s="89" t="n">
        <v>-5862.107999999999</v>
      </c>
      <c r="N238" s="1" t="inlineStr">
        <is>
          <t>12.4 - PREVISÃO FÉRIAS</t>
        </is>
      </c>
      <c r="O238" s="1" t="n"/>
      <c r="P238" s="1" t="n"/>
      <c r="Q238" s="1" t="n"/>
      <c r="R238" s="1" t="n">
        <v>2025</v>
      </c>
    </row>
    <row r="239">
      <c r="A239" s="61" t="n">
        <v>45814</v>
      </c>
      <c r="B239" s="16" t="inlineStr">
        <is>
          <t>FÉRIAS PREVISAO</t>
        </is>
      </c>
      <c r="C239" s="90" t="n"/>
      <c r="D239" s="90" t="n">
        <v>2920.47385</v>
      </c>
      <c r="E239" s="90" t="n">
        <v>-2920.47385</v>
      </c>
      <c r="F239" s="16" t="inlineStr">
        <is>
          <t>12.4 - PREVISÃO FÉRIAS</t>
        </is>
      </c>
      <c r="G239" s="16" t="inlineStr">
        <is>
          <t>EUROCHEM SERRA DO SALITRE</t>
        </is>
      </c>
      <c r="H239" s="63" t="n">
        <v>2025</v>
      </c>
      <c r="I239" s="64" t="n">
        <v>6</v>
      </c>
      <c r="J239" s="16" t="inlineStr">
        <is>
          <t>Jun</t>
        </is>
      </c>
      <c r="K239" s="16" t="n"/>
      <c r="M239" s="89" t="n">
        <v>-2920.47385</v>
      </c>
      <c r="N239" s="1" t="inlineStr">
        <is>
          <t>12.4 - PREVISÃO FÉRIAS</t>
        </is>
      </c>
      <c r="O239" s="1" t="n"/>
      <c r="P239" s="1" t="n"/>
      <c r="Q239" s="1" t="n"/>
      <c r="R239" s="1" t="n">
        <v>2025</v>
      </c>
    </row>
    <row r="240">
      <c r="A240" s="61" t="n">
        <v>45814</v>
      </c>
      <c r="B240" s="16" t="inlineStr">
        <is>
          <t>FÉRIAS PREVISAO</t>
        </is>
      </c>
      <c r="C240" s="90" t="n"/>
      <c r="D240" s="90" t="n">
        <v>3295.439641666667</v>
      </c>
      <c r="E240" s="90" t="n">
        <v>-3295.439641666667</v>
      </c>
      <c r="F240" s="16" t="inlineStr">
        <is>
          <t>12.4 - PREVISÃO FÉRIAS</t>
        </is>
      </c>
      <c r="G240" s="16" t="inlineStr">
        <is>
          <t>SERENA 21 TORRES 2024</t>
        </is>
      </c>
      <c r="H240" s="63" t="n">
        <v>2025</v>
      </c>
      <c r="I240" s="64" t="n">
        <v>6</v>
      </c>
      <c r="J240" s="16" t="inlineStr">
        <is>
          <t>Jun</t>
        </is>
      </c>
      <c r="K240" s="16" t="n"/>
      <c r="M240" s="89" t="n">
        <v>-3295.439641666667</v>
      </c>
      <c r="N240" s="1" t="inlineStr">
        <is>
          <t>12.4 - PREVISÃO FÉRIAS</t>
        </is>
      </c>
      <c r="O240" s="1" t="n"/>
      <c r="P240" s="1" t="n"/>
      <c r="Q240" s="1" t="n"/>
      <c r="R240" s="1" t="n">
        <v>2025</v>
      </c>
    </row>
    <row r="241">
      <c r="A241" s="61" t="n">
        <v>45814</v>
      </c>
      <c r="B241" s="16" t="inlineStr">
        <is>
          <t>FÉRIAS PREVISAO</t>
        </is>
      </c>
      <c r="C241" s="90" t="n"/>
      <c r="D241" s="90" t="n">
        <v>2776.773999999999</v>
      </c>
      <c r="E241" s="90" t="n">
        <v>-2776.773999999999</v>
      </c>
      <c r="F241" s="16" t="inlineStr">
        <is>
          <t>12.4 - PREVISÃO FÉRIAS</t>
        </is>
      </c>
      <c r="G241" s="16" t="inlineStr">
        <is>
          <t>FOSFATO CMOC CONTRAT</t>
        </is>
      </c>
      <c r="H241" s="63" t="n">
        <v>2025</v>
      </c>
      <c r="I241" s="64" t="n">
        <v>6</v>
      </c>
      <c r="J241" s="16" t="inlineStr">
        <is>
          <t>Jun</t>
        </is>
      </c>
      <c r="K241" s="16" t="n"/>
      <c r="M241" s="89" t="n">
        <v>-2776.773999999999</v>
      </c>
      <c r="N241" s="1" t="inlineStr">
        <is>
          <t>12.4 - PREVISÃO FÉRIAS</t>
        </is>
      </c>
      <c r="O241" s="1" t="n"/>
      <c r="P241" s="1" t="n"/>
      <c r="Q241" s="1" t="n"/>
      <c r="R241" s="1" t="n">
        <v>2025</v>
      </c>
    </row>
    <row r="242">
      <c r="A242" s="61" t="n">
        <v>45814</v>
      </c>
      <c r="B242" s="16" t="inlineStr">
        <is>
          <t>FÉRIAS PREVISAO</t>
        </is>
      </c>
      <c r="C242" s="90" t="n"/>
      <c r="D242" s="90" t="n">
        <v>3860.010233333334</v>
      </c>
      <c r="E242" s="90" t="n">
        <v>-3860.010233333334</v>
      </c>
      <c r="F242" s="16" t="inlineStr">
        <is>
          <t>12.4 - PREVISÃO FÉRIAS</t>
        </is>
      </c>
      <c r="G242" s="16" t="inlineStr">
        <is>
          <t>NIOBIO CMOC CONTRATO</t>
        </is>
      </c>
      <c r="H242" s="63" t="n">
        <v>2025</v>
      </c>
      <c r="I242" s="64" t="n">
        <v>6</v>
      </c>
      <c r="J242" s="16" t="inlineStr">
        <is>
          <t>Jun</t>
        </is>
      </c>
      <c r="K242" s="16" t="n"/>
      <c r="M242" s="89" t="n">
        <v>-3860.010233333334</v>
      </c>
      <c r="N242" s="1" t="inlineStr">
        <is>
          <t>12.4 - PREVISÃO FÉRIAS</t>
        </is>
      </c>
      <c r="O242" s="1" t="n"/>
      <c r="P242" s="1" t="n"/>
      <c r="Q242" s="1" t="n"/>
      <c r="R242" s="1" t="n">
        <v>2025</v>
      </c>
    </row>
    <row r="243">
      <c r="A243" s="61" t="n">
        <v>45814</v>
      </c>
      <c r="B243" s="16" t="inlineStr">
        <is>
          <t>FÉRIAS PREVISAO</t>
        </is>
      </c>
      <c r="C243" s="90" t="n"/>
      <c r="D243" s="90" t="n">
        <v>855.5967583333334</v>
      </c>
      <c r="E243" s="90" t="n">
        <v>-855.5967583333334</v>
      </c>
      <c r="F243" s="16" t="inlineStr">
        <is>
          <t>12.4 - PREVISÃO FÉRIAS</t>
        </is>
      </c>
      <c r="G243" s="16" t="inlineStr">
        <is>
          <t>LOTE TRINDADE</t>
        </is>
      </c>
      <c r="H243" s="63" t="n">
        <v>2025</v>
      </c>
      <c r="I243" s="64" t="n">
        <v>6</v>
      </c>
      <c r="J243" s="16" t="inlineStr">
        <is>
          <t>Jun</t>
        </is>
      </c>
      <c r="K243" s="16" t="n"/>
      <c r="M243" s="89" t="n">
        <v>-855.5967583333334</v>
      </c>
      <c r="N243" s="1" t="inlineStr">
        <is>
          <t>12.4 - PREVISÃO FÉRIAS</t>
        </is>
      </c>
      <c r="O243" s="1" t="n"/>
      <c r="P243" s="1" t="n"/>
      <c r="Q243" s="1" t="n"/>
      <c r="R243" s="1" t="n">
        <v>2025</v>
      </c>
    </row>
    <row r="244">
      <c r="A244" s="61" t="n">
        <v>45814</v>
      </c>
      <c r="B244" s="16" t="inlineStr">
        <is>
          <t>FÉRIAS PREVISAO</t>
        </is>
      </c>
      <c r="C244" s="90" t="n"/>
      <c r="D244" s="90" t="n">
        <v>4341.527866666667</v>
      </c>
      <c r="E244" s="90" t="n">
        <v>-4341.527866666667</v>
      </c>
      <c r="F244" s="16" t="inlineStr">
        <is>
          <t>12.4 - PREVISÃO FÉRIAS</t>
        </is>
      </c>
      <c r="G244" s="16" t="inlineStr">
        <is>
          <t>FOSFATO CMOC CONTRAT</t>
        </is>
      </c>
      <c r="H244" s="63" t="n">
        <v>2025</v>
      </c>
      <c r="I244" s="64" t="n">
        <v>6</v>
      </c>
      <c r="J244" s="16" t="inlineStr">
        <is>
          <t>Jun</t>
        </is>
      </c>
      <c r="K244" s="16" t="n"/>
      <c r="M244" s="89" t="n">
        <v>-4341.527866666667</v>
      </c>
      <c r="N244" s="1" t="inlineStr">
        <is>
          <t>12.4 - PREVISÃO FÉRIAS</t>
        </is>
      </c>
      <c r="O244" s="1" t="n"/>
      <c r="P244" s="1" t="n"/>
      <c r="Q244" s="1" t="n"/>
      <c r="R244" s="1" t="n">
        <v>2025</v>
      </c>
    </row>
    <row r="245">
      <c r="A245" s="61" t="n">
        <v>45815</v>
      </c>
      <c r="B245" s="16" t="inlineStr">
        <is>
          <t>753142 - PAPELARIA TRIBUTARIA LTDA</t>
        </is>
      </c>
      <c r="C245" s="90" t="n"/>
      <c r="D245" s="90" t="n">
        <v>204.11</v>
      </c>
      <c r="E245" s="90" t="n">
        <v>-204.11</v>
      </c>
      <c r="F245" s="16" t="inlineStr">
        <is>
          <t>8.10 - MATERIAS DE ESCRITORIO</t>
        </is>
      </c>
      <c r="G245" s="16" t="inlineStr">
        <is>
          <t>ADMINISTRATIVO</t>
        </is>
      </c>
      <c r="H245" s="63" t="n">
        <v>2025</v>
      </c>
      <c r="I245" s="64" t="n">
        <v>6</v>
      </c>
      <c r="J245" s="16" t="inlineStr">
        <is>
          <t>Jun</t>
        </is>
      </c>
      <c r="K245" s="16" t="n"/>
      <c r="M245" s="89" t="n">
        <v>-204.11</v>
      </c>
      <c r="N245" s="1" t="inlineStr">
        <is>
          <t>MATERIAS DE ESCRITORIO / PAPELARIA</t>
        </is>
      </c>
      <c r="O245" s="1" t="inlineStr">
        <is>
          <t>Despesas Administrativas</t>
        </is>
      </c>
      <c r="P245" s="1" t="inlineStr">
        <is>
          <t>(-)Gastos Fixos</t>
        </is>
      </c>
      <c r="Q245" s="1" t="n">
        <v>4</v>
      </c>
      <c r="R245" s="1" t="n">
        <v>2025</v>
      </c>
    </row>
    <row r="246">
      <c r="A246" s="61" t="n">
        <v>45815</v>
      </c>
      <c r="B246" s="16" t="inlineStr">
        <is>
          <t>753142 - PAPELARIA TRIBUTARIA LTDA</t>
        </is>
      </c>
      <c r="C246" s="90" t="n"/>
      <c r="D246" s="90" t="n">
        <v>204.11</v>
      </c>
      <c r="E246" s="90" t="n">
        <v>-204.11</v>
      </c>
      <c r="F246" s="16" t="inlineStr">
        <is>
          <t>8.10 - MATERIAS DE ESCRITORIO</t>
        </is>
      </c>
      <c r="G246" s="16" t="inlineStr">
        <is>
          <t>ADMINISTRATIVO</t>
        </is>
      </c>
      <c r="H246" s="63" t="n">
        <v>2025</v>
      </c>
      <c r="I246" s="64" t="n">
        <v>6</v>
      </c>
      <c r="J246" s="16" t="inlineStr">
        <is>
          <t>Jun</t>
        </is>
      </c>
      <c r="K246" s="16" t="n"/>
      <c r="M246" s="89" t="n">
        <v>-204.11</v>
      </c>
      <c r="N246" s="1" t="inlineStr">
        <is>
          <t>MATERIAS DE ESCRITORIO / PAPELARIA</t>
        </is>
      </c>
      <c r="O246" s="1" t="inlineStr">
        <is>
          <t>Despesas Administrativas</t>
        </is>
      </c>
      <c r="P246" s="1" t="inlineStr">
        <is>
          <t>(-)Gastos Fixos</t>
        </is>
      </c>
      <c r="Q246" s="1" t="n">
        <v>4</v>
      </c>
      <c r="R246" s="1" t="n">
        <v>2025</v>
      </c>
    </row>
    <row r="247">
      <c r="A247" s="61" t="n">
        <v>45815</v>
      </c>
      <c r="B247" s="16" t="inlineStr">
        <is>
          <t>127612765 - AUTO ALIANCE SEGURO DE VEICULO</t>
        </is>
      </c>
      <c r="C247" s="90" t="n"/>
      <c r="D247" s="90" t="n">
        <v>700.4299999999999</v>
      </c>
      <c r="E247" s="90" t="n">
        <v>-700.4299999999999</v>
      </c>
      <c r="F247" s="16" t="inlineStr">
        <is>
          <t>6.5 - SEGUROS DE VEICULOS</t>
        </is>
      </c>
      <c r="G247" s="16" t="inlineStr">
        <is>
          <t>VEICULOS</t>
        </is>
      </c>
      <c r="H247" s="63" t="n">
        <v>2025</v>
      </c>
      <c r="I247" s="64" t="n">
        <v>6</v>
      </c>
      <c r="J247" s="16" t="inlineStr">
        <is>
          <t>Jun</t>
        </is>
      </c>
      <c r="K247" s="16" t="n"/>
      <c r="M247" s="89" t="n">
        <v>-700.4299999999999</v>
      </c>
      <c r="N247" s="1" t="inlineStr">
        <is>
          <t>SEGUROS DE VEICULOS</t>
        </is>
      </c>
      <c r="O247" s="1" t="inlineStr">
        <is>
          <t>Despesas com Veículos e Equipamentos</t>
        </is>
      </c>
      <c r="P247" s="1" t="inlineStr">
        <is>
          <t>(-)Gastos Fixos</t>
        </is>
      </c>
      <c r="Q247" s="1" t="n">
        <v>4</v>
      </c>
      <c r="R247" s="1" t="n">
        <v>2025</v>
      </c>
    </row>
    <row r="248">
      <c r="A248" s="61" t="n">
        <v>45817</v>
      </c>
      <c r="B248" s="16" t="inlineStr">
        <is>
          <t>RICARDO RODRIGUES - COMERCIAL</t>
        </is>
      </c>
      <c r="C248" s="90" t="n"/>
      <c r="D248" s="90" t="n">
        <v>9000</v>
      </c>
      <c r="E248" s="90" t="n">
        <v>-9000</v>
      </c>
      <c r="F248" s="16" t="inlineStr">
        <is>
          <t>12.1 - SALARIO</t>
        </is>
      </c>
      <c r="G248" s="16" t="inlineStr">
        <is>
          <t>GASTOS COMERCIAIS</t>
        </is>
      </c>
      <c r="H248" s="63" t="n">
        <v>2025</v>
      </c>
      <c r="I248" s="64" t="n">
        <v>6</v>
      </c>
      <c r="J248" s="16" t="inlineStr">
        <is>
          <t>Jun</t>
        </is>
      </c>
      <c r="K248" s="16" t="n"/>
      <c r="M248" s="89" t="n">
        <v>-9000</v>
      </c>
      <c r="N248" s="1" t="inlineStr">
        <is>
          <t>SALARIO</t>
        </is>
      </c>
      <c r="O248" s="1" t="inlineStr">
        <is>
          <t>Despesas com Pessoal</t>
        </is>
      </c>
      <c r="P248" s="1" t="inlineStr">
        <is>
          <t>(-)Gastos Fixos</t>
        </is>
      </c>
      <c r="Q248" s="1" t="n">
        <v>4</v>
      </c>
      <c r="R248" s="1" t="n">
        <v>2025</v>
      </c>
    </row>
    <row r="249">
      <c r="A249" s="61" t="n">
        <v>45817</v>
      </c>
      <c r="B249" s="16" t="inlineStr">
        <is>
          <t>UNIMED COOPERATIVA DE TRABALHO MEDICO</t>
        </is>
      </c>
      <c r="C249" s="90" t="n"/>
      <c r="D249" s="90" t="n">
        <v>2446.41</v>
      </c>
      <c r="E249" s="90" t="n">
        <v>-2446.41</v>
      </c>
      <c r="F249" s="16" t="inlineStr">
        <is>
          <t>12.10 - PLANO DE SAUDE</t>
        </is>
      </c>
      <c r="G249" s="16" t="inlineStr">
        <is>
          <t>ADMINISTRATIVO</t>
        </is>
      </c>
      <c r="H249" s="63" t="n">
        <v>2025</v>
      </c>
      <c r="I249" s="64" t="n">
        <v>6</v>
      </c>
      <c r="J249" s="16" t="inlineStr">
        <is>
          <t>Jun</t>
        </is>
      </c>
      <c r="K249" s="16" t="n"/>
      <c r="M249" s="89" t="n">
        <v>-2446.41</v>
      </c>
      <c r="N249" s="1" t="inlineStr">
        <is>
          <t>PLANO DE SAUDE</t>
        </is>
      </c>
      <c r="O249" s="1" t="inlineStr">
        <is>
          <t>Despesas com Pessoal</t>
        </is>
      </c>
      <c r="P249" s="1" t="inlineStr">
        <is>
          <t>(-)Gastos Fixos</t>
        </is>
      </c>
      <c r="Q249" s="1" t="n">
        <v>4</v>
      </c>
      <c r="R249" s="1" t="n">
        <v>2025</v>
      </c>
    </row>
    <row r="250">
      <c r="A250" s="61" t="n">
        <v>45817</v>
      </c>
      <c r="B250" s="16" t="inlineStr">
        <is>
          <t>UNIMED COOPERATIVA DE TRABALHO MEDICO</t>
        </is>
      </c>
      <c r="C250" s="90" t="n"/>
      <c r="D250" s="90" t="n">
        <v>3135.34</v>
      </c>
      <c r="E250" s="90" t="n">
        <v>-3135.34</v>
      </c>
      <c r="F250" s="16" t="inlineStr">
        <is>
          <t>12.10 - PLANO DE SAUDE</t>
        </is>
      </c>
      <c r="G250" s="16" t="inlineStr">
        <is>
          <t>ADMINISTRATIVO</t>
        </is>
      </c>
      <c r="H250" s="63" t="n">
        <v>2025</v>
      </c>
      <c r="I250" s="64" t="n">
        <v>6</v>
      </c>
      <c r="J250" s="16" t="inlineStr">
        <is>
          <t>Jun</t>
        </is>
      </c>
      <c r="K250" s="16" t="n"/>
      <c r="M250" s="89" t="n">
        <v>-3135.34</v>
      </c>
      <c r="N250" s="1" t="inlineStr">
        <is>
          <t>PLANO DE SAUDE</t>
        </is>
      </c>
      <c r="O250" s="1" t="inlineStr">
        <is>
          <t>Despesas com Pessoal</t>
        </is>
      </c>
      <c r="P250" s="1" t="inlineStr">
        <is>
          <t>(-)Gastos Fixos</t>
        </is>
      </c>
      <c r="Q250" s="1" t="n">
        <v>4</v>
      </c>
      <c r="R250" s="1" t="n">
        <v>2025</v>
      </c>
    </row>
    <row r="251">
      <c r="A251" s="61" t="n">
        <v>45817</v>
      </c>
      <c r="B251" s="16" t="inlineStr">
        <is>
          <t>MARCOS EMPILHADEIRA</t>
        </is>
      </c>
      <c r="C251" s="90" t="n"/>
      <c r="D251" s="90" t="n">
        <v>2800</v>
      </c>
      <c r="E251" s="90" t="n">
        <v>-2800</v>
      </c>
      <c r="F251" s="16" t="inlineStr">
        <is>
          <t>7.5 - LOCAÇÃO EMPILHADEIRA</t>
        </is>
      </c>
      <c r="G251" s="16" t="inlineStr">
        <is>
          <t>ADMINISTRATIVO</t>
        </is>
      </c>
      <c r="H251" s="63" t="n">
        <v>2025</v>
      </c>
      <c r="I251" s="64" t="n">
        <v>6</v>
      </c>
      <c r="J251" s="16" t="inlineStr">
        <is>
          <t>Jun</t>
        </is>
      </c>
      <c r="K251" s="16" t="n"/>
      <c r="M251" s="89" t="n">
        <v>-2800</v>
      </c>
      <c r="N251" s="1" t="inlineStr">
        <is>
          <t>LOCAÇÃO EMPILHADEIRA</t>
        </is>
      </c>
      <c r="O251" s="1" t="inlineStr">
        <is>
          <t>Despesas com Locações</t>
        </is>
      </c>
      <c r="P251" s="1" t="inlineStr">
        <is>
          <t>(-)Gastos Fixos</t>
        </is>
      </c>
      <c r="Q251" s="1" t="n">
        <v>4</v>
      </c>
      <c r="R251" s="1" t="n">
        <v>2025</v>
      </c>
    </row>
    <row r="252">
      <c r="A252" s="61" t="n">
        <v>45817</v>
      </c>
      <c r="B252" s="16" t="inlineStr">
        <is>
          <t>FRETE OBRAS</t>
        </is>
      </c>
      <c r="C252" s="90" t="n"/>
      <c r="D252" s="90" t="n">
        <v>3200</v>
      </c>
      <c r="E252" s="90" t="n">
        <v>-3200</v>
      </c>
      <c r="F252" s="16" t="inlineStr">
        <is>
          <t>10.1 - FRETE MATERIAIS E EQUIPAMENTOS</t>
        </is>
      </c>
      <c r="G252" s="16" t="inlineStr">
        <is>
          <t>ADMINISTRATIVO</t>
        </is>
      </c>
      <c r="H252" s="63" t="n">
        <v>2025</v>
      </c>
      <c r="I252" s="64" t="n">
        <v>6</v>
      </c>
      <c r="J252" s="16" t="inlineStr">
        <is>
          <t>Jun</t>
        </is>
      </c>
      <c r="K252" s="16" t="n"/>
      <c r="M252" s="89" t="n">
        <v>-3200</v>
      </c>
      <c r="N252" s="1" t="inlineStr">
        <is>
          <t>FRETE MATERIAIS E EQUIPAMENTOS</t>
        </is>
      </c>
      <c r="O252" s="1" t="inlineStr">
        <is>
          <t>Fornecedores</t>
        </is>
      </c>
      <c r="P252" s="1" t="inlineStr">
        <is>
          <t>(-)Custos Variavéis</t>
        </is>
      </c>
      <c r="Q252" s="1" t="n">
        <v>3</v>
      </c>
      <c r="R252" s="1" t="n">
        <v>2025</v>
      </c>
    </row>
    <row r="253">
      <c r="A253" s="61" t="n">
        <v>45817</v>
      </c>
      <c r="B253" s="16" t="inlineStr">
        <is>
          <t>GENILDO</t>
        </is>
      </c>
      <c r="C253" s="90" t="n"/>
      <c r="D253" s="90" t="n">
        <v>1516</v>
      </c>
      <c r="E253" s="90" t="n">
        <v>-1516</v>
      </c>
      <c r="F253" s="16" t="inlineStr">
        <is>
          <t>6.4 - COMBUSTIVEL VEICULOS</t>
        </is>
      </c>
      <c r="G253" s="16" t="inlineStr">
        <is>
          <t>ADMINISTRATIVO</t>
        </is>
      </c>
      <c r="H253" s="63" t="n">
        <v>2025</v>
      </c>
      <c r="I253" s="64" t="n">
        <v>6</v>
      </c>
      <c r="J253" s="16" t="inlineStr">
        <is>
          <t>Jun</t>
        </is>
      </c>
      <c r="K253" s="16" t="n"/>
      <c r="M253" s="89" t="n">
        <v>-1516</v>
      </c>
      <c r="N253" s="1" t="inlineStr">
        <is>
          <t>COMBUSTIVEL VEICULOS</t>
        </is>
      </c>
      <c r="O253" s="1" t="inlineStr">
        <is>
          <t>Despesas com Veículos e Equipamentos</t>
        </is>
      </c>
      <c r="P253" s="1" t="inlineStr">
        <is>
          <t>(-)Gastos Fixos</t>
        </is>
      </c>
      <c r="Q253" s="1" t="n">
        <v>4</v>
      </c>
      <c r="R253" s="1" t="n">
        <v>2025</v>
      </c>
    </row>
    <row r="254">
      <c r="A254" s="61" t="n">
        <v>45817</v>
      </c>
      <c r="B254" s="16" t="inlineStr">
        <is>
          <t>GENILDO</t>
        </is>
      </c>
      <c r="C254" s="90" t="n"/>
      <c r="D254" s="90" t="n">
        <v>200</v>
      </c>
      <c r="E254" s="90" t="n">
        <v>-200</v>
      </c>
      <c r="F254" s="16" t="inlineStr">
        <is>
          <t>11.5 - ALIMENTAÇÃO ADM</t>
        </is>
      </c>
      <c r="G254" s="16" t="inlineStr">
        <is>
          <t>GASTOS COMERCIAIS</t>
        </is>
      </c>
      <c r="H254" s="63" t="n">
        <v>2025</v>
      </c>
      <c r="I254" s="64" t="n">
        <v>6</v>
      </c>
      <c r="J254" s="16" t="inlineStr">
        <is>
          <t>Jun</t>
        </is>
      </c>
      <c r="K254" s="16" t="n"/>
      <c r="M254" s="89" t="n">
        <v>-200</v>
      </c>
      <c r="N254" s="1" t="inlineStr">
        <is>
          <t>ALIMENTAÇÃO ADM</t>
        </is>
      </c>
      <c r="O254" s="1" t="inlineStr">
        <is>
          <t>Despesas com Pessoal</t>
        </is>
      </c>
      <c r="P254" s="1" t="inlineStr">
        <is>
          <t>(-)Gastos Fixos</t>
        </is>
      </c>
      <c r="Q254" s="1" t="n">
        <v>4</v>
      </c>
      <c r="R254" s="1" t="n">
        <v>2025</v>
      </c>
    </row>
    <row r="255">
      <c r="A255" s="61" t="n">
        <v>45817</v>
      </c>
      <c r="B255" s="16" t="inlineStr">
        <is>
          <t>GENILDO</t>
        </is>
      </c>
      <c r="C255" s="90" t="n"/>
      <c r="D255" s="90" t="n">
        <v>400</v>
      </c>
      <c r="E255" s="90" t="n">
        <v>-400</v>
      </c>
      <c r="F255" s="16" t="inlineStr">
        <is>
          <t>5.1 - HOTEL FUNCIONARIOS</t>
        </is>
      </c>
      <c r="G255" s="16" t="inlineStr">
        <is>
          <t>GASTOS COMERCIAIS</t>
        </is>
      </c>
      <c r="H255" s="63" t="n">
        <v>2025</v>
      </c>
      <c r="I255" s="64" t="n">
        <v>6</v>
      </c>
      <c r="J255" s="16" t="inlineStr">
        <is>
          <t>Jun</t>
        </is>
      </c>
      <c r="K255" s="16" t="n"/>
      <c r="M255" s="89" t="n">
        <v>-400</v>
      </c>
      <c r="N255" s="1" t="inlineStr">
        <is>
          <t>5.1 - HOTEL FUNCIONARIOS</t>
        </is>
      </c>
      <c r="O255" s="1" t="n"/>
      <c r="P255" s="1" t="n"/>
      <c r="Q255" s="1" t="n"/>
      <c r="R255" s="1" t="n">
        <v>2025</v>
      </c>
    </row>
    <row r="256">
      <c r="A256" s="61" t="n">
        <v>45817</v>
      </c>
      <c r="B256" s="16" t="inlineStr">
        <is>
          <t>GENILDO</t>
        </is>
      </c>
      <c r="C256" s="90" t="n"/>
      <c r="D256" s="90" t="n">
        <v>400</v>
      </c>
      <c r="E256" s="90" t="n">
        <v>-400</v>
      </c>
      <c r="F256" s="16" t="inlineStr">
        <is>
          <t>6.4 - COMBUSTIVEL VEICULOS</t>
        </is>
      </c>
      <c r="G256" s="16" t="inlineStr">
        <is>
          <t>GASTOS COMERCIAIS</t>
        </is>
      </c>
      <c r="H256" s="63" t="n">
        <v>2025</v>
      </c>
      <c r="I256" s="64" t="n">
        <v>6</v>
      </c>
      <c r="J256" s="16" t="inlineStr">
        <is>
          <t>Jun</t>
        </is>
      </c>
      <c r="K256" s="16" t="n"/>
      <c r="M256" s="89" t="n">
        <v>-400</v>
      </c>
      <c r="N256" s="1" t="inlineStr">
        <is>
          <t>COMBUSTIVEL VEICULOS</t>
        </is>
      </c>
      <c r="O256" s="1" t="inlineStr">
        <is>
          <t>Despesas com Veículos e Equipamentos</t>
        </is>
      </c>
      <c r="P256" s="1" t="inlineStr">
        <is>
          <t>(-)Gastos Fixos</t>
        </is>
      </c>
      <c r="Q256" s="1" t="n">
        <v>4</v>
      </c>
      <c r="R256" s="1" t="n">
        <v>2025</v>
      </c>
    </row>
    <row r="257">
      <c r="A257" s="61" t="n">
        <v>45817</v>
      </c>
      <c r="B257" s="16" t="inlineStr">
        <is>
          <t>VAN OBRAS</t>
        </is>
      </c>
      <c r="C257" s="90" t="n"/>
      <c r="D257" s="90" t="n">
        <v>2530</v>
      </c>
      <c r="E257" s="90" t="n">
        <v>-2530</v>
      </c>
      <c r="F257" s="16" t="inlineStr">
        <is>
          <t>12.7 - TRANSPORTE FUNCIONARIOS</t>
        </is>
      </c>
      <c r="G257" s="16" t="inlineStr">
        <is>
          <t>EUROCHEM SERRA DO SALITRE</t>
        </is>
      </c>
      <c r="H257" s="63" t="n">
        <v>2025</v>
      </c>
      <c r="I257" s="64" t="n">
        <v>6</v>
      </c>
      <c r="J257" s="16" t="inlineStr">
        <is>
          <t>Jun</t>
        </is>
      </c>
      <c r="K257" s="16" t="n"/>
      <c r="M257" s="89" t="n">
        <v>-2530</v>
      </c>
      <c r="N257" s="1" t="inlineStr">
        <is>
          <t>12.7 - TRANSPORTE FUNCIONARIOS</t>
        </is>
      </c>
      <c r="O257" s="1" t="n"/>
      <c r="P257" s="1" t="n"/>
      <c r="Q257" s="1" t="n"/>
      <c r="R257" s="1" t="n">
        <v>2025</v>
      </c>
    </row>
    <row r="258">
      <c r="A258" s="61" t="n">
        <v>45817</v>
      </c>
      <c r="B258" s="16" t="inlineStr">
        <is>
          <t>DESPESAS VEICULOS</t>
        </is>
      </c>
      <c r="C258" s="90" t="n"/>
      <c r="D258" s="90" t="n">
        <v>1492</v>
      </c>
      <c r="E258" s="90" t="n">
        <v>-1492</v>
      </c>
      <c r="F258" s="16" t="inlineStr">
        <is>
          <t>6.3 - MANUTENÇÃO/PEÇAS  VEICULOS</t>
        </is>
      </c>
      <c r="G258" s="16" t="inlineStr">
        <is>
          <t>SERENA 21 TORRES 2024</t>
        </is>
      </c>
      <c r="H258" s="63" t="n">
        <v>2025</v>
      </c>
      <c r="I258" s="64" t="n">
        <v>6</v>
      </c>
      <c r="J258" s="16" t="inlineStr">
        <is>
          <t>Jun</t>
        </is>
      </c>
      <c r="K258" s="16" t="n"/>
      <c r="M258" s="89" t="n">
        <v>-1492</v>
      </c>
      <c r="N258" s="1" t="inlineStr">
        <is>
          <t>MANUTENÇÃO/PEÇAS  VEICULOS</t>
        </is>
      </c>
      <c r="O258" s="1" t="inlineStr">
        <is>
          <t>Despesas com Veículos e Equipamentos</t>
        </is>
      </c>
      <c r="P258" s="1" t="inlineStr">
        <is>
          <t>(-)Gastos Fixos</t>
        </is>
      </c>
      <c r="Q258" s="1" t="n">
        <v>4</v>
      </c>
      <c r="R258" s="1" t="n">
        <v>2025</v>
      </c>
    </row>
    <row r="259">
      <c r="A259" s="61" t="n">
        <v>45817</v>
      </c>
      <c r="B259" s="16" t="inlineStr">
        <is>
          <t>DESPESAS DE VIAGEM</t>
        </is>
      </c>
      <c r="C259" s="90" t="n"/>
      <c r="D259" s="90" t="n">
        <v>301.29</v>
      </c>
      <c r="E259" s="90" t="n">
        <v>-301.29</v>
      </c>
      <c r="F259" s="16" t="inlineStr">
        <is>
          <t>12.9 - PASSAGENS FUNCIONARIOS</t>
        </is>
      </c>
      <c r="G259" s="16" t="inlineStr">
        <is>
          <t>ANGLO AMERICAN</t>
        </is>
      </c>
      <c r="H259" s="63" t="n">
        <v>2025</v>
      </c>
      <c r="I259" s="64" t="n">
        <v>6</v>
      </c>
      <c r="J259" s="16" t="inlineStr">
        <is>
          <t>Jun</t>
        </is>
      </c>
      <c r="K259" s="16" t="n"/>
      <c r="M259" s="89" t="n">
        <v>-301.29</v>
      </c>
      <c r="N259" s="1" t="inlineStr">
        <is>
          <t>12.9 - PASSAGENS FUNCIONARIOS</t>
        </is>
      </c>
      <c r="O259" s="1" t="n"/>
      <c r="P259" s="1" t="n"/>
      <c r="Q259" s="1" t="n"/>
      <c r="R259" s="1" t="n">
        <v>2025</v>
      </c>
    </row>
    <row r="260">
      <c r="A260" s="61" t="n">
        <v>45817</v>
      </c>
      <c r="B260" s="16" t="inlineStr">
        <is>
          <t>ENCOMENDA DE CATALAO</t>
        </is>
      </c>
      <c r="C260" s="90" t="n"/>
      <c r="D260" s="90" t="n">
        <v>204</v>
      </c>
      <c r="E260" s="90" t="n">
        <v>-204</v>
      </c>
      <c r="F260" s="16" t="inlineStr">
        <is>
          <t>10.4 - FRETE TRANSPORTADORA</t>
        </is>
      </c>
      <c r="G260" s="16" t="inlineStr">
        <is>
          <t>FOSFATO CMOC CONTRAT</t>
        </is>
      </c>
      <c r="H260" s="63" t="n">
        <v>2025</v>
      </c>
      <c r="I260" s="64" t="n">
        <v>6</v>
      </c>
      <c r="J260" s="16" t="inlineStr">
        <is>
          <t>Jun</t>
        </is>
      </c>
      <c r="K260" s="16" t="n"/>
      <c r="M260" s="89" t="n">
        <v>-204</v>
      </c>
      <c r="N260" s="1" t="inlineStr">
        <is>
          <t>FRETE TRANSPORTADORA</t>
        </is>
      </c>
      <c r="O260" s="1" t="inlineStr">
        <is>
          <t>Fornecedores</t>
        </is>
      </c>
      <c r="P260" s="1" t="inlineStr">
        <is>
          <t>(-)Custos Variavéis</t>
        </is>
      </c>
      <c r="Q260" s="1" t="n">
        <v>3</v>
      </c>
      <c r="R260" s="1" t="n">
        <v>2025</v>
      </c>
    </row>
    <row r="261">
      <c r="A261" s="61" t="n">
        <v>45817</v>
      </c>
      <c r="B261" s="16" t="inlineStr">
        <is>
          <t>ENCOMENDA DE CATALAO</t>
        </is>
      </c>
      <c r="C261" s="90" t="n"/>
      <c r="D261" s="90" t="n">
        <v>306</v>
      </c>
      <c r="E261" s="90" t="n">
        <v>-306</v>
      </c>
      <c r="F261" s="16" t="inlineStr">
        <is>
          <t>10.4 - FRETE TRANSPORTADORA</t>
        </is>
      </c>
      <c r="G261" s="16" t="inlineStr">
        <is>
          <t>NIOBIO CMOC CONTRATO</t>
        </is>
      </c>
      <c r="H261" s="63" t="n">
        <v>2025</v>
      </c>
      <c r="I261" s="64" t="n">
        <v>6</v>
      </c>
      <c r="J261" s="16" t="inlineStr">
        <is>
          <t>Jun</t>
        </is>
      </c>
      <c r="K261" s="16" t="n"/>
      <c r="M261" s="89" t="n">
        <v>-306</v>
      </c>
      <c r="N261" s="1" t="inlineStr">
        <is>
          <t>FRETE TRANSPORTADORA</t>
        </is>
      </c>
      <c r="O261" s="1" t="inlineStr">
        <is>
          <t>Fornecedores</t>
        </is>
      </c>
      <c r="P261" s="1" t="inlineStr">
        <is>
          <t>(-)Custos Variavéis</t>
        </is>
      </c>
      <c r="Q261" s="1" t="n">
        <v>3</v>
      </c>
      <c r="R261" s="1" t="n">
        <v>2025</v>
      </c>
    </row>
    <row r="262">
      <c r="A262" s="61" t="n">
        <v>45817</v>
      </c>
      <c r="B262" s="16" t="inlineStr">
        <is>
          <t>IMPERIO DO ESPETO</t>
        </is>
      </c>
      <c r="C262" s="90" t="n"/>
      <c r="D262" s="90" t="n">
        <v>144</v>
      </c>
      <c r="E262" s="90" t="n">
        <v>-144</v>
      </c>
      <c r="F262" s="16" t="inlineStr">
        <is>
          <t>11.5 - ALIMENTAÇÃO ADM</t>
        </is>
      </c>
      <c r="G262" s="16" t="inlineStr">
        <is>
          <t>ADMINISTRATIVO</t>
        </is>
      </c>
      <c r="H262" s="63" t="n">
        <v>2025</v>
      </c>
      <c r="I262" s="64" t="n">
        <v>6</v>
      </c>
      <c r="J262" s="16" t="inlineStr">
        <is>
          <t>Jun</t>
        </is>
      </c>
      <c r="K262" s="16" t="n"/>
      <c r="M262" s="89" t="n">
        <v>-144</v>
      </c>
      <c r="N262" s="1" t="inlineStr">
        <is>
          <t>ALIMENTAÇÃO ADM</t>
        </is>
      </c>
      <c r="O262" s="1" t="inlineStr">
        <is>
          <t>Despesas com Pessoal</t>
        </is>
      </c>
      <c r="P262" s="1" t="inlineStr">
        <is>
          <t>(-)Gastos Fixos</t>
        </is>
      </c>
      <c r="Q262" s="1" t="n">
        <v>4</v>
      </c>
      <c r="R262" s="1" t="n">
        <v>2025</v>
      </c>
    </row>
    <row r="263">
      <c r="A263" s="61" t="n">
        <v>45817</v>
      </c>
      <c r="B263" s="16" t="inlineStr">
        <is>
          <t>DESPESAS DE OBRAS</t>
        </is>
      </c>
      <c r="C263" s="90" t="n"/>
      <c r="D263" s="90" t="n">
        <v>1800</v>
      </c>
      <c r="E263" s="90" t="n">
        <v>-1800</v>
      </c>
      <c r="F263" s="16" t="inlineStr">
        <is>
          <t>11.1 - ALUGUEIS ADM</t>
        </is>
      </c>
      <c r="G263" s="16" t="inlineStr">
        <is>
          <t>ADMINISTRATIVO</t>
        </is>
      </c>
      <c r="H263" s="63" t="n">
        <v>2025</v>
      </c>
      <c r="I263" s="64" t="n">
        <v>6</v>
      </c>
      <c r="J263" s="16" t="inlineStr">
        <is>
          <t>Jun</t>
        </is>
      </c>
      <c r="K263" s="16" t="n"/>
      <c r="M263" s="89" t="n">
        <v>-1800</v>
      </c>
      <c r="N263" s="1" t="inlineStr">
        <is>
          <t>ALUGUEIS ADM</t>
        </is>
      </c>
      <c r="O263" s="1" t="inlineStr">
        <is>
          <t>Despesas com Infraestrutura</t>
        </is>
      </c>
      <c r="P263" s="1" t="inlineStr">
        <is>
          <t>(-)Gastos Fixos</t>
        </is>
      </c>
      <c r="Q263" s="1" t="n">
        <v>4</v>
      </c>
      <c r="R263" s="1" t="n">
        <v>2025</v>
      </c>
    </row>
    <row r="264">
      <c r="A264" s="61" t="n">
        <v>45817</v>
      </c>
      <c r="B264" s="16" t="inlineStr">
        <is>
          <t>REFEIÇÃO OBRAS</t>
        </is>
      </c>
      <c r="C264" s="90" t="n"/>
      <c r="D264" s="90" t="n">
        <v>1656</v>
      </c>
      <c r="E264" s="90" t="n">
        <v>-1656</v>
      </c>
      <c r="F264" s="16" t="inlineStr">
        <is>
          <t>12.5 - REFEIÇÕES FUNCIONARIOS</t>
        </is>
      </c>
      <c r="G264" s="16" t="inlineStr">
        <is>
          <t>SERENA 21 TORRES 2024</t>
        </is>
      </c>
      <c r="H264" s="63" t="n">
        <v>2025</v>
      </c>
      <c r="I264" s="64" t="n">
        <v>6</v>
      </c>
      <c r="J264" s="16" t="inlineStr">
        <is>
          <t>Jun</t>
        </is>
      </c>
      <c r="K264" s="16" t="n"/>
      <c r="M264" s="89" t="n">
        <v>-1656</v>
      </c>
      <c r="N264" s="1" t="inlineStr">
        <is>
          <t>12.5 - REFEIÇÕES FUNCIONARIOS</t>
        </is>
      </c>
      <c r="O264" s="1" t="n"/>
      <c r="P264" s="1" t="n"/>
      <c r="Q264" s="1" t="n"/>
      <c r="R264" s="1" t="n">
        <v>2025</v>
      </c>
    </row>
    <row r="265">
      <c r="A265" s="61" t="n">
        <v>45817</v>
      </c>
      <c r="B265" s="16" t="inlineStr">
        <is>
          <t>LUBRIFICANTES SAO JOAO LTDA</t>
        </is>
      </c>
      <c r="C265" s="90" t="n"/>
      <c r="D265" s="90" t="n">
        <v>1095</v>
      </c>
      <c r="E265" s="90" t="n">
        <v>-1095</v>
      </c>
      <c r="F265" s="16" t="inlineStr">
        <is>
          <t>8.14 - MANUTENÇÃO/PEÇAS MAQUINAS E EQUIPAMENTOS</t>
        </is>
      </c>
      <c r="G265" s="16" t="inlineStr">
        <is>
          <t>FOSFATO CMOC CONTRAT</t>
        </is>
      </c>
      <c r="H265" s="63" t="n">
        <v>2025</v>
      </c>
      <c r="I265" s="64" t="n">
        <v>6</v>
      </c>
      <c r="J265" s="16" t="inlineStr">
        <is>
          <t>Jun</t>
        </is>
      </c>
      <c r="K265" s="16" t="n"/>
      <c r="M265" s="89" t="n">
        <v>-1095</v>
      </c>
      <c r="N265" s="1" t="inlineStr">
        <is>
          <t>MANUTENÇÃO/PEÇAS MAQUINAS E EQUIPAMENTOS</t>
        </is>
      </c>
      <c r="O265" s="1" t="inlineStr">
        <is>
          <t>Despesas com Máquinas e Equipamentos</t>
        </is>
      </c>
      <c r="P265" s="1" t="inlineStr">
        <is>
          <t>(-)Gastos Fixos</t>
        </is>
      </c>
      <c r="Q265" s="1" t="n">
        <v>4</v>
      </c>
      <c r="R265" s="1" t="n">
        <v>2025</v>
      </c>
    </row>
    <row r="266">
      <c r="A266" s="61" t="n">
        <v>45817</v>
      </c>
      <c r="B266" s="16" t="inlineStr">
        <is>
          <t>13 - LAVA JATO OBRAS</t>
        </is>
      </c>
      <c r="C266" s="90" t="n"/>
      <c r="D266" s="90" t="n">
        <v>800</v>
      </c>
      <c r="E266" s="90" t="n">
        <v>-800</v>
      </c>
      <c r="F266" s="16" t="inlineStr">
        <is>
          <t>6.10 - SERVIÇO LAVA JATO</t>
        </is>
      </c>
      <c r="G266" s="16" t="inlineStr">
        <is>
          <t>VEICULOS</t>
        </is>
      </c>
      <c r="H266" s="63" t="n">
        <v>2025</v>
      </c>
      <c r="I266" s="64" t="n">
        <v>6</v>
      </c>
      <c r="J266" s="16" t="inlineStr">
        <is>
          <t>Jun</t>
        </is>
      </c>
      <c r="K266" s="16" t="n"/>
      <c r="M266" s="89" t="n">
        <v>-800</v>
      </c>
      <c r="N266" s="1" t="inlineStr">
        <is>
          <t>SERVIÇO LAVA JATO</t>
        </is>
      </c>
      <c r="O266" s="1" t="inlineStr">
        <is>
          <t>Despesas com Veículos e Equipamentos</t>
        </is>
      </c>
      <c r="P266" s="1" t="inlineStr">
        <is>
          <t>(-)Gastos Fixos</t>
        </is>
      </c>
      <c r="Q266" s="1" t="n">
        <v>4</v>
      </c>
      <c r="R266" s="1" t="n">
        <v>2025</v>
      </c>
    </row>
    <row r="267">
      <c r="A267" s="61" t="n">
        <v>45817</v>
      </c>
      <c r="B267" s="16" t="inlineStr">
        <is>
          <t>12 - LAVA JATO OBRAS</t>
        </is>
      </c>
      <c r="C267" s="90" t="n"/>
      <c r="D267" s="90" t="n">
        <v>150</v>
      </c>
      <c r="E267" s="90" t="n">
        <v>-150</v>
      </c>
      <c r="F267" s="16" t="inlineStr">
        <is>
          <t>6.10 - SERVIÇO LAVA JATO</t>
        </is>
      </c>
      <c r="G267" s="16" t="inlineStr">
        <is>
          <t>ADMINISTRATIVO</t>
        </is>
      </c>
      <c r="H267" s="63" t="n">
        <v>2025</v>
      </c>
      <c r="I267" s="64" t="n">
        <v>6</v>
      </c>
      <c r="J267" s="16" t="inlineStr">
        <is>
          <t>Jun</t>
        </is>
      </c>
      <c r="K267" s="16" t="n"/>
      <c r="M267" s="89" t="n">
        <v>-150</v>
      </c>
      <c r="N267" s="1" t="inlineStr">
        <is>
          <t>SERVIÇO LAVA JATO</t>
        </is>
      </c>
      <c r="O267" s="1" t="inlineStr">
        <is>
          <t>Despesas com Veículos e Equipamentos</t>
        </is>
      </c>
      <c r="P267" s="1" t="inlineStr">
        <is>
          <t>(-)Gastos Fixos</t>
        </is>
      </c>
      <c r="Q267" s="1" t="n">
        <v>4</v>
      </c>
      <c r="R267" s="1" t="n">
        <v>2025</v>
      </c>
    </row>
    <row r="268">
      <c r="A268" s="61" t="n">
        <v>45817</v>
      </c>
      <c r="B268" s="16" t="inlineStr">
        <is>
          <t>POSTO OBRAS</t>
        </is>
      </c>
      <c r="C268" s="90" t="n"/>
      <c r="D268" s="90" t="n">
        <v>19.9</v>
      </c>
      <c r="E268" s="90" t="n">
        <v>-19.9</v>
      </c>
      <c r="F268" s="16" t="inlineStr">
        <is>
          <t>3.8 - SERVIÇO MOTOBOY / UBER</t>
        </is>
      </c>
      <c r="G268" s="16" t="inlineStr">
        <is>
          <t>ADMINISTRATIVO</t>
        </is>
      </c>
      <c r="H268" s="63" t="n">
        <v>2025</v>
      </c>
      <c r="I268" s="64" t="n">
        <v>6</v>
      </c>
      <c r="J268" s="16" t="inlineStr">
        <is>
          <t>Jun</t>
        </is>
      </c>
      <c r="K268" s="16" t="n"/>
      <c r="M268" s="89" t="n">
        <v>-19.9</v>
      </c>
      <c r="N268" s="1" t="inlineStr">
        <is>
          <t>SERVIÇO MOTOBOY / UBER</t>
        </is>
      </c>
      <c r="O268" s="1" t="inlineStr">
        <is>
          <t>Despesas Administrativas</t>
        </is>
      </c>
      <c r="P268" s="1" t="inlineStr">
        <is>
          <t>(-)Gastos Fixos</t>
        </is>
      </c>
      <c r="Q268" s="1" t="n">
        <v>4</v>
      </c>
      <c r="R268" s="1" t="n">
        <v>2025</v>
      </c>
    </row>
    <row r="269">
      <c r="A269" s="61" t="n">
        <v>45817</v>
      </c>
      <c r="B269" s="16" t="inlineStr">
        <is>
          <t>POSTO OBRAS</t>
        </is>
      </c>
      <c r="C269" s="90" t="n"/>
      <c r="D269" s="90" t="n">
        <v>50</v>
      </c>
      <c r="E269" s="90" t="n">
        <v>-50</v>
      </c>
      <c r="F269" s="16" t="inlineStr">
        <is>
          <t>6.4 - COMBUSTIVEL VEICULOS</t>
        </is>
      </c>
      <c r="G269" s="16" t="inlineStr">
        <is>
          <t>ADMINISTRATIVO</t>
        </is>
      </c>
      <c r="H269" s="63" t="n">
        <v>2025</v>
      </c>
      <c r="I269" s="64" t="n">
        <v>6</v>
      </c>
      <c r="J269" s="16" t="inlineStr">
        <is>
          <t>Jun</t>
        </is>
      </c>
      <c r="K269" s="16" t="n"/>
      <c r="M269" s="89" t="n">
        <v>-50</v>
      </c>
      <c r="N269" s="1" t="inlineStr">
        <is>
          <t>COMBUSTIVEL VEICULOS</t>
        </is>
      </c>
      <c r="O269" s="1" t="inlineStr">
        <is>
          <t>Despesas com Veículos e Equipamentos</t>
        </is>
      </c>
      <c r="P269" s="1" t="inlineStr">
        <is>
          <t>(-)Gastos Fixos</t>
        </is>
      </c>
      <c r="Q269" s="1" t="n">
        <v>4</v>
      </c>
      <c r="R269" s="1" t="n">
        <v>2025</v>
      </c>
    </row>
    <row r="270">
      <c r="A270" s="61" t="n">
        <v>45817</v>
      </c>
      <c r="B270" s="16" t="inlineStr">
        <is>
          <t>ALEX INFORMATICA XCELL CELULARES E COMPUTADORES</t>
        </is>
      </c>
      <c r="C270" s="90" t="n"/>
      <c r="D270" s="90" t="n">
        <v>424</v>
      </c>
      <c r="E270" s="90" t="n">
        <v>-424</v>
      </c>
      <c r="F270" s="16" t="inlineStr">
        <is>
          <t>11.13 - MATERIAIS DE INFORMATICA / COMPUTADOR</t>
        </is>
      </c>
      <c r="G270" s="16" t="inlineStr">
        <is>
          <t>ADMINISTRATIVO</t>
        </is>
      </c>
      <c r="H270" s="63" t="n">
        <v>2025</v>
      </c>
      <c r="I270" s="64" t="n">
        <v>6</v>
      </c>
      <c r="J270" s="16" t="inlineStr">
        <is>
          <t>Jun</t>
        </is>
      </c>
      <c r="K270" s="16" t="n"/>
      <c r="M270" s="89" t="n">
        <v>-424</v>
      </c>
      <c r="N270" s="1" t="inlineStr">
        <is>
          <t>MATERIAIS DE INFORMATICA / COMPUTADOR</t>
        </is>
      </c>
      <c r="O270" s="1" t="inlineStr">
        <is>
          <t>Despesas Administrativas</t>
        </is>
      </c>
      <c r="P270" s="1" t="inlineStr">
        <is>
          <t>(-)Gastos Fixos</t>
        </is>
      </c>
      <c r="Q270" s="1" t="n">
        <v>4</v>
      </c>
      <c r="R270" s="1" t="n">
        <v>2025</v>
      </c>
    </row>
    <row r="271">
      <c r="A271" s="61" t="n">
        <v>45817</v>
      </c>
      <c r="B271" s="16" t="inlineStr">
        <is>
          <t>ALEX INFORMATICA XCELL CELULARES E COMPUTADORES</t>
        </is>
      </c>
      <c r="C271" s="90" t="n"/>
      <c r="D271" s="90" t="n">
        <v>424</v>
      </c>
      <c r="E271" s="90" t="n">
        <v>-424</v>
      </c>
      <c r="F271" s="16" t="inlineStr">
        <is>
          <t>11.13 - MATERIAIS DE INFORMATICA / COMPUTADOR</t>
        </is>
      </c>
      <c r="G271" s="16" t="inlineStr">
        <is>
          <t>ADMINISTRATIVO</t>
        </is>
      </c>
      <c r="H271" s="63" t="n">
        <v>2025</v>
      </c>
      <c r="I271" s="64" t="n">
        <v>6</v>
      </c>
      <c r="J271" s="16" t="inlineStr">
        <is>
          <t>Jun</t>
        </is>
      </c>
      <c r="K271" s="16" t="n"/>
      <c r="M271" s="89" t="n">
        <v>-424</v>
      </c>
      <c r="N271" s="1" t="inlineStr">
        <is>
          <t>MATERIAIS DE INFORMATICA / COMPUTADOR</t>
        </is>
      </c>
      <c r="O271" s="1" t="inlineStr">
        <is>
          <t>Despesas Administrativas</t>
        </is>
      </c>
      <c r="P271" s="1" t="inlineStr">
        <is>
          <t>(-)Gastos Fixos</t>
        </is>
      </c>
      <c r="Q271" s="1" t="n">
        <v>4</v>
      </c>
      <c r="R271" s="1" t="n">
        <v>2025</v>
      </c>
    </row>
    <row r="272">
      <c r="A272" s="61" t="n">
        <v>45817</v>
      </c>
      <c r="B272" s="16" t="inlineStr">
        <is>
          <t>266480 - LOCALIZA RENT A CAR SA</t>
        </is>
      </c>
      <c r="C272" s="90" t="n"/>
      <c r="D272" s="90" t="n">
        <v>1066.58</v>
      </c>
      <c r="E272" s="90" t="n">
        <v>-1066.58</v>
      </c>
      <c r="F272" s="16" t="inlineStr">
        <is>
          <t>7.8 - LOCAÇAO VEICULOS</t>
        </is>
      </c>
      <c r="G272" s="16" t="inlineStr">
        <is>
          <t>GASTOS COMERCIAIS</t>
        </is>
      </c>
      <c r="H272" s="63" t="n">
        <v>2025</v>
      </c>
      <c r="I272" s="64" t="n">
        <v>6</v>
      </c>
      <c r="J272" s="16" t="inlineStr">
        <is>
          <t>Jun</t>
        </is>
      </c>
      <c r="K272" s="16" t="n"/>
      <c r="M272" s="89" t="n">
        <v>-1066.58</v>
      </c>
      <c r="N272" s="1" t="inlineStr">
        <is>
          <t>LOCAÇAO VEICULOS</t>
        </is>
      </c>
      <c r="O272" s="1" t="inlineStr">
        <is>
          <t>Despesas com Locações</t>
        </is>
      </c>
      <c r="P272" s="1" t="inlineStr">
        <is>
          <t>(-)Gastos Fixos</t>
        </is>
      </c>
      <c r="Q272" s="1" t="n">
        <v>4</v>
      </c>
      <c r="R272" s="1" t="n">
        <v>2025</v>
      </c>
    </row>
    <row r="273">
      <c r="A273" s="61" t="n">
        <v>45817</v>
      </c>
      <c r="B273" s="16" t="inlineStr">
        <is>
          <t>9920857 - LOCALIZA RENT A CAR SA</t>
        </is>
      </c>
      <c r="C273" s="90" t="n"/>
      <c r="D273" s="90" t="n">
        <v>973.28</v>
      </c>
      <c r="E273" s="90" t="n">
        <v>-973.28</v>
      </c>
      <c r="F273" s="16" t="inlineStr">
        <is>
          <t>7.8 - LOCAÇAO VEICULOS</t>
        </is>
      </c>
      <c r="G273" s="16" t="inlineStr">
        <is>
          <t>GASTOS COMERCIAIS</t>
        </is>
      </c>
      <c r="H273" s="63" t="n">
        <v>2025</v>
      </c>
      <c r="I273" s="64" t="n">
        <v>6</v>
      </c>
      <c r="J273" s="16" t="inlineStr">
        <is>
          <t>Jun</t>
        </is>
      </c>
      <c r="K273" s="16" t="n"/>
      <c r="M273" s="89" t="n">
        <v>-973.28</v>
      </c>
      <c r="N273" s="1" t="inlineStr">
        <is>
          <t>LOCAÇAO VEICULOS</t>
        </is>
      </c>
      <c r="O273" s="1" t="inlineStr">
        <is>
          <t>Despesas com Locações</t>
        </is>
      </c>
      <c r="P273" s="1" t="inlineStr">
        <is>
          <t>(-)Gastos Fixos</t>
        </is>
      </c>
      <c r="Q273" s="1" t="n">
        <v>4</v>
      </c>
      <c r="R273" s="1" t="n">
        <v>2025</v>
      </c>
    </row>
    <row r="274">
      <c r="A274" s="61" t="n">
        <v>45817</v>
      </c>
      <c r="B274" s="16" t="inlineStr">
        <is>
          <t>25960 - LOCALIZA RENT A CAR SA</t>
        </is>
      </c>
      <c r="C274" s="90" t="n"/>
      <c r="D274" s="90" t="n">
        <v>668.53</v>
      </c>
      <c r="E274" s="90" t="n">
        <v>-668.53</v>
      </c>
      <c r="F274" s="16" t="inlineStr">
        <is>
          <t>7.8 - LOCAÇAO VEICULOS</t>
        </is>
      </c>
      <c r="G274" s="16" t="inlineStr">
        <is>
          <t>GASTOS COMERCIAIS</t>
        </is>
      </c>
      <c r="H274" s="63" t="n">
        <v>2025</v>
      </c>
      <c r="I274" s="64" t="n">
        <v>6</v>
      </c>
      <c r="J274" s="16" t="inlineStr">
        <is>
          <t>Jun</t>
        </is>
      </c>
      <c r="K274" s="16" t="n"/>
      <c r="M274" s="89" t="n">
        <v>-668.53</v>
      </c>
      <c r="N274" s="1" t="inlineStr">
        <is>
          <t>LOCAÇAO VEICULOS</t>
        </is>
      </c>
      <c r="O274" s="1" t="inlineStr">
        <is>
          <t>Despesas com Locações</t>
        </is>
      </c>
      <c r="P274" s="1" t="inlineStr">
        <is>
          <t>(-)Gastos Fixos</t>
        </is>
      </c>
      <c r="Q274" s="1" t="n">
        <v>4</v>
      </c>
      <c r="R274" s="1" t="n">
        <v>2025</v>
      </c>
    </row>
    <row r="275">
      <c r="A275" s="61" t="n">
        <v>45817</v>
      </c>
      <c r="B275" s="16" t="inlineStr">
        <is>
          <t>2819-03 - ABRACO ASSOCIAÇAO BRASILEIRA DE CORROSAO</t>
        </is>
      </c>
      <c r="C275" s="90" t="n"/>
      <c r="D275" s="90" t="n">
        <v>1152</v>
      </c>
      <c r="E275" s="90" t="n">
        <v>-1152</v>
      </c>
      <c r="F275" s="16" t="inlineStr">
        <is>
          <t>3.11 - SERVIÇO ABRACO ANUIDADE</t>
        </is>
      </c>
      <c r="G275" s="16" t="inlineStr">
        <is>
          <t>ADMINISTRATIVO</t>
        </is>
      </c>
      <c r="H275" s="63" t="n">
        <v>2025</v>
      </c>
      <c r="I275" s="64" t="n">
        <v>6</v>
      </c>
      <c r="J275" s="16" t="inlineStr">
        <is>
          <t>Jun</t>
        </is>
      </c>
      <c r="K275" s="16" t="n"/>
      <c r="M275" s="89" t="n">
        <v>-1152</v>
      </c>
      <c r="N275" s="1" t="inlineStr">
        <is>
          <t>SERVIÇO ABRACO ANUIDADE</t>
        </is>
      </c>
      <c r="O275" s="1" t="inlineStr">
        <is>
          <t>Despesas Administrativas</t>
        </is>
      </c>
      <c r="P275" s="1" t="inlineStr">
        <is>
          <t>(-)Gastos Fixos</t>
        </is>
      </c>
      <c r="Q275" s="1" t="n">
        <v>4</v>
      </c>
      <c r="R275" s="1" t="n">
        <v>2025</v>
      </c>
    </row>
    <row r="276">
      <c r="A276" s="61" t="n">
        <v>45817</v>
      </c>
      <c r="B276" s="16" t="inlineStr">
        <is>
          <t>EQUATORIAL DISTRIBUIDORA DE ENERGIA S.A.</t>
        </is>
      </c>
      <c r="C276" s="90" t="n"/>
      <c r="D276" s="90" t="n">
        <v>103.71</v>
      </c>
      <c r="E276" s="90" t="n">
        <v>-103.71</v>
      </c>
      <c r="F276" s="16" t="inlineStr">
        <is>
          <t>5.5 - ENERGIA ALOJAMENTO</t>
        </is>
      </c>
      <c r="G276" s="16" t="inlineStr">
        <is>
          <t>NIOBIO CMOC CONTRATO</t>
        </is>
      </c>
      <c r="H276" s="63" t="n">
        <v>2025</v>
      </c>
      <c r="I276" s="64" t="n">
        <v>6</v>
      </c>
      <c r="J276" s="16" t="inlineStr">
        <is>
          <t>Jun</t>
        </is>
      </c>
      <c r="K276" s="16" t="n"/>
      <c r="M276" s="89" t="n">
        <v>-103.71</v>
      </c>
      <c r="N276" s="1" t="inlineStr">
        <is>
          <t>ENERGIA ALOJAMENTO</t>
        </is>
      </c>
      <c r="O276" s="1" t="inlineStr">
        <is>
          <t>Despesas com Infraestrutura</t>
        </is>
      </c>
      <c r="P276" s="1" t="inlineStr">
        <is>
          <t>(-)Gastos Fixos</t>
        </is>
      </c>
      <c r="Q276" s="1" t="n">
        <v>4</v>
      </c>
      <c r="R276" s="1" t="n">
        <v>2025</v>
      </c>
    </row>
    <row r="277">
      <c r="A277" s="61" t="n">
        <v>45817</v>
      </c>
      <c r="B277" s="16" t="inlineStr">
        <is>
          <t>SAE AGUAS DE CATALAO</t>
        </is>
      </c>
      <c r="C277" s="90" t="n"/>
      <c r="D277" s="90" t="n">
        <v>49.99</v>
      </c>
      <c r="E277" s="90" t="n">
        <v>-49.99</v>
      </c>
      <c r="F277" s="16" t="inlineStr">
        <is>
          <t>5.4 - AGUA ALOJAMENTO</t>
        </is>
      </c>
      <c r="G277" s="16" t="inlineStr">
        <is>
          <t>NIOBIO CMOC CONTRATO</t>
        </is>
      </c>
      <c r="H277" s="63" t="n">
        <v>2025</v>
      </c>
      <c r="I277" s="64" t="n">
        <v>6</v>
      </c>
      <c r="J277" s="16" t="inlineStr">
        <is>
          <t>Jun</t>
        </is>
      </c>
      <c r="K277" s="16" t="n"/>
      <c r="M277" s="89" t="n">
        <v>-49.99</v>
      </c>
      <c r="N277" s="1" t="inlineStr">
        <is>
          <t>AGUA ALOJAMENTO</t>
        </is>
      </c>
      <c r="O277" s="1" t="inlineStr">
        <is>
          <t>Despesas com Infraestrutura</t>
        </is>
      </c>
      <c r="P277" s="1" t="inlineStr">
        <is>
          <t>(-)Gastos Fixos</t>
        </is>
      </c>
      <c r="Q277" s="1" t="n">
        <v>4</v>
      </c>
      <c r="R277" s="1" t="n">
        <v>2025</v>
      </c>
    </row>
    <row r="278">
      <c r="A278" s="61" t="n">
        <v>45817</v>
      </c>
      <c r="B278" s="16" t="inlineStr">
        <is>
          <t>EQUATORIAL DISTRIBUIDORA DE ENERGIA S.A.</t>
        </is>
      </c>
      <c r="C278" s="90" t="n"/>
      <c r="D278" s="90" t="n">
        <v>194.07</v>
      </c>
      <c r="E278" s="90" t="n">
        <v>-194.07</v>
      </c>
      <c r="F278" s="16" t="inlineStr">
        <is>
          <t>5.5 - ENERGIA ALOJAMENTO</t>
        </is>
      </c>
      <c r="G278" s="16" t="inlineStr">
        <is>
          <t>FOSFATO CMOC CONTRAT</t>
        </is>
      </c>
      <c r="H278" s="63" t="n">
        <v>2025</v>
      </c>
      <c r="I278" s="64" t="n">
        <v>6</v>
      </c>
      <c r="J278" s="16" t="inlineStr">
        <is>
          <t>Jun</t>
        </is>
      </c>
      <c r="K278" s="16" t="n"/>
      <c r="M278" s="89" t="n">
        <v>-194.07</v>
      </c>
      <c r="N278" s="1" t="inlineStr">
        <is>
          <t>ENERGIA ALOJAMENTO</t>
        </is>
      </c>
      <c r="O278" s="1" t="inlineStr">
        <is>
          <t>Despesas com Infraestrutura</t>
        </is>
      </c>
      <c r="P278" s="1" t="inlineStr">
        <is>
          <t>(-)Gastos Fixos</t>
        </is>
      </c>
      <c r="Q278" s="1" t="n">
        <v>4</v>
      </c>
      <c r="R278" s="1" t="n">
        <v>2025</v>
      </c>
    </row>
    <row r="279">
      <c r="A279" s="61" t="n">
        <v>45817</v>
      </c>
      <c r="B279" s="16" t="inlineStr">
        <is>
          <t>SAE AGUAS DE CATALAO</t>
        </is>
      </c>
      <c r="C279" s="90" t="n"/>
      <c r="D279" s="90" t="n">
        <v>148.98</v>
      </c>
      <c r="E279" s="90" t="n">
        <v>-148.98</v>
      </c>
      <c r="F279" s="16" t="inlineStr">
        <is>
          <t>5.4 - AGUA ALOJAMENTO</t>
        </is>
      </c>
      <c r="G279" s="16" t="inlineStr">
        <is>
          <t>FOSFATO CMOC CONTRAT</t>
        </is>
      </c>
      <c r="H279" s="63" t="n">
        <v>2025</v>
      </c>
      <c r="I279" s="64" t="n">
        <v>6</v>
      </c>
      <c r="J279" s="16" t="inlineStr">
        <is>
          <t>Jun</t>
        </is>
      </c>
      <c r="K279" s="16" t="n"/>
      <c r="M279" s="89" t="n">
        <v>-148.98</v>
      </c>
      <c r="N279" s="1" t="inlineStr">
        <is>
          <t>AGUA ALOJAMENTO</t>
        </is>
      </c>
      <c r="O279" s="1" t="inlineStr">
        <is>
          <t>Despesas com Infraestrutura</t>
        </is>
      </c>
      <c r="P279" s="1" t="inlineStr">
        <is>
          <t>(-)Gastos Fixos</t>
        </is>
      </c>
      <c r="Q279" s="1" t="n">
        <v>4</v>
      </c>
      <c r="R279" s="1" t="n">
        <v>2025</v>
      </c>
    </row>
    <row r="280">
      <c r="A280" s="61" t="n">
        <v>45817</v>
      </c>
      <c r="B280" s="16" t="inlineStr">
        <is>
          <t>EQUATORIAL DISTRIBUIDORA DE ENERGIA S.A.</t>
        </is>
      </c>
      <c r="C280" s="90" t="n"/>
      <c r="D280" s="90" t="n">
        <v>127.44</v>
      </c>
      <c r="E280" s="90" t="n">
        <v>-127.44</v>
      </c>
      <c r="F280" s="16" t="inlineStr">
        <is>
          <t>5.5 - ENERGIA ALOJAMENTO</t>
        </is>
      </c>
      <c r="G280" s="16" t="inlineStr">
        <is>
          <t>FOSFATO CMOC CONTRAT</t>
        </is>
      </c>
      <c r="H280" s="63" t="n">
        <v>2025</v>
      </c>
      <c r="I280" s="64" t="n">
        <v>6</v>
      </c>
      <c r="J280" s="16" t="inlineStr">
        <is>
          <t>Jun</t>
        </is>
      </c>
      <c r="K280" s="16" t="n"/>
      <c r="M280" s="89" t="n">
        <v>-127.44</v>
      </c>
      <c r="N280" s="1" t="inlineStr">
        <is>
          <t>ENERGIA ALOJAMENTO</t>
        </is>
      </c>
      <c r="O280" s="1" t="inlineStr">
        <is>
          <t>Despesas com Infraestrutura</t>
        </is>
      </c>
      <c r="P280" s="1" t="inlineStr">
        <is>
          <t>(-)Gastos Fixos</t>
        </is>
      </c>
      <c r="Q280" s="1" t="n">
        <v>4</v>
      </c>
      <c r="R280" s="1" t="n">
        <v>2025</v>
      </c>
    </row>
    <row r="281">
      <c r="A281" s="61" t="n">
        <v>45817</v>
      </c>
      <c r="B281" s="16" t="inlineStr">
        <is>
          <t>SAE AGUAS DE CATALAO</t>
        </is>
      </c>
      <c r="C281" s="90" t="n"/>
      <c r="D281" s="90" t="n">
        <v>57.91</v>
      </c>
      <c r="E281" s="90" t="n">
        <v>-57.91</v>
      </c>
      <c r="F281" s="16" t="inlineStr">
        <is>
          <t>5.4 - AGUA ALOJAMENTO</t>
        </is>
      </c>
      <c r="G281" s="16" t="inlineStr">
        <is>
          <t>FOSFATO CMOC CONTRAT</t>
        </is>
      </c>
      <c r="H281" s="63" t="n">
        <v>2025</v>
      </c>
      <c r="I281" s="64" t="n">
        <v>6</v>
      </c>
      <c r="J281" s="16" t="inlineStr">
        <is>
          <t>Jun</t>
        </is>
      </c>
      <c r="K281" s="16" t="n"/>
      <c r="M281" s="89" t="n">
        <v>-57.91</v>
      </c>
      <c r="N281" s="1" t="inlineStr">
        <is>
          <t>AGUA ALOJAMENTO</t>
        </is>
      </c>
      <c r="O281" s="1" t="inlineStr">
        <is>
          <t>Despesas com Infraestrutura</t>
        </is>
      </c>
      <c r="P281" s="1" t="inlineStr">
        <is>
          <t>(-)Gastos Fixos</t>
        </is>
      </c>
      <c r="Q281" s="1" t="n">
        <v>4</v>
      </c>
      <c r="R281" s="1" t="n">
        <v>2025</v>
      </c>
    </row>
    <row r="282">
      <c r="A282" s="61" t="n">
        <v>45817</v>
      </c>
      <c r="B282" s="16" t="inlineStr">
        <is>
          <t>EQUATORIAL DISTRIBUIDORA DE ENERGIA S.A.</t>
        </is>
      </c>
      <c r="C282" s="90" t="n"/>
      <c r="D282" s="90" t="n">
        <v>174.03</v>
      </c>
      <c r="E282" s="90" t="n">
        <v>-174.03</v>
      </c>
      <c r="F282" s="16" t="inlineStr">
        <is>
          <t>5.5 - ENERGIA ALOJAMENTO</t>
        </is>
      </c>
      <c r="G282" s="16" t="inlineStr">
        <is>
          <t>NIOBIO CMOC CONTRATO</t>
        </is>
      </c>
      <c r="H282" s="63" t="n">
        <v>2025</v>
      </c>
      <c r="I282" s="64" t="n">
        <v>6</v>
      </c>
      <c r="J282" s="16" t="inlineStr">
        <is>
          <t>Jun</t>
        </is>
      </c>
      <c r="K282" s="16" t="n"/>
      <c r="M282" s="89" t="n">
        <v>-174.03</v>
      </c>
      <c r="N282" s="1" t="inlineStr">
        <is>
          <t>ENERGIA ALOJAMENTO</t>
        </is>
      </c>
      <c r="O282" s="1" t="inlineStr">
        <is>
          <t>Despesas com Infraestrutura</t>
        </is>
      </c>
      <c r="P282" s="1" t="inlineStr">
        <is>
          <t>(-)Gastos Fixos</t>
        </is>
      </c>
      <c r="Q282" s="1" t="n">
        <v>4</v>
      </c>
      <c r="R282" s="1" t="n">
        <v>2025</v>
      </c>
    </row>
    <row r="283">
      <c r="A283" s="61" t="n">
        <v>45817</v>
      </c>
      <c r="B283" s="16" t="inlineStr">
        <is>
          <t>SAE AGUAS DE CATALAO</t>
        </is>
      </c>
      <c r="C283" s="90" t="n"/>
      <c r="D283" s="90" t="n">
        <v>146.5</v>
      </c>
      <c r="E283" s="90" t="n">
        <v>-146.5</v>
      </c>
      <c r="F283" s="16" t="inlineStr">
        <is>
          <t>5.4 - AGUA ALOJAMENTO</t>
        </is>
      </c>
      <c r="G283" s="16" t="inlineStr">
        <is>
          <t>NIOBIO CMOC CONTRATO</t>
        </is>
      </c>
      <c r="H283" s="63" t="n">
        <v>2025</v>
      </c>
      <c r="I283" s="64" t="n">
        <v>6</v>
      </c>
      <c r="J283" s="16" t="inlineStr">
        <is>
          <t>Jun</t>
        </is>
      </c>
      <c r="K283" s="16" t="n"/>
      <c r="M283" s="89" t="n">
        <v>-146.5</v>
      </c>
      <c r="N283" s="1" t="inlineStr">
        <is>
          <t>AGUA ALOJAMENTO</t>
        </is>
      </c>
      <c r="O283" s="1" t="inlineStr">
        <is>
          <t>Despesas com Infraestrutura</t>
        </is>
      </c>
      <c r="P283" s="1" t="inlineStr">
        <is>
          <t>(-)Gastos Fixos</t>
        </is>
      </c>
      <c r="Q283" s="1" t="n">
        <v>4</v>
      </c>
      <c r="R283" s="1" t="n">
        <v>2025</v>
      </c>
    </row>
    <row r="284">
      <c r="A284" s="61" t="n">
        <v>45817</v>
      </c>
      <c r="B284" s="16" t="inlineStr">
        <is>
          <t>LAILA CRISTINA</t>
        </is>
      </c>
      <c r="C284" s="90" t="n"/>
      <c r="D284" s="90" t="n">
        <v>899.15</v>
      </c>
      <c r="E284" s="90" t="n">
        <v>-899.15</v>
      </c>
      <c r="F284" s="16" t="inlineStr">
        <is>
          <t>8.11 - MATERIAIS DE LIMPEZA / HIGIENE</t>
        </is>
      </c>
      <c r="G284" s="16" t="inlineStr">
        <is>
          <t>FOSFATO CMOC CONTRAT</t>
        </is>
      </c>
      <c r="H284" s="63" t="n">
        <v>2025</v>
      </c>
      <c r="I284" s="64" t="n">
        <v>6</v>
      </c>
      <c r="J284" s="16" t="inlineStr">
        <is>
          <t>Jun</t>
        </is>
      </c>
      <c r="K284" s="16" t="n"/>
      <c r="M284" s="89" t="n">
        <v>-899.15</v>
      </c>
      <c r="N284" s="1" t="inlineStr">
        <is>
          <t>MATERIAIS DE LIMPEZA / HIGIENE</t>
        </is>
      </c>
      <c r="O284" s="1" t="inlineStr">
        <is>
          <t>Despesas com Máquinas e Equipamentos</t>
        </is>
      </c>
      <c r="P284" s="1" t="inlineStr">
        <is>
          <t>(-)Gastos Fixos</t>
        </is>
      </c>
      <c r="Q284" s="1" t="n">
        <v>4</v>
      </c>
      <c r="R284" s="1" t="n">
        <v>2025</v>
      </c>
    </row>
    <row r="285">
      <c r="A285" s="61" t="n">
        <v>45817</v>
      </c>
      <c r="B285" s="16" t="inlineStr">
        <is>
          <t>LAILA CRISTINA</t>
        </is>
      </c>
      <c r="C285" s="90" t="n"/>
      <c r="D285" s="90" t="n">
        <v>398.59</v>
      </c>
      <c r="E285" s="90" t="n">
        <v>-398.59</v>
      </c>
      <c r="F285" s="16" t="inlineStr">
        <is>
          <t>8.11 - MATERIAIS DE LIMPEZA / HIGIENE</t>
        </is>
      </c>
      <c r="G285" s="16" t="inlineStr">
        <is>
          <t>NIOBIO CMOC CONTRATO</t>
        </is>
      </c>
      <c r="H285" s="63" t="n">
        <v>2025</v>
      </c>
      <c r="I285" s="64" t="n">
        <v>6</v>
      </c>
      <c r="J285" s="16" t="inlineStr">
        <is>
          <t>Jun</t>
        </is>
      </c>
      <c r="K285" s="16" t="n"/>
      <c r="M285" s="89" t="n">
        <v>-398.59</v>
      </c>
      <c r="N285" s="1" t="inlineStr">
        <is>
          <t>MATERIAIS DE LIMPEZA / HIGIENE</t>
        </is>
      </c>
      <c r="O285" s="1" t="inlineStr">
        <is>
          <t>Despesas com Máquinas e Equipamentos</t>
        </is>
      </c>
      <c r="P285" s="1" t="inlineStr">
        <is>
          <t>(-)Gastos Fixos</t>
        </is>
      </c>
      <c r="Q285" s="1" t="n">
        <v>4</v>
      </c>
      <c r="R285" s="1" t="n">
        <v>2025</v>
      </c>
    </row>
    <row r="286">
      <c r="A286" s="61" t="n">
        <v>45817</v>
      </c>
      <c r="B286" s="16" t="inlineStr">
        <is>
          <t>VALDMAR AUGUSTO</t>
        </is>
      </c>
      <c r="C286" s="90" t="n"/>
      <c r="D286" s="90" t="n">
        <v>300</v>
      </c>
      <c r="E286" s="90" t="n">
        <v>-300</v>
      </c>
      <c r="F286" s="16" t="inlineStr">
        <is>
          <t>6.4 - COMBUSTIVEL VEICULOS</t>
        </is>
      </c>
      <c r="G286" s="16" t="inlineStr">
        <is>
          <t>MOSAIC ARAXA</t>
        </is>
      </c>
      <c r="H286" s="63" t="n">
        <v>2025</v>
      </c>
      <c r="I286" s="64" t="n">
        <v>6</v>
      </c>
      <c r="J286" s="16" t="inlineStr">
        <is>
          <t>Jun</t>
        </is>
      </c>
      <c r="K286" s="16" t="n"/>
      <c r="M286" s="89" t="n">
        <v>-300</v>
      </c>
      <c r="N286" s="1" t="inlineStr">
        <is>
          <t>COMBUSTIVEL VEICULOS</t>
        </is>
      </c>
      <c r="O286" s="1" t="inlineStr">
        <is>
          <t>Despesas com Veículos e Equipamentos</t>
        </is>
      </c>
      <c r="P286" s="1" t="inlineStr">
        <is>
          <t>(-)Gastos Fixos</t>
        </is>
      </c>
      <c r="Q286" s="1" t="n">
        <v>4</v>
      </c>
      <c r="R286" s="1" t="n">
        <v>2025</v>
      </c>
    </row>
    <row r="287">
      <c r="A287" s="61" t="n">
        <v>45817</v>
      </c>
      <c r="B287" s="16" t="inlineStr">
        <is>
          <t>SERRALHERIA</t>
        </is>
      </c>
      <c r="C287" s="90" t="n"/>
      <c r="D287" s="90" t="n">
        <v>1000</v>
      </c>
      <c r="E287" s="90" t="n">
        <v>-1000</v>
      </c>
      <c r="F287" s="16" t="inlineStr">
        <is>
          <t>3.6 - SERVIÇO SERRALHEIRO</t>
        </is>
      </c>
      <c r="G287" s="16" t="inlineStr">
        <is>
          <t>VLI PINTURA</t>
        </is>
      </c>
      <c r="H287" s="63" t="n">
        <v>2025</v>
      </c>
      <c r="I287" s="64" t="n">
        <v>6</v>
      </c>
      <c r="J287" s="16" t="inlineStr">
        <is>
          <t>Jun</t>
        </is>
      </c>
      <c r="K287" s="16" t="n"/>
      <c r="M287" s="89" t="n">
        <v>-1000</v>
      </c>
      <c r="N287" s="1" t="inlineStr">
        <is>
          <t>SERVIÇO SERRALHEIRO</t>
        </is>
      </c>
      <c r="O287" s="1" t="inlineStr">
        <is>
          <t>Serviços de Terceiros</t>
        </is>
      </c>
      <c r="P287" s="1" t="inlineStr">
        <is>
          <t>(-)Gastos Fixos</t>
        </is>
      </c>
      <c r="Q287" s="1" t="n">
        <v>4</v>
      </c>
      <c r="R287" s="1" t="n">
        <v>2025</v>
      </c>
    </row>
    <row r="288">
      <c r="A288" s="61" t="n">
        <v>45817</v>
      </c>
      <c r="B288" s="16" t="inlineStr">
        <is>
          <t>POSTO OBRAS</t>
        </is>
      </c>
      <c r="C288" s="90" t="n"/>
      <c r="D288" s="90" t="n">
        <v>123.8</v>
      </c>
      <c r="E288" s="90" t="n">
        <v>-123.8</v>
      </c>
      <c r="F288" s="16" t="inlineStr">
        <is>
          <t>6.4 - COMBUSTIVEL VEICULOS</t>
        </is>
      </c>
      <c r="G288" s="16" t="inlineStr">
        <is>
          <t>ADMINISTRATIVO</t>
        </is>
      </c>
      <c r="H288" s="63" t="n">
        <v>2025</v>
      </c>
      <c r="I288" s="64" t="n">
        <v>6</v>
      </c>
      <c r="J288" s="16" t="inlineStr">
        <is>
          <t>Jun</t>
        </is>
      </c>
      <c r="K288" s="16" t="n"/>
      <c r="M288" s="89" t="n">
        <v>-123.8</v>
      </c>
      <c r="N288" s="1" t="inlineStr">
        <is>
          <t>COMBUSTIVEL VEICULOS</t>
        </is>
      </c>
      <c r="O288" s="1" t="inlineStr">
        <is>
          <t>Despesas com Veículos e Equipamentos</t>
        </is>
      </c>
      <c r="P288" s="1" t="inlineStr">
        <is>
          <t>(-)Gastos Fixos</t>
        </is>
      </c>
      <c r="Q288" s="1" t="n">
        <v>4</v>
      </c>
      <c r="R288" s="1" t="n">
        <v>2025</v>
      </c>
    </row>
    <row r="289">
      <c r="A289" s="61" t="n">
        <v>45817</v>
      </c>
      <c r="B289" s="16" t="inlineStr">
        <is>
          <t>SILAS FRETE</t>
        </is>
      </c>
      <c r="C289" s="90" t="n"/>
      <c r="D289" s="90" t="n">
        <v>400</v>
      </c>
      <c r="E289" s="90" t="n">
        <v>-400</v>
      </c>
      <c r="F289" s="16" t="inlineStr">
        <is>
          <t>10.1 - FRETE MATERIAIS E EQUIPAMENTOS</t>
        </is>
      </c>
      <c r="G289" s="16" t="inlineStr">
        <is>
          <t>ADMINISTRATIVO</t>
        </is>
      </c>
      <c r="H289" s="63" t="n">
        <v>2025</v>
      </c>
      <c r="I289" s="64" t="n">
        <v>6</v>
      </c>
      <c r="J289" s="16" t="inlineStr">
        <is>
          <t>Jun</t>
        </is>
      </c>
      <c r="K289" s="16" t="n"/>
      <c r="M289" s="89" t="n">
        <v>-400</v>
      </c>
      <c r="N289" s="1" t="inlineStr">
        <is>
          <t>FRETE MATERIAIS E EQUIPAMENTOS</t>
        </is>
      </c>
      <c r="O289" s="1" t="inlineStr">
        <is>
          <t>Fornecedores</t>
        </is>
      </c>
      <c r="P289" s="1" t="inlineStr">
        <is>
          <t>(-)Custos Variavéis</t>
        </is>
      </c>
      <c r="Q289" s="1" t="n">
        <v>3</v>
      </c>
      <c r="R289" s="1" t="n">
        <v>2025</v>
      </c>
    </row>
    <row r="290">
      <c r="A290" s="61" t="n">
        <v>45817</v>
      </c>
      <c r="B290" s="16" t="inlineStr">
        <is>
          <t>ENCOMENDA BARRO ALTO</t>
        </is>
      </c>
      <c r="C290" s="90" t="n"/>
      <c r="D290" s="90" t="n">
        <v>250</v>
      </c>
      <c r="E290" s="90" t="n">
        <v>-250</v>
      </c>
      <c r="F290" s="16" t="inlineStr">
        <is>
          <t>10.4 - FRETE TRANSPORTADORA</t>
        </is>
      </c>
      <c r="G290" s="16" t="inlineStr">
        <is>
          <t>ANGLO AMERICAN</t>
        </is>
      </c>
      <c r="H290" s="63" t="n">
        <v>2025</v>
      </c>
      <c r="I290" s="64" t="n">
        <v>6</v>
      </c>
      <c r="J290" s="16" t="inlineStr">
        <is>
          <t>Jun</t>
        </is>
      </c>
      <c r="K290" s="16" t="n"/>
      <c r="M290" s="89" t="n">
        <v>-250</v>
      </c>
      <c r="N290" s="1" t="inlineStr">
        <is>
          <t>FRETE TRANSPORTADORA</t>
        </is>
      </c>
      <c r="O290" s="1" t="inlineStr">
        <is>
          <t>Fornecedores</t>
        </is>
      </c>
      <c r="P290" s="1" t="inlineStr">
        <is>
          <t>(-)Custos Variavéis</t>
        </is>
      </c>
      <c r="Q290" s="1" t="n">
        <v>3</v>
      </c>
      <c r="R290" s="1" t="n">
        <v>2025</v>
      </c>
    </row>
    <row r="291">
      <c r="A291" s="61" t="n">
        <v>45817</v>
      </c>
      <c r="B291" s="16" t="inlineStr">
        <is>
          <t>FERRAGISTA OBRAS</t>
        </is>
      </c>
      <c r="C291" s="90" t="n"/>
      <c r="D291" s="90" t="n">
        <v>120</v>
      </c>
      <c r="E291" s="90" t="n">
        <v>-120</v>
      </c>
      <c r="F291" s="16" t="inlineStr">
        <is>
          <t>8.10 - MATERIAS DE ESCRITORIO</t>
        </is>
      </c>
      <c r="G291" s="16" t="inlineStr">
        <is>
          <t>ADMINISTRATIVO</t>
        </is>
      </c>
      <c r="H291" s="63" t="n">
        <v>2025</v>
      </c>
      <c r="I291" s="64" t="n">
        <v>6</v>
      </c>
      <c r="J291" s="16" t="inlineStr">
        <is>
          <t>Jun</t>
        </is>
      </c>
      <c r="K291" s="16" t="n"/>
      <c r="M291" s="89" t="n">
        <v>-120</v>
      </c>
      <c r="N291" s="1" t="inlineStr">
        <is>
          <t>MATERIAS DE ESCRITORIO / PAPELARIA</t>
        </is>
      </c>
      <c r="O291" s="1" t="inlineStr">
        <is>
          <t>Despesas Administrativas</t>
        </is>
      </c>
      <c r="P291" s="1" t="inlineStr">
        <is>
          <t>(-)Gastos Fixos</t>
        </is>
      </c>
      <c r="Q291" s="1" t="n">
        <v>4</v>
      </c>
      <c r="R291" s="1" t="n">
        <v>2025</v>
      </c>
    </row>
    <row r="292">
      <c r="A292" s="61" t="n">
        <v>45817</v>
      </c>
      <c r="B292" s="16" t="inlineStr">
        <is>
          <t>POTENCIA COMERCIO DE EXTINTORES LTDA</t>
        </is>
      </c>
      <c r="C292" s="90" t="n"/>
      <c r="D292" s="90" t="n">
        <v>415</v>
      </c>
      <c r="E292" s="90" t="n">
        <v>-415</v>
      </c>
      <c r="F292" s="16" t="inlineStr">
        <is>
          <t>8.4 - MAQUINAS / EQUIPAMENTOS</t>
        </is>
      </c>
      <c r="G292" s="16" t="inlineStr">
        <is>
          <t>SERENA 21 TORRES 2024</t>
        </is>
      </c>
      <c r="H292" s="63" t="n">
        <v>2025</v>
      </c>
      <c r="I292" s="64" t="n">
        <v>6</v>
      </c>
      <c r="J292" s="16" t="inlineStr">
        <is>
          <t>Jun</t>
        </is>
      </c>
      <c r="K292" s="16" t="n"/>
      <c r="M292" s="89" t="n">
        <v>-415</v>
      </c>
      <c r="N292" s="1" t="inlineStr">
        <is>
          <t>Aquisição de Maquinas e Equipamentos</t>
        </is>
      </c>
      <c r="O292" s="1" t="inlineStr">
        <is>
          <t>Investimentos</t>
        </is>
      </c>
      <c r="P292" s="1" t="inlineStr">
        <is>
          <t>(-)Investimentos</t>
        </is>
      </c>
      <c r="Q292" s="1" t="n">
        <v>8</v>
      </c>
      <c r="R292" s="1" t="n">
        <v>2025</v>
      </c>
    </row>
    <row r="293">
      <c r="A293" s="61" t="n">
        <v>45817</v>
      </c>
      <c r="B293" s="16" t="inlineStr">
        <is>
          <t>HOTEIS OBRAS</t>
        </is>
      </c>
      <c r="C293" s="90" t="n"/>
      <c r="D293" s="90" t="n">
        <v>1100</v>
      </c>
      <c r="E293" s="90" t="n">
        <v>-1100</v>
      </c>
      <c r="F293" s="16" t="inlineStr">
        <is>
          <t>5.1 - HOTEL FUNCIONARIOS</t>
        </is>
      </c>
      <c r="G293" s="16" t="inlineStr">
        <is>
          <t>ADMINISTRATIVO</t>
        </is>
      </c>
      <c r="H293" s="63" t="n">
        <v>2025</v>
      </c>
      <c r="I293" s="64" t="n">
        <v>6</v>
      </c>
      <c r="J293" s="16" t="inlineStr">
        <is>
          <t>Jun</t>
        </is>
      </c>
      <c r="K293" s="16" t="n"/>
      <c r="M293" s="89" t="n">
        <v>-1100</v>
      </c>
      <c r="N293" s="1" t="inlineStr">
        <is>
          <t>5.1 - HOTEL FUNCIONARIOS</t>
        </is>
      </c>
      <c r="O293" s="1" t="n"/>
      <c r="P293" s="1" t="n"/>
      <c r="Q293" s="1" t="n"/>
      <c r="R293" s="1" t="n">
        <v>2025</v>
      </c>
    </row>
    <row r="294">
      <c r="A294" s="61" t="n">
        <v>45817</v>
      </c>
      <c r="B294" s="16" t="inlineStr">
        <is>
          <t>DESPESAS DE VIAGEM</t>
        </is>
      </c>
      <c r="C294" s="90" t="n"/>
      <c r="D294" s="90" t="n">
        <v>210</v>
      </c>
      <c r="E294" s="90" t="n">
        <v>-210</v>
      </c>
      <c r="F294" s="16" t="inlineStr">
        <is>
          <t>12.5 - REFEIÇÕES FUNCIONARIOS</t>
        </is>
      </c>
      <c r="G294" s="16" t="inlineStr">
        <is>
          <t>SERENA 21 TORRES 2024</t>
        </is>
      </c>
      <c r="H294" s="63" t="n">
        <v>2025</v>
      </c>
      <c r="I294" s="64" t="n">
        <v>6</v>
      </c>
      <c r="J294" s="16" t="inlineStr">
        <is>
          <t>Jun</t>
        </is>
      </c>
      <c r="K294" s="16" t="n"/>
      <c r="M294" s="89" t="n">
        <v>-210</v>
      </c>
      <c r="N294" s="1" t="inlineStr">
        <is>
          <t>12.5 - REFEIÇÕES FUNCIONARIOS</t>
        </is>
      </c>
      <c r="O294" s="1" t="n"/>
      <c r="P294" s="1" t="n"/>
      <c r="Q294" s="1" t="n"/>
      <c r="R294" s="1" t="n">
        <v>2025</v>
      </c>
    </row>
    <row r="295">
      <c r="A295" s="61" t="n">
        <v>45817</v>
      </c>
      <c r="B295" s="16" t="inlineStr">
        <is>
          <t>BANCO ITAU</t>
        </is>
      </c>
      <c r="C295" s="90" t="n"/>
      <c r="D295" s="90" t="n">
        <v>36</v>
      </c>
      <c r="E295" s="90" t="n">
        <v>-36</v>
      </c>
      <c r="F295" s="16" t="inlineStr">
        <is>
          <t>18.2 - TARIFAS BANCARIAS</t>
        </is>
      </c>
      <c r="G295" s="16" t="inlineStr">
        <is>
          <t>ADMINISTRATIVO</t>
        </is>
      </c>
      <c r="H295" s="63" t="n">
        <v>2025</v>
      </c>
      <c r="I295" s="64" t="n">
        <v>6</v>
      </c>
      <c r="J295" s="16" t="inlineStr">
        <is>
          <t>Jun</t>
        </is>
      </c>
      <c r="K295" s="16" t="n"/>
      <c r="M295" s="89" t="n">
        <v>-36</v>
      </c>
      <c r="N295" s="1" t="inlineStr">
        <is>
          <t>TARIFAS BANCARIAS</t>
        </is>
      </c>
      <c r="O295" s="1" t="inlineStr">
        <is>
          <t>Despesas Financeiras</t>
        </is>
      </c>
      <c r="P295" s="1" t="inlineStr">
        <is>
          <t>(-)Gastos Fixos</t>
        </is>
      </c>
      <c r="Q295" s="1" t="n">
        <v>4</v>
      </c>
      <c r="R295" s="1" t="n">
        <v>2025</v>
      </c>
    </row>
    <row r="296">
      <c r="A296" s="61" t="n">
        <v>45817</v>
      </c>
      <c r="B296" s="16" t="inlineStr">
        <is>
          <t>SINDICATO DO TRABALHADORES NAS INDUSTRIAIS DA CONSTRUÇAO EDO MOBILIARIA DE UBERABA</t>
        </is>
      </c>
      <c r="C296" s="90" t="n"/>
      <c r="D296" s="90" t="n">
        <v>5000</v>
      </c>
      <c r="E296" s="90" t="n">
        <v>-5000</v>
      </c>
      <c r="F296" s="16" t="inlineStr">
        <is>
          <t>12.8 - SINDICATO</t>
        </is>
      </c>
      <c r="G296" s="16" t="inlineStr">
        <is>
          <t>MOSAIC UBERABA CONTRAT0 3 ANOS</t>
        </is>
      </c>
      <c r="H296" s="63" t="n">
        <v>2025</v>
      </c>
      <c r="I296" s="64" t="n">
        <v>6</v>
      </c>
      <c r="J296" s="16" t="inlineStr">
        <is>
          <t>Jun</t>
        </is>
      </c>
      <c r="K296" s="16" t="n"/>
      <c r="M296" s="89" t="n">
        <v>-5000</v>
      </c>
      <c r="N296" s="1" t="inlineStr">
        <is>
          <t>SINDICATO</t>
        </is>
      </c>
      <c r="O296" s="1" t="inlineStr">
        <is>
          <t>Despesas com Pessoal</t>
        </is>
      </c>
      <c r="P296" s="1" t="inlineStr">
        <is>
          <t>(-)Gastos Fixos</t>
        </is>
      </c>
      <c r="Q296" s="1" t="n">
        <v>4</v>
      </c>
      <c r="R296" s="1" t="n">
        <v>2025</v>
      </c>
    </row>
    <row r="297">
      <c r="A297" s="61" t="n">
        <v>45817</v>
      </c>
      <c r="B297" s="16" t="inlineStr">
        <is>
          <t>SINDICATO DO TRABALHADORES NAS INDUSTRIAIS DA CONSTRUÇAO EDO MOBILIARIA DE UBERABA</t>
        </is>
      </c>
      <c r="C297" s="90" t="n"/>
      <c r="D297" s="90" t="n">
        <v>5000</v>
      </c>
      <c r="E297" s="90" t="n">
        <v>-5000</v>
      </c>
      <c r="F297" s="16" t="inlineStr">
        <is>
          <t>12.8 - SINDICATO</t>
        </is>
      </c>
      <c r="G297" s="16" t="inlineStr">
        <is>
          <t>MOSAIC UBERABA CONTRAT0 3 ANOS</t>
        </is>
      </c>
      <c r="H297" s="63" t="n">
        <v>2025</v>
      </c>
      <c r="I297" s="64" t="n">
        <v>6</v>
      </c>
      <c r="J297" s="16" t="inlineStr">
        <is>
          <t>Jun</t>
        </is>
      </c>
      <c r="K297" s="16" t="n"/>
      <c r="M297" s="89" t="n">
        <v>-5000</v>
      </c>
      <c r="N297" s="1" t="inlineStr">
        <is>
          <t>SINDICATO</t>
        </is>
      </c>
      <c r="O297" s="1" t="inlineStr">
        <is>
          <t>Despesas com Pessoal</t>
        </is>
      </c>
      <c r="P297" s="1" t="inlineStr">
        <is>
          <t>(-)Gastos Fixos</t>
        </is>
      </c>
      <c r="Q297" s="1" t="n">
        <v>4</v>
      </c>
      <c r="R297" s="1" t="n">
        <v>2025</v>
      </c>
    </row>
    <row r="298">
      <c r="A298" s="61" t="n">
        <v>45817</v>
      </c>
      <c r="B298" s="16" t="inlineStr">
        <is>
          <t>19067 - POSTO A+ COMERCIO DE COMBUSTIVEL LTDA</t>
        </is>
      </c>
      <c r="C298" s="90" t="n"/>
      <c r="D298" s="90" t="n">
        <v>1493.63</v>
      </c>
      <c r="E298" s="90" t="n">
        <v>-1493.63</v>
      </c>
      <c r="F298" s="16" t="inlineStr">
        <is>
          <t>6.4 - COMBUSTIVEL VEICULOS</t>
        </is>
      </c>
      <c r="G298" s="16" t="inlineStr">
        <is>
          <t>VLI PINTURA</t>
        </is>
      </c>
      <c r="H298" s="63" t="n">
        <v>2025</v>
      </c>
      <c r="I298" s="64" t="n">
        <v>6</v>
      </c>
      <c r="J298" s="16" t="inlineStr">
        <is>
          <t>Jun</t>
        </is>
      </c>
      <c r="K298" s="16" t="n"/>
      <c r="M298" s="89" t="n">
        <v>-1493.63</v>
      </c>
      <c r="N298" s="1" t="inlineStr">
        <is>
          <t>COMBUSTIVEL VEICULOS</t>
        </is>
      </c>
      <c r="O298" s="1" t="inlineStr">
        <is>
          <t>Despesas com Veículos e Equipamentos</t>
        </is>
      </c>
      <c r="P298" s="1" t="inlineStr">
        <is>
          <t>(-)Gastos Fixos</t>
        </is>
      </c>
      <c r="Q298" s="1" t="n">
        <v>4</v>
      </c>
      <c r="R298" s="1" t="n">
        <v>2025</v>
      </c>
    </row>
    <row r="299">
      <c r="A299" s="61" t="n">
        <v>45817</v>
      </c>
      <c r="B299" s="16" t="inlineStr">
        <is>
          <t>19067 - POSTO A+ COMERCIO DE COMBUSTIVEL LTDA</t>
        </is>
      </c>
      <c r="C299" s="90" t="n"/>
      <c r="D299" s="90" t="n">
        <v>1553.15</v>
      </c>
      <c r="E299" s="90" t="n">
        <v>-1553.15</v>
      </c>
      <c r="F299" s="16" t="inlineStr">
        <is>
          <t>8.13 - COMBUSTIVEL EQUIPAMENTOS</t>
        </is>
      </c>
      <c r="G299" s="16" t="inlineStr">
        <is>
          <t>VLI PINTURA</t>
        </is>
      </c>
      <c r="H299" s="63" t="n">
        <v>2025</v>
      </c>
      <c r="I299" s="64" t="n">
        <v>6</v>
      </c>
      <c r="J299" s="16" t="inlineStr">
        <is>
          <t>Jun</t>
        </is>
      </c>
      <c r="K299" s="16" t="n"/>
      <c r="M299" s="89" t="n">
        <v>-1553.15</v>
      </c>
      <c r="N299" s="1" t="inlineStr">
        <is>
          <t>COMBUSTIVEL EQUIPAMENTOS</t>
        </is>
      </c>
      <c r="O299" s="1" t="inlineStr">
        <is>
          <t>Despesas com Máquinas e Equipamentos</t>
        </is>
      </c>
      <c r="P299" s="1" t="inlineStr">
        <is>
          <t>(-)Gastos Fixos</t>
        </is>
      </c>
      <c r="Q299" s="1" t="n">
        <v>4</v>
      </c>
      <c r="R299" s="1" t="n">
        <v>2025</v>
      </c>
    </row>
    <row r="300">
      <c r="A300" s="61" t="n">
        <v>45817</v>
      </c>
      <c r="B300" s="16" t="inlineStr">
        <is>
          <t>13° PREVISAO</t>
        </is>
      </c>
      <c r="C300" s="90" t="n"/>
      <c r="D300" s="90" t="n">
        <v>750</v>
      </c>
      <c r="E300" s="90" t="n">
        <v>-750</v>
      </c>
      <c r="F300" s="16" t="inlineStr">
        <is>
          <t>12.3 - PREVISÃO 13°</t>
        </is>
      </c>
      <c r="G300" s="16" t="inlineStr">
        <is>
          <t>GASTOS COMERCIAIS</t>
        </is>
      </c>
      <c r="H300" s="63" t="n">
        <v>2025</v>
      </c>
      <c r="I300" s="64" t="n">
        <v>6</v>
      </c>
      <c r="J300" s="16" t="inlineStr">
        <is>
          <t>Jun</t>
        </is>
      </c>
      <c r="K300" s="16" t="n"/>
      <c r="M300" s="89" t="n">
        <v>-750</v>
      </c>
      <c r="N300" s="1" t="inlineStr">
        <is>
          <t>13° PREVISAO</t>
        </is>
      </c>
      <c r="O300" s="1" t="inlineStr">
        <is>
          <t>Despesas com Pessoal</t>
        </is>
      </c>
      <c r="P300" s="1" t="inlineStr">
        <is>
          <t>(-)Gastos Fixos</t>
        </is>
      </c>
      <c r="Q300" s="1" t="n">
        <v>4</v>
      </c>
      <c r="R300" s="1" t="n">
        <v>2025</v>
      </c>
    </row>
    <row r="301">
      <c r="A301" s="61" t="n">
        <v>45817</v>
      </c>
      <c r="B301" s="16" t="inlineStr">
        <is>
          <t>FÉRIAS PREVISAO</t>
        </is>
      </c>
      <c r="C301" s="90" t="n"/>
      <c r="D301" s="90" t="n">
        <v>997.5</v>
      </c>
      <c r="E301" s="90" t="n">
        <v>-997.5</v>
      </c>
      <c r="F301" s="16" t="inlineStr">
        <is>
          <t>12.4 - PREVISÃO FÉRIAS</t>
        </is>
      </c>
      <c r="G301" s="16" t="inlineStr">
        <is>
          <t>GASTOS COMERCIAIS</t>
        </is>
      </c>
      <c r="H301" s="63" t="n">
        <v>2025</v>
      </c>
      <c r="I301" s="64" t="n">
        <v>6</v>
      </c>
      <c r="J301" s="16" t="inlineStr">
        <is>
          <t>Jun</t>
        </is>
      </c>
      <c r="K301" s="16" t="n"/>
      <c r="M301" s="89" t="n">
        <v>-997.5</v>
      </c>
      <c r="N301" s="1" t="inlineStr">
        <is>
          <t>12.4 - PREVISÃO FÉRIAS</t>
        </is>
      </c>
      <c r="O301" s="1" t="n"/>
      <c r="P301" s="1" t="n"/>
      <c r="Q301" s="1" t="n"/>
      <c r="R301" s="1" t="n">
        <v>2025</v>
      </c>
    </row>
    <row r="302">
      <c r="A302" s="61" t="n">
        <v>45818</v>
      </c>
      <c r="B302" s="16" t="inlineStr">
        <is>
          <t>ALUGUEIS OBRAS</t>
        </is>
      </c>
      <c r="C302" s="90" t="n"/>
      <c r="D302" s="90" t="n">
        <v>1400</v>
      </c>
      <c r="E302" s="90" t="n">
        <v>-1400</v>
      </c>
      <c r="F302" s="16" t="inlineStr">
        <is>
          <t>5.3 - ALUGUEL ALOJAMENTO</t>
        </is>
      </c>
      <c r="G302" s="16" t="inlineStr">
        <is>
          <t>ANGLO AMERICAN</t>
        </is>
      </c>
      <c r="H302" s="63" t="n">
        <v>2025</v>
      </c>
      <c r="I302" s="64" t="n">
        <v>6</v>
      </c>
      <c r="J302" s="16" t="inlineStr">
        <is>
          <t>Jun</t>
        </is>
      </c>
      <c r="K302" s="16" t="n"/>
      <c r="M302" s="89" t="n">
        <v>-1400</v>
      </c>
      <c r="N302" s="1" t="inlineStr">
        <is>
          <t>ALUGUEL ALOJAMENTO</t>
        </is>
      </c>
      <c r="O302" s="1" t="inlineStr">
        <is>
          <t>Despesas com Infraestrutura</t>
        </is>
      </c>
      <c r="P302" s="1" t="inlineStr">
        <is>
          <t>(-)Gastos Fixos</t>
        </is>
      </c>
      <c r="Q302" s="1" t="n">
        <v>4</v>
      </c>
      <c r="R302" s="1" t="n">
        <v>2025</v>
      </c>
    </row>
    <row r="303">
      <c r="A303" s="61" t="n">
        <v>45818</v>
      </c>
      <c r="B303" s="16" t="inlineStr">
        <is>
          <t>ALUGUEIS OBRAS</t>
        </is>
      </c>
      <c r="C303" s="90" t="n"/>
      <c r="D303" s="90" t="n">
        <v>2118</v>
      </c>
      <c r="E303" s="90" t="n">
        <v>-2118</v>
      </c>
      <c r="F303" s="16" t="inlineStr">
        <is>
          <t>5.3 - ALUGUEL ALOJAMENTO</t>
        </is>
      </c>
      <c r="G303" s="16" t="inlineStr">
        <is>
          <t>ANGLO AMERICAN</t>
        </is>
      </c>
      <c r="H303" s="63" t="n">
        <v>2025</v>
      </c>
      <c r="I303" s="64" t="n">
        <v>6</v>
      </c>
      <c r="J303" s="16" t="inlineStr">
        <is>
          <t>Jun</t>
        </is>
      </c>
      <c r="K303" s="16" t="n"/>
      <c r="M303" s="89" t="n">
        <v>-2118</v>
      </c>
      <c r="N303" s="1" t="inlineStr">
        <is>
          <t>ALUGUEL ALOJAMENTO</t>
        </is>
      </c>
      <c r="O303" s="1" t="inlineStr">
        <is>
          <t>Despesas com Infraestrutura</t>
        </is>
      </c>
      <c r="P303" s="1" t="inlineStr">
        <is>
          <t>(-)Gastos Fixos</t>
        </is>
      </c>
      <c r="Q303" s="1" t="n">
        <v>4</v>
      </c>
      <c r="R303" s="1" t="n">
        <v>2025</v>
      </c>
    </row>
    <row r="304">
      <c r="A304" s="61" t="n">
        <v>45818</v>
      </c>
      <c r="B304" s="16" t="inlineStr">
        <is>
          <t>ALUGUEIS OBRAS</t>
        </is>
      </c>
      <c r="C304" s="90" t="n"/>
      <c r="D304" s="90" t="n">
        <v>1412</v>
      </c>
      <c r="E304" s="90" t="n">
        <v>-1412</v>
      </c>
      <c r="F304" s="16" t="inlineStr">
        <is>
          <t>5.3 - ALUGUEL ALOJAMENTO</t>
        </is>
      </c>
      <c r="G304" s="16" t="inlineStr">
        <is>
          <t>ANGLO AMERICAN</t>
        </is>
      </c>
      <c r="H304" s="63" t="n">
        <v>2025</v>
      </c>
      <c r="I304" s="64" t="n">
        <v>6</v>
      </c>
      <c r="J304" s="16" t="inlineStr">
        <is>
          <t>Jun</t>
        </is>
      </c>
      <c r="K304" s="16" t="n"/>
      <c r="M304" s="89" t="n">
        <v>-1412</v>
      </c>
      <c r="N304" s="1" t="inlineStr">
        <is>
          <t>ALUGUEL ALOJAMENTO</t>
        </is>
      </c>
      <c r="O304" s="1" t="inlineStr">
        <is>
          <t>Despesas com Infraestrutura</t>
        </is>
      </c>
      <c r="P304" s="1" t="inlineStr">
        <is>
          <t>(-)Gastos Fixos</t>
        </is>
      </c>
      <c r="Q304" s="1" t="n">
        <v>4</v>
      </c>
      <c r="R304" s="1" t="n">
        <v>2025</v>
      </c>
    </row>
    <row r="305">
      <c r="A305" s="61" t="n">
        <v>45818</v>
      </c>
      <c r="B305" s="16" t="inlineStr">
        <is>
          <t>ALUGUEIS OBRAS</t>
        </is>
      </c>
      <c r="C305" s="90" t="n"/>
      <c r="D305" s="90" t="n">
        <v>4800</v>
      </c>
      <c r="E305" s="90" t="n">
        <v>-4800</v>
      </c>
      <c r="F305" s="16" t="inlineStr">
        <is>
          <t>5.3 - ALUGUEL ALOJAMENTO</t>
        </is>
      </c>
      <c r="G305" s="16" t="inlineStr">
        <is>
          <t>MOSAIC UBERABA CONTRAT0 3 ANOS</t>
        </is>
      </c>
      <c r="H305" s="63" t="n">
        <v>2025</v>
      </c>
      <c r="I305" s="64" t="n">
        <v>6</v>
      </c>
      <c r="J305" s="16" t="inlineStr">
        <is>
          <t>Jun</t>
        </is>
      </c>
      <c r="K305" s="16" t="n"/>
      <c r="M305" s="89" t="n">
        <v>-4800</v>
      </c>
      <c r="N305" s="1" t="inlineStr">
        <is>
          <t>ALUGUEL ALOJAMENTO</t>
        </is>
      </c>
      <c r="O305" s="1" t="inlineStr">
        <is>
          <t>Despesas com Infraestrutura</t>
        </is>
      </c>
      <c r="P305" s="1" t="inlineStr">
        <is>
          <t>(-)Gastos Fixos</t>
        </is>
      </c>
      <c r="Q305" s="1" t="n">
        <v>4</v>
      </c>
      <c r="R305" s="1" t="n">
        <v>2025</v>
      </c>
    </row>
    <row r="306">
      <c r="A306" s="61" t="n">
        <v>45818</v>
      </c>
      <c r="B306" s="16" t="inlineStr">
        <is>
          <t>ALUGUEIS OBRAS</t>
        </is>
      </c>
      <c r="C306" s="90" t="n"/>
      <c r="D306" s="90" t="n">
        <v>1000</v>
      </c>
      <c r="E306" s="90" t="n">
        <v>-1000</v>
      </c>
      <c r="F306" s="16" t="inlineStr">
        <is>
          <t>5.3 - ALUGUEL ALOJAMENTO</t>
        </is>
      </c>
      <c r="G306" s="16" t="inlineStr">
        <is>
          <t>MOSAIC UBERABA CONTRAT0 3 ANOS</t>
        </is>
      </c>
      <c r="H306" s="63" t="n">
        <v>2025</v>
      </c>
      <c r="I306" s="64" t="n">
        <v>6</v>
      </c>
      <c r="J306" s="16" t="inlineStr">
        <is>
          <t>Jun</t>
        </is>
      </c>
      <c r="K306" s="16" t="n"/>
      <c r="M306" s="89" t="n">
        <v>-1000</v>
      </c>
      <c r="N306" s="1" t="inlineStr">
        <is>
          <t>ALUGUEL ALOJAMENTO</t>
        </is>
      </c>
      <c r="O306" s="1" t="inlineStr">
        <is>
          <t>Despesas com Infraestrutura</t>
        </is>
      </c>
      <c r="P306" s="1" t="inlineStr">
        <is>
          <t>(-)Gastos Fixos</t>
        </is>
      </c>
      <c r="Q306" s="1" t="n">
        <v>4</v>
      </c>
      <c r="R306" s="1" t="n">
        <v>2025</v>
      </c>
    </row>
    <row r="307">
      <c r="A307" s="61" t="n">
        <v>45818</v>
      </c>
      <c r="B307" s="16" t="inlineStr">
        <is>
          <t>BANCO CAIXA</t>
        </is>
      </c>
      <c r="C307" s="90" t="n"/>
      <c r="D307" s="90" t="n">
        <v>4531.17</v>
      </c>
      <c r="E307" s="90" t="n">
        <v>-4531.17</v>
      </c>
      <c r="F307" s="16" t="inlineStr">
        <is>
          <t>11.7 - FINANCIAMENTO</t>
        </is>
      </c>
      <c r="G307" s="16" t="inlineStr">
        <is>
          <t>IMOBILIZADO / INVESTIMENTO</t>
        </is>
      </c>
      <c r="H307" s="63" t="n">
        <v>2025</v>
      </c>
      <c r="I307" s="64" t="n">
        <v>6</v>
      </c>
      <c r="J307" s="16" t="inlineStr">
        <is>
          <t>Jun</t>
        </is>
      </c>
      <c r="K307" s="16" t="n"/>
      <c r="M307" s="89" t="n">
        <v>-4531.17</v>
      </c>
      <c r="N307" s="1" t="inlineStr">
        <is>
          <t>Financiamento</t>
        </is>
      </c>
      <c r="O307" s="1" t="inlineStr">
        <is>
          <t>Despesas Financeiras</t>
        </is>
      </c>
      <c r="P307" s="1" t="inlineStr">
        <is>
          <t>(-)Gastos Fixos</t>
        </is>
      </c>
      <c r="Q307" s="1" t="n">
        <v>4</v>
      </c>
      <c r="R307" s="1" t="n">
        <v>2025</v>
      </c>
    </row>
    <row r="308">
      <c r="A308" s="61" t="n">
        <v>45818</v>
      </c>
      <c r="B308" s="16" t="inlineStr">
        <is>
          <t>ALUGUEL GALPAO ADM FRANK ANTONIO</t>
        </is>
      </c>
      <c r="C308" s="90" t="n"/>
      <c r="D308" s="90" t="n">
        <v>9000</v>
      </c>
      <c r="E308" s="90" t="n">
        <v>-9000</v>
      </c>
      <c r="F308" s="16" t="inlineStr">
        <is>
          <t>11.1 - ALUGUEIS ADM</t>
        </is>
      </c>
      <c r="G308" s="16" t="inlineStr">
        <is>
          <t>ADMINISTRATIVO</t>
        </is>
      </c>
      <c r="H308" s="63" t="n">
        <v>2025</v>
      </c>
      <c r="I308" s="64" t="n">
        <v>6</v>
      </c>
      <c r="J308" s="16" t="inlineStr">
        <is>
          <t>Jun</t>
        </is>
      </c>
      <c r="K308" s="16" t="n"/>
      <c r="M308" s="89" t="n">
        <v>-9000</v>
      </c>
      <c r="N308" s="1" t="inlineStr">
        <is>
          <t>ALUGUEIS ADM</t>
        </is>
      </c>
      <c r="O308" s="1" t="inlineStr">
        <is>
          <t>Despesas com Infraestrutura</t>
        </is>
      </c>
      <c r="P308" s="1" t="inlineStr">
        <is>
          <t>(-)Gastos Fixos</t>
        </is>
      </c>
      <c r="Q308" s="1" t="n">
        <v>4</v>
      </c>
      <c r="R308" s="1" t="n">
        <v>2025</v>
      </c>
    </row>
    <row r="309">
      <c r="A309" s="61" t="n">
        <v>45818</v>
      </c>
      <c r="B309" s="16" t="inlineStr">
        <is>
          <t>UNIMED COOPERATIVA DE TRABALHO MEDICO</t>
        </is>
      </c>
      <c r="C309" s="90" t="n"/>
      <c r="D309" s="90" t="n">
        <v>1628.81</v>
      </c>
      <c r="E309" s="90" t="n">
        <v>-1628.81</v>
      </c>
      <c r="F309" s="16" t="inlineStr">
        <is>
          <t>12.10 - PLANO DE SAUDE</t>
        </is>
      </c>
      <c r="G309" s="16" t="inlineStr">
        <is>
          <t>NIOBIO CMOC CONTRATO</t>
        </is>
      </c>
      <c r="H309" s="63" t="n">
        <v>2025</v>
      </c>
      <c r="I309" s="64" t="n">
        <v>6</v>
      </c>
      <c r="J309" s="16" t="inlineStr">
        <is>
          <t>Jun</t>
        </is>
      </c>
      <c r="K309" s="16" t="n"/>
      <c r="M309" s="89" t="n">
        <v>-1628.81</v>
      </c>
      <c r="N309" s="1" t="inlineStr">
        <is>
          <t>PLANO DE SAUDE</t>
        </is>
      </c>
      <c r="O309" s="1" t="inlineStr">
        <is>
          <t>Despesas com Pessoal</t>
        </is>
      </c>
      <c r="P309" s="1" t="inlineStr">
        <is>
          <t>(-)Gastos Fixos</t>
        </is>
      </c>
      <c r="Q309" s="1" t="n">
        <v>4</v>
      </c>
      <c r="R309" s="1" t="n">
        <v>2025</v>
      </c>
    </row>
    <row r="310">
      <c r="A310" s="61" t="n">
        <v>45818</v>
      </c>
      <c r="B310" s="16" t="inlineStr">
        <is>
          <t>72 - FLORENCE SOARES SILVA SOCIEDADE INDIVIDUAL DE ADVOCACIA</t>
        </is>
      </c>
      <c r="C310" s="90" t="n"/>
      <c r="D310" s="90" t="n">
        <v>2940</v>
      </c>
      <c r="E310" s="90" t="n">
        <v>-2940</v>
      </c>
      <c r="F310" s="16" t="inlineStr">
        <is>
          <t>9.1 - HONORARIOS ADVOCATICIOS</t>
        </is>
      </c>
      <c r="G310" s="16" t="inlineStr">
        <is>
          <t>ADMINISTRATIVO</t>
        </is>
      </c>
      <c r="H310" s="63" t="n">
        <v>2025</v>
      </c>
      <c r="I310" s="64" t="n">
        <v>6</v>
      </c>
      <c r="J310" s="16" t="inlineStr">
        <is>
          <t>Jun</t>
        </is>
      </c>
      <c r="K310" s="16" t="n"/>
      <c r="M310" s="89" t="n">
        <v>-2940</v>
      </c>
      <c r="N310" s="1" t="inlineStr">
        <is>
          <t>HONORÁRIOS ADVOCATÍCIOS</t>
        </is>
      </c>
      <c r="O310" s="1" t="inlineStr">
        <is>
          <t>Despesas Administrativas</t>
        </is>
      </c>
      <c r="P310" s="1" t="inlineStr">
        <is>
          <t>(-)Gastos Fixos</t>
        </is>
      </c>
      <c r="Q310" s="1" t="n">
        <v>4</v>
      </c>
      <c r="R310" s="1" t="n">
        <v>2025</v>
      </c>
    </row>
    <row r="311">
      <c r="A311" s="61" t="n">
        <v>45818</v>
      </c>
      <c r="B311" s="16" t="inlineStr">
        <is>
          <t>AGSMB ASSOSIAÇAO GOIANIA DE SOCORRO</t>
        </is>
      </c>
      <c r="C311" s="90" t="n"/>
      <c r="D311" s="90" t="n">
        <v>1759.1</v>
      </c>
      <c r="E311" s="90" t="n">
        <v>-1759.1</v>
      </c>
      <c r="F311" s="16" t="inlineStr">
        <is>
          <t>6.5 - SEGUROS DE VEICULOS</t>
        </is>
      </c>
      <c r="G311" s="16" t="inlineStr">
        <is>
          <t>VEICULOS</t>
        </is>
      </c>
      <c r="H311" s="63" t="n">
        <v>2025</v>
      </c>
      <c r="I311" s="64" t="n">
        <v>6</v>
      </c>
      <c r="J311" s="16" t="inlineStr">
        <is>
          <t>Jun</t>
        </is>
      </c>
      <c r="K311" s="16" t="n"/>
      <c r="M311" s="89" t="n">
        <v>-1759.1</v>
      </c>
      <c r="N311" s="1" t="inlineStr">
        <is>
          <t>SEGUROS DE VEICULOS</t>
        </is>
      </c>
      <c r="O311" s="1" t="inlineStr">
        <is>
          <t>Despesas com Veículos e Equipamentos</t>
        </is>
      </c>
      <c r="P311" s="1" t="inlineStr">
        <is>
          <t>(-)Gastos Fixos</t>
        </is>
      </c>
      <c r="Q311" s="1" t="n">
        <v>4</v>
      </c>
      <c r="R311" s="1" t="n">
        <v>2025</v>
      </c>
    </row>
    <row r="312">
      <c r="A312" s="61" t="n">
        <v>45818</v>
      </c>
      <c r="B312" s="16" t="inlineStr">
        <is>
          <t>BONIFICAÇOES</t>
        </is>
      </c>
      <c r="C312" s="90" t="n"/>
      <c r="D312" s="90" t="n">
        <v>4203.7</v>
      </c>
      <c r="E312" s="90" t="n">
        <v>-4203.7</v>
      </c>
      <c r="F312" s="16" t="inlineStr">
        <is>
          <t>12.17 - BONIFICAÇOES</t>
        </is>
      </c>
      <c r="G312" s="16" t="inlineStr">
        <is>
          <t>NIOBIO CMOC CONTRATO</t>
        </is>
      </c>
      <c r="H312" s="63" t="n">
        <v>2025</v>
      </c>
      <c r="I312" s="64" t="n">
        <v>6</v>
      </c>
      <c r="J312" s="16" t="inlineStr">
        <is>
          <t>Jun</t>
        </is>
      </c>
      <c r="K312" s="16" t="n"/>
      <c r="M312" s="89" t="n">
        <v>-4203.7</v>
      </c>
      <c r="N312" s="1" t="inlineStr">
        <is>
          <t>BONIFICAÇOES</t>
        </is>
      </c>
      <c r="O312" s="1" t="inlineStr">
        <is>
          <t>Despesas com Pessoal</t>
        </is>
      </c>
      <c r="P312" s="1" t="inlineStr">
        <is>
          <t>(-)Gastos Fixos</t>
        </is>
      </c>
      <c r="Q312" s="1" t="n">
        <v>4</v>
      </c>
      <c r="R312" s="1" t="n">
        <v>2025</v>
      </c>
    </row>
    <row r="313">
      <c r="A313" s="61" t="n">
        <v>45818</v>
      </c>
      <c r="B313" s="16" t="inlineStr">
        <is>
          <t>19231 - STILO WEB</t>
        </is>
      </c>
      <c r="C313" s="90" t="n"/>
      <c r="D313" s="90" t="n">
        <v>506.1</v>
      </c>
      <c r="E313" s="90" t="n">
        <v>-506.1</v>
      </c>
      <c r="F313" s="16" t="inlineStr">
        <is>
          <t>11.8 - SISTEMA / SERVIDOR</t>
        </is>
      </c>
      <c r="G313" s="16" t="inlineStr">
        <is>
          <t>ADMINISTRATIVO</t>
        </is>
      </c>
      <c r="H313" s="63" t="n">
        <v>2025</v>
      </c>
      <c r="I313" s="64" t="n">
        <v>6</v>
      </c>
      <c r="J313" s="16" t="inlineStr">
        <is>
          <t>Jun</t>
        </is>
      </c>
      <c r="K313" s="16" t="n"/>
      <c r="M313" s="89" t="n">
        <v>-506.1</v>
      </c>
      <c r="N313" s="1" t="inlineStr">
        <is>
          <t>SISTEMA / SERVIDOR</t>
        </is>
      </c>
      <c r="O313" s="1" t="inlineStr">
        <is>
          <t>Despesas Administrativas</t>
        </is>
      </c>
      <c r="P313" s="1" t="inlineStr">
        <is>
          <t>(-)Gastos Fixos</t>
        </is>
      </c>
      <c r="Q313" s="1" t="n">
        <v>4</v>
      </c>
      <c r="R313" s="1" t="n">
        <v>2025</v>
      </c>
    </row>
    <row r="314">
      <c r="A314" s="61" t="n">
        <v>45818</v>
      </c>
      <c r="B314" s="16" t="inlineStr">
        <is>
          <t>DESPESAS VEICULOS</t>
        </is>
      </c>
      <c r="C314" s="90" t="n"/>
      <c r="D314" s="90" t="n">
        <v>1300</v>
      </c>
      <c r="E314" s="90" t="n">
        <v>-1300</v>
      </c>
      <c r="F314" s="16" t="inlineStr">
        <is>
          <t>6.3 - MANUTENÇÃO/PEÇAS  VEICULOS</t>
        </is>
      </c>
      <c r="G314" s="16" t="inlineStr">
        <is>
          <t>MOSAIC UBERABA CONTRAT0 3 ANOS</t>
        </is>
      </c>
      <c r="H314" s="63" t="n">
        <v>2025</v>
      </c>
      <c r="I314" s="64" t="n">
        <v>6</v>
      </c>
      <c r="J314" s="16" t="inlineStr">
        <is>
          <t>Jun</t>
        </is>
      </c>
      <c r="K314" s="16" t="n"/>
      <c r="M314" s="89" t="n">
        <v>-1300</v>
      </c>
      <c r="N314" s="1" t="inlineStr">
        <is>
          <t>MANUTENÇÃO/PEÇAS  VEICULOS</t>
        </is>
      </c>
      <c r="O314" s="1" t="inlineStr">
        <is>
          <t>Despesas com Veículos e Equipamentos</t>
        </is>
      </c>
      <c r="P314" s="1" t="inlineStr">
        <is>
          <t>(-)Gastos Fixos</t>
        </is>
      </c>
      <c r="Q314" s="1" t="n">
        <v>4</v>
      </c>
      <c r="R314" s="1" t="n">
        <v>2025</v>
      </c>
    </row>
    <row r="315">
      <c r="A315" s="61" t="n">
        <v>45818</v>
      </c>
      <c r="B315" s="16" t="inlineStr">
        <is>
          <t>FOLGA DE CAMPO</t>
        </is>
      </c>
      <c r="C315" s="90" t="n"/>
      <c r="D315" s="90" t="n">
        <v>1500</v>
      </c>
      <c r="E315" s="90" t="n">
        <v>-1500</v>
      </c>
      <c r="F315" s="16" t="inlineStr">
        <is>
          <t>12.9 - PASSAGENS FUNCIONARIOS</t>
        </is>
      </c>
      <c r="G315" s="16" t="inlineStr">
        <is>
          <t>SERENA 21 TORRES 2024</t>
        </is>
      </c>
      <c r="H315" s="63" t="n">
        <v>2025</v>
      </c>
      <c r="I315" s="64" t="n">
        <v>6</v>
      </c>
      <c r="J315" s="16" t="inlineStr">
        <is>
          <t>Jun</t>
        </is>
      </c>
      <c r="K315" s="16" t="n"/>
      <c r="M315" s="89" t="n">
        <v>-1500</v>
      </c>
      <c r="N315" s="1" t="inlineStr">
        <is>
          <t>12.9 - PASSAGENS FUNCIONARIOS</t>
        </is>
      </c>
      <c r="O315" s="1" t="n"/>
      <c r="P315" s="1" t="n"/>
      <c r="Q315" s="1" t="n"/>
      <c r="R315" s="1" t="n">
        <v>2025</v>
      </c>
    </row>
    <row r="316">
      <c r="A316" s="61" t="n">
        <v>45818</v>
      </c>
      <c r="B316" s="16" t="inlineStr">
        <is>
          <t>FGTS</t>
        </is>
      </c>
      <c r="C316" s="90" t="n"/>
      <c r="D316" s="90" t="n">
        <v>9252.629999999999</v>
      </c>
      <c r="E316" s="90" t="n">
        <v>-9252.629999999999</v>
      </c>
      <c r="F316" s="16" t="inlineStr">
        <is>
          <t>12.14 - FGTS FUNCIONARIOS</t>
        </is>
      </c>
      <c r="G316" s="16" t="inlineStr">
        <is>
          <t>VLI PINTURA</t>
        </is>
      </c>
      <c r="H316" s="63" t="n">
        <v>2025</v>
      </c>
      <c r="I316" s="64" t="n">
        <v>6</v>
      </c>
      <c r="J316" s="16" t="inlineStr">
        <is>
          <t>Jun</t>
        </is>
      </c>
      <c r="K316" s="16" t="n"/>
      <c r="M316" s="89" t="n">
        <v>-9252.629999999999</v>
      </c>
      <c r="N316" s="1" t="inlineStr">
        <is>
          <t>FGTS FUNCIONARIOS</t>
        </is>
      </c>
      <c r="O316" s="1" t="inlineStr">
        <is>
          <t>Despesas com Pessoal</t>
        </is>
      </c>
      <c r="P316" s="1" t="inlineStr">
        <is>
          <t>(-)Gastos Fixos</t>
        </is>
      </c>
      <c r="Q316" s="1" t="n">
        <v>4</v>
      </c>
      <c r="R316" s="1" t="n">
        <v>2025</v>
      </c>
    </row>
    <row r="317">
      <c r="A317" s="61" t="n">
        <v>45818</v>
      </c>
      <c r="B317" s="16" t="inlineStr">
        <is>
          <t>FGTS</t>
        </is>
      </c>
      <c r="C317" s="90" t="n"/>
      <c r="D317" s="90" t="n">
        <v>3180.58</v>
      </c>
      <c r="E317" s="90" t="n">
        <v>-3180.58</v>
      </c>
      <c r="F317" s="16" t="inlineStr">
        <is>
          <t>12.14 - FGTS FUNCIONARIOS</t>
        </is>
      </c>
      <c r="G317" s="16" t="inlineStr">
        <is>
          <t>ADMINISTRATIVO</t>
        </is>
      </c>
      <c r="H317" s="63" t="n">
        <v>2025</v>
      </c>
      <c r="I317" s="64" t="n">
        <v>6</v>
      </c>
      <c r="J317" s="16" t="inlineStr">
        <is>
          <t>Jun</t>
        </is>
      </c>
      <c r="K317" s="16" t="n"/>
      <c r="M317" s="89" t="n">
        <v>-3180.58</v>
      </c>
      <c r="N317" s="1" t="inlineStr">
        <is>
          <t>FGTS FUNCIONARIOS</t>
        </is>
      </c>
      <c r="O317" s="1" t="inlineStr">
        <is>
          <t>Despesas com Pessoal</t>
        </is>
      </c>
      <c r="P317" s="1" t="inlineStr">
        <is>
          <t>(-)Gastos Fixos</t>
        </is>
      </c>
      <c r="Q317" s="1" t="n">
        <v>4</v>
      </c>
      <c r="R317" s="1" t="n">
        <v>2025</v>
      </c>
    </row>
    <row r="318">
      <c r="A318" s="61" t="n">
        <v>45818</v>
      </c>
      <c r="B318" s="16" t="inlineStr">
        <is>
          <t>FGTS</t>
        </is>
      </c>
      <c r="C318" s="90" t="n"/>
      <c r="D318" s="90" t="n">
        <v>9830.92</v>
      </c>
      <c r="E318" s="90" t="n">
        <v>-9830.92</v>
      </c>
      <c r="F318" s="16" t="inlineStr">
        <is>
          <t>12.14 - FGTS FUNCIONARIOS</t>
        </is>
      </c>
      <c r="G318" s="16" t="inlineStr">
        <is>
          <t>MOSAIC UBERABA CONTRAT0 3 ANOS</t>
        </is>
      </c>
      <c r="H318" s="63" t="n">
        <v>2025</v>
      </c>
      <c r="I318" s="64" t="n">
        <v>6</v>
      </c>
      <c r="J318" s="16" t="inlineStr">
        <is>
          <t>Jun</t>
        </is>
      </c>
      <c r="K318" s="16" t="n"/>
      <c r="M318" s="89" t="n">
        <v>-9830.92</v>
      </c>
      <c r="N318" s="1" t="inlineStr">
        <is>
          <t>FGTS FUNCIONARIOS</t>
        </is>
      </c>
      <c r="O318" s="1" t="inlineStr">
        <is>
          <t>Despesas com Pessoal</t>
        </is>
      </c>
      <c r="P318" s="1" t="inlineStr">
        <is>
          <t>(-)Gastos Fixos</t>
        </is>
      </c>
      <c r="Q318" s="1" t="n">
        <v>4</v>
      </c>
      <c r="R318" s="1" t="n">
        <v>2025</v>
      </c>
    </row>
    <row r="319">
      <c r="A319" s="61" t="n">
        <v>45818</v>
      </c>
      <c r="B319" s="16" t="inlineStr">
        <is>
          <t>FGTS</t>
        </is>
      </c>
      <c r="C319" s="90" t="n"/>
      <c r="D319" s="90" t="n">
        <v>5204.6</v>
      </c>
      <c r="E319" s="90" t="n">
        <v>-5204.6</v>
      </c>
      <c r="F319" s="16" t="inlineStr">
        <is>
          <t>12.14 - FGTS FUNCIONARIOS</t>
        </is>
      </c>
      <c r="G319" s="16" t="inlineStr">
        <is>
          <t>ANGLO AMERICAN</t>
        </is>
      </c>
      <c r="H319" s="63" t="n">
        <v>2025</v>
      </c>
      <c r="I319" s="64" t="n">
        <v>6</v>
      </c>
      <c r="J319" s="16" t="inlineStr">
        <is>
          <t>Jun</t>
        </is>
      </c>
      <c r="K319" s="16" t="n"/>
      <c r="M319" s="89" t="n">
        <v>-5204.6</v>
      </c>
      <c r="N319" s="1" t="inlineStr">
        <is>
          <t>FGTS FUNCIONARIOS</t>
        </is>
      </c>
      <c r="O319" s="1" t="inlineStr">
        <is>
          <t>Despesas com Pessoal</t>
        </is>
      </c>
      <c r="P319" s="1" t="inlineStr">
        <is>
          <t>(-)Gastos Fixos</t>
        </is>
      </c>
      <c r="Q319" s="1" t="n">
        <v>4</v>
      </c>
      <c r="R319" s="1" t="n">
        <v>2025</v>
      </c>
    </row>
    <row r="320">
      <c r="A320" s="61" t="n">
        <v>45818</v>
      </c>
      <c r="B320" s="16" t="inlineStr">
        <is>
          <t>FGTS</t>
        </is>
      </c>
      <c r="C320" s="90" t="n"/>
      <c r="D320" s="90" t="n">
        <v>2891.45</v>
      </c>
      <c r="E320" s="90" t="n">
        <v>-2891.45</v>
      </c>
      <c r="F320" s="16" t="inlineStr">
        <is>
          <t>12.14 - FGTS FUNCIONARIOS</t>
        </is>
      </c>
      <c r="G320" s="16" t="inlineStr">
        <is>
          <t>EUROCHEM SERRA DO SALITRE</t>
        </is>
      </c>
      <c r="H320" s="63" t="n">
        <v>2025</v>
      </c>
      <c r="I320" s="64" t="n">
        <v>6</v>
      </c>
      <c r="J320" s="16" t="inlineStr">
        <is>
          <t>Jun</t>
        </is>
      </c>
      <c r="K320" s="16" t="n"/>
      <c r="M320" s="89" t="n">
        <v>-2891.45</v>
      </c>
      <c r="N320" s="1" t="inlineStr">
        <is>
          <t>FGTS FUNCIONARIOS</t>
        </is>
      </c>
      <c r="O320" s="1" t="inlineStr">
        <is>
          <t>Despesas com Pessoal</t>
        </is>
      </c>
      <c r="P320" s="1" t="inlineStr">
        <is>
          <t>(-)Gastos Fixos</t>
        </is>
      </c>
      <c r="Q320" s="1" t="n">
        <v>4</v>
      </c>
      <c r="R320" s="1" t="n">
        <v>2025</v>
      </c>
    </row>
    <row r="321">
      <c r="A321" s="61" t="n">
        <v>45818</v>
      </c>
      <c r="B321" s="16" t="inlineStr">
        <is>
          <t>FGTS</t>
        </is>
      </c>
      <c r="C321" s="90" t="n"/>
      <c r="D321" s="90" t="n">
        <v>2891.45</v>
      </c>
      <c r="E321" s="90" t="n">
        <v>-2891.45</v>
      </c>
      <c r="F321" s="16" t="inlineStr">
        <is>
          <t>12.14 - FGTS FUNCIONARIOS</t>
        </is>
      </c>
      <c r="G321" s="16" t="inlineStr">
        <is>
          <t>SERENA 21 TORRES 2024</t>
        </is>
      </c>
      <c r="H321" s="63" t="n">
        <v>2025</v>
      </c>
      <c r="I321" s="64" t="n">
        <v>6</v>
      </c>
      <c r="J321" s="16" t="inlineStr">
        <is>
          <t>Jun</t>
        </is>
      </c>
      <c r="K321" s="16" t="n"/>
      <c r="M321" s="89" t="n">
        <v>-2891.45</v>
      </c>
      <c r="N321" s="1" t="inlineStr">
        <is>
          <t>FGTS FUNCIONARIOS</t>
        </is>
      </c>
      <c r="O321" s="1" t="inlineStr">
        <is>
          <t>Despesas com Pessoal</t>
        </is>
      </c>
      <c r="P321" s="1" t="inlineStr">
        <is>
          <t>(-)Gastos Fixos</t>
        </is>
      </c>
      <c r="Q321" s="1" t="n">
        <v>4</v>
      </c>
      <c r="R321" s="1" t="n">
        <v>2025</v>
      </c>
    </row>
    <row r="322">
      <c r="A322" s="61" t="n">
        <v>45818</v>
      </c>
      <c r="B322" s="16" t="inlineStr">
        <is>
          <t>FGTS</t>
        </is>
      </c>
      <c r="C322" s="90" t="n"/>
      <c r="D322" s="90" t="n">
        <v>6650.33</v>
      </c>
      <c r="E322" s="90" t="n">
        <v>-6650.33</v>
      </c>
      <c r="F322" s="16" t="inlineStr">
        <is>
          <t>12.14 - FGTS FUNCIONARIOS</t>
        </is>
      </c>
      <c r="G322" s="16" t="inlineStr">
        <is>
          <t>FOSFATO CMOC CONTRAT</t>
        </is>
      </c>
      <c r="H322" s="63" t="n">
        <v>2025</v>
      </c>
      <c r="I322" s="64" t="n">
        <v>6</v>
      </c>
      <c r="J322" s="16" t="inlineStr">
        <is>
          <t>Jun</t>
        </is>
      </c>
      <c r="K322" s="16" t="n"/>
      <c r="M322" s="89" t="n">
        <v>-6650.33</v>
      </c>
      <c r="N322" s="1" t="inlineStr">
        <is>
          <t>FGTS FUNCIONARIOS</t>
        </is>
      </c>
      <c r="O322" s="1" t="inlineStr">
        <is>
          <t>Despesas com Pessoal</t>
        </is>
      </c>
      <c r="P322" s="1" t="inlineStr">
        <is>
          <t>(-)Gastos Fixos</t>
        </is>
      </c>
      <c r="Q322" s="1" t="n">
        <v>4</v>
      </c>
      <c r="R322" s="1" t="n">
        <v>2025</v>
      </c>
    </row>
    <row r="323">
      <c r="A323" s="61" t="n">
        <v>45818</v>
      </c>
      <c r="B323" s="16" t="inlineStr">
        <is>
          <t>FGTS</t>
        </is>
      </c>
      <c r="C323" s="90" t="n"/>
      <c r="D323" s="90" t="n">
        <v>3180.59</v>
      </c>
      <c r="E323" s="90" t="n">
        <v>-3180.59</v>
      </c>
      <c r="F323" s="16" t="inlineStr">
        <is>
          <t>12.14 - FGTS FUNCIONARIOS</t>
        </is>
      </c>
      <c r="G323" s="16" t="inlineStr">
        <is>
          <t>NIOBIO CMOC CONTRATO</t>
        </is>
      </c>
      <c r="H323" s="63" t="n">
        <v>2025</v>
      </c>
      <c r="I323" s="64" t="n">
        <v>6</v>
      </c>
      <c r="J323" s="16" t="inlineStr">
        <is>
          <t>Jun</t>
        </is>
      </c>
      <c r="K323" s="16" t="n"/>
      <c r="M323" s="89" t="n">
        <v>-3180.59</v>
      </c>
      <c r="N323" s="1" t="inlineStr">
        <is>
          <t>FGTS FUNCIONARIOS</t>
        </is>
      </c>
      <c r="O323" s="1" t="inlineStr">
        <is>
          <t>Despesas com Pessoal</t>
        </is>
      </c>
      <c r="P323" s="1" t="inlineStr">
        <is>
          <t>(-)Gastos Fixos</t>
        </is>
      </c>
      <c r="Q323" s="1" t="n">
        <v>4</v>
      </c>
      <c r="R323" s="1" t="n">
        <v>2025</v>
      </c>
    </row>
    <row r="324">
      <c r="A324" s="61" t="n">
        <v>45818</v>
      </c>
      <c r="B324" s="16" t="inlineStr">
        <is>
          <t>FGTS</t>
        </is>
      </c>
      <c r="C324" s="90" t="n"/>
      <c r="D324" s="90" t="n">
        <v>461.5</v>
      </c>
      <c r="E324" s="90" t="n">
        <v>-461.5</v>
      </c>
      <c r="F324" s="16" t="inlineStr">
        <is>
          <t>12.14 - FGTS FUNCIONARIOS</t>
        </is>
      </c>
      <c r="G324" s="16" t="inlineStr">
        <is>
          <t>VLI PINTURA</t>
        </is>
      </c>
      <c r="H324" s="63" t="n">
        <v>2025</v>
      </c>
      <c r="I324" s="64" t="n">
        <v>6</v>
      </c>
      <c r="J324" s="16" t="inlineStr">
        <is>
          <t>Jun</t>
        </is>
      </c>
      <c r="K324" s="16" t="n"/>
      <c r="M324" s="89" t="n">
        <v>-461.5</v>
      </c>
      <c r="N324" s="1" t="inlineStr">
        <is>
          <t>FGTS FUNCIONARIOS</t>
        </is>
      </c>
      <c r="O324" s="1" t="inlineStr">
        <is>
          <t>Despesas com Pessoal</t>
        </is>
      </c>
      <c r="P324" s="1" t="inlineStr">
        <is>
          <t>(-)Gastos Fixos</t>
        </is>
      </c>
      <c r="Q324" s="1" t="n">
        <v>4</v>
      </c>
      <c r="R324" s="1" t="n">
        <v>2025</v>
      </c>
    </row>
    <row r="325">
      <c r="A325" s="61" t="n">
        <v>45818</v>
      </c>
      <c r="B325" s="16" t="inlineStr">
        <is>
          <t>IMPERIO DO ESPETO</t>
        </is>
      </c>
      <c r="C325" s="90" t="n"/>
      <c r="D325" s="90" t="n">
        <v>180</v>
      </c>
      <c r="E325" s="90" t="n">
        <v>-180</v>
      </c>
      <c r="F325" s="16" t="inlineStr">
        <is>
          <t>11.5 - ALIMENTAÇÃO ADM</t>
        </is>
      </c>
      <c r="G325" s="16" t="inlineStr">
        <is>
          <t>ADMINISTRATIVO</t>
        </is>
      </c>
      <c r="H325" s="63" t="n">
        <v>2025</v>
      </c>
      <c r="I325" s="64" t="n">
        <v>6</v>
      </c>
      <c r="J325" s="16" t="inlineStr">
        <is>
          <t>Jun</t>
        </is>
      </c>
      <c r="K325" s="16" t="n"/>
      <c r="M325" s="89" t="n">
        <v>-180</v>
      </c>
      <c r="N325" s="1" t="inlineStr">
        <is>
          <t>ALIMENTAÇÃO ADM</t>
        </is>
      </c>
      <c r="O325" s="1" t="inlineStr">
        <is>
          <t>Despesas com Pessoal</t>
        </is>
      </c>
      <c r="P325" s="1" t="inlineStr">
        <is>
          <t>(-)Gastos Fixos</t>
        </is>
      </c>
      <c r="Q325" s="1" t="n">
        <v>4</v>
      </c>
      <c r="R325" s="1" t="n">
        <v>2025</v>
      </c>
    </row>
    <row r="326">
      <c r="A326" s="61" t="n">
        <v>45818</v>
      </c>
      <c r="B326" s="16" t="inlineStr">
        <is>
          <t>FGTS</t>
        </is>
      </c>
      <c r="C326" s="90" t="n"/>
      <c r="D326" s="90" t="n">
        <v>54.1</v>
      </c>
      <c r="E326" s="90" t="n">
        <v>-54.1</v>
      </c>
      <c r="F326" s="16" t="inlineStr">
        <is>
          <t>12.14 - FGTS FUNCIONARIOS</t>
        </is>
      </c>
      <c r="G326" s="16" t="inlineStr">
        <is>
          <t>ANGLO AMERICAN</t>
        </is>
      </c>
      <c r="H326" s="63" t="n">
        <v>2025</v>
      </c>
      <c r="I326" s="64" t="n">
        <v>6</v>
      </c>
      <c r="J326" s="16" t="inlineStr">
        <is>
          <t>Jun</t>
        </is>
      </c>
      <c r="K326" s="16" t="n"/>
      <c r="M326" s="89" t="n">
        <v>-54.1</v>
      </c>
      <c r="N326" s="1" t="inlineStr">
        <is>
          <t>FGTS FUNCIONARIOS</t>
        </is>
      </c>
      <c r="O326" s="1" t="inlineStr">
        <is>
          <t>Despesas com Pessoal</t>
        </is>
      </c>
      <c r="P326" s="1" t="inlineStr">
        <is>
          <t>(-)Gastos Fixos</t>
        </is>
      </c>
      <c r="Q326" s="1" t="n">
        <v>4</v>
      </c>
      <c r="R326" s="1" t="n">
        <v>2025</v>
      </c>
    </row>
    <row r="327">
      <c r="A327" s="61" t="n">
        <v>45818</v>
      </c>
      <c r="B327" s="16" t="inlineStr">
        <is>
          <t>FGTS</t>
        </is>
      </c>
      <c r="C327" s="90" t="n"/>
      <c r="D327" s="90" t="n">
        <v>12.39</v>
      </c>
      <c r="E327" s="90" t="n">
        <v>-12.39</v>
      </c>
      <c r="F327" s="16" t="inlineStr">
        <is>
          <t>12.14 - FGTS FUNCIONARIOS</t>
        </is>
      </c>
      <c r="G327" s="16" t="inlineStr">
        <is>
          <t>EUROCHEM SERRA DO SALITRE</t>
        </is>
      </c>
      <c r="H327" s="63" t="n">
        <v>2025</v>
      </c>
      <c r="I327" s="64" t="n">
        <v>6</v>
      </c>
      <c r="J327" s="16" t="inlineStr">
        <is>
          <t>Jun</t>
        </is>
      </c>
      <c r="K327" s="16" t="n"/>
      <c r="M327" s="89" t="n">
        <v>-12.39</v>
      </c>
      <c r="N327" s="1" t="inlineStr">
        <is>
          <t>FGTS FUNCIONARIOS</t>
        </is>
      </c>
      <c r="O327" s="1" t="inlineStr">
        <is>
          <t>Despesas com Pessoal</t>
        </is>
      </c>
      <c r="P327" s="1" t="inlineStr">
        <is>
          <t>(-)Gastos Fixos</t>
        </is>
      </c>
      <c r="Q327" s="1" t="n">
        <v>4</v>
      </c>
      <c r="R327" s="1" t="n">
        <v>2025</v>
      </c>
    </row>
    <row r="328">
      <c r="A328" s="61" t="n">
        <v>45818</v>
      </c>
      <c r="B328" s="16" t="inlineStr">
        <is>
          <t>IMPERIO DO ESPETO</t>
        </is>
      </c>
      <c r="C328" s="90" t="n"/>
      <c r="D328" s="90" t="n">
        <v>7.9</v>
      </c>
      <c r="E328" s="90" t="n">
        <v>-7.9</v>
      </c>
      <c r="F328" s="16" t="inlineStr">
        <is>
          <t>11.5 - ALIMENTAÇÃO ADM</t>
        </is>
      </c>
      <c r="G328" s="16" t="inlineStr">
        <is>
          <t>ADMINISTRATIVO</t>
        </is>
      </c>
      <c r="H328" s="63" t="n">
        <v>2025</v>
      </c>
      <c r="I328" s="64" t="n">
        <v>6</v>
      </c>
      <c r="J328" s="16" t="inlineStr">
        <is>
          <t>Jun</t>
        </is>
      </c>
      <c r="K328" s="16" t="n"/>
      <c r="M328" s="89" t="n">
        <v>-7.9</v>
      </c>
      <c r="N328" s="1" t="inlineStr">
        <is>
          <t>ALIMENTAÇÃO ADM</t>
        </is>
      </c>
      <c r="O328" s="1" t="inlineStr">
        <is>
          <t>Despesas com Pessoal</t>
        </is>
      </c>
      <c r="P328" s="1" t="inlineStr">
        <is>
          <t>(-)Gastos Fixos</t>
        </is>
      </c>
      <c r="Q328" s="1" t="n">
        <v>4</v>
      </c>
      <c r="R328" s="1" t="n">
        <v>2025</v>
      </c>
    </row>
    <row r="329">
      <c r="A329" s="61" t="n">
        <v>45818</v>
      </c>
      <c r="B329" s="16" t="inlineStr">
        <is>
          <t>CABANHA E FACAS &amp; BRINDES</t>
        </is>
      </c>
      <c r="C329" s="90" t="n"/>
      <c r="D329" s="90" t="n">
        <v>414</v>
      </c>
      <c r="E329" s="90" t="n">
        <v>-414</v>
      </c>
      <c r="F329" s="16" t="inlineStr">
        <is>
          <t>3.19 - SERVIÇO BRINDES E ACESSORIOS</t>
        </is>
      </c>
      <c r="G329" s="16" t="inlineStr">
        <is>
          <t>ADMINISTRATIVO</t>
        </is>
      </c>
      <c r="H329" s="63" t="n">
        <v>2025</v>
      </c>
      <c r="I329" s="64" t="n">
        <v>6</v>
      </c>
      <c r="J329" s="16" t="inlineStr">
        <is>
          <t>Jun</t>
        </is>
      </c>
      <c r="K329" s="16" t="n"/>
      <c r="M329" s="89" t="n">
        <v>-414</v>
      </c>
      <c r="N329" s="1" t="inlineStr">
        <is>
          <t>SERVIÇO BRINDES E ACESSORIOS</t>
        </is>
      </c>
      <c r="O329" s="1" t="inlineStr">
        <is>
          <t>Despesas Administrativas</t>
        </is>
      </c>
      <c r="P329" s="1" t="inlineStr">
        <is>
          <t>(-)Gastos Fixos</t>
        </is>
      </c>
      <c r="Q329" s="1" t="n">
        <v>4</v>
      </c>
      <c r="R329" s="1" t="n">
        <v>2025</v>
      </c>
    </row>
    <row r="330">
      <c r="A330" s="61" t="n">
        <v>45818</v>
      </c>
      <c r="B330" s="16" t="inlineStr">
        <is>
          <t>EQUATORIAL DISTRIBUIDORA DE ENERGIA S.A.</t>
        </is>
      </c>
      <c r="C330" s="90" t="n"/>
      <c r="D330" s="90" t="n">
        <v>996.5</v>
      </c>
      <c r="E330" s="90" t="n">
        <v>-996.5</v>
      </c>
      <c r="F330" s="16" t="inlineStr">
        <is>
          <t>11.3 - ENERGIA ADM</t>
        </is>
      </c>
      <c r="G330" s="16" t="inlineStr">
        <is>
          <t>ADMINISTRATIVO</t>
        </is>
      </c>
      <c r="H330" s="63" t="n">
        <v>2025</v>
      </c>
      <c r="I330" s="64" t="n">
        <v>6</v>
      </c>
      <c r="J330" s="16" t="inlineStr">
        <is>
          <t>Jun</t>
        </is>
      </c>
      <c r="K330" s="16" t="n"/>
      <c r="M330" s="89" t="n">
        <v>-996.5</v>
      </c>
      <c r="N330" s="1" t="inlineStr">
        <is>
          <t>ENERGIA ADM</t>
        </is>
      </c>
      <c r="O330" s="1" t="inlineStr">
        <is>
          <t>Despesas com Infraestrutura</t>
        </is>
      </c>
      <c r="P330" s="1" t="inlineStr">
        <is>
          <t>(-)Gastos Fixos</t>
        </is>
      </c>
      <c r="Q330" s="1" t="n">
        <v>4</v>
      </c>
      <c r="R330" s="1" t="n">
        <v>2025</v>
      </c>
    </row>
    <row r="331">
      <c r="A331" s="61" t="n">
        <v>45818</v>
      </c>
      <c r="B331" s="16" t="inlineStr">
        <is>
          <t>ROBERTO SERVIÇOS</t>
        </is>
      </c>
      <c r="C331" s="90" t="n"/>
      <c r="D331" s="90" t="n">
        <v>381.79</v>
      </c>
      <c r="E331" s="90" t="n">
        <v>-381.79</v>
      </c>
      <c r="F331" s="16" t="inlineStr">
        <is>
          <t>10.1 - FRETE MATERIAIS E EQUIPAMENTOS</t>
        </is>
      </c>
      <c r="G331" s="16" t="inlineStr">
        <is>
          <t>EUROCHEM SERRA DO SALITRE</t>
        </is>
      </c>
      <c r="H331" s="63" t="n">
        <v>2025</v>
      </c>
      <c r="I331" s="64" t="n">
        <v>6</v>
      </c>
      <c r="J331" s="16" t="inlineStr">
        <is>
          <t>Jun</t>
        </is>
      </c>
      <c r="K331" s="16" t="n"/>
      <c r="M331" s="89" t="n">
        <v>-381.79</v>
      </c>
      <c r="N331" s="1" t="inlineStr">
        <is>
          <t>FRETE MATERIAIS E EQUIPAMENTOS</t>
        </is>
      </c>
      <c r="O331" s="1" t="inlineStr">
        <is>
          <t>Fornecedores</t>
        </is>
      </c>
      <c r="P331" s="1" t="inlineStr">
        <is>
          <t>(-)Custos Variavéis</t>
        </is>
      </c>
      <c r="Q331" s="1" t="n">
        <v>3</v>
      </c>
      <c r="R331" s="1" t="n">
        <v>2025</v>
      </c>
    </row>
    <row r="332">
      <c r="A332" s="61" t="n">
        <v>45818</v>
      </c>
      <c r="B332" s="16" t="inlineStr">
        <is>
          <t>EDUARDO RODRIGUES</t>
        </is>
      </c>
      <c r="C332" s="90" t="n"/>
      <c r="D332" s="90" t="n">
        <v>58</v>
      </c>
      <c r="E332" s="90" t="n">
        <v>-58</v>
      </c>
      <c r="F332" s="16" t="inlineStr">
        <is>
          <t>12.5 - REFEIÇÕES FUNCIONARIOS</t>
        </is>
      </c>
      <c r="G332" s="16" t="inlineStr">
        <is>
          <t>EUROCHEM SERRA DO SALITRE</t>
        </is>
      </c>
      <c r="H332" s="63" t="n">
        <v>2025</v>
      </c>
      <c r="I332" s="64" t="n">
        <v>6</v>
      </c>
      <c r="J332" s="16" t="inlineStr">
        <is>
          <t>Jun</t>
        </is>
      </c>
      <c r="K332" s="16" t="n"/>
      <c r="M332" s="89" t="n">
        <v>-58</v>
      </c>
      <c r="N332" s="1" t="inlineStr">
        <is>
          <t>12.5 - REFEIÇÕES FUNCIONARIOS</t>
        </is>
      </c>
      <c r="O332" s="1" t="n"/>
      <c r="P332" s="1" t="n"/>
      <c r="Q332" s="1" t="n"/>
      <c r="R332" s="1" t="n">
        <v>2025</v>
      </c>
    </row>
    <row r="333">
      <c r="A333" s="61" t="n">
        <v>45818</v>
      </c>
      <c r="B333" s="16" t="inlineStr">
        <is>
          <t>EDUARDO RODRIGUES</t>
        </is>
      </c>
      <c r="C333" s="90" t="n"/>
      <c r="D333" s="90" t="n">
        <v>70</v>
      </c>
      <c r="E333" s="90" t="n">
        <v>-70</v>
      </c>
      <c r="F333" s="16" t="inlineStr">
        <is>
          <t>5.1 - HOTEL FUNCIONARIOS</t>
        </is>
      </c>
      <c r="G333" s="16" t="inlineStr">
        <is>
          <t>EUROCHEM SERRA DO SALITRE</t>
        </is>
      </c>
      <c r="H333" s="63" t="n">
        <v>2025</v>
      </c>
      <c r="I333" s="64" t="n">
        <v>6</v>
      </c>
      <c r="J333" s="16" t="inlineStr">
        <is>
          <t>Jun</t>
        </is>
      </c>
      <c r="K333" s="16" t="n"/>
      <c r="M333" s="89" t="n">
        <v>-70</v>
      </c>
      <c r="N333" s="1" t="inlineStr">
        <is>
          <t>5.1 - HOTEL FUNCIONARIOS</t>
        </is>
      </c>
      <c r="O333" s="1" t="n"/>
      <c r="P333" s="1" t="n"/>
      <c r="Q333" s="1" t="n"/>
      <c r="R333" s="1" t="n">
        <v>2025</v>
      </c>
    </row>
    <row r="334">
      <c r="A334" s="61" t="n">
        <v>45818</v>
      </c>
      <c r="B334" s="16" t="inlineStr">
        <is>
          <t>EDUARDO RODRIGUES</t>
        </is>
      </c>
      <c r="C334" s="90" t="n"/>
      <c r="D334" s="90" t="n">
        <v>102</v>
      </c>
      <c r="E334" s="90" t="n">
        <v>-102</v>
      </c>
      <c r="F334" s="16" t="inlineStr">
        <is>
          <t>6.6 - PEDAGIOS</t>
        </is>
      </c>
      <c r="G334" s="16" t="inlineStr">
        <is>
          <t>EUROCHEM SERRA DO SALITRE</t>
        </is>
      </c>
      <c r="H334" s="63" t="n">
        <v>2025</v>
      </c>
      <c r="I334" s="64" t="n">
        <v>6</v>
      </c>
      <c r="J334" s="16" t="inlineStr">
        <is>
          <t>Jun</t>
        </is>
      </c>
      <c r="K334" s="16" t="n"/>
      <c r="M334" s="89" t="n">
        <v>-102</v>
      </c>
      <c r="N334" s="1" t="inlineStr">
        <is>
          <t>PEDAGIOS</t>
        </is>
      </c>
      <c r="O334" s="1" t="inlineStr">
        <is>
          <t>Despesas com Veículos e Equipamentos</t>
        </is>
      </c>
      <c r="P334" s="1" t="inlineStr">
        <is>
          <t>(-)Gastos Fixos</t>
        </is>
      </c>
      <c r="Q334" s="1" t="n">
        <v>4</v>
      </c>
      <c r="R334" s="1" t="n">
        <v>2025</v>
      </c>
    </row>
    <row r="335">
      <c r="A335" s="61" t="n">
        <v>45818</v>
      </c>
      <c r="B335" s="16" t="inlineStr">
        <is>
          <t>EDUARDO RODRIGUES</t>
        </is>
      </c>
      <c r="C335" s="90" t="n"/>
      <c r="D335" s="90" t="n">
        <v>170</v>
      </c>
      <c r="E335" s="90" t="n">
        <v>-170</v>
      </c>
      <c r="F335" s="16" t="inlineStr">
        <is>
          <t>6.3 - MANUTENÇÃO/PEÇAS  VEICULOS</t>
        </is>
      </c>
      <c r="G335" s="16" t="inlineStr">
        <is>
          <t>EUROCHEM SERRA DO SALITRE</t>
        </is>
      </c>
      <c r="H335" s="63" t="n">
        <v>2025</v>
      </c>
      <c r="I335" s="64" t="n">
        <v>6</v>
      </c>
      <c r="J335" s="16" t="inlineStr">
        <is>
          <t>Jun</t>
        </is>
      </c>
      <c r="K335" s="16" t="n"/>
      <c r="M335" s="89" t="n">
        <v>-170</v>
      </c>
      <c r="N335" s="1" t="inlineStr">
        <is>
          <t>MANUTENÇÃO/PEÇAS  VEICULOS</t>
        </is>
      </c>
      <c r="O335" s="1" t="inlineStr">
        <is>
          <t>Despesas com Veículos e Equipamentos</t>
        </is>
      </c>
      <c r="P335" s="1" t="inlineStr">
        <is>
          <t>(-)Gastos Fixos</t>
        </is>
      </c>
      <c r="Q335" s="1" t="n">
        <v>4</v>
      </c>
      <c r="R335" s="1" t="n">
        <v>2025</v>
      </c>
    </row>
    <row r="336">
      <c r="A336" s="61" t="n">
        <v>45818</v>
      </c>
      <c r="B336" s="16" t="inlineStr">
        <is>
          <t>EDUARDO RODRIGUES</t>
        </is>
      </c>
      <c r="C336" s="90" t="n"/>
      <c r="D336" s="90" t="n">
        <v>600</v>
      </c>
      <c r="E336" s="90" t="n">
        <v>-600</v>
      </c>
      <c r="F336" s="16" t="inlineStr">
        <is>
          <t>6.4 - COMBUSTIVEL VEICULOS</t>
        </is>
      </c>
      <c r="G336" s="16" t="inlineStr">
        <is>
          <t>EUROCHEM SERRA DO SALITRE</t>
        </is>
      </c>
      <c r="H336" s="63" t="n">
        <v>2025</v>
      </c>
      <c r="I336" s="64" t="n">
        <v>6</v>
      </c>
      <c r="J336" s="16" t="inlineStr">
        <is>
          <t>Jun</t>
        </is>
      </c>
      <c r="K336" s="16" t="n"/>
      <c r="M336" s="89" t="n">
        <v>-600</v>
      </c>
      <c r="N336" s="1" t="inlineStr">
        <is>
          <t>COMBUSTIVEL VEICULOS</t>
        </is>
      </c>
      <c r="O336" s="1" t="inlineStr">
        <is>
          <t>Despesas com Veículos e Equipamentos</t>
        </is>
      </c>
      <c r="P336" s="1" t="inlineStr">
        <is>
          <t>(-)Gastos Fixos</t>
        </is>
      </c>
      <c r="Q336" s="1" t="n">
        <v>4</v>
      </c>
      <c r="R336" s="1" t="n">
        <v>2025</v>
      </c>
    </row>
    <row r="337">
      <c r="A337" s="61" t="n">
        <v>45818</v>
      </c>
      <c r="B337" s="16" t="inlineStr">
        <is>
          <t>VAN OBRAS</t>
        </is>
      </c>
      <c r="C337" s="90" t="n"/>
      <c r="D337" s="90" t="n">
        <v>6580</v>
      </c>
      <c r="E337" s="90" t="n">
        <v>-6580</v>
      </c>
      <c r="F337" s="16" t="inlineStr">
        <is>
          <t>12.7 - TRANSPORTE FUNCIONARIOS</t>
        </is>
      </c>
      <c r="G337" s="16" t="inlineStr">
        <is>
          <t>VLI PINTURA</t>
        </is>
      </c>
      <c r="H337" s="63" t="n">
        <v>2025</v>
      </c>
      <c r="I337" s="64" t="n">
        <v>6</v>
      </c>
      <c r="J337" s="16" t="inlineStr">
        <is>
          <t>Jun</t>
        </is>
      </c>
      <c r="K337" s="16" t="n"/>
      <c r="M337" s="89" t="n">
        <v>-6580</v>
      </c>
      <c r="N337" s="1" t="inlineStr">
        <is>
          <t>12.7 - TRANSPORTE FUNCIONARIOS</t>
        </is>
      </c>
      <c r="O337" s="1" t="n"/>
      <c r="P337" s="1" t="n"/>
      <c r="Q337" s="1" t="n"/>
      <c r="R337" s="1" t="n">
        <v>2025</v>
      </c>
    </row>
    <row r="338">
      <c r="A338" s="61" t="n">
        <v>45818</v>
      </c>
      <c r="B338" s="16" t="inlineStr">
        <is>
          <t>864269 - LOCALIZA RENT A CAR SA</t>
        </is>
      </c>
      <c r="C338" s="90" t="n"/>
      <c r="D338" s="90" t="n">
        <v>158.48</v>
      </c>
      <c r="E338" s="90" t="n">
        <v>-158.48</v>
      </c>
      <c r="F338" s="16" t="inlineStr">
        <is>
          <t>7.8 - LOCAÇAO VEICULOS</t>
        </is>
      </c>
      <c r="G338" s="16" t="inlineStr">
        <is>
          <t>GASTOS COMERCIAIS</t>
        </is>
      </c>
      <c r="H338" s="63" t="n">
        <v>2025</v>
      </c>
      <c r="I338" s="64" t="n">
        <v>6</v>
      </c>
      <c r="J338" s="16" t="inlineStr">
        <is>
          <t>Jun</t>
        </is>
      </c>
      <c r="K338" s="16" t="n"/>
      <c r="M338" s="89" t="n">
        <v>-158.48</v>
      </c>
      <c r="N338" s="1" t="inlineStr">
        <is>
          <t>LOCAÇAO VEICULOS</t>
        </is>
      </c>
      <c r="O338" s="1" t="inlineStr">
        <is>
          <t>Despesas com Locações</t>
        </is>
      </c>
      <c r="P338" s="1" t="inlineStr">
        <is>
          <t>(-)Gastos Fixos</t>
        </is>
      </c>
      <c r="Q338" s="1" t="n">
        <v>4</v>
      </c>
      <c r="R338" s="1" t="n">
        <v>2025</v>
      </c>
    </row>
    <row r="339">
      <c r="A339" s="61" t="n">
        <v>45818</v>
      </c>
      <c r="B339" s="16" t="inlineStr">
        <is>
          <t>MAGNO</t>
        </is>
      </c>
      <c r="C339" s="90" t="n"/>
      <c r="D339" s="90" t="n">
        <v>180</v>
      </c>
      <c r="E339" s="90" t="n">
        <v>-180</v>
      </c>
      <c r="F339" s="16" t="inlineStr">
        <is>
          <t>3.8 - SERVIÇO MOTOBOY / UBER</t>
        </is>
      </c>
      <c r="G339" s="16" t="inlineStr">
        <is>
          <t>MOSAIC UBERABA CONTRAT0 3 ANOS</t>
        </is>
      </c>
      <c r="H339" s="63" t="n">
        <v>2025</v>
      </c>
      <c r="I339" s="64" t="n">
        <v>6</v>
      </c>
      <c r="J339" s="16" t="inlineStr">
        <is>
          <t>Jun</t>
        </is>
      </c>
      <c r="K339" s="16" t="n"/>
      <c r="M339" s="89" t="n">
        <v>-180</v>
      </c>
      <c r="N339" s="1" t="inlineStr">
        <is>
          <t>SERVIÇO MOTOBOY / UBER</t>
        </is>
      </c>
      <c r="O339" s="1" t="inlineStr">
        <is>
          <t>Despesas Administrativas</t>
        </is>
      </c>
      <c r="P339" s="1" t="inlineStr">
        <is>
          <t>(-)Gastos Fixos</t>
        </is>
      </c>
      <c r="Q339" s="1" t="n">
        <v>4</v>
      </c>
      <c r="R339" s="1" t="n">
        <v>2025</v>
      </c>
    </row>
    <row r="340">
      <c r="A340" s="61" t="n">
        <v>45818</v>
      </c>
      <c r="B340" s="16" t="inlineStr">
        <is>
          <t>MAGNO</t>
        </is>
      </c>
      <c r="C340" s="90" t="n"/>
      <c r="D340" s="90" t="n">
        <v>327.56</v>
      </c>
      <c r="E340" s="90" t="n">
        <v>-327.56</v>
      </c>
      <c r="F340" s="16" t="inlineStr">
        <is>
          <t>12.5 - REFEIÇÕES FUNCIONARIOS</t>
        </is>
      </c>
      <c r="G340" s="16" t="inlineStr">
        <is>
          <t>MOSAIC UBERABA CONTRAT0 3 ANOS</t>
        </is>
      </c>
      <c r="H340" s="63" t="n">
        <v>2025</v>
      </c>
      <c r="I340" s="64" t="n">
        <v>6</v>
      </c>
      <c r="J340" s="16" t="inlineStr">
        <is>
          <t>Jun</t>
        </is>
      </c>
      <c r="K340" s="16" t="n"/>
      <c r="M340" s="89" t="n">
        <v>-327.56</v>
      </c>
      <c r="N340" s="1" t="inlineStr">
        <is>
          <t>12.5 - REFEIÇÕES FUNCIONARIOS</t>
        </is>
      </c>
      <c r="O340" s="1" t="n"/>
      <c r="P340" s="1" t="n"/>
      <c r="Q340" s="1" t="n"/>
      <c r="R340" s="1" t="n">
        <v>2025</v>
      </c>
    </row>
    <row r="341">
      <c r="A341" s="61" t="n">
        <v>45818</v>
      </c>
      <c r="B341" s="16" t="inlineStr">
        <is>
          <t>MAGNO</t>
        </is>
      </c>
      <c r="C341" s="90" t="n"/>
      <c r="D341" s="90" t="n">
        <v>416</v>
      </c>
      <c r="E341" s="90" t="n">
        <v>-416</v>
      </c>
      <c r="F341" s="16" t="inlineStr">
        <is>
          <t>6.4 - COMBUSTIVEL VEICULOS</t>
        </is>
      </c>
      <c r="G341" s="16" t="inlineStr">
        <is>
          <t>MOSAIC UBERABA CONTRAT0 3 ANOS</t>
        </is>
      </c>
      <c r="H341" s="63" t="n">
        <v>2025</v>
      </c>
      <c r="I341" s="64" t="n">
        <v>6</v>
      </c>
      <c r="J341" s="16" t="inlineStr">
        <is>
          <t>Jun</t>
        </is>
      </c>
      <c r="K341" s="16" t="n"/>
      <c r="M341" s="89" t="n">
        <v>-416</v>
      </c>
      <c r="N341" s="1" t="inlineStr">
        <is>
          <t>COMBUSTIVEL VEICULOS</t>
        </is>
      </c>
      <c r="O341" s="1" t="inlineStr">
        <is>
          <t>Despesas com Veículos e Equipamentos</t>
        </is>
      </c>
      <c r="P341" s="1" t="inlineStr">
        <is>
          <t>(-)Gastos Fixos</t>
        </is>
      </c>
      <c r="Q341" s="1" t="n">
        <v>4</v>
      </c>
      <c r="R341" s="1" t="n">
        <v>2025</v>
      </c>
    </row>
    <row r="342">
      <c r="A342" s="61" t="n">
        <v>45818</v>
      </c>
      <c r="B342" s="16" t="inlineStr">
        <is>
          <t>SR APRIGIO RODRIGUES</t>
        </is>
      </c>
      <c r="C342" s="90" t="n"/>
      <c r="D342" s="90" t="n">
        <v>1000</v>
      </c>
      <c r="E342" s="90" t="n">
        <v>-1000</v>
      </c>
      <c r="F342" s="16" t="inlineStr">
        <is>
          <t>16.2 - RETIRADAS GILVAN / GENILDO</t>
        </is>
      </c>
      <c r="G342" s="16" t="inlineStr">
        <is>
          <t>RETIRADA</t>
        </is>
      </c>
      <c r="H342" s="63" t="n">
        <v>2025</v>
      </c>
      <c r="I342" s="64" t="n">
        <v>6</v>
      </c>
      <c r="J342" s="16" t="inlineStr">
        <is>
          <t>Jun</t>
        </is>
      </c>
      <c r="K342" s="16" t="n"/>
      <c r="M342" s="89" t="n">
        <v>-1000</v>
      </c>
      <c r="N342" s="1" t="inlineStr">
        <is>
          <t>Pró-Labore</t>
        </is>
      </c>
      <c r="O342" s="1" t="inlineStr">
        <is>
          <t>(-) Despesas Não Operacionais</t>
        </is>
      </c>
      <c r="P342" s="1" t="inlineStr">
        <is>
          <t>(+/-)Despesas e Recebimentos Não Operacionais</t>
        </is>
      </c>
      <c r="Q342" s="1" t="n">
        <v>5</v>
      </c>
      <c r="R342" s="1" t="n">
        <v>2025</v>
      </c>
    </row>
    <row r="343">
      <c r="A343" s="61" t="n">
        <v>45818</v>
      </c>
      <c r="B343" s="16" t="inlineStr">
        <is>
          <t>FERRAGISTA OBRAS</t>
        </is>
      </c>
      <c r="C343" s="90" t="n"/>
      <c r="D343" s="90" t="n">
        <v>300</v>
      </c>
      <c r="E343" s="90" t="n">
        <v>-300</v>
      </c>
      <c r="F343" s="16" t="inlineStr">
        <is>
          <t>8.14 - MANUTENÇÃO/PEÇAS MAQUINAS E EQUIPAMENTOS</t>
        </is>
      </c>
      <c r="G343" s="16" t="inlineStr">
        <is>
          <t>ADMINISTRATIVO</t>
        </is>
      </c>
      <c r="H343" s="63" t="n">
        <v>2025</v>
      </c>
      <c r="I343" s="64" t="n">
        <v>6</v>
      </c>
      <c r="J343" s="16" t="inlineStr">
        <is>
          <t>Jun</t>
        </is>
      </c>
      <c r="K343" s="16" t="n"/>
      <c r="M343" s="89" t="n">
        <v>-300</v>
      </c>
      <c r="N343" s="1" t="inlineStr">
        <is>
          <t>MANUTENÇÃO/PEÇAS MAQUINAS E EQUIPAMENTOS</t>
        </is>
      </c>
      <c r="O343" s="1" t="inlineStr">
        <is>
          <t>Despesas com Máquinas e Equipamentos</t>
        </is>
      </c>
      <c r="P343" s="1" t="inlineStr">
        <is>
          <t>(-)Gastos Fixos</t>
        </is>
      </c>
      <c r="Q343" s="1" t="n">
        <v>4</v>
      </c>
      <c r="R343" s="1" t="n">
        <v>2025</v>
      </c>
    </row>
    <row r="344">
      <c r="A344" s="61" t="n">
        <v>45818</v>
      </c>
      <c r="B344" s="16" t="inlineStr">
        <is>
          <t>ALUGUEIS OBRAS</t>
        </is>
      </c>
      <c r="C344" s="90" t="n"/>
      <c r="D344" s="90" t="n">
        <v>2028.23</v>
      </c>
      <c r="E344" s="90" t="n">
        <v>-2028.23</v>
      </c>
      <c r="F344" s="16" t="inlineStr">
        <is>
          <t>5.3 - ALUGUEL ALOJAMENTO</t>
        </is>
      </c>
      <c r="G344" s="16" t="inlineStr">
        <is>
          <t>MOSAIC UBERABA CONTRAT0 3 ANOS</t>
        </is>
      </c>
      <c r="H344" s="63" t="n">
        <v>2025</v>
      </c>
      <c r="I344" s="64" t="n">
        <v>6</v>
      </c>
      <c r="J344" s="16" t="inlineStr">
        <is>
          <t>Jun</t>
        </is>
      </c>
      <c r="K344" s="16" t="n"/>
      <c r="M344" s="89" t="n">
        <v>-2028.23</v>
      </c>
      <c r="N344" s="1" t="inlineStr">
        <is>
          <t>ALUGUEL ALOJAMENTO</t>
        </is>
      </c>
      <c r="O344" s="1" t="inlineStr">
        <is>
          <t>Despesas com Infraestrutura</t>
        </is>
      </c>
      <c r="P344" s="1" t="inlineStr">
        <is>
          <t>(-)Gastos Fixos</t>
        </is>
      </c>
      <c r="Q344" s="1" t="n">
        <v>4</v>
      </c>
      <c r="R344" s="1" t="n">
        <v>2025</v>
      </c>
    </row>
    <row r="345">
      <c r="A345" s="61" t="n">
        <v>45818</v>
      </c>
      <c r="B345" s="16" t="inlineStr">
        <is>
          <t>FOLHA DE PAGAMENTO</t>
        </is>
      </c>
      <c r="C345" s="90" t="n"/>
      <c r="D345" s="90" t="n">
        <v>407.18</v>
      </c>
      <c r="E345" s="90" t="n">
        <v>-407.18</v>
      </c>
      <c r="F345" s="16" t="inlineStr">
        <is>
          <t>12.1 - SALARIO</t>
        </is>
      </c>
      <c r="G345" s="16" t="inlineStr">
        <is>
          <t>ANGLO AMERICAN</t>
        </is>
      </c>
      <c r="H345" s="63" t="n">
        <v>2025</v>
      </c>
      <c r="I345" s="64" t="n">
        <v>6</v>
      </c>
      <c r="J345" s="16" t="inlineStr">
        <is>
          <t>Jun</t>
        </is>
      </c>
      <c r="K345" s="16" t="n"/>
      <c r="M345" s="89" t="n">
        <v>-407.18</v>
      </c>
      <c r="N345" s="1" t="inlineStr">
        <is>
          <t>SALARIO</t>
        </is>
      </c>
      <c r="O345" s="1" t="inlineStr">
        <is>
          <t>Despesas com Pessoal</t>
        </is>
      </c>
      <c r="P345" s="1" t="inlineStr">
        <is>
          <t>(-)Gastos Fixos</t>
        </is>
      </c>
      <c r="Q345" s="1" t="n">
        <v>4</v>
      </c>
      <c r="R345" s="1" t="n">
        <v>2025</v>
      </c>
    </row>
    <row r="346">
      <c r="A346" s="61" t="n">
        <v>45818</v>
      </c>
      <c r="B346" s="16" t="inlineStr">
        <is>
          <t>CAIXA CARTÕES PRÉ-PAGOS S.A</t>
        </is>
      </c>
      <c r="C346" s="90" t="n"/>
      <c r="D346" s="90" t="n">
        <v>257.38</v>
      </c>
      <c r="E346" s="90" t="n">
        <v>-257.38</v>
      </c>
      <c r="F346" s="16" t="inlineStr">
        <is>
          <t>6.6 - PEDAGIOS</t>
        </is>
      </c>
      <c r="G346" s="16" t="inlineStr">
        <is>
          <t>VEICULOS</t>
        </is>
      </c>
      <c r="H346" s="63" t="n">
        <v>2025</v>
      </c>
      <c r="I346" s="64" t="n">
        <v>6</v>
      </c>
      <c r="J346" s="16" t="inlineStr">
        <is>
          <t>Jun</t>
        </is>
      </c>
      <c r="K346" s="16" t="n"/>
      <c r="M346" s="89" t="n">
        <v>-257.38</v>
      </c>
      <c r="N346" s="1" t="inlineStr">
        <is>
          <t>PEDAGIOS</t>
        </is>
      </c>
      <c r="O346" s="1" t="inlineStr">
        <is>
          <t>Despesas com Veículos e Equipamentos</t>
        </is>
      </c>
      <c r="P346" s="1" t="inlineStr">
        <is>
          <t>(-)Gastos Fixos</t>
        </is>
      </c>
      <c r="Q346" s="1" t="n">
        <v>4</v>
      </c>
      <c r="R346" s="1" t="n">
        <v>2025</v>
      </c>
    </row>
    <row r="347">
      <c r="A347" s="61" t="n">
        <v>45818</v>
      </c>
      <c r="B347" s="16" t="inlineStr">
        <is>
          <t>BANCO CAIXA</t>
        </is>
      </c>
      <c r="C347" s="90" t="n"/>
      <c r="D347" s="90" t="n">
        <v>389.2</v>
      </c>
      <c r="E347" s="90" t="n">
        <v>-389.2</v>
      </c>
      <c r="F347" s="16" t="inlineStr">
        <is>
          <t>18.2 - TARIFAS BANCARIAS</t>
        </is>
      </c>
      <c r="G347" s="16" t="inlineStr">
        <is>
          <t>ADMINISTRATIVO</t>
        </is>
      </c>
      <c r="H347" s="63" t="n">
        <v>2025</v>
      </c>
      <c r="I347" s="64" t="n">
        <v>6</v>
      </c>
      <c r="J347" s="16" t="inlineStr">
        <is>
          <t>Jun</t>
        </is>
      </c>
      <c r="K347" s="16" t="n"/>
      <c r="M347" s="89" t="n">
        <v>-389.2</v>
      </c>
      <c r="N347" s="1" t="inlineStr">
        <is>
          <t>TARIFAS BANCARIAS</t>
        </is>
      </c>
      <c r="O347" s="1" t="inlineStr">
        <is>
          <t>Despesas Financeiras</t>
        </is>
      </c>
      <c r="P347" s="1" t="inlineStr">
        <is>
          <t>(-)Gastos Fixos</t>
        </is>
      </c>
      <c r="Q347" s="1" t="n">
        <v>4</v>
      </c>
      <c r="R347" s="1" t="n">
        <v>2025</v>
      </c>
    </row>
    <row r="348">
      <c r="A348" s="61" t="n">
        <v>45818</v>
      </c>
      <c r="B348" s="16" t="inlineStr">
        <is>
          <t>30633 - BR HIDRAULICA EIRELI</t>
        </is>
      </c>
      <c r="C348" s="90" t="n"/>
      <c r="D348" s="90" t="n">
        <v>31.54</v>
      </c>
      <c r="E348" s="90" t="n">
        <v>-31.54</v>
      </c>
      <c r="F348" s="16" t="inlineStr">
        <is>
          <t>8.6 - MANGUEIRAS / CONEXÕES</t>
        </is>
      </c>
      <c r="G348" s="16" t="inlineStr">
        <is>
          <t>VLI PINTURA</t>
        </is>
      </c>
      <c r="H348" s="63" t="n">
        <v>2025</v>
      </c>
      <c r="I348" s="64" t="n">
        <v>6</v>
      </c>
      <c r="J348" s="16" t="inlineStr">
        <is>
          <t>Jun</t>
        </is>
      </c>
      <c r="K348" s="16" t="n"/>
      <c r="M348" s="89" t="n">
        <v>-31.54</v>
      </c>
      <c r="N348" s="1" t="inlineStr">
        <is>
          <t>MANGUEIRAS / CONEXÕES</t>
        </is>
      </c>
      <c r="O348" s="1" t="inlineStr">
        <is>
          <t>Despesas com Máquinas e Equipamentos</t>
        </is>
      </c>
      <c r="P348" s="1" t="inlineStr">
        <is>
          <t>(-)Gastos Fixos</t>
        </is>
      </c>
      <c r="Q348" s="1" t="n">
        <v>4</v>
      </c>
      <c r="R348" s="1" t="n">
        <v>2025</v>
      </c>
    </row>
    <row r="349">
      <c r="A349" s="61" t="n">
        <v>45818</v>
      </c>
      <c r="B349" s="16" t="inlineStr">
        <is>
          <t>55162 - NEOBETEL EPI, EQUIPAMENTOS DE PROTECAO INDIVIDUAL LTDA</t>
        </is>
      </c>
      <c r="C349" s="90" t="n"/>
      <c r="D349" s="90" t="n">
        <v>2237.14</v>
      </c>
      <c r="E349" s="90" t="n">
        <v>-2237.14</v>
      </c>
      <c r="F349" s="16" t="inlineStr">
        <is>
          <t>13.1 - EPIS</t>
        </is>
      </c>
      <c r="G349" s="16" t="inlineStr">
        <is>
          <t>VLI PINTURA</t>
        </is>
      </c>
      <c r="H349" s="63" t="n">
        <v>2025</v>
      </c>
      <c r="I349" s="64" t="n">
        <v>6</v>
      </c>
      <c r="J349" s="16" t="inlineStr">
        <is>
          <t>Jun</t>
        </is>
      </c>
      <c r="K349" s="16" t="n"/>
      <c r="M349" s="89" t="n">
        <v>-2237.14</v>
      </c>
      <c r="N349" s="1" t="inlineStr">
        <is>
          <t>EPIS</t>
        </is>
      </c>
      <c r="O349" s="1" t="inlineStr">
        <is>
          <t>Despesas com Pessoal</t>
        </is>
      </c>
      <c r="P349" s="1" t="inlineStr">
        <is>
          <t>(-)Gastos Fixos</t>
        </is>
      </c>
      <c r="Q349" s="1" t="n">
        <v>4</v>
      </c>
      <c r="R349" s="1" t="n">
        <v>2025</v>
      </c>
    </row>
    <row r="350">
      <c r="A350" s="61" t="n">
        <v>45818</v>
      </c>
      <c r="B350" s="16" t="inlineStr">
        <is>
          <t>55162 - NEOBETEL EPI, EQUIPAMENTOS DE PROTECAO INDIVIDUAL LTDA</t>
        </is>
      </c>
      <c r="C350" s="90" t="n"/>
      <c r="D350" s="90" t="n">
        <v>2237.13</v>
      </c>
      <c r="E350" s="90" t="n">
        <v>-2237.13</v>
      </c>
      <c r="F350" s="16" t="inlineStr">
        <is>
          <t>13.1 - EPIS</t>
        </is>
      </c>
      <c r="G350" s="16" t="inlineStr">
        <is>
          <t>VLI PINTURA</t>
        </is>
      </c>
      <c r="H350" s="63" t="n">
        <v>2025</v>
      </c>
      <c r="I350" s="64" t="n">
        <v>6</v>
      </c>
      <c r="J350" s="16" t="inlineStr">
        <is>
          <t>Jun</t>
        </is>
      </c>
      <c r="K350" s="16" t="n"/>
      <c r="M350" s="89" t="n">
        <v>-2237.13</v>
      </c>
      <c r="N350" s="1" t="inlineStr">
        <is>
          <t>EPIS</t>
        </is>
      </c>
      <c r="O350" s="1" t="inlineStr">
        <is>
          <t>Despesas com Pessoal</t>
        </is>
      </c>
      <c r="P350" s="1" t="inlineStr">
        <is>
          <t>(-)Gastos Fixos</t>
        </is>
      </c>
      <c r="Q350" s="1" t="n">
        <v>4</v>
      </c>
      <c r="R350" s="1" t="n">
        <v>2025</v>
      </c>
    </row>
    <row r="351">
      <c r="A351" s="61" t="n">
        <v>45818</v>
      </c>
      <c r="B351" s="16" t="inlineStr">
        <is>
          <t>55162 - NEOBETEL EPI, EQUIPAMENTOS DE PROTECAO INDIVIDUAL LTDA</t>
        </is>
      </c>
      <c r="C351" s="90" t="n"/>
      <c r="D351" s="90" t="n">
        <v>2237.13</v>
      </c>
      <c r="E351" s="90" t="n">
        <v>-2237.13</v>
      </c>
      <c r="F351" s="16" t="inlineStr">
        <is>
          <t>13.1 - EPIS</t>
        </is>
      </c>
      <c r="G351" s="16" t="inlineStr">
        <is>
          <t>VLI PINTURA</t>
        </is>
      </c>
      <c r="H351" s="63" t="n">
        <v>2025</v>
      </c>
      <c r="I351" s="64" t="n">
        <v>6</v>
      </c>
      <c r="J351" s="16" t="inlineStr">
        <is>
          <t>Jun</t>
        </is>
      </c>
      <c r="K351" s="16" t="n"/>
      <c r="M351" s="89" t="n">
        <v>-2237.13</v>
      </c>
      <c r="N351" s="1" t="inlineStr">
        <is>
          <t>EPIS</t>
        </is>
      </c>
      <c r="O351" s="1" t="inlineStr">
        <is>
          <t>Despesas com Pessoal</t>
        </is>
      </c>
      <c r="P351" s="1" t="inlineStr">
        <is>
          <t>(-)Gastos Fixos</t>
        </is>
      </c>
      <c r="Q351" s="1" t="n">
        <v>4</v>
      </c>
      <c r="R351" s="1" t="n">
        <v>2025</v>
      </c>
    </row>
    <row r="352">
      <c r="A352" s="61" t="n">
        <v>45818</v>
      </c>
      <c r="B352" s="16" t="inlineStr">
        <is>
          <t>16025 - QUALI TINTAS</t>
        </is>
      </c>
      <c r="C352" s="90" t="n"/>
      <c r="D352" s="90" t="n">
        <v>478</v>
      </c>
      <c r="E352" s="90" t="n">
        <v>-478</v>
      </c>
      <c r="F352" s="16" t="inlineStr">
        <is>
          <t>8.8 - MATERIAIS DE CONSUMO EM OBRAS</t>
        </is>
      </c>
      <c r="G352" s="16" t="inlineStr">
        <is>
          <t>VLI PINTURA</t>
        </is>
      </c>
      <c r="H352" s="63" t="n">
        <v>2025</v>
      </c>
      <c r="I352" s="64" t="n">
        <v>6</v>
      </c>
      <c r="J352" s="16" t="inlineStr">
        <is>
          <t>Jun</t>
        </is>
      </c>
      <c r="K352" s="16" t="n"/>
      <c r="M352" s="89" t="n">
        <v>-478</v>
      </c>
      <c r="N352" s="1" t="inlineStr">
        <is>
          <t>MATERIAIS DE CONSUMO EM OBRAS</t>
        </is>
      </c>
      <c r="O352" s="1" t="inlineStr">
        <is>
          <t>Despesas com Máquinas e Equipamentos</t>
        </is>
      </c>
      <c r="P352" s="1" t="inlineStr">
        <is>
          <t>(-)Gastos Fixos</t>
        </is>
      </c>
      <c r="Q352" s="1" t="n">
        <v>4</v>
      </c>
      <c r="R352" s="1" t="n">
        <v>2025</v>
      </c>
    </row>
    <row r="353">
      <c r="A353" s="61" t="n">
        <v>45818</v>
      </c>
      <c r="B353" s="16" t="inlineStr">
        <is>
          <t>90302 - REAL BORRACHA EIRELI</t>
        </is>
      </c>
      <c r="C353" s="90" t="n"/>
      <c r="D353" s="90" t="n">
        <v>255.9</v>
      </c>
      <c r="E353" s="90" t="n">
        <v>-255.9</v>
      </c>
      <c r="F353" s="16" t="inlineStr">
        <is>
          <t>13.1 - EPIS</t>
        </is>
      </c>
      <c r="G353" s="16" t="inlineStr">
        <is>
          <t>NIOBIO CMOC CONTRATO</t>
        </is>
      </c>
      <c r="H353" s="63" t="n">
        <v>2025</v>
      </c>
      <c r="I353" s="64" t="n">
        <v>6</v>
      </c>
      <c r="J353" s="16" t="inlineStr">
        <is>
          <t>Jun</t>
        </is>
      </c>
      <c r="K353" s="16" t="n"/>
      <c r="M353" s="89" t="n">
        <v>-255.9</v>
      </c>
      <c r="N353" s="1" t="inlineStr">
        <is>
          <t>EPIS</t>
        </is>
      </c>
      <c r="O353" s="1" t="inlineStr">
        <is>
          <t>Despesas com Pessoal</t>
        </is>
      </c>
      <c r="P353" s="1" t="inlineStr">
        <is>
          <t>(-)Gastos Fixos</t>
        </is>
      </c>
      <c r="Q353" s="1" t="n">
        <v>4</v>
      </c>
      <c r="R353" s="1" t="n">
        <v>2025</v>
      </c>
    </row>
    <row r="354">
      <c r="A354" s="61" t="n">
        <v>45818</v>
      </c>
      <c r="B354" s="16" t="inlineStr">
        <is>
          <t>90302 - REAL BORRACHA EIRELI</t>
        </is>
      </c>
      <c r="C354" s="90" t="n"/>
      <c r="D354" s="90" t="n">
        <v>255.9</v>
      </c>
      <c r="E354" s="90" t="n">
        <v>-255.9</v>
      </c>
      <c r="F354" s="16" t="inlineStr">
        <is>
          <t>13.1 - EPIS</t>
        </is>
      </c>
      <c r="G354" s="16" t="inlineStr">
        <is>
          <t>NIOBIO CMOC CONTRATO</t>
        </is>
      </c>
      <c r="H354" s="63" t="n">
        <v>2025</v>
      </c>
      <c r="I354" s="64" t="n">
        <v>6</v>
      </c>
      <c r="J354" s="16" t="inlineStr">
        <is>
          <t>Jun</t>
        </is>
      </c>
      <c r="K354" s="16" t="n"/>
      <c r="M354" s="89" t="n">
        <v>-255.9</v>
      </c>
      <c r="N354" s="1" t="inlineStr">
        <is>
          <t>EPIS</t>
        </is>
      </c>
      <c r="O354" s="1" t="inlineStr">
        <is>
          <t>Despesas com Pessoal</t>
        </is>
      </c>
      <c r="P354" s="1" t="inlineStr">
        <is>
          <t>(-)Gastos Fixos</t>
        </is>
      </c>
      <c r="Q354" s="1" t="n">
        <v>4</v>
      </c>
      <c r="R354" s="1" t="n">
        <v>2025</v>
      </c>
    </row>
    <row r="355">
      <c r="A355" s="61" t="n">
        <v>45818</v>
      </c>
      <c r="B355" s="16" t="inlineStr">
        <is>
          <t>17235 - FONTEBRAS HOME CENTER COM. DE MAT. PARA CONST. LTDA - EPP</t>
        </is>
      </c>
      <c r="C355" s="90" t="n"/>
      <c r="D355" s="90" t="n">
        <v>124.47</v>
      </c>
      <c r="E355" s="90" t="n">
        <v>-124.47</v>
      </c>
      <c r="F355" s="16" t="inlineStr">
        <is>
          <t>8.11 - MATERIAIS DE LIMPEZA / HIGIENE</t>
        </is>
      </c>
      <c r="G355" s="16" t="inlineStr">
        <is>
          <t>VLI PINTURA</t>
        </is>
      </c>
      <c r="H355" s="63" t="n">
        <v>2025</v>
      </c>
      <c r="I355" s="64" t="n">
        <v>6</v>
      </c>
      <c r="J355" s="16" t="inlineStr">
        <is>
          <t>Jun</t>
        </is>
      </c>
      <c r="K355" s="16" t="n"/>
      <c r="M355" s="89" t="n">
        <v>-124.47</v>
      </c>
      <c r="N355" s="1" t="inlineStr">
        <is>
          <t>MATERIAIS DE LIMPEZA / HIGIENE</t>
        </is>
      </c>
      <c r="O355" s="1" t="inlineStr">
        <is>
          <t>Despesas com Máquinas e Equipamentos</t>
        </is>
      </c>
      <c r="P355" s="1" t="inlineStr">
        <is>
          <t>(-)Gastos Fixos</t>
        </is>
      </c>
      <c r="Q355" s="1" t="n">
        <v>4</v>
      </c>
      <c r="R355" s="1" t="n">
        <v>2025</v>
      </c>
    </row>
    <row r="356">
      <c r="A356" s="61" t="n">
        <v>45818</v>
      </c>
      <c r="B356" s="16" t="inlineStr">
        <is>
          <t>13° PREVISAO</t>
        </is>
      </c>
      <c r="C356" s="90" t="n"/>
      <c r="D356" s="90" t="n">
        <v>33.93166666666666</v>
      </c>
      <c r="E356" s="90" t="n">
        <v>-33.93166666666666</v>
      </c>
      <c r="F356" s="16" t="inlineStr">
        <is>
          <t>12.3 - PREVISÃO 13°</t>
        </is>
      </c>
      <c r="G356" s="16" t="inlineStr">
        <is>
          <t>ANGLO AMERICAN</t>
        </is>
      </c>
      <c r="H356" s="63" t="n">
        <v>2025</v>
      </c>
      <c r="I356" s="64" t="n">
        <v>6</v>
      </c>
      <c r="J356" s="16" t="inlineStr">
        <is>
          <t>Jun</t>
        </is>
      </c>
      <c r="K356" s="16" t="n"/>
      <c r="M356" s="89" t="n">
        <v>-33.93166666666666</v>
      </c>
      <c r="N356" s="1" t="inlineStr">
        <is>
          <t>13° PREVISAO</t>
        </is>
      </c>
      <c r="O356" s="1" t="inlineStr">
        <is>
          <t>Despesas com Pessoal</t>
        </is>
      </c>
      <c r="P356" s="1" t="inlineStr">
        <is>
          <t>(-)Gastos Fixos</t>
        </is>
      </c>
      <c r="Q356" s="1" t="n">
        <v>4</v>
      </c>
      <c r="R356" s="1" t="n">
        <v>2025</v>
      </c>
    </row>
    <row r="357">
      <c r="A357" s="61" t="n">
        <v>45818</v>
      </c>
      <c r="B357" s="16" t="inlineStr">
        <is>
          <t>FÉRIAS PREVISAO</t>
        </is>
      </c>
      <c r="C357" s="90" t="n"/>
      <c r="D357" s="90" t="n">
        <v>45.12911666666666</v>
      </c>
      <c r="E357" s="90" t="n">
        <v>-45.12911666666666</v>
      </c>
      <c r="F357" s="16" t="inlineStr">
        <is>
          <t>12.4 - PREVISÃO FÉRIAS</t>
        </is>
      </c>
      <c r="G357" s="16" t="inlineStr">
        <is>
          <t>ANGLO AMERICAN</t>
        </is>
      </c>
      <c r="H357" s="63" t="n">
        <v>2025</v>
      </c>
      <c r="I357" s="64" t="n">
        <v>6</v>
      </c>
      <c r="J357" s="16" t="inlineStr">
        <is>
          <t>Jun</t>
        </is>
      </c>
      <c r="K357" s="16" t="n"/>
      <c r="M357" s="89" t="n">
        <v>-45.12911666666666</v>
      </c>
      <c r="N357" s="1" t="inlineStr">
        <is>
          <t>12.4 - PREVISÃO FÉRIAS</t>
        </is>
      </c>
      <c r="O357" s="1" t="n"/>
      <c r="P357" s="1" t="n"/>
      <c r="Q357" s="1" t="n"/>
      <c r="R357" s="1" t="n">
        <v>2025</v>
      </c>
    </row>
    <row r="358">
      <c r="A358" s="61" t="n">
        <v>45819</v>
      </c>
      <c r="B358" s="16" t="inlineStr">
        <is>
          <t>2467 - CMOC BRASIL MINERAÇAO INDUSTRIAL E PARTICIPAÇOES</t>
        </is>
      </c>
      <c r="C358" s="90" t="n">
        <v>39622.1</v>
      </c>
      <c r="D358" s="90" t="n"/>
      <c r="E358" s="90" t="n">
        <v>39622.1</v>
      </c>
      <c r="F358" s="16" t="inlineStr">
        <is>
          <t>1.1.1 - Recebimento de Clientes</t>
        </is>
      </c>
      <c r="G358" s="16" t="inlineStr">
        <is>
          <t>NIOBIO CMOC CONTRATO</t>
        </is>
      </c>
      <c r="H358" s="63" t="n">
        <v>2025</v>
      </c>
      <c r="I358" s="64" t="n">
        <v>6</v>
      </c>
      <c r="J358" s="16" t="inlineStr">
        <is>
          <t>Jun</t>
        </is>
      </c>
      <c r="K358" s="16" t="n"/>
      <c r="M358" s="89" t="n">
        <v>39622.1</v>
      </c>
      <c r="N358" s="1" t="inlineStr">
        <is>
          <t>Faturamento</t>
        </is>
      </c>
      <c r="O358" s="1" t="inlineStr">
        <is>
          <t>(+)Receita Bruta</t>
        </is>
      </c>
      <c r="P358" s="1" t="inlineStr">
        <is>
          <t>(=)Receita Bruta</t>
        </is>
      </c>
      <c r="Q358" s="1" t="n">
        <v>1</v>
      </c>
      <c r="R358" s="1" t="n">
        <v>2025</v>
      </c>
    </row>
    <row r="359">
      <c r="A359" s="61" t="n">
        <v>45819</v>
      </c>
      <c r="B359" s="16" t="inlineStr">
        <is>
          <t>2468 - CMOC BRASIL MINERAÇAO INDUSTRIAL E PARTICIPAÇOES</t>
        </is>
      </c>
      <c r="C359" s="90" t="n">
        <v>35226.2</v>
      </c>
      <c r="D359" s="90" t="n"/>
      <c r="E359" s="90" t="n">
        <v>35226.2</v>
      </c>
      <c r="F359" s="16" t="inlineStr">
        <is>
          <t>1.1.1 - Recebimento de Clientes</t>
        </is>
      </c>
      <c r="G359" s="16" t="inlineStr">
        <is>
          <t>NIOBIO CMOC CONTRATO</t>
        </is>
      </c>
      <c r="H359" s="63" t="n">
        <v>2025</v>
      </c>
      <c r="I359" s="64" t="n">
        <v>6</v>
      </c>
      <c r="J359" s="16" t="inlineStr">
        <is>
          <t>Jun</t>
        </is>
      </c>
      <c r="K359" s="16" t="n"/>
      <c r="M359" s="89" t="n">
        <v>35226.2</v>
      </c>
      <c r="N359" s="1" t="inlineStr">
        <is>
          <t>Faturamento</t>
        </is>
      </c>
      <c r="O359" s="1" t="inlineStr">
        <is>
          <t>(+)Receita Bruta</t>
        </is>
      </c>
      <c r="P359" s="1" t="inlineStr">
        <is>
          <t>(=)Receita Bruta</t>
        </is>
      </c>
      <c r="Q359" s="1" t="n">
        <v>1</v>
      </c>
      <c r="R359" s="1" t="n">
        <v>2025</v>
      </c>
    </row>
    <row r="360">
      <c r="A360" s="61" t="n">
        <v>45819</v>
      </c>
      <c r="B360" s="16" t="inlineStr">
        <is>
          <t>GILVAN</t>
        </is>
      </c>
      <c r="C360" s="90" t="n"/>
      <c r="D360" s="90" t="n">
        <v>11.96</v>
      </c>
      <c r="E360" s="90" t="n">
        <v>-11.96</v>
      </c>
      <c r="F360" s="16" t="inlineStr">
        <is>
          <t>8.11 - MATERIAIS DE LIMPEZA / HIGIENE</t>
        </is>
      </c>
      <c r="G360" s="16" t="inlineStr">
        <is>
          <t>ADMINISTRATIVO</t>
        </is>
      </c>
      <c r="H360" s="63" t="n">
        <v>2025</v>
      </c>
      <c r="I360" s="64" t="n">
        <v>6</v>
      </c>
      <c r="J360" s="16" t="inlineStr">
        <is>
          <t>Jun</t>
        </is>
      </c>
      <c r="K360" s="16" t="n"/>
      <c r="M360" s="89" t="n">
        <v>-11.96</v>
      </c>
      <c r="N360" s="1" t="inlineStr">
        <is>
          <t>MATERIAIS DE LIMPEZA / HIGIENE</t>
        </is>
      </c>
      <c r="O360" s="1" t="inlineStr">
        <is>
          <t>Despesas com Máquinas e Equipamentos</t>
        </is>
      </c>
      <c r="P360" s="1" t="inlineStr">
        <is>
          <t>(-)Gastos Fixos</t>
        </is>
      </c>
      <c r="Q360" s="1" t="n">
        <v>4</v>
      </c>
      <c r="R360" s="1" t="n">
        <v>2025</v>
      </c>
    </row>
    <row r="361">
      <c r="A361" s="61" t="n">
        <v>45819</v>
      </c>
      <c r="B361" s="16" t="inlineStr">
        <is>
          <t>GILVAN</t>
        </is>
      </c>
      <c r="C361" s="90" t="n"/>
      <c r="D361" s="90" t="n">
        <v>66</v>
      </c>
      <c r="E361" s="90" t="n">
        <v>-66</v>
      </c>
      <c r="F361" s="16" t="inlineStr">
        <is>
          <t>11.5 - ALIMENTAÇÃO ADM</t>
        </is>
      </c>
      <c r="G361" s="16" t="inlineStr">
        <is>
          <t>ADMINISTRATIVO</t>
        </is>
      </c>
      <c r="H361" s="63" t="n">
        <v>2025</v>
      </c>
      <c r="I361" s="64" t="n">
        <v>6</v>
      </c>
      <c r="J361" s="16" t="inlineStr">
        <is>
          <t>Jun</t>
        </is>
      </c>
      <c r="K361" s="16" t="n"/>
      <c r="M361" s="89" t="n">
        <v>-66</v>
      </c>
      <c r="N361" s="1" t="inlineStr">
        <is>
          <t>ALIMENTAÇÃO ADM</t>
        </is>
      </c>
      <c r="O361" s="1" t="inlineStr">
        <is>
          <t>Despesas com Pessoal</t>
        </is>
      </c>
      <c r="P361" s="1" t="inlineStr">
        <is>
          <t>(-)Gastos Fixos</t>
        </is>
      </c>
      <c r="Q361" s="1" t="n">
        <v>4</v>
      </c>
      <c r="R361" s="1" t="n">
        <v>2025</v>
      </c>
    </row>
    <row r="362">
      <c r="A362" s="61" t="n">
        <v>45819</v>
      </c>
      <c r="B362" s="16" t="inlineStr">
        <is>
          <t>REINALDO DIAS</t>
        </is>
      </c>
      <c r="C362" s="90" t="n"/>
      <c r="D362" s="90" t="n">
        <v>42.88</v>
      </c>
      <c r="E362" s="90" t="n">
        <v>-42.88</v>
      </c>
      <c r="F362" s="16" t="inlineStr">
        <is>
          <t>3.8 - SERVIÇO MOTOBOY / UBER</t>
        </is>
      </c>
      <c r="G362" s="16" t="inlineStr">
        <is>
          <t>ADMINISTRATIVO</t>
        </is>
      </c>
      <c r="H362" s="63" t="n">
        <v>2025</v>
      </c>
      <c r="I362" s="64" t="n">
        <v>6</v>
      </c>
      <c r="J362" s="16" t="inlineStr">
        <is>
          <t>Jun</t>
        </is>
      </c>
      <c r="K362" s="16" t="n"/>
      <c r="M362" s="89" t="n">
        <v>-42.88</v>
      </c>
      <c r="N362" s="1" t="inlineStr">
        <is>
          <t>SERVIÇO MOTOBOY / UBER</t>
        </is>
      </c>
      <c r="O362" s="1" t="inlineStr">
        <is>
          <t>Despesas Administrativas</t>
        </is>
      </c>
      <c r="P362" s="1" t="inlineStr">
        <is>
          <t>(-)Gastos Fixos</t>
        </is>
      </c>
      <c r="Q362" s="1" t="n">
        <v>4</v>
      </c>
      <c r="R362" s="1" t="n">
        <v>2025</v>
      </c>
    </row>
    <row r="363">
      <c r="A363" s="61" t="n">
        <v>45819</v>
      </c>
      <c r="B363" s="16" t="inlineStr">
        <is>
          <t>REINALDO DIAS</t>
        </is>
      </c>
      <c r="C363" s="90" t="n"/>
      <c r="D363" s="90" t="n">
        <v>465.75</v>
      </c>
      <c r="E363" s="90" t="n">
        <v>-465.75</v>
      </c>
      <c r="F363" s="16" t="inlineStr">
        <is>
          <t>14.2 - CURSOS / TREINAMENTOS</t>
        </is>
      </c>
      <c r="G363" s="16" t="inlineStr">
        <is>
          <t>ADMINISTRATIVO</t>
        </is>
      </c>
      <c r="H363" s="63" t="n">
        <v>2025</v>
      </c>
      <c r="I363" s="64" t="n">
        <v>6</v>
      </c>
      <c r="J363" s="16" t="inlineStr">
        <is>
          <t>Jun</t>
        </is>
      </c>
      <c r="K363" s="16" t="n"/>
      <c r="M363" s="89" t="n">
        <v>-465.75</v>
      </c>
      <c r="N363" s="1" t="inlineStr">
        <is>
          <t>CURSOS / TREINAMENTOS</t>
        </is>
      </c>
      <c r="O363" s="1" t="inlineStr">
        <is>
          <t>Despesas com Pessoal</t>
        </is>
      </c>
      <c r="P363" s="1" t="inlineStr">
        <is>
          <t>(-)Gastos Fixos</t>
        </is>
      </c>
      <c r="Q363" s="1" t="n">
        <v>4</v>
      </c>
      <c r="R363" s="1" t="n">
        <v>2025</v>
      </c>
    </row>
    <row r="364">
      <c r="A364" s="61" t="n">
        <v>45819</v>
      </c>
      <c r="B364" s="16" t="inlineStr">
        <is>
          <t>IMPERIO DO ESPETO</t>
        </is>
      </c>
      <c r="C364" s="90" t="n"/>
      <c r="D364" s="90" t="n">
        <v>162</v>
      </c>
      <c r="E364" s="90" t="n">
        <v>-162</v>
      </c>
      <c r="F364" s="16" t="inlineStr">
        <is>
          <t>11.5 - ALIMENTAÇÃO ADM</t>
        </is>
      </c>
      <c r="G364" s="16" t="inlineStr">
        <is>
          <t>ADMINISTRATIVO</t>
        </is>
      </c>
      <c r="H364" s="63" t="n">
        <v>2025</v>
      </c>
      <c r="I364" s="64" t="n">
        <v>6</v>
      </c>
      <c r="J364" s="16" t="inlineStr">
        <is>
          <t>Jun</t>
        </is>
      </c>
      <c r="K364" s="16" t="n"/>
      <c r="M364" s="89" t="n">
        <v>-162</v>
      </c>
      <c r="N364" s="1" t="inlineStr">
        <is>
          <t>ALIMENTAÇÃO ADM</t>
        </is>
      </c>
      <c r="O364" s="1" t="inlineStr">
        <is>
          <t>Despesas com Pessoal</t>
        </is>
      </c>
      <c r="P364" s="1" t="inlineStr">
        <is>
          <t>(-)Gastos Fixos</t>
        </is>
      </c>
      <c r="Q364" s="1" t="n">
        <v>4</v>
      </c>
      <c r="R364" s="1" t="n">
        <v>2025</v>
      </c>
    </row>
    <row r="365">
      <c r="A365" s="61" t="n">
        <v>45819</v>
      </c>
      <c r="B365" s="16" t="inlineStr">
        <is>
          <t>DESPESAS LOTE TRINDADE AIDEAL</t>
        </is>
      </c>
      <c r="C365" s="90" t="n"/>
      <c r="D365" s="90" t="n">
        <v>500</v>
      </c>
      <c r="E365" s="90" t="n">
        <v>-500</v>
      </c>
      <c r="F365" s="16" t="inlineStr">
        <is>
          <t>15.5 - PROJETOS</t>
        </is>
      </c>
      <c r="G365" s="16" t="inlineStr">
        <is>
          <t>ADMINISTRATIVO</t>
        </is>
      </c>
      <c r="H365" s="63" t="n">
        <v>2025</v>
      </c>
      <c r="I365" s="64" t="n">
        <v>6</v>
      </c>
      <c r="J365" s="16" t="inlineStr">
        <is>
          <t>Jun</t>
        </is>
      </c>
      <c r="K365" s="16" t="n"/>
      <c r="M365" s="89" t="n">
        <v>-500</v>
      </c>
      <c r="N365" s="1" t="inlineStr">
        <is>
          <t>15.5 - PROJETOS</t>
        </is>
      </c>
      <c r="O365" s="1" t="n"/>
      <c r="P365" s="1" t="n"/>
      <c r="Q365" s="1" t="n"/>
      <c r="R365" s="1" t="n">
        <v>2025</v>
      </c>
    </row>
    <row r="366">
      <c r="A366" s="61" t="n">
        <v>45819</v>
      </c>
      <c r="B366" s="16" t="inlineStr">
        <is>
          <t>DESPESAS VEICULOS</t>
        </is>
      </c>
      <c r="C366" s="90" t="n"/>
      <c r="D366" s="90" t="n">
        <v>2000</v>
      </c>
      <c r="E366" s="90" t="n">
        <v>-2000</v>
      </c>
      <c r="F366" s="16" t="inlineStr">
        <is>
          <t>6.3 - MANUTENÇÃO/PEÇAS  VEICULOS</t>
        </is>
      </c>
      <c r="G366" s="16" t="inlineStr">
        <is>
          <t>VLI PINTURA</t>
        </is>
      </c>
      <c r="H366" s="63" t="n">
        <v>2025</v>
      </c>
      <c r="I366" s="64" t="n">
        <v>6</v>
      </c>
      <c r="J366" s="16" t="inlineStr">
        <is>
          <t>Jun</t>
        </is>
      </c>
      <c r="K366" s="16" t="n"/>
      <c r="M366" s="89" t="n">
        <v>-2000</v>
      </c>
      <c r="N366" s="1" t="inlineStr">
        <is>
          <t>MANUTENÇÃO/PEÇAS  VEICULOS</t>
        </is>
      </c>
      <c r="O366" s="1" t="inlineStr">
        <is>
          <t>Despesas com Veículos e Equipamentos</t>
        </is>
      </c>
      <c r="P366" s="1" t="inlineStr">
        <is>
          <t>(-)Gastos Fixos</t>
        </is>
      </c>
      <c r="Q366" s="1" t="n">
        <v>4</v>
      </c>
      <c r="R366" s="1" t="n">
        <v>2025</v>
      </c>
    </row>
    <row r="367">
      <c r="A367" s="61" t="n">
        <v>45819</v>
      </c>
      <c r="B367" s="16" t="inlineStr">
        <is>
          <t>FRETE OBRAS</t>
        </is>
      </c>
      <c r="C367" s="90" t="n"/>
      <c r="D367" s="90" t="n">
        <v>150</v>
      </c>
      <c r="E367" s="90" t="n">
        <v>-150</v>
      </c>
      <c r="F367" s="16" t="inlineStr">
        <is>
          <t>10.1 - FRETE MATERIAIS E EQUIPAMENTOS</t>
        </is>
      </c>
      <c r="G367" s="16" t="inlineStr">
        <is>
          <t>COMPORTAS - PORTO FERREIRA</t>
        </is>
      </c>
      <c r="H367" s="63" t="n">
        <v>2025</v>
      </c>
      <c r="I367" s="64" t="n">
        <v>6</v>
      </c>
      <c r="J367" s="16" t="inlineStr">
        <is>
          <t>Jun</t>
        </is>
      </c>
      <c r="K367" s="16" t="n"/>
      <c r="M367" s="89" t="n">
        <v>-150</v>
      </c>
      <c r="N367" s="1" t="inlineStr">
        <is>
          <t>FRETE MATERIAIS E EQUIPAMENTOS</t>
        </is>
      </c>
      <c r="O367" s="1" t="inlineStr">
        <is>
          <t>Fornecedores</t>
        </is>
      </c>
      <c r="P367" s="1" t="inlineStr">
        <is>
          <t>(-)Custos Variavéis</t>
        </is>
      </c>
      <c r="Q367" s="1" t="n">
        <v>3</v>
      </c>
      <c r="R367" s="1" t="n">
        <v>2025</v>
      </c>
    </row>
    <row r="368">
      <c r="A368" s="61" t="n">
        <v>45819</v>
      </c>
      <c r="B368" s="16" t="inlineStr">
        <is>
          <t>OI TELEFONIA</t>
        </is>
      </c>
      <c r="C368" s="90" t="n"/>
      <c r="D368" s="90" t="n">
        <v>20</v>
      </c>
      <c r="E368" s="90" t="n">
        <v>-20</v>
      </c>
      <c r="F368" s="16" t="inlineStr">
        <is>
          <t>11.6 - INTERNET / TELEFONE ADM</t>
        </is>
      </c>
      <c r="G368" s="16" t="inlineStr">
        <is>
          <t>ADMINISTRATIVO</t>
        </is>
      </c>
      <c r="H368" s="63" t="n">
        <v>2025</v>
      </c>
      <c r="I368" s="64" t="n">
        <v>6</v>
      </c>
      <c r="J368" s="16" t="inlineStr">
        <is>
          <t>Jun</t>
        </is>
      </c>
      <c r="K368" s="16" t="n"/>
      <c r="M368" s="89" t="n">
        <v>-20</v>
      </c>
      <c r="N368" s="1" t="inlineStr">
        <is>
          <t>INTERNET / TELEFONE ADM</t>
        </is>
      </c>
      <c r="O368" s="1" t="inlineStr">
        <is>
          <t>Despesas com Infraestrutura</t>
        </is>
      </c>
      <c r="P368" s="1" t="inlineStr">
        <is>
          <t>(-)Gastos Fixos</t>
        </is>
      </c>
      <c r="Q368" s="1" t="n">
        <v>4</v>
      </c>
      <c r="R368" s="1" t="n">
        <v>2025</v>
      </c>
    </row>
    <row r="369">
      <c r="A369" s="61" t="n">
        <v>45819</v>
      </c>
      <c r="B369" s="16" t="inlineStr">
        <is>
          <t>275 - JAA COMPRESSORES LTDA</t>
        </is>
      </c>
      <c r="C369" s="90" t="n"/>
      <c r="D369" s="90" t="n">
        <v>1840</v>
      </c>
      <c r="E369" s="90" t="n">
        <v>-1840</v>
      </c>
      <c r="F369" s="16" t="inlineStr">
        <is>
          <t>8.14 - MANUTENÇÃO/PEÇAS MAQUINAS E EQUIPAMENTOS</t>
        </is>
      </c>
      <c r="G369" s="16" t="inlineStr">
        <is>
          <t>EUROCHEM SERRA DO SALITRE</t>
        </is>
      </c>
      <c r="H369" s="63" t="n">
        <v>2025</v>
      </c>
      <c r="I369" s="64" t="n">
        <v>6</v>
      </c>
      <c r="J369" s="16" t="inlineStr">
        <is>
          <t>Jun</t>
        </is>
      </c>
      <c r="K369" s="16" t="n"/>
      <c r="M369" s="89" t="n">
        <v>-1840</v>
      </c>
      <c r="N369" s="1" t="inlineStr">
        <is>
          <t>MANUTENÇÃO/PEÇAS MAQUINAS E EQUIPAMENTOS</t>
        </is>
      </c>
      <c r="O369" s="1" t="inlineStr">
        <is>
          <t>Despesas com Máquinas e Equipamentos</t>
        </is>
      </c>
      <c r="P369" s="1" t="inlineStr">
        <is>
          <t>(-)Gastos Fixos</t>
        </is>
      </c>
      <c r="Q369" s="1" t="n">
        <v>4</v>
      </c>
      <c r="R369" s="1" t="n">
        <v>2025</v>
      </c>
    </row>
    <row r="370">
      <c r="A370" s="61" t="n">
        <v>45819</v>
      </c>
      <c r="B370" s="16" t="inlineStr">
        <is>
          <t>275 - JAA COMPRESSORES LTDA</t>
        </is>
      </c>
      <c r="C370" s="90" t="n"/>
      <c r="D370" s="90" t="n">
        <v>1840</v>
      </c>
      <c r="E370" s="90" t="n">
        <v>-1840</v>
      </c>
      <c r="F370" s="16" t="inlineStr">
        <is>
          <t>8.14 - MANUTENÇÃO/PEÇAS MAQUINAS E EQUIPAMENTOS</t>
        </is>
      </c>
      <c r="G370" s="16" t="inlineStr">
        <is>
          <t>EUROCHEM SERRA DO SALITRE</t>
        </is>
      </c>
      <c r="H370" s="63" t="n">
        <v>2025</v>
      </c>
      <c r="I370" s="64" t="n">
        <v>6</v>
      </c>
      <c r="J370" s="16" t="inlineStr">
        <is>
          <t>Jun</t>
        </is>
      </c>
      <c r="K370" s="16" t="n"/>
      <c r="M370" s="89" t="n">
        <v>-1840</v>
      </c>
      <c r="N370" s="1" t="inlineStr">
        <is>
          <t>MANUTENÇÃO/PEÇAS MAQUINAS E EQUIPAMENTOS</t>
        </is>
      </c>
      <c r="O370" s="1" t="inlineStr">
        <is>
          <t>Despesas com Máquinas e Equipamentos</t>
        </is>
      </c>
      <c r="P370" s="1" t="inlineStr">
        <is>
          <t>(-)Gastos Fixos</t>
        </is>
      </c>
      <c r="Q370" s="1" t="n">
        <v>4</v>
      </c>
      <c r="R370" s="1" t="n">
        <v>2025</v>
      </c>
    </row>
    <row r="371">
      <c r="A371" s="61" t="n">
        <v>45819</v>
      </c>
      <c r="B371" s="16" t="inlineStr">
        <is>
          <t>FERRAGISTA OBRAS</t>
        </is>
      </c>
      <c r="C371" s="90" t="n"/>
      <c r="D371" s="90" t="n">
        <v>120</v>
      </c>
      <c r="E371" s="90" t="n">
        <v>-120</v>
      </c>
      <c r="F371" t="inlineStr">
        <is>
          <t>8.10 - MATERIAS DE ESCRITORIO</t>
        </is>
      </c>
      <c r="G371" s="16" t="inlineStr">
        <is>
          <t>ADMINISTRATIVO</t>
        </is>
      </c>
      <c r="H371" s="63" t="n">
        <v>2025</v>
      </c>
      <c r="I371" s="64" t="n">
        <v>6</v>
      </c>
      <c r="J371" s="16" t="inlineStr">
        <is>
          <t>Jun</t>
        </is>
      </c>
      <c r="K371" s="16" t="n"/>
      <c r="M371" s="89" t="n">
        <v>-120</v>
      </c>
      <c r="N371" s="1" t="inlineStr">
        <is>
          <t>MATERIAS DE ESCRITORIO / PAPELARIA</t>
        </is>
      </c>
      <c r="O371" s="1" t="inlineStr">
        <is>
          <t>Despesas Administrativas</t>
        </is>
      </c>
      <c r="P371" s="1" t="inlineStr">
        <is>
          <t>(-)Gastos Fixos</t>
        </is>
      </c>
      <c r="Q371" s="1" t="n">
        <v>4</v>
      </c>
      <c r="R371" s="1" t="n">
        <v>2025</v>
      </c>
    </row>
    <row r="372">
      <c r="A372" s="61" t="n">
        <v>45819</v>
      </c>
      <c r="B372" s="16" t="inlineStr">
        <is>
          <t>92193 - JOTUN BRASIL IMP. EXP. E INDUSTRIAL</t>
        </is>
      </c>
      <c r="C372" s="90" t="n"/>
      <c r="D372" s="90" t="n">
        <v>23560.44</v>
      </c>
      <c r="E372" s="90" t="n">
        <v>-23560.44</v>
      </c>
      <c r="F372" s="16" t="inlineStr">
        <is>
          <t>4.1 - TINTAS E SOLVENTES</t>
        </is>
      </c>
      <c r="G372" s="16" t="inlineStr">
        <is>
          <t>VLI PINTURA</t>
        </is>
      </c>
      <c r="H372" s="63" t="n">
        <v>2025</v>
      </c>
      <c r="I372" s="64" t="n">
        <v>6</v>
      </c>
      <c r="J372" s="16" t="inlineStr">
        <is>
          <t>Jun</t>
        </is>
      </c>
      <c r="K372" s="16" t="n"/>
      <c r="M372" s="89" t="n">
        <v>-23560.44</v>
      </c>
      <c r="N372" s="1" t="inlineStr">
        <is>
          <t>TINTAS E SOLVENTES</t>
        </is>
      </c>
      <c r="O372" s="1" t="inlineStr">
        <is>
          <t>Fornecedores</t>
        </is>
      </c>
      <c r="P372" s="1" t="inlineStr">
        <is>
          <t>(-)Custos Variavéis</t>
        </is>
      </c>
      <c r="Q372" s="1" t="n">
        <v>3</v>
      </c>
      <c r="R372" s="1" t="n">
        <v>2025</v>
      </c>
    </row>
    <row r="373">
      <c r="A373" s="61" t="n">
        <v>45819</v>
      </c>
      <c r="B373" s="16" t="inlineStr">
        <is>
          <t>92193 - JOTUN BRASIL IMP. EXP. E INDUSTRIAL</t>
        </is>
      </c>
      <c r="C373" s="90" t="n"/>
      <c r="D373" s="90" t="n">
        <v>23560.44</v>
      </c>
      <c r="E373" s="90" t="n">
        <v>-23560.44</v>
      </c>
      <c r="F373" s="16" t="inlineStr">
        <is>
          <t>4.1 - TINTAS E SOLVENTES</t>
        </is>
      </c>
      <c r="G373" s="16" t="inlineStr">
        <is>
          <t>VLI PINTURA</t>
        </is>
      </c>
      <c r="H373" s="63" t="n">
        <v>2025</v>
      </c>
      <c r="I373" s="64" t="n">
        <v>6</v>
      </c>
      <c r="J373" s="16" t="inlineStr">
        <is>
          <t>Jun</t>
        </is>
      </c>
      <c r="K373" s="16" t="n"/>
      <c r="M373" s="89" t="n">
        <v>-23560.44</v>
      </c>
      <c r="N373" s="1" t="inlineStr">
        <is>
          <t>TINTAS E SOLVENTES</t>
        </is>
      </c>
      <c r="O373" s="1" t="inlineStr">
        <is>
          <t>Fornecedores</t>
        </is>
      </c>
      <c r="P373" s="1" t="inlineStr">
        <is>
          <t>(-)Custos Variavéis</t>
        </is>
      </c>
      <c r="Q373" s="1" t="n">
        <v>3</v>
      </c>
      <c r="R373" s="1" t="n">
        <v>2025</v>
      </c>
    </row>
    <row r="374">
      <c r="A374" s="61" t="n">
        <v>45819</v>
      </c>
      <c r="B374" s="16" t="inlineStr">
        <is>
          <t>92193 - JOTUN BRASIL IMP. EXP. E INDUSTRIAL</t>
        </is>
      </c>
      <c r="C374" s="90" t="n"/>
      <c r="D374" s="90" t="n">
        <v>23560.45</v>
      </c>
      <c r="E374" s="90" t="n">
        <v>-23560.45</v>
      </c>
      <c r="F374" s="16" t="inlineStr">
        <is>
          <t>4.1 - TINTAS E SOLVENTES</t>
        </is>
      </c>
      <c r="G374" s="16" t="inlineStr">
        <is>
          <t>VLI PINTURA</t>
        </is>
      </c>
      <c r="H374" s="63" t="n">
        <v>2025</v>
      </c>
      <c r="I374" s="64" t="n">
        <v>6</v>
      </c>
      <c r="J374" s="16" t="inlineStr">
        <is>
          <t>Jun</t>
        </is>
      </c>
      <c r="K374" s="16" t="n"/>
      <c r="M374" s="89" t="n">
        <v>-23560.45</v>
      </c>
      <c r="N374" s="1" t="inlineStr">
        <is>
          <t>TINTAS E SOLVENTES</t>
        </is>
      </c>
      <c r="O374" s="1" t="inlineStr">
        <is>
          <t>Fornecedores</t>
        </is>
      </c>
      <c r="P374" s="1" t="inlineStr">
        <is>
          <t>(-)Custos Variavéis</t>
        </is>
      </c>
      <c r="Q374" s="1" t="n">
        <v>3</v>
      </c>
      <c r="R374" s="1" t="n">
        <v>2025</v>
      </c>
    </row>
    <row r="375">
      <c r="A375" s="61" t="n">
        <v>45819</v>
      </c>
      <c r="B375" s="16" t="inlineStr">
        <is>
          <t>193822 - CONNECT INF. E TECNOLOGIA</t>
        </is>
      </c>
      <c r="C375" s="90" t="n"/>
      <c r="D375" s="90" t="n">
        <v>1138.9</v>
      </c>
      <c r="E375" s="90" t="n">
        <v>-1138.9</v>
      </c>
      <c r="F375" s="16" t="inlineStr">
        <is>
          <t>3.4 - SERVIÇO SERASA</t>
        </is>
      </c>
      <c r="G375" s="16" t="inlineStr">
        <is>
          <t>ADMINISTRATIVO</t>
        </is>
      </c>
      <c r="H375" s="63" t="n">
        <v>2025</v>
      </c>
      <c r="I375" s="64" t="n">
        <v>6</v>
      </c>
      <c r="J375" s="16" t="inlineStr">
        <is>
          <t>Jun</t>
        </is>
      </c>
      <c r="K375" s="16" t="n"/>
      <c r="M375" s="89" t="n">
        <v>-1138.9</v>
      </c>
      <c r="N375" s="1" t="inlineStr">
        <is>
          <t>SERVIÇO SERASA</t>
        </is>
      </c>
      <c r="O375" s="1" t="inlineStr">
        <is>
          <t>Despesas Administrativas</t>
        </is>
      </c>
      <c r="P375" s="1" t="inlineStr">
        <is>
          <t>(-)Gastos Fixos</t>
        </is>
      </c>
      <c r="Q375" s="1" t="n">
        <v>4</v>
      </c>
      <c r="R375" s="1" t="n">
        <v>2025</v>
      </c>
    </row>
    <row r="376">
      <c r="A376" s="61" t="n">
        <v>45819</v>
      </c>
      <c r="B376" s="16" t="inlineStr">
        <is>
          <t>LAVA JATO OBRAS</t>
        </is>
      </c>
      <c r="C376" s="90" t="n"/>
      <c r="D376" s="90" t="n">
        <v>105</v>
      </c>
      <c r="E376" s="90" t="n">
        <v>-105</v>
      </c>
      <c r="F376" s="16" t="inlineStr">
        <is>
          <t>6.10 - SERVIÇO LAVA JATO</t>
        </is>
      </c>
      <c r="G376" s="16" t="inlineStr">
        <is>
          <t>ADMINISTRATIVO</t>
        </is>
      </c>
      <c r="H376" s="63" t="n">
        <v>2025</v>
      </c>
      <c r="I376" s="64" t="n">
        <v>6</v>
      </c>
      <c r="J376" s="16" t="inlineStr">
        <is>
          <t>Jun</t>
        </is>
      </c>
      <c r="K376" s="16" t="n"/>
      <c r="M376" s="89" t="n">
        <v>-105</v>
      </c>
      <c r="N376" s="1" t="inlineStr">
        <is>
          <t>SERVIÇO LAVA JATO</t>
        </is>
      </c>
      <c r="O376" s="1" t="inlineStr">
        <is>
          <t>Despesas com Veículos e Equipamentos</t>
        </is>
      </c>
      <c r="P376" s="1" t="inlineStr">
        <is>
          <t>(-)Gastos Fixos</t>
        </is>
      </c>
      <c r="Q376" s="1" t="n">
        <v>4</v>
      </c>
      <c r="R376" s="1" t="n">
        <v>2025</v>
      </c>
    </row>
    <row r="377">
      <c r="A377" s="61" t="n">
        <v>45819</v>
      </c>
      <c r="B377" s="16" t="inlineStr">
        <is>
          <t>DESPESAS DE VIAGEM</t>
        </is>
      </c>
      <c r="C377" s="90" t="n"/>
      <c r="D377" s="90" t="n">
        <v>73.14285700000001</v>
      </c>
      <c r="E377" s="90" t="n">
        <v>-73.14285700000001</v>
      </c>
      <c r="F377" s="16" t="inlineStr">
        <is>
          <t>12.5 - REFEIÇÕES FUNCIONARIOS</t>
        </is>
      </c>
      <c r="G377" s="16" t="inlineStr">
        <is>
          <t>VLI PINTURA</t>
        </is>
      </c>
      <c r="H377" s="63" t="n">
        <v>2025</v>
      </c>
      <c r="I377" s="64" t="n">
        <v>6</v>
      </c>
      <c r="J377" s="16" t="inlineStr">
        <is>
          <t>Jun</t>
        </is>
      </c>
      <c r="K377" s="16" t="n"/>
      <c r="M377" s="89" t="n">
        <v>-73.14285700000001</v>
      </c>
      <c r="N377" s="1" t="inlineStr">
        <is>
          <t>12.5 - REFEIÇÕES FUNCIONARIOS</t>
        </is>
      </c>
      <c r="O377" s="1" t="n"/>
      <c r="P377" s="1" t="n"/>
      <c r="Q377" s="1" t="n"/>
      <c r="R377" s="1" t="n">
        <v>2025</v>
      </c>
    </row>
    <row r="378">
      <c r="A378" s="61" t="n">
        <v>45819</v>
      </c>
      <c r="B378" s="16" t="inlineStr">
        <is>
          <t>DESPESAS DE VIAGEM</t>
        </is>
      </c>
      <c r="C378" s="90" t="n"/>
      <c r="D378" s="90" t="n">
        <v>86.85714299999999</v>
      </c>
      <c r="E378" s="90" t="n">
        <v>-86.85714299999999</v>
      </c>
      <c r="F378" s="16" t="inlineStr">
        <is>
          <t>12.9 - PASSAGENS FUNCIONARIOS</t>
        </is>
      </c>
      <c r="G378" s="16" t="inlineStr">
        <is>
          <t>VLI PINTURA</t>
        </is>
      </c>
      <c r="H378" s="63" t="n">
        <v>2025</v>
      </c>
      <c r="I378" s="64" t="n">
        <v>6</v>
      </c>
      <c r="J378" s="16" t="inlineStr">
        <is>
          <t>Jun</t>
        </is>
      </c>
      <c r="K378" s="16" t="n"/>
      <c r="M378" s="89" t="n">
        <v>-86.85714299999999</v>
      </c>
      <c r="N378" s="1" t="inlineStr">
        <is>
          <t>12.9 - PASSAGENS FUNCIONARIOS</t>
        </is>
      </c>
      <c r="O378" s="1" t="n"/>
      <c r="P378" s="1" t="n"/>
      <c r="Q378" s="1" t="n"/>
      <c r="R378" s="1" t="n">
        <v>2025</v>
      </c>
    </row>
    <row r="379">
      <c r="A379" s="61" t="n">
        <v>45819</v>
      </c>
      <c r="B379" s="16" t="inlineStr">
        <is>
          <t>DESPESAS DE VIAGEM</t>
        </is>
      </c>
      <c r="C379" s="90" t="n"/>
      <c r="D379" s="90" t="n">
        <v>192</v>
      </c>
      <c r="E379" s="90" t="n">
        <v>-192</v>
      </c>
      <c r="F379" s="16" t="inlineStr">
        <is>
          <t>12.5 - REFEIÇÕES FUNCIONARIOS</t>
        </is>
      </c>
      <c r="G379" s="16" t="inlineStr">
        <is>
          <t>MOSAIC ARAXA</t>
        </is>
      </c>
      <c r="H379" s="63" t="n">
        <v>2025</v>
      </c>
      <c r="I379" s="64" t="n">
        <v>6</v>
      </c>
      <c r="J379" s="16" t="inlineStr">
        <is>
          <t>Jun</t>
        </is>
      </c>
      <c r="K379" s="16" t="n"/>
      <c r="M379" s="89" t="n">
        <v>-192</v>
      </c>
      <c r="N379" s="1" t="inlineStr">
        <is>
          <t>12.5 - REFEIÇÕES FUNCIONARIOS</t>
        </is>
      </c>
      <c r="O379" s="1" t="n"/>
      <c r="P379" s="1" t="n"/>
      <c r="Q379" s="1" t="n"/>
      <c r="R379" s="1" t="n">
        <v>2025</v>
      </c>
    </row>
    <row r="380">
      <c r="A380" s="61" t="n">
        <v>45819</v>
      </c>
      <c r="B380" s="16" t="inlineStr">
        <is>
          <t>DESPESAS DE VIAGEM</t>
        </is>
      </c>
      <c r="C380" s="90" t="n"/>
      <c r="D380" s="90" t="n">
        <v>228</v>
      </c>
      <c r="E380" s="90" t="n">
        <v>-228</v>
      </c>
      <c r="F380" s="16" t="inlineStr">
        <is>
          <t>12.9 - PASSAGENS FUNCIONARIOS</t>
        </is>
      </c>
      <c r="G380" s="16" t="inlineStr">
        <is>
          <t>MOSAIC ARAXA</t>
        </is>
      </c>
      <c r="H380" s="63" t="n">
        <v>2025</v>
      </c>
      <c r="I380" s="64" t="n">
        <v>6</v>
      </c>
      <c r="J380" s="16" t="inlineStr">
        <is>
          <t>Jun</t>
        </is>
      </c>
      <c r="K380" s="16" t="n"/>
      <c r="M380" s="89" t="n">
        <v>-228</v>
      </c>
      <c r="N380" s="1" t="inlineStr">
        <is>
          <t>12.9 - PASSAGENS FUNCIONARIOS</t>
        </is>
      </c>
      <c r="O380" s="1" t="n"/>
      <c r="P380" s="1" t="n"/>
      <c r="Q380" s="1" t="n"/>
      <c r="R380" s="1" t="n">
        <v>2025</v>
      </c>
    </row>
    <row r="381">
      <c r="A381" s="61" t="n">
        <v>45819</v>
      </c>
      <c r="B381" s="16" t="inlineStr">
        <is>
          <t>DESPESAS DE VIAGEM</t>
        </is>
      </c>
      <c r="C381" s="90" t="n"/>
      <c r="D381" s="90" t="n">
        <v>169.142857</v>
      </c>
      <c r="E381" s="90" t="n">
        <v>-169.142857</v>
      </c>
      <c r="F381" s="16" t="inlineStr">
        <is>
          <t>12.5 - REFEIÇÕES FUNCIONARIOS</t>
        </is>
      </c>
      <c r="G381" s="16" t="inlineStr">
        <is>
          <t>MOSAIC UBERABA CONTRAT0 3 ANOS</t>
        </is>
      </c>
      <c r="H381" s="63" t="n">
        <v>2025</v>
      </c>
      <c r="I381" s="64" t="n">
        <v>6</v>
      </c>
      <c r="J381" s="16" t="inlineStr">
        <is>
          <t>Jun</t>
        </is>
      </c>
      <c r="K381" s="16" t="n"/>
      <c r="M381" s="89" t="n">
        <v>-169.142857</v>
      </c>
      <c r="N381" s="1" t="inlineStr">
        <is>
          <t>12.5 - REFEIÇÕES FUNCIONARIOS</t>
        </is>
      </c>
      <c r="O381" s="1" t="n"/>
      <c r="P381" s="1" t="n"/>
      <c r="Q381" s="1" t="n"/>
      <c r="R381" s="1" t="n">
        <v>2025</v>
      </c>
    </row>
    <row r="382">
      <c r="A382" s="61" t="n">
        <v>45819</v>
      </c>
      <c r="B382" s="16" t="inlineStr">
        <is>
          <t>DESPESAS DE VIAGEM</t>
        </is>
      </c>
      <c r="C382" s="90" t="n"/>
      <c r="D382" s="90" t="n">
        <v>200.857143</v>
      </c>
      <c r="E382" s="90" t="n">
        <v>-200.857143</v>
      </c>
      <c r="F382" s="16" t="inlineStr">
        <is>
          <t>12.9 - PASSAGENS FUNCIONARIOS</t>
        </is>
      </c>
      <c r="G382" s="16" t="inlineStr">
        <is>
          <t>MOSAIC UBERABA CONTRAT0 3 ANOS</t>
        </is>
      </c>
      <c r="H382" s="63" t="n">
        <v>2025</v>
      </c>
      <c r="I382" s="64" t="n">
        <v>6</v>
      </c>
      <c r="J382" s="16" t="inlineStr">
        <is>
          <t>Jun</t>
        </is>
      </c>
      <c r="K382" s="16" t="n"/>
      <c r="M382" s="89" t="n">
        <v>-200.857143</v>
      </c>
      <c r="N382" s="1" t="inlineStr">
        <is>
          <t>12.9 - PASSAGENS FUNCIONARIOS</t>
        </is>
      </c>
      <c r="O382" s="1" t="n"/>
      <c r="P382" s="1" t="n"/>
      <c r="Q382" s="1" t="n"/>
      <c r="R382" s="1" t="n">
        <v>2025</v>
      </c>
    </row>
    <row r="383">
      <c r="A383" s="61" t="n">
        <v>45819</v>
      </c>
      <c r="B383" s="16" t="inlineStr">
        <is>
          <t>DESPESAS DE VIAGEM</t>
        </is>
      </c>
      <c r="C383" s="90" t="n"/>
      <c r="D383" s="90" t="n">
        <v>73.14285700000001</v>
      </c>
      <c r="E383" s="90" t="n">
        <v>-73.14285700000001</v>
      </c>
      <c r="F383" s="16" t="inlineStr">
        <is>
          <t>12.5 - REFEIÇÕES FUNCIONARIOS</t>
        </is>
      </c>
      <c r="G383" s="16" t="inlineStr">
        <is>
          <t>EUROCHEM SERRA DO SALITRE</t>
        </is>
      </c>
      <c r="H383" s="63" t="n">
        <v>2025</v>
      </c>
      <c r="I383" s="64" t="n">
        <v>6</v>
      </c>
      <c r="J383" s="16" t="inlineStr">
        <is>
          <t>Jun</t>
        </is>
      </c>
      <c r="K383" s="16" t="n"/>
      <c r="M383" s="89" t="n">
        <v>-73.14285700000001</v>
      </c>
      <c r="N383" s="1" t="inlineStr">
        <is>
          <t>12.5 - REFEIÇÕES FUNCIONARIOS</t>
        </is>
      </c>
      <c r="O383" s="1" t="n"/>
      <c r="P383" s="1" t="n"/>
      <c r="Q383" s="1" t="n"/>
      <c r="R383" s="1" t="n">
        <v>2025</v>
      </c>
    </row>
    <row r="384">
      <c r="A384" s="61" t="n">
        <v>45819</v>
      </c>
      <c r="B384" s="16" t="inlineStr">
        <is>
          <t>DESPESAS DE VIAGEM</t>
        </is>
      </c>
      <c r="C384" s="90" t="n"/>
      <c r="D384" s="90" t="n">
        <v>86.85714299999999</v>
      </c>
      <c r="E384" s="90" t="n">
        <v>-86.85714299999999</v>
      </c>
      <c r="F384" s="16" t="inlineStr">
        <is>
          <t>12.9 - PASSAGENS FUNCIONARIOS</t>
        </is>
      </c>
      <c r="G384" s="16" t="inlineStr">
        <is>
          <t>EUROCHEM SERRA DO SALITRE</t>
        </is>
      </c>
      <c r="H384" s="63" t="n">
        <v>2025</v>
      </c>
      <c r="I384" s="64" t="n">
        <v>6</v>
      </c>
      <c r="J384" s="16" t="inlineStr">
        <is>
          <t>Jun</t>
        </is>
      </c>
      <c r="K384" s="16" t="n"/>
      <c r="M384" s="89" t="n">
        <v>-86.85714299999999</v>
      </c>
      <c r="N384" s="1" t="inlineStr">
        <is>
          <t>12.9 - PASSAGENS FUNCIONARIOS</t>
        </is>
      </c>
      <c r="O384" s="1" t="n"/>
      <c r="P384" s="1" t="n"/>
      <c r="Q384" s="1" t="n"/>
      <c r="R384" s="1" t="n">
        <v>2025</v>
      </c>
    </row>
    <row r="385">
      <c r="A385" s="61" t="n">
        <v>45819</v>
      </c>
      <c r="B385" s="16" t="inlineStr">
        <is>
          <t>DESPESAS DE VIAGEM</t>
        </is>
      </c>
      <c r="C385" s="90" t="n"/>
      <c r="D385" s="90" t="n">
        <v>859.428571</v>
      </c>
      <c r="E385" s="90" t="n">
        <v>-859.428571</v>
      </c>
      <c r="F385" s="16" t="inlineStr">
        <is>
          <t>12.5 - REFEIÇÕES FUNCIONARIOS</t>
        </is>
      </c>
      <c r="G385" s="16" t="inlineStr">
        <is>
          <t>SERENA 21 TORRES 2024</t>
        </is>
      </c>
      <c r="H385" s="63" t="n">
        <v>2025</v>
      </c>
      <c r="I385" s="64" t="n">
        <v>6</v>
      </c>
      <c r="J385" s="16" t="inlineStr">
        <is>
          <t>Jun</t>
        </is>
      </c>
      <c r="K385" s="16" t="n"/>
      <c r="M385" s="89" t="n">
        <v>-859.428571</v>
      </c>
      <c r="N385" s="1" t="inlineStr">
        <is>
          <t>12.5 - REFEIÇÕES FUNCIONARIOS</t>
        </is>
      </c>
      <c r="O385" s="1" t="n"/>
      <c r="P385" s="1" t="n"/>
      <c r="Q385" s="1" t="n"/>
      <c r="R385" s="1" t="n">
        <v>2025</v>
      </c>
    </row>
    <row r="386">
      <c r="A386" s="61" t="n">
        <v>45819</v>
      </c>
      <c r="B386" s="16" t="inlineStr">
        <is>
          <t>DESPESAS DE VIAGEM</t>
        </is>
      </c>
      <c r="C386" s="90" t="n"/>
      <c r="D386" s="90" t="n">
        <v>1020.571428</v>
      </c>
      <c r="E386" s="90" t="n">
        <v>-1020.571428</v>
      </c>
      <c r="F386" s="16" t="inlineStr">
        <is>
          <t>12.9 - PASSAGENS FUNCIONARIOS</t>
        </is>
      </c>
      <c r="G386" s="16" t="inlineStr">
        <is>
          <t>SERENA 21 TORRES 2024</t>
        </is>
      </c>
      <c r="H386" s="63" t="n">
        <v>2025</v>
      </c>
      <c r="I386" s="64" t="n">
        <v>6</v>
      </c>
      <c r="J386" s="16" t="inlineStr">
        <is>
          <t>Jun</t>
        </is>
      </c>
      <c r="K386" s="16" t="n"/>
      <c r="M386" s="89" t="n">
        <v>-1020.571428</v>
      </c>
      <c r="N386" s="1" t="inlineStr">
        <is>
          <t>12.9 - PASSAGENS FUNCIONARIOS</t>
        </is>
      </c>
      <c r="O386" s="1" t="n"/>
      <c r="P386" s="1" t="n"/>
      <c r="Q386" s="1" t="n"/>
      <c r="R386" s="1" t="n">
        <v>2025</v>
      </c>
    </row>
    <row r="387">
      <c r="A387" s="61" t="n">
        <v>45819</v>
      </c>
      <c r="B387" s="16" t="inlineStr">
        <is>
          <t>DESPESAS DE VIAGEM</t>
        </is>
      </c>
      <c r="C387" s="90" t="n"/>
      <c r="D387" s="90" t="n">
        <v>73.14285700000001</v>
      </c>
      <c r="E387" s="90" t="n">
        <v>-73.14285700000001</v>
      </c>
      <c r="F387" s="16" t="inlineStr">
        <is>
          <t>12.5 - REFEIÇÕES FUNCIONARIOS</t>
        </is>
      </c>
      <c r="G387" s="16" t="inlineStr">
        <is>
          <t>NIOBIO CMOC CONTRATO</t>
        </is>
      </c>
      <c r="H387" s="63" t="n">
        <v>2025</v>
      </c>
      <c r="I387" s="64" t="n">
        <v>6</v>
      </c>
      <c r="J387" s="16" t="inlineStr">
        <is>
          <t>Jun</t>
        </is>
      </c>
      <c r="K387" s="16" t="n"/>
      <c r="M387" s="89" t="n">
        <v>-73.14285700000001</v>
      </c>
      <c r="N387" s="1" t="inlineStr">
        <is>
          <t>12.5 - REFEIÇÕES FUNCIONARIOS</t>
        </is>
      </c>
      <c r="O387" s="1" t="n"/>
      <c r="P387" s="1" t="n"/>
      <c r="Q387" s="1" t="n"/>
      <c r="R387" s="1" t="n">
        <v>2025</v>
      </c>
    </row>
    <row r="388">
      <c r="A388" s="61" t="n">
        <v>45819</v>
      </c>
      <c r="B388" s="16" t="inlineStr">
        <is>
          <t>DESPESAS DE VIAGEM</t>
        </is>
      </c>
      <c r="C388" s="90" t="n"/>
      <c r="D388" s="90" t="n">
        <v>86.85714299999999</v>
      </c>
      <c r="E388" s="90" t="n">
        <v>-86.85714299999999</v>
      </c>
      <c r="F388" s="16" t="inlineStr">
        <is>
          <t>12.9 - PASSAGENS FUNCIONARIOS</t>
        </is>
      </c>
      <c r="G388" s="16" t="inlineStr">
        <is>
          <t>NIOBIO CMOC CONTRATO</t>
        </is>
      </c>
      <c r="H388" s="63" t="n">
        <v>2025</v>
      </c>
      <c r="I388" s="64" t="n">
        <v>6</v>
      </c>
      <c r="J388" s="16" t="inlineStr">
        <is>
          <t>Jun</t>
        </is>
      </c>
      <c r="K388" s="16" t="n"/>
      <c r="M388" s="89" t="n">
        <v>-86.85714299999999</v>
      </c>
      <c r="N388" s="1" t="inlineStr">
        <is>
          <t>12.9 - PASSAGENS FUNCIONARIOS</t>
        </is>
      </c>
      <c r="O388" s="1" t="n"/>
      <c r="P388" s="1" t="n"/>
      <c r="Q388" s="1" t="n"/>
      <c r="R388" s="1" t="n">
        <v>2025</v>
      </c>
    </row>
    <row r="389">
      <c r="A389" s="61" t="n">
        <v>45819</v>
      </c>
      <c r="B389" s="16" t="inlineStr">
        <is>
          <t>RODOVIARIA MATEUS CABEÇA BRANCA</t>
        </is>
      </c>
      <c r="C389" s="90" t="n"/>
      <c r="D389" s="90" t="n">
        <v>543.1799999999999</v>
      </c>
      <c r="E389" s="90" t="n">
        <v>-543.1799999999999</v>
      </c>
      <c r="F389" s="16" t="inlineStr">
        <is>
          <t>12.9 - PASSAGENS FUNCIONARIOS</t>
        </is>
      </c>
      <c r="G389" s="16" t="inlineStr">
        <is>
          <t>FOSFATO CMOC CONTRAT</t>
        </is>
      </c>
      <c r="H389" s="63" t="n">
        <v>2025</v>
      </c>
      <c r="I389" s="64" t="n">
        <v>6</v>
      </c>
      <c r="J389" s="16" t="inlineStr">
        <is>
          <t>Jun</t>
        </is>
      </c>
      <c r="K389" s="16" t="n"/>
      <c r="M389" s="89" t="n">
        <v>-543.1799999999999</v>
      </c>
      <c r="N389" s="1" t="inlineStr">
        <is>
          <t>12.9 - PASSAGENS FUNCIONARIOS</t>
        </is>
      </c>
      <c r="O389" s="1" t="n"/>
      <c r="P389" s="1" t="n"/>
      <c r="Q389" s="1" t="n"/>
      <c r="R389" s="1" t="n">
        <v>2025</v>
      </c>
    </row>
    <row r="390">
      <c r="A390" s="61" t="n">
        <v>45819</v>
      </c>
      <c r="B390" s="16" t="inlineStr">
        <is>
          <t>RODOVIARIA MATEUS CABEÇA BRANCA</t>
        </is>
      </c>
      <c r="C390" s="90" t="n"/>
      <c r="D390" s="90" t="n">
        <v>495.88</v>
      </c>
      <c r="E390" s="90" t="n">
        <v>-495.88</v>
      </c>
      <c r="F390" s="16" t="inlineStr">
        <is>
          <t>12.9 - PASSAGENS FUNCIONARIOS</t>
        </is>
      </c>
      <c r="G390" s="16" t="inlineStr">
        <is>
          <t>NIOBIO CMOC CONTRATO</t>
        </is>
      </c>
      <c r="H390" s="63" t="n">
        <v>2025</v>
      </c>
      <c r="I390" s="64" t="n">
        <v>6</v>
      </c>
      <c r="J390" s="16" t="inlineStr">
        <is>
          <t>Jun</t>
        </is>
      </c>
      <c r="K390" s="16" t="n"/>
      <c r="M390" s="89" t="n">
        <v>-495.88</v>
      </c>
      <c r="N390" s="1" t="inlineStr">
        <is>
          <t>12.9 - PASSAGENS FUNCIONARIOS</t>
        </is>
      </c>
      <c r="O390" s="1" t="n"/>
      <c r="P390" s="1" t="n"/>
      <c r="Q390" s="1" t="n"/>
      <c r="R390" s="1" t="n">
        <v>2025</v>
      </c>
    </row>
    <row r="391">
      <c r="A391" s="61" t="n">
        <v>45819</v>
      </c>
      <c r="B391" s="16" t="inlineStr">
        <is>
          <t>FERRAGISTA OBRAS</t>
        </is>
      </c>
      <c r="C391" s="90" t="n"/>
      <c r="D391" s="90" t="n">
        <v>371</v>
      </c>
      <c r="E391" s="90" t="n">
        <v>-371</v>
      </c>
      <c r="F391" s="16" t="inlineStr">
        <is>
          <t>8.6 - MANGUEIRAS / CONEXÕES</t>
        </is>
      </c>
      <c r="G391" s="16" t="inlineStr">
        <is>
          <t>EUROCHEM SERRA DO SALITRE</t>
        </is>
      </c>
      <c r="H391" s="63" t="n">
        <v>2025</v>
      </c>
      <c r="I391" s="64" t="n">
        <v>6</v>
      </c>
      <c r="J391" s="16" t="inlineStr">
        <is>
          <t>Jun</t>
        </is>
      </c>
      <c r="K391" s="16" t="n"/>
      <c r="M391" s="89" t="n">
        <v>-371</v>
      </c>
      <c r="N391" s="1" t="inlineStr">
        <is>
          <t>MANGUEIRAS / CONEXÕES</t>
        </is>
      </c>
      <c r="O391" s="1" t="inlineStr">
        <is>
          <t>Despesas com Máquinas e Equipamentos</t>
        </is>
      </c>
      <c r="P391" s="1" t="inlineStr">
        <is>
          <t>(-)Gastos Fixos</t>
        </is>
      </c>
      <c r="Q391" s="1" t="n">
        <v>4</v>
      </c>
      <c r="R391" s="1" t="n">
        <v>2025</v>
      </c>
    </row>
    <row r="392">
      <c r="A392" s="61" t="n">
        <v>45819</v>
      </c>
      <c r="B392" s="16" t="inlineStr">
        <is>
          <t>FERRAGISTA OBRAS</t>
        </is>
      </c>
      <c r="C392" s="90" t="n"/>
      <c r="D392" s="90" t="n">
        <v>119.8</v>
      </c>
      <c r="E392" s="90" t="n">
        <v>-119.8</v>
      </c>
      <c r="F392" s="16" t="inlineStr">
        <is>
          <t>8.4 - MAQUINAS / EQUIPAMENTOS</t>
        </is>
      </c>
      <c r="G392" s="16" t="inlineStr">
        <is>
          <t>CONDUTOS - ELETROBRAS</t>
        </is>
      </c>
      <c r="H392" s="63" t="n">
        <v>2025</v>
      </c>
      <c r="I392" s="64" t="n">
        <v>6</v>
      </c>
      <c r="J392" s="16" t="inlineStr">
        <is>
          <t>Jun</t>
        </is>
      </c>
      <c r="K392" s="16" t="n"/>
      <c r="M392" s="89" t="n">
        <v>-119.8</v>
      </c>
      <c r="N392" s="1" t="inlineStr">
        <is>
          <t>Aquisição de Maquinas e Equipamentos</t>
        </is>
      </c>
      <c r="O392" s="1" t="inlineStr">
        <is>
          <t>Investimentos</t>
        </is>
      </c>
      <c r="P392" s="1" t="inlineStr">
        <is>
          <t>(-)Investimentos</t>
        </is>
      </c>
      <c r="Q392" s="1" t="n">
        <v>8</v>
      </c>
      <c r="R392" s="1" t="n">
        <v>2025</v>
      </c>
    </row>
    <row r="393">
      <c r="A393" s="61" t="n">
        <v>45819</v>
      </c>
      <c r="B393" s="16" t="inlineStr">
        <is>
          <t>POSTO OBRAS</t>
        </is>
      </c>
      <c r="C393" s="90" t="n"/>
      <c r="D393" s="90" t="n">
        <v>186.3</v>
      </c>
      <c r="E393" s="90" t="n">
        <v>-186.3</v>
      </c>
      <c r="F393" s="16" t="inlineStr">
        <is>
          <t>6.4 - COMBUSTIVEL VEICULOS</t>
        </is>
      </c>
      <c r="G393" s="16" t="inlineStr">
        <is>
          <t>ADMINISTRATIVO</t>
        </is>
      </c>
      <c r="H393" s="63" t="n">
        <v>2025</v>
      </c>
      <c r="I393" s="64" t="n">
        <v>6</v>
      </c>
      <c r="J393" s="16" t="inlineStr">
        <is>
          <t>Jun</t>
        </is>
      </c>
      <c r="K393" s="16" t="n"/>
      <c r="M393" s="89" t="n">
        <v>-186.3</v>
      </c>
      <c r="N393" s="1" t="inlineStr">
        <is>
          <t>COMBUSTIVEL VEICULOS</t>
        </is>
      </c>
      <c r="O393" s="1" t="inlineStr">
        <is>
          <t>Despesas com Veículos e Equipamentos</t>
        </is>
      </c>
      <c r="P393" s="1" t="inlineStr">
        <is>
          <t>(-)Gastos Fixos</t>
        </is>
      </c>
      <c r="Q393" s="1" t="n">
        <v>4</v>
      </c>
      <c r="R393" s="1" t="n">
        <v>2025</v>
      </c>
    </row>
    <row r="394">
      <c r="A394" s="61" t="n">
        <v>45819</v>
      </c>
      <c r="B394" s="16" t="inlineStr">
        <is>
          <t>OI TELEFONIA</t>
        </is>
      </c>
      <c r="C394" s="90" t="n"/>
      <c r="D394" s="90" t="n">
        <v>143.9</v>
      </c>
      <c r="E394" s="90" t="n">
        <v>-143.9</v>
      </c>
      <c r="F394" s="16" t="inlineStr">
        <is>
          <t>11.6 - INTERNET / TELEFONE ADM</t>
        </is>
      </c>
      <c r="G394" s="16" t="inlineStr">
        <is>
          <t>ADMINISTRATIVO</t>
        </is>
      </c>
      <c r="H394" s="63" t="n">
        <v>2025</v>
      </c>
      <c r="I394" s="64" t="n">
        <v>6</v>
      </c>
      <c r="J394" s="16" t="inlineStr">
        <is>
          <t>Jun</t>
        </is>
      </c>
      <c r="K394" s="16" t="n"/>
      <c r="M394" s="89" t="n">
        <v>-143.9</v>
      </c>
      <c r="N394" s="1" t="inlineStr">
        <is>
          <t>INTERNET / TELEFONE ADM</t>
        </is>
      </c>
      <c r="O394" s="1" t="inlineStr">
        <is>
          <t>Despesas com Infraestrutura</t>
        </is>
      </c>
      <c r="P394" s="1" t="inlineStr">
        <is>
          <t>(-)Gastos Fixos</t>
        </is>
      </c>
      <c r="Q394" s="1" t="n">
        <v>4</v>
      </c>
      <c r="R394" s="1" t="n">
        <v>2025</v>
      </c>
    </row>
    <row r="395">
      <c r="A395" s="61" t="n">
        <v>45819</v>
      </c>
      <c r="B395" s="16" t="inlineStr">
        <is>
          <t>304 - JAA COMPRESSORES LTDA</t>
        </is>
      </c>
      <c r="C395" s="90" t="n"/>
      <c r="D395" s="90" t="n">
        <v>864</v>
      </c>
      <c r="E395" s="90" t="n">
        <v>-864</v>
      </c>
      <c r="F395" s="16" t="inlineStr">
        <is>
          <t>8.14 - MANUTENÇÃO/PEÇAS MAQUINAS E EQUIPAMENTOS</t>
        </is>
      </c>
      <c r="G395" s="16" t="inlineStr">
        <is>
          <t>EUROCHEM SERRA DO SALITRE</t>
        </is>
      </c>
      <c r="H395" s="63" t="n">
        <v>2025</v>
      </c>
      <c r="I395" s="64" t="n">
        <v>6</v>
      </c>
      <c r="J395" s="16" t="inlineStr">
        <is>
          <t>Jun</t>
        </is>
      </c>
      <c r="K395" s="16" t="n"/>
      <c r="M395" s="89" t="n">
        <v>-864</v>
      </c>
      <c r="N395" s="1" t="inlineStr">
        <is>
          <t>MANUTENÇÃO/PEÇAS MAQUINAS E EQUIPAMENTOS</t>
        </is>
      </c>
      <c r="O395" s="1" t="inlineStr">
        <is>
          <t>Despesas com Máquinas e Equipamentos</t>
        </is>
      </c>
      <c r="P395" s="1" t="inlineStr">
        <is>
          <t>(-)Gastos Fixos</t>
        </is>
      </c>
      <c r="Q395" s="1" t="n">
        <v>4</v>
      </c>
      <c r="R395" s="1" t="n">
        <v>2025</v>
      </c>
    </row>
    <row r="396">
      <c r="A396" s="61" t="n">
        <v>45819</v>
      </c>
      <c r="B396" s="16" t="inlineStr">
        <is>
          <t>304 - JAA COMPRESSORES LTDA</t>
        </is>
      </c>
      <c r="C396" s="90" t="n"/>
      <c r="D396" s="90" t="n">
        <v>900</v>
      </c>
      <c r="E396" s="90" t="n">
        <v>-900</v>
      </c>
      <c r="F396" s="16" t="inlineStr">
        <is>
          <t>8.14 - MANUTENÇÃO/PEÇAS MAQUINAS E EQUIPAMENTOS</t>
        </is>
      </c>
      <c r="G396" s="16" t="inlineStr">
        <is>
          <t>EUROCHEM SERRA DO SALITRE</t>
        </is>
      </c>
      <c r="H396" s="63" t="n">
        <v>2025</v>
      </c>
      <c r="I396" s="64" t="n">
        <v>6</v>
      </c>
      <c r="J396" s="16" t="inlineStr">
        <is>
          <t>Jun</t>
        </is>
      </c>
      <c r="K396" s="16" t="n"/>
      <c r="M396" s="89" t="n">
        <v>-900</v>
      </c>
      <c r="N396" s="1" t="inlineStr">
        <is>
          <t>MANUTENÇÃO/PEÇAS MAQUINAS E EQUIPAMENTOS</t>
        </is>
      </c>
      <c r="O396" s="1" t="inlineStr">
        <is>
          <t>Despesas com Máquinas e Equipamentos</t>
        </is>
      </c>
      <c r="P396" s="1" t="inlineStr">
        <is>
          <t>(-)Gastos Fixos</t>
        </is>
      </c>
      <c r="Q396" s="1" t="n">
        <v>4</v>
      </c>
      <c r="R396" s="1" t="n">
        <v>2025</v>
      </c>
    </row>
    <row r="397">
      <c r="A397" s="61" t="n">
        <v>45819</v>
      </c>
      <c r="B397" s="16" t="inlineStr">
        <is>
          <t>3111 - MM CLINICA MEDICA DE SERRA DO SALITRE</t>
        </is>
      </c>
      <c r="C397" s="90" t="n"/>
      <c r="D397" s="90" t="n">
        <v>1033</v>
      </c>
      <c r="E397" s="90" t="n">
        <v>-1033</v>
      </c>
      <c r="F397" s="16" t="inlineStr">
        <is>
          <t>14.1 - EXAMES</t>
        </is>
      </c>
      <c r="G397" s="16" t="inlineStr">
        <is>
          <t>EUROCHEM SERRA DO SALITRE</t>
        </is>
      </c>
      <c r="H397" s="63" t="n">
        <v>2025</v>
      </c>
      <c r="I397" s="64" t="n">
        <v>6</v>
      </c>
      <c r="J397" s="16" t="inlineStr">
        <is>
          <t>Jun</t>
        </is>
      </c>
      <c r="K397" s="16" t="n"/>
      <c r="M397" s="89" t="n">
        <v>-1033</v>
      </c>
      <c r="N397" s="1" t="inlineStr">
        <is>
          <t>EXAMES MÉDICOS</t>
        </is>
      </c>
      <c r="O397" s="1" t="inlineStr">
        <is>
          <t>Despesas com Pessoal</t>
        </is>
      </c>
      <c r="P397" s="1" t="inlineStr">
        <is>
          <t>(-)Gastos Fixos</t>
        </is>
      </c>
      <c r="Q397" s="1" t="n">
        <v>4</v>
      </c>
      <c r="R397" s="1" t="n">
        <v>2025</v>
      </c>
    </row>
    <row r="398">
      <c r="A398" s="61" t="n">
        <v>45819</v>
      </c>
      <c r="B398" s="16" t="inlineStr">
        <is>
          <t>16052 - QUALI TINTAS</t>
        </is>
      </c>
      <c r="C398" s="90" t="n"/>
      <c r="D398" s="90" t="n">
        <v>930</v>
      </c>
      <c r="E398" s="90" t="n">
        <v>-930</v>
      </c>
      <c r="F398" s="16" t="inlineStr">
        <is>
          <t>4.1 - TINTAS E SOLVENTES</t>
        </is>
      </c>
      <c r="G398" s="16" t="inlineStr">
        <is>
          <t>NIOBIO CMOC CONTRATO</t>
        </is>
      </c>
      <c r="H398" s="63" t="n">
        <v>2025</v>
      </c>
      <c r="I398" s="64" t="n">
        <v>6</v>
      </c>
      <c r="J398" s="16" t="inlineStr">
        <is>
          <t>Jun</t>
        </is>
      </c>
      <c r="K398" s="16" t="n"/>
      <c r="M398" s="89" t="n">
        <v>-930</v>
      </c>
      <c r="N398" s="1" t="inlineStr">
        <is>
          <t>TINTAS E SOLVENTES</t>
        </is>
      </c>
      <c r="O398" s="1" t="inlineStr">
        <is>
          <t>Fornecedores</t>
        </is>
      </c>
      <c r="P398" s="1" t="inlineStr">
        <is>
          <t>(-)Custos Variavéis</t>
        </is>
      </c>
      <c r="Q398" s="1" t="n">
        <v>3</v>
      </c>
      <c r="R398" s="1" t="n">
        <v>2025</v>
      </c>
    </row>
    <row r="399">
      <c r="A399" s="61" t="n">
        <v>45819</v>
      </c>
      <c r="B399" s="16" t="inlineStr">
        <is>
          <t>16052 - QUALI TINTAS</t>
        </is>
      </c>
      <c r="C399" s="90" t="n"/>
      <c r="D399" s="90" t="n">
        <v>930</v>
      </c>
      <c r="E399" s="90" t="n">
        <v>-930</v>
      </c>
      <c r="F399" s="16" t="inlineStr">
        <is>
          <t>4.1 - TINTAS E SOLVENTES</t>
        </is>
      </c>
      <c r="G399" s="16" t="inlineStr">
        <is>
          <t>NIOBIO CMOC CONTRATO</t>
        </is>
      </c>
      <c r="H399" s="63" t="n">
        <v>2025</v>
      </c>
      <c r="I399" s="64" t="n">
        <v>6</v>
      </c>
      <c r="J399" s="16" t="inlineStr">
        <is>
          <t>Jun</t>
        </is>
      </c>
      <c r="K399" s="16" t="n"/>
      <c r="M399" s="89" t="n">
        <v>-930</v>
      </c>
      <c r="N399" s="1" t="inlineStr">
        <is>
          <t>TINTAS E SOLVENTES</t>
        </is>
      </c>
      <c r="O399" s="1" t="inlineStr">
        <is>
          <t>Fornecedores</t>
        </is>
      </c>
      <c r="P399" s="1" t="inlineStr">
        <is>
          <t>(-)Custos Variavéis</t>
        </is>
      </c>
      <c r="Q399" s="1" t="n">
        <v>3</v>
      </c>
      <c r="R399" s="1" t="n">
        <v>2025</v>
      </c>
    </row>
    <row r="400">
      <c r="A400" s="61" t="n">
        <v>45819</v>
      </c>
      <c r="B400" s="16" t="inlineStr">
        <is>
          <t>19040 - BIRCK &amp; AMP ROCHA LTDA</t>
        </is>
      </c>
      <c r="C400" s="90" t="n"/>
      <c r="D400" s="90" t="n">
        <v>643</v>
      </c>
      <c r="E400" s="90" t="n">
        <v>-643</v>
      </c>
      <c r="F400" s="16" t="inlineStr">
        <is>
          <t>8.8 - MATERIAIS DE CONSUMO EM OBRAS</t>
        </is>
      </c>
      <c r="G400" s="16" t="inlineStr">
        <is>
          <t>NIOBIO CMOC CONTRATO</t>
        </is>
      </c>
      <c r="H400" s="63" t="n">
        <v>2025</v>
      </c>
      <c r="I400" s="64" t="n">
        <v>6</v>
      </c>
      <c r="J400" s="16" t="inlineStr">
        <is>
          <t>Jun</t>
        </is>
      </c>
      <c r="K400" s="16" t="n"/>
      <c r="M400" s="89" t="n">
        <v>-643</v>
      </c>
      <c r="N400" s="1" t="inlineStr">
        <is>
          <t>MATERIAIS DE CONSUMO EM OBRAS</t>
        </is>
      </c>
      <c r="O400" s="1" t="inlineStr">
        <is>
          <t>Despesas com Máquinas e Equipamentos</t>
        </is>
      </c>
      <c r="P400" s="1" t="inlineStr">
        <is>
          <t>(-)Gastos Fixos</t>
        </is>
      </c>
      <c r="Q400" s="1" t="n">
        <v>4</v>
      </c>
      <c r="R400" s="1" t="n">
        <v>2025</v>
      </c>
    </row>
    <row r="401">
      <c r="A401" s="61" t="n">
        <v>45819</v>
      </c>
      <c r="B401" s="16" t="inlineStr">
        <is>
          <t>20101 - GRAFIMIDIAS COMERCIO DE INFORMATICA LTDA</t>
        </is>
      </c>
      <c r="C401" s="90" t="n"/>
      <c r="D401" s="90" t="n">
        <v>72</v>
      </c>
      <c r="E401" s="90" t="n">
        <v>-72</v>
      </c>
      <c r="F401" s="16" t="inlineStr">
        <is>
          <t>3.16 - SERVIÇO PLOTAGEM / ADESIVO / PLACAS / CRACHAS</t>
        </is>
      </c>
      <c r="G401" s="16" t="inlineStr">
        <is>
          <t>VLI PINTURA</t>
        </is>
      </c>
      <c r="H401" s="63" t="n">
        <v>2025</v>
      </c>
      <c r="I401" s="64" t="n">
        <v>6</v>
      </c>
      <c r="J401" s="16" t="inlineStr">
        <is>
          <t>Jun</t>
        </is>
      </c>
      <c r="K401" s="16" t="n"/>
      <c r="M401" s="89" t="n">
        <v>-72</v>
      </c>
      <c r="N401" s="1" t="inlineStr">
        <is>
          <t>SERVIÇO PLOTAGEM / ADESIVO / PLACAS / CRACHAS</t>
        </is>
      </c>
      <c r="O401" s="1" t="inlineStr">
        <is>
          <t>Despesas Administrativas</t>
        </is>
      </c>
      <c r="P401" s="1" t="inlineStr">
        <is>
          <t>(-)Gastos Fixos</t>
        </is>
      </c>
      <c r="Q401" s="1" t="n">
        <v>4</v>
      </c>
      <c r="R401" s="1" t="n">
        <v>2025</v>
      </c>
    </row>
    <row r="402">
      <c r="A402" s="61" t="n">
        <v>45819</v>
      </c>
      <c r="B402" s="16" t="inlineStr">
        <is>
          <t>1027 - FARDAS EXPRESS LTDA</t>
        </is>
      </c>
      <c r="C402" s="90" t="n"/>
      <c r="D402" s="90" t="n">
        <v>793.331468</v>
      </c>
      <c r="E402" s="90" t="n">
        <v>-793.331468</v>
      </c>
      <c r="F402" s="16" t="inlineStr">
        <is>
          <t>13.2 - UNIFORMES</t>
        </is>
      </c>
      <c r="G402" s="16" t="inlineStr">
        <is>
          <t>EUROCHEM SERRA DO SALITRE</t>
        </is>
      </c>
      <c r="H402" s="63" t="n">
        <v>2025</v>
      </c>
      <c r="I402" s="64" t="n">
        <v>6</v>
      </c>
      <c r="J402" s="16" t="inlineStr">
        <is>
          <t>Jun</t>
        </is>
      </c>
      <c r="K402" s="16" t="n"/>
      <c r="M402" s="89" t="n">
        <v>-793.331468</v>
      </c>
      <c r="N402" s="1" t="inlineStr">
        <is>
          <t>UNIFORMES</t>
        </is>
      </c>
      <c r="O402" s="1" t="inlineStr">
        <is>
          <t>Despesas com Pessoal</t>
        </is>
      </c>
      <c r="P402" s="1" t="inlineStr">
        <is>
          <t>(-)Gastos Fixos</t>
        </is>
      </c>
      <c r="Q402" s="1" t="n">
        <v>4</v>
      </c>
      <c r="R402" s="1" t="n">
        <v>2025</v>
      </c>
    </row>
    <row r="403">
      <c r="A403" s="61" t="n">
        <v>45819</v>
      </c>
      <c r="B403" s="16" t="inlineStr">
        <is>
          <t>1027 - FARDAS EXPRESS LTDA</t>
        </is>
      </c>
      <c r="C403" s="90" t="n"/>
      <c r="D403" s="90" t="n">
        <v>199.99953</v>
      </c>
      <c r="E403" s="90" t="n">
        <v>-199.99953</v>
      </c>
      <c r="F403" s="16" t="inlineStr">
        <is>
          <t>13.2 - UNIFORMES</t>
        </is>
      </c>
      <c r="G403" s="16" t="inlineStr">
        <is>
          <t>SERENA 21 TORRES 2024</t>
        </is>
      </c>
      <c r="H403" s="63" t="n">
        <v>2025</v>
      </c>
      <c r="I403" s="64" t="n">
        <v>6</v>
      </c>
      <c r="J403" s="16" t="inlineStr">
        <is>
          <t>Jun</t>
        </is>
      </c>
      <c r="K403" s="16" t="n"/>
      <c r="M403" s="89" t="n">
        <v>-199.99953</v>
      </c>
      <c r="N403" s="1" t="inlineStr">
        <is>
          <t>UNIFORMES</t>
        </is>
      </c>
      <c r="O403" s="1" t="inlineStr">
        <is>
          <t>Despesas com Pessoal</t>
        </is>
      </c>
      <c r="P403" s="1" t="inlineStr">
        <is>
          <t>(-)Gastos Fixos</t>
        </is>
      </c>
      <c r="Q403" s="1" t="n">
        <v>4</v>
      </c>
      <c r="R403" s="1" t="n">
        <v>2025</v>
      </c>
    </row>
    <row r="404">
      <c r="A404" s="61" t="n">
        <v>45819</v>
      </c>
      <c r="B404" s="16" t="inlineStr">
        <is>
          <t>1027 - FARDAS EXPRESS LTDA</t>
        </is>
      </c>
      <c r="C404" s="90" t="n"/>
      <c r="D404" s="90" t="n">
        <v>1299.996943</v>
      </c>
      <c r="E404" s="90" t="n">
        <v>-1299.996943</v>
      </c>
      <c r="F404" s="16" t="inlineStr">
        <is>
          <t>13.2 - UNIFORMES</t>
        </is>
      </c>
      <c r="G404" s="16" t="inlineStr">
        <is>
          <t>FOSFATO CMOC CONTRAT</t>
        </is>
      </c>
      <c r="H404" s="63" t="n">
        <v>2025</v>
      </c>
      <c r="I404" s="64" t="n">
        <v>6</v>
      </c>
      <c r="J404" s="16" t="inlineStr">
        <is>
          <t>Jun</t>
        </is>
      </c>
      <c r="K404" s="16" t="n"/>
      <c r="M404" s="89" t="n">
        <v>-1299.996943</v>
      </c>
      <c r="N404" s="1" t="inlineStr">
        <is>
          <t>UNIFORMES</t>
        </is>
      </c>
      <c r="O404" s="1" t="inlineStr">
        <is>
          <t>Despesas com Pessoal</t>
        </is>
      </c>
      <c r="P404" s="1" t="inlineStr">
        <is>
          <t>(-)Gastos Fixos</t>
        </is>
      </c>
      <c r="Q404" s="1" t="n">
        <v>4</v>
      </c>
      <c r="R404" s="1" t="n">
        <v>2025</v>
      </c>
    </row>
    <row r="405">
      <c r="A405" s="61" t="n">
        <v>45819</v>
      </c>
      <c r="B405" s="16" t="inlineStr">
        <is>
          <t>1027 - FARDAS EXPRESS LTDA</t>
        </is>
      </c>
      <c r="C405" s="90" t="n"/>
      <c r="D405" s="90" t="n">
        <v>542.132059</v>
      </c>
      <c r="E405" s="90" t="n">
        <v>-542.132059</v>
      </c>
      <c r="F405" s="16" t="inlineStr">
        <is>
          <t>13.2 - UNIFORMES</t>
        </is>
      </c>
      <c r="G405" s="16" t="inlineStr">
        <is>
          <t>NIOBIO CMOC CONTRATO</t>
        </is>
      </c>
      <c r="H405" s="63" t="n">
        <v>2025</v>
      </c>
      <c r="I405" s="64" t="n">
        <v>6</v>
      </c>
      <c r="J405" s="16" t="inlineStr">
        <is>
          <t>Jun</t>
        </is>
      </c>
      <c r="K405" s="16" t="n"/>
      <c r="M405" s="89" t="n">
        <v>-542.132059</v>
      </c>
      <c r="N405" s="1" t="inlineStr">
        <is>
          <t>UNIFORMES</t>
        </is>
      </c>
      <c r="O405" s="1" t="inlineStr">
        <is>
          <t>Despesas com Pessoal</t>
        </is>
      </c>
      <c r="P405" s="1" t="inlineStr">
        <is>
          <t>(-)Gastos Fixos</t>
        </is>
      </c>
      <c r="Q405" s="1" t="n">
        <v>4</v>
      </c>
      <c r="R405" s="1" t="n">
        <v>2025</v>
      </c>
    </row>
    <row r="406">
      <c r="A406" s="61" t="n">
        <v>45819</v>
      </c>
      <c r="B406" s="16" t="inlineStr">
        <is>
          <t>1027 - FARDAS EXPRESS LTDA</t>
        </is>
      </c>
      <c r="C406" s="90" t="n"/>
      <c r="D406" s="90" t="n">
        <v>793.334266</v>
      </c>
      <c r="E406" s="90" t="n">
        <v>-793.334266</v>
      </c>
      <c r="F406" s="16" t="inlineStr">
        <is>
          <t>13.2 - UNIFORMES</t>
        </is>
      </c>
      <c r="G406" s="16" t="inlineStr">
        <is>
          <t>EUROCHEM SERRA DO SALITRE</t>
        </is>
      </c>
      <c r="H406" s="63" t="n">
        <v>2025</v>
      </c>
      <c r="I406" s="64" t="n">
        <v>6</v>
      </c>
      <c r="J406" s="16" t="inlineStr">
        <is>
          <t>Jun</t>
        </is>
      </c>
      <c r="K406" s="16" t="n"/>
      <c r="M406" s="89" t="n">
        <v>-793.334266</v>
      </c>
      <c r="N406" s="1" t="inlineStr">
        <is>
          <t>UNIFORMES</t>
        </is>
      </c>
      <c r="O406" s="1" t="inlineStr">
        <is>
          <t>Despesas com Pessoal</t>
        </is>
      </c>
      <c r="P406" s="1" t="inlineStr">
        <is>
          <t>(-)Gastos Fixos</t>
        </is>
      </c>
      <c r="Q406" s="1" t="n">
        <v>4</v>
      </c>
      <c r="R406" s="1" t="n">
        <v>2025</v>
      </c>
    </row>
    <row r="407">
      <c r="A407" s="61" t="n">
        <v>45819</v>
      </c>
      <c r="B407" s="16" t="inlineStr">
        <is>
          <t>1027 - FARDAS EXPRESS LTDA</t>
        </is>
      </c>
      <c r="C407" s="90" t="n"/>
      <c r="D407" s="90" t="n">
        <v>200.000235</v>
      </c>
      <c r="E407" s="90" t="n">
        <v>-200.000235</v>
      </c>
      <c r="F407" s="16" t="inlineStr">
        <is>
          <t>13.2 - UNIFORMES</t>
        </is>
      </c>
      <c r="G407" s="16" t="inlineStr">
        <is>
          <t>SERENA 21 TORRES 2024</t>
        </is>
      </c>
      <c r="H407" s="63" t="n">
        <v>2025</v>
      </c>
      <c r="I407" s="64" t="n">
        <v>6</v>
      </c>
      <c r="J407" s="16" t="inlineStr">
        <is>
          <t>Jun</t>
        </is>
      </c>
      <c r="K407" s="16" t="n"/>
      <c r="M407" s="89" t="n">
        <v>-200.000235</v>
      </c>
      <c r="N407" s="1" t="inlineStr">
        <is>
          <t>UNIFORMES</t>
        </is>
      </c>
      <c r="O407" s="1" t="inlineStr">
        <is>
          <t>Despesas com Pessoal</t>
        </is>
      </c>
      <c r="P407" s="1" t="inlineStr">
        <is>
          <t>(-)Gastos Fixos</t>
        </is>
      </c>
      <c r="Q407" s="1" t="n">
        <v>4</v>
      </c>
      <c r="R407" s="1" t="n">
        <v>2025</v>
      </c>
    </row>
    <row r="408">
      <c r="A408" s="61" t="n">
        <v>45819</v>
      </c>
      <c r="B408" s="16" t="inlineStr">
        <is>
          <t>1027 - FARDAS EXPRESS LTDA</t>
        </is>
      </c>
      <c r="C408" s="90" t="n"/>
      <c r="D408" s="90" t="n">
        <v>1300.001528</v>
      </c>
      <c r="E408" s="90" t="n">
        <v>-1300.001528</v>
      </c>
      <c r="F408" s="16" t="inlineStr">
        <is>
          <t>13.2 - UNIFORMES</t>
        </is>
      </c>
      <c r="G408" s="16" t="inlineStr">
        <is>
          <t>FOSFATO CMOC CONTRAT</t>
        </is>
      </c>
      <c r="H408" s="63" t="n">
        <v>2025</v>
      </c>
      <c r="I408" s="64" t="n">
        <v>6</v>
      </c>
      <c r="J408" s="16" t="inlineStr">
        <is>
          <t>Jun</t>
        </is>
      </c>
      <c r="K408" s="16" t="n"/>
      <c r="M408" s="89" t="n">
        <v>-1300.001528</v>
      </c>
      <c r="N408" s="1" t="inlineStr">
        <is>
          <t>UNIFORMES</t>
        </is>
      </c>
      <c r="O408" s="1" t="inlineStr">
        <is>
          <t>Despesas com Pessoal</t>
        </is>
      </c>
      <c r="P408" s="1" t="inlineStr">
        <is>
          <t>(-)Gastos Fixos</t>
        </is>
      </c>
      <c r="Q408" s="1" t="n">
        <v>4</v>
      </c>
      <c r="R408" s="1" t="n">
        <v>2025</v>
      </c>
    </row>
    <row r="409">
      <c r="A409" s="61" t="n">
        <v>45819</v>
      </c>
      <c r="B409" s="16" t="inlineStr">
        <is>
          <t>1027 - FARDAS EXPRESS LTDA</t>
        </is>
      </c>
      <c r="C409" s="90" t="n"/>
      <c r="D409" s="90" t="n">
        <v>542.133971</v>
      </c>
      <c r="E409" s="90" t="n">
        <v>-542.133971</v>
      </c>
      <c r="F409" s="16" t="inlineStr">
        <is>
          <t>13.2 - UNIFORMES</t>
        </is>
      </c>
      <c r="G409" s="16" t="inlineStr">
        <is>
          <t>NIOBIO CMOC CONTRATO</t>
        </is>
      </c>
      <c r="H409" s="63" t="n">
        <v>2025</v>
      </c>
      <c r="I409" s="64" t="n">
        <v>6</v>
      </c>
      <c r="J409" s="16" t="inlineStr">
        <is>
          <t>Jun</t>
        </is>
      </c>
      <c r="K409" s="16" t="n"/>
      <c r="M409" s="89" t="n">
        <v>-542.133971</v>
      </c>
      <c r="N409" s="1" t="inlineStr">
        <is>
          <t>UNIFORMES</t>
        </is>
      </c>
      <c r="O409" s="1" t="inlineStr">
        <is>
          <t>Despesas com Pessoal</t>
        </is>
      </c>
      <c r="P409" s="1" t="inlineStr">
        <is>
          <t>(-)Gastos Fixos</t>
        </is>
      </c>
      <c r="Q409" s="1" t="n">
        <v>4</v>
      </c>
      <c r="R409" s="1" t="n">
        <v>2025</v>
      </c>
    </row>
    <row r="410">
      <c r="A410" s="61" t="n">
        <v>45819</v>
      </c>
      <c r="B410" s="16" t="inlineStr">
        <is>
          <t>1027 - FARDAS EXPRESS LTDA</t>
        </is>
      </c>
      <c r="C410" s="90" t="n"/>
      <c r="D410" s="90" t="n">
        <v>793.334266</v>
      </c>
      <c r="E410" s="90" t="n">
        <v>-793.334266</v>
      </c>
      <c r="F410" s="16" t="inlineStr">
        <is>
          <t>13.2 - UNIFORMES</t>
        </is>
      </c>
      <c r="G410" s="16" t="inlineStr">
        <is>
          <t>EUROCHEM SERRA DO SALITRE</t>
        </is>
      </c>
      <c r="H410" s="63" t="n">
        <v>2025</v>
      </c>
      <c r="I410" s="64" t="n">
        <v>6</v>
      </c>
      <c r="J410" s="16" t="inlineStr">
        <is>
          <t>Jun</t>
        </is>
      </c>
      <c r="K410" s="16" t="n"/>
      <c r="M410" s="89" t="n">
        <v>-793.334266</v>
      </c>
      <c r="N410" s="1" t="inlineStr">
        <is>
          <t>UNIFORMES</t>
        </is>
      </c>
      <c r="O410" s="1" t="inlineStr">
        <is>
          <t>Despesas com Pessoal</t>
        </is>
      </c>
      <c r="P410" s="1" t="inlineStr">
        <is>
          <t>(-)Gastos Fixos</t>
        </is>
      </c>
      <c r="Q410" s="1" t="n">
        <v>4</v>
      </c>
      <c r="R410" s="1" t="n">
        <v>2025</v>
      </c>
    </row>
    <row r="411">
      <c r="A411" s="61" t="n">
        <v>45819</v>
      </c>
      <c r="B411" s="16" t="inlineStr">
        <is>
          <t>1027 - FARDAS EXPRESS LTDA</t>
        </is>
      </c>
      <c r="C411" s="90" t="n"/>
      <c r="D411" s="90" t="n">
        <v>200.000235</v>
      </c>
      <c r="E411" s="90" t="n">
        <v>-200.000235</v>
      </c>
      <c r="F411" s="16" t="inlineStr">
        <is>
          <t>13.2 - UNIFORMES</t>
        </is>
      </c>
      <c r="G411" s="16" t="inlineStr">
        <is>
          <t>SERENA 21 TORRES 2024</t>
        </is>
      </c>
      <c r="H411" s="63" t="n">
        <v>2025</v>
      </c>
      <c r="I411" s="64" t="n">
        <v>6</v>
      </c>
      <c r="J411" s="16" t="inlineStr">
        <is>
          <t>Jun</t>
        </is>
      </c>
      <c r="K411" s="16" t="n"/>
      <c r="M411" s="89" t="n">
        <v>-200.000235</v>
      </c>
      <c r="N411" s="1" t="inlineStr">
        <is>
          <t>UNIFORMES</t>
        </is>
      </c>
      <c r="O411" s="1" t="inlineStr">
        <is>
          <t>Despesas com Pessoal</t>
        </is>
      </c>
      <c r="P411" s="1" t="inlineStr">
        <is>
          <t>(-)Gastos Fixos</t>
        </is>
      </c>
      <c r="Q411" s="1" t="n">
        <v>4</v>
      </c>
      <c r="R411" s="1" t="n">
        <v>2025</v>
      </c>
    </row>
    <row r="412">
      <c r="A412" s="61" t="n">
        <v>45819</v>
      </c>
      <c r="B412" s="16" t="inlineStr">
        <is>
          <t>1027 - FARDAS EXPRESS LTDA</t>
        </is>
      </c>
      <c r="C412" s="90" t="n"/>
      <c r="D412" s="90" t="n">
        <v>1300.001528</v>
      </c>
      <c r="E412" s="90" t="n">
        <v>-1300.001528</v>
      </c>
      <c r="F412" s="16" t="inlineStr">
        <is>
          <t>13.2 - UNIFORMES</t>
        </is>
      </c>
      <c r="G412" s="16" t="inlineStr">
        <is>
          <t>FOSFATO CMOC CONTRAT</t>
        </is>
      </c>
      <c r="H412" s="63" t="n">
        <v>2025</v>
      </c>
      <c r="I412" s="64" t="n">
        <v>6</v>
      </c>
      <c r="J412" s="16" t="inlineStr">
        <is>
          <t>Jun</t>
        </is>
      </c>
      <c r="K412" s="16" t="n"/>
      <c r="M412" s="89" t="n">
        <v>-1300.001528</v>
      </c>
      <c r="N412" s="1" t="inlineStr">
        <is>
          <t>UNIFORMES</t>
        </is>
      </c>
      <c r="O412" s="1" t="inlineStr">
        <is>
          <t>Despesas com Pessoal</t>
        </is>
      </c>
      <c r="P412" s="1" t="inlineStr">
        <is>
          <t>(-)Gastos Fixos</t>
        </is>
      </c>
      <c r="Q412" s="1" t="n">
        <v>4</v>
      </c>
      <c r="R412" s="1" t="n">
        <v>2025</v>
      </c>
    </row>
    <row r="413">
      <c r="A413" s="61" t="n">
        <v>45819</v>
      </c>
      <c r="B413" s="16" t="inlineStr">
        <is>
          <t>1027 - FARDAS EXPRESS LTDA</t>
        </is>
      </c>
      <c r="C413" s="90" t="n"/>
      <c r="D413" s="90" t="n">
        <v>542.133971</v>
      </c>
      <c r="E413" s="90" t="n">
        <v>-542.133971</v>
      </c>
      <c r="F413" s="16" t="inlineStr">
        <is>
          <t>13.2 - UNIFORMES</t>
        </is>
      </c>
      <c r="G413" s="16" t="inlineStr">
        <is>
          <t>NIOBIO CMOC CONTRATO</t>
        </is>
      </c>
      <c r="H413" s="63" t="n">
        <v>2025</v>
      </c>
      <c r="I413" s="64" t="n">
        <v>6</v>
      </c>
      <c r="J413" s="16" t="inlineStr">
        <is>
          <t>Jun</t>
        </is>
      </c>
      <c r="K413" s="16" t="n"/>
      <c r="M413" s="89" t="n">
        <v>-542.133971</v>
      </c>
      <c r="N413" s="1" t="inlineStr">
        <is>
          <t>UNIFORMES</t>
        </is>
      </c>
      <c r="O413" s="1" t="inlineStr">
        <is>
          <t>Despesas com Pessoal</t>
        </is>
      </c>
      <c r="P413" s="1" t="inlineStr">
        <is>
          <t>(-)Gastos Fixos</t>
        </is>
      </c>
      <c r="Q413" s="1" t="n">
        <v>4</v>
      </c>
      <c r="R413" s="1" t="n">
        <v>2025</v>
      </c>
    </row>
    <row r="414">
      <c r="A414" s="61" t="n">
        <v>45819</v>
      </c>
      <c r="B414" s="16" t="inlineStr">
        <is>
          <t>112573 - KLEBER AUGUSTO L. C. DE BERNARDO</t>
        </is>
      </c>
      <c r="C414" s="90" t="n"/>
      <c r="D414" s="90" t="n">
        <v>2987.65</v>
      </c>
      <c r="E414" s="90" t="n">
        <v>-2987.65</v>
      </c>
      <c r="F414" s="16" t="inlineStr">
        <is>
          <t>8.4 - MAQUINAS / EQUIPAMENTOS</t>
        </is>
      </c>
      <c r="G414" s="16" t="inlineStr">
        <is>
          <t>VLI PINTURA</t>
        </is>
      </c>
      <c r="H414" s="63" t="n">
        <v>2025</v>
      </c>
      <c r="I414" s="64" t="n">
        <v>6</v>
      </c>
      <c r="J414" s="16" t="inlineStr">
        <is>
          <t>Jun</t>
        </is>
      </c>
      <c r="K414" s="16" t="n"/>
      <c r="M414" s="89" t="n">
        <v>-2987.65</v>
      </c>
      <c r="N414" s="1" t="inlineStr">
        <is>
          <t>Aquisição de Maquinas e Equipamentos</t>
        </is>
      </c>
      <c r="O414" s="1" t="inlineStr">
        <is>
          <t>Investimentos</t>
        </is>
      </c>
      <c r="P414" s="1" t="inlineStr">
        <is>
          <t>(-)Investimentos</t>
        </is>
      </c>
      <c r="Q414" s="1" t="n">
        <v>8</v>
      </c>
      <c r="R414" s="1" t="n">
        <v>2025</v>
      </c>
    </row>
    <row r="415">
      <c r="A415" s="61" t="n">
        <v>45819</v>
      </c>
      <c r="B415" s="16" t="inlineStr">
        <is>
          <t>112573 - KLEBER AUGUSTO L. C. DE BERNARDO</t>
        </is>
      </c>
      <c r="C415" s="90" t="n"/>
      <c r="D415" s="90" t="n">
        <v>2987.65</v>
      </c>
      <c r="E415" s="90" t="n">
        <v>-2987.65</v>
      </c>
      <c r="F415" s="16" t="inlineStr">
        <is>
          <t>8.4 - MAQUINAS / EQUIPAMENTOS</t>
        </is>
      </c>
      <c r="G415" s="16" t="inlineStr">
        <is>
          <t>VLI PINTURA</t>
        </is>
      </c>
      <c r="H415" s="63" t="n">
        <v>2025</v>
      </c>
      <c r="I415" s="64" t="n">
        <v>6</v>
      </c>
      <c r="J415" s="16" t="inlineStr">
        <is>
          <t>Jun</t>
        </is>
      </c>
      <c r="K415" s="16" t="n"/>
      <c r="M415" s="89" t="n">
        <v>-2987.65</v>
      </c>
      <c r="N415" s="1" t="inlineStr">
        <is>
          <t>Aquisição de Maquinas e Equipamentos</t>
        </is>
      </c>
      <c r="O415" s="1" t="inlineStr">
        <is>
          <t>Investimentos</t>
        </is>
      </c>
      <c r="P415" s="1" t="inlineStr">
        <is>
          <t>(-)Investimentos</t>
        </is>
      </c>
      <c r="Q415" s="1" t="n">
        <v>8</v>
      </c>
      <c r="R415" s="1" t="n">
        <v>2025</v>
      </c>
    </row>
    <row r="416">
      <c r="A416" s="61" t="n">
        <v>45819</v>
      </c>
      <c r="B416" s="16" t="inlineStr">
        <is>
          <t>112573 - KLEBER AUGUSTO L. C. DE BERNARDO</t>
        </is>
      </c>
      <c r="C416" s="90" t="n"/>
      <c r="D416" s="90" t="n">
        <v>2987.66</v>
      </c>
      <c r="E416" s="90" t="n">
        <v>-2987.66</v>
      </c>
      <c r="F416" s="16" t="inlineStr">
        <is>
          <t>8.4 - MAQUINAS / EQUIPAMENTOS</t>
        </is>
      </c>
      <c r="G416" s="16" t="inlineStr">
        <is>
          <t>VLI PINTURA</t>
        </is>
      </c>
      <c r="H416" s="63" t="n">
        <v>2025</v>
      </c>
      <c r="I416" s="64" t="n">
        <v>6</v>
      </c>
      <c r="J416" s="16" t="inlineStr">
        <is>
          <t>Jun</t>
        </is>
      </c>
      <c r="K416" s="16" t="n"/>
      <c r="M416" s="89" t="n">
        <v>-2987.66</v>
      </c>
      <c r="N416" s="1" t="inlineStr">
        <is>
          <t>Aquisição de Maquinas e Equipamentos</t>
        </is>
      </c>
      <c r="O416" s="1" t="inlineStr">
        <is>
          <t>Investimentos</t>
        </is>
      </c>
      <c r="P416" s="1" t="inlineStr">
        <is>
          <t>(-)Investimentos</t>
        </is>
      </c>
      <c r="Q416" s="1" t="n">
        <v>8</v>
      </c>
      <c r="R416" s="1" t="n">
        <v>2025</v>
      </c>
    </row>
    <row r="417">
      <c r="A417" s="61" t="n">
        <v>45819</v>
      </c>
      <c r="B417" s="16" t="inlineStr">
        <is>
          <t>ENGREMAT ENGENHARIA INSPENÇAO</t>
        </is>
      </c>
      <c r="C417" s="90" t="n"/>
      <c r="D417" s="90" t="n">
        <v>1850</v>
      </c>
      <c r="E417" s="90" t="n">
        <v>-1850</v>
      </c>
      <c r="F417" s="16" t="inlineStr">
        <is>
          <t>3.12 - SERVIÇO LAUDO TECNICO</t>
        </is>
      </c>
      <c r="G417" s="16" t="inlineStr">
        <is>
          <t>EUROCHEM SERRA DO SALITRE</t>
        </is>
      </c>
      <c r="H417" s="63" t="n">
        <v>2025</v>
      </c>
      <c r="I417" s="64" t="n">
        <v>6</v>
      </c>
      <c r="J417" s="16" t="inlineStr">
        <is>
          <t>Jun</t>
        </is>
      </c>
      <c r="K417" s="16" t="n"/>
      <c r="M417" s="89" t="n">
        <v>-1850</v>
      </c>
      <c r="N417" s="1" t="inlineStr">
        <is>
          <t>SERVIÇO LAUDO TECNICO</t>
        </is>
      </c>
      <c r="O417" s="1" t="inlineStr">
        <is>
          <t>Serviços de Terceiros</t>
        </is>
      </c>
      <c r="P417" s="1" t="inlineStr">
        <is>
          <t>(-)Gastos Fixos</t>
        </is>
      </c>
      <c r="Q417" s="1" t="n">
        <v>4</v>
      </c>
      <c r="R417" s="1" t="n">
        <v>2025</v>
      </c>
    </row>
    <row r="418">
      <c r="A418" s="61" t="n">
        <v>45820</v>
      </c>
      <c r="B418" s="16" t="inlineStr">
        <is>
          <t>2469 - CMOC BRASIL MINERAÇAO INDUSTRIAL E PARTICIPAÇOES</t>
        </is>
      </c>
      <c r="C418" s="90" t="n">
        <v>58514.56</v>
      </c>
      <c r="D418" s="90" t="n"/>
      <c r="E418" s="90" t="n">
        <v>58514.56</v>
      </c>
      <c r="F418" s="16" t="inlineStr">
        <is>
          <t>1.1.1 - Recebimento de Clientes</t>
        </is>
      </c>
      <c r="G418" s="16" t="inlineStr">
        <is>
          <t>NIOBIO CMOC CONTRATO</t>
        </is>
      </c>
      <c r="H418" s="63" t="n">
        <v>2025</v>
      </c>
      <c r="I418" s="64" t="n">
        <v>6</v>
      </c>
      <c r="J418" s="16" t="inlineStr">
        <is>
          <t>Jun</t>
        </is>
      </c>
      <c r="K418" s="16" t="n"/>
      <c r="M418" s="89" t="n">
        <v>58514.56</v>
      </c>
      <c r="N418" s="1" t="inlineStr">
        <is>
          <t>Faturamento</t>
        </is>
      </c>
      <c r="O418" s="1" t="inlineStr">
        <is>
          <t>(+)Receita Bruta</t>
        </is>
      </c>
      <c r="P418" s="1" t="inlineStr">
        <is>
          <t>(=)Receita Bruta</t>
        </is>
      </c>
      <c r="Q418" s="1" t="n">
        <v>1</v>
      </c>
      <c r="R418" s="1" t="n">
        <v>2025</v>
      </c>
    </row>
    <row r="419">
      <c r="A419" s="61" t="n">
        <v>45820</v>
      </c>
      <c r="B419" s="16" t="inlineStr">
        <is>
          <t>2470 - CMOC BRASIL MINERAÇAO INDUSTRIAL E PARTICIPAÇOES</t>
        </is>
      </c>
      <c r="C419" s="90" t="n">
        <v>115358.13</v>
      </c>
      <c r="D419" s="90" t="n"/>
      <c r="E419" s="90" t="n">
        <v>115358.13</v>
      </c>
      <c r="F419" s="16" t="inlineStr">
        <is>
          <t>1.1.1 - Recebimento de Clientes</t>
        </is>
      </c>
      <c r="G419" s="16" t="inlineStr">
        <is>
          <t>NIOBIO CMOC CONTRATO</t>
        </is>
      </c>
      <c r="H419" s="63" t="n">
        <v>2025</v>
      </c>
      <c r="I419" s="64" t="n">
        <v>6</v>
      </c>
      <c r="J419" s="16" t="inlineStr">
        <is>
          <t>Jun</t>
        </is>
      </c>
      <c r="K419" s="16" t="n"/>
      <c r="M419" s="89" t="n">
        <v>115358.13</v>
      </c>
      <c r="N419" s="1" t="inlineStr">
        <is>
          <t>Faturamento</t>
        </is>
      </c>
      <c r="O419" s="1" t="inlineStr">
        <is>
          <t>(+)Receita Bruta</t>
        </is>
      </c>
      <c r="P419" s="1" t="inlineStr">
        <is>
          <t>(=)Receita Bruta</t>
        </is>
      </c>
      <c r="Q419" s="1" t="n">
        <v>1</v>
      </c>
      <c r="R419" s="1" t="n">
        <v>2025</v>
      </c>
    </row>
    <row r="420">
      <c r="A420" s="61" t="n">
        <v>45820</v>
      </c>
      <c r="B420" s="16" t="inlineStr">
        <is>
          <t>CEMIG DISTRIBUIÇÃO S.A</t>
        </is>
      </c>
      <c r="C420" s="90" t="n"/>
      <c r="D420" s="90" t="n">
        <v>175.71</v>
      </c>
      <c r="E420" s="90" t="n">
        <v>-175.71</v>
      </c>
      <c r="F420" s="16" t="inlineStr">
        <is>
          <t>5.5 - ENERGIA ALOJAMENTO</t>
        </is>
      </c>
      <c r="G420" s="16" t="inlineStr">
        <is>
          <t>EUROCHEM SERRA DO SALITRE</t>
        </is>
      </c>
      <c r="H420" s="63" t="n">
        <v>2025</v>
      </c>
      <c r="I420" s="64" t="n">
        <v>6</v>
      </c>
      <c r="J420" s="16" t="inlineStr">
        <is>
          <t>Jun</t>
        </is>
      </c>
      <c r="K420" s="16" t="n"/>
      <c r="M420" s="89" t="n">
        <v>-175.71</v>
      </c>
      <c r="N420" s="1" t="inlineStr">
        <is>
          <t>ENERGIA ALOJAMENTO</t>
        </is>
      </c>
      <c r="O420" s="1" t="inlineStr">
        <is>
          <t>Despesas com Infraestrutura</t>
        </is>
      </c>
      <c r="P420" s="1" t="inlineStr">
        <is>
          <t>(-)Gastos Fixos</t>
        </is>
      </c>
      <c r="Q420" s="1" t="n">
        <v>4</v>
      </c>
      <c r="R420" s="1" t="n">
        <v>2025</v>
      </c>
    </row>
    <row r="421">
      <c r="A421" s="61" t="n">
        <v>45820</v>
      </c>
      <c r="B421" s="16" t="inlineStr">
        <is>
          <t>COPASA SANEAMENTO</t>
        </is>
      </c>
      <c r="C421" s="90" t="n"/>
      <c r="D421" s="90" t="n">
        <v>56.42</v>
      </c>
      <c r="E421" s="90" t="n">
        <v>-56.42</v>
      </c>
      <c r="F421" s="16" t="inlineStr">
        <is>
          <t>5.4 - AGUA ALOJAMENTO</t>
        </is>
      </c>
      <c r="G421" s="16" t="inlineStr">
        <is>
          <t>EUROCHEM SERRA DO SALITRE</t>
        </is>
      </c>
      <c r="H421" s="63" t="n">
        <v>2025</v>
      </c>
      <c r="I421" s="64" t="n">
        <v>6</v>
      </c>
      <c r="J421" s="16" t="inlineStr">
        <is>
          <t>Jun</t>
        </is>
      </c>
      <c r="K421" s="16" t="n"/>
      <c r="M421" s="89" t="n">
        <v>-56.42</v>
      </c>
      <c r="N421" s="1" t="inlineStr">
        <is>
          <t>AGUA ALOJAMENTO</t>
        </is>
      </c>
      <c r="O421" s="1" t="inlineStr">
        <is>
          <t>Despesas com Infraestrutura</t>
        </is>
      </c>
      <c r="P421" s="1" t="inlineStr">
        <is>
          <t>(-)Gastos Fixos</t>
        </is>
      </c>
      <c r="Q421" s="1" t="n">
        <v>4</v>
      </c>
      <c r="R421" s="1" t="n">
        <v>2025</v>
      </c>
    </row>
    <row r="422">
      <c r="A422" s="61" t="n">
        <v>45820</v>
      </c>
      <c r="B422" s="16" t="inlineStr">
        <is>
          <t>COPASA SANEAMENTO</t>
        </is>
      </c>
      <c r="C422" s="90" t="n"/>
      <c r="D422" s="90" t="n">
        <v>207.11</v>
      </c>
      <c r="E422" s="90" t="n">
        <v>-207.11</v>
      </c>
      <c r="F422" s="16" t="inlineStr">
        <is>
          <t>5.4 - AGUA ALOJAMENTO</t>
        </is>
      </c>
      <c r="G422" s="16" t="inlineStr">
        <is>
          <t>EUROCHEM SERRA DO SALITRE</t>
        </is>
      </c>
      <c r="H422" s="63" t="n">
        <v>2025</v>
      </c>
      <c r="I422" s="64" t="n">
        <v>6</v>
      </c>
      <c r="J422" s="16" t="inlineStr">
        <is>
          <t>Jun</t>
        </is>
      </c>
      <c r="K422" s="16" t="n"/>
      <c r="M422" s="89" t="n">
        <v>-207.11</v>
      </c>
      <c r="N422" s="1" t="inlineStr">
        <is>
          <t>AGUA ALOJAMENTO</t>
        </is>
      </c>
      <c r="O422" s="1" t="inlineStr">
        <is>
          <t>Despesas com Infraestrutura</t>
        </is>
      </c>
      <c r="P422" s="1" t="inlineStr">
        <is>
          <t>(-)Gastos Fixos</t>
        </is>
      </c>
      <c r="Q422" s="1" t="n">
        <v>4</v>
      </c>
      <c r="R422" s="1" t="n">
        <v>2025</v>
      </c>
    </row>
    <row r="423">
      <c r="A423" s="61" t="n">
        <v>45820</v>
      </c>
      <c r="B423" s="16" t="inlineStr">
        <is>
          <t>THIAGO DE CASTRO VIEIRA</t>
        </is>
      </c>
      <c r="C423" s="90" t="n"/>
      <c r="D423" s="90" t="n">
        <v>800</v>
      </c>
      <c r="E423" s="90" t="n">
        <v>-800</v>
      </c>
      <c r="F423" s="16" t="inlineStr">
        <is>
          <t>6.4 - COMBUSTIVEL VEICULOS</t>
        </is>
      </c>
      <c r="G423" s="16" t="inlineStr">
        <is>
          <t>EUROCHEM SERRA DO SALITRE</t>
        </is>
      </c>
      <c r="H423" s="63" t="n">
        <v>2025</v>
      </c>
      <c r="I423" s="64" t="n">
        <v>6</v>
      </c>
      <c r="J423" s="16" t="inlineStr">
        <is>
          <t>Jun</t>
        </is>
      </c>
      <c r="K423" s="16" t="n"/>
      <c r="M423" s="89" t="n">
        <v>-800</v>
      </c>
      <c r="N423" s="1" t="inlineStr">
        <is>
          <t>COMBUSTIVEL VEICULOS</t>
        </is>
      </c>
      <c r="O423" s="1" t="inlineStr">
        <is>
          <t>Despesas com Veículos e Equipamentos</t>
        </is>
      </c>
      <c r="P423" s="1" t="inlineStr">
        <is>
          <t>(-)Gastos Fixos</t>
        </is>
      </c>
      <c r="Q423" s="1" t="n">
        <v>4</v>
      </c>
      <c r="R423" s="1" t="n">
        <v>2025</v>
      </c>
    </row>
    <row r="424">
      <c r="A424" s="61" t="n">
        <v>45820</v>
      </c>
      <c r="B424" s="16" t="inlineStr">
        <is>
          <t>THIAGO DE CASTRO VIEIRA</t>
        </is>
      </c>
      <c r="C424" s="90" t="n"/>
      <c r="D424" s="90" t="n">
        <v>1200</v>
      </c>
      <c r="E424" s="90" t="n">
        <v>-1200</v>
      </c>
      <c r="F424" s="16" t="inlineStr">
        <is>
          <t>8.13 - COMBUSTIVEL EQUIPAMENTOS</t>
        </is>
      </c>
      <c r="G424" s="16" t="inlineStr">
        <is>
          <t>EUROCHEM SERRA DO SALITRE</t>
        </is>
      </c>
      <c r="H424" s="63" t="n">
        <v>2025</v>
      </c>
      <c r="I424" s="64" t="n">
        <v>6</v>
      </c>
      <c r="J424" s="16" t="inlineStr">
        <is>
          <t>Jun</t>
        </is>
      </c>
      <c r="K424" s="16" t="n"/>
      <c r="M424" s="89" t="n">
        <v>-1200</v>
      </c>
      <c r="N424" s="1" t="inlineStr">
        <is>
          <t>COMBUSTIVEL EQUIPAMENTOS</t>
        </is>
      </c>
      <c r="O424" s="1" t="inlineStr">
        <is>
          <t>Despesas com Máquinas e Equipamentos</t>
        </is>
      </c>
      <c r="P424" s="1" t="inlineStr">
        <is>
          <t>(-)Gastos Fixos</t>
        </is>
      </c>
      <c r="Q424" s="1" t="n">
        <v>4</v>
      </c>
      <c r="R424" s="1" t="n">
        <v>2025</v>
      </c>
    </row>
    <row r="425">
      <c r="A425" s="61" t="n">
        <v>45820</v>
      </c>
      <c r="B425" s="16" t="inlineStr">
        <is>
          <t>BERTI &amp; JARDIM</t>
        </is>
      </c>
      <c r="C425" s="90" t="n"/>
      <c r="D425" s="90" t="n">
        <v>2000</v>
      </c>
      <c r="E425" s="90" t="n">
        <v>-2000</v>
      </c>
      <c r="F425" s="16" t="inlineStr">
        <is>
          <t>8.14 - MANUTENÇÃO/PEÇAS MAQUINAS E EQUIPAMENTOS</t>
        </is>
      </c>
      <c r="G425" s="16" t="inlineStr">
        <is>
          <t>MANUTENÇÃO DE EQUIPAMENTOS</t>
        </is>
      </c>
      <c r="H425" s="63" t="n">
        <v>2025</v>
      </c>
      <c r="I425" s="64" t="n">
        <v>6</v>
      </c>
      <c r="J425" s="16" t="inlineStr">
        <is>
          <t>Jun</t>
        </is>
      </c>
      <c r="K425" s="16" t="n"/>
      <c r="M425" s="89" t="n">
        <v>-2000</v>
      </c>
      <c r="N425" s="1" t="inlineStr">
        <is>
          <t>MANUTENÇÃO/PEÇAS MAQUINAS E EQUIPAMENTOS</t>
        </is>
      </c>
      <c r="O425" s="1" t="inlineStr">
        <is>
          <t>Despesas com Máquinas e Equipamentos</t>
        </is>
      </c>
      <c r="P425" s="1" t="inlineStr">
        <is>
          <t>(-)Gastos Fixos</t>
        </is>
      </c>
      <c r="Q425" s="1" t="n">
        <v>4</v>
      </c>
      <c r="R425" s="1" t="n">
        <v>2025</v>
      </c>
    </row>
    <row r="426">
      <c r="A426" s="61" t="n">
        <v>45820</v>
      </c>
      <c r="B426" s="16" t="inlineStr">
        <is>
          <t>REFEIÇÃO OBRAS</t>
        </is>
      </c>
      <c r="C426" s="90" t="n"/>
      <c r="D426" s="90" t="n">
        <v>232.5</v>
      </c>
      <c r="E426" s="90" t="n">
        <v>-232.5</v>
      </c>
      <c r="F426" s="16" t="inlineStr">
        <is>
          <t>12.5 - REFEIÇÕES FUNCIONARIOS</t>
        </is>
      </c>
      <c r="G426" s="16" t="inlineStr">
        <is>
          <t>NIOBIO CMOC CONTRATO</t>
        </is>
      </c>
      <c r="H426" s="63" t="n">
        <v>2025</v>
      </c>
      <c r="I426" s="64" t="n">
        <v>6</v>
      </c>
      <c r="J426" s="16" t="inlineStr">
        <is>
          <t>Jun</t>
        </is>
      </c>
      <c r="K426" s="16" t="n"/>
      <c r="M426" s="89" t="n">
        <v>-232.5</v>
      </c>
      <c r="N426" s="1" t="inlineStr">
        <is>
          <t>12.5 - REFEIÇÕES FUNCIONARIOS</t>
        </is>
      </c>
      <c r="O426" s="1" t="n"/>
      <c r="P426" s="1" t="n"/>
      <c r="Q426" s="1" t="n"/>
      <c r="R426" s="1" t="n">
        <v>2025</v>
      </c>
    </row>
    <row r="427">
      <c r="A427" s="61" t="n">
        <v>45820</v>
      </c>
      <c r="B427" s="16" t="inlineStr">
        <is>
          <t>IMPERIO DO ESPETO</t>
        </is>
      </c>
      <c r="C427" s="90" t="n"/>
      <c r="D427" s="90" t="n">
        <v>180</v>
      </c>
      <c r="E427" s="90" t="n">
        <v>-180</v>
      </c>
      <c r="F427" s="16" t="inlineStr">
        <is>
          <t>11.5 - ALIMENTAÇÃO ADM</t>
        </is>
      </c>
      <c r="G427" s="16" t="inlineStr">
        <is>
          <t>ADMINISTRATIVO</t>
        </is>
      </c>
      <c r="H427" s="63" t="n">
        <v>2025</v>
      </c>
      <c r="I427" s="64" t="n">
        <v>6</v>
      </c>
      <c r="J427" s="16" t="inlineStr">
        <is>
          <t>Jun</t>
        </is>
      </c>
      <c r="K427" s="16" t="n"/>
      <c r="M427" s="89" t="n">
        <v>-180</v>
      </c>
      <c r="N427" s="1" t="inlineStr">
        <is>
          <t>ALIMENTAÇÃO ADM</t>
        </is>
      </c>
      <c r="O427" s="1" t="inlineStr">
        <is>
          <t>Despesas com Pessoal</t>
        </is>
      </c>
      <c r="P427" s="1" t="inlineStr">
        <is>
          <t>(-)Gastos Fixos</t>
        </is>
      </c>
      <c r="Q427" s="1" t="n">
        <v>4</v>
      </c>
      <c r="R427" s="1" t="n">
        <v>2025</v>
      </c>
    </row>
    <row r="428">
      <c r="A428" s="61" t="n">
        <v>45820</v>
      </c>
      <c r="B428" s="16" t="inlineStr">
        <is>
          <t>REFEIÇÃO OBRAS</t>
        </is>
      </c>
      <c r="C428" s="90" t="n"/>
      <c r="D428" s="90" t="n">
        <v>985</v>
      </c>
      <c r="E428" s="90" t="n">
        <v>-985</v>
      </c>
      <c r="F428" s="16" t="inlineStr">
        <is>
          <t>12.5 - REFEIÇÕES FUNCIONARIOS</t>
        </is>
      </c>
      <c r="G428" s="16" t="inlineStr">
        <is>
          <t>ANGLO AMERICAN</t>
        </is>
      </c>
      <c r="H428" s="63" t="n">
        <v>2025</v>
      </c>
      <c r="I428" s="64" t="n">
        <v>6</v>
      </c>
      <c r="J428" s="16" t="inlineStr">
        <is>
          <t>Jun</t>
        </is>
      </c>
      <c r="K428" s="16" t="n"/>
      <c r="M428" s="89" t="n">
        <v>-985</v>
      </c>
      <c r="N428" s="1" t="inlineStr">
        <is>
          <t>12.5 - REFEIÇÕES FUNCIONARIOS</t>
        </is>
      </c>
      <c r="O428" s="1" t="n"/>
      <c r="P428" s="1" t="n"/>
      <c r="Q428" s="1" t="n"/>
      <c r="R428" s="1" t="n">
        <v>2025</v>
      </c>
    </row>
    <row r="429">
      <c r="A429" s="61" t="n">
        <v>45820</v>
      </c>
      <c r="B429" s="16" t="inlineStr">
        <is>
          <t>1360 - MATRIX CONSULTORIA E GESTAO DE TREINAMENTO EIRELI</t>
        </is>
      </c>
      <c r="C429" s="90" t="n"/>
      <c r="D429" s="90" t="n">
        <v>159.9</v>
      </c>
      <c r="E429" s="90" t="n">
        <v>-159.9</v>
      </c>
      <c r="F429" s="16" t="inlineStr">
        <is>
          <t>14.2 - CURSOS / TREINAMENTOS</t>
        </is>
      </c>
      <c r="G429" s="16" t="inlineStr">
        <is>
          <t>COMPORTAS - PORTO FERREIRA</t>
        </is>
      </c>
      <c r="H429" s="63" t="n">
        <v>2025</v>
      </c>
      <c r="I429" s="64" t="n">
        <v>6</v>
      </c>
      <c r="J429" s="16" t="inlineStr">
        <is>
          <t>Jun</t>
        </is>
      </c>
      <c r="K429" s="16" t="n"/>
      <c r="M429" s="89" t="n">
        <v>-159.9</v>
      </c>
      <c r="N429" s="1" t="inlineStr">
        <is>
          <t>CURSOS / TREINAMENTOS</t>
        </is>
      </c>
      <c r="O429" s="1" t="inlineStr">
        <is>
          <t>Despesas com Pessoal</t>
        </is>
      </c>
      <c r="P429" s="1" t="inlineStr">
        <is>
          <t>(-)Gastos Fixos</t>
        </is>
      </c>
      <c r="Q429" s="1" t="n">
        <v>4</v>
      </c>
      <c r="R429" s="1" t="n">
        <v>2025</v>
      </c>
    </row>
    <row r="430">
      <c r="A430" s="61" t="n">
        <v>45820</v>
      </c>
      <c r="B430" s="16" t="inlineStr">
        <is>
          <t>RESCISOES / FGTS</t>
        </is>
      </c>
      <c r="C430" s="90" t="n"/>
      <c r="D430" s="90" t="n">
        <v>950.5</v>
      </c>
      <c r="E430" s="90" t="n">
        <v>-950.5</v>
      </c>
      <c r="F430" s="16" t="inlineStr">
        <is>
          <t>12.4 - MULTA RESCISORIAS FGTS</t>
        </is>
      </c>
      <c r="G430" s="16" t="inlineStr">
        <is>
          <t>ANGLO AMERICAN</t>
        </is>
      </c>
      <c r="H430" s="63" t="n">
        <v>2025</v>
      </c>
      <c r="I430" s="64" t="n">
        <v>6</v>
      </c>
      <c r="J430" s="16" t="inlineStr">
        <is>
          <t>Jun</t>
        </is>
      </c>
      <c r="K430" s="16" t="n"/>
      <c r="M430" s="89" t="n">
        <v>-950.5</v>
      </c>
      <c r="N430" s="1" t="inlineStr">
        <is>
          <t>MULTA RESCISORIAS FGTS</t>
        </is>
      </c>
      <c r="O430" s="1" t="inlineStr">
        <is>
          <t>Despesas com Pessoal</t>
        </is>
      </c>
      <c r="P430" s="1" t="inlineStr">
        <is>
          <t>(-)Gastos Fixos</t>
        </is>
      </c>
      <c r="Q430" s="1" t="n">
        <v>4</v>
      </c>
      <c r="R430" s="1" t="n">
        <v>2025</v>
      </c>
    </row>
    <row r="431">
      <c r="A431" s="61" t="n">
        <v>45820</v>
      </c>
      <c r="B431" s="16" t="inlineStr">
        <is>
          <t>RESCISOES / FGTS</t>
        </is>
      </c>
      <c r="C431" s="90" t="n"/>
      <c r="D431" s="90" t="n">
        <v>1774.46</v>
      </c>
      <c r="E431" s="90" t="n">
        <v>-1774.46</v>
      </c>
      <c r="F431" s="16" t="inlineStr">
        <is>
          <t>12.4 - MULTA RESCISORIAS FGTS</t>
        </is>
      </c>
      <c r="G431" s="16" t="inlineStr">
        <is>
          <t>ANGLO AMERICAN</t>
        </is>
      </c>
      <c r="H431" s="63" t="n">
        <v>2025</v>
      </c>
      <c r="I431" s="64" t="n">
        <v>6</v>
      </c>
      <c r="J431" s="16" t="inlineStr">
        <is>
          <t>Jun</t>
        </is>
      </c>
      <c r="K431" s="16" t="n"/>
      <c r="M431" s="89" t="n">
        <v>-1774.46</v>
      </c>
      <c r="N431" s="1" t="inlineStr">
        <is>
          <t>MULTA RESCISORIAS FGTS</t>
        </is>
      </c>
      <c r="O431" s="1" t="inlineStr">
        <is>
          <t>Despesas com Pessoal</t>
        </is>
      </c>
      <c r="P431" s="1" t="inlineStr">
        <is>
          <t>(-)Gastos Fixos</t>
        </is>
      </c>
      <c r="Q431" s="1" t="n">
        <v>4</v>
      </c>
      <c r="R431" s="1" t="n">
        <v>2025</v>
      </c>
    </row>
    <row r="432">
      <c r="A432" s="61" t="n">
        <v>45820</v>
      </c>
      <c r="B432" s="16" t="inlineStr">
        <is>
          <t>VALDMAR AUGUSTO</t>
        </is>
      </c>
      <c r="C432" s="90" t="n"/>
      <c r="D432" s="90" t="n">
        <v>316.21</v>
      </c>
      <c r="E432" s="90" t="n">
        <v>-316.21</v>
      </c>
      <c r="F432" s="16" t="inlineStr">
        <is>
          <t>6.6 - PEDAGIOS</t>
        </is>
      </c>
      <c r="G432" s="16" t="inlineStr">
        <is>
          <t>VEICULOS</t>
        </is>
      </c>
      <c r="H432" s="63" t="n">
        <v>2025</v>
      </c>
      <c r="I432" s="64" t="n">
        <v>6</v>
      </c>
      <c r="J432" s="16" t="inlineStr">
        <is>
          <t>Jun</t>
        </is>
      </c>
      <c r="K432" s="16" t="n"/>
      <c r="M432" s="89" t="n">
        <v>-316.21</v>
      </c>
      <c r="N432" s="1" t="inlineStr">
        <is>
          <t>PEDAGIOS</t>
        </is>
      </c>
      <c r="O432" s="1" t="inlineStr">
        <is>
          <t>Despesas com Veículos e Equipamentos</t>
        </is>
      </c>
      <c r="P432" s="1" t="inlineStr">
        <is>
          <t>(-)Gastos Fixos</t>
        </is>
      </c>
      <c r="Q432" s="1" t="n">
        <v>4</v>
      </c>
      <c r="R432" s="1" t="n">
        <v>2025</v>
      </c>
    </row>
    <row r="433">
      <c r="A433" s="61" t="n">
        <v>45820</v>
      </c>
      <c r="B433" s="16" t="inlineStr">
        <is>
          <t>ESPEDITO ADESIVOS</t>
        </is>
      </c>
      <c r="C433" s="90" t="n"/>
      <c r="D433" s="90" t="n">
        <v>638</v>
      </c>
      <c r="E433" s="90" t="n">
        <v>-638</v>
      </c>
      <c r="F433" s="16" t="inlineStr">
        <is>
          <t>3.16 - SERVIÇO PLOTAGEM / ADESIVO / PLACAS / CRACHAS</t>
        </is>
      </c>
      <c r="G433" s="16" t="inlineStr">
        <is>
          <t>ADMINISTRATIVO</t>
        </is>
      </c>
      <c r="H433" s="63" t="n">
        <v>2025</v>
      </c>
      <c r="I433" s="64" t="n">
        <v>6</v>
      </c>
      <c r="J433" s="16" t="inlineStr">
        <is>
          <t>Jun</t>
        </is>
      </c>
      <c r="K433" s="16" t="n"/>
      <c r="M433" s="89" t="n">
        <v>-638</v>
      </c>
      <c r="N433" s="1" t="inlineStr">
        <is>
          <t>SERVIÇO PLOTAGEM / ADESIVO / PLACAS / CRACHAS</t>
        </is>
      </c>
      <c r="O433" s="1" t="inlineStr">
        <is>
          <t>Despesas Administrativas</t>
        </is>
      </c>
      <c r="P433" s="1" t="inlineStr">
        <is>
          <t>(-)Gastos Fixos</t>
        </is>
      </c>
      <c r="Q433" s="1" t="n">
        <v>4</v>
      </c>
      <c r="R433" s="1" t="n">
        <v>2025</v>
      </c>
    </row>
    <row r="434">
      <c r="A434" s="61" t="n">
        <v>45820</v>
      </c>
      <c r="B434" s="16" t="inlineStr">
        <is>
          <t>CLARO TELEFONIA</t>
        </is>
      </c>
      <c r="C434" s="90" t="n"/>
      <c r="D434" s="90" t="n">
        <v>322.25</v>
      </c>
      <c r="E434" s="90" t="n">
        <v>-322.25</v>
      </c>
      <c r="F434" s="16" t="inlineStr">
        <is>
          <t>11.6 - INTERNET / TELEFONE ADM</t>
        </is>
      </c>
      <c r="G434" s="16" t="inlineStr">
        <is>
          <t>ADMINISTRATIVO</t>
        </is>
      </c>
      <c r="H434" s="63" t="n">
        <v>2025</v>
      </c>
      <c r="I434" s="64" t="n">
        <v>6</v>
      </c>
      <c r="J434" s="16" t="inlineStr">
        <is>
          <t>Jun</t>
        </is>
      </c>
      <c r="K434" s="16" t="n"/>
      <c r="M434" s="89" t="n">
        <v>-322.25</v>
      </c>
      <c r="N434" s="1" t="inlineStr">
        <is>
          <t>INTERNET / TELEFONE ADM</t>
        </is>
      </c>
      <c r="O434" s="1" t="inlineStr">
        <is>
          <t>Despesas com Infraestrutura</t>
        </is>
      </c>
      <c r="P434" s="1" t="inlineStr">
        <is>
          <t>(-)Gastos Fixos</t>
        </is>
      </c>
      <c r="Q434" s="1" t="n">
        <v>4</v>
      </c>
      <c r="R434" s="1" t="n">
        <v>2025</v>
      </c>
    </row>
    <row r="435">
      <c r="A435" s="61" t="n">
        <v>45820</v>
      </c>
      <c r="B435" s="16" t="inlineStr">
        <is>
          <t>HOTEIS OBRAS</t>
        </is>
      </c>
      <c r="C435" s="90" t="n"/>
      <c r="D435" s="90" t="n">
        <v>190</v>
      </c>
      <c r="E435" s="90" t="n">
        <v>-190</v>
      </c>
      <c r="F435" s="16" t="inlineStr">
        <is>
          <t>5.1 - HOTEL FUNCIONARIOS</t>
        </is>
      </c>
      <c r="G435" s="16" t="inlineStr">
        <is>
          <t>COMPORTAS - PORTO FERREIRA</t>
        </is>
      </c>
      <c r="H435" s="63" t="n">
        <v>2025</v>
      </c>
      <c r="I435" s="64" t="n">
        <v>6</v>
      </c>
      <c r="J435" s="16" t="inlineStr">
        <is>
          <t>Jun</t>
        </is>
      </c>
      <c r="K435" s="16" t="n"/>
      <c r="M435" s="89" t="n">
        <v>-190</v>
      </c>
      <c r="N435" s="1" t="inlineStr">
        <is>
          <t>5.1 - HOTEL FUNCIONARIOS</t>
        </is>
      </c>
      <c r="O435" s="1" t="n"/>
      <c r="P435" s="1" t="n"/>
      <c r="Q435" s="1" t="n"/>
      <c r="R435" s="1" t="n">
        <v>2025</v>
      </c>
    </row>
    <row r="436">
      <c r="A436" s="61" t="n">
        <v>45820</v>
      </c>
      <c r="B436" s="16" t="inlineStr">
        <is>
          <t>LOCAÇAO DE VEICULOS OBRAS</t>
        </is>
      </c>
      <c r="C436" s="90" t="n"/>
      <c r="D436" s="90" t="n">
        <v>817.54</v>
      </c>
      <c r="E436" s="90" t="n">
        <v>-817.54</v>
      </c>
      <c r="F436" s="16" t="inlineStr">
        <is>
          <t>7.8 - LOCAÇAO VEICULOS</t>
        </is>
      </c>
      <c r="G436" s="16" t="inlineStr">
        <is>
          <t>COMPORTAS - PORTO FERREIRA</t>
        </is>
      </c>
      <c r="H436" s="63" t="n">
        <v>2025</v>
      </c>
      <c r="I436" s="64" t="n">
        <v>6</v>
      </c>
      <c r="J436" s="16" t="inlineStr">
        <is>
          <t>Jun</t>
        </is>
      </c>
      <c r="K436" s="16" t="n"/>
      <c r="M436" s="89" t="n">
        <v>-817.54</v>
      </c>
      <c r="N436" s="1" t="inlineStr">
        <is>
          <t>LOCAÇAO VEICULOS</t>
        </is>
      </c>
      <c r="O436" s="1" t="inlineStr">
        <is>
          <t>Despesas com Locações</t>
        </is>
      </c>
      <c r="P436" s="1" t="inlineStr">
        <is>
          <t>(-)Gastos Fixos</t>
        </is>
      </c>
      <c r="Q436" s="1" t="n">
        <v>4</v>
      </c>
      <c r="R436" s="1" t="n">
        <v>2025</v>
      </c>
    </row>
    <row r="437">
      <c r="A437" s="61" t="n">
        <v>45820</v>
      </c>
      <c r="B437" s="16" t="inlineStr">
        <is>
          <t>DESPESAS DE VIAGEM</t>
        </is>
      </c>
      <c r="C437" s="90" t="n"/>
      <c r="D437" s="90" t="n">
        <v>1100</v>
      </c>
      <c r="E437" s="90" t="n">
        <v>-1100</v>
      </c>
      <c r="F437" s="16" t="inlineStr">
        <is>
          <t>12.9 - PASSAGENS FUNCIONARIOS</t>
        </is>
      </c>
      <c r="G437" s="16" t="inlineStr">
        <is>
          <t>MOSAIC UBERABA CONTRAT0 3 ANOS</t>
        </is>
      </c>
      <c r="H437" s="63" t="n">
        <v>2025</v>
      </c>
      <c r="I437" s="64" t="n">
        <v>6</v>
      </c>
      <c r="J437" s="16" t="inlineStr">
        <is>
          <t>Jun</t>
        </is>
      </c>
      <c r="K437" s="16" t="n"/>
      <c r="M437" s="89" t="n">
        <v>-1100</v>
      </c>
      <c r="N437" s="1" t="inlineStr">
        <is>
          <t>12.9 - PASSAGENS FUNCIONARIOS</t>
        </is>
      </c>
      <c r="O437" s="1" t="n"/>
      <c r="P437" s="1" t="n"/>
      <c r="Q437" s="1" t="n"/>
      <c r="R437" s="1" t="n">
        <v>2025</v>
      </c>
    </row>
    <row r="438">
      <c r="A438" s="61" t="n">
        <v>45820</v>
      </c>
      <c r="B438" s="16" t="inlineStr">
        <is>
          <t>POSTO OBRAS</t>
        </is>
      </c>
      <c r="C438" s="90" t="n"/>
      <c r="D438" s="90" t="n">
        <v>186.3</v>
      </c>
      <c r="E438" s="90" t="n">
        <v>-186.3</v>
      </c>
      <c r="F438" s="16" t="inlineStr">
        <is>
          <t>6.4 - COMBUSTIVEL VEICULOS</t>
        </is>
      </c>
      <c r="G438" s="16" t="inlineStr">
        <is>
          <t>ADMINISTRATIVO</t>
        </is>
      </c>
      <c r="H438" s="63" t="n">
        <v>2025</v>
      </c>
      <c r="I438" s="64" t="n">
        <v>6</v>
      </c>
      <c r="J438" s="16" t="inlineStr">
        <is>
          <t>Jun</t>
        </is>
      </c>
      <c r="K438" s="16" t="n"/>
      <c r="M438" s="89" t="n">
        <v>-186.3</v>
      </c>
      <c r="N438" s="1" t="inlineStr">
        <is>
          <t>COMBUSTIVEL VEICULOS</t>
        </is>
      </c>
      <c r="O438" s="1" t="inlineStr">
        <is>
          <t>Despesas com Veículos e Equipamentos</t>
        </is>
      </c>
      <c r="P438" s="1" t="inlineStr">
        <is>
          <t>(-)Gastos Fixos</t>
        </is>
      </c>
      <c r="Q438" s="1" t="n">
        <v>4</v>
      </c>
      <c r="R438" s="1" t="n">
        <v>2025</v>
      </c>
    </row>
    <row r="439">
      <c r="A439" s="61" t="n">
        <v>45820</v>
      </c>
      <c r="B439" s="16" t="inlineStr">
        <is>
          <t>DESPESAS DE VIAGEM</t>
        </is>
      </c>
      <c r="C439" s="90" t="n"/>
      <c r="D439" s="90" t="n">
        <v>600</v>
      </c>
      <c r="E439" s="90" t="n">
        <v>-600</v>
      </c>
      <c r="F439" s="16" t="inlineStr">
        <is>
          <t>12.9 - PASSAGENS FUNCIONARIOS</t>
        </is>
      </c>
      <c r="G439" s="16" t="inlineStr">
        <is>
          <t>VLI PINTURA</t>
        </is>
      </c>
      <c r="H439" s="63" t="n">
        <v>2025</v>
      </c>
      <c r="I439" s="64" t="n">
        <v>6</v>
      </c>
      <c r="J439" s="16" t="inlineStr">
        <is>
          <t>Jun</t>
        </is>
      </c>
      <c r="K439" s="16" t="n"/>
      <c r="M439" s="89" t="n">
        <v>-600</v>
      </c>
      <c r="N439" s="1" t="inlineStr">
        <is>
          <t>12.9 - PASSAGENS FUNCIONARIOS</t>
        </is>
      </c>
      <c r="O439" s="1" t="n"/>
      <c r="P439" s="1" t="n"/>
      <c r="Q439" s="1" t="n"/>
      <c r="R439" s="1" t="n">
        <v>2025</v>
      </c>
    </row>
    <row r="440">
      <c r="A440" s="61" t="n">
        <v>45820</v>
      </c>
      <c r="B440" s="16" t="inlineStr">
        <is>
          <t>ENCOMENDA DE CATALAO</t>
        </is>
      </c>
      <c r="C440" s="90" t="n"/>
      <c r="D440" s="90" t="n">
        <v>130</v>
      </c>
      <c r="E440" s="90" t="n">
        <v>-130</v>
      </c>
      <c r="F440" s="16" t="inlineStr">
        <is>
          <t>10.4 - FRETE TRANSPORTADORA</t>
        </is>
      </c>
      <c r="G440" s="16" t="inlineStr">
        <is>
          <t>NIOBIO CMOC CONTRATO</t>
        </is>
      </c>
      <c r="H440" s="63" t="n">
        <v>2025</v>
      </c>
      <c r="I440" s="64" t="n">
        <v>6</v>
      </c>
      <c r="J440" s="16" t="inlineStr">
        <is>
          <t>Jun</t>
        </is>
      </c>
      <c r="K440" s="16" t="n"/>
      <c r="M440" s="89" t="n">
        <v>-130</v>
      </c>
      <c r="N440" s="1" t="inlineStr">
        <is>
          <t>FRETE TRANSPORTADORA</t>
        </is>
      </c>
      <c r="O440" s="1" t="inlineStr">
        <is>
          <t>Fornecedores</t>
        </is>
      </c>
      <c r="P440" s="1" t="inlineStr">
        <is>
          <t>(-)Custos Variavéis</t>
        </is>
      </c>
      <c r="Q440" s="1" t="n">
        <v>3</v>
      </c>
      <c r="R440" s="1" t="n">
        <v>2025</v>
      </c>
    </row>
    <row r="441">
      <c r="A441" s="61" t="n">
        <v>45820</v>
      </c>
      <c r="B441" s="16" t="inlineStr">
        <is>
          <t>SERVIÇOS DE LIMPEZA / FAXINA</t>
        </is>
      </c>
      <c r="C441" s="90" t="n"/>
      <c r="D441" s="90" t="n">
        <v>300</v>
      </c>
      <c r="E441" s="90" t="n">
        <v>-300</v>
      </c>
      <c r="F441" s="16" t="inlineStr">
        <is>
          <t>3.7 - SERVIÇO LIMPEZA ALOJAMENTO/ESCRITORIO</t>
        </is>
      </c>
      <c r="G441" s="16" t="inlineStr">
        <is>
          <t>SERENA 21 TORRES 2024</t>
        </is>
      </c>
      <c r="H441" s="63" t="n">
        <v>2025</v>
      </c>
      <c r="I441" s="64" t="n">
        <v>6</v>
      </c>
      <c r="J441" s="16" t="inlineStr">
        <is>
          <t>Jun</t>
        </is>
      </c>
      <c r="K441" s="16" t="n"/>
      <c r="M441" s="89" t="n">
        <v>-300</v>
      </c>
      <c r="N441" s="1" t="inlineStr">
        <is>
          <t>SERVIÇO LIMPEZA ALOJAMENTO/ESCRITORIO</t>
        </is>
      </c>
      <c r="O441" s="1" t="inlineStr">
        <is>
          <t>Despesas com Infraestrutura</t>
        </is>
      </c>
      <c r="P441" s="1" t="inlineStr">
        <is>
          <t>(-)Gastos Fixos</t>
        </is>
      </c>
      <c r="Q441" s="1" t="n">
        <v>4</v>
      </c>
      <c r="R441" s="1" t="n">
        <v>2025</v>
      </c>
    </row>
    <row r="442">
      <c r="A442" s="61" t="n">
        <v>45820</v>
      </c>
      <c r="B442" s="16" t="inlineStr">
        <is>
          <t>INFORMATICA OBRAS</t>
        </is>
      </c>
      <c r="C442" s="90" t="n"/>
      <c r="D442" s="90" t="n">
        <v>245</v>
      </c>
      <c r="E442" s="90" t="n">
        <v>-245</v>
      </c>
      <c r="F442" s="16" t="inlineStr">
        <is>
          <t>11.13 - MATERIAIS DE INFORMATICA / COMPUTADOR</t>
        </is>
      </c>
      <c r="G442" s="16" t="inlineStr">
        <is>
          <t>MOSAIC UBERABA CONTRAT0 3 ANOS</t>
        </is>
      </c>
      <c r="H442" s="63" t="n">
        <v>2025</v>
      </c>
      <c r="I442" s="64" t="n">
        <v>6</v>
      </c>
      <c r="J442" s="16" t="inlineStr">
        <is>
          <t>Jun</t>
        </is>
      </c>
      <c r="K442" s="16" t="n"/>
      <c r="M442" s="89" t="n">
        <v>-245</v>
      </c>
      <c r="N442" s="1" t="inlineStr">
        <is>
          <t>MATERIAIS DE INFORMATICA / COMPUTADOR</t>
        </is>
      </c>
      <c r="O442" s="1" t="inlineStr">
        <is>
          <t>Despesas Administrativas</t>
        </is>
      </c>
      <c r="P442" s="1" t="inlineStr">
        <is>
          <t>(-)Gastos Fixos</t>
        </is>
      </c>
      <c r="Q442" s="1" t="n">
        <v>4</v>
      </c>
      <c r="R442" s="1" t="n">
        <v>2025</v>
      </c>
    </row>
    <row r="443">
      <c r="A443" s="61" t="n">
        <v>45820</v>
      </c>
      <c r="B443" s="16" t="inlineStr">
        <is>
          <t>1361 - MATRIX CONSULTORIA E GESTAO DE TREINAMENTO EIRELI</t>
        </is>
      </c>
      <c r="C443" s="90" t="n"/>
      <c r="D443" s="90" t="n">
        <v>749.5</v>
      </c>
      <c r="E443" s="90" t="n">
        <v>-749.5</v>
      </c>
      <c r="F443" s="16" t="inlineStr">
        <is>
          <t>14.3 - PROGRAMA DE SEGURANÇA DO TRABALHO</t>
        </is>
      </c>
      <c r="G443" s="16" t="inlineStr">
        <is>
          <t>SERENA 21 TORRES 2024</t>
        </is>
      </c>
      <c r="H443" s="63" t="n">
        <v>2025</v>
      </c>
      <c r="I443" s="64" t="n">
        <v>6</v>
      </c>
      <c r="J443" s="16" t="inlineStr">
        <is>
          <t>Jun</t>
        </is>
      </c>
      <c r="K443" s="16" t="n"/>
      <c r="M443" s="89" t="n">
        <v>-749.5</v>
      </c>
      <c r="N443" s="1" t="inlineStr">
        <is>
          <t>PROGRAMA DE SEGURANÇA DO TRABALHO</t>
        </is>
      </c>
      <c r="O443" s="1" t="inlineStr">
        <is>
          <t>Despesas com Pessoal</t>
        </is>
      </c>
      <c r="P443" s="1" t="inlineStr">
        <is>
          <t>(-)Gastos Fixos</t>
        </is>
      </c>
      <c r="Q443" s="1" t="n">
        <v>4</v>
      </c>
      <c r="R443" s="1" t="n">
        <v>2025</v>
      </c>
    </row>
    <row r="444">
      <c r="A444" s="61" t="n">
        <v>45820</v>
      </c>
      <c r="B444" s="16" t="inlineStr">
        <is>
          <t>9653 - AMO ASSESSORIA MEDICA OCUPACIONAL LTDA</t>
        </is>
      </c>
      <c r="C444" s="90" t="n"/>
      <c r="D444" s="90" t="n">
        <v>2594.83</v>
      </c>
      <c r="E444" s="90" t="n">
        <v>-2594.83</v>
      </c>
      <c r="F444" s="16" t="inlineStr">
        <is>
          <t>14.1 - EXAMES</t>
        </is>
      </c>
      <c r="G444" s="16" t="inlineStr">
        <is>
          <t>MOSAIC UBERABA CONTRAT0 3 ANOS</t>
        </is>
      </c>
      <c r="H444" s="63" t="n">
        <v>2025</v>
      </c>
      <c r="I444" s="64" t="n">
        <v>6</v>
      </c>
      <c r="J444" s="16" t="inlineStr">
        <is>
          <t>Jun</t>
        </is>
      </c>
      <c r="K444" s="16" t="n"/>
      <c r="M444" s="89" t="n">
        <v>-2594.83</v>
      </c>
      <c r="N444" s="1" t="inlineStr">
        <is>
          <t>EXAMES MÉDICOS</t>
        </is>
      </c>
      <c r="O444" s="1" t="inlineStr">
        <is>
          <t>Despesas com Pessoal</t>
        </is>
      </c>
      <c r="P444" s="1" t="inlineStr">
        <is>
          <t>(-)Gastos Fixos</t>
        </is>
      </c>
      <c r="Q444" s="1" t="n">
        <v>4</v>
      </c>
      <c r="R444" s="1" t="n">
        <v>2025</v>
      </c>
    </row>
    <row r="445">
      <c r="A445" s="61" t="n">
        <v>45820</v>
      </c>
      <c r="B445" s="16" t="inlineStr">
        <is>
          <t>1681 - TRANSPORTADORA AQUINO E DINIZ LTDA</t>
        </is>
      </c>
      <c r="C445" s="90" t="n"/>
      <c r="D445" s="90" t="n">
        <v>1404</v>
      </c>
      <c r="E445" s="90" t="n">
        <v>-1404</v>
      </c>
      <c r="F445" s="16" t="inlineStr">
        <is>
          <t>12.7 - TRANSPORTE FUNCIONARIOS</t>
        </is>
      </c>
      <c r="G445" s="16" t="inlineStr">
        <is>
          <t>ANGLO AMERICAN</t>
        </is>
      </c>
      <c r="H445" s="63" t="n">
        <v>2025</v>
      </c>
      <c r="I445" s="64" t="n">
        <v>6</v>
      </c>
      <c r="J445" s="16" t="inlineStr">
        <is>
          <t>Jun</t>
        </is>
      </c>
      <c r="K445" s="16" t="n"/>
      <c r="M445" s="89" t="n">
        <v>-1404</v>
      </c>
      <c r="N445" s="1" t="inlineStr">
        <is>
          <t>12.7 - TRANSPORTE FUNCIONARIOS</t>
        </is>
      </c>
      <c r="O445" s="1" t="n"/>
      <c r="P445" s="1" t="n"/>
      <c r="Q445" s="1" t="n"/>
      <c r="R445" s="1" t="n">
        <v>2025</v>
      </c>
    </row>
    <row r="446">
      <c r="A446" s="61" t="n">
        <v>45821</v>
      </c>
      <c r="B446" s="16" t="inlineStr">
        <is>
          <t>2471 - CMOC BRASIL MINERAÇAO INDUSTRIAL E PARTICIPAÇOES</t>
        </is>
      </c>
      <c r="C446" s="90" t="n">
        <v>15632.68</v>
      </c>
      <c r="D446" s="90" t="n"/>
      <c r="E446" s="90" t="n">
        <v>15632.68</v>
      </c>
      <c r="F446" s="16" t="inlineStr">
        <is>
          <t>1.1.1 - Recebimento de Clientes</t>
        </is>
      </c>
      <c r="G446" s="16" t="inlineStr">
        <is>
          <t>FOSFATO CMOC CONTRAT</t>
        </is>
      </c>
      <c r="H446" s="63" t="n">
        <v>2025</v>
      </c>
      <c r="I446" s="64" t="n">
        <v>6</v>
      </c>
      <c r="J446" s="16" t="inlineStr">
        <is>
          <t>Jun</t>
        </is>
      </c>
      <c r="K446" s="16" t="n"/>
      <c r="M446" s="89" t="n">
        <v>15632.68</v>
      </c>
      <c r="N446" s="1" t="inlineStr">
        <is>
          <t>Faturamento</t>
        </is>
      </c>
      <c r="O446" s="1" t="inlineStr">
        <is>
          <t>(+)Receita Bruta</t>
        </is>
      </c>
      <c r="P446" s="1" t="inlineStr">
        <is>
          <t>(=)Receita Bruta</t>
        </is>
      </c>
      <c r="Q446" s="1" t="n">
        <v>1</v>
      </c>
      <c r="R446" s="1" t="n">
        <v>2025</v>
      </c>
    </row>
    <row r="447">
      <c r="A447" s="61" t="n">
        <v>45821</v>
      </c>
      <c r="B447" s="16" t="inlineStr">
        <is>
          <t>MAGNO</t>
        </is>
      </c>
      <c r="C447" s="90" t="n"/>
      <c r="D447" s="90" t="n">
        <v>2160</v>
      </c>
      <c r="E447" s="90" t="n">
        <v>-2160</v>
      </c>
      <c r="F447" t="inlineStr">
        <is>
          <t>13.1 - EPIS</t>
        </is>
      </c>
      <c r="G447" s="16" t="inlineStr">
        <is>
          <t>MOSAIC UBERABA CONTRAT0 3 ANOS</t>
        </is>
      </c>
      <c r="H447" s="63" t="n">
        <v>2025</v>
      </c>
      <c r="I447" s="64" t="n">
        <v>6</v>
      </c>
      <c r="J447" s="16" t="inlineStr">
        <is>
          <t>Jun</t>
        </is>
      </c>
      <c r="K447" s="16" t="n"/>
      <c r="M447" s="89" t="n">
        <v>-2160</v>
      </c>
      <c r="N447" s="1" t="inlineStr">
        <is>
          <t>EPIS</t>
        </is>
      </c>
      <c r="O447" s="1" t="inlineStr">
        <is>
          <t>Despesas com Pessoal</t>
        </is>
      </c>
      <c r="P447" s="1" t="inlineStr">
        <is>
          <t>(-)Gastos Fixos</t>
        </is>
      </c>
      <c r="Q447" s="1" t="n">
        <v>4</v>
      </c>
      <c r="R447" s="1" t="n">
        <v>2025</v>
      </c>
    </row>
    <row r="448">
      <c r="A448" s="61" t="n">
        <v>45821</v>
      </c>
      <c r="B448" s="16" t="inlineStr">
        <is>
          <t>MAGNO</t>
        </is>
      </c>
      <c r="C448" s="90" t="n"/>
      <c r="D448" s="90" t="n">
        <v>2000</v>
      </c>
      <c r="E448" s="90" t="n">
        <v>-2000</v>
      </c>
      <c r="F448" t="inlineStr">
        <is>
          <t>13.1 - EPIS</t>
        </is>
      </c>
      <c r="G448" s="16" t="inlineStr">
        <is>
          <t>ANGLO AMERICAN</t>
        </is>
      </c>
      <c r="H448" s="63" t="n">
        <v>2025</v>
      </c>
      <c r="I448" s="64" t="n">
        <v>6</v>
      </c>
      <c r="J448" s="16" t="inlineStr">
        <is>
          <t>Jun</t>
        </is>
      </c>
      <c r="K448" s="16" t="n"/>
      <c r="M448" s="89" t="n">
        <v>-2000</v>
      </c>
      <c r="N448" s="1" t="inlineStr">
        <is>
          <t>EPIS</t>
        </is>
      </c>
      <c r="O448" s="1" t="inlineStr">
        <is>
          <t>Despesas com Pessoal</t>
        </is>
      </c>
      <c r="P448" s="1" t="inlineStr">
        <is>
          <t>(-)Gastos Fixos</t>
        </is>
      </c>
      <c r="Q448" s="1" t="n">
        <v>4</v>
      </c>
      <c r="R448" s="1" t="n">
        <v>2025</v>
      </c>
    </row>
    <row r="449">
      <c r="A449" s="61" t="n">
        <v>45821</v>
      </c>
      <c r="B449" s="16" t="inlineStr">
        <is>
          <t>MAGNO</t>
        </is>
      </c>
      <c r="C449" s="90" t="n"/>
      <c r="D449" s="90" t="n">
        <v>1000</v>
      </c>
      <c r="E449" s="90" t="n">
        <v>-1000</v>
      </c>
      <c r="F449" s="16" t="inlineStr">
        <is>
          <t>13.1 - EPIS</t>
        </is>
      </c>
      <c r="G449" s="16" t="inlineStr">
        <is>
          <t>CONDUTOS - ELETROBRAS</t>
        </is>
      </c>
      <c r="H449" s="63" t="n">
        <v>2025</v>
      </c>
      <c r="I449" s="64" t="n">
        <v>6</v>
      </c>
      <c r="J449" s="16" t="inlineStr">
        <is>
          <t>Jun</t>
        </is>
      </c>
      <c r="K449" s="16" t="n"/>
      <c r="M449" s="89" t="n">
        <v>-1000</v>
      </c>
      <c r="N449" s="1" t="inlineStr">
        <is>
          <t>EPIS</t>
        </is>
      </c>
      <c r="O449" s="1" t="inlineStr">
        <is>
          <t>Despesas com Pessoal</t>
        </is>
      </c>
      <c r="P449" s="1" t="inlineStr">
        <is>
          <t>(-)Gastos Fixos</t>
        </is>
      </c>
      <c r="Q449" s="1" t="n">
        <v>4</v>
      </c>
      <c r="R449" s="1" t="n">
        <v>2025</v>
      </c>
    </row>
    <row r="450">
      <c r="A450" s="61" t="n">
        <v>45821</v>
      </c>
      <c r="B450" s="16" t="inlineStr">
        <is>
          <t>QUALI TINTAS</t>
        </is>
      </c>
      <c r="C450" s="90" t="n"/>
      <c r="D450" s="90" t="n">
        <v>50000</v>
      </c>
      <c r="E450" s="90" t="n">
        <v>-50000</v>
      </c>
      <c r="F450" s="16" t="inlineStr">
        <is>
          <t>6.11 - COMPRA/VENDA VEICULOS</t>
        </is>
      </c>
      <c r="G450" s="16" t="inlineStr">
        <is>
          <t>VEICULOS</t>
        </is>
      </c>
      <c r="H450" s="63" t="n">
        <v>2025</v>
      </c>
      <c r="I450" s="64" t="n">
        <v>6</v>
      </c>
      <c r="J450" s="16" t="inlineStr">
        <is>
          <t>Jun</t>
        </is>
      </c>
      <c r="K450" s="16" t="n"/>
      <c r="M450" s="89" t="n">
        <v>-50000</v>
      </c>
      <c r="N450" s="1" t="inlineStr">
        <is>
          <t>6.11 - COMPRA/VENDA VEICULOS</t>
        </is>
      </c>
      <c r="O450" s="1" t="n"/>
      <c r="P450" s="1" t="n"/>
      <c r="Q450" s="1" t="n"/>
      <c r="R450" s="1" t="n">
        <v>2025</v>
      </c>
    </row>
    <row r="451">
      <c r="A451" s="61" t="n">
        <v>45821</v>
      </c>
      <c r="B451" s="16" t="inlineStr">
        <is>
          <t>QUALI TINTAS</t>
        </is>
      </c>
      <c r="C451" s="90" t="n"/>
      <c r="D451" s="90" t="n">
        <v>90000</v>
      </c>
      <c r="E451" s="90" t="n">
        <v>-90000</v>
      </c>
      <c r="F451" s="16" t="inlineStr">
        <is>
          <t>6.11 - COMPRA/VENDA VEICULOS</t>
        </is>
      </c>
      <c r="G451" s="16" t="inlineStr">
        <is>
          <t>VEICULOS</t>
        </is>
      </c>
      <c r="H451" s="63" t="n">
        <v>2025</v>
      </c>
      <c r="I451" s="64" t="n">
        <v>6</v>
      </c>
      <c r="J451" s="16" t="inlineStr">
        <is>
          <t>Jun</t>
        </is>
      </c>
      <c r="K451" s="16" t="n"/>
      <c r="M451" s="89" t="n">
        <v>-90000</v>
      </c>
      <c r="N451" s="1" t="inlineStr">
        <is>
          <t>6.11 - COMPRA/VENDA VEICULOS</t>
        </is>
      </c>
      <c r="O451" s="1" t="n"/>
      <c r="P451" s="1" t="n"/>
      <c r="Q451" s="1" t="n"/>
      <c r="R451" s="1" t="n">
        <v>2025</v>
      </c>
    </row>
    <row r="452">
      <c r="A452" s="61" t="n">
        <v>45821</v>
      </c>
      <c r="B452" s="16" t="inlineStr">
        <is>
          <t>GILVAN</t>
        </is>
      </c>
      <c r="C452" s="90" t="n"/>
      <c r="D452" s="90" t="n">
        <v>416.46</v>
      </c>
      <c r="E452" s="90" t="n">
        <v>-416.46</v>
      </c>
      <c r="F452" s="16" t="inlineStr">
        <is>
          <t>6.4 - COMBUSTIVEL VEICULOS</t>
        </is>
      </c>
      <c r="G452" s="16" t="inlineStr">
        <is>
          <t>ADMINISTRATIVO</t>
        </is>
      </c>
      <c r="H452" s="63" t="n">
        <v>2025</v>
      </c>
      <c r="I452" s="64" t="n">
        <v>6</v>
      </c>
      <c r="J452" s="16" t="inlineStr">
        <is>
          <t>Jun</t>
        </is>
      </c>
      <c r="K452" s="16" t="n"/>
      <c r="M452" s="89" t="n">
        <v>-416.46</v>
      </c>
      <c r="N452" s="1" t="inlineStr">
        <is>
          <t>COMBUSTIVEL VEICULOS</t>
        </is>
      </c>
      <c r="O452" s="1" t="inlineStr">
        <is>
          <t>Despesas com Veículos e Equipamentos</t>
        </is>
      </c>
      <c r="P452" s="1" t="inlineStr">
        <is>
          <t>(-)Gastos Fixos</t>
        </is>
      </c>
      <c r="Q452" s="1" t="n">
        <v>4</v>
      </c>
      <c r="R452" s="1" t="n">
        <v>2025</v>
      </c>
    </row>
    <row r="453">
      <c r="A453" s="61" t="n">
        <v>45821</v>
      </c>
      <c r="B453" s="16" t="inlineStr">
        <is>
          <t>ENCOMENDA DE CATALAO</t>
        </is>
      </c>
      <c r="C453" s="90" t="n"/>
      <c r="D453" s="90" t="n">
        <v>240</v>
      </c>
      <c r="E453" s="90" t="n">
        <v>-240</v>
      </c>
      <c r="F453" s="16" t="inlineStr">
        <is>
          <t>10.4 - FRETE TRANSPORTADORA</t>
        </is>
      </c>
      <c r="G453" s="16" t="inlineStr">
        <is>
          <t>NIOBIO CMOC CONTRATO</t>
        </is>
      </c>
      <c r="H453" s="63" t="n">
        <v>2025</v>
      </c>
      <c r="I453" s="64" t="n">
        <v>6</v>
      </c>
      <c r="J453" s="16" t="inlineStr">
        <is>
          <t>Jun</t>
        </is>
      </c>
      <c r="K453" s="16" t="n"/>
      <c r="M453" s="89" t="n">
        <v>-240</v>
      </c>
      <c r="N453" s="1" t="inlineStr">
        <is>
          <t>FRETE TRANSPORTADORA</t>
        </is>
      </c>
      <c r="O453" s="1" t="inlineStr">
        <is>
          <t>Fornecedores</t>
        </is>
      </c>
      <c r="P453" s="1" t="inlineStr">
        <is>
          <t>(-)Custos Variavéis</t>
        </is>
      </c>
      <c r="Q453" s="1" t="n">
        <v>3</v>
      </c>
      <c r="R453" s="1" t="n">
        <v>2025</v>
      </c>
    </row>
    <row r="454">
      <c r="A454" s="61" t="n">
        <v>45821</v>
      </c>
      <c r="B454" s="16" t="inlineStr">
        <is>
          <t>MAGNO</t>
        </is>
      </c>
      <c r="C454" s="90" t="n"/>
      <c r="D454" s="90" t="n">
        <v>121</v>
      </c>
      <c r="E454" s="90" t="n">
        <v>-121</v>
      </c>
      <c r="F454" s="16" t="inlineStr">
        <is>
          <t>12.5 - REFEIÇÕES FUNCIONARIOS</t>
        </is>
      </c>
      <c r="G454" s="16" t="inlineStr">
        <is>
          <t>MOSAIC UBERABA CONTRAT0 3 ANOS</t>
        </is>
      </c>
      <c r="H454" s="63" t="n">
        <v>2025</v>
      </c>
      <c r="I454" s="64" t="n">
        <v>6</v>
      </c>
      <c r="J454" s="16" t="inlineStr">
        <is>
          <t>Jun</t>
        </is>
      </c>
      <c r="K454" s="16" t="n"/>
      <c r="M454" s="89" t="n">
        <v>-121</v>
      </c>
      <c r="N454" s="1" t="inlineStr">
        <is>
          <t>12.5 - REFEIÇÕES FUNCIONARIOS</t>
        </is>
      </c>
      <c r="O454" s="1" t="n"/>
      <c r="P454" s="1" t="n"/>
      <c r="Q454" s="1" t="n"/>
      <c r="R454" s="1" t="n">
        <v>2025</v>
      </c>
    </row>
    <row r="455">
      <c r="A455" s="61" t="n">
        <v>45821</v>
      </c>
      <c r="B455" s="16" t="inlineStr">
        <is>
          <t>MAGNO</t>
        </is>
      </c>
      <c r="C455" s="90" t="n"/>
      <c r="D455" s="90" t="n">
        <v>146</v>
      </c>
      <c r="E455" s="90" t="n">
        <v>-146</v>
      </c>
      <c r="F455" s="16" t="inlineStr">
        <is>
          <t>6.3 - MANUTENÇÃO/PEÇAS  VEICULOS</t>
        </is>
      </c>
      <c r="G455" s="16" t="inlineStr">
        <is>
          <t>MOSAIC UBERABA CONTRAT0 3 ANOS</t>
        </is>
      </c>
      <c r="H455" s="63" t="n">
        <v>2025</v>
      </c>
      <c r="I455" s="64" t="n">
        <v>6</v>
      </c>
      <c r="J455" s="16" t="inlineStr">
        <is>
          <t>Jun</t>
        </is>
      </c>
      <c r="K455" s="16" t="n"/>
      <c r="M455" s="89" t="n">
        <v>-146</v>
      </c>
      <c r="N455" s="1" t="inlineStr">
        <is>
          <t>MANUTENÇÃO/PEÇAS  VEICULOS</t>
        </is>
      </c>
      <c r="O455" s="1" t="inlineStr">
        <is>
          <t>Despesas com Veículos e Equipamentos</t>
        </is>
      </c>
      <c r="P455" s="1" t="inlineStr">
        <is>
          <t>(-)Gastos Fixos</t>
        </is>
      </c>
      <c r="Q455" s="1" t="n">
        <v>4</v>
      </c>
      <c r="R455" s="1" t="n">
        <v>2025</v>
      </c>
    </row>
    <row r="456">
      <c r="A456" s="61" t="n">
        <v>45821</v>
      </c>
      <c r="B456" s="16" t="inlineStr">
        <is>
          <t>MAGNO</t>
        </is>
      </c>
      <c r="C456" s="90" t="n"/>
      <c r="D456" s="90" t="n">
        <v>150</v>
      </c>
      <c r="E456" s="90" t="n">
        <v>-150</v>
      </c>
      <c r="F456" s="16" t="inlineStr">
        <is>
          <t>13.1 - EPIS</t>
        </is>
      </c>
      <c r="G456" s="16" t="inlineStr">
        <is>
          <t>MOSAIC UBERABA CONTRAT0 3 ANOS</t>
        </is>
      </c>
      <c r="H456" s="63" t="n">
        <v>2025</v>
      </c>
      <c r="I456" s="64" t="n">
        <v>6</v>
      </c>
      <c r="J456" s="16" t="inlineStr">
        <is>
          <t>Jun</t>
        </is>
      </c>
      <c r="K456" s="16" t="n"/>
      <c r="M456" s="89" t="n">
        <v>-150</v>
      </c>
      <c r="N456" s="1" t="inlineStr">
        <is>
          <t>EPIS</t>
        </is>
      </c>
      <c r="O456" s="1" t="inlineStr">
        <is>
          <t>Despesas com Pessoal</t>
        </is>
      </c>
      <c r="P456" s="1" t="inlineStr">
        <is>
          <t>(-)Gastos Fixos</t>
        </is>
      </c>
      <c r="Q456" s="1" t="n">
        <v>4</v>
      </c>
      <c r="R456" s="1" t="n">
        <v>2025</v>
      </c>
    </row>
    <row r="457">
      <c r="A457" s="61" t="n">
        <v>45821</v>
      </c>
      <c r="B457" s="16" t="inlineStr">
        <is>
          <t>MAGNO</t>
        </is>
      </c>
      <c r="C457" s="90" t="n"/>
      <c r="D457" s="90" t="n">
        <v>232</v>
      </c>
      <c r="E457" s="90" t="n">
        <v>-232</v>
      </c>
      <c r="F457" s="16" t="inlineStr">
        <is>
          <t>6.4 - COMBUSTIVEL VEICULOS</t>
        </is>
      </c>
      <c r="G457" s="16" t="inlineStr">
        <is>
          <t>MOSAIC UBERABA CONTRAT0 3 ANOS</t>
        </is>
      </c>
      <c r="H457" s="63" t="n">
        <v>2025</v>
      </c>
      <c r="I457" s="64" t="n">
        <v>6</v>
      </c>
      <c r="J457" s="16" t="inlineStr">
        <is>
          <t>Jun</t>
        </is>
      </c>
      <c r="K457" s="16" t="n"/>
      <c r="M457" s="89" t="n">
        <v>-232</v>
      </c>
      <c r="N457" s="1" t="inlineStr">
        <is>
          <t>COMBUSTIVEL VEICULOS</t>
        </is>
      </c>
      <c r="O457" s="1" t="inlineStr">
        <is>
          <t>Despesas com Veículos e Equipamentos</t>
        </is>
      </c>
      <c r="P457" s="1" t="inlineStr">
        <is>
          <t>(-)Gastos Fixos</t>
        </is>
      </c>
      <c r="Q457" s="1" t="n">
        <v>4</v>
      </c>
      <c r="R457" s="1" t="n">
        <v>2025</v>
      </c>
    </row>
    <row r="458">
      <c r="A458" s="61" t="n">
        <v>45821</v>
      </c>
      <c r="B458" s="16" t="inlineStr">
        <is>
          <t>MAGNO</t>
        </is>
      </c>
      <c r="C458" s="90" t="n"/>
      <c r="D458" s="90" t="n">
        <v>252.9</v>
      </c>
      <c r="E458" s="90" t="n">
        <v>-252.9</v>
      </c>
      <c r="F458" s="16" t="inlineStr">
        <is>
          <t>8.10 - MATERIAS DE ESCRITORIO</t>
        </is>
      </c>
      <c r="G458" s="16" t="inlineStr">
        <is>
          <t>MOSAIC UBERABA CONTRAT0 3 ANOS</t>
        </is>
      </c>
      <c r="H458" s="63" t="n">
        <v>2025</v>
      </c>
      <c r="I458" s="64" t="n">
        <v>6</v>
      </c>
      <c r="J458" s="16" t="inlineStr">
        <is>
          <t>Jun</t>
        </is>
      </c>
      <c r="K458" s="16" t="n"/>
      <c r="M458" s="89" t="n">
        <v>-252.9</v>
      </c>
      <c r="N458" s="1" t="inlineStr">
        <is>
          <t>MATERIAS DE ESCRITORIO / PAPELARIA</t>
        </is>
      </c>
      <c r="O458" s="1" t="inlineStr">
        <is>
          <t>Despesas Administrativas</t>
        </is>
      </c>
      <c r="P458" s="1" t="inlineStr">
        <is>
          <t>(-)Gastos Fixos</t>
        </is>
      </c>
      <c r="Q458" s="1" t="n">
        <v>4</v>
      </c>
      <c r="R458" s="1" t="n">
        <v>2025</v>
      </c>
    </row>
    <row r="459">
      <c r="A459" s="61" t="n">
        <v>45821</v>
      </c>
      <c r="B459" s="16" t="inlineStr">
        <is>
          <t>MAGNO</t>
        </is>
      </c>
      <c r="C459" s="90" t="n"/>
      <c r="D459" s="90" t="n">
        <v>490</v>
      </c>
      <c r="E459" s="90" t="n">
        <v>-490</v>
      </c>
      <c r="F459" s="16" t="inlineStr">
        <is>
          <t>3.8 - SERVIÇO MOTOBOY / UBER</t>
        </is>
      </c>
      <c r="G459" s="16" t="inlineStr">
        <is>
          <t>MOSAIC UBERABA CONTRAT0 3 ANOS</t>
        </is>
      </c>
      <c r="H459" s="63" t="n">
        <v>2025</v>
      </c>
      <c r="I459" s="64" t="n">
        <v>6</v>
      </c>
      <c r="J459" s="16" t="inlineStr">
        <is>
          <t>Jun</t>
        </is>
      </c>
      <c r="K459" s="16" t="n"/>
      <c r="M459" s="89" t="n">
        <v>-490</v>
      </c>
      <c r="N459" s="1" t="inlineStr">
        <is>
          <t>SERVIÇO MOTOBOY / UBER</t>
        </is>
      </c>
      <c r="O459" s="1" t="inlineStr">
        <is>
          <t>Despesas Administrativas</t>
        </is>
      </c>
      <c r="P459" s="1" t="inlineStr">
        <is>
          <t>(-)Gastos Fixos</t>
        </is>
      </c>
      <c r="Q459" s="1" t="n">
        <v>4</v>
      </c>
      <c r="R459" s="1" t="n">
        <v>2025</v>
      </c>
    </row>
    <row r="460">
      <c r="A460" s="61" t="n">
        <v>45821</v>
      </c>
      <c r="B460" s="16" t="inlineStr">
        <is>
          <t>DESPESAS DE OBRAS</t>
        </is>
      </c>
      <c r="C460" s="90" t="n"/>
      <c r="D460" s="90" t="n">
        <v>400</v>
      </c>
      <c r="E460" s="90" t="n">
        <v>-400</v>
      </c>
      <c r="F460" s="16" t="inlineStr">
        <is>
          <t>13.2 - UNIFORMES</t>
        </is>
      </c>
      <c r="G460" s="16" t="inlineStr">
        <is>
          <t>ANGLO AMERICAN</t>
        </is>
      </c>
      <c r="H460" s="63" t="n">
        <v>2025</v>
      </c>
      <c r="I460" s="64" t="n">
        <v>6</v>
      </c>
      <c r="J460" s="16" t="inlineStr">
        <is>
          <t>Jun</t>
        </is>
      </c>
      <c r="K460" s="16" t="n"/>
      <c r="M460" s="89" t="n">
        <v>-400</v>
      </c>
      <c r="N460" s="1" t="inlineStr">
        <is>
          <t>UNIFORMES</t>
        </is>
      </c>
      <c r="O460" s="1" t="inlineStr">
        <is>
          <t>Despesas com Pessoal</t>
        </is>
      </c>
      <c r="P460" s="1" t="inlineStr">
        <is>
          <t>(-)Gastos Fixos</t>
        </is>
      </c>
      <c r="Q460" s="1" t="n">
        <v>4</v>
      </c>
      <c r="R460" s="1" t="n">
        <v>2025</v>
      </c>
    </row>
    <row r="461">
      <c r="A461" s="61" t="n">
        <v>45821</v>
      </c>
      <c r="B461" s="16" t="inlineStr">
        <is>
          <t>112862 - EPIFER EPIS E FERRAMENTAS LTDA</t>
        </is>
      </c>
      <c r="C461" s="90" t="n"/>
      <c r="D461" s="90" t="n">
        <v>36.4</v>
      </c>
      <c r="E461" s="90" t="n">
        <v>-36.4</v>
      </c>
      <c r="F461" s="16" t="inlineStr">
        <is>
          <t>13.1 - EPIS</t>
        </is>
      </c>
      <c r="G461" s="16" t="inlineStr">
        <is>
          <t>CONDUTOS - ELETROBRAS</t>
        </is>
      </c>
      <c r="H461" s="63" t="n">
        <v>2025</v>
      </c>
      <c r="I461" s="64" t="n">
        <v>6</v>
      </c>
      <c r="J461" s="16" t="inlineStr">
        <is>
          <t>Jun</t>
        </is>
      </c>
      <c r="K461" s="16" t="n"/>
      <c r="M461" s="89" t="n">
        <v>-36.4</v>
      </c>
      <c r="N461" s="1" t="inlineStr">
        <is>
          <t>EPIS</t>
        </is>
      </c>
      <c r="O461" s="1" t="inlineStr">
        <is>
          <t>Despesas com Pessoal</t>
        </is>
      </c>
      <c r="P461" s="1" t="inlineStr">
        <is>
          <t>(-)Gastos Fixos</t>
        </is>
      </c>
      <c r="Q461" s="1" t="n">
        <v>4</v>
      </c>
      <c r="R461" s="1" t="n">
        <v>2025</v>
      </c>
    </row>
    <row r="462">
      <c r="A462" s="61" t="n">
        <v>45821</v>
      </c>
      <c r="B462" s="16" t="inlineStr">
        <is>
          <t>66091 - SOLUCAO PRODUTOS PARA CONSTRUCAO LTDA - EPP</t>
        </is>
      </c>
      <c r="C462" s="90" t="n"/>
      <c r="D462" s="90" t="n">
        <v>3295.6</v>
      </c>
      <c r="E462" s="90" t="n">
        <v>-3295.6</v>
      </c>
      <c r="F462" s="16" t="inlineStr">
        <is>
          <t>4.1 - TINTAS E SOLVENTES</t>
        </is>
      </c>
      <c r="G462" s="16" t="inlineStr">
        <is>
          <t>VLI PINTURA</t>
        </is>
      </c>
      <c r="H462" s="63" t="n">
        <v>2025</v>
      </c>
      <c r="I462" s="64" t="n">
        <v>6</v>
      </c>
      <c r="J462" s="16" t="inlineStr">
        <is>
          <t>Jun</t>
        </is>
      </c>
      <c r="K462" s="16" t="n"/>
      <c r="M462" s="89" t="n">
        <v>-3295.6</v>
      </c>
      <c r="N462" s="1" t="inlineStr">
        <is>
          <t>TINTAS E SOLVENTES</t>
        </is>
      </c>
      <c r="O462" s="1" t="inlineStr">
        <is>
          <t>Fornecedores</t>
        </is>
      </c>
      <c r="P462" s="1" t="inlineStr">
        <is>
          <t>(-)Custos Variavéis</t>
        </is>
      </c>
      <c r="Q462" s="1" t="n">
        <v>3</v>
      </c>
      <c r="R462" s="1" t="n">
        <v>2025</v>
      </c>
    </row>
    <row r="463">
      <c r="A463" s="61" t="n">
        <v>45821</v>
      </c>
      <c r="B463" s="16" t="inlineStr">
        <is>
          <t>66091 - SOLUCAO PRODUTOS PARA CONSTRUCAO LTDA - EPP</t>
        </is>
      </c>
      <c r="C463" s="90" t="n"/>
      <c r="D463" s="90" t="n">
        <v>3295.6</v>
      </c>
      <c r="E463" s="90" t="n">
        <v>-3295.6</v>
      </c>
      <c r="F463" s="16" t="inlineStr">
        <is>
          <t>4.1 - TINTAS E SOLVENTES</t>
        </is>
      </c>
      <c r="G463" s="16" t="inlineStr">
        <is>
          <t>VLI PINTURA</t>
        </is>
      </c>
      <c r="H463" s="63" t="n">
        <v>2025</v>
      </c>
      <c r="I463" s="64" t="n">
        <v>6</v>
      </c>
      <c r="J463" s="16" t="inlineStr">
        <is>
          <t>Jun</t>
        </is>
      </c>
      <c r="K463" s="16" t="n"/>
      <c r="M463" s="89" t="n">
        <v>-3295.6</v>
      </c>
      <c r="N463" s="1" t="inlineStr">
        <is>
          <t>TINTAS E SOLVENTES</t>
        </is>
      </c>
      <c r="O463" s="1" t="inlineStr">
        <is>
          <t>Fornecedores</t>
        </is>
      </c>
      <c r="P463" s="1" t="inlineStr">
        <is>
          <t>(-)Custos Variavéis</t>
        </is>
      </c>
      <c r="Q463" s="1" t="n">
        <v>3</v>
      </c>
      <c r="R463" s="1" t="n">
        <v>2025</v>
      </c>
    </row>
    <row r="464">
      <c r="A464" s="61" t="n">
        <v>45821</v>
      </c>
      <c r="B464" s="16" t="inlineStr">
        <is>
          <t>285180 - A L R ELETRICA LTDA.</t>
        </is>
      </c>
      <c r="C464" s="90" t="n"/>
      <c r="D464" s="90" t="n">
        <v>154.24</v>
      </c>
      <c r="E464" s="90" t="n">
        <v>-154.24</v>
      </c>
      <c r="F464" s="16" t="inlineStr">
        <is>
          <t>8.7 - MATERIAL ELETRICO</t>
        </is>
      </c>
      <c r="G464" s="16" t="inlineStr">
        <is>
          <t>ADMINISTRATIVO</t>
        </is>
      </c>
      <c r="H464" s="63" t="n">
        <v>2025</v>
      </c>
      <c r="I464" s="64" t="n">
        <v>6</v>
      </c>
      <c r="J464" s="16" t="inlineStr">
        <is>
          <t>Jun</t>
        </is>
      </c>
      <c r="K464" s="16" t="n"/>
      <c r="M464" s="89" t="n">
        <v>-154.24</v>
      </c>
      <c r="N464" s="1" t="inlineStr">
        <is>
          <t>MATERIAL ELETRICO</t>
        </is>
      </c>
      <c r="O464" s="1" t="inlineStr">
        <is>
          <t>Despesas com Máquinas e Equipamentos</t>
        </is>
      </c>
      <c r="P464" s="1" t="inlineStr">
        <is>
          <t>(-)Gastos Fixos</t>
        </is>
      </c>
      <c r="Q464" s="1" t="n">
        <v>4</v>
      </c>
      <c r="R464" s="1" t="n">
        <v>2025</v>
      </c>
    </row>
    <row r="465">
      <c r="A465" s="61" t="n">
        <v>45821</v>
      </c>
      <c r="B465" s="16" t="inlineStr">
        <is>
          <t>40426 - ALR AUTOMACAO INDUSTRIAL</t>
        </is>
      </c>
      <c r="C465" s="90" t="n"/>
      <c r="D465" s="90" t="n">
        <v>135.21</v>
      </c>
      <c r="E465" s="90" t="n">
        <v>-135.21</v>
      </c>
      <c r="F465" s="16" t="inlineStr">
        <is>
          <t>8.7 - MATERIAL ELETRICO</t>
        </is>
      </c>
      <c r="G465" s="16" t="inlineStr">
        <is>
          <t>ADMINISTRATIVO</t>
        </is>
      </c>
      <c r="H465" s="63" t="n">
        <v>2025</v>
      </c>
      <c r="I465" s="64" t="n">
        <v>6</v>
      </c>
      <c r="J465" s="16" t="inlineStr">
        <is>
          <t>Jun</t>
        </is>
      </c>
      <c r="K465" s="16" t="n"/>
      <c r="M465" s="89" t="n">
        <v>-135.21</v>
      </c>
      <c r="N465" s="1" t="inlineStr">
        <is>
          <t>MATERIAL ELETRICO</t>
        </is>
      </c>
      <c r="O465" s="1" t="inlineStr">
        <is>
          <t>Despesas com Máquinas e Equipamentos</t>
        </is>
      </c>
      <c r="P465" s="1" t="inlineStr">
        <is>
          <t>(-)Gastos Fixos</t>
        </is>
      </c>
      <c r="Q465" s="1" t="n">
        <v>4</v>
      </c>
      <c r="R465" s="1" t="n">
        <v>2025</v>
      </c>
    </row>
    <row r="466">
      <c r="A466" s="61" t="n">
        <v>45821</v>
      </c>
      <c r="B466" s="16" t="inlineStr">
        <is>
          <t>IMPERIO DO ESPETO</t>
        </is>
      </c>
      <c r="C466" s="90" t="n"/>
      <c r="D466" s="90" t="n">
        <v>162</v>
      </c>
      <c r="E466" s="90" t="n">
        <v>-162</v>
      </c>
      <c r="F466" s="16" t="inlineStr">
        <is>
          <t>11.5 - ALIMENTAÇÃO ADM</t>
        </is>
      </c>
      <c r="G466" s="16" t="inlineStr">
        <is>
          <t>ADMINISTRATIVO</t>
        </is>
      </c>
      <c r="H466" s="63" t="n">
        <v>2025</v>
      </c>
      <c r="I466" s="64" t="n">
        <v>6</v>
      </c>
      <c r="J466" s="16" t="inlineStr">
        <is>
          <t>Jun</t>
        </is>
      </c>
      <c r="K466" s="16" t="n"/>
      <c r="M466" s="89" t="n">
        <v>-162</v>
      </c>
      <c r="N466" s="1" t="inlineStr">
        <is>
          <t>ALIMENTAÇÃO ADM</t>
        </is>
      </c>
      <c r="O466" s="1" t="inlineStr">
        <is>
          <t>Despesas com Pessoal</t>
        </is>
      </c>
      <c r="P466" s="1" t="inlineStr">
        <is>
          <t>(-)Gastos Fixos</t>
        </is>
      </c>
      <c r="Q466" s="1" t="n">
        <v>4</v>
      </c>
      <c r="R466" s="1" t="n">
        <v>2025</v>
      </c>
    </row>
    <row r="467">
      <c r="A467" s="61" t="n">
        <v>45821</v>
      </c>
      <c r="B467" s="16" t="inlineStr">
        <is>
          <t>UBER JULIANO</t>
        </is>
      </c>
      <c r="C467" s="90" t="n"/>
      <c r="D467" s="90" t="n">
        <v>1015</v>
      </c>
      <c r="E467" s="90" t="n">
        <v>-1015</v>
      </c>
      <c r="F467" s="16" t="inlineStr">
        <is>
          <t>12.7 - TRANSPORTE FUNCIONARIOS</t>
        </is>
      </c>
      <c r="G467" s="16" t="inlineStr">
        <is>
          <t>FOSFATO CMOC CONTRAT</t>
        </is>
      </c>
      <c r="H467" s="63" t="n">
        <v>2025</v>
      </c>
      <c r="I467" s="64" t="n">
        <v>6</v>
      </c>
      <c r="J467" s="16" t="inlineStr">
        <is>
          <t>Jun</t>
        </is>
      </c>
      <c r="K467" s="16" t="n"/>
      <c r="M467" s="89" t="n">
        <v>-1015</v>
      </c>
      <c r="N467" s="1" t="inlineStr">
        <is>
          <t>12.7 - TRANSPORTE FUNCIONARIOS</t>
        </is>
      </c>
      <c r="O467" s="1" t="n"/>
      <c r="P467" s="1" t="n"/>
      <c r="Q467" s="1" t="n"/>
      <c r="R467" s="1" t="n">
        <v>2025</v>
      </c>
    </row>
    <row r="468">
      <c r="A468" s="61" t="n">
        <v>45821</v>
      </c>
      <c r="B468" s="16" t="inlineStr">
        <is>
          <t>UBER JULIANO</t>
        </is>
      </c>
      <c r="C468" s="90" t="n"/>
      <c r="D468" s="90" t="n">
        <v>960</v>
      </c>
      <c r="E468" s="90" t="n">
        <v>-960</v>
      </c>
      <c r="F468" s="16" t="inlineStr">
        <is>
          <t>12.7 - TRANSPORTE FUNCIONARIOS</t>
        </is>
      </c>
      <c r="G468" s="16" t="inlineStr">
        <is>
          <t>NIOBIO CMOC CONTRATO</t>
        </is>
      </c>
      <c r="H468" s="63" t="n">
        <v>2025</v>
      </c>
      <c r="I468" s="64" t="n">
        <v>6</v>
      </c>
      <c r="J468" s="16" t="inlineStr">
        <is>
          <t>Jun</t>
        </is>
      </c>
      <c r="K468" s="16" t="n"/>
      <c r="M468" s="89" t="n">
        <v>-960</v>
      </c>
      <c r="N468" s="1" t="inlineStr">
        <is>
          <t>12.7 - TRANSPORTE FUNCIONARIOS</t>
        </is>
      </c>
      <c r="O468" s="1" t="n"/>
      <c r="P468" s="1" t="n"/>
      <c r="Q468" s="1" t="n"/>
      <c r="R468" s="1" t="n">
        <v>2025</v>
      </c>
    </row>
    <row r="469">
      <c r="A469" s="61" t="n">
        <v>45821</v>
      </c>
      <c r="B469" s="16" t="inlineStr">
        <is>
          <t>CEMIG DISTRIBUIÇÃO S.A</t>
        </is>
      </c>
      <c r="C469" s="90" t="n"/>
      <c r="D469" s="90" t="n">
        <v>270.4</v>
      </c>
      <c r="E469" s="90" t="n">
        <v>-270.4</v>
      </c>
      <c r="F469" s="16" t="inlineStr">
        <is>
          <t>5.5 - ENERGIA ALOJAMENTO</t>
        </is>
      </c>
      <c r="G469" s="16" t="inlineStr">
        <is>
          <t>EUROCHEM SERRA DO SALITRE</t>
        </is>
      </c>
      <c r="H469" s="63" t="n">
        <v>2025</v>
      </c>
      <c r="I469" s="64" t="n">
        <v>6</v>
      </c>
      <c r="J469" s="16" t="inlineStr">
        <is>
          <t>Jun</t>
        </is>
      </c>
      <c r="K469" s="16" t="n"/>
      <c r="M469" s="89" t="n">
        <v>-270.4</v>
      </c>
      <c r="N469" s="1" t="inlineStr">
        <is>
          <t>ENERGIA ALOJAMENTO</t>
        </is>
      </c>
      <c r="O469" s="1" t="inlineStr">
        <is>
          <t>Despesas com Infraestrutura</t>
        </is>
      </c>
      <c r="P469" s="1" t="inlineStr">
        <is>
          <t>(-)Gastos Fixos</t>
        </is>
      </c>
      <c r="Q469" s="1" t="n">
        <v>4</v>
      </c>
      <c r="R469" s="1" t="n">
        <v>2025</v>
      </c>
    </row>
    <row r="470">
      <c r="A470" s="61" t="n">
        <v>45821</v>
      </c>
      <c r="B470" s="16" t="inlineStr">
        <is>
          <t>EQUATORIAL DISTRIBUIDORA DE ENERGIA S.A.</t>
        </is>
      </c>
      <c r="C470" s="90" t="n"/>
      <c r="D470" s="90" t="n">
        <v>440.21</v>
      </c>
      <c r="E470" s="90" t="n">
        <v>-440.21</v>
      </c>
      <c r="F470" s="16" t="inlineStr">
        <is>
          <t>5.5 - ENERGIA ALOJAMENTO</t>
        </is>
      </c>
      <c r="G470" s="16" t="inlineStr">
        <is>
          <t>ANGLO AMERICAN</t>
        </is>
      </c>
      <c r="H470" s="63" t="n">
        <v>2025</v>
      </c>
      <c r="I470" s="64" t="n">
        <v>6</v>
      </c>
      <c r="J470" s="16" t="inlineStr">
        <is>
          <t>Jun</t>
        </is>
      </c>
      <c r="K470" s="16" t="n"/>
      <c r="M470" s="89" t="n">
        <v>-440.21</v>
      </c>
      <c r="N470" s="1" t="inlineStr">
        <is>
          <t>ENERGIA ALOJAMENTO</t>
        </is>
      </c>
      <c r="O470" s="1" t="inlineStr">
        <is>
          <t>Despesas com Infraestrutura</t>
        </is>
      </c>
      <c r="P470" s="1" t="inlineStr">
        <is>
          <t>(-)Gastos Fixos</t>
        </is>
      </c>
      <c r="Q470" s="1" t="n">
        <v>4</v>
      </c>
      <c r="R470" s="1" t="n">
        <v>2025</v>
      </c>
    </row>
    <row r="471">
      <c r="A471" s="61" t="n">
        <v>45821</v>
      </c>
      <c r="B471" s="16" t="inlineStr">
        <is>
          <t>FOLHA DE PAGAMENTO</t>
        </is>
      </c>
      <c r="C471" s="90" t="n"/>
      <c r="D471" s="90" t="n">
        <v>3700</v>
      </c>
      <c r="E471" s="90" t="n">
        <v>-3700</v>
      </c>
      <c r="F471" s="16" t="inlineStr">
        <is>
          <t>12.1 - SALARIO</t>
        </is>
      </c>
      <c r="G471" s="16" t="inlineStr">
        <is>
          <t>VLI PINTURA</t>
        </is>
      </c>
      <c r="H471" s="63" t="n">
        <v>2025</v>
      </c>
      <c r="I471" s="64" t="n">
        <v>6</v>
      </c>
      <c r="J471" s="16" t="inlineStr">
        <is>
          <t>Jun</t>
        </is>
      </c>
      <c r="K471" s="16" t="n"/>
      <c r="M471" s="89" t="n">
        <v>-3700</v>
      </c>
      <c r="N471" s="1" t="inlineStr">
        <is>
          <t>SALARIO</t>
        </is>
      </c>
      <c r="O471" s="1" t="inlineStr">
        <is>
          <t>Despesas com Pessoal</t>
        </is>
      </c>
      <c r="P471" s="1" t="inlineStr">
        <is>
          <t>(-)Gastos Fixos</t>
        </is>
      </c>
      <c r="Q471" s="1" t="n">
        <v>4</v>
      </c>
      <c r="R471" s="1" t="n">
        <v>2025</v>
      </c>
    </row>
    <row r="472">
      <c r="A472" s="61" t="n">
        <v>45821</v>
      </c>
      <c r="B472" s="16" t="inlineStr">
        <is>
          <t>FOLHA DE PAGAMENTO</t>
        </is>
      </c>
      <c r="C472" s="90" t="n"/>
      <c r="D472" s="90" t="n">
        <v>2000</v>
      </c>
      <c r="E472" s="90" t="n">
        <v>-2000</v>
      </c>
      <c r="F472" s="16" t="inlineStr">
        <is>
          <t>12.1 - SALARIO</t>
        </is>
      </c>
      <c r="G472" s="16" t="inlineStr">
        <is>
          <t>ADMINISTRATIVO</t>
        </is>
      </c>
      <c r="H472" s="63" t="n">
        <v>2025</v>
      </c>
      <c r="I472" s="64" t="n">
        <v>6</v>
      </c>
      <c r="J472" s="16" t="inlineStr">
        <is>
          <t>Jun</t>
        </is>
      </c>
      <c r="K472" s="16" t="n"/>
      <c r="M472" s="89" t="n">
        <v>-2000</v>
      </c>
      <c r="N472" s="1" t="inlineStr">
        <is>
          <t>SALARIO</t>
        </is>
      </c>
      <c r="O472" s="1" t="inlineStr">
        <is>
          <t>Despesas com Pessoal</t>
        </is>
      </c>
      <c r="P472" s="1" t="inlineStr">
        <is>
          <t>(-)Gastos Fixos</t>
        </is>
      </c>
      <c r="Q472" s="1" t="n">
        <v>4</v>
      </c>
      <c r="R472" s="1" t="n">
        <v>2025</v>
      </c>
    </row>
    <row r="473">
      <c r="A473" s="61" t="n">
        <v>45821</v>
      </c>
      <c r="B473" s="16" t="inlineStr">
        <is>
          <t>FOLHA DE PAGAMENTO</t>
        </is>
      </c>
      <c r="C473" s="90" t="n"/>
      <c r="D473" s="90" t="n">
        <v>3860</v>
      </c>
      <c r="E473" s="90" t="n">
        <v>-3860</v>
      </c>
      <c r="F473" s="16" t="inlineStr">
        <is>
          <t>12.1 - SALARIO</t>
        </is>
      </c>
      <c r="G473" s="16" t="inlineStr">
        <is>
          <t>MOSAIC UBERABA CONTRAT0 3 ANOS</t>
        </is>
      </c>
      <c r="H473" s="63" t="n">
        <v>2025</v>
      </c>
      <c r="I473" s="64" t="n">
        <v>6</v>
      </c>
      <c r="J473" s="16" t="inlineStr">
        <is>
          <t>Jun</t>
        </is>
      </c>
      <c r="K473" s="16" t="n"/>
      <c r="M473" s="89" t="n">
        <v>-3860</v>
      </c>
      <c r="N473" s="1" t="inlineStr">
        <is>
          <t>SALARIO</t>
        </is>
      </c>
      <c r="O473" s="1" t="inlineStr">
        <is>
          <t>Despesas com Pessoal</t>
        </is>
      </c>
      <c r="P473" s="1" t="inlineStr">
        <is>
          <t>(-)Gastos Fixos</t>
        </is>
      </c>
      <c r="Q473" s="1" t="n">
        <v>4</v>
      </c>
      <c r="R473" s="1" t="n">
        <v>2025</v>
      </c>
    </row>
    <row r="474">
      <c r="A474" s="61" t="n">
        <v>45821</v>
      </c>
      <c r="B474" s="16" t="inlineStr">
        <is>
          <t>FOLHA DE PAGAMENTO</t>
        </is>
      </c>
      <c r="C474" s="90" t="n"/>
      <c r="D474" s="90" t="n">
        <v>1801.33</v>
      </c>
      <c r="E474" s="90" t="n">
        <v>-1801.33</v>
      </c>
      <c r="F474" s="16" t="inlineStr">
        <is>
          <t>12.1 - SALARIO</t>
        </is>
      </c>
      <c r="G474" s="16" t="inlineStr">
        <is>
          <t>FOSFATO CMOC CONTRAT</t>
        </is>
      </c>
      <c r="H474" s="63" t="n">
        <v>2025</v>
      </c>
      <c r="I474" s="64" t="n">
        <v>6</v>
      </c>
      <c r="J474" s="16" t="inlineStr">
        <is>
          <t>Jun</t>
        </is>
      </c>
      <c r="K474" s="16" t="n"/>
      <c r="M474" s="89" t="n">
        <v>-1801.33</v>
      </c>
      <c r="N474" s="1" t="inlineStr">
        <is>
          <t>SALARIO</t>
        </is>
      </c>
      <c r="O474" s="1" t="inlineStr">
        <is>
          <t>Despesas com Pessoal</t>
        </is>
      </c>
      <c r="P474" s="1" t="inlineStr">
        <is>
          <t>(-)Gastos Fixos</t>
        </is>
      </c>
      <c r="Q474" s="1" t="n">
        <v>4</v>
      </c>
      <c r="R474" s="1" t="n">
        <v>2025</v>
      </c>
    </row>
    <row r="475">
      <c r="A475" s="61" t="n">
        <v>45821</v>
      </c>
      <c r="B475" s="16" t="inlineStr">
        <is>
          <t>FERRAGISTA OBRAS</t>
        </is>
      </c>
      <c r="C475" s="90" t="n"/>
      <c r="D475" s="90" t="n">
        <v>147</v>
      </c>
      <c r="E475" s="90" t="n">
        <v>-147</v>
      </c>
      <c r="F475" s="16" t="inlineStr">
        <is>
          <t>8.8 - MATERIAIS DE CONSUMO EM OBRAS</t>
        </is>
      </c>
      <c r="G475" s="16" t="inlineStr">
        <is>
          <t>VLI PINTURA</t>
        </is>
      </c>
      <c r="H475" s="63" t="n">
        <v>2025</v>
      </c>
      <c r="I475" s="64" t="n">
        <v>6</v>
      </c>
      <c r="J475" s="16" t="inlineStr">
        <is>
          <t>Jun</t>
        </is>
      </c>
      <c r="K475" s="16" t="n"/>
      <c r="M475" s="89" t="n">
        <v>-147</v>
      </c>
      <c r="N475" s="1" t="inlineStr">
        <is>
          <t>MATERIAIS DE CONSUMO EM OBRAS</t>
        </is>
      </c>
      <c r="O475" s="1" t="inlineStr">
        <is>
          <t>Despesas com Máquinas e Equipamentos</t>
        </is>
      </c>
      <c r="P475" s="1" t="inlineStr">
        <is>
          <t>(-)Gastos Fixos</t>
        </is>
      </c>
      <c r="Q475" s="1" t="n">
        <v>4</v>
      </c>
      <c r="R475" s="1" t="n">
        <v>2025</v>
      </c>
    </row>
    <row r="476">
      <c r="A476" s="61" t="n">
        <v>45821</v>
      </c>
      <c r="B476" s="16" t="inlineStr">
        <is>
          <t>DESPESAS LOTE TRINDADE AIDEAL</t>
        </is>
      </c>
      <c r="C476" s="90" t="n"/>
      <c r="D476" s="90" t="n">
        <v>7696</v>
      </c>
      <c r="E476" s="90" t="n">
        <v>-7696</v>
      </c>
      <c r="F476" s="16" t="inlineStr">
        <is>
          <t>15.4 - DESPESAS C/ CONSTRUÇÃO ESCRITORIO ADM</t>
        </is>
      </c>
      <c r="G476" s="16" t="inlineStr">
        <is>
          <t>LOTE TRINDADE</t>
        </is>
      </c>
      <c r="H476" s="63" t="n">
        <v>2025</v>
      </c>
      <c r="I476" s="64" t="n">
        <v>6</v>
      </c>
      <c r="J476" s="16" t="inlineStr">
        <is>
          <t>Jun</t>
        </is>
      </c>
      <c r="K476" s="16" t="n"/>
      <c r="M476" s="89" t="n">
        <v>-7696</v>
      </c>
      <c r="N476" s="1" t="inlineStr">
        <is>
          <t>Construção da Nova Sede</t>
        </is>
      </c>
      <c r="O476" s="1" t="inlineStr">
        <is>
          <t>Investimentos</t>
        </is>
      </c>
      <c r="P476" s="1" t="inlineStr">
        <is>
          <t>(-)Investimentos</t>
        </is>
      </c>
      <c r="Q476" s="1" t="n">
        <v>8</v>
      </c>
      <c r="R476" s="1" t="n">
        <v>2025</v>
      </c>
    </row>
    <row r="477">
      <c r="A477" s="61" t="n">
        <v>45821</v>
      </c>
      <c r="B477" s="16" t="inlineStr">
        <is>
          <t>DESPESAS LOTE TRINDADE AIDEAL</t>
        </is>
      </c>
      <c r="C477" s="90" t="n"/>
      <c r="D477" s="90" t="n">
        <v>3600</v>
      </c>
      <c r="E477" s="90" t="n">
        <v>-3600</v>
      </c>
      <c r="F477" s="16" t="inlineStr">
        <is>
          <t>15.1 - DESPESAS C/ MURO E CALÇADAS</t>
        </is>
      </c>
      <c r="G477" s="16" t="inlineStr">
        <is>
          <t>LOTE TRINDADE</t>
        </is>
      </c>
      <c r="H477" s="63" t="n">
        <v>2025</v>
      </c>
      <c r="I477" s="64" t="n">
        <v>6</v>
      </c>
      <c r="J477" s="16" t="inlineStr">
        <is>
          <t>Jun</t>
        </is>
      </c>
      <c r="K477" s="16" t="n"/>
      <c r="M477" s="89" t="n">
        <v>-3600</v>
      </c>
      <c r="N477" s="1" t="inlineStr">
        <is>
          <t>15.1 - DESPESAS C/ MURO E CALÇADAS</t>
        </is>
      </c>
      <c r="O477" s="1" t="n"/>
      <c r="P477" s="1" t="n"/>
      <c r="Q477" s="1" t="n"/>
      <c r="R477" s="1" t="n">
        <v>2025</v>
      </c>
    </row>
    <row r="478">
      <c r="A478" s="61" t="n">
        <v>45821</v>
      </c>
      <c r="B478" s="16" t="inlineStr">
        <is>
          <t>PREFEITURA DE GOIANIA</t>
        </is>
      </c>
      <c r="C478" s="90" t="n"/>
      <c r="D478" s="90" t="n">
        <v>400</v>
      </c>
      <c r="E478" s="90" t="n">
        <v>-400</v>
      </c>
      <c r="F478" s="16" t="inlineStr">
        <is>
          <t>3.18 - SERVIÇO ALVARAS E LICENCIAMENTO</t>
        </is>
      </c>
      <c r="G478" s="16" t="inlineStr">
        <is>
          <t>ADMINISTRATIVO</t>
        </is>
      </c>
      <c r="H478" s="63" t="n">
        <v>2025</v>
      </c>
      <c r="I478" s="64" t="n">
        <v>6</v>
      </c>
      <c r="J478" s="16" t="inlineStr">
        <is>
          <t>Jun</t>
        </is>
      </c>
      <c r="K478" s="16" t="n"/>
      <c r="M478" s="89" t="n">
        <v>-400</v>
      </c>
      <c r="N478" s="1" t="inlineStr">
        <is>
          <t>SERVIÇO ALVARAS E LICENCIAMENTO</t>
        </is>
      </c>
      <c r="O478" s="1" t="inlineStr">
        <is>
          <t>Despesas Administrativas</t>
        </is>
      </c>
      <c r="P478" s="1" t="inlineStr">
        <is>
          <t>(-)Gastos Fixos</t>
        </is>
      </c>
      <c r="Q478" s="1" t="n">
        <v>4</v>
      </c>
      <c r="R478" s="1" t="n">
        <v>2025</v>
      </c>
    </row>
    <row r="479">
      <c r="A479" s="61" t="n">
        <v>45821</v>
      </c>
      <c r="B479" s="16" t="inlineStr">
        <is>
          <t>JULIA TRASPORTES</t>
        </is>
      </c>
      <c r="C479" s="90" t="n"/>
      <c r="D479" s="90" t="n">
        <v>7500</v>
      </c>
      <c r="E479" s="90" t="n">
        <v>-7500</v>
      </c>
      <c r="F479" s="16" t="inlineStr">
        <is>
          <t>10.3 - FRETE TINTAS E SOLVENTE</t>
        </is>
      </c>
      <c r="G479" s="16" t="inlineStr">
        <is>
          <t>VLI PINTURA</t>
        </is>
      </c>
      <c r="H479" s="63" t="n">
        <v>2025</v>
      </c>
      <c r="I479" s="64" t="n">
        <v>6</v>
      </c>
      <c r="J479" s="16" t="inlineStr">
        <is>
          <t>Jun</t>
        </is>
      </c>
      <c r="K479" s="16" t="n"/>
      <c r="M479" s="89" t="n">
        <v>-7500</v>
      </c>
      <c r="N479" s="1" t="inlineStr">
        <is>
          <t>FRETE TINTAS E SOLVENTE</t>
        </is>
      </c>
      <c r="O479" s="1" t="inlineStr">
        <is>
          <t>Fornecedores</t>
        </is>
      </c>
      <c r="P479" s="1" t="inlineStr">
        <is>
          <t>(-)Custos Variavéis</t>
        </is>
      </c>
      <c r="Q479" s="1" t="n">
        <v>3</v>
      </c>
      <c r="R479" s="1" t="n">
        <v>2025</v>
      </c>
    </row>
    <row r="480">
      <c r="A480" s="61" t="n">
        <v>45821</v>
      </c>
      <c r="B480" s="16" t="inlineStr">
        <is>
          <t>JULIA TRASPORTES</t>
        </is>
      </c>
      <c r="C480" s="90" t="n"/>
      <c r="D480" s="90" t="n">
        <v>7500</v>
      </c>
      <c r="E480" s="90" t="n">
        <v>-7500</v>
      </c>
      <c r="F480" s="16" t="inlineStr">
        <is>
          <t>10.3 - FRETE TINTAS E SOLVENTE</t>
        </is>
      </c>
      <c r="G480" s="16" t="inlineStr">
        <is>
          <t>VLI PINTURA</t>
        </is>
      </c>
      <c r="H480" s="63" t="n">
        <v>2025</v>
      </c>
      <c r="I480" s="64" t="n">
        <v>6</v>
      </c>
      <c r="J480" s="16" t="inlineStr">
        <is>
          <t>Jun</t>
        </is>
      </c>
      <c r="K480" s="16" t="n"/>
      <c r="M480" s="89" t="n">
        <v>-7500</v>
      </c>
      <c r="N480" s="1" t="inlineStr">
        <is>
          <t>FRETE TINTAS E SOLVENTE</t>
        </is>
      </c>
      <c r="O480" s="1" t="inlineStr">
        <is>
          <t>Fornecedores</t>
        </is>
      </c>
      <c r="P480" s="1" t="inlineStr">
        <is>
          <t>(-)Custos Variavéis</t>
        </is>
      </c>
      <c r="Q480" s="1" t="n">
        <v>3</v>
      </c>
      <c r="R480" s="1" t="n">
        <v>2025</v>
      </c>
    </row>
    <row r="481">
      <c r="A481" s="61" t="n">
        <v>45821</v>
      </c>
      <c r="B481" s="16" t="inlineStr">
        <is>
          <t>DESPESAS DE VIAGEM</t>
        </is>
      </c>
      <c r="C481" s="90" t="n"/>
      <c r="D481" s="90" t="n">
        <v>150</v>
      </c>
      <c r="E481" s="90" t="n">
        <v>-150</v>
      </c>
      <c r="F481" s="16" t="inlineStr">
        <is>
          <t>12.9 - PASSAGENS FUNCIONARIOS</t>
        </is>
      </c>
      <c r="G481" s="16" t="inlineStr">
        <is>
          <t>EUROCHEM SERRA DO SALITRE</t>
        </is>
      </c>
      <c r="H481" s="63" t="n">
        <v>2025</v>
      </c>
      <c r="I481" s="64" t="n">
        <v>6</v>
      </c>
      <c r="J481" s="16" t="inlineStr">
        <is>
          <t>Jun</t>
        </is>
      </c>
      <c r="K481" s="16" t="n"/>
      <c r="M481" s="89" t="n">
        <v>-150</v>
      </c>
      <c r="N481" s="1" t="inlineStr">
        <is>
          <t>12.9 - PASSAGENS FUNCIONARIOS</t>
        </is>
      </c>
      <c r="O481" s="1" t="n"/>
      <c r="P481" s="1" t="n"/>
      <c r="Q481" s="1" t="n"/>
      <c r="R481" s="1" t="n">
        <v>2025</v>
      </c>
    </row>
    <row r="482">
      <c r="A482" s="61" t="n">
        <v>45821</v>
      </c>
      <c r="B482" s="16" t="inlineStr">
        <is>
          <t>MOTO BOY CLAUDEMIR</t>
        </is>
      </c>
      <c r="C482" s="90" t="n"/>
      <c r="D482" s="90" t="n">
        <v>60</v>
      </c>
      <c r="E482" s="90" t="n">
        <v>-60</v>
      </c>
      <c r="F482" s="16" t="inlineStr">
        <is>
          <t>3.8 - SERVIÇO MOTOBOY / UBER</t>
        </is>
      </c>
      <c r="G482" s="16" t="inlineStr">
        <is>
          <t>ADMINISTRATIVO</t>
        </is>
      </c>
      <c r="H482" s="63" t="n">
        <v>2025</v>
      </c>
      <c r="I482" s="64" t="n">
        <v>6</v>
      </c>
      <c r="J482" s="16" t="inlineStr">
        <is>
          <t>Jun</t>
        </is>
      </c>
      <c r="K482" s="16" t="n"/>
      <c r="M482" s="89" t="n">
        <v>-60</v>
      </c>
      <c r="N482" s="1" t="inlineStr">
        <is>
          <t>SERVIÇO MOTOBOY / UBER</t>
        </is>
      </c>
      <c r="O482" s="1" t="inlineStr">
        <is>
          <t>Despesas Administrativas</t>
        </is>
      </c>
      <c r="P482" s="1" t="inlineStr">
        <is>
          <t>(-)Gastos Fixos</t>
        </is>
      </c>
      <c r="Q482" s="1" t="n">
        <v>4</v>
      </c>
      <c r="R482" s="1" t="n">
        <v>2025</v>
      </c>
    </row>
    <row r="483">
      <c r="A483" s="61" t="n">
        <v>45821</v>
      </c>
      <c r="B483" s="16" t="inlineStr">
        <is>
          <t>ROBERTO SERVIÇOS</t>
        </is>
      </c>
      <c r="C483" s="90" t="n"/>
      <c r="D483" s="90" t="n">
        <v>1200</v>
      </c>
      <c r="E483" s="90" t="n">
        <v>-1200</v>
      </c>
      <c r="F483" s="16" t="inlineStr">
        <is>
          <t>12.1 - SALARIO</t>
        </is>
      </c>
      <c r="G483" s="16" t="inlineStr">
        <is>
          <t>ADMINISTRATIVO</t>
        </is>
      </c>
      <c r="H483" s="63" t="n">
        <v>2025</v>
      </c>
      <c r="I483" s="64" t="n">
        <v>6</v>
      </c>
      <c r="J483" s="16" t="inlineStr">
        <is>
          <t>Jun</t>
        </is>
      </c>
      <c r="K483" s="16" t="n"/>
      <c r="M483" s="89" t="n">
        <v>-1200</v>
      </c>
      <c r="N483" s="1" t="inlineStr">
        <is>
          <t>SALARIO</t>
        </is>
      </c>
      <c r="O483" s="1" t="inlineStr">
        <is>
          <t>Despesas com Pessoal</t>
        </is>
      </c>
      <c r="P483" s="1" t="inlineStr">
        <is>
          <t>(-)Gastos Fixos</t>
        </is>
      </c>
      <c r="Q483" s="1" t="n">
        <v>4</v>
      </c>
      <c r="R483" s="1" t="n">
        <v>2025</v>
      </c>
    </row>
    <row r="484">
      <c r="A484" s="61" t="n">
        <v>45821</v>
      </c>
      <c r="B484" s="16" t="inlineStr">
        <is>
          <t>9668 - AMO ASSESSORIA MEDICA OCUPACIONAL LTDA</t>
        </is>
      </c>
      <c r="C484" s="90" t="n"/>
      <c r="D484" s="90" t="n">
        <v>1335.24</v>
      </c>
      <c r="E484" s="90" t="n">
        <v>-1335.24</v>
      </c>
      <c r="F484" s="16" t="inlineStr">
        <is>
          <t>14.3 - PROGRAMA DE SEGURANÇA DO TRABALHO</t>
        </is>
      </c>
      <c r="G484" s="16" t="inlineStr">
        <is>
          <t>MOSAIC UBERABA CONTRAT0 3 ANOS</t>
        </is>
      </c>
      <c r="H484" s="63" t="n">
        <v>2025</v>
      </c>
      <c r="I484" s="64" t="n">
        <v>6</v>
      </c>
      <c r="J484" s="16" t="inlineStr">
        <is>
          <t>Jun</t>
        </is>
      </c>
      <c r="K484" s="16" t="n"/>
      <c r="M484" s="89" t="n">
        <v>-1335.24</v>
      </c>
      <c r="N484" s="1" t="inlineStr">
        <is>
          <t>PROGRAMA DE SEGURANÇA DO TRABALHO</t>
        </is>
      </c>
      <c r="O484" s="1" t="inlineStr">
        <is>
          <t>Despesas com Pessoal</t>
        </is>
      </c>
      <c r="P484" s="1" t="inlineStr">
        <is>
          <t>(-)Gastos Fixos</t>
        </is>
      </c>
      <c r="Q484" s="1" t="n">
        <v>4</v>
      </c>
      <c r="R484" s="1" t="n">
        <v>2025</v>
      </c>
    </row>
    <row r="485">
      <c r="A485" s="61" t="n">
        <v>45821</v>
      </c>
      <c r="B485" s="16" t="inlineStr">
        <is>
          <t>13° PREVISAO</t>
        </is>
      </c>
      <c r="C485" s="90" t="n"/>
      <c r="D485" s="90" t="n">
        <v>308.3333333333333</v>
      </c>
      <c r="E485" s="90" t="n">
        <v>-308.3333333333333</v>
      </c>
      <c r="F485" s="16" t="inlineStr">
        <is>
          <t>12.3 - PREVISÃO 13°</t>
        </is>
      </c>
      <c r="G485" s="16" t="inlineStr">
        <is>
          <t>VLI PINTURA</t>
        </is>
      </c>
      <c r="H485" s="63" t="n">
        <v>2025</v>
      </c>
      <c r="I485" s="64" t="n">
        <v>6</v>
      </c>
      <c r="J485" s="16" t="inlineStr">
        <is>
          <t>Jun</t>
        </is>
      </c>
      <c r="K485" s="16" t="n"/>
      <c r="M485" s="89" t="n">
        <v>-308.3333333333333</v>
      </c>
      <c r="N485" s="1" t="inlineStr">
        <is>
          <t>13° PREVISAO</t>
        </is>
      </c>
      <c r="O485" s="1" t="inlineStr">
        <is>
          <t>Despesas com Pessoal</t>
        </is>
      </c>
      <c r="P485" s="1" t="inlineStr">
        <is>
          <t>(-)Gastos Fixos</t>
        </is>
      </c>
      <c r="Q485" s="1" t="n">
        <v>4</v>
      </c>
      <c r="R485" s="1" t="n">
        <v>2025</v>
      </c>
    </row>
    <row r="486">
      <c r="A486" s="61" t="n">
        <v>45821</v>
      </c>
      <c r="B486" s="16" t="inlineStr">
        <is>
          <t>13° PREVISAO</t>
        </is>
      </c>
      <c r="C486" s="90" t="n"/>
      <c r="D486" s="90" t="n">
        <v>166.6666666666667</v>
      </c>
      <c r="E486" s="90" t="n">
        <v>-166.6666666666667</v>
      </c>
      <c r="F486" s="16" t="inlineStr">
        <is>
          <t>12.3 - PREVISÃO 13°</t>
        </is>
      </c>
      <c r="G486" s="16" t="inlineStr">
        <is>
          <t>ADMINISTRATIVO</t>
        </is>
      </c>
      <c r="H486" s="63" t="n">
        <v>2025</v>
      </c>
      <c r="I486" s="64" t="n">
        <v>6</v>
      </c>
      <c r="J486" s="16" t="inlineStr">
        <is>
          <t>Jun</t>
        </is>
      </c>
      <c r="K486" s="16" t="n"/>
      <c r="M486" s="89" t="n">
        <v>-166.6666666666667</v>
      </c>
      <c r="N486" s="1" t="inlineStr">
        <is>
          <t>13° PREVISAO</t>
        </is>
      </c>
      <c r="O486" s="1" t="inlineStr">
        <is>
          <t>Despesas com Pessoal</t>
        </is>
      </c>
      <c r="P486" s="1" t="inlineStr">
        <is>
          <t>(-)Gastos Fixos</t>
        </is>
      </c>
      <c r="Q486" s="1" t="n">
        <v>4</v>
      </c>
      <c r="R486" s="1" t="n">
        <v>2025</v>
      </c>
    </row>
    <row r="487">
      <c r="A487" s="61" t="n">
        <v>45821</v>
      </c>
      <c r="B487" s="16" t="inlineStr">
        <is>
          <t>13° PREVISAO</t>
        </is>
      </c>
      <c r="C487" s="90" t="n"/>
      <c r="D487" s="90" t="n">
        <v>321.6666666666667</v>
      </c>
      <c r="E487" s="90" t="n">
        <v>-321.6666666666667</v>
      </c>
      <c r="F487" s="16" t="inlineStr">
        <is>
          <t>12.3 - PREVISÃO 13°</t>
        </is>
      </c>
      <c r="G487" s="16" t="inlineStr">
        <is>
          <t>MOSAIC UBERABA CONTRAT0 3 ANOS</t>
        </is>
      </c>
      <c r="H487" s="63" t="n">
        <v>2025</v>
      </c>
      <c r="I487" s="64" t="n">
        <v>6</v>
      </c>
      <c r="J487" s="16" t="inlineStr">
        <is>
          <t>Jun</t>
        </is>
      </c>
      <c r="K487" s="16" t="n"/>
      <c r="M487" s="89" t="n">
        <v>-321.6666666666667</v>
      </c>
      <c r="N487" s="1" t="inlineStr">
        <is>
          <t>13° PREVISAO</t>
        </is>
      </c>
      <c r="O487" s="1" t="inlineStr">
        <is>
          <t>Despesas com Pessoal</t>
        </is>
      </c>
      <c r="P487" s="1" t="inlineStr">
        <is>
          <t>(-)Gastos Fixos</t>
        </is>
      </c>
      <c r="Q487" s="1" t="n">
        <v>4</v>
      </c>
      <c r="R487" s="1" t="n">
        <v>2025</v>
      </c>
    </row>
    <row r="488">
      <c r="A488" s="61" t="n">
        <v>45821</v>
      </c>
      <c r="B488" s="16" t="inlineStr">
        <is>
          <t>13° PREVISAO</t>
        </is>
      </c>
      <c r="C488" s="90" t="n"/>
      <c r="D488" s="90" t="n">
        <v>150.1108333333333</v>
      </c>
      <c r="E488" s="90" t="n">
        <v>-150.1108333333333</v>
      </c>
      <c r="F488" s="16" t="inlineStr">
        <is>
          <t>12.3 - PREVISÃO 13°</t>
        </is>
      </c>
      <c r="G488" s="16" t="inlineStr">
        <is>
          <t>FOSFATO CMOC CONTRAT</t>
        </is>
      </c>
      <c r="H488" s="63" t="n">
        <v>2025</v>
      </c>
      <c r="I488" s="64" t="n">
        <v>6</v>
      </c>
      <c r="J488" s="16" t="inlineStr">
        <is>
          <t>Jun</t>
        </is>
      </c>
      <c r="K488" s="16" t="n"/>
      <c r="M488" s="89" t="n">
        <v>-150.1108333333333</v>
      </c>
      <c r="N488" s="1" t="inlineStr">
        <is>
          <t>13° PREVISAO</t>
        </is>
      </c>
      <c r="O488" s="1" t="inlineStr">
        <is>
          <t>Despesas com Pessoal</t>
        </is>
      </c>
      <c r="P488" s="1" t="inlineStr">
        <is>
          <t>(-)Gastos Fixos</t>
        </is>
      </c>
      <c r="Q488" s="1" t="n">
        <v>4</v>
      </c>
      <c r="R488" s="1" t="n">
        <v>2025</v>
      </c>
    </row>
    <row r="489">
      <c r="A489" s="61" t="n">
        <v>45821</v>
      </c>
      <c r="B489" s="16" t="inlineStr">
        <is>
          <t>FÉRIAS PREVISAO</t>
        </is>
      </c>
      <c r="C489" s="90" t="n"/>
      <c r="D489" s="90" t="n">
        <v>410.0833333333333</v>
      </c>
      <c r="E489" s="90" t="n">
        <v>-410.0833333333333</v>
      </c>
      <c r="F489" s="16" t="inlineStr">
        <is>
          <t>12.4 - PREVISÃO FÉRIAS</t>
        </is>
      </c>
      <c r="G489" s="16" t="inlineStr">
        <is>
          <t>VLI PINTURA</t>
        </is>
      </c>
      <c r="H489" s="63" t="n">
        <v>2025</v>
      </c>
      <c r="I489" s="64" t="n">
        <v>6</v>
      </c>
      <c r="J489" s="16" t="inlineStr">
        <is>
          <t>Jun</t>
        </is>
      </c>
      <c r="K489" s="16" t="n"/>
      <c r="M489" s="89" t="n">
        <v>-410.0833333333333</v>
      </c>
      <c r="N489" s="1" t="inlineStr">
        <is>
          <t>12.4 - PREVISÃO FÉRIAS</t>
        </is>
      </c>
      <c r="O489" s="1" t="n"/>
      <c r="P489" s="1" t="n"/>
      <c r="Q489" s="1" t="n"/>
      <c r="R489" s="1" t="n">
        <v>2025</v>
      </c>
    </row>
    <row r="490">
      <c r="A490" s="61" t="n">
        <v>45821</v>
      </c>
      <c r="B490" s="16" t="inlineStr">
        <is>
          <t>FÉRIAS PREVISAO</t>
        </is>
      </c>
      <c r="C490" s="90" t="n"/>
      <c r="D490" s="90" t="n">
        <v>221.6666666666667</v>
      </c>
      <c r="E490" s="90" t="n">
        <v>-221.6666666666667</v>
      </c>
      <c r="F490" s="16" t="inlineStr">
        <is>
          <t>12.4 - PREVISÃO FÉRIAS</t>
        </is>
      </c>
      <c r="G490" s="16" t="inlineStr">
        <is>
          <t>ADMINISTRATIVO</t>
        </is>
      </c>
      <c r="H490" s="63" t="n">
        <v>2025</v>
      </c>
      <c r="I490" s="64" t="n">
        <v>6</v>
      </c>
      <c r="J490" s="16" t="inlineStr">
        <is>
          <t>Jun</t>
        </is>
      </c>
      <c r="K490" s="16" t="n"/>
      <c r="M490" s="89" t="n">
        <v>-221.6666666666667</v>
      </c>
      <c r="N490" s="1" t="inlineStr">
        <is>
          <t>12.4 - PREVISÃO FÉRIAS</t>
        </is>
      </c>
      <c r="O490" s="1" t="n"/>
      <c r="P490" s="1" t="n"/>
      <c r="Q490" s="1" t="n"/>
      <c r="R490" s="1" t="n">
        <v>2025</v>
      </c>
    </row>
    <row r="491">
      <c r="A491" s="61" t="n">
        <v>45821</v>
      </c>
      <c r="B491" s="16" t="inlineStr">
        <is>
          <t>FÉRIAS PREVISAO</t>
        </is>
      </c>
      <c r="C491" s="90" t="n"/>
      <c r="D491" s="90" t="n">
        <v>427.8166666666667</v>
      </c>
      <c r="E491" s="90" t="n">
        <v>-427.8166666666667</v>
      </c>
      <c r="F491" s="16" t="inlineStr">
        <is>
          <t>12.4 - PREVISÃO FÉRIAS</t>
        </is>
      </c>
      <c r="G491" s="16" t="inlineStr">
        <is>
          <t>MOSAIC UBERABA CONTRAT0 3 ANOS</t>
        </is>
      </c>
      <c r="H491" s="63" t="n">
        <v>2025</v>
      </c>
      <c r="I491" s="64" t="n">
        <v>6</v>
      </c>
      <c r="J491" s="16" t="inlineStr">
        <is>
          <t>Jun</t>
        </is>
      </c>
      <c r="K491" s="16" t="n"/>
      <c r="M491" s="89" t="n">
        <v>-427.8166666666667</v>
      </c>
      <c r="N491" s="1" t="inlineStr">
        <is>
          <t>12.4 - PREVISÃO FÉRIAS</t>
        </is>
      </c>
      <c r="O491" s="1" t="n"/>
      <c r="P491" s="1" t="n"/>
      <c r="Q491" s="1" t="n"/>
      <c r="R491" s="1" t="n">
        <v>2025</v>
      </c>
    </row>
    <row r="492">
      <c r="A492" s="61" t="n">
        <v>45821</v>
      </c>
      <c r="B492" s="16" t="inlineStr">
        <is>
          <t>FÉRIAS PREVISAO</t>
        </is>
      </c>
      <c r="C492" s="90" t="n"/>
      <c r="D492" s="90" t="n">
        <v>199.6474083333333</v>
      </c>
      <c r="E492" s="90" t="n">
        <v>-199.6474083333333</v>
      </c>
      <c r="F492" s="16" t="inlineStr">
        <is>
          <t>12.4 - PREVISÃO FÉRIAS</t>
        </is>
      </c>
      <c r="G492" s="16" t="inlineStr">
        <is>
          <t>FOSFATO CMOC CONTRAT</t>
        </is>
      </c>
      <c r="H492" s="63" t="n">
        <v>2025</v>
      </c>
      <c r="I492" s="64" t="n">
        <v>6</v>
      </c>
      <c r="J492" s="16" t="inlineStr">
        <is>
          <t>Jun</t>
        </is>
      </c>
      <c r="K492" s="16" t="n"/>
      <c r="M492" s="89" t="n">
        <v>-199.6474083333333</v>
      </c>
      <c r="N492" s="1" t="inlineStr">
        <is>
          <t>12.4 - PREVISÃO FÉRIAS</t>
        </is>
      </c>
      <c r="O492" s="1" t="n"/>
      <c r="P492" s="1" t="n"/>
      <c r="Q492" s="1" t="n"/>
      <c r="R492" s="1" t="n">
        <v>2025</v>
      </c>
    </row>
    <row r="493">
      <c r="A493" s="61" t="n">
        <v>45822</v>
      </c>
      <c r="B493" s="16" t="inlineStr">
        <is>
          <t>796465 - G A SILVA E CIA LTDA</t>
        </is>
      </c>
      <c r="C493" s="90" t="n"/>
      <c r="D493" s="90" t="n">
        <v>147</v>
      </c>
      <c r="E493" s="90" t="n">
        <v>-147</v>
      </c>
      <c r="F493" s="16" t="inlineStr">
        <is>
          <t>8.5 - MATERIAIS / FERRAMENTAS  MANUAIS</t>
        </is>
      </c>
      <c r="G493" s="16" t="inlineStr">
        <is>
          <t>ADMINISTRATIVO</t>
        </is>
      </c>
      <c r="H493" s="63" t="n">
        <v>2025</v>
      </c>
      <c r="I493" s="64" t="n">
        <v>6</v>
      </c>
      <c r="J493" s="16" t="inlineStr">
        <is>
          <t>Jun</t>
        </is>
      </c>
      <c r="K493" s="16" t="n"/>
      <c r="M493" s="89" t="n">
        <v>-147</v>
      </c>
      <c r="N493" s="1" t="inlineStr">
        <is>
          <t>MATERIAIS / FERRAMENTAS  MANUAIS</t>
        </is>
      </c>
      <c r="O493" s="1" t="inlineStr">
        <is>
          <t>Despesas com Máquinas e Equipamentos</t>
        </is>
      </c>
      <c r="P493" s="1" t="inlineStr">
        <is>
          <t>(-)Gastos Fixos</t>
        </is>
      </c>
      <c r="Q493" s="1" t="n">
        <v>4</v>
      </c>
      <c r="R493" s="1" t="n">
        <v>2025</v>
      </c>
    </row>
    <row r="494">
      <c r="A494" s="61" t="n">
        <v>45823</v>
      </c>
      <c r="B494" s="16" t="inlineStr">
        <is>
          <t>INTERNET OBRAS</t>
        </is>
      </c>
      <c r="C494" s="90" t="n"/>
      <c r="D494" s="90" t="n">
        <v>70</v>
      </c>
      <c r="E494" s="90" t="n">
        <v>-70</v>
      </c>
      <c r="F494" s="16" t="inlineStr">
        <is>
          <t>11.14 - INTERNET OBRAS</t>
        </is>
      </c>
      <c r="G494" s="16" t="inlineStr">
        <is>
          <t>ANGLO AMERICAN</t>
        </is>
      </c>
      <c r="H494" s="63" t="n">
        <v>2025</v>
      </c>
      <c r="I494" s="64" t="n">
        <v>6</v>
      </c>
      <c r="J494" s="16" t="inlineStr">
        <is>
          <t>Jun</t>
        </is>
      </c>
      <c r="K494" s="16" t="n"/>
      <c r="M494" s="89" t="n">
        <v>-70</v>
      </c>
      <c r="N494" s="1" t="inlineStr">
        <is>
          <t>INTERNET OBRAS</t>
        </is>
      </c>
      <c r="O494" s="1" t="inlineStr">
        <is>
          <t>Despesas com Infraestrutura</t>
        </is>
      </c>
      <c r="P494" s="1" t="inlineStr">
        <is>
          <t>(-)Gastos Fixos</t>
        </is>
      </c>
      <c r="Q494" s="1" t="n">
        <v>4</v>
      </c>
      <c r="R494" s="1" t="n">
        <v>2025</v>
      </c>
    </row>
    <row r="495">
      <c r="A495" s="61" t="n">
        <v>45823</v>
      </c>
      <c r="B495" s="16" t="inlineStr">
        <is>
          <t>ALUGUEIS OBRAS</t>
        </is>
      </c>
      <c r="C495" s="90" t="n"/>
      <c r="D495" s="90" t="n">
        <v>800</v>
      </c>
      <c r="E495" s="90" t="n">
        <v>-800</v>
      </c>
      <c r="F495" s="16" t="inlineStr">
        <is>
          <t>5.3 - ALUGUEL ALOJAMENTO</t>
        </is>
      </c>
      <c r="G495" s="16" t="inlineStr">
        <is>
          <t>VLI PINTURA</t>
        </is>
      </c>
      <c r="H495" s="63" t="n">
        <v>2025</v>
      </c>
      <c r="I495" s="64" t="n">
        <v>6</v>
      </c>
      <c r="J495" s="16" t="inlineStr">
        <is>
          <t>Jun</t>
        </is>
      </c>
      <c r="K495" s="16" t="n"/>
      <c r="M495" s="89" t="n">
        <v>-800</v>
      </c>
      <c r="N495" s="1" t="inlineStr">
        <is>
          <t>ALUGUEL ALOJAMENTO</t>
        </is>
      </c>
      <c r="O495" s="1" t="inlineStr">
        <is>
          <t>Despesas com Infraestrutura</t>
        </is>
      </c>
      <c r="P495" s="1" t="inlineStr">
        <is>
          <t>(-)Gastos Fixos</t>
        </is>
      </c>
      <c r="Q495" s="1" t="n">
        <v>4</v>
      </c>
      <c r="R495" s="1" t="n">
        <v>2025</v>
      </c>
    </row>
    <row r="496">
      <c r="A496" s="61" t="n">
        <v>45823</v>
      </c>
      <c r="B496" s="16" t="inlineStr">
        <is>
          <t>ALUGUEIS OBRAS</t>
        </is>
      </c>
      <c r="C496" s="90" t="n"/>
      <c r="D496" s="90" t="n">
        <v>1500</v>
      </c>
      <c r="E496" s="90" t="n">
        <v>-1500</v>
      </c>
      <c r="F496" s="16" t="inlineStr">
        <is>
          <t>5.3 - ALUGUEL ALOJAMENTO</t>
        </is>
      </c>
      <c r="G496" s="16" t="inlineStr">
        <is>
          <t>VLI PINTURA</t>
        </is>
      </c>
      <c r="H496" s="63" t="n">
        <v>2025</v>
      </c>
      <c r="I496" s="64" t="n">
        <v>6</v>
      </c>
      <c r="J496" s="16" t="inlineStr">
        <is>
          <t>Jun</t>
        </is>
      </c>
      <c r="K496" s="16" t="n"/>
      <c r="M496" s="89" t="n">
        <v>-1500</v>
      </c>
      <c r="N496" s="1" t="inlineStr">
        <is>
          <t>ALUGUEL ALOJAMENTO</t>
        </is>
      </c>
      <c r="O496" s="1" t="inlineStr">
        <is>
          <t>Despesas com Infraestrutura</t>
        </is>
      </c>
      <c r="P496" s="1" t="inlineStr">
        <is>
          <t>(-)Gastos Fixos</t>
        </is>
      </c>
      <c r="Q496" s="1" t="n">
        <v>4</v>
      </c>
      <c r="R496" s="1" t="n">
        <v>2025</v>
      </c>
    </row>
    <row r="497">
      <c r="A497" s="61" t="n">
        <v>45823</v>
      </c>
      <c r="B497" s="16" t="inlineStr">
        <is>
          <t>ALUGUEIS OBRAS</t>
        </is>
      </c>
      <c r="C497" s="90" t="n"/>
      <c r="D497" s="90" t="n">
        <v>1160</v>
      </c>
      <c r="E497" s="90" t="n">
        <v>-1160</v>
      </c>
      <c r="F497" s="16" t="inlineStr">
        <is>
          <t>5.3 - ALUGUEL ALOJAMENTO</t>
        </is>
      </c>
      <c r="G497" s="16" t="inlineStr">
        <is>
          <t>VLI PINTURA</t>
        </is>
      </c>
      <c r="H497" s="63" t="n">
        <v>2025</v>
      </c>
      <c r="I497" s="64" t="n">
        <v>6</v>
      </c>
      <c r="J497" s="16" t="inlineStr">
        <is>
          <t>Jun</t>
        </is>
      </c>
      <c r="K497" s="16" t="n"/>
      <c r="M497" s="89" t="n">
        <v>-1160</v>
      </c>
      <c r="N497" s="1" t="inlineStr">
        <is>
          <t>ALUGUEL ALOJAMENTO</t>
        </is>
      </c>
      <c r="O497" s="1" t="inlineStr">
        <is>
          <t>Despesas com Infraestrutura</t>
        </is>
      </c>
      <c r="P497" s="1" t="inlineStr">
        <is>
          <t>(-)Gastos Fixos</t>
        </is>
      </c>
      <c r="Q497" s="1" t="n">
        <v>4</v>
      </c>
      <c r="R497" s="1" t="n">
        <v>2025</v>
      </c>
    </row>
    <row r="498">
      <c r="A498" s="61" t="n">
        <v>45823</v>
      </c>
      <c r="B498" s="16" t="inlineStr">
        <is>
          <t>ADVOGADO</t>
        </is>
      </c>
      <c r="C498" s="90" t="n"/>
      <c r="D498" s="90" t="n">
        <v>150</v>
      </c>
      <c r="E498" s="90" t="n">
        <v>-150</v>
      </c>
      <c r="F498" s="16" t="inlineStr">
        <is>
          <t>9.1 - HONORARIOS ADVOCATICIOS</t>
        </is>
      </c>
      <c r="G498" s="16" t="inlineStr">
        <is>
          <t>ADMINISTRATIVO</t>
        </is>
      </c>
      <c r="H498" s="63" t="n">
        <v>2025</v>
      </c>
      <c r="I498" s="64" t="n">
        <v>6</v>
      </c>
      <c r="J498" s="16" t="inlineStr">
        <is>
          <t>Jun</t>
        </is>
      </c>
      <c r="K498" s="16" t="n"/>
      <c r="M498" s="89" t="n">
        <v>-150</v>
      </c>
      <c r="N498" s="1" t="inlineStr">
        <is>
          <t>HONORÁRIOS ADVOCATÍCIOS</t>
        </is>
      </c>
      <c r="O498" s="1" t="inlineStr">
        <is>
          <t>Despesas Administrativas</t>
        </is>
      </c>
      <c r="P498" s="1" t="inlineStr">
        <is>
          <t>(-)Gastos Fixos</t>
        </is>
      </c>
      <c r="Q498" s="1" t="n">
        <v>4</v>
      </c>
      <c r="R498" s="1" t="n">
        <v>2025</v>
      </c>
    </row>
    <row r="499">
      <c r="A499" s="61" t="n">
        <v>45823</v>
      </c>
      <c r="B499" s="16" t="inlineStr">
        <is>
          <t>83 - MATA FOME REFEICAO COLETIVA LTDA</t>
        </is>
      </c>
      <c r="C499" s="90" t="n"/>
      <c r="D499" s="90" t="n">
        <v>6088</v>
      </c>
      <c r="E499" s="90" t="n">
        <v>-6088</v>
      </c>
      <c r="F499" s="16" t="inlineStr">
        <is>
          <t>12.5 - REFEIÇÕES FUNCIONARIOS</t>
        </is>
      </c>
      <c r="G499" s="16" t="inlineStr">
        <is>
          <t>VLI PINTURA</t>
        </is>
      </c>
      <c r="H499" s="63" t="n">
        <v>2025</v>
      </c>
      <c r="I499" s="64" t="n">
        <v>6</v>
      </c>
      <c r="J499" s="16" t="inlineStr">
        <is>
          <t>Jun</t>
        </is>
      </c>
      <c r="K499" s="16" t="n"/>
      <c r="M499" s="89" t="n">
        <v>-6088</v>
      </c>
      <c r="N499" s="1" t="inlineStr">
        <is>
          <t>12.5 - REFEIÇÕES FUNCIONARIOS</t>
        </is>
      </c>
      <c r="O499" s="1" t="n"/>
      <c r="P499" s="1" t="n"/>
      <c r="Q499" s="1" t="n"/>
      <c r="R499" s="1" t="n">
        <v>2025</v>
      </c>
    </row>
    <row r="500">
      <c r="A500" s="61" t="n">
        <v>45824</v>
      </c>
      <c r="B500" s="16" t="inlineStr">
        <is>
          <t>2473 - CMOC BRASIL MINERAÇAO INDUSTRIAL E PARTICIPAÇOES</t>
        </is>
      </c>
      <c r="C500" s="90" t="n">
        <v>21186.92</v>
      </c>
      <c r="D500" s="90" t="n"/>
      <c r="E500" s="90" t="n">
        <v>21186.92</v>
      </c>
      <c r="F500" s="16" t="inlineStr">
        <is>
          <t>1.1.1 - Recebimento de Clientes</t>
        </is>
      </c>
      <c r="G500" s="16" t="inlineStr">
        <is>
          <t>FOSFATO CMOC CONTRAT</t>
        </is>
      </c>
      <c r="H500" s="63" t="n">
        <v>2025</v>
      </c>
      <c r="I500" s="64" t="n">
        <v>6</v>
      </c>
      <c r="J500" s="16" t="inlineStr">
        <is>
          <t>Jun</t>
        </is>
      </c>
      <c r="K500" s="16" t="n"/>
      <c r="M500" s="89" t="n">
        <v>21186.92</v>
      </c>
      <c r="N500" s="1" t="inlineStr">
        <is>
          <t>Faturamento</t>
        </is>
      </c>
      <c r="O500" s="1" t="inlineStr">
        <is>
          <t>(+)Receita Bruta</t>
        </is>
      </c>
      <c r="P500" s="1" t="inlineStr">
        <is>
          <t>(=)Receita Bruta</t>
        </is>
      </c>
      <c r="Q500" s="1" t="n">
        <v>1</v>
      </c>
      <c r="R500" s="1" t="n">
        <v>2025</v>
      </c>
    </row>
    <row r="501">
      <c r="A501" s="61" t="n">
        <v>45824</v>
      </c>
      <c r="B501" s="16" t="inlineStr">
        <is>
          <t>A IDEAL SOLUÇÕES ANTICORROSIVAS LTDA</t>
        </is>
      </c>
      <c r="C501" s="90" t="n">
        <v>49000</v>
      </c>
      <c r="D501" s="90" t="n"/>
      <c r="E501" s="90" t="n">
        <v>49000</v>
      </c>
      <c r="F501" s="16" t="inlineStr">
        <is>
          <t>6.11 - COMPRA/VENDA VEICULOS</t>
        </is>
      </c>
      <c r="G501" s="16" t="inlineStr">
        <is>
          <t>VEICULOS</t>
        </is>
      </c>
      <c r="H501" s="63" t="n">
        <v>2025</v>
      </c>
      <c r="I501" s="64" t="n">
        <v>6</v>
      </c>
      <c r="J501" s="16" t="inlineStr">
        <is>
          <t>Jun</t>
        </is>
      </c>
      <c r="K501" s="16" t="n"/>
      <c r="M501" s="89" t="n">
        <v>49000</v>
      </c>
      <c r="N501" s="1" t="inlineStr">
        <is>
          <t>6.11 - COMPRA/VENDA VEICULOS</t>
        </is>
      </c>
      <c r="O501" s="1" t="n"/>
      <c r="P501" s="1" t="n"/>
      <c r="Q501" s="1" t="n"/>
      <c r="R501" s="1" t="n">
        <v>2025</v>
      </c>
    </row>
    <row r="502">
      <c r="A502" s="61" t="n">
        <v>45824</v>
      </c>
      <c r="B502" s="16" t="inlineStr">
        <is>
          <t>DETRAN - GO</t>
        </is>
      </c>
      <c r="C502" s="90" t="n"/>
      <c r="D502" s="90" t="n">
        <v>198.65</v>
      </c>
      <c r="E502" s="90" t="n">
        <v>-198.65</v>
      </c>
      <c r="F502" s="16" t="inlineStr">
        <is>
          <t>6.1 - IPVA</t>
        </is>
      </c>
      <c r="G502" s="16" t="inlineStr">
        <is>
          <t>VEICULOS</t>
        </is>
      </c>
      <c r="H502" s="63" t="n">
        <v>2025</v>
      </c>
      <c r="I502" s="64" t="n">
        <v>6</v>
      </c>
      <c r="J502" s="16" t="inlineStr">
        <is>
          <t>Jun</t>
        </is>
      </c>
      <c r="K502" s="16" t="n"/>
      <c r="M502" s="89" t="n">
        <v>-198.65</v>
      </c>
      <c r="N502" s="1" t="inlineStr">
        <is>
          <t>IPVA</t>
        </is>
      </c>
      <c r="O502" s="1" t="inlineStr">
        <is>
          <t>Despesas com Veículos e Equipamentos</t>
        </is>
      </c>
      <c r="P502" s="1" t="inlineStr">
        <is>
          <t>(-)Gastos Fixos</t>
        </is>
      </c>
      <c r="Q502" s="1" t="n">
        <v>4</v>
      </c>
      <c r="R502" s="1" t="n">
        <v>2025</v>
      </c>
    </row>
    <row r="503">
      <c r="A503" s="61" t="n">
        <v>45824</v>
      </c>
      <c r="B503" s="16" t="inlineStr">
        <is>
          <t>DETRAN - GO</t>
        </is>
      </c>
      <c r="C503" s="90" t="n"/>
      <c r="D503" s="90" t="n">
        <v>440.35</v>
      </c>
      <c r="E503" s="90" t="n">
        <v>-440.35</v>
      </c>
      <c r="F503" s="16" t="inlineStr">
        <is>
          <t>6.1 - IPVA</t>
        </is>
      </c>
      <c r="G503" s="16" t="inlineStr">
        <is>
          <t>VEICULOS</t>
        </is>
      </c>
      <c r="H503" s="63" t="n">
        <v>2025</v>
      </c>
      <c r="I503" s="64" t="n">
        <v>6</v>
      </c>
      <c r="J503" s="16" t="inlineStr">
        <is>
          <t>Jun</t>
        </is>
      </c>
      <c r="K503" s="16" t="n"/>
      <c r="M503" s="89" t="n">
        <v>-440.35</v>
      </c>
      <c r="N503" s="1" t="inlineStr">
        <is>
          <t>IPVA</t>
        </is>
      </c>
      <c r="O503" s="1" t="inlineStr">
        <is>
          <t>Despesas com Veículos e Equipamentos</t>
        </is>
      </c>
      <c r="P503" s="1" t="inlineStr">
        <is>
          <t>(-)Gastos Fixos</t>
        </is>
      </c>
      <c r="Q503" s="1" t="n">
        <v>4</v>
      </c>
      <c r="R503" s="1" t="n">
        <v>2025</v>
      </c>
    </row>
    <row r="504">
      <c r="A504" s="61" t="n">
        <v>45824</v>
      </c>
      <c r="B504" s="16" t="inlineStr">
        <is>
          <t>DETRAN - GO</t>
        </is>
      </c>
      <c r="C504" s="90" t="n"/>
      <c r="D504" s="90" t="n">
        <v>354.6</v>
      </c>
      <c r="E504" s="90" t="n">
        <v>-354.6</v>
      </c>
      <c r="F504" s="16" t="inlineStr">
        <is>
          <t>6.1 - IPVA</t>
        </is>
      </c>
      <c r="G504" s="16" t="inlineStr">
        <is>
          <t>VEICULOS</t>
        </is>
      </c>
      <c r="H504" s="63" t="n">
        <v>2025</v>
      </c>
      <c r="I504" s="64" t="n">
        <v>6</v>
      </c>
      <c r="J504" s="16" t="inlineStr">
        <is>
          <t>Jun</t>
        </is>
      </c>
      <c r="K504" s="16" t="n"/>
      <c r="M504" s="89" t="n">
        <v>-354.6</v>
      </c>
      <c r="N504" s="1" t="inlineStr">
        <is>
          <t>IPVA</t>
        </is>
      </c>
      <c r="O504" s="1" t="inlineStr">
        <is>
          <t>Despesas com Veículos e Equipamentos</t>
        </is>
      </c>
      <c r="P504" s="1" t="inlineStr">
        <is>
          <t>(-)Gastos Fixos</t>
        </is>
      </c>
      <c r="Q504" s="1" t="n">
        <v>4</v>
      </c>
      <c r="R504" s="1" t="n">
        <v>2025</v>
      </c>
    </row>
    <row r="505">
      <c r="A505" s="61" t="n">
        <v>45824</v>
      </c>
      <c r="B505" s="16" t="inlineStr">
        <is>
          <t>DETRAN - GO</t>
        </is>
      </c>
      <c r="C505" s="90" t="n"/>
      <c r="D505" s="90" t="n">
        <v>353.48</v>
      </c>
      <c r="E505" s="90" t="n">
        <v>-353.48</v>
      </c>
      <c r="F505" s="16" t="inlineStr">
        <is>
          <t>6.1 - IPVA</t>
        </is>
      </c>
      <c r="G505" s="16" t="inlineStr">
        <is>
          <t>VEICULOS</t>
        </is>
      </c>
      <c r="H505" s="63" t="n">
        <v>2025</v>
      </c>
      <c r="I505" s="64" t="n">
        <v>6</v>
      </c>
      <c r="J505" s="16" t="inlineStr">
        <is>
          <t>Jun</t>
        </is>
      </c>
      <c r="K505" s="16" t="n"/>
      <c r="M505" s="89" t="n">
        <v>-353.48</v>
      </c>
      <c r="N505" s="1" t="inlineStr">
        <is>
          <t>IPVA</t>
        </is>
      </c>
      <c r="O505" s="1" t="inlineStr">
        <is>
          <t>Despesas com Veículos e Equipamentos</t>
        </is>
      </c>
      <c r="P505" s="1" t="inlineStr">
        <is>
          <t>(-)Gastos Fixos</t>
        </is>
      </c>
      <c r="Q505" s="1" t="n">
        <v>4</v>
      </c>
      <c r="R505" s="1" t="n">
        <v>2025</v>
      </c>
    </row>
    <row r="506">
      <c r="A506" s="61" t="n">
        <v>45824</v>
      </c>
      <c r="B506" s="16" t="inlineStr">
        <is>
          <t>DETRAN - GO</t>
        </is>
      </c>
      <c r="C506" s="90" t="n"/>
      <c r="D506" s="90" t="n">
        <v>117.39</v>
      </c>
      <c r="E506" s="90" t="n">
        <v>-117.39</v>
      </c>
      <c r="F506" s="16" t="inlineStr">
        <is>
          <t>6.1 - IPVA</t>
        </is>
      </c>
      <c r="G506" s="16" t="inlineStr">
        <is>
          <t>VEICULOS</t>
        </is>
      </c>
      <c r="H506" s="63" t="n">
        <v>2025</v>
      </c>
      <c r="I506" s="64" t="n">
        <v>6</v>
      </c>
      <c r="J506" s="16" t="inlineStr">
        <is>
          <t>Jun</t>
        </is>
      </c>
      <c r="K506" s="16" t="n"/>
      <c r="M506" s="89" t="n">
        <v>-117.39</v>
      </c>
      <c r="N506" s="1" t="inlineStr">
        <is>
          <t>IPVA</t>
        </is>
      </c>
      <c r="O506" s="1" t="inlineStr">
        <is>
          <t>Despesas com Veículos e Equipamentos</t>
        </is>
      </c>
      <c r="P506" s="1" t="inlineStr">
        <is>
          <t>(-)Gastos Fixos</t>
        </is>
      </c>
      <c r="Q506" s="1" t="n">
        <v>4</v>
      </c>
      <c r="R506" s="1" t="n">
        <v>2025</v>
      </c>
    </row>
    <row r="507">
      <c r="A507" s="61" t="n">
        <v>45824</v>
      </c>
      <c r="B507" s="16" t="inlineStr">
        <is>
          <t>DETRAN - GO</t>
        </is>
      </c>
      <c r="C507" s="90" t="n"/>
      <c r="D507" s="90" t="n">
        <v>253.11</v>
      </c>
      <c r="E507" s="90" t="n">
        <v>-253.11</v>
      </c>
      <c r="F507" s="16" t="inlineStr">
        <is>
          <t>6.1 - IPVA</t>
        </is>
      </c>
      <c r="G507" s="16" t="inlineStr">
        <is>
          <t>VEICULOS</t>
        </is>
      </c>
      <c r="H507" s="63" t="n">
        <v>2025</v>
      </c>
      <c r="I507" s="64" t="n">
        <v>6</v>
      </c>
      <c r="J507" s="16" t="inlineStr">
        <is>
          <t>Jun</t>
        </is>
      </c>
      <c r="K507" s="16" t="n"/>
      <c r="M507" s="89" t="n">
        <v>-253.11</v>
      </c>
      <c r="N507" s="1" t="inlineStr">
        <is>
          <t>IPVA</t>
        </is>
      </c>
      <c r="O507" s="1" t="inlineStr">
        <is>
          <t>Despesas com Veículos e Equipamentos</t>
        </is>
      </c>
      <c r="P507" s="1" t="inlineStr">
        <is>
          <t>(-)Gastos Fixos</t>
        </is>
      </c>
      <c r="Q507" s="1" t="n">
        <v>4</v>
      </c>
      <c r="R507" s="1" t="n">
        <v>2025</v>
      </c>
    </row>
    <row r="508">
      <c r="A508" s="61" t="n">
        <v>45824</v>
      </c>
      <c r="B508" s="16" t="inlineStr">
        <is>
          <t>DETRAN - GO</t>
        </is>
      </c>
      <c r="C508" s="90" t="n"/>
      <c r="D508" s="90" t="n">
        <v>129.22</v>
      </c>
      <c r="E508" s="90" t="n">
        <v>-129.22</v>
      </c>
      <c r="F508" s="16" t="inlineStr">
        <is>
          <t>6.1 - IPVA</t>
        </is>
      </c>
      <c r="G508" s="16" t="inlineStr">
        <is>
          <t>VEICULOS</t>
        </is>
      </c>
      <c r="H508" s="63" t="n">
        <v>2025</v>
      </c>
      <c r="I508" s="64" t="n">
        <v>6</v>
      </c>
      <c r="J508" s="16" t="inlineStr">
        <is>
          <t>Jun</t>
        </is>
      </c>
      <c r="K508" s="16" t="n"/>
      <c r="M508" s="89" t="n">
        <v>-129.22</v>
      </c>
      <c r="N508" s="1" t="inlineStr">
        <is>
          <t>IPVA</t>
        </is>
      </c>
      <c r="O508" s="1" t="inlineStr">
        <is>
          <t>Despesas com Veículos e Equipamentos</t>
        </is>
      </c>
      <c r="P508" s="1" t="inlineStr">
        <is>
          <t>(-)Gastos Fixos</t>
        </is>
      </c>
      <c r="Q508" s="1" t="n">
        <v>4</v>
      </c>
      <c r="R508" s="1" t="n">
        <v>2025</v>
      </c>
    </row>
    <row r="509">
      <c r="A509" s="61" t="n">
        <v>45824</v>
      </c>
      <c r="B509" s="16" t="inlineStr">
        <is>
          <t>DETRAN - GO</t>
        </is>
      </c>
      <c r="C509" s="90" t="n"/>
      <c r="D509" s="90" t="n">
        <v>980.62</v>
      </c>
      <c r="E509" s="90" t="n">
        <v>-980.62</v>
      </c>
      <c r="F509" s="16" t="inlineStr">
        <is>
          <t>6.1 - IPVA</t>
        </is>
      </c>
      <c r="G509" s="16" t="inlineStr">
        <is>
          <t>VEICULOS</t>
        </is>
      </c>
      <c r="H509" s="63" t="n">
        <v>2025</v>
      </c>
      <c r="I509" s="64" t="n">
        <v>6</v>
      </c>
      <c r="J509" s="16" t="inlineStr">
        <is>
          <t>Jun</t>
        </is>
      </c>
      <c r="K509" s="16" t="n"/>
      <c r="M509" s="89" t="n">
        <v>-980.62</v>
      </c>
      <c r="N509" s="1" t="inlineStr">
        <is>
          <t>IPVA</t>
        </is>
      </c>
      <c r="O509" s="1" t="inlineStr">
        <is>
          <t>Despesas com Veículos e Equipamentos</t>
        </is>
      </c>
      <c r="P509" s="1" t="inlineStr">
        <is>
          <t>(-)Gastos Fixos</t>
        </is>
      </c>
      <c r="Q509" s="1" t="n">
        <v>4</v>
      </c>
      <c r="R509" s="1" t="n">
        <v>2025</v>
      </c>
    </row>
    <row r="510">
      <c r="A510" s="61" t="n">
        <v>45824</v>
      </c>
      <c r="B510" s="16" t="inlineStr">
        <is>
          <t>DETRAN - GO</t>
        </is>
      </c>
      <c r="C510" s="90" t="n"/>
      <c r="D510" s="90" t="n">
        <v>621.51</v>
      </c>
      <c r="E510" s="90" t="n">
        <v>-621.51</v>
      </c>
      <c r="F510" s="16" t="inlineStr">
        <is>
          <t>6.1 - IPVA</t>
        </is>
      </c>
      <c r="G510" s="16" t="inlineStr">
        <is>
          <t>VEICULOS</t>
        </is>
      </c>
      <c r="H510" s="63" t="n">
        <v>2025</v>
      </c>
      <c r="I510" s="64" t="n">
        <v>6</v>
      </c>
      <c r="J510" s="16" t="inlineStr">
        <is>
          <t>Jun</t>
        </is>
      </c>
      <c r="K510" s="16" t="n"/>
      <c r="M510" s="89" t="n">
        <v>-621.51</v>
      </c>
      <c r="N510" s="1" t="inlineStr">
        <is>
          <t>IPVA</t>
        </is>
      </c>
      <c r="O510" s="1" t="inlineStr">
        <is>
          <t>Despesas com Veículos e Equipamentos</t>
        </is>
      </c>
      <c r="P510" s="1" t="inlineStr">
        <is>
          <t>(-)Gastos Fixos</t>
        </is>
      </c>
      <c r="Q510" s="1" t="n">
        <v>4</v>
      </c>
      <c r="R510" s="1" t="n">
        <v>2025</v>
      </c>
    </row>
    <row r="511">
      <c r="A511" s="61" t="n">
        <v>45824</v>
      </c>
      <c r="B511" s="16" t="inlineStr">
        <is>
          <t>DETRAN - GO</t>
        </is>
      </c>
      <c r="C511" s="90" t="n"/>
      <c r="D511" s="90" t="n">
        <v>562.98</v>
      </c>
      <c r="E511" s="90" t="n">
        <v>-562.98</v>
      </c>
      <c r="F511" s="16" t="inlineStr">
        <is>
          <t>6.1 - IPVA</t>
        </is>
      </c>
      <c r="G511" s="16" t="inlineStr">
        <is>
          <t>VEICULOS</t>
        </is>
      </c>
      <c r="H511" s="63" t="n">
        <v>2025</v>
      </c>
      <c r="I511" s="64" t="n">
        <v>6</v>
      </c>
      <c r="J511" s="16" t="inlineStr">
        <is>
          <t>Jun</t>
        </is>
      </c>
      <c r="K511" s="16" t="n"/>
      <c r="M511" s="89" t="n">
        <v>-562.98</v>
      </c>
      <c r="N511" s="1" t="inlineStr">
        <is>
          <t>IPVA</t>
        </is>
      </c>
      <c r="O511" s="1" t="inlineStr">
        <is>
          <t>Despesas com Veículos e Equipamentos</t>
        </is>
      </c>
      <c r="P511" s="1" t="inlineStr">
        <is>
          <t>(-)Gastos Fixos</t>
        </is>
      </c>
      <c r="Q511" s="1" t="n">
        <v>4</v>
      </c>
      <c r="R511" s="1" t="n">
        <v>2025</v>
      </c>
    </row>
    <row r="512">
      <c r="A512" s="61" t="n">
        <v>45824</v>
      </c>
      <c r="B512" s="16" t="inlineStr">
        <is>
          <t>DETRAN - GO</t>
        </is>
      </c>
      <c r="C512" s="90" t="n"/>
      <c r="D512" s="90" t="n">
        <v>323.81</v>
      </c>
      <c r="E512" s="90" t="n">
        <v>-323.81</v>
      </c>
      <c r="F512" s="16" t="inlineStr">
        <is>
          <t>6.1 - IPVA</t>
        </is>
      </c>
      <c r="G512" s="16" t="inlineStr">
        <is>
          <t>VEICULOS</t>
        </is>
      </c>
      <c r="H512" s="63" t="n">
        <v>2025</v>
      </c>
      <c r="I512" s="64" t="n">
        <v>6</v>
      </c>
      <c r="J512" s="16" t="inlineStr">
        <is>
          <t>Jun</t>
        </is>
      </c>
      <c r="K512" s="16" t="n"/>
      <c r="M512" s="89" t="n">
        <v>-323.81</v>
      </c>
      <c r="N512" s="1" t="inlineStr">
        <is>
          <t>IPVA</t>
        </is>
      </c>
      <c r="O512" s="1" t="inlineStr">
        <is>
          <t>Despesas com Veículos e Equipamentos</t>
        </is>
      </c>
      <c r="P512" s="1" t="inlineStr">
        <is>
          <t>(-)Gastos Fixos</t>
        </is>
      </c>
      <c r="Q512" s="1" t="n">
        <v>4</v>
      </c>
      <c r="R512" s="1" t="n">
        <v>2025</v>
      </c>
    </row>
    <row r="513">
      <c r="A513" s="61" t="n">
        <v>45824</v>
      </c>
      <c r="B513" s="16" t="inlineStr">
        <is>
          <t>DETRAN - GO</t>
        </is>
      </c>
      <c r="C513" s="90" t="n"/>
      <c r="D513" s="90" t="n">
        <v>283.44</v>
      </c>
      <c r="E513" s="90" t="n">
        <v>-283.44</v>
      </c>
      <c r="F513" s="16" t="inlineStr">
        <is>
          <t>6.1 - IPVA</t>
        </is>
      </c>
      <c r="G513" s="16" t="inlineStr">
        <is>
          <t>VEICULOS</t>
        </is>
      </c>
      <c r="H513" s="63" t="n">
        <v>2025</v>
      </c>
      <c r="I513" s="64" t="n">
        <v>6</v>
      </c>
      <c r="J513" s="16" t="inlineStr">
        <is>
          <t>Jun</t>
        </is>
      </c>
      <c r="K513" s="16" t="n"/>
      <c r="M513" s="89" t="n">
        <v>-283.44</v>
      </c>
      <c r="N513" s="1" t="inlineStr">
        <is>
          <t>IPVA</t>
        </is>
      </c>
      <c r="O513" s="1" t="inlineStr">
        <is>
          <t>Despesas com Veículos e Equipamentos</t>
        </is>
      </c>
      <c r="P513" s="1" t="inlineStr">
        <is>
          <t>(-)Gastos Fixos</t>
        </is>
      </c>
      <c r="Q513" s="1" t="n">
        <v>4</v>
      </c>
      <c r="R513" s="1" t="n">
        <v>2025</v>
      </c>
    </row>
    <row r="514">
      <c r="A514" s="61" t="n">
        <v>45824</v>
      </c>
      <c r="B514" s="16" t="inlineStr">
        <is>
          <t>MARIA DE FE VIDAL PASCOA COMBUSTIVEL LTDA</t>
        </is>
      </c>
      <c r="C514" s="90" t="n"/>
      <c r="D514" s="90" t="n">
        <v>1700</v>
      </c>
      <c r="E514" s="90" t="n">
        <v>-1700</v>
      </c>
      <c r="F514" s="16" t="inlineStr">
        <is>
          <t>6.4 - COMBUSTIVEL VEICULOS</t>
        </is>
      </c>
      <c r="G514" s="16" t="inlineStr">
        <is>
          <t>SERENA 21 TORRES 2024</t>
        </is>
      </c>
      <c r="H514" s="63" t="n">
        <v>2025</v>
      </c>
      <c r="I514" s="64" t="n">
        <v>6</v>
      </c>
      <c r="J514" s="16" t="inlineStr">
        <is>
          <t>Jun</t>
        </is>
      </c>
      <c r="K514" s="16" t="n"/>
      <c r="M514" s="89" t="n">
        <v>-1700</v>
      </c>
      <c r="N514" s="1" t="inlineStr">
        <is>
          <t>COMBUSTIVEL VEICULOS</t>
        </is>
      </c>
      <c r="O514" s="1" t="inlineStr">
        <is>
          <t>Despesas com Veículos e Equipamentos</t>
        </is>
      </c>
      <c r="P514" s="1" t="inlineStr">
        <is>
          <t>(-)Gastos Fixos</t>
        </is>
      </c>
      <c r="Q514" s="1" t="n">
        <v>4</v>
      </c>
      <c r="R514" s="1" t="n">
        <v>2025</v>
      </c>
    </row>
    <row r="515">
      <c r="A515" s="61" t="n">
        <v>45824</v>
      </c>
      <c r="B515" s="16" t="inlineStr">
        <is>
          <t>MERCADO</t>
        </is>
      </c>
      <c r="C515" s="90" t="n"/>
      <c r="D515" s="90" t="n">
        <v>80.44</v>
      </c>
      <c r="E515" s="90" t="n">
        <v>-80.44</v>
      </c>
      <c r="F515" s="16" t="inlineStr">
        <is>
          <t>11.5 - ALIMENTAÇÃO ADM</t>
        </is>
      </c>
      <c r="G515" s="16" t="inlineStr">
        <is>
          <t>ADMINISTRATIVO</t>
        </is>
      </c>
      <c r="H515" s="63" t="n">
        <v>2025</v>
      </c>
      <c r="I515" s="64" t="n">
        <v>6</v>
      </c>
      <c r="J515" s="16" t="inlineStr">
        <is>
          <t>Jun</t>
        </is>
      </c>
      <c r="K515" s="16" t="n"/>
      <c r="M515" s="89" t="n">
        <v>-80.44</v>
      </c>
      <c r="N515" s="1" t="inlineStr">
        <is>
          <t>ALIMENTAÇÃO ADM</t>
        </is>
      </c>
      <c r="O515" s="1" t="inlineStr">
        <is>
          <t>Despesas com Pessoal</t>
        </is>
      </c>
      <c r="P515" s="1" t="inlineStr">
        <is>
          <t>(-)Gastos Fixos</t>
        </is>
      </c>
      <c r="Q515" s="1" t="n">
        <v>4</v>
      </c>
      <c r="R515" s="1" t="n">
        <v>2025</v>
      </c>
    </row>
    <row r="516">
      <c r="A516" s="61" t="n">
        <v>45824</v>
      </c>
      <c r="B516" s="16" t="inlineStr">
        <is>
          <t>CLINICA OBRAS</t>
        </is>
      </c>
      <c r="C516" s="90" t="n"/>
      <c r="D516" s="90" t="n">
        <v>49.9</v>
      </c>
      <c r="E516" s="90" t="n">
        <v>-49.9</v>
      </c>
      <c r="F516" s="16" t="inlineStr">
        <is>
          <t>3.3 - SERVIÇOS DE CONSULTORIA</t>
        </is>
      </c>
      <c r="G516" s="16" t="inlineStr">
        <is>
          <t>COMPORTAS - PORTO FERREIRA</t>
        </is>
      </c>
      <c r="H516" s="63" t="n">
        <v>2025</v>
      </c>
      <c r="I516" s="64" t="n">
        <v>6</v>
      </c>
      <c r="J516" s="16" t="inlineStr">
        <is>
          <t>Jun</t>
        </is>
      </c>
      <c r="K516" s="16" t="n"/>
      <c r="M516" s="89" t="n">
        <v>-49.9</v>
      </c>
      <c r="N516" s="1" t="inlineStr">
        <is>
          <t>SERVIÇOS DE CONSULTORIA</t>
        </is>
      </c>
      <c r="O516" s="1" t="inlineStr">
        <is>
          <t>Despesas Administrativas</t>
        </is>
      </c>
      <c r="P516" s="1" t="inlineStr">
        <is>
          <t>(-)Gastos Fixos</t>
        </is>
      </c>
      <c r="Q516" s="1" t="n">
        <v>4</v>
      </c>
      <c r="R516" s="1" t="n">
        <v>2025</v>
      </c>
    </row>
    <row r="517">
      <c r="A517" s="61" t="n">
        <v>45824</v>
      </c>
      <c r="B517" s="16" t="inlineStr">
        <is>
          <t>MERCADO</t>
        </is>
      </c>
      <c r="C517" s="90" t="n"/>
      <c r="D517" s="90" t="n">
        <v>197</v>
      </c>
      <c r="E517" s="90" t="n">
        <v>-197</v>
      </c>
      <c r="F517" s="16" t="inlineStr">
        <is>
          <t>11.5 - ALIMENTAÇÃO ADM</t>
        </is>
      </c>
      <c r="G517" s="16" t="inlineStr">
        <is>
          <t>ADMINISTRATIVO</t>
        </is>
      </c>
      <c r="H517" s="63" t="n">
        <v>2025</v>
      </c>
      <c r="I517" s="64" t="n">
        <v>6</v>
      </c>
      <c r="J517" s="16" t="inlineStr">
        <is>
          <t>Jun</t>
        </is>
      </c>
      <c r="K517" s="16" t="n"/>
      <c r="M517" s="89" t="n">
        <v>-197</v>
      </c>
      <c r="N517" s="1" t="inlineStr">
        <is>
          <t>ALIMENTAÇÃO ADM</t>
        </is>
      </c>
      <c r="O517" s="1" t="inlineStr">
        <is>
          <t>Despesas com Pessoal</t>
        </is>
      </c>
      <c r="P517" s="1" t="inlineStr">
        <is>
          <t>(-)Gastos Fixos</t>
        </is>
      </c>
      <c r="Q517" s="1" t="n">
        <v>4</v>
      </c>
      <c r="R517" s="1" t="n">
        <v>2025</v>
      </c>
    </row>
    <row r="518">
      <c r="A518" s="61" t="n">
        <v>45824</v>
      </c>
      <c r="B518" s="16" t="inlineStr">
        <is>
          <t>SERVIÇOS DE LIMPEZA / FAXINA</t>
        </is>
      </c>
      <c r="C518" s="90" t="n"/>
      <c r="D518" s="90" t="n">
        <v>300</v>
      </c>
      <c r="E518" s="90" t="n">
        <v>-300</v>
      </c>
      <c r="F518" s="16" t="inlineStr">
        <is>
          <t>3.7 - SERVIÇO LIMPEZA ALOJAMENTO/ESCRITORIO</t>
        </is>
      </c>
      <c r="G518" s="16" t="inlineStr">
        <is>
          <t>ADMINISTRATIVO</t>
        </is>
      </c>
      <c r="H518" s="63" t="n">
        <v>2025</v>
      </c>
      <c r="I518" s="64" t="n">
        <v>6</v>
      </c>
      <c r="J518" s="16" t="inlineStr">
        <is>
          <t>Jun</t>
        </is>
      </c>
      <c r="K518" s="16" t="n"/>
      <c r="M518" s="89" t="n">
        <v>-300</v>
      </c>
      <c r="N518" s="1" t="inlineStr">
        <is>
          <t>SERVIÇO LIMPEZA ALOJAMENTO/ESCRITORIO</t>
        </is>
      </c>
      <c r="O518" s="1" t="inlineStr">
        <is>
          <t>Despesas com Infraestrutura</t>
        </is>
      </c>
      <c r="P518" s="1" t="inlineStr">
        <is>
          <t>(-)Gastos Fixos</t>
        </is>
      </c>
      <c r="Q518" s="1" t="n">
        <v>4</v>
      </c>
      <c r="R518" s="1" t="n">
        <v>2025</v>
      </c>
    </row>
    <row r="519">
      <c r="A519" s="61" t="n">
        <v>45824</v>
      </c>
      <c r="B519" s="16" t="inlineStr">
        <is>
          <t>CARTAO CREDITO EDUARDO</t>
        </is>
      </c>
      <c r="C519" s="90" t="n"/>
      <c r="D519" s="90" t="n">
        <v>90</v>
      </c>
      <c r="E519" s="90" t="n">
        <v>-90</v>
      </c>
      <c r="F519" s="16" t="inlineStr">
        <is>
          <t>18.2 - TARIFAS BANCARIAS</t>
        </is>
      </c>
      <c r="G519" s="16" t="inlineStr">
        <is>
          <t>ADMINISTRATIVO</t>
        </is>
      </c>
      <c r="H519" s="63" t="n">
        <v>2025</v>
      </c>
      <c r="I519" s="64" t="n">
        <v>6</v>
      </c>
      <c r="J519" s="16" t="inlineStr">
        <is>
          <t>Jun</t>
        </is>
      </c>
      <c r="K519" s="16" t="n"/>
      <c r="M519" s="89" t="n">
        <v>-90</v>
      </c>
      <c r="N519" s="1" t="inlineStr">
        <is>
          <t>TARIFAS BANCARIAS</t>
        </is>
      </c>
      <c r="O519" s="1" t="inlineStr">
        <is>
          <t>Despesas Financeiras</t>
        </is>
      </c>
      <c r="P519" s="1" t="inlineStr">
        <is>
          <t>(-)Gastos Fixos</t>
        </is>
      </c>
      <c r="Q519" s="1" t="n">
        <v>4</v>
      </c>
      <c r="R519" s="1" t="n">
        <v>2025</v>
      </c>
    </row>
    <row r="520">
      <c r="A520" s="61" t="n">
        <v>45824</v>
      </c>
      <c r="B520" s="16" t="inlineStr">
        <is>
          <t>CARTAO CREDITO EDUARDO</t>
        </is>
      </c>
      <c r="C520" s="90" t="n"/>
      <c r="D520" s="90" t="n">
        <v>564.98</v>
      </c>
      <c r="E520" s="90" t="n">
        <v>-564.98</v>
      </c>
      <c r="F520" s="16" t="inlineStr">
        <is>
          <t>6.5 - SEGUROS DE VEICULOS</t>
        </is>
      </c>
      <c r="G520" s="16" t="inlineStr">
        <is>
          <t>VEICULOS</t>
        </is>
      </c>
      <c r="H520" s="63" t="n">
        <v>2025</v>
      </c>
      <c r="I520" s="64" t="n">
        <v>6</v>
      </c>
      <c r="J520" s="16" t="inlineStr">
        <is>
          <t>Jun</t>
        </is>
      </c>
      <c r="K520" s="16" t="n"/>
      <c r="M520" s="89" t="n">
        <v>-564.98</v>
      </c>
      <c r="N520" s="1" t="inlineStr">
        <is>
          <t>SEGUROS DE VEICULOS</t>
        </is>
      </c>
      <c r="O520" s="1" t="inlineStr">
        <is>
          <t>Despesas com Veículos e Equipamentos</t>
        </is>
      </c>
      <c r="P520" s="1" t="inlineStr">
        <is>
          <t>(-)Gastos Fixos</t>
        </is>
      </c>
      <c r="Q520" s="1" t="n">
        <v>4</v>
      </c>
      <c r="R520" s="1" t="n">
        <v>2025</v>
      </c>
    </row>
    <row r="521">
      <c r="A521" s="61" t="n">
        <v>45824</v>
      </c>
      <c r="B521" s="16" t="inlineStr">
        <is>
          <t>CARTAO CREDITO EDUARDO</t>
        </is>
      </c>
      <c r="C521" s="90" t="n"/>
      <c r="D521" s="90" t="n">
        <v>247.2</v>
      </c>
      <c r="E521" s="90" t="n">
        <v>-247.2</v>
      </c>
      <c r="F521" s="16" t="inlineStr">
        <is>
          <t>6.5 - SEGUROS DE VEICULOS</t>
        </is>
      </c>
      <c r="G521" s="16" t="inlineStr">
        <is>
          <t>VEICULOS</t>
        </is>
      </c>
      <c r="H521" s="63" t="n">
        <v>2025</v>
      </c>
      <c r="I521" s="64" t="n">
        <v>6</v>
      </c>
      <c r="J521" s="16" t="inlineStr">
        <is>
          <t>Jun</t>
        </is>
      </c>
      <c r="K521" s="16" t="n"/>
      <c r="M521" s="89" t="n">
        <v>-247.2</v>
      </c>
      <c r="N521" s="1" t="inlineStr">
        <is>
          <t>SEGUROS DE VEICULOS</t>
        </is>
      </c>
      <c r="O521" s="1" t="inlineStr">
        <is>
          <t>Despesas com Veículos e Equipamentos</t>
        </is>
      </c>
      <c r="P521" s="1" t="inlineStr">
        <is>
          <t>(-)Gastos Fixos</t>
        </is>
      </c>
      <c r="Q521" s="1" t="n">
        <v>4</v>
      </c>
      <c r="R521" s="1" t="n">
        <v>2025</v>
      </c>
    </row>
    <row r="522">
      <c r="A522" s="61" t="n">
        <v>45824</v>
      </c>
      <c r="B522" s="16" t="inlineStr">
        <is>
          <t>CARTAO CREDITO EDUARDO</t>
        </is>
      </c>
      <c r="C522" s="90" t="n"/>
      <c r="D522" s="90" t="n">
        <v>580.6900000000001</v>
      </c>
      <c r="E522" s="90" t="n">
        <v>-580.6900000000001</v>
      </c>
      <c r="F522" s="16" t="inlineStr">
        <is>
          <t>6.5 - SEGUROS DE VEICULOS</t>
        </is>
      </c>
      <c r="G522" s="16" t="inlineStr">
        <is>
          <t>VEICULOS</t>
        </is>
      </c>
      <c r="H522" s="63" t="n">
        <v>2025</v>
      </c>
      <c r="I522" s="64" t="n">
        <v>6</v>
      </c>
      <c r="J522" s="16" t="inlineStr">
        <is>
          <t>Jun</t>
        </is>
      </c>
      <c r="K522" s="16" t="n"/>
      <c r="M522" s="89" t="n">
        <v>-580.6900000000001</v>
      </c>
      <c r="N522" s="1" t="inlineStr">
        <is>
          <t>SEGUROS DE VEICULOS</t>
        </is>
      </c>
      <c r="O522" s="1" t="inlineStr">
        <is>
          <t>Despesas com Veículos e Equipamentos</t>
        </is>
      </c>
      <c r="P522" s="1" t="inlineStr">
        <is>
          <t>(-)Gastos Fixos</t>
        </is>
      </c>
      <c r="Q522" s="1" t="n">
        <v>4</v>
      </c>
      <c r="R522" s="1" t="n">
        <v>2025</v>
      </c>
    </row>
    <row r="523">
      <c r="A523" s="61" t="n">
        <v>45824</v>
      </c>
      <c r="B523" s="16" t="inlineStr">
        <is>
          <t>CARTAO CREDITO EDUARDO</t>
        </is>
      </c>
      <c r="C523" s="90" t="n"/>
      <c r="D523" s="90" t="n">
        <v>301.37</v>
      </c>
      <c r="E523" s="90" t="n">
        <v>-301.37</v>
      </c>
      <c r="F523" s="16" t="inlineStr">
        <is>
          <t>11.13 - MATERIAIS DE INFORMATICA / COMPUTADOR</t>
        </is>
      </c>
      <c r="G523" s="16" t="inlineStr">
        <is>
          <t>ADMINISTRATIVO</t>
        </is>
      </c>
      <c r="H523" s="63" t="n">
        <v>2025</v>
      </c>
      <c r="I523" s="64" t="n">
        <v>6</v>
      </c>
      <c r="J523" s="16" t="inlineStr">
        <is>
          <t>Jun</t>
        </is>
      </c>
      <c r="K523" s="16" t="n"/>
      <c r="M523" s="89" t="n">
        <v>-301.37</v>
      </c>
      <c r="N523" s="1" t="inlineStr">
        <is>
          <t>MATERIAIS DE INFORMATICA / COMPUTADOR</t>
        </is>
      </c>
      <c r="O523" s="1" t="inlineStr">
        <is>
          <t>Despesas Administrativas</t>
        </is>
      </c>
      <c r="P523" s="1" t="inlineStr">
        <is>
          <t>(-)Gastos Fixos</t>
        </is>
      </c>
      <c r="Q523" s="1" t="n">
        <v>4</v>
      </c>
      <c r="R523" s="1" t="n">
        <v>2025</v>
      </c>
    </row>
    <row r="524">
      <c r="A524" s="61" t="n">
        <v>45824</v>
      </c>
      <c r="B524" s="16" t="inlineStr">
        <is>
          <t>CARTAO CREDITO EDUARDO</t>
        </is>
      </c>
      <c r="C524" s="90" t="n"/>
      <c r="D524" s="90" t="n">
        <v>445</v>
      </c>
      <c r="E524" s="90" t="n">
        <v>-445</v>
      </c>
      <c r="F524" s="16" t="inlineStr">
        <is>
          <t>15.4 - DESPESAS C/ CONSTRUÇÃO ESCRITORIO ADM</t>
        </is>
      </c>
      <c r="G524" s="16" t="inlineStr">
        <is>
          <t>LOTE TRINDADE</t>
        </is>
      </c>
      <c r="H524" s="63" t="n">
        <v>2025</v>
      </c>
      <c r="I524" s="64" t="n">
        <v>6</v>
      </c>
      <c r="J524" s="16" t="inlineStr">
        <is>
          <t>Jun</t>
        </is>
      </c>
      <c r="K524" s="16" t="n"/>
      <c r="M524" s="89" t="n">
        <v>-445</v>
      </c>
      <c r="N524" s="1" t="inlineStr">
        <is>
          <t>Construção da Nova Sede</t>
        </is>
      </c>
      <c r="O524" s="1" t="inlineStr">
        <is>
          <t>Investimentos</t>
        </is>
      </c>
      <c r="P524" s="1" t="inlineStr">
        <is>
          <t>(-)Investimentos</t>
        </is>
      </c>
      <c r="Q524" s="1" t="n">
        <v>8</v>
      </c>
      <c r="R524" s="1" t="n">
        <v>2025</v>
      </c>
    </row>
    <row r="525">
      <c r="A525" s="61" t="n">
        <v>45824</v>
      </c>
      <c r="B525" s="16" t="inlineStr">
        <is>
          <t>CARTAO CREDITO EDUARDO</t>
        </is>
      </c>
      <c r="C525" s="90" t="n"/>
      <c r="D525" s="90" t="n">
        <v>1500</v>
      </c>
      <c r="E525" s="90" t="n">
        <v>-1500</v>
      </c>
      <c r="F525" s="16" t="inlineStr">
        <is>
          <t>15.4 - DESPESAS C/ CONSTRUÇÃO ESCRITORIO ADM</t>
        </is>
      </c>
      <c r="G525" s="16" t="inlineStr">
        <is>
          <t>LOTE TRINDADE</t>
        </is>
      </c>
      <c r="H525" s="63" t="n">
        <v>2025</v>
      </c>
      <c r="I525" s="64" t="n">
        <v>6</v>
      </c>
      <c r="J525" s="16" t="inlineStr">
        <is>
          <t>Jun</t>
        </is>
      </c>
      <c r="K525" s="16" t="n"/>
      <c r="M525" s="89" t="n">
        <v>-1500</v>
      </c>
      <c r="N525" s="1" t="inlineStr">
        <is>
          <t>Construção da Nova Sede</t>
        </is>
      </c>
      <c r="O525" s="1" t="inlineStr">
        <is>
          <t>Investimentos</t>
        </is>
      </c>
      <c r="P525" s="1" t="inlineStr">
        <is>
          <t>(-)Investimentos</t>
        </is>
      </c>
      <c r="Q525" s="1" t="n">
        <v>8</v>
      </c>
      <c r="R525" s="1" t="n">
        <v>2025</v>
      </c>
    </row>
    <row r="526">
      <c r="A526" s="61" t="n">
        <v>45824</v>
      </c>
      <c r="B526" s="16" t="inlineStr">
        <is>
          <t>CARTAO CREDITO EDUARDO</t>
        </is>
      </c>
      <c r="C526" s="90" t="n"/>
      <c r="D526" s="90" t="n">
        <v>1050</v>
      </c>
      <c r="E526" s="90" t="n">
        <v>-1050</v>
      </c>
      <c r="F526" s="16" t="inlineStr">
        <is>
          <t>6.3 - MANUTENÇÃO/PEÇAS  VEICULOS</t>
        </is>
      </c>
      <c r="G526" s="16" t="inlineStr">
        <is>
          <t>VEICULOS</t>
        </is>
      </c>
      <c r="H526" s="63" t="n">
        <v>2025</v>
      </c>
      <c r="I526" s="64" t="n">
        <v>6</v>
      </c>
      <c r="J526" s="16" t="inlineStr">
        <is>
          <t>Jun</t>
        </is>
      </c>
      <c r="K526" s="16" t="n"/>
      <c r="M526" s="89" t="n">
        <v>-1050</v>
      </c>
      <c r="N526" s="1" t="inlineStr">
        <is>
          <t>MANUTENÇÃO/PEÇAS  VEICULOS</t>
        </is>
      </c>
      <c r="O526" s="1" t="inlineStr">
        <is>
          <t>Despesas com Veículos e Equipamentos</t>
        </is>
      </c>
      <c r="P526" s="1" t="inlineStr">
        <is>
          <t>(-)Gastos Fixos</t>
        </is>
      </c>
      <c r="Q526" s="1" t="n">
        <v>4</v>
      </c>
      <c r="R526" s="1" t="n">
        <v>2025</v>
      </c>
    </row>
    <row r="527">
      <c r="A527" s="61" t="n">
        <v>45824</v>
      </c>
      <c r="B527" s="16" t="inlineStr">
        <is>
          <t>CARTAO CREDITO EDUARDO</t>
        </is>
      </c>
      <c r="C527" s="90" t="n"/>
      <c r="D527" s="90" t="n">
        <v>332.22</v>
      </c>
      <c r="E527" s="90" t="n">
        <v>-332.22</v>
      </c>
      <c r="F527" s="16" t="inlineStr">
        <is>
          <t>11.13 - MATERIAIS DE INFORMATICA / COMPUTADOR</t>
        </is>
      </c>
      <c r="G527" s="16" t="inlineStr">
        <is>
          <t>ADMINISTRATIVO</t>
        </is>
      </c>
      <c r="H527" s="63" t="n">
        <v>2025</v>
      </c>
      <c r="I527" s="64" t="n">
        <v>6</v>
      </c>
      <c r="J527" s="16" t="inlineStr">
        <is>
          <t>Jun</t>
        </is>
      </c>
      <c r="K527" s="16" t="n"/>
      <c r="M527" s="89" t="n">
        <v>-332.22</v>
      </c>
      <c r="N527" s="1" t="inlineStr">
        <is>
          <t>MATERIAIS DE INFORMATICA / COMPUTADOR</t>
        </is>
      </c>
      <c r="O527" s="1" t="inlineStr">
        <is>
          <t>Despesas Administrativas</t>
        </is>
      </c>
      <c r="P527" s="1" t="inlineStr">
        <is>
          <t>(-)Gastos Fixos</t>
        </is>
      </c>
      <c r="Q527" s="1" t="n">
        <v>4</v>
      </c>
      <c r="R527" s="1" t="n">
        <v>2025</v>
      </c>
    </row>
    <row r="528">
      <c r="A528" s="61" t="n">
        <v>45824</v>
      </c>
      <c r="B528" s="16" t="inlineStr">
        <is>
          <t>CARTAO CREDITO EDUARDO</t>
        </is>
      </c>
      <c r="C528" s="90" t="n"/>
      <c r="D528" s="90" t="n">
        <v>1032.5</v>
      </c>
      <c r="E528" s="90" t="n">
        <v>-1032.5</v>
      </c>
      <c r="F528" s="16" t="inlineStr">
        <is>
          <t>6.3 - MANUTENÇÃO/PEÇAS  VEICULOS</t>
        </is>
      </c>
      <c r="G528" s="16" t="inlineStr">
        <is>
          <t>VEICULOS</t>
        </is>
      </c>
      <c r="H528" s="63" t="n">
        <v>2025</v>
      </c>
      <c r="I528" s="64" t="n">
        <v>6</v>
      </c>
      <c r="J528" s="16" t="inlineStr">
        <is>
          <t>Jun</t>
        </is>
      </c>
      <c r="K528" s="16" t="n"/>
      <c r="M528" s="89" t="n">
        <v>-1032.5</v>
      </c>
      <c r="N528" s="1" t="inlineStr">
        <is>
          <t>MANUTENÇÃO/PEÇAS  VEICULOS</t>
        </is>
      </c>
      <c r="O528" s="1" t="inlineStr">
        <is>
          <t>Despesas com Veículos e Equipamentos</t>
        </is>
      </c>
      <c r="P528" s="1" t="inlineStr">
        <is>
          <t>(-)Gastos Fixos</t>
        </is>
      </c>
      <c r="Q528" s="1" t="n">
        <v>4</v>
      </c>
      <c r="R528" s="1" t="n">
        <v>2025</v>
      </c>
    </row>
    <row r="529">
      <c r="A529" s="61" t="n">
        <v>45824</v>
      </c>
      <c r="B529" s="16" t="inlineStr">
        <is>
          <t>CARTAO CREDITO EDUARDO</t>
        </is>
      </c>
      <c r="C529" s="90" t="n"/>
      <c r="D529" s="90" t="n">
        <v>331.38</v>
      </c>
      <c r="E529" s="90" t="n">
        <v>-331.38</v>
      </c>
      <c r="F529" s="16" t="inlineStr">
        <is>
          <t>11.13 - MATERIAIS DE INFORMATICA / COMPUTADOR</t>
        </is>
      </c>
      <c r="G529" s="16" t="inlineStr">
        <is>
          <t>ADMINISTRATIVO</t>
        </is>
      </c>
      <c r="H529" s="63" t="n">
        <v>2025</v>
      </c>
      <c r="I529" s="64" t="n">
        <v>6</v>
      </c>
      <c r="J529" s="16" t="inlineStr">
        <is>
          <t>Jun</t>
        </is>
      </c>
      <c r="K529" s="16" t="n"/>
      <c r="M529" s="89" t="n">
        <v>-331.38</v>
      </c>
      <c r="N529" s="1" t="inlineStr">
        <is>
          <t>MATERIAIS DE INFORMATICA / COMPUTADOR</t>
        </is>
      </c>
      <c r="O529" s="1" t="inlineStr">
        <is>
          <t>Despesas Administrativas</t>
        </is>
      </c>
      <c r="P529" s="1" t="inlineStr">
        <is>
          <t>(-)Gastos Fixos</t>
        </is>
      </c>
      <c r="Q529" s="1" t="n">
        <v>4</v>
      </c>
      <c r="R529" s="1" t="n">
        <v>2025</v>
      </c>
    </row>
    <row r="530">
      <c r="A530" s="61" t="n">
        <v>45824</v>
      </c>
      <c r="B530" s="16" t="inlineStr">
        <is>
          <t>CARTAO CREDITO EDUARDO</t>
        </is>
      </c>
      <c r="C530" s="90" t="n"/>
      <c r="D530" s="90" t="n">
        <v>250</v>
      </c>
      <c r="E530" s="90" t="n">
        <v>-250</v>
      </c>
      <c r="F530" s="16" t="inlineStr">
        <is>
          <t>11.8 - SISTEMA / SERVIDOR</t>
        </is>
      </c>
      <c r="G530" s="16" t="inlineStr">
        <is>
          <t>ADMINISTRATIVO</t>
        </is>
      </c>
      <c r="H530" s="63" t="n">
        <v>2025</v>
      </c>
      <c r="I530" s="64" t="n">
        <v>6</v>
      </c>
      <c r="J530" s="16" t="inlineStr">
        <is>
          <t>Jun</t>
        </is>
      </c>
      <c r="K530" s="16" t="n"/>
      <c r="M530" s="89" t="n">
        <v>-250</v>
      </c>
      <c r="N530" s="1" t="inlineStr">
        <is>
          <t>SISTEMA / SERVIDOR</t>
        </is>
      </c>
      <c r="O530" s="1" t="inlineStr">
        <is>
          <t>Despesas Administrativas</t>
        </is>
      </c>
      <c r="P530" s="1" t="inlineStr">
        <is>
          <t>(-)Gastos Fixos</t>
        </is>
      </c>
      <c r="Q530" s="1" t="n">
        <v>4</v>
      </c>
      <c r="R530" s="1" t="n">
        <v>2025</v>
      </c>
    </row>
    <row r="531">
      <c r="A531" s="61" t="n">
        <v>45824</v>
      </c>
      <c r="B531" s="16" t="inlineStr">
        <is>
          <t>CARTAO CREDITO EDUARDO</t>
        </is>
      </c>
      <c r="C531" s="90" t="n"/>
      <c r="D531" s="90" t="n">
        <v>1495</v>
      </c>
      <c r="E531" s="90" t="n">
        <v>-1495</v>
      </c>
      <c r="F531" s="16" t="inlineStr">
        <is>
          <t>15.4 - DESPESAS C/ CONSTRUÇÃO ESCRITORIO ADM</t>
        </is>
      </c>
      <c r="G531" s="16" t="inlineStr">
        <is>
          <t>ADMINISTRATIVO</t>
        </is>
      </c>
      <c r="H531" s="63" t="n">
        <v>2025</v>
      </c>
      <c r="I531" s="64" t="n">
        <v>6</v>
      </c>
      <c r="J531" s="16" t="inlineStr">
        <is>
          <t>Jun</t>
        </is>
      </c>
      <c r="K531" s="16" t="n"/>
      <c r="M531" s="89" t="n">
        <v>-1495</v>
      </c>
      <c r="N531" s="1" t="inlineStr">
        <is>
          <t>Construção da Nova Sede</t>
        </is>
      </c>
      <c r="O531" s="1" t="inlineStr">
        <is>
          <t>Investimentos</t>
        </is>
      </c>
      <c r="P531" s="1" t="inlineStr">
        <is>
          <t>(-)Investimentos</t>
        </is>
      </c>
      <c r="Q531" s="1" t="n">
        <v>8</v>
      </c>
      <c r="R531" s="1" t="n">
        <v>2025</v>
      </c>
    </row>
    <row r="532">
      <c r="A532" s="61" t="n">
        <v>45824</v>
      </c>
      <c r="B532" s="16" t="inlineStr">
        <is>
          <t>CARTAO CREDITO EDUARDO</t>
        </is>
      </c>
      <c r="C532" s="90" t="n"/>
      <c r="D532" s="90" t="n">
        <v>589.6799999999999</v>
      </c>
      <c r="E532" s="90" t="n">
        <v>-589.6799999999999</v>
      </c>
      <c r="F532" s="16" t="inlineStr">
        <is>
          <t>12.9 - PASSAGENS FUNCIONARIOS</t>
        </is>
      </c>
      <c r="G532" s="16" t="inlineStr">
        <is>
          <t>OMEGA MONJOLOS SERRA DAS AGULHAS</t>
        </is>
      </c>
      <c r="H532" s="63" t="n">
        <v>2025</v>
      </c>
      <c r="I532" s="64" t="n">
        <v>6</v>
      </c>
      <c r="J532" s="16" t="inlineStr">
        <is>
          <t>Jun</t>
        </is>
      </c>
      <c r="K532" s="16" t="n"/>
      <c r="M532" s="89" t="n">
        <v>-589.6799999999999</v>
      </c>
      <c r="N532" s="1" t="inlineStr">
        <is>
          <t>12.9 - PASSAGENS FUNCIONARIOS</t>
        </is>
      </c>
      <c r="O532" s="1" t="n"/>
      <c r="P532" s="1" t="n"/>
      <c r="Q532" s="1" t="n"/>
      <c r="R532" s="1" t="n">
        <v>2025</v>
      </c>
    </row>
    <row r="533">
      <c r="A533" s="61" t="n">
        <v>45824</v>
      </c>
      <c r="B533" s="16" t="inlineStr">
        <is>
          <t>CARTAO CREDITO EDUARDO</t>
        </is>
      </c>
      <c r="C533" s="90" t="n"/>
      <c r="D533" s="90" t="n">
        <v>363.41</v>
      </c>
      <c r="E533" s="90" t="n">
        <v>-363.41</v>
      </c>
      <c r="F533" s="16" t="inlineStr">
        <is>
          <t>6.5 - SEGUROS DE VEICULOS</t>
        </is>
      </c>
      <c r="G533" s="16" t="inlineStr">
        <is>
          <t>VEICULOS</t>
        </is>
      </c>
      <c r="H533" s="63" t="n">
        <v>2025</v>
      </c>
      <c r="I533" s="64" t="n">
        <v>6</v>
      </c>
      <c r="J533" s="16" t="inlineStr">
        <is>
          <t>Jun</t>
        </is>
      </c>
      <c r="K533" s="16" t="n"/>
      <c r="M533" s="89" t="n">
        <v>-363.41</v>
      </c>
      <c r="N533" s="1" t="inlineStr">
        <is>
          <t>SEGUROS DE VEICULOS</t>
        </is>
      </c>
      <c r="O533" s="1" t="inlineStr">
        <is>
          <t>Despesas com Veículos e Equipamentos</t>
        </is>
      </c>
      <c r="P533" s="1" t="inlineStr">
        <is>
          <t>(-)Gastos Fixos</t>
        </is>
      </c>
      <c r="Q533" s="1" t="n">
        <v>4</v>
      </c>
      <c r="R533" s="1" t="n">
        <v>2025</v>
      </c>
    </row>
    <row r="534">
      <c r="A534" s="61" t="n">
        <v>45824</v>
      </c>
      <c r="B534" s="16" t="inlineStr">
        <is>
          <t>CARTAO CREDITO EDUARDO</t>
        </is>
      </c>
      <c r="C534" s="90" t="n"/>
      <c r="D534" s="90" t="n">
        <v>638.1799999999999</v>
      </c>
      <c r="E534" s="90" t="n">
        <v>-638.1799999999999</v>
      </c>
      <c r="F534" s="16" t="inlineStr">
        <is>
          <t>11.13 - MATERIAIS DE INFORMATICA / COMPUTADOR</t>
        </is>
      </c>
      <c r="G534" s="16" t="inlineStr">
        <is>
          <t>ADMINISTRATIVO</t>
        </is>
      </c>
      <c r="H534" s="63" t="n">
        <v>2025</v>
      </c>
      <c r="I534" s="64" t="n">
        <v>6</v>
      </c>
      <c r="J534" s="16" t="inlineStr">
        <is>
          <t>Jun</t>
        </is>
      </c>
      <c r="K534" s="16" t="n"/>
      <c r="M534" s="89" t="n">
        <v>-638.1799999999999</v>
      </c>
      <c r="N534" s="1" t="inlineStr">
        <is>
          <t>MATERIAIS DE INFORMATICA / COMPUTADOR</t>
        </is>
      </c>
      <c r="O534" s="1" t="inlineStr">
        <is>
          <t>Despesas Administrativas</t>
        </is>
      </c>
      <c r="P534" s="1" t="inlineStr">
        <is>
          <t>(-)Gastos Fixos</t>
        </is>
      </c>
      <c r="Q534" s="1" t="n">
        <v>4</v>
      </c>
      <c r="R534" s="1" t="n">
        <v>2025</v>
      </c>
    </row>
    <row r="535">
      <c r="A535" s="61" t="n">
        <v>45824</v>
      </c>
      <c r="B535" s="16" t="inlineStr">
        <is>
          <t>CARTAO CREDITO EDUARDO</t>
        </is>
      </c>
      <c r="C535" s="90" t="n"/>
      <c r="D535" s="90" t="n">
        <v>1686.25</v>
      </c>
      <c r="E535" s="90" t="n">
        <v>-1686.25</v>
      </c>
      <c r="F535" s="16" t="inlineStr">
        <is>
          <t>6.3 - MANUTENÇÃO/PEÇAS  VEICULOS</t>
        </is>
      </c>
      <c r="G535" s="16" t="inlineStr">
        <is>
          <t>VEICULOS</t>
        </is>
      </c>
      <c r="H535" s="63" t="n">
        <v>2025</v>
      </c>
      <c r="I535" s="64" t="n">
        <v>6</v>
      </c>
      <c r="J535" s="16" t="inlineStr">
        <is>
          <t>Jun</t>
        </is>
      </c>
      <c r="K535" s="16" t="n"/>
      <c r="M535" s="89" t="n">
        <v>-1686.25</v>
      </c>
      <c r="N535" s="1" t="inlineStr">
        <is>
          <t>MANUTENÇÃO/PEÇAS  VEICULOS</t>
        </is>
      </c>
      <c r="O535" s="1" t="inlineStr">
        <is>
          <t>Despesas com Veículos e Equipamentos</t>
        </is>
      </c>
      <c r="P535" s="1" t="inlineStr">
        <is>
          <t>(-)Gastos Fixos</t>
        </is>
      </c>
      <c r="Q535" s="1" t="n">
        <v>4</v>
      </c>
      <c r="R535" s="1" t="n">
        <v>2025</v>
      </c>
    </row>
    <row r="536">
      <c r="A536" s="61" t="n">
        <v>45824</v>
      </c>
      <c r="B536" s="16" t="inlineStr">
        <is>
          <t>CARTAO CREDITO EDUARDO</t>
        </is>
      </c>
      <c r="C536" s="90" t="n"/>
      <c r="D536" s="90" t="n">
        <v>845.66</v>
      </c>
      <c r="E536" s="90" t="n">
        <v>-845.66</v>
      </c>
      <c r="F536" s="16" t="inlineStr">
        <is>
          <t>11.13 - MATERIAIS DE INFORMATICA / COMPUTADOR</t>
        </is>
      </c>
      <c r="G536" s="16" t="inlineStr">
        <is>
          <t>ADMINISTRATIVO</t>
        </is>
      </c>
      <c r="H536" s="63" t="n">
        <v>2025</v>
      </c>
      <c r="I536" s="64" t="n">
        <v>6</v>
      </c>
      <c r="J536" s="16" t="inlineStr">
        <is>
          <t>Jun</t>
        </is>
      </c>
      <c r="K536" s="16" t="n"/>
      <c r="M536" s="89" t="n">
        <v>-845.66</v>
      </c>
      <c r="N536" s="1" t="inlineStr">
        <is>
          <t>MATERIAIS DE INFORMATICA / COMPUTADOR</t>
        </is>
      </c>
      <c r="O536" s="1" t="inlineStr">
        <is>
          <t>Despesas Administrativas</t>
        </is>
      </c>
      <c r="P536" s="1" t="inlineStr">
        <is>
          <t>(-)Gastos Fixos</t>
        </is>
      </c>
      <c r="Q536" s="1" t="n">
        <v>4</v>
      </c>
      <c r="R536" s="1" t="n">
        <v>2025</v>
      </c>
    </row>
    <row r="537">
      <c r="A537" s="61" t="n">
        <v>45824</v>
      </c>
      <c r="B537" s="16" t="inlineStr">
        <is>
          <t>CARTAO CREDITO EDUARDO</t>
        </is>
      </c>
      <c r="C537" s="90" t="n"/>
      <c r="D537" s="90" t="n">
        <v>635.36</v>
      </c>
      <c r="E537" s="90" t="n">
        <v>-635.36</v>
      </c>
      <c r="F537" s="16" t="inlineStr">
        <is>
          <t>15.4 - DESPESAS C/ CONSTRUÇÃO ESCRITORIO ADM</t>
        </is>
      </c>
      <c r="G537" s="16" t="inlineStr">
        <is>
          <t>ADMINISTRATIVO</t>
        </is>
      </c>
      <c r="H537" s="63" t="n">
        <v>2025</v>
      </c>
      <c r="I537" s="64" t="n">
        <v>6</v>
      </c>
      <c r="J537" s="16" t="inlineStr">
        <is>
          <t>Jun</t>
        </is>
      </c>
      <c r="K537" s="16" t="n"/>
      <c r="M537" s="89" t="n">
        <v>-635.36</v>
      </c>
      <c r="N537" s="1" t="inlineStr">
        <is>
          <t>Construção da Nova Sede</t>
        </is>
      </c>
      <c r="O537" s="1" t="inlineStr">
        <is>
          <t>Investimentos</t>
        </is>
      </c>
      <c r="P537" s="1" t="inlineStr">
        <is>
          <t>(-)Investimentos</t>
        </is>
      </c>
      <c r="Q537" s="1" t="n">
        <v>8</v>
      </c>
      <c r="R537" s="1" t="n">
        <v>2025</v>
      </c>
    </row>
    <row r="538">
      <c r="A538" s="61" t="n">
        <v>45824</v>
      </c>
      <c r="B538" s="16" t="inlineStr">
        <is>
          <t>CARTAO CREDITO EDUARDO</t>
        </is>
      </c>
      <c r="C538" s="90" t="n"/>
      <c r="D538" s="90" t="n">
        <v>900</v>
      </c>
      <c r="E538" s="90" t="n">
        <v>-900</v>
      </c>
      <c r="F538" s="16" t="inlineStr">
        <is>
          <t>6.3 - MANUTENÇÃO/PEÇAS  VEICULOS</t>
        </is>
      </c>
      <c r="G538" s="16" t="inlineStr">
        <is>
          <t>VEICULOS</t>
        </is>
      </c>
      <c r="H538" s="63" t="n">
        <v>2025</v>
      </c>
      <c r="I538" s="64" t="n">
        <v>6</v>
      </c>
      <c r="J538" s="16" t="inlineStr">
        <is>
          <t>Jun</t>
        </is>
      </c>
      <c r="K538" s="16" t="n"/>
      <c r="M538" s="89" t="n">
        <v>-900</v>
      </c>
      <c r="N538" s="1" t="inlineStr">
        <is>
          <t>MANUTENÇÃO/PEÇAS  VEICULOS</t>
        </is>
      </c>
      <c r="O538" s="1" t="inlineStr">
        <is>
          <t>Despesas com Veículos e Equipamentos</t>
        </is>
      </c>
      <c r="P538" s="1" t="inlineStr">
        <is>
          <t>(-)Gastos Fixos</t>
        </is>
      </c>
      <c r="Q538" s="1" t="n">
        <v>4</v>
      </c>
      <c r="R538" s="1" t="n">
        <v>2025</v>
      </c>
    </row>
    <row r="539">
      <c r="A539" s="61" t="n">
        <v>45824</v>
      </c>
      <c r="B539" s="16" t="inlineStr">
        <is>
          <t>CARTAO CREDITO EDUARDO</t>
        </is>
      </c>
      <c r="C539" s="90" t="n"/>
      <c r="D539" s="90" t="n">
        <v>472.05</v>
      </c>
      <c r="E539" s="90" t="n">
        <v>-472.05</v>
      </c>
      <c r="F539" s="16" t="inlineStr">
        <is>
          <t>6.3 - MANUTENÇÃO/PEÇAS  VEICULOS</t>
        </is>
      </c>
      <c r="G539" s="16" t="inlineStr">
        <is>
          <t>VEICULOS</t>
        </is>
      </c>
      <c r="H539" s="63" t="n">
        <v>2025</v>
      </c>
      <c r="I539" s="64" t="n">
        <v>6</v>
      </c>
      <c r="J539" s="16" t="inlineStr">
        <is>
          <t>Jun</t>
        </is>
      </c>
      <c r="K539" s="16" t="n"/>
      <c r="M539" s="89" t="n">
        <v>-472.05</v>
      </c>
      <c r="N539" s="1" t="inlineStr">
        <is>
          <t>MANUTENÇÃO/PEÇAS  VEICULOS</t>
        </is>
      </c>
      <c r="O539" s="1" t="inlineStr">
        <is>
          <t>Despesas com Veículos e Equipamentos</t>
        </is>
      </c>
      <c r="P539" s="1" t="inlineStr">
        <is>
          <t>(-)Gastos Fixos</t>
        </is>
      </c>
      <c r="Q539" s="1" t="n">
        <v>4</v>
      </c>
      <c r="R539" s="1" t="n">
        <v>2025</v>
      </c>
    </row>
    <row r="540">
      <c r="A540" s="61" t="n">
        <v>45824</v>
      </c>
      <c r="B540" s="16" t="inlineStr">
        <is>
          <t>CARTAO CREDITO EDUARDO</t>
        </is>
      </c>
      <c r="C540" s="90" t="n"/>
      <c r="D540" s="90" t="n">
        <v>235.52</v>
      </c>
      <c r="E540" s="90" t="n">
        <v>-235.52</v>
      </c>
      <c r="F540" s="16" t="inlineStr">
        <is>
          <t>11.14 - INTERNET OBRAS</t>
        </is>
      </c>
      <c r="G540" s="16" t="inlineStr">
        <is>
          <t>ANGLO AMERICAN</t>
        </is>
      </c>
      <c r="H540" s="63" t="n">
        <v>2025</v>
      </c>
      <c r="I540" s="64" t="n">
        <v>6</v>
      </c>
      <c r="J540" s="16" t="inlineStr">
        <is>
          <t>Jun</t>
        </is>
      </c>
      <c r="K540" s="16" t="n"/>
      <c r="M540" s="89" t="n">
        <v>-235.52</v>
      </c>
      <c r="N540" s="1" t="inlineStr">
        <is>
          <t>INTERNET OBRAS</t>
        </is>
      </c>
      <c r="O540" s="1" t="inlineStr">
        <is>
          <t>Despesas com Infraestrutura</t>
        </is>
      </c>
      <c r="P540" s="1" t="inlineStr">
        <is>
          <t>(-)Gastos Fixos</t>
        </is>
      </c>
      <c r="Q540" s="1" t="n">
        <v>4</v>
      </c>
      <c r="R540" s="1" t="n">
        <v>2025</v>
      </c>
    </row>
    <row r="541">
      <c r="A541" s="61" t="n">
        <v>45824</v>
      </c>
      <c r="B541" s="16" t="inlineStr">
        <is>
          <t>CARTAO CREDITO EDUARDO</t>
        </is>
      </c>
      <c r="C541" s="90" t="n"/>
      <c r="D541" s="90" t="n">
        <v>235.52</v>
      </c>
      <c r="E541" s="90" t="n">
        <v>-235.52</v>
      </c>
      <c r="F541" s="16" t="inlineStr">
        <is>
          <t>11.14 - INTERNET OBRAS</t>
        </is>
      </c>
      <c r="G541" s="16" t="inlineStr">
        <is>
          <t>MOSAIC UBERABA CONTRAT0 3 ANOS</t>
        </is>
      </c>
      <c r="H541" s="63" t="n">
        <v>2025</v>
      </c>
      <c r="I541" s="64" t="n">
        <v>6</v>
      </c>
      <c r="J541" s="16" t="inlineStr">
        <is>
          <t>Jun</t>
        </is>
      </c>
      <c r="K541" s="16" t="n"/>
      <c r="M541" s="89" t="n">
        <v>-235.52</v>
      </c>
      <c r="N541" s="1" t="inlineStr">
        <is>
          <t>INTERNET OBRAS</t>
        </is>
      </c>
      <c r="O541" s="1" t="inlineStr">
        <is>
          <t>Despesas com Infraestrutura</t>
        </is>
      </c>
      <c r="P541" s="1" t="inlineStr">
        <is>
          <t>(-)Gastos Fixos</t>
        </is>
      </c>
      <c r="Q541" s="1" t="n">
        <v>4</v>
      </c>
      <c r="R541" s="1" t="n">
        <v>2025</v>
      </c>
    </row>
    <row r="542">
      <c r="A542" s="61" t="n">
        <v>45824</v>
      </c>
      <c r="B542" s="16" t="inlineStr">
        <is>
          <t>CARTAO CREDITO EDUARDO</t>
        </is>
      </c>
      <c r="C542" s="90" t="n"/>
      <c r="D542" s="90" t="n">
        <v>99</v>
      </c>
      <c r="E542" s="90" t="n">
        <v>-99</v>
      </c>
      <c r="F542" s="16" t="inlineStr">
        <is>
          <t>11.8 - SISTEMA / SERVIDOR</t>
        </is>
      </c>
      <c r="G542" s="16" t="inlineStr">
        <is>
          <t>ADMINISTRATIVO</t>
        </is>
      </c>
      <c r="H542" s="63" t="n">
        <v>2025</v>
      </c>
      <c r="I542" s="64" t="n">
        <v>6</v>
      </c>
      <c r="J542" s="16" t="inlineStr">
        <is>
          <t>Jun</t>
        </is>
      </c>
      <c r="K542" s="16" t="n"/>
      <c r="M542" s="89" t="n">
        <v>-99</v>
      </c>
      <c r="N542" s="1" t="inlineStr">
        <is>
          <t>SISTEMA / SERVIDOR</t>
        </is>
      </c>
      <c r="O542" s="1" t="inlineStr">
        <is>
          <t>Despesas Administrativas</t>
        </is>
      </c>
      <c r="P542" s="1" t="inlineStr">
        <is>
          <t>(-)Gastos Fixos</t>
        </is>
      </c>
      <c r="Q542" s="1" t="n">
        <v>4</v>
      </c>
      <c r="R542" s="1" t="n">
        <v>2025</v>
      </c>
    </row>
    <row r="543">
      <c r="A543" s="61" t="n">
        <v>45824</v>
      </c>
      <c r="B543" s="16" t="inlineStr">
        <is>
          <t>CARTAO CREDITO EDUARDO</t>
        </is>
      </c>
      <c r="C543" s="90" t="n"/>
      <c r="D543" s="90" t="n">
        <v>242.81</v>
      </c>
      <c r="E543" s="90" t="n">
        <v>-242.81</v>
      </c>
      <c r="F543" s="16" t="inlineStr">
        <is>
          <t>3.8 - SERVIÇO MOTOBOY / UBER</t>
        </is>
      </c>
      <c r="G543" s="16" t="inlineStr">
        <is>
          <t>ADMINISTRATIVO</t>
        </is>
      </c>
      <c r="H543" s="63" t="n">
        <v>2025</v>
      </c>
      <c r="I543" s="64" t="n">
        <v>6</v>
      </c>
      <c r="J543" s="16" t="inlineStr">
        <is>
          <t>Jun</t>
        </is>
      </c>
      <c r="K543" s="16" t="n"/>
      <c r="M543" s="89" t="n">
        <v>-242.81</v>
      </c>
      <c r="N543" s="1" t="inlineStr">
        <is>
          <t>SERVIÇO MOTOBOY / UBER</t>
        </is>
      </c>
      <c r="O543" s="1" t="inlineStr">
        <is>
          <t>Despesas Administrativas</t>
        </is>
      </c>
      <c r="P543" s="1" t="inlineStr">
        <is>
          <t>(-)Gastos Fixos</t>
        </is>
      </c>
      <c r="Q543" s="1" t="n">
        <v>4</v>
      </c>
      <c r="R543" s="1" t="n">
        <v>2025</v>
      </c>
    </row>
    <row r="544">
      <c r="A544" s="61" t="n">
        <v>45824</v>
      </c>
      <c r="B544" s="16" t="inlineStr">
        <is>
          <t>CARTAO CREDITO EDUARDO</t>
        </is>
      </c>
      <c r="C544" s="90" t="n"/>
      <c r="D544" s="90" t="n">
        <v>51.64</v>
      </c>
      <c r="E544" s="90" t="n">
        <v>-51.64</v>
      </c>
      <c r="F544" s="16" t="inlineStr">
        <is>
          <t>11.5 - ALIMENTAÇÃO ADM</t>
        </is>
      </c>
      <c r="G544" s="16" t="inlineStr">
        <is>
          <t>ADMINISTRATIVO</t>
        </is>
      </c>
      <c r="H544" s="63" t="n">
        <v>2025</v>
      </c>
      <c r="I544" s="64" t="n">
        <v>6</v>
      </c>
      <c r="J544" s="16" t="inlineStr">
        <is>
          <t>Jun</t>
        </is>
      </c>
      <c r="K544" s="16" t="n"/>
      <c r="M544" s="89" t="n">
        <v>-51.64</v>
      </c>
      <c r="N544" s="1" t="inlineStr">
        <is>
          <t>ALIMENTAÇÃO ADM</t>
        </is>
      </c>
      <c r="O544" s="1" t="inlineStr">
        <is>
          <t>Despesas com Pessoal</t>
        </is>
      </c>
      <c r="P544" s="1" t="inlineStr">
        <is>
          <t>(-)Gastos Fixos</t>
        </is>
      </c>
      <c r="Q544" s="1" t="n">
        <v>4</v>
      </c>
      <c r="R544" s="1" t="n">
        <v>2025</v>
      </c>
    </row>
    <row r="545">
      <c r="A545" s="61" t="n">
        <v>45824</v>
      </c>
      <c r="B545" s="16" t="inlineStr">
        <is>
          <t>CARTAO CREDITO EDUARDO</t>
        </is>
      </c>
      <c r="C545" s="90" t="n"/>
      <c r="D545" s="90" t="n">
        <v>809.84</v>
      </c>
      <c r="E545" s="90" t="n">
        <v>-809.84</v>
      </c>
      <c r="F545" s="16" t="inlineStr">
        <is>
          <t>6.3 - MANUTENÇÃO/PEÇAS  VEICULOS</t>
        </is>
      </c>
      <c r="G545" s="16" t="inlineStr">
        <is>
          <t>VLI PINTURA</t>
        </is>
      </c>
      <c r="H545" s="63" t="n">
        <v>2025</v>
      </c>
      <c r="I545" s="64" t="n">
        <v>6</v>
      </c>
      <c r="J545" s="16" t="inlineStr">
        <is>
          <t>Jun</t>
        </is>
      </c>
      <c r="K545" s="16" t="n"/>
      <c r="M545" s="89" t="n">
        <v>-809.84</v>
      </c>
      <c r="N545" s="1" t="inlineStr">
        <is>
          <t>MANUTENÇÃO/PEÇAS  VEICULOS</t>
        </is>
      </c>
      <c r="O545" s="1" t="inlineStr">
        <is>
          <t>Despesas com Veículos e Equipamentos</t>
        </is>
      </c>
      <c r="P545" s="1" t="inlineStr">
        <is>
          <t>(-)Gastos Fixos</t>
        </is>
      </c>
      <c r="Q545" s="1" t="n">
        <v>4</v>
      </c>
      <c r="R545" s="1" t="n">
        <v>2025</v>
      </c>
    </row>
    <row r="546">
      <c r="A546" s="61" t="n">
        <v>45824</v>
      </c>
      <c r="B546" s="16" t="inlineStr">
        <is>
          <t>CARTAO CREDITO EDUARDO</t>
        </is>
      </c>
      <c r="C546" s="90" t="n"/>
      <c r="D546" s="90" t="n">
        <v>24.9</v>
      </c>
      <c r="E546" s="90" t="n">
        <v>-24.9</v>
      </c>
      <c r="F546" s="16" t="inlineStr">
        <is>
          <t>18.2 - TARIFAS BANCARIAS</t>
        </is>
      </c>
      <c r="G546" s="16" t="inlineStr">
        <is>
          <t>ADMINISTRATIVO</t>
        </is>
      </c>
      <c r="H546" s="63" t="n">
        <v>2025</v>
      </c>
      <c r="I546" s="64" t="n">
        <v>6</v>
      </c>
      <c r="J546" s="16" t="inlineStr">
        <is>
          <t>Jun</t>
        </is>
      </c>
      <c r="K546" s="16" t="n"/>
      <c r="M546" s="89" t="n">
        <v>-24.9</v>
      </c>
      <c r="N546" s="1" t="inlineStr">
        <is>
          <t>TARIFAS BANCARIAS</t>
        </is>
      </c>
      <c r="O546" s="1" t="inlineStr">
        <is>
          <t>Despesas Financeiras</t>
        </is>
      </c>
      <c r="P546" s="1" t="inlineStr">
        <is>
          <t>(-)Gastos Fixos</t>
        </is>
      </c>
      <c r="Q546" s="1" t="n">
        <v>4</v>
      </c>
      <c r="R546" s="1" t="n">
        <v>2025</v>
      </c>
    </row>
    <row r="547">
      <c r="A547" s="61" t="n">
        <v>45824</v>
      </c>
      <c r="B547" s="16" t="inlineStr">
        <is>
          <t>CARTAO CREDITO EDUARDO</t>
        </is>
      </c>
      <c r="C547" s="90" t="n"/>
      <c r="D547" s="90" t="n">
        <v>191.96</v>
      </c>
      <c r="E547" s="90" t="n">
        <v>-191.96</v>
      </c>
      <c r="F547" s="16" t="inlineStr">
        <is>
          <t>8.11 - MATERIAIS DE LIMPEZA / HIGIENE</t>
        </is>
      </c>
      <c r="G547" s="16" t="inlineStr">
        <is>
          <t>ADMINISTRATIVO</t>
        </is>
      </c>
      <c r="H547" s="63" t="n">
        <v>2025</v>
      </c>
      <c r="I547" s="64" t="n">
        <v>6</v>
      </c>
      <c r="J547" s="16" t="inlineStr">
        <is>
          <t>Jun</t>
        </is>
      </c>
      <c r="K547" s="16" t="n"/>
      <c r="M547" s="89" t="n">
        <v>-191.96</v>
      </c>
      <c r="N547" s="1" t="inlineStr">
        <is>
          <t>MATERIAIS DE LIMPEZA / HIGIENE</t>
        </is>
      </c>
      <c r="O547" s="1" t="inlineStr">
        <is>
          <t>Despesas com Máquinas e Equipamentos</t>
        </is>
      </c>
      <c r="P547" s="1" t="inlineStr">
        <is>
          <t>(-)Gastos Fixos</t>
        </is>
      </c>
      <c r="Q547" s="1" t="n">
        <v>4</v>
      </c>
      <c r="R547" s="1" t="n">
        <v>2025</v>
      </c>
    </row>
    <row r="548">
      <c r="A548" s="61" t="n">
        <v>45824</v>
      </c>
      <c r="B548" s="16" t="inlineStr">
        <is>
          <t>CARTAO CREDITO EDUARDO</t>
        </is>
      </c>
      <c r="C548" s="90" t="n"/>
      <c r="D548" s="90" t="n">
        <v>378.42</v>
      </c>
      <c r="E548" s="90" t="n">
        <v>-378.42</v>
      </c>
      <c r="F548" s="16" t="inlineStr">
        <is>
          <t>11.13 - MATERIAIS DE INFORMATICA / COMPUTADOR</t>
        </is>
      </c>
      <c r="G548" s="16" t="inlineStr">
        <is>
          <t>ADMINISTRATIVO</t>
        </is>
      </c>
      <c r="H548" s="63" t="n">
        <v>2025</v>
      </c>
      <c r="I548" s="64" t="n">
        <v>6</v>
      </c>
      <c r="J548" s="16" t="inlineStr">
        <is>
          <t>Jun</t>
        </is>
      </c>
      <c r="K548" s="16" t="n"/>
      <c r="M548" s="89" t="n">
        <v>-378.42</v>
      </c>
      <c r="N548" s="1" t="inlineStr">
        <is>
          <t>MATERIAIS DE INFORMATICA / COMPUTADOR</t>
        </is>
      </c>
      <c r="O548" s="1" t="inlineStr">
        <is>
          <t>Despesas Administrativas</t>
        </is>
      </c>
      <c r="P548" s="1" t="inlineStr">
        <is>
          <t>(-)Gastos Fixos</t>
        </is>
      </c>
      <c r="Q548" s="1" t="n">
        <v>4</v>
      </c>
      <c r="R548" s="1" t="n">
        <v>2025</v>
      </c>
    </row>
    <row r="549">
      <c r="A549" s="61" t="n">
        <v>45824</v>
      </c>
      <c r="B549" s="16" t="inlineStr">
        <is>
          <t>CARTAO CREDITO EDUARDO</t>
        </is>
      </c>
      <c r="C549" s="90" t="n"/>
      <c r="D549" s="90" t="n">
        <v>156.17</v>
      </c>
      <c r="E549" s="90" t="n">
        <v>-156.17</v>
      </c>
      <c r="F549" s="16" t="inlineStr">
        <is>
          <t>12.9 - PASSAGENS FUNCIONARIOS</t>
        </is>
      </c>
      <c r="G549" s="16" t="inlineStr">
        <is>
          <t>GASTOS COMERCIAIS</t>
        </is>
      </c>
      <c r="H549" s="63" t="n">
        <v>2025</v>
      </c>
      <c r="I549" s="64" t="n">
        <v>6</v>
      </c>
      <c r="J549" s="16" t="inlineStr">
        <is>
          <t>Jun</t>
        </is>
      </c>
      <c r="K549" s="16" t="n"/>
      <c r="M549" s="89" t="n">
        <v>-156.17</v>
      </c>
      <c r="N549" s="1" t="inlineStr">
        <is>
          <t>12.9 - PASSAGENS FUNCIONARIOS</t>
        </is>
      </c>
      <c r="O549" s="1" t="n"/>
      <c r="P549" s="1" t="n"/>
      <c r="Q549" s="1" t="n"/>
      <c r="R549" s="1" t="n">
        <v>2025</v>
      </c>
    </row>
    <row r="550">
      <c r="A550" s="61" t="n">
        <v>45824</v>
      </c>
      <c r="B550" s="16" t="inlineStr">
        <is>
          <t>CARTAO CREDITO EDUARDO</t>
        </is>
      </c>
      <c r="C550" s="90" t="n"/>
      <c r="D550" s="90" t="n">
        <v>704.26</v>
      </c>
      <c r="E550" s="90" t="n">
        <v>-704.26</v>
      </c>
      <c r="F550" s="16" t="inlineStr">
        <is>
          <t>12.9 - PASSAGENS FUNCIONARIOS</t>
        </is>
      </c>
      <c r="G550" s="16" t="inlineStr">
        <is>
          <t>GASTOS COMERCIAIS</t>
        </is>
      </c>
      <c r="H550" s="63" t="n">
        <v>2025</v>
      </c>
      <c r="I550" s="64" t="n">
        <v>6</v>
      </c>
      <c r="J550" s="16" t="inlineStr">
        <is>
          <t>Jun</t>
        </is>
      </c>
      <c r="K550" s="16" t="n"/>
      <c r="M550" s="89" t="n">
        <v>-704.26</v>
      </c>
      <c r="N550" s="1" t="inlineStr">
        <is>
          <t>12.9 - PASSAGENS FUNCIONARIOS</t>
        </is>
      </c>
      <c r="O550" s="1" t="n"/>
      <c r="P550" s="1" t="n"/>
      <c r="Q550" s="1" t="n"/>
      <c r="R550" s="1" t="n">
        <v>2025</v>
      </c>
    </row>
    <row r="551">
      <c r="A551" s="61" t="n">
        <v>45824</v>
      </c>
      <c r="B551" s="16" t="inlineStr">
        <is>
          <t>CARTAO CREDITO EDUARDO</t>
        </is>
      </c>
      <c r="C551" s="90" t="n"/>
      <c r="D551" s="90" t="n">
        <v>658.76</v>
      </c>
      <c r="E551" s="90" t="n">
        <v>-658.76</v>
      </c>
      <c r="F551" s="16" t="inlineStr">
        <is>
          <t>12.9 - PASSAGENS FUNCIONARIOS</t>
        </is>
      </c>
      <c r="G551" s="16" t="inlineStr">
        <is>
          <t>GASTOS COMERCIAIS</t>
        </is>
      </c>
      <c r="H551" s="63" t="n">
        <v>2025</v>
      </c>
      <c r="I551" s="64" t="n">
        <v>6</v>
      </c>
      <c r="J551" s="16" t="inlineStr">
        <is>
          <t>Jun</t>
        </is>
      </c>
      <c r="K551" s="16" t="n"/>
      <c r="M551" s="89" t="n">
        <v>-658.76</v>
      </c>
      <c r="N551" s="1" t="inlineStr">
        <is>
          <t>12.9 - PASSAGENS FUNCIONARIOS</t>
        </is>
      </c>
      <c r="O551" s="1" t="n"/>
      <c r="P551" s="1" t="n"/>
      <c r="Q551" s="1" t="n"/>
      <c r="R551" s="1" t="n">
        <v>2025</v>
      </c>
    </row>
    <row r="552">
      <c r="A552" s="61" t="n">
        <v>45824</v>
      </c>
      <c r="B552" s="16" t="inlineStr">
        <is>
          <t>CARTAO CREDITO EDUARDO</t>
        </is>
      </c>
      <c r="C552" s="90" t="n"/>
      <c r="D552" s="90" t="n">
        <v>750</v>
      </c>
      <c r="E552" s="90" t="n">
        <v>-750</v>
      </c>
      <c r="F552" s="16" t="inlineStr">
        <is>
          <t>15.4 - DESPESAS C/ CONSTRUÇÃO ESCRITORIO ADM</t>
        </is>
      </c>
      <c r="G552" s="16" t="inlineStr">
        <is>
          <t>ADMINISTRATIVO</t>
        </is>
      </c>
      <c r="H552" s="63" t="n">
        <v>2025</v>
      </c>
      <c r="I552" s="64" t="n">
        <v>6</v>
      </c>
      <c r="J552" s="16" t="inlineStr">
        <is>
          <t>Jun</t>
        </is>
      </c>
      <c r="K552" s="16" t="n"/>
      <c r="M552" s="89" t="n">
        <v>-750</v>
      </c>
      <c r="N552" s="1" t="inlineStr">
        <is>
          <t>Construção da Nova Sede</t>
        </is>
      </c>
      <c r="O552" s="1" t="inlineStr">
        <is>
          <t>Investimentos</t>
        </is>
      </c>
      <c r="P552" s="1" t="inlineStr">
        <is>
          <t>(-)Investimentos</t>
        </is>
      </c>
      <c r="Q552" s="1" t="n">
        <v>8</v>
      </c>
      <c r="R552" s="1" t="n">
        <v>2025</v>
      </c>
    </row>
    <row r="553">
      <c r="A553" s="61" t="n">
        <v>45824</v>
      </c>
      <c r="B553" s="16" t="inlineStr">
        <is>
          <t>CARTAO CREDITO EDUARDO</t>
        </is>
      </c>
      <c r="C553" s="90" t="n"/>
      <c r="D553" s="90" t="n">
        <v>652.03</v>
      </c>
      <c r="E553" s="90" t="n">
        <v>-652.03</v>
      </c>
      <c r="F553" s="16" t="inlineStr">
        <is>
          <t>12.9 - PASSAGENS FUNCIONARIOS</t>
        </is>
      </c>
      <c r="G553" s="16" t="inlineStr">
        <is>
          <t>CONDUTOS - ELETROBRAS</t>
        </is>
      </c>
      <c r="H553" s="63" t="n">
        <v>2025</v>
      </c>
      <c r="I553" s="64" t="n">
        <v>6</v>
      </c>
      <c r="J553" s="16" t="inlineStr">
        <is>
          <t>Jun</t>
        </is>
      </c>
      <c r="K553" s="16" t="n"/>
      <c r="M553" s="89" t="n">
        <v>-652.03</v>
      </c>
      <c r="N553" s="1" t="inlineStr">
        <is>
          <t>12.9 - PASSAGENS FUNCIONARIOS</t>
        </is>
      </c>
      <c r="O553" s="1" t="n"/>
      <c r="P553" s="1" t="n"/>
      <c r="Q553" s="1" t="n"/>
      <c r="R553" s="1" t="n">
        <v>2025</v>
      </c>
    </row>
    <row r="554">
      <c r="A554" s="61" t="n">
        <v>45824</v>
      </c>
      <c r="B554" s="16" t="inlineStr">
        <is>
          <t>CARTAO CREDITO EDUARDO</t>
        </is>
      </c>
      <c r="C554" s="90" t="n"/>
      <c r="D554" s="90" t="n">
        <v>1093.2</v>
      </c>
      <c r="E554" s="90" t="n">
        <v>-1093.2</v>
      </c>
      <c r="F554" s="16" t="inlineStr">
        <is>
          <t>12.9 - PASSAGENS FUNCIONARIOS</t>
        </is>
      </c>
      <c r="G554" s="16" t="inlineStr">
        <is>
          <t>CONDUTOS - ELETROBRAS</t>
        </is>
      </c>
      <c r="H554" s="63" t="n">
        <v>2025</v>
      </c>
      <c r="I554" s="64" t="n">
        <v>6</v>
      </c>
      <c r="J554" s="16" t="inlineStr">
        <is>
          <t>Jun</t>
        </is>
      </c>
      <c r="K554" s="16" t="n"/>
      <c r="M554" s="89" t="n">
        <v>-1093.2</v>
      </c>
      <c r="N554" s="1" t="inlineStr">
        <is>
          <t>12.9 - PASSAGENS FUNCIONARIOS</t>
        </is>
      </c>
      <c r="O554" s="1" t="n"/>
      <c r="P554" s="1" t="n"/>
      <c r="Q554" s="1" t="n"/>
      <c r="R554" s="1" t="n">
        <v>2025</v>
      </c>
    </row>
    <row r="555">
      <c r="A555" s="61" t="n">
        <v>45824</v>
      </c>
      <c r="B555" s="16" t="inlineStr">
        <is>
          <t>CARTAO CREDITO EDUARDO</t>
        </is>
      </c>
      <c r="C555" s="90" t="n"/>
      <c r="D555" s="90" t="n">
        <v>890</v>
      </c>
      <c r="E555" s="90" t="n">
        <v>-890</v>
      </c>
      <c r="F555" s="16" t="inlineStr">
        <is>
          <t>6.3 - MANUTENÇÃO/PEÇAS  VEICULOS</t>
        </is>
      </c>
      <c r="G555" s="16" t="inlineStr">
        <is>
          <t>VLI PINTURA</t>
        </is>
      </c>
      <c r="H555" s="63" t="n">
        <v>2025</v>
      </c>
      <c r="I555" s="64" t="n">
        <v>6</v>
      </c>
      <c r="J555" s="16" t="inlineStr">
        <is>
          <t>Jun</t>
        </is>
      </c>
      <c r="K555" s="16" t="n"/>
      <c r="M555" s="89" t="n">
        <v>-890</v>
      </c>
      <c r="N555" s="1" t="inlineStr">
        <is>
          <t>MANUTENÇÃO/PEÇAS  VEICULOS</t>
        </is>
      </c>
      <c r="O555" s="1" t="inlineStr">
        <is>
          <t>Despesas com Veículos e Equipamentos</t>
        </is>
      </c>
      <c r="P555" s="1" t="inlineStr">
        <is>
          <t>(-)Gastos Fixos</t>
        </is>
      </c>
      <c r="Q555" s="1" t="n">
        <v>4</v>
      </c>
      <c r="R555" s="1" t="n">
        <v>2025</v>
      </c>
    </row>
    <row r="556">
      <c r="A556" s="61" t="n">
        <v>45824</v>
      </c>
      <c r="B556" s="16" t="inlineStr">
        <is>
          <t>CARTAO CREDITO EDUARDO</t>
        </is>
      </c>
      <c r="C556" s="90" t="n"/>
      <c r="D556" s="90" t="n">
        <v>54.33</v>
      </c>
      <c r="E556" s="90" t="n">
        <v>-54.33</v>
      </c>
      <c r="F556" s="16" t="inlineStr">
        <is>
          <t>6.3 - MANUTENÇÃO/PEÇAS  VEICULOS</t>
        </is>
      </c>
      <c r="G556" s="16" t="inlineStr">
        <is>
          <t>VEICULOS</t>
        </is>
      </c>
      <c r="H556" s="63" t="n">
        <v>2025</v>
      </c>
      <c r="I556" s="64" t="n">
        <v>6</v>
      </c>
      <c r="J556" s="16" t="inlineStr">
        <is>
          <t>Jun</t>
        </is>
      </c>
      <c r="K556" s="16" t="n"/>
      <c r="M556" s="89" t="n">
        <v>-54.33</v>
      </c>
      <c r="N556" s="1" t="inlineStr">
        <is>
          <t>MANUTENÇÃO/PEÇAS  VEICULOS</t>
        </is>
      </c>
      <c r="O556" s="1" t="inlineStr">
        <is>
          <t>Despesas com Veículos e Equipamentos</t>
        </is>
      </c>
      <c r="P556" s="1" t="inlineStr">
        <is>
          <t>(-)Gastos Fixos</t>
        </is>
      </c>
      <c r="Q556" s="1" t="n">
        <v>4</v>
      </c>
      <c r="R556" s="1" t="n">
        <v>2025</v>
      </c>
    </row>
    <row r="557">
      <c r="A557" s="61" t="n">
        <v>45824</v>
      </c>
      <c r="B557" s="16" t="inlineStr">
        <is>
          <t>IMPERIO DO ESPETO</t>
        </is>
      </c>
      <c r="C557" s="90" t="n"/>
      <c r="D557" s="90" t="n">
        <v>144</v>
      </c>
      <c r="E557" s="90" t="n">
        <v>-144</v>
      </c>
      <c r="F557" s="16" t="inlineStr">
        <is>
          <t>11.5 - ALIMENTAÇÃO ADM</t>
        </is>
      </c>
      <c r="G557" s="16" t="inlineStr">
        <is>
          <t>ADMINISTRATIVO</t>
        </is>
      </c>
      <c r="H557" s="63" t="n">
        <v>2025</v>
      </c>
      <c r="I557" s="64" t="n">
        <v>6</v>
      </c>
      <c r="J557" s="16" t="inlineStr">
        <is>
          <t>Jun</t>
        </is>
      </c>
      <c r="K557" s="16" t="n"/>
      <c r="M557" s="89" t="n">
        <v>-144</v>
      </c>
      <c r="N557" s="1" t="inlineStr">
        <is>
          <t>ALIMENTAÇÃO ADM</t>
        </is>
      </c>
      <c r="O557" s="1" t="inlineStr">
        <is>
          <t>Despesas com Pessoal</t>
        </is>
      </c>
      <c r="P557" s="1" t="inlineStr">
        <is>
          <t>(-)Gastos Fixos</t>
        </is>
      </c>
      <c r="Q557" s="1" t="n">
        <v>4</v>
      </c>
      <c r="R557" s="1" t="n">
        <v>2025</v>
      </c>
    </row>
    <row r="558">
      <c r="A558" s="61" t="n">
        <v>45824</v>
      </c>
      <c r="B558" s="16" t="inlineStr">
        <is>
          <t>695 - CURSOS/TREINAMENTOS OBRAS</t>
        </is>
      </c>
      <c r="C558" s="90" t="n"/>
      <c r="D558" s="90" t="n">
        <v>500</v>
      </c>
      <c r="E558" s="90" t="n">
        <v>-500</v>
      </c>
      <c r="F558" s="16" t="inlineStr">
        <is>
          <t>14.2 - CURSOS / TREINAMENTOS</t>
        </is>
      </c>
      <c r="G558" s="16" t="inlineStr">
        <is>
          <t>ADMINISTRATIVO</t>
        </is>
      </c>
      <c r="H558" s="63" t="n">
        <v>2025</v>
      </c>
      <c r="I558" s="64" t="n">
        <v>6</v>
      </c>
      <c r="J558" s="16" t="inlineStr">
        <is>
          <t>Jun</t>
        </is>
      </c>
      <c r="K558" s="16" t="n"/>
      <c r="M558" s="89" t="n">
        <v>-500</v>
      </c>
      <c r="N558" s="1" t="inlineStr">
        <is>
          <t>CURSOS / TREINAMENTOS</t>
        </is>
      </c>
      <c r="O558" s="1" t="inlineStr">
        <is>
          <t>Despesas com Pessoal</t>
        </is>
      </c>
      <c r="P558" s="1" t="inlineStr">
        <is>
          <t>(-)Gastos Fixos</t>
        </is>
      </c>
      <c r="Q558" s="1" t="n">
        <v>4</v>
      </c>
      <c r="R558" s="1" t="n">
        <v>2025</v>
      </c>
    </row>
    <row r="559">
      <c r="A559" s="61" t="n">
        <v>45824</v>
      </c>
      <c r="B559" s="16" t="inlineStr">
        <is>
          <t>TRIBUNAL DE JUSTICA DO ESTADO DE GOIAS</t>
        </is>
      </c>
      <c r="C559" s="90" t="n"/>
      <c r="D559" s="90" t="n">
        <v>143.89</v>
      </c>
      <c r="E559" s="90" t="n">
        <v>-143.89</v>
      </c>
      <c r="F559" s="16" t="inlineStr">
        <is>
          <t>9.3 - DESPESAS COM PROCESSOS</t>
        </is>
      </c>
      <c r="G559" s="16" t="inlineStr">
        <is>
          <t>ADMINISTRATIVO</t>
        </is>
      </c>
      <c r="H559" s="63" t="n">
        <v>2025</v>
      </c>
      <c r="I559" s="64" t="n">
        <v>6</v>
      </c>
      <c r="J559" s="16" t="inlineStr">
        <is>
          <t>Jun</t>
        </is>
      </c>
      <c r="K559" s="16" t="n"/>
      <c r="M559" s="89" t="n">
        <v>-143.89</v>
      </c>
      <c r="N559" s="1" t="inlineStr">
        <is>
          <t>Despesas com Processos</t>
        </is>
      </c>
      <c r="O559" s="1" t="inlineStr">
        <is>
          <t>(-) Despesas Não Operacionais</t>
        </is>
      </c>
      <c r="P559" s="1" t="inlineStr">
        <is>
          <t>(+/-)Despesas e Recebimentos Não Operacionais</t>
        </is>
      </c>
      <c r="Q559" s="1" t="n">
        <v>5</v>
      </c>
      <c r="R559" s="1" t="n">
        <v>2025</v>
      </c>
    </row>
    <row r="560">
      <c r="A560" s="61" t="n">
        <v>45824</v>
      </c>
      <c r="B560" s="16" t="inlineStr">
        <is>
          <t>ALEX INFORMATICA XCELL CELULARES E COMPUTADORES</t>
        </is>
      </c>
      <c r="C560" s="90" t="n"/>
      <c r="D560" s="90" t="n">
        <v>135</v>
      </c>
      <c r="E560" s="90" t="n">
        <v>-135</v>
      </c>
      <c r="F560" s="16" t="inlineStr">
        <is>
          <t>11.13 - MATERIAIS DE INFORMATICA / COMPUTADOR</t>
        </is>
      </c>
      <c r="G560" s="16" t="inlineStr">
        <is>
          <t>ADMINISTRATIVO</t>
        </is>
      </c>
      <c r="H560" s="63" t="n">
        <v>2025</v>
      </c>
      <c r="I560" s="64" t="n">
        <v>6</v>
      </c>
      <c r="J560" s="16" t="inlineStr">
        <is>
          <t>Jun</t>
        </is>
      </c>
      <c r="K560" s="16" t="n"/>
      <c r="M560" s="89" t="n">
        <v>-135</v>
      </c>
      <c r="N560" s="1" t="inlineStr">
        <is>
          <t>MATERIAIS DE INFORMATICA / COMPUTADOR</t>
        </is>
      </c>
      <c r="O560" s="1" t="inlineStr">
        <is>
          <t>Despesas Administrativas</t>
        </is>
      </c>
      <c r="P560" s="1" t="inlineStr">
        <is>
          <t>(-)Gastos Fixos</t>
        </is>
      </c>
      <c r="Q560" s="1" t="n">
        <v>4</v>
      </c>
      <c r="R560" s="1" t="n">
        <v>2025</v>
      </c>
    </row>
    <row r="561">
      <c r="A561" s="61" t="n">
        <v>45824</v>
      </c>
      <c r="B561" s="16" t="inlineStr">
        <is>
          <t>VALDMAR AUGUSTO</t>
        </is>
      </c>
      <c r="C561" s="90" t="n"/>
      <c r="D561" s="90" t="n">
        <v>14</v>
      </c>
      <c r="E561" s="90" t="n">
        <v>-14</v>
      </c>
      <c r="F561" s="16" t="inlineStr">
        <is>
          <t>12.5 - REFEIÇÕES FUNCIONARIOS</t>
        </is>
      </c>
      <c r="G561" s="16" t="inlineStr">
        <is>
          <t>NIOBIO CMOC CONTRATO</t>
        </is>
      </c>
      <c r="H561" s="63" t="n">
        <v>2025</v>
      </c>
      <c r="I561" s="64" t="n">
        <v>6</v>
      </c>
      <c r="J561" s="16" t="inlineStr">
        <is>
          <t>Jun</t>
        </is>
      </c>
      <c r="K561" s="16" t="n"/>
      <c r="M561" s="89" t="n">
        <v>-14</v>
      </c>
      <c r="N561" s="1" t="inlineStr">
        <is>
          <t>12.5 - REFEIÇÕES FUNCIONARIOS</t>
        </is>
      </c>
      <c r="O561" s="1" t="n"/>
      <c r="P561" s="1" t="n"/>
      <c r="Q561" s="1" t="n"/>
      <c r="R561" s="1" t="n">
        <v>2025</v>
      </c>
    </row>
    <row r="562">
      <c r="A562" s="61" t="n">
        <v>45824</v>
      </c>
      <c r="B562" s="16" t="inlineStr">
        <is>
          <t>VALDMAR AUGUSTO</t>
        </is>
      </c>
      <c r="C562" s="90" t="n"/>
      <c r="D562" s="90" t="n">
        <v>75</v>
      </c>
      <c r="E562" s="90" t="n">
        <v>-75</v>
      </c>
      <c r="F562" s="16" t="inlineStr">
        <is>
          <t>8.11 - MATERIAIS DE LIMPEZA / HIGIENE</t>
        </is>
      </c>
      <c r="G562" s="16" t="inlineStr">
        <is>
          <t>NIOBIO CMOC CONTRATO</t>
        </is>
      </c>
      <c r="H562" s="63" t="n">
        <v>2025</v>
      </c>
      <c r="I562" s="64" t="n">
        <v>6</v>
      </c>
      <c r="J562" s="16" t="inlineStr">
        <is>
          <t>Jun</t>
        </is>
      </c>
      <c r="K562" s="16" t="n"/>
      <c r="M562" s="89" t="n">
        <v>-75</v>
      </c>
      <c r="N562" s="1" t="inlineStr">
        <is>
          <t>MATERIAIS DE LIMPEZA / HIGIENE</t>
        </is>
      </c>
      <c r="O562" s="1" t="inlineStr">
        <is>
          <t>Despesas com Máquinas e Equipamentos</t>
        </is>
      </c>
      <c r="P562" s="1" t="inlineStr">
        <is>
          <t>(-)Gastos Fixos</t>
        </is>
      </c>
      <c r="Q562" s="1" t="n">
        <v>4</v>
      </c>
      <c r="R562" s="1" t="n">
        <v>2025</v>
      </c>
    </row>
    <row r="563">
      <c r="A563" s="61" t="n">
        <v>45824</v>
      </c>
      <c r="B563" s="16" t="inlineStr">
        <is>
          <t>VALDMAR AUGUSTO</t>
        </is>
      </c>
      <c r="C563" s="90" t="n"/>
      <c r="D563" s="90" t="n">
        <v>294.58</v>
      </c>
      <c r="E563" s="90" t="n">
        <v>-294.58</v>
      </c>
      <c r="F563" s="16" t="inlineStr">
        <is>
          <t>6.4 - COMBUSTIVEL VEICULOS</t>
        </is>
      </c>
      <c r="G563" s="16" t="inlineStr">
        <is>
          <t>NIOBIO CMOC CONTRATO</t>
        </is>
      </c>
      <c r="H563" s="63" t="n">
        <v>2025</v>
      </c>
      <c r="I563" s="64" t="n">
        <v>6</v>
      </c>
      <c r="J563" s="16" t="inlineStr">
        <is>
          <t>Jun</t>
        </is>
      </c>
      <c r="K563" s="16" t="n"/>
      <c r="M563" s="89" t="n">
        <v>-294.58</v>
      </c>
      <c r="N563" s="1" t="inlineStr">
        <is>
          <t>COMBUSTIVEL VEICULOS</t>
        </is>
      </c>
      <c r="O563" s="1" t="inlineStr">
        <is>
          <t>Despesas com Veículos e Equipamentos</t>
        </is>
      </c>
      <c r="P563" s="1" t="inlineStr">
        <is>
          <t>(-)Gastos Fixos</t>
        </is>
      </c>
      <c r="Q563" s="1" t="n">
        <v>4</v>
      </c>
      <c r="R563" s="1" t="n">
        <v>2025</v>
      </c>
    </row>
    <row r="564">
      <c r="A564" s="61" t="n">
        <v>45824</v>
      </c>
      <c r="B564" s="16" t="inlineStr">
        <is>
          <t>REFEIÇÃO OBRAS</t>
        </is>
      </c>
      <c r="C564" s="90" t="n"/>
      <c r="D564" s="90" t="n">
        <v>4925</v>
      </c>
      <c r="E564" s="90" t="n">
        <v>-4925</v>
      </c>
      <c r="F564" s="16" t="inlineStr">
        <is>
          <t>12.5 - REFEIÇÕES FUNCIONARIOS</t>
        </is>
      </c>
      <c r="G564" s="16" t="inlineStr">
        <is>
          <t>NIOBIO CMOC CONTRATO</t>
        </is>
      </c>
      <c r="H564" s="63" t="n">
        <v>2025</v>
      </c>
      <c r="I564" s="64" t="n">
        <v>6</v>
      </c>
      <c r="J564" s="16" t="inlineStr">
        <is>
          <t>Jun</t>
        </is>
      </c>
      <c r="K564" s="16" t="n"/>
      <c r="M564" s="89" t="n">
        <v>-4925</v>
      </c>
      <c r="N564" s="1" t="inlineStr">
        <is>
          <t>12.5 - REFEIÇÕES FUNCIONARIOS</t>
        </is>
      </c>
      <c r="O564" s="1" t="n"/>
      <c r="P564" s="1" t="n"/>
      <c r="Q564" s="1" t="n"/>
      <c r="R564" s="1" t="n">
        <v>2025</v>
      </c>
    </row>
    <row r="565">
      <c r="A565" s="61" t="n">
        <v>45824</v>
      </c>
      <c r="B565" s="16" t="inlineStr">
        <is>
          <t>REFEIÇÃO OBRAS</t>
        </is>
      </c>
      <c r="C565" s="90" t="n"/>
      <c r="D565" s="90" t="n">
        <v>5457.5</v>
      </c>
      <c r="E565" s="90" t="n">
        <v>-5457.5</v>
      </c>
      <c r="F565" s="16" t="inlineStr">
        <is>
          <t>12.5 - REFEIÇÕES FUNCIONARIOS</t>
        </is>
      </c>
      <c r="G565" s="16" t="inlineStr">
        <is>
          <t>FOSFATO CMOC CONTRAT</t>
        </is>
      </c>
      <c r="H565" s="63" t="n">
        <v>2025</v>
      </c>
      <c r="I565" s="64" t="n">
        <v>6</v>
      </c>
      <c r="J565" s="16" t="inlineStr">
        <is>
          <t>Jun</t>
        </is>
      </c>
      <c r="K565" s="16" t="n"/>
      <c r="M565" s="89" t="n">
        <v>-5457.5</v>
      </c>
      <c r="N565" s="1" t="inlineStr">
        <is>
          <t>12.5 - REFEIÇÕES FUNCIONARIOS</t>
        </is>
      </c>
      <c r="O565" s="1" t="n"/>
      <c r="P565" s="1" t="n"/>
      <c r="Q565" s="1" t="n"/>
      <c r="R565" s="1" t="n">
        <v>2025</v>
      </c>
    </row>
    <row r="566">
      <c r="A566" s="61" t="n">
        <v>45824</v>
      </c>
      <c r="B566" s="16" t="inlineStr">
        <is>
          <t>REFEIÇÃO OBRAS</t>
        </is>
      </c>
      <c r="C566" s="90" t="n"/>
      <c r="D566" s="90" t="n">
        <v>4020</v>
      </c>
      <c r="E566" s="90" t="n">
        <v>-4020</v>
      </c>
      <c r="F566" s="16" t="inlineStr">
        <is>
          <t>12.5 - REFEIÇÕES FUNCIONARIOS</t>
        </is>
      </c>
      <c r="G566" s="16" t="inlineStr">
        <is>
          <t>EUROCHEM SERRA DO SALITRE</t>
        </is>
      </c>
      <c r="H566" s="63" t="n">
        <v>2025</v>
      </c>
      <c r="I566" s="64" t="n">
        <v>6</v>
      </c>
      <c r="J566" s="16" t="inlineStr">
        <is>
          <t>Jun</t>
        </is>
      </c>
      <c r="K566" s="16" t="n"/>
      <c r="M566" s="89" t="n">
        <v>-4020</v>
      </c>
      <c r="N566" s="1" t="inlineStr">
        <is>
          <t>12.5 - REFEIÇÕES FUNCIONARIOS</t>
        </is>
      </c>
      <c r="O566" s="1" t="n"/>
      <c r="P566" s="1" t="n"/>
      <c r="Q566" s="1" t="n"/>
      <c r="R566" s="1" t="n">
        <v>2025</v>
      </c>
    </row>
    <row r="567">
      <c r="A567" s="61" t="n">
        <v>45824</v>
      </c>
      <c r="B567" s="16" t="inlineStr">
        <is>
          <t>REFEIÇÃO OBRAS</t>
        </is>
      </c>
      <c r="C567" s="90" t="n"/>
      <c r="D567" s="90" t="n">
        <v>4972.5</v>
      </c>
      <c r="E567" s="90" t="n">
        <v>-4972.5</v>
      </c>
      <c r="F567" s="16" t="inlineStr">
        <is>
          <t>12.5 - REFEIÇÕES FUNCIONARIOS</t>
        </is>
      </c>
      <c r="G567" s="16" t="inlineStr">
        <is>
          <t>ANGLO AMERICAN</t>
        </is>
      </c>
      <c r="H567" s="63" t="n">
        <v>2025</v>
      </c>
      <c r="I567" s="64" t="n">
        <v>6</v>
      </c>
      <c r="J567" s="16" t="inlineStr">
        <is>
          <t>Jun</t>
        </is>
      </c>
      <c r="K567" s="16" t="n"/>
      <c r="M567" s="89" t="n">
        <v>-4972.5</v>
      </c>
      <c r="N567" s="1" t="inlineStr">
        <is>
          <t>12.5 - REFEIÇÕES FUNCIONARIOS</t>
        </is>
      </c>
      <c r="O567" s="1" t="n"/>
      <c r="P567" s="1" t="n"/>
      <c r="Q567" s="1" t="n"/>
      <c r="R567" s="1" t="n">
        <v>2025</v>
      </c>
    </row>
    <row r="568">
      <c r="A568" s="61" t="n">
        <v>45824</v>
      </c>
      <c r="B568" s="16" t="inlineStr">
        <is>
          <t>REFEIÇÃO OBRAS</t>
        </is>
      </c>
      <c r="C568" s="90" t="n"/>
      <c r="D568" s="90" t="n">
        <v>3072</v>
      </c>
      <c r="E568" s="90" t="n">
        <v>-3072</v>
      </c>
      <c r="F568" s="16" t="inlineStr">
        <is>
          <t>12.5 - REFEIÇÕES FUNCIONARIOS</t>
        </is>
      </c>
      <c r="G568" s="16" t="inlineStr">
        <is>
          <t>SERENA 21 TORRES 2024</t>
        </is>
      </c>
      <c r="H568" s="63" t="n">
        <v>2025</v>
      </c>
      <c r="I568" s="64" t="n">
        <v>6</v>
      </c>
      <c r="J568" s="16" t="inlineStr">
        <is>
          <t>Jun</t>
        </is>
      </c>
      <c r="K568" s="16" t="n"/>
      <c r="M568" s="89" t="n">
        <v>-3072</v>
      </c>
      <c r="N568" s="1" t="inlineStr">
        <is>
          <t>12.5 - REFEIÇÕES FUNCIONARIOS</t>
        </is>
      </c>
      <c r="O568" s="1" t="n"/>
      <c r="P568" s="1" t="n"/>
      <c r="Q568" s="1" t="n"/>
      <c r="R568" s="1" t="n">
        <v>2025</v>
      </c>
    </row>
    <row r="569">
      <c r="A569" s="61" t="n">
        <v>45824</v>
      </c>
      <c r="B569" s="16" t="inlineStr">
        <is>
          <t>REFEIÇÃO OBRAS</t>
        </is>
      </c>
      <c r="C569" s="90" t="n"/>
      <c r="D569" s="90" t="n">
        <v>6744</v>
      </c>
      <c r="E569" s="90" t="n">
        <v>-6744</v>
      </c>
      <c r="F569" s="16" t="inlineStr">
        <is>
          <t>12.5 - REFEIÇÕES FUNCIONARIOS</t>
        </is>
      </c>
      <c r="G569" s="16" t="inlineStr">
        <is>
          <t>MOSAIC UBERABA CONTRAT0 3 ANOS</t>
        </is>
      </c>
      <c r="H569" s="63" t="n">
        <v>2025</v>
      </c>
      <c r="I569" s="64" t="n">
        <v>6</v>
      </c>
      <c r="J569" s="16" t="inlineStr">
        <is>
          <t>Jun</t>
        </is>
      </c>
      <c r="K569" s="16" t="n"/>
      <c r="M569" s="89" t="n">
        <v>-6744</v>
      </c>
      <c r="N569" s="1" t="inlineStr">
        <is>
          <t>12.5 - REFEIÇÕES FUNCIONARIOS</t>
        </is>
      </c>
      <c r="O569" s="1" t="n"/>
      <c r="P569" s="1" t="n"/>
      <c r="Q569" s="1" t="n"/>
      <c r="R569" s="1" t="n">
        <v>2025</v>
      </c>
    </row>
    <row r="570">
      <c r="A570" s="61" t="n">
        <v>45824</v>
      </c>
      <c r="B570" s="16" t="inlineStr">
        <is>
          <t>9492 - TRANSFORMADOR CAV LTDA</t>
        </is>
      </c>
      <c r="C570" s="90" t="n"/>
      <c r="D570" s="90" t="n">
        <v>2650</v>
      </c>
      <c r="E570" s="90" t="n">
        <v>-2650</v>
      </c>
      <c r="F570" s="16" t="inlineStr">
        <is>
          <t>8.4 - MAQUINAS / EQUIPAMENTOS</t>
        </is>
      </c>
      <c r="G570" s="16" t="inlineStr">
        <is>
          <t>EUROCHEM SERRA DO SALITRE</t>
        </is>
      </c>
      <c r="H570" s="63" t="n">
        <v>2025</v>
      </c>
      <c r="I570" s="64" t="n">
        <v>6</v>
      </c>
      <c r="J570" s="16" t="inlineStr">
        <is>
          <t>Jun</t>
        </is>
      </c>
      <c r="K570" s="16" t="n"/>
      <c r="M570" s="89" t="n">
        <v>-2650</v>
      </c>
      <c r="N570" s="1" t="inlineStr">
        <is>
          <t>Aquisição de Maquinas e Equipamentos</t>
        </is>
      </c>
      <c r="O570" s="1" t="inlineStr">
        <is>
          <t>Investimentos</t>
        </is>
      </c>
      <c r="P570" s="1" t="inlineStr">
        <is>
          <t>(-)Investimentos</t>
        </is>
      </c>
      <c r="Q570" s="1" t="n">
        <v>8</v>
      </c>
      <c r="R570" s="1" t="n">
        <v>2025</v>
      </c>
    </row>
    <row r="571">
      <c r="A571" s="61" t="n">
        <v>45824</v>
      </c>
      <c r="B571" s="16" t="inlineStr">
        <is>
          <t>9492 - TRANSFORMADOR CAV LTDA</t>
        </is>
      </c>
      <c r="C571" s="90" t="n"/>
      <c r="D571" s="90" t="n">
        <v>2650</v>
      </c>
      <c r="E571" s="90" t="n">
        <v>-2650</v>
      </c>
      <c r="F571" s="16" t="inlineStr">
        <is>
          <t>8.4 - MAQUINAS / EQUIPAMENTOS</t>
        </is>
      </c>
      <c r="G571" s="16" t="inlineStr">
        <is>
          <t>EUROCHEM SERRA DO SALITRE</t>
        </is>
      </c>
      <c r="H571" s="63" t="n">
        <v>2025</v>
      </c>
      <c r="I571" s="64" t="n">
        <v>6</v>
      </c>
      <c r="J571" s="16" t="inlineStr">
        <is>
          <t>Jun</t>
        </is>
      </c>
      <c r="K571" s="16" t="n"/>
      <c r="M571" s="89" t="n">
        <v>-2650</v>
      </c>
      <c r="N571" s="1" t="inlineStr">
        <is>
          <t>Aquisição de Maquinas e Equipamentos</t>
        </is>
      </c>
      <c r="O571" s="1" t="inlineStr">
        <is>
          <t>Investimentos</t>
        </is>
      </c>
      <c r="P571" s="1" t="inlineStr">
        <is>
          <t>(-)Investimentos</t>
        </is>
      </c>
      <c r="Q571" s="1" t="n">
        <v>8</v>
      </c>
      <c r="R571" s="1" t="n">
        <v>2025</v>
      </c>
    </row>
    <row r="572">
      <c r="A572" s="61" t="n">
        <v>45824</v>
      </c>
      <c r="B572" s="16" t="inlineStr">
        <is>
          <t>BANCO ITAU</t>
        </is>
      </c>
      <c r="C572" s="90" t="n"/>
      <c r="D572" s="90" t="n">
        <v>729.5</v>
      </c>
      <c r="E572" s="90" t="n">
        <v>-729.5</v>
      </c>
      <c r="F572" s="16" t="inlineStr">
        <is>
          <t>18.1 - JUROS BANCARIOS</t>
        </is>
      </c>
      <c r="G572" s="16" t="inlineStr">
        <is>
          <t>ADMINISTRATIVO</t>
        </is>
      </c>
      <c r="H572" s="63" t="n">
        <v>2025</v>
      </c>
      <c r="I572" s="64" t="n">
        <v>6</v>
      </c>
      <c r="J572" s="16" t="inlineStr">
        <is>
          <t>Jun</t>
        </is>
      </c>
      <c r="K572" s="16" t="n"/>
      <c r="M572" s="89" t="n">
        <v>-729.5</v>
      </c>
      <c r="N572" s="1" t="inlineStr">
        <is>
          <t>Juros Bancários</t>
        </is>
      </c>
      <c r="O572" s="1" t="inlineStr">
        <is>
          <t>(-) Despesas Financeiras</t>
        </is>
      </c>
      <c r="P572" s="1" t="inlineStr">
        <is>
          <t>(+/-)Despesas e Receitas Financeiras</t>
        </is>
      </c>
      <c r="Q572" s="1" t="n">
        <v>6</v>
      </c>
      <c r="R572" s="1" t="n">
        <v>2025</v>
      </c>
    </row>
    <row r="573">
      <c r="A573" s="61" t="n">
        <v>45824</v>
      </c>
      <c r="B573" s="16" t="inlineStr">
        <is>
          <t>BANCO MERCANTIL</t>
        </is>
      </c>
      <c r="C573" s="90" t="n"/>
      <c r="D573" s="90" t="n">
        <v>8.529999999999999</v>
      </c>
      <c r="E573" s="90" t="n">
        <v>-8.529999999999999</v>
      </c>
      <c r="F573" s="16" t="inlineStr">
        <is>
          <t>18.1 - JUROS BANCARIOS</t>
        </is>
      </c>
      <c r="G573" s="16" t="inlineStr">
        <is>
          <t>ADMINISTRATIVO</t>
        </is>
      </c>
      <c r="H573" s="63" t="n">
        <v>2025</v>
      </c>
      <c r="I573" s="64" t="n">
        <v>6</v>
      </c>
      <c r="J573" s="16" t="inlineStr">
        <is>
          <t>Jun</t>
        </is>
      </c>
      <c r="K573" s="16" t="n"/>
      <c r="M573" s="89" t="n">
        <v>-8.529999999999999</v>
      </c>
      <c r="N573" s="1" t="inlineStr">
        <is>
          <t>Juros Bancários</t>
        </is>
      </c>
      <c r="O573" s="1" t="inlineStr">
        <is>
          <t>(-) Despesas Financeiras</t>
        </is>
      </c>
      <c r="P573" s="1" t="inlineStr">
        <is>
          <t>(+/-)Despesas e Receitas Financeiras</t>
        </is>
      </c>
      <c r="Q573" s="1" t="n">
        <v>6</v>
      </c>
      <c r="R573" s="1" t="n">
        <v>2025</v>
      </c>
    </row>
    <row r="574">
      <c r="A574" s="61" t="n">
        <v>45824</v>
      </c>
      <c r="B574" s="16" t="inlineStr">
        <is>
          <t>DESPESAS LOTE TRINDADE AIDEAL</t>
        </is>
      </c>
      <c r="C574" s="90" t="n"/>
      <c r="D574" s="90" t="n">
        <v>304.61</v>
      </c>
      <c r="E574" s="90" t="n">
        <v>-304.61</v>
      </c>
      <c r="F574" s="16" t="inlineStr">
        <is>
          <t>15.4 - DESPESAS C/ CONSTRUÇÃO ESCRITORIO ADM</t>
        </is>
      </c>
      <c r="G574" s="16" t="inlineStr">
        <is>
          <t>LOTE TRINDADE</t>
        </is>
      </c>
      <c r="H574" s="63" t="n">
        <v>2025</v>
      </c>
      <c r="I574" s="64" t="n">
        <v>6</v>
      </c>
      <c r="J574" s="16" t="inlineStr">
        <is>
          <t>Jun</t>
        </is>
      </c>
      <c r="K574" s="16" t="n"/>
      <c r="M574" s="89" t="n">
        <v>-304.61</v>
      </c>
      <c r="N574" s="1" t="inlineStr">
        <is>
          <t>Construção da Nova Sede</t>
        </is>
      </c>
      <c r="O574" s="1" t="inlineStr">
        <is>
          <t>Investimentos</t>
        </is>
      </c>
      <c r="P574" s="1" t="inlineStr">
        <is>
          <t>(-)Investimentos</t>
        </is>
      </c>
      <c r="Q574" s="1" t="n">
        <v>8</v>
      </c>
      <c r="R574" s="1" t="n">
        <v>2025</v>
      </c>
    </row>
    <row r="575">
      <c r="A575" s="61" t="n">
        <v>45824</v>
      </c>
      <c r="B575" s="16" t="inlineStr">
        <is>
          <t>CREA</t>
        </is>
      </c>
      <c r="C575" s="90" t="n"/>
      <c r="D575" s="90" t="n">
        <v>271.47</v>
      </c>
      <c r="E575" s="90" t="n">
        <v>-271.47</v>
      </c>
      <c r="F575" s="16" t="inlineStr">
        <is>
          <t>3.15 - SERVIÇO CREA ANUIDADE</t>
        </is>
      </c>
      <c r="G575" s="16" t="inlineStr">
        <is>
          <t>CONDUTOS - ELETROBRAS</t>
        </is>
      </c>
      <c r="H575" s="63" t="n">
        <v>2025</v>
      </c>
      <c r="I575" s="64" t="n">
        <v>6</v>
      </c>
      <c r="J575" s="16" t="inlineStr">
        <is>
          <t>Jun</t>
        </is>
      </c>
      <c r="K575" s="16" t="n"/>
      <c r="M575" s="89" t="n">
        <v>-271.47</v>
      </c>
      <c r="N575" s="1" t="inlineStr">
        <is>
          <t>SERVIÇO CREA ANUIDADE</t>
        </is>
      </c>
      <c r="O575" s="1" t="inlineStr">
        <is>
          <t>Despesas Administrativas</t>
        </is>
      </c>
      <c r="P575" s="1" t="inlineStr">
        <is>
          <t>(-)Gastos Fixos</t>
        </is>
      </c>
      <c r="Q575" s="1" t="n">
        <v>4</v>
      </c>
      <c r="R575" s="1" t="n">
        <v>2025</v>
      </c>
    </row>
    <row r="576">
      <c r="A576" s="61" t="n">
        <v>45824</v>
      </c>
      <c r="B576" s="16" t="inlineStr">
        <is>
          <t>115706 - SANDRE - COMERCIO E INDUSTRIA DE EMBALAGENS LTDA</t>
        </is>
      </c>
      <c r="C576" s="90" t="n"/>
      <c r="D576" s="90" t="n">
        <v>202.4</v>
      </c>
      <c r="E576" s="90" t="n">
        <v>-202.4</v>
      </c>
      <c r="F576" s="16" t="inlineStr">
        <is>
          <t>8.12 - EQUIPAMENTOS DE AFERIÇÃO</t>
        </is>
      </c>
      <c r="G576" s="16" t="inlineStr">
        <is>
          <t>ADMINISTRATIVO</t>
        </is>
      </c>
      <c r="H576" s="63" t="n">
        <v>2025</v>
      </c>
      <c r="I576" s="64" t="n">
        <v>6</v>
      </c>
      <c r="J576" s="16" t="inlineStr">
        <is>
          <t>Jun</t>
        </is>
      </c>
      <c r="K576" s="16" t="n"/>
      <c r="M576" s="89" t="n">
        <v>-202.4</v>
      </c>
      <c r="N576" s="1" t="inlineStr">
        <is>
          <t>EQUIPAMENTOS DE AFERIÇÃO</t>
        </is>
      </c>
      <c r="O576" s="1" t="inlineStr">
        <is>
          <t>Despesas com Máquinas e Equipamentos</t>
        </is>
      </c>
      <c r="P576" s="1" t="inlineStr">
        <is>
          <t>(-)Gastos Fixos</t>
        </is>
      </c>
      <c r="Q576" s="1" t="n">
        <v>4</v>
      </c>
      <c r="R576" s="1" t="n">
        <v>2025</v>
      </c>
    </row>
    <row r="577">
      <c r="A577" s="61" t="n">
        <v>45824</v>
      </c>
      <c r="B577" s="16" t="inlineStr">
        <is>
          <t>8114 - FABIANO PEREIRA DE OLIVEIRA LTDA</t>
        </is>
      </c>
      <c r="C577" s="90" t="n"/>
      <c r="D577" s="90" t="n">
        <v>861.85</v>
      </c>
      <c r="E577" s="90" t="n">
        <v>-861.85</v>
      </c>
      <c r="F577" s="16" t="inlineStr">
        <is>
          <t>7.11 - LOCAÇAO BANHEIRO QUIMICO</t>
        </is>
      </c>
      <c r="G577" s="16" t="inlineStr">
        <is>
          <t>VLI PINTURA</t>
        </is>
      </c>
      <c r="H577" s="63" t="n">
        <v>2025</v>
      </c>
      <c r="I577" s="64" t="n">
        <v>6</v>
      </c>
      <c r="J577" s="16" t="inlineStr">
        <is>
          <t>Jun</t>
        </is>
      </c>
      <c r="K577" s="16" t="n"/>
      <c r="M577" s="89" t="n">
        <v>-861.85</v>
      </c>
      <c r="N577" s="1" t="inlineStr">
        <is>
          <t>LOCAÇAO BANHEIRO QUIMICO</t>
        </is>
      </c>
      <c r="O577" s="1" t="inlineStr">
        <is>
          <t>Despesas com Locações</t>
        </is>
      </c>
      <c r="P577" s="1" t="inlineStr">
        <is>
          <t>(-)Gastos Fixos</t>
        </is>
      </c>
      <c r="Q577" s="1" t="n">
        <v>4</v>
      </c>
      <c r="R577" s="1" t="n">
        <v>2025</v>
      </c>
    </row>
    <row r="578">
      <c r="A578" s="61" t="n">
        <v>45824</v>
      </c>
      <c r="B578" s="16" t="inlineStr">
        <is>
          <t>55282 - NEOBETEL EPI, EQUIPAMENTOS DE PROTECAO INDIVIDUAL LTDA</t>
        </is>
      </c>
      <c r="C578" s="90" t="n"/>
      <c r="D578" s="90" t="n">
        <v>1320.19</v>
      </c>
      <c r="E578" s="90" t="n">
        <v>-1320.19</v>
      </c>
      <c r="F578" s="16" t="inlineStr">
        <is>
          <t>13.1 - EPIS</t>
        </is>
      </c>
      <c r="G578" s="16" t="inlineStr">
        <is>
          <t>EUROCHEM SERRA DO SALITRE</t>
        </is>
      </c>
      <c r="H578" s="63" t="n">
        <v>2025</v>
      </c>
      <c r="I578" s="64" t="n">
        <v>6</v>
      </c>
      <c r="J578" s="16" t="inlineStr">
        <is>
          <t>Jun</t>
        </is>
      </c>
      <c r="K578" s="16" t="n"/>
      <c r="M578" s="89" t="n">
        <v>-1320.19</v>
      </c>
      <c r="N578" s="1" t="inlineStr">
        <is>
          <t>EPIS</t>
        </is>
      </c>
      <c r="O578" s="1" t="inlineStr">
        <is>
          <t>Despesas com Pessoal</t>
        </is>
      </c>
      <c r="P578" s="1" t="inlineStr">
        <is>
          <t>(-)Gastos Fixos</t>
        </is>
      </c>
      <c r="Q578" s="1" t="n">
        <v>4</v>
      </c>
      <c r="R578" s="1" t="n">
        <v>2025</v>
      </c>
    </row>
    <row r="579">
      <c r="A579" s="61" t="n">
        <v>45824</v>
      </c>
      <c r="B579" s="16" t="inlineStr">
        <is>
          <t>55282 - NEOBETEL EPI, EQUIPAMENTOS DE PROTECAO INDIVIDUAL LTDA</t>
        </is>
      </c>
      <c r="C579" s="90" t="n"/>
      <c r="D579" s="90" t="n">
        <v>1320.2</v>
      </c>
      <c r="E579" s="90" t="n">
        <v>-1320.2</v>
      </c>
      <c r="F579" s="16" t="inlineStr">
        <is>
          <t>13.1 - EPIS</t>
        </is>
      </c>
      <c r="G579" s="16" t="inlineStr">
        <is>
          <t>EUROCHEM SERRA DO SALITRE</t>
        </is>
      </c>
      <c r="H579" s="63" t="n">
        <v>2025</v>
      </c>
      <c r="I579" s="64" t="n">
        <v>6</v>
      </c>
      <c r="J579" s="16" t="inlineStr">
        <is>
          <t>Jun</t>
        </is>
      </c>
      <c r="K579" s="16" t="n"/>
      <c r="M579" s="89" t="n">
        <v>-1320.2</v>
      </c>
      <c r="N579" s="1" t="inlineStr">
        <is>
          <t>EPIS</t>
        </is>
      </c>
      <c r="O579" s="1" t="inlineStr">
        <is>
          <t>Despesas com Pessoal</t>
        </is>
      </c>
      <c r="P579" s="1" t="inlineStr">
        <is>
          <t>(-)Gastos Fixos</t>
        </is>
      </c>
      <c r="Q579" s="1" t="n">
        <v>4</v>
      </c>
      <c r="R579" s="1" t="n">
        <v>2025</v>
      </c>
    </row>
    <row r="580">
      <c r="A580" s="61" t="n">
        <v>45824</v>
      </c>
      <c r="B580" s="16" t="inlineStr">
        <is>
          <t>55282 - NEOBETEL EPI, EQUIPAMENTOS DE PROTECAO INDIVIDUAL LTDA</t>
        </is>
      </c>
      <c r="C580" s="90" t="n"/>
      <c r="D580" s="90" t="n">
        <v>1320.2</v>
      </c>
      <c r="E580" s="90" t="n">
        <v>-1320.2</v>
      </c>
      <c r="F580" s="16" t="inlineStr">
        <is>
          <t>13.1 - EPIS</t>
        </is>
      </c>
      <c r="G580" s="16" t="inlineStr">
        <is>
          <t>EUROCHEM SERRA DO SALITRE</t>
        </is>
      </c>
      <c r="H580" s="63" t="n">
        <v>2025</v>
      </c>
      <c r="I580" s="64" t="n">
        <v>6</v>
      </c>
      <c r="J580" s="16" t="inlineStr">
        <is>
          <t>Jun</t>
        </is>
      </c>
      <c r="K580" s="16" t="n"/>
      <c r="M580" s="89" t="n">
        <v>-1320.2</v>
      </c>
      <c r="N580" s="1" t="inlineStr">
        <is>
          <t>EPIS</t>
        </is>
      </c>
      <c r="O580" s="1" t="inlineStr">
        <is>
          <t>Despesas com Pessoal</t>
        </is>
      </c>
      <c r="P580" s="1" t="inlineStr">
        <is>
          <t>(-)Gastos Fixos</t>
        </is>
      </c>
      <c r="Q580" s="1" t="n">
        <v>4</v>
      </c>
      <c r="R580" s="1" t="n">
        <v>2025</v>
      </c>
    </row>
    <row r="581">
      <c r="A581" s="61" t="n">
        <v>45824</v>
      </c>
      <c r="B581" s="16" t="inlineStr">
        <is>
          <t>55283 - NEOBETEL EPI, EQUIPAMENTOS DE PROTECAO INDIVIDUAL LTDA</t>
        </is>
      </c>
      <c r="C581" s="90" t="n"/>
      <c r="D581" s="90" t="n">
        <v>1246.04</v>
      </c>
      <c r="E581" s="90" t="n">
        <v>-1246.04</v>
      </c>
      <c r="F581" s="16" t="inlineStr">
        <is>
          <t>13.1 - EPIS</t>
        </is>
      </c>
      <c r="G581" s="16" t="inlineStr">
        <is>
          <t>MOSAIC UBERABA CONTRAT0 3 ANOS</t>
        </is>
      </c>
      <c r="H581" s="63" t="n">
        <v>2025</v>
      </c>
      <c r="I581" s="64" t="n">
        <v>6</v>
      </c>
      <c r="J581" s="16" t="inlineStr">
        <is>
          <t>Jun</t>
        </is>
      </c>
      <c r="K581" s="16" t="n"/>
      <c r="M581" s="89" t="n">
        <v>-1246.04</v>
      </c>
      <c r="N581" s="1" t="inlineStr">
        <is>
          <t>EPIS</t>
        </is>
      </c>
      <c r="O581" s="1" t="inlineStr">
        <is>
          <t>Despesas com Pessoal</t>
        </is>
      </c>
      <c r="P581" s="1" t="inlineStr">
        <is>
          <t>(-)Gastos Fixos</t>
        </is>
      </c>
      <c r="Q581" s="1" t="n">
        <v>4</v>
      </c>
      <c r="R581" s="1" t="n">
        <v>2025</v>
      </c>
    </row>
    <row r="582">
      <c r="A582" s="61" t="n">
        <v>45824</v>
      </c>
      <c r="B582" s="16" t="inlineStr">
        <is>
          <t>17140 - POSTO FERREIRA MATIAS COMBUSTIVEL LTDA</t>
        </is>
      </c>
      <c r="C582" s="90" t="n"/>
      <c r="D582" s="90" t="n">
        <v>1157.21</v>
      </c>
      <c r="E582" s="90" t="n">
        <v>-1157.21</v>
      </c>
      <c r="F582" s="16" t="inlineStr">
        <is>
          <t>6.4 - COMBUSTIVEL VEICULOS</t>
        </is>
      </c>
      <c r="G582" s="16" t="inlineStr">
        <is>
          <t>ANGLO AMERICAN</t>
        </is>
      </c>
      <c r="H582" s="63" t="n">
        <v>2025</v>
      </c>
      <c r="I582" s="64" t="n">
        <v>6</v>
      </c>
      <c r="J582" s="16" t="inlineStr">
        <is>
          <t>Jun</t>
        </is>
      </c>
      <c r="K582" s="16" t="n"/>
      <c r="M582" s="89" t="n">
        <v>-1157.21</v>
      </c>
      <c r="N582" s="1" t="inlineStr">
        <is>
          <t>COMBUSTIVEL VEICULOS</t>
        </is>
      </c>
      <c r="O582" s="1" t="inlineStr">
        <is>
          <t>Despesas com Veículos e Equipamentos</t>
        </is>
      </c>
      <c r="P582" s="1" t="inlineStr">
        <is>
          <t>(-)Gastos Fixos</t>
        </is>
      </c>
      <c r="Q582" s="1" t="n">
        <v>4</v>
      </c>
      <c r="R582" s="1" t="n">
        <v>2025</v>
      </c>
    </row>
    <row r="583">
      <c r="A583" s="61" t="n">
        <v>45824</v>
      </c>
      <c r="B583" s="16" t="inlineStr">
        <is>
          <t>1362 - MATRIX CONSULTORIA E GESTAO DE TREINAMENTO EIRELI</t>
        </is>
      </c>
      <c r="C583" s="90" t="n"/>
      <c r="D583" s="90" t="n">
        <v>119.9</v>
      </c>
      <c r="E583" s="90" t="n">
        <v>-119.9</v>
      </c>
      <c r="F583" s="16" t="inlineStr">
        <is>
          <t>14.2 - CURSOS / TREINAMENTOS</t>
        </is>
      </c>
      <c r="G583" s="16" t="inlineStr">
        <is>
          <t>SERENA 21 TORRES 2024</t>
        </is>
      </c>
      <c r="H583" s="63" t="n">
        <v>2025</v>
      </c>
      <c r="I583" s="64" t="n">
        <v>6</v>
      </c>
      <c r="J583" s="16" t="inlineStr">
        <is>
          <t>Jun</t>
        </is>
      </c>
      <c r="K583" s="16" t="n"/>
      <c r="M583" s="89" t="n">
        <v>-119.9</v>
      </c>
      <c r="N583" s="1" t="inlineStr">
        <is>
          <t>CURSOS / TREINAMENTOS</t>
        </is>
      </c>
      <c r="O583" s="1" t="inlineStr">
        <is>
          <t>Despesas com Pessoal</t>
        </is>
      </c>
      <c r="P583" s="1" t="inlineStr">
        <is>
          <t>(-)Gastos Fixos</t>
        </is>
      </c>
      <c r="Q583" s="1" t="n">
        <v>4</v>
      </c>
      <c r="R583" s="1" t="n">
        <v>2025</v>
      </c>
    </row>
    <row r="584">
      <c r="A584" s="61" t="n">
        <v>45824</v>
      </c>
      <c r="B584" s="16" t="inlineStr">
        <is>
          <t>66148 - SOLUCAO PRODUTOS PARA CONSTRUCAO LTDA - EPP</t>
        </is>
      </c>
      <c r="C584" s="90" t="n"/>
      <c r="D584" s="90" t="n">
        <v>2996</v>
      </c>
      <c r="E584" s="90" t="n">
        <v>-2996</v>
      </c>
      <c r="F584" s="16" t="inlineStr">
        <is>
          <t>4.1 - TINTAS E SOLVENTES</t>
        </is>
      </c>
      <c r="G584" s="16" t="inlineStr">
        <is>
          <t>VLI PINTURA</t>
        </is>
      </c>
      <c r="H584" s="63" t="n">
        <v>2025</v>
      </c>
      <c r="I584" s="64" t="n">
        <v>6</v>
      </c>
      <c r="J584" s="16" t="inlineStr">
        <is>
          <t>Jun</t>
        </is>
      </c>
      <c r="K584" s="16" t="n"/>
      <c r="M584" s="89" t="n">
        <v>-2996</v>
      </c>
      <c r="N584" s="1" t="inlineStr">
        <is>
          <t>TINTAS E SOLVENTES</t>
        </is>
      </c>
      <c r="O584" s="1" t="inlineStr">
        <is>
          <t>Fornecedores</t>
        </is>
      </c>
      <c r="P584" s="1" t="inlineStr">
        <is>
          <t>(-)Custos Variavéis</t>
        </is>
      </c>
      <c r="Q584" s="1" t="n">
        <v>3</v>
      </c>
      <c r="R584" s="1" t="n">
        <v>2025</v>
      </c>
    </row>
    <row r="585">
      <c r="A585" s="61" t="n">
        <v>45824</v>
      </c>
      <c r="B585" s="16" t="inlineStr">
        <is>
          <t>66148 - SOLUCAO PRODUTOS PARA CONSTRUCAO LTDA - EPP</t>
        </is>
      </c>
      <c r="C585" s="90" t="n"/>
      <c r="D585" s="90" t="n">
        <v>2996</v>
      </c>
      <c r="E585" s="90" t="n">
        <v>-2996</v>
      </c>
      <c r="F585" s="16" t="inlineStr">
        <is>
          <t>4.1 - TINTAS E SOLVENTES</t>
        </is>
      </c>
      <c r="G585" s="16" t="inlineStr">
        <is>
          <t>VLI PINTURA</t>
        </is>
      </c>
      <c r="H585" s="63" t="n">
        <v>2025</v>
      </c>
      <c r="I585" s="64" t="n">
        <v>6</v>
      </c>
      <c r="J585" s="16" t="inlineStr">
        <is>
          <t>Jun</t>
        </is>
      </c>
      <c r="K585" s="16" t="n"/>
      <c r="M585" s="89" t="n">
        <v>-2996</v>
      </c>
      <c r="N585" s="1" t="inlineStr">
        <is>
          <t>TINTAS E SOLVENTES</t>
        </is>
      </c>
      <c r="O585" s="1" t="inlineStr">
        <is>
          <t>Fornecedores</t>
        </is>
      </c>
      <c r="P585" s="1" t="inlineStr">
        <is>
          <t>(-)Custos Variavéis</t>
        </is>
      </c>
      <c r="Q585" s="1" t="n">
        <v>3</v>
      </c>
      <c r="R585" s="1" t="n">
        <v>2025</v>
      </c>
    </row>
    <row r="586">
      <c r="A586" s="61" t="n">
        <v>45825</v>
      </c>
      <c r="B586" s="16" t="inlineStr">
        <is>
          <t>2474 - MOSAIC FERTILIZANTES DO BRASIL LTDA UBERABA ROTINA</t>
        </is>
      </c>
      <c r="C586" s="90" t="n">
        <v>184882.76</v>
      </c>
      <c r="D586" s="90" t="n"/>
      <c r="E586" s="90" t="n">
        <v>184882.76</v>
      </c>
      <c r="F586" s="16" t="inlineStr">
        <is>
          <t>1.1.1 - Recebimento de Clientes</t>
        </is>
      </c>
      <c r="G586" s="16" t="inlineStr">
        <is>
          <t>MOSAIC UBERABA CONTRAT0 3 ANOS</t>
        </is>
      </c>
      <c r="H586" s="63" t="n">
        <v>2025</v>
      </c>
      <c r="I586" s="64" t="n">
        <v>6</v>
      </c>
      <c r="J586" s="16" t="inlineStr">
        <is>
          <t>Jun</t>
        </is>
      </c>
      <c r="K586" s="16" t="n"/>
      <c r="M586" s="89" t="n">
        <v>184882.76</v>
      </c>
      <c r="N586" s="1" t="inlineStr">
        <is>
          <t>Faturamento</t>
        </is>
      </c>
      <c r="O586" s="1" t="inlineStr">
        <is>
          <t>(+)Receita Bruta</t>
        </is>
      </c>
      <c r="P586" s="1" t="inlineStr">
        <is>
          <t>(=)Receita Bruta</t>
        </is>
      </c>
      <c r="Q586" s="1" t="n">
        <v>1</v>
      </c>
      <c r="R586" s="1" t="n">
        <v>2025</v>
      </c>
    </row>
    <row r="587">
      <c r="A587" s="61" t="n">
        <v>45825</v>
      </c>
      <c r="B587" s="16" t="inlineStr">
        <is>
          <t>2475 - MOSAIC FERTILIZANTES DO BRASIL LTDA UBERABA ROTINA</t>
        </is>
      </c>
      <c r="C587" s="90" t="n">
        <v>32763.53</v>
      </c>
      <c r="D587" s="90" t="n"/>
      <c r="E587" s="90" t="n">
        <v>32763.53</v>
      </c>
      <c r="F587" s="16" t="inlineStr">
        <is>
          <t>1.1.1 - Recebimento de Clientes</t>
        </is>
      </c>
      <c r="G587" s="16" t="inlineStr">
        <is>
          <t>MOSAIC UBERABA CONTRAT0 3 ANOS</t>
        </is>
      </c>
      <c r="H587" s="63" t="n">
        <v>2025</v>
      </c>
      <c r="I587" s="64" t="n">
        <v>6</v>
      </c>
      <c r="J587" s="16" t="inlineStr">
        <is>
          <t>Jun</t>
        </is>
      </c>
      <c r="K587" s="16" t="n"/>
      <c r="M587" s="89" t="n">
        <v>32763.53</v>
      </c>
      <c r="N587" s="1" t="inlineStr">
        <is>
          <t>Faturamento</t>
        </is>
      </c>
      <c r="O587" s="1" t="inlineStr">
        <is>
          <t>(+)Receita Bruta</t>
        </is>
      </c>
      <c r="P587" s="1" t="inlineStr">
        <is>
          <t>(=)Receita Bruta</t>
        </is>
      </c>
      <c r="Q587" s="1" t="n">
        <v>1</v>
      </c>
      <c r="R587" s="1" t="n">
        <v>2025</v>
      </c>
    </row>
    <row r="588">
      <c r="A588" s="61" t="n">
        <v>45825</v>
      </c>
      <c r="B588" s="16" t="inlineStr">
        <is>
          <t>2476 - MOSAIC FERTILIZANTES DO BRASIL LTDA UBERABA ROTINA</t>
        </is>
      </c>
      <c r="C588" s="90" t="n">
        <v>54029.47</v>
      </c>
      <c r="D588" s="90" t="n"/>
      <c r="E588" s="90" t="n">
        <v>54029.47</v>
      </c>
      <c r="F588" s="16" t="inlineStr">
        <is>
          <t>1.1.1 - Recebimento de Clientes</t>
        </is>
      </c>
      <c r="G588" s="16" t="inlineStr">
        <is>
          <t>MOSAIC UBERABA CONTRAT0 3 ANOS</t>
        </is>
      </c>
      <c r="H588" s="63" t="n">
        <v>2025</v>
      </c>
      <c r="I588" s="64" t="n">
        <v>6</v>
      </c>
      <c r="J588" s="16" t="inlineStr">
        <is>
          <t>Jun</t>
        </is>
      </c>
      <c r="K588" s="16" t="n"/>
      <c r="M588" s="89" t="n">
        <v>54029.47</v>
      </c>
      <c r="N588" s="1" t="inlineStr">
        <is>
          <t>Faturamento</t>
        </is>
      </c>
      <c r="O588" s="1" t="inlineStr">
        <is>
          <t>(+)Receita Bruta</t>
        </is>
      </c>
      <c r="P588" s="1" t="inlineStr">
        <is>
          <t>(=)Receita Bruta</t>
        </is>
      </c>
      <c r="Q588" s="1" t="n">
        <v>1</v>
      </c>
      <c r="R588" s="1" t="n">
        <v>2025</v>
      </c>
    </row>
    <row r="589">
      <c r="A589" s="61" t="n">
        <v>45825</v>
      </c>
      <c r="B589" s="16" t="inlineStr">
        <is>
          <t>2477 - CMOC BRASIL MINERAÇAO INDUSTRIAL E PARTICIPAÇOES</t>
        </is>
      </c>
      <c r="C589" s="90" t="n">
        <v>51398.27</v>
      </c>
      <c r="D589" s="90" t="n"/>
      <c r="E589" s="90" t="n">
        <v>51398.27</v>
      </c>
      <c r="F589" s="16" t="inlineStr">
        <is>
          <t>1.1.1 - Recebimento de Clientes</t>
        </is>
      </c>
      <c r="G589" s="16" t="inlineStr">
        <is>
          <t>FOSFATO CMOC CONTRAT</t>
        </is>
      </c>
      <c r="H589" s="63" t="n">
        <v>2025</v>
      </c>
      <c r="I589" s="64" t="n">
        <v>6</v>
      </c>
      <c r="J589" s="16" t="inlineStr">
        <is>
          <t>Jun</t>
        </is>
      </c>
      <c r="K589" s="16" t="n"/>
      <c r="M589" s="89" t="n">
        <v>51398.27</v>
      </c>
      <c r="N589" s="1" t="inlineStr">
        <is>
          <t>Faturamento</t>
        </is>
      </c>
      <c r="O589" s="1" t="inlineStr">
        <is>
          <t>(+)Receita Bruta</t>
        </is>
      </c>
      <c r="P589" s="1" t="inlineStr">
        <is>
          <t>(=)Receita Bruta</t>
        </is>
      </c>
      <c r="Q589" s="1" t="n">
        <v>1</v>
      </c>
      <c r="R589" s="1" t="n">
        <v>2025</v>
      </c>
    </row>
    <row r="590">
      <c r="A590" s="61" t="n">
        <v>45825</v>
      </c>
      <c r="B590" s="16" t="inlineStr">
        <is>
          <t>A S TURISMO</t>
        </is>
      </c>
      <c r="C590" s="90" t="n"/>
      <c r="D590" s="90" t="n">
        <v>10000</v>
      </c>
      <c r="E590" s="90" t="n">
        <v>-10000</v>
      </c>
      <c r="F590" s="16" t="inlineStr">
        <is>
          <t>12.7 - TRANSPORTE FUNCIONARIOS</t>
        </is>
      </c>
      <c r="G590" s="16" t="inlineStr">
        <is>
          <t>NIOBIO CMOC CONTRATO</t>
        </is>
      </c>
      <c r="H590" s="63" t="n">
        <v>2025</v>
      </c>
      <c r="I590" s="64" t="n">
        <v>6</v>
      </c>
      <c r="J590" s="16" t="inlineStr">
        <is>
          <t>Jun</t>
        </is>
      </c>
      <c r="K590" s="16" t="n"/>
      <c r="M590" s="89" t="n">
        <v>-10000</v>
      </c>
      <c r="N590" s="1" t="inlineStr">
        <is>
          <t>12.7 - TRANSPORTE FUNCIONARIOS</t>
        </is>
      </c>
      <c r="O590" s="1" t="n"/>
      <c r="P590" s="1" t="n"/>
      <c r="Q590" s="1" t="n"/>
      <c r="R590" s="1" t="n">
        <v>2025</v>
      </c>
    </row>
    <row r="591">
      <c r="A591" s="61" t="n">
        <v>45825</v>
      </c>
      <c r="B591" s="16" t="inlineStr">
        <is>
          <t>DESPESAS DE VIAGEM</t>
        </is>
      </c>
      <c r="C591" s="90" t="n"/>
      <c r="D591" s="90" t="n">
        <v>50</v>
      </c>
      <c r="E591" s="90" t="n">
        <v>-50</v>
      </c>
      <c r="F591" s="16" t="inlineStr">
        <is>
          <t>12.9 - PASSAGENS FUNCIONARIOS</t>
        </is>
      </c>
      <c r="G591" s="16" t="inlineStr">
        <is>
          <t>ANGLO AMERICAN</t>
        </is>
      </c>
      <c r="H591" s="63" t="n">
        <v>2025</v>
      </c>
      <c r="I591" s="64" t="n">
        <v>6</v>
      </c>
      <c r="J591" s="16" t="inlineStr">
        <is>
          <t>Jun</t>
        </is>
      </c>
      <c r="K591" s="16" t="n"/>
      <c r="M591" s="89" t="n">
        <v>-50</v>
      </c>
      <c r="N591" s="1" t="inlineStr">
        <is>
          <t>12.9 - PASSAGENS FUNCIONARIOS</t>
        </is>
      </c>
      <c r="O591" s="1" t="n"/>
      <c r="P591" s="1" t="n"/>
      <c r="Q591" s="1" t="n"/>
      <c r="R591" s="1" t="n">
        <v>2025</v>
      </c>
    </row>
    <row r="592">
      <c r="A592" s="61" t="n">
        <v>45825</v>
      </c>
      <c r="B592" s="16" t="inlineStr">
        <is>
          <t>DESPESAS DE VIAGEM</t>
        </is>
      </c>
      <c r="C592" s="90" t="n"/>
      <c r="D592" s="90" t="n">
        <v>105.39</v>
      </c>
      <c r="E592" s="90" t="n">
        <v>-105.39</v>
      </c>
      <c r="F592" s="16" t="inlineStr">
        <is>
          <t>12.5 - REFEIÇÕES FUNCIONARIOS</t>
        </is>
      </c>
      <c r="G592" s="16" t="inlineStr">
        <is>
          <t>ANGLO AMERICAN</t>
        </is>
      </c>
      <c r="H592" s="63" t="n">
        <v>2025</v>
      </c>
      <c r="I592" s="64" t="n">
        <v>6</v>
      </c>
      <c r="J592" s="16" t="inlineStr">
        <is>
          <t>Jun</t>
        </is>
      </c>
      <c r="K592" s="16" t="n"/>
      <c r="M592" s="89" t="n">
        <v>-105.39</v>
      </c>
      <c r="N592" s="1" t="inlineStr">
        <is>
          <t>12.5 - REFEIÇÕES FUNCIONARIOS</t>
        </is>
      </c>
      <c r="O592" s="1" t="n"/>
      <c r="P592" s="1" t="n"/>
      <c r="Q592" s="1" t="n"/>
      <c r="R592" s="1" t="n">
        <v>2025</v>
      </c>
    </row>
    <row r="593">
      <c r="A593" s="61" t="n">
        <v>45825</v>
      </c>
      <c r="B593" s="16" t="inlineStr">
        <is>
          <t>CORREIOS OBRAS</t>
        </is>
      </c>
      <c r="C593" s="90" t="n"/>
      <c r="D593" s="90" t="n">
        <v>29.7</v>
      </c>
      <c r="E593" s="90" t="n">
        <v>-29.7</v>
      </c>
      <c r="F593" s="16" t="inlineStr">
        <is>
          <t>10.4 - FRETE TRANSPORTADORA</t>
        </is>
      </c>
      <c r="G593" s="16" t="inlineStr">
        <is>
          <t>ANGLO AMERICAN</t>
        </is>
      </c>
      <c r="H593" s="63" t="n">
        <v>2025</v>
      </c>
      <c r="I593" s="64" t="n">
        <v>6</v>
      </c>
      <c r="J593" s="16" t="inlineStr">
        <is>
          <t>Jun</t>
        </is>
      </c>
      <c r="K593" s="16" t="n"/>
      <c r="M593" s="89" t="n">
        <v>-29.7</v>
      </c>
      <c r="N593" s="1" t="inlineStr">
        <is>
          <t>FRETE TRANSPORTADORA</t>
        </is>
      </c>
      <c r="O593" s="1" t="inlineStr">
        <is>
          <t>Fornecedores</t>
        </is>
      </c>
      <c r="P593" s="1" t="inlineStr">
        <is>
          <t>(-)Custos Variavéis</t>
        </is>
      </c>
      <c r="Q593" s="1" t="n">
        <v>3</v>
      </c>
      <c r="R593" s="1" t="n">
        <v>2025</v>
      </c>
    </row>
    <row r="594">
      <c r="A594" s="61" t="n">
        <v>45825</v>
      </c>
      <c r="B594" s="16" t="inlineStr">
        <is>
          <t>CORREIOS OBRAS</t>
        </is>
      </c>
      <c r="C594" s="90" t="n"/>
      <c r="D594" s="90" t="n">
        <v>81.3</v>
      </c>
      <c r="E594" s="90" t="n">
        <v>-81.3</v>
      </c>
      <c r="F594" s="16" t="inlineStr">
        <is>
          <t>10.4 - FRETE TRANSPORTADORA</t>
        </is>
      </c>
      <c r="G594" s="16" t="inlineStr">
        <is>
          <t>EUROCHEM SERRA DO SALITRE</t>
        </is>
      </c>
      <c r="H594" s="63" t="n">
        <v>2025</v>
      </c>
      <c r="I594" s="64" t="n">
        <v>6</v>
      </c>
      <c r="J594" s="16" t="inlineStr">
        <is>
          <t>Jun</t>
        </is>
      </c>
      <c r="K594" s="16" t="n"/>
      <c r="M594" s="89" t="n">
        <v>-81.3</v>
      </c>
      <c r="N594" s="1" t="inlineStr">
        <is>
          <t>FRETE TRANSPORTADORA</t>
        </is>
      </c>
      <c r="O594" s="1" t="inlineStr">
        <is>
          <t>Fornecedores</t>
        </is>
      </c>
      <c r="P594" s="1" t="inlineStr">
        <is>
          <t>(-)Custos Variavéis</t>
        </is>
      </c>
      <c r="Q594" s="1" t="n">
        <v>3</v>
      </c>
      <c r="R594" s="1" t="n">
        <v>2025</v>
      </c>
    </row>
    <row r="595">
      <c r="A595" s="61" t="n">
        <v>45825</v>
      </c>
      <c r="B595" s="16" t="inlineStr">
        <is>
          <t>CORREIOS OBRAS</t>
        </is>
      </c>
      <c r="C595" s="90" t="n"/>
      <c r="D595" s="90" t="n">
        <v>29.7</v>
      </c>
      <c r="E595" s="90" t="n">
        <v>-29.7</v>
      </c>
      <c r="F595" s="16" t="inlineStr">
        <is>
          <t>10.4 - FRETE TRANSPORTADORA</t>
        </is>
      </c>
      <c r="G595" s="16" t="inlineStr">
        <is>
          <t>NIOBIO CMOC CONTRATO</t>
        </is>
      </c>
      <c r="H595" s="63" t="n">
        <v>2025</v>
      </c>
      <c r="I595" s="64" t="n">
        <v>6</v>
      </c>
      <c r="J595" s="16" t="inlineStr">
        <is>
          <t>Jun</t>
        </is>
      </c>
      <c r="K595" s="16" t="n"/>
      <c r="M595" s="89" t="n">
        <v>-29.7</v>
      </c>
      <c r="N595" s="1" t="inlineStr">
        <is>
          <t>FRETE TRANSPORTADORA</t>
        </is>
      </c>
      <c r="O595" s="1" t="inlineStr">
        <is>
          <t>Fornecedores</t>
        </is>
      </c>
      <c r="P595" s="1" t="inlineStr">
        <is>
          <t>(-)Custos Variavéis</t>
        </is>
      </c>
      <c r="Q595" s="1" t="n">
        <v>3</v>
      </c>
      <c r="R595" s="1" t="n">
        <v>2025</v>
      </c>
    </row>
    <row r="596">
      <c r="A596" s="61" t="n">
        <v>45825</v>
      </c>
      <c r="B596" s="16" t="inlineStr">
        <is>
          <t>ADIANTAMENTO SALARIAL</t>
        </is>
      </c>
      <c r="C596" s="90" t="n"/>
      <c r="D596" s="90" t="n">
        <v>35255.67</v>
      </c>
      <c r="E596" s="90" t="n">
        <v>-35255.67</v>
      </c>
      <c r="F596" s="16" t="inlineStr">
        <is>
          <t>12.1 - SALARIO</t>
        </is>
      </c>
      <c r="G596" s="16" t="inlineStr">
        <is>
          <t>VLI PINTURA</t>
        </is>
      </c>
      <c r="H596" s="63" t="n">
        <v>2025</v>
      </c>
      <c r="I596" s="64" t="n">
        <v>6</v>
      </c>
      <c r="J596" s="16" t="inlineStr">
        <is>
          <t>Jun</t>
        </is>
      </c>
      <c r="K596" s="16" t="n"/>
      <c r="M596" s="89" t="n">
        <v>-35255.67</v>
      </c>
      <c r="N596" s="1" t="inlineStr">
        <is>
          <t>SALARIO</t>
        </is>
      </c>
      <c r="O596" s="1" t="inlineStr">
        <is>
          <t>Despesas com Pessoal</t>
        </is>
      </c>
      <c r="P596" s="1" t="inlineStr">
        <is>
          <t>(-)Gastos Fixos</t>
        </is>
      </c>
      <c r="Q596" s="1" t="n">
        <v>4</v>
      </c>
      <c r="R596" s="1" t="n">
        <v>2025</v>
      </c>
    </row>
    <row r="597">
      <c r="A597" s="61" t="n">
        <v>45825</v>
      </c>
      <c r="B597" s="16" t="inlineStr">
        <is>
          <t>ADIANTAMENTO SALARIAL</t>
        </is>
      </c>
      <c r="C597" s="90" t="n"/>
      <c r="D597" s="90" t="n">
        <v>34125.01</v>
      </c>
      <c r="E597" s="90" t="n">
        <v>-34125.01</v>
      </c>
      <c r="F597" s="16" t="inlineStr">
        <is>
          <t>12.1 - SALARIO</t>
        </is>
      </c>
      <c r="G597" s="16" t="inlineStr">
        <is>
          <t>MOSAIC UBERABA CONTRAT0 3 ANOS</t>
        </is>
      </c>
      <c r="H597" s="63" t="n">
        <v>2025</v>
      </c>
      <c r="I597" s="64" t="n">
        <v>6</v>
      </c>
      <c r="J597" s="16" t="inlineStr">
        <is>
          <t>Jun</t>
        </is>
      </c>
      <c r="K597" s="16" t="n"/>
      <c r="M597" s="89" t="n">
        <v>-34125.01</v>
      </c>
      <c r="N597" s="1" t="inlineStr">
        <is>
          <t>SALARIO</t>
        </is>
      </c>
      <c r="O597" s="1" t="inlineStr">
        <is>
          <t>Despesas com Pessoal</t>
        </is>
      </c>
      <c r="P597" s="1" t="inlineStr">
        <is>
          <t>(-)Gastos Fixos</t>
        </is>
      </c>
      <c r="Q597" s="1" t="n">
        <v>4</v>
      </c>
      <c r="R597" s="1" t="n">
        <v>2025</v>
      </c>
    </row>
    <row r="598">
      <c r="A598" s="61" t="n">
        <v>45825</v>
      </c>
      <c r="B598" s="16" t="inlineStr">
        <is>
          <t>ADIANTAMENTO SALARIAL</t>
        </is>
      </c>
      <c r="C598" s="90" t="n"/>
      <c r="D598" s="90" t="n">
        <v>987.14</v>
      </c>
      <c r="E598" s="90" t="n">
        <v>-987.14</v>
      </c>
      <c r="F598" s="16" t="inlineStr">
        <is>
          <t>12.1 - SALARIO</t>
        </is>
      </c>
      <c r="G598" s="16" t="inlineStr">
        <is>
          <t>EUROCHEM SERRA DO SALITRE</t>
        </is>
      </c>
      <c r="H598" s="63" t="n">
        <v>2025</v>
      </c>
      <c r="I598" s="64" t="n">
        <v>6</v>
      </c>
      <c r="J598" s="16" t="inlineStr">
        <is>
          <t>Jun</t>
        </is>
      </c>
      <c r="K598" s="16" t="n"/>
      <c r="M598" s="89" t="n">
        <v>-987.14</v>
      </c>
      <c r="N598" s="1" t="inlineStr">
        <is>
          <t>SALARIO</t>
        </is>
      </c>
      <c r="O598" s="1" t="inlineStr">
        <is>
          <t>Despesas com Pessoal</t>
        </is>
      </c>
      <c r="P598" s="1" t="inlineStr">
        <is>
          <t>(-)Gastos Fixos</t>
        </is>
      </c>
      <c r="Q598" s="1" t="n">
        <v>4</v>
      </c>
      <c r="R598" s="1" t="n">
        <v>2025</v>
      </c>
    </row>
    <row r="599">
      <c r="A599" s="61" t="n">
        <v>45825</v>
      </c>
      <c r="B599" s="16" t="inlineStr">
        <is>
          <t>DCTF WEB</t>
        </is>
      </c>
      <c r="C599" s="90" t="n"/>
      <c r="D599" s="90" t="n">
        <v>31224.31</v>
      </c>
      <c r="E599" s="90" t="n">
        <v>-31224.31</v>
      </c>
      <c r="F599" s="16" t="inlineStr">
        <is>
          <t>12.15 - DCTFWEB</t>
        </is>
      </c>
      <c r="G599" s="16" t="inlineStr">
        <is>
          <t>VLI PINTURA</t>
        </is>
      </c>
      <c r="H599" s="63" t="n">
        <v>2025</v>
      </c>
      <c r="I599" s="64" t="n">
        <v>6</v>
      </c>
      <c r="J599" s="16" t="inlineStr">
        <is>
          <t>Jun</t>
        </is>
      </c>
      <c r="K599" s="16" t="n"/>
      <c r="M599" s="89" t="n">
        <v>-31224.31</v>
      </c>
      <c r="N599" s="1" t="inlineStr">
        <is>
          <t>DCTFWEB</t>
        </is>
      </c>
      <c r="O599" s="1" t="inlineStr">
        <is>
          <t>Despesas com Pessoal</t>
        </is>
      </c>
      <c r="P599" s="1" t="inlineStr">
        <is>
          <t>(-)Gastos Fixos</t>
        </is>
      </c>
      <c r="Q599" s="1" t="n">
        <v>4</v>
      </c>
      <c r="R599" s="1" t="n">
        <v>2025</v>
      </c>
    </row>
    <row r="600">
      <c r="A600" s="61" t="n">
        <v>45825</v>
      </c>
      <c r="B600" s="16" t="inlineStr">
        <is>
          <t>DCTF WEB</t>
        </is>
      </c>
      <c r="C600" s="90" t="n"/>
      <c r="D600" s="90" t="n">
        <v>10733.35</v>
      </c>
      <c r="E600" s="90" t="n">
        <v>-10733.35</v>
      </c>
      <c r="F600" s="16" t="inlineStr">
        <is>
          <t>12.15 - DCTFWEB</t>
        </is>
      </c>
      <c r="G600" s="16" t="inlineStr">
        <is>
          <t>ADMINISTRATIVO</t>
        </is>
      </c>
      <c r="H600" s="63" t="n">
        <v>2025</v>
      </c>
      <c r="I600" s="64" t="n">
        <v>6</v>
      </c>
      <c r="J600" s="16" t="inlineStr">
        <is>
          <t>Jun</t>
        </is>
      </c>
      <c r="K600" s="16" t="n"/>
      <c r="M600" s="89" t="n">
        <v>-10733.35</v>
      </c>
      <c r="N600" s="1" t="inlineStr">
        <is>
          <t>DCTFWEB</t>
        </is>
      </c>
      <c r="O600" s="1" t="inlineStr">
        <is>
          <t>Despesas com Pessoal</t>
        </is>
      </c>
      <c r="P600" s="1" t="inlineStr">
        <is>
          <t>(-)Gastos Fixos</t>
        </is>
      </c>
      <c r="Q600" s="1" t="n">
        <v>4</v>
      </c>
      <c r="R600" s="1" t="n">
        <v>2025</v>
      </c>
    </row>
    <row r="601">
      <c r="A601" s="61" t="n">
        <v>45825</v>
      </c>
      <c r="B601" s="16" t="inlineStr">
        <is>
          <t>DCTF WEB</t>
        </is>
      </c>
      <c r="C601" s="90" t="n"/>
      <c r="D601" s="90" t="n">
        <v>33175.83</v>
      </c>
      <c r="E601" s="90" t="n">
        <v>-33175.83</v>
      </c>
      <c r="F601" s="16" t="inlineStr">
        <is>
          <t>12.15 - DCTFWEB</t>
        </is>
      </c>
      <c r="G601" s="16" t="inlineStr">
        <is>
          <t>MOSAIC UBERABA CONTRAT0 3 ANOS</t>
        </is>
      </c>
      <c r="H601" s="63" t="n">
        <v>2025</v>
      </c>
      <c r="I601" s="64" t="n">
        <v>6</v>
      </c>
      <c r="J601" s="16" t="inlineStr">
        <is>
          <t>Jun</t>
        </is>
      </c>
      <c r="K601" s="16" t="n"/>
      <c r="M601" s="89" t="n">
        <v>-33175.83</v>
      </c>
      <c r="N601" s="1" t="inlineStr">
        <is>
          <t>DCTFWEB</t>
        </is>
      </c>
      <c r="O601" s="1" t="inlineStr">
        <is>
          <t>Despesas com Pessoal</t>
        </is>
      </c>
      <c r="P601" s="1" t="inlineStr">
        <is>
          <t>(-)Gastos Fixos</t>
        </is>
      </c>
      <c r="Q601" s="1" t="n">
        <v>4</v>
      </c>
      <c r="R601" s="1" t="n">
        <v>2025</v>
      </c>
    </row>
    <row r="602">
      <c r="A602" s="61" t="n">
        <v>45825</v>
      </c>
      <c r="B602" s="16" t="inlineStr">
        <is>
          <t>DCTF WEB</t>
        </is>
      </c>
      <c r="C602" s="90" t="n"/>
      <c r="D602" s="90" t="n">
        <v>17563.68</v>
      </c>
      <c r="E602" s="90" t="n">
        <v>-17563.68</v>
      </c>
      <c r="F602" s="16" t="inlineStr">
        <is>
          <t>12.15 - DCTFWEB</t>
        </is>
      </c>
      <c r="G602" s="16" t="inlineStr">
        <is>
          <t>ANGLO AMERICAN</t>
        </is>
      </c>
      <c r="H602" s="63" t="n">
        <v>2025</v>
      </c>
      <c r="I602" s="64" t="n">
        <v>6</v>
      </c>
      <c r="J602" s="16" t="inlineStr">
        <is>
          <t>Jun</t>
        </is>
      </c>
      <c r="K602" s="16" t="n"/>
      <c r="M602" s="89" t="n">
        <v>-17563.68</v>
      </c>
      <c r="N602" s="1" t="inlineStr">
        <is>
          <t>DCTFWEB</t>
        </is>
      </c>
      <c r="O602" s="1" t="inlineStr">
        <is>
          <t>Despesas com Pessoal</t>
        </is>
      </c>
      <c r="P602" s="1" t="inlineStr">
        <is>
          <t>(-)Gastos Fixos</t>
        </is>
      </c>
      <c r="Q602" s="1" t="n">
        <v>4</v>
      </c>
      <c r="R602" s="1" t="n">
        <v>2025</v>
      </c>
    </row>
    <row r="603">
      <c r="A603" s="61" t="n">
        <v>45825</v>
      </c>
      <c r="B603" s="16" t="inlineStr">
        <is>
          <t>DCTF WEB</t>
        </is>
      </c>
      <c r="C603" s="90" t="n"/>
      <c r="D603" s="90" t="n">
        <v>9757.6</v>
      </c>
      <c r="E603" s="90" t="n">
        <v>-9757.6</v>
      </c>
      <c r="F603" t="inlineStr">
        <is>
          <t>12.15 - DCTFWEB</t>
        </is>
      </c>
      <c r="G603" s="16" t="inlineStr">
        <is>
          <t>EUROCHEM SERRA DO SALITRE</t>
        </is>
      </c>
      <c r="H603" s="63" t="n">
        <v>2025</v>
      </c>
      <c r="I603" s="64" t="n">
        <v>6</v>
      </c>
      <c r="J603" s="16" t="inlineStr">
        <is>
          <t>Jun</t>
        </is>
      </c>
      <c r="K603" s="16" t="n"/>
      <c r="M603" s="89" t="n">
        <v>-9757.6</v>
      </c>
      <c r="N603" s="1" t="inlineStr">
        <is>
          <t>DCTFWEB</t>
        </is>
      </c>
      <c r="O603" s="1" t="inlineStr">
        <is>
          <t>Despesas com Pessoal</t>
        </is>
      </c>
      <c r="P603" s="1" t="inlineStr">
        <is>
          <t>(-)Gastos Fixos</t>
        </is>
      </c>
      <c r="Q603" s="1" t="n">
        <v>4</v>
      </c>
      <c r="R603" s="1" t="n">
        <v>2025</v>
      </c>
    </row>
    <row r="604">
      <c r="A604" s="61" t="n">
        <v>45825</v>
      </c>
      <c r="B604" s="16" t="inlineStr">
        <is>
          <t>DCTF WEB</t>
        </is>
      </c>
      <c r="C604" s="90" t="n"/>
      <c r="D604" s="90" t="n">
        <v>9757.6</v>
      </c>
      <c r="E604" s="90" t="n">
        <v>-9757.6</v>
      </c>
      <c r="F604" s="16" t="inlineStr">
        <is>
          <t>12.15 - DCTFWEB</t>
        </is>
      </c>
      <c r="G604" s="16" t="inlineStr">
        <is>
          <t>SERENA 21 TORRES 2024</t>
        </is>
      </c>
      <c r="H604" s="63" t="n">
        <v>2025</v>
      </c>
      <c r="I604" s="64" t="n">
        <v>6</v>
      </c>
      <c r="J604" s="16" t="inlineStr">
        <is>
          <t>Jun</t>
        </is>
      </c>
      <c r="K604" s="16" t="n"/>
      <c r="M604" s="89" t="n">
        <v>-9757.6</v>
      </c>
      <c r="N604" s="1" t="inlineStr">
        <is>
          <t>DCTFWEB</t>
        </is>
      </c>
      <c r="O604" s="1" t="inlineStr">
        <is>
          <t>Despesas com Pessoal</t>
        </is>
      </c>
      <c r="P604" s="1" t="inlineStr">
        <is>
          <t>(-)Gastos Fixos</t>
        </is>
      </c>
      <c r="Q604" s="1" t="n">
        <v>4</v>
      </c>
      <c r="R604" s="1" t="n">
        <v>2025</v>
      </c>
    </row>
    <row r="605">
      <c r="A605" s="61" t="n">
        <v>45825</v>
      </c>
      <c r="B605" s="16" t="inlineStr">
        <is>
          <t>DCTF WEB</t>
        </is>
      </c>
      <c r="C605" s="90" t="n"/>
      <c r="D605" s="90" t="n">
        <v>22442.48</v>
      </c>
      <c r="E605" s="90" t="n">
        <v>-22442.48</v>
      </c>
      <c r="F605" s="16" t="inlineStr">
        <is>
          <t>12.15 - DCTFWEB</t>
        </is>
      </c>
      <c r="G605" s="16" t="inlineStr">
        <is>
          <t>FOSFATO CMOC CONTRAT</t>
        </is>
      </c>
      <c r="H605" s="63" t="n">
        <v>2025</v>
      </c>
      <c r="I605" s="64" t="n">
        <v>6</v>
      </c>
      <c r="J605" s="16" t="inlineStr">
        <is>
          <t>Jun</t>
        </is>
      </c>
      <c r="K605" s="16" t="n"/>
      <c r="M605" s="89" t="n">
        <v>-22442.48</v>
      </c>
      <c r="N605" s="1" t="inlineStr">
        <is>
          <t>DCTFWEB</t>
        </is>
      </c>
      <c r="O605" s="1" t="inlineStr">
        <is>
          <t>Despesas com Pessoal</t>
        </is>
      </c>
      <c r="P605" s="1" t="inlineStr">
        <is>
          <t>(-)Gastos Fixos</t>
        </is>
      </c>
      <c r="Q605" s="1" t="n">
        <v>4</v>
      </c>
      <c r="R605" s="1" t="n">
        <v>2025</v>
      </c>
    </row>
    <row r="606">
      <c r="A606" s="61" t="n">
        <v>45825</v>
      </c>
      <c r="B606" s="16" t="inlineStr">
        <is>
          <t>DCTF WEB</t>
        </is>
      </c>
      <c r="C606" s="90" t="n"/>
      <c r="D606" s="90" t="n">
        <v>10733.36</v>
      </c>
      <c r="E606" s="90" t="n">
        <v>-10733.36</v>
      </c>
      <c r="F606" s="16" t="inlineStr">
        <is>
          <t>12.15 - DCTFWEB</t>
        </is>
      </c>
      <c r="G606" s="16" t="inlineStr">
        <is>
          <t>NIOBIO CMOC CONTRATO</t>
        </is>
      </c>
      <c r="H606" s="63" t="n">
        <v>2025</v>
      </c>
      <c r="I606" s="64" t="n">
        <v>6</v>
      </c>
      <c r="J606" s="16" t="inlineStr">
        <is>
          <t>Jun</t>
        </is>
      </c>
      <c r="K606" s="16" t="n"/>
      <c r="M606" s="89" t="n">
        <v>-10733.36</v>
      </c>
      <c r="N606" s="1" t="inlineStr">
        <is>
          <t>DCTFWEB</t>
        </is>
      </c>
      <c r="O606" s="1" t="inlineStr">
        <is>
          <t>Despesas com Pessoal</t>
        </is>
      </c>
      <c r="P606" s="1" t="inlineStr">
        <is>
          <t>(-)Gastos Fixos</t>
        </is>
      </c>
      <c r="Q606" s="1" t="n">
        <v>4</v>
      </c>
      <c r="R606" s="1" t="n">
        <v>2025</v>
      </c>
    </row>
    <row r="607">
      <c r="A607" s="61" t="n">
        <v>45825</v>
      </c>
      <c r="B607" s="16" t="inlineStr">
        <is>
          <t>ENGREMAT ENGENHARIA INSPENÇAO</t>
        </is>
      </c>
      <c r="C607" s="90" t="n"/>
      <c r="D607" s="90" t="n">
        <v>1850</v>
      </c>
      <c r="E607" s="90" t="n">
        <v>-1850</v>
      </c>
      <c r="F607" s="16" t="inlineStr">
        <is>
          <t>3.12 - SERVIÇO LAUDO TECNICO</t>
        </is>
      </c>
      <c r="G607" s="16" t="inlineStr">
        <is>
          <t>EUROCHEM SERRA DO SALITRE</t>
        </is>
      </c>
      <c r="H607" s="63" t="n">
        <v>2025</v>
      </c>
      <c r="I607" s="64" t="n">
        <v>6</v>
      </c>
      <c r="J607" s="16" t="inlineStr">
        <is>
          <t>Jun</t>
        </is>
      </c>
      <c r="K607" s="16" t="n"/>
      <c r="M607" s="89" t="n">
        <v>-1850</v>
      </c>
      <c r="N607" s="1" t="inlineStr">
        <is>
          <t>SERVIÇO LAUDO TECNICO</t>
        </is>
      </c>
      <c r="O607" s="1" t="inlineStr">
        <is>
          <t>Serviços de Terceiros</t>
        </is>
      </c>
      <c r="P607" s="1" t="inlineStr">
        <is>
          <t>(-)Gastos Fixos</t>
        </is>
      </c>
      <c r="Q607" s="1" t="n">
        <v>4</v>
      </c>
      <c r="R607" s="1" t="n">
        <v>2025</v>
      </c>
    </row>
    <row r="608">
      <c r="A608" s="61" t="n">
        <v>45825</v>
      </c>
      <c r="B608" s="16" t="inlineStr">
        <is>
          <t>285543 - A L R ELETRICA LTDA.</t>
        </is>
      </c>
      <c r="C608" s="90" t="n"/>
      <c r="D608" s="90" t="n">
        <v>351.3</v>
      </c>
      <c r="E608" s="90" t="n">
        <v>-351.3</v>
      </c>
      <c r="F608" s="16" t="inlineStr">
        <is>
          <t>8.7 - MATERIAL ELETRICO</t>
        </is>
      </c>
      <c r="G608" s="16" t="inlineStr">
        <is>
          <t>ADMINISTRATIVO</t>
        </is>
      </c>
      <c r="H608" s="63" t="n">
        <v>2025</v>
      </c>
      <c r="I608" s="64" t="n">
        <v>6</v>
      </c>
      <c r="J608" s="16" t="inlineStr">
        <is>
          <t>Jun</t>
        </is>
      </c>
      <c r="K608" s="16" t="n"/>
      <c r="M608" s="89" t="n">
        <v>-351.3</v>
      </c>
      <c r="N608" s="1" t="inlineStr">
        <is>
          <t>MATERIAL ELETRICO</t>
        </is>
      </c>
      <c r="O608" s="1" t="inlineStr">
        <is>
          <t>Despesas com Máquinas e Equipamentos</t>
        </is>
      </c>
      <c r="P608" s="1" t="inlineStr">
        <is>
          <t>(-)Gastos Fixos</t>
        </is>
      </c>
      <c r="Q608" s="1" t="n">
        <v>4</v>
      </c>
      <c r="R608" s="1" t="n">
        <v>2025</v>
      </c>
    </row>
    <row r="609">
      <c r="A609" s="61" t="n">
        <v>45825</v>
      </c>
      <c r="B609" s="16" t="inlineStr">
        <is>
          <t>285543 - A L R ELETRICA LTDA.</t>
        </is>
      </c>
      <c r="C609" s="90" t="n"/>
      <c r="D609" s="90" t="n">
        <v>351.31</v>
      </c>
      <c r="E609" s="90" t="n">
        <v>-351.31</v>
      </c>
      <c r="F609" s="16" t="inlineStr">
        <is>
          <t>8.7 - MATERIAL ELETRICO</t>
        </is>
      </c>
      <c r="G609" s="16" t="inlineStr">
        <is>
          <t>ADMINISTRATIVO</t>
        </is>
      </c>
      <c r="H609" s="63" t="n">
        <v>2025</v>
      </c>
      <c r="I609" s="64" t="n">
        <v>6</v>
      </c>
      <c r="J609" s="16" t="inlineStr">
        <is>
          <t>Jun</t>
        </is>
      </c>
      <c r="K609" s="16" t="n"/>
      <c r="M609" s="89" t="n">
        <v>-351.31</v>
      </c>
      <c r="N609" s="1" t="inlineStr">
        <is>
          <t>MATERIAL ELETRICO</t>
        </is>
      </c>
      <c r="O609" s="1" t="inlineStr">
        <is>
          <t>Despesas com Máquinas e Equipamentos</t>
        </is>
      </c>
      <c r="P609" s="1" t="inlineStr">
        <is>
          <t>(-)Gastos Fixos</t>
        </is>
      </c>
      <c r="Q609" s="1" t="n">
        <v>4</v>
      </c>
      <c r="R609" s="1" t="n">
        <v>2025</v>
      </c>
    </row>
    <row r="610">
      <c r="A610" s="61" t="n">
        <v>45825</v>
      </c>
      <c r="B610" s="16" t="inlineStr">
        <is>
          <t>SEGUROS SURA S/A</t>
        </is>
      </c>
      <c r="C610" s="90" t="n"/>
      <c r="D610" s="90" t="n">
        <v>290.4</v>
      </c>
      <c r="E610" s="90" t="n">
        <v>-290.4</v>
      </c>
      <c r="F610" s="16" t="inlineStr">
        <is>
          <t>12.12 - SEGUROS DE VIDA</t>
        </is>
      </c>
      <c r="G610" s="16" t="inlineStr">
        <is>
          <t>VLI PINTURA</t>
        </is>
      </c>
      <c r="H610" s="63" t="n">
        <v>2025</v>
      </c>
      <c r="I610" s="64" t="n">
        <v>6</v>
      </c>
      <c r="J610" s="16" t="inlineStr">
        <is>
          <t>Jun</t>
        </is>
      </c>
      <c r="K610" s="16" t="n"/>
      <c r="M610" s="89" t="n">
        <v>-290.4</v>
      </c>
      <c r="N610" s="1" t="inlineStr">
        <is>
          <t>SEGUROS DE VIDA</t>
        </is>
      </c>
      <c r="O610" s="1" t="inlineStr">
        <is>
          <t>Despesas com Pessoal</t>
        </is>
      </c>
      <c r="P610" s="1" t="inlineStr">
        <is>
          <t>(-)Gastos Fixos</t>
        </is>
      </c>
      <c r="Q610" s="1" t="n">
        <v>4</v>
      </c>
      <c r="R610" s="1" t="n">
        <v>2025</v>
      </c>
    </row>
    <row r="611">
      <c r="A611" s="61" t="n">
        <v>45825</v>
      </c>
      <c r="B611" s="16" t="inlineStr">
        <is>
          <t>SEGUROS SURA S/A</t>
        </is>
      </c>
      <c r="C611" s="90" t="n"/>
      <c r="D611" s="90" t="n">
        <v>449.02</v>
      </c>
      <c r="E611" s="90" t="n">
        <v>-449.02</v>
      </c>
      <c r="F611" s="16" t="inlineStr">
        <is>
          <t>12.12 - SEGUROS DE VIDA</t>
        </is>
      </c>
      <c r="G611" s="16" t="inlineStr">
        <is>
          <t>ADMINISTRATIVO</t>
        </is>
      </c>
      <c r="H611" s="63" t="n">
        <v>2025</v>
      </c>
      <c r="I611" s="64" t="n">
        <v>6</v>
      </c>
      <c r="J611" s="16" t="inlineStr">
        <is>
          <t>Jun</t>
        </is>
      </c>
      <c r="K611" s="16" t="n"/>
      <c r="M611" s="89" t="n">
        <v>-449.02</v>
      </c>
      <c r="N611" s="1" t="inlineStr">
        <is>
          <t>SEGUROS DE VIDA</t>
        </is>
      </c>
      <c r="O611" s="1" t="inlineStr">
        <is>
          <t>Despesas com Pessoal</t>
        </is>
      </c>
      <c r="P611" s="1" t="inlineStr">
        <is>
          <t>(-)Gastos Fixos</t>
        </is>
      </c>
      <c r="Q611" s="1" t="n">
        <v>4</v>
      </c>
      <c r="R611" s="1" t="n">
        <v>2025</v>
      </c>
    </row>
    <row r="612">
      <c r="A612" s="61" t="n">
        <v>45825</v>
      </c>
      <c r="B612" s="16" t="inlineStr">
        <is>
          <t>SEGUROS SURA S/A</t>
        </is>
      </c>
      <c r="C612" s="90" t="n"/>
      <c r="D612" s="90" t="n">
        <v>299.2</v>
      </c>
      <c r="E612" s="90" t="n">
        <v>-299.2</v>
      </c>
      <c r="F612" s="16" t="inlineStr">
        <is>
          <t>12.12 - SEGUROS DE VIDA</t>
        </is>
      </c>
      <c r="G612" s="16" t="inlineStr">
        <is>
          <t>MOSAIC UBERABA CONTRAT0 3 ANOS</t>
        </is>
      </c>
      <c r="H612" s="63" t="n">
        <v>2025</v>
      </c>
      <c r="I612" s="64" t="n">
        <v>6</v>
      </c>
      <c r="J612" s="16" t="inlineStr">
        <is>
          <t>Jun</t>
        </is>
      </c>
      <c r="K612" s="16" t="n"/>
      <c r="M612" s="89" t="n">
        <v>-299.2</v>
      </c>
      <c r="N612" s="1" t="inlineStr">
        <is>
          <t>SEGUROS DE VIDA</t>
        </is>
      </c>
      <c r="O612" s="1" t="inlineStr">
        <is>
          <t>Despesas com Pessoal</t>
        </is>
      </c>
      <c r="P612" s="1" t="inlineStr">
        <is>
          <t>(-)Gastos Fixos</t>
        </is>
      </c>
      <c r="Q612" s="1" t="n">
        <v>4</v>
      </c>
      <c r="R612" s="1" t="n">
        <v>2025</v>
      </c>
    </row>
    <row r="613">
      <c r="A613" s="61" t="n">
        <v>45825</v>
      </c>
      <c r="B613" s="16" t="inlineStr">
        <is>
          <t>SEGUROS SURA S/A</t>
        </is>
      </c>
      <c r="C613" s="90" t="n"/>
      <c r="D613" s="90" t="n">
        <v>167.2</v>
      </c>
      <c r="E613" s="90" t="n">
        <v>-167.2</v>
      </c>
      <c r="F613" s="16" t="inlineStr">
        <is>
          <t>12.12 - SEGUROS DE VIDA</t>
        </is>
      </c>
      <c r="G613" s="16" t="inlineStr">
        <is>
          <t>ANGLO AMERICAN</t>
        </is>
      </c>
      <c r="H613" s="63" t="n">
        <v>2025</v>
      </c>
      <c r="I613" s="64" t="n">
        <v>6</v>
      </c>
      <c r="J613" s="16" t="inlineStr">
        <is>
          <t>Jun</t>
        </is>
      </c>
      <c r="K613" s="16" t="n"/>
      <c r="M613" s="89" t="n">
        <v>-167.2</v>
      </c>
      <c r="N613" s="1" t="inlineStr">
        <is>
          <t>SEGUROS DE VIDA</t>
        </is>
      </c>
      <c r="O613" s="1" t="inlineStr">
        <is>
          <t>Despesas com Pessoal</t>
        </is>
      </c>
      <c r="P613" s="1" t="inlineStr">
        <is>
          <t>(-)Gastos Fixos</t>
        </is>
      </c>
      <c r="Q613" s="1" t="n">
        <v>4</v>
      </c>
      <c r="R613" s="1" t="n">
        <v>2025</v>
      </c>
    </row>
    <row r="614">
      <c r="A614" s="61" t="n">
        <v>45825</v>
      </c>
      <c r="B614" s="16" t="inlineStr">
        <is>
          <t>SEGUROS SURA S/A</t>
        </is>
      </c>
      <c r="C614" s="90" t="n"/>
      <c r="D614" s="90" t="n">
        <v>88</v>
      </c>
      <c r="E614" s="90" t="n">
        <v>-88</v>
      </c>
      <c r="F614" s="16" t="inlineStr">
        <is>
          <t>12.12 - SEGUROS DE VIDA</t>
        </is>
      </c>
      <c r="G614" s="16" t="inlineStr">
        <is>
          <t>EUROCHEM SERRA DO SALITRE</t>
        </is>
      </c>
      <c r="H614" s="63" t="n">
        <v>2025</v>
      </c>
      <c r="I614" s="64" t="n">
        <v>6</v>
      </c>
      <c r="J614" s="16" t="inlineStr">
        <is>
          <t>Jun</t>
        </is>
      </c>
      <c r="K614" s="16" t="n"/>
      <c r="M614" s="89" t="n">
        <v>-88</v>
      </c>
      <c r="N614" s="1" t="inlineStr">
        <is>
          <t>SEGUROS DE VIDA</t>
        </is>
      </c>
      <c r="O614" s="1" t="inlineStr">
        <is>
          <t>Despesas com Pessoal</t>
        </is>
      </c>
      <c r="P614" s="1" t="inlineStr">
        <is>
          <t>(-)Gastos Fixos</t>
        </is>
      </c>
      <c r="Q614" s="1" t="n">
        <v>4</v>
      </c>
      <c r="R614" s="1" t="n">
        <v>2025</v>
      </c>
    </row>
    <row r="615">
      <c r="A615" s="61" t="n">
        <v>45825</v>
      </c>
      <c r="B615" s="16" t="inlineStr">
        <is>
          <t>SEGUROS SURA S/A</t>
        </is>
      </c>
      <c r="C615" s="90" t="n"/>
      <c r="D615" s="90" t="n">
        <v>88</v>
      </c>
      <c r="E615" s="90" t="n">
        <v>-88</v>
      </c>
      <c r="F615" s="16" t="inlineStr">
        <is>
          <t>12.12 - SEGUROS DE VIDA</t>
        </is>
      </c>
      <c r="G615" s="16" t="inlineStr">
        <is>
          <t>SERENA 21 TORRES 2024</t>
        </is>
      </c>
      <c r="H615" s="63" t="n">
        <v>2025</v>
      </c>
      <c r="I615" s="64" t="n">
        <v>6</v>
      </c>
      <c r="J615" s="16" t="inlineStr">
        <is>
          <t>Jun</t>
        </is>
      </c>
      <c r="K615" s="16" t="n"/>
      <c r="M615" s="89" t="n">
        <v>-88</v>
      </c>
      <c r="N615" s="1" t="inlineStr">
        <is>
          <t>SEGUROS DE VIDA</t>
        </is>
      </c>
      <c r="O615" s="1" t="inlineStr">
        <is>
          <t>Despesas com Pessoal</t>
        </is>
      </c>
      <c r="P615" s="1" t="inlineStr">
        <is>
          <t>(-)Gastos Fixos</t>
        </is>
      </c>
      <c r="Q615" s="1" t="n">
        <v>4</v>
      </c>
      <c r="R615" s="1" t="n">
        <v>2025</v>
      </c>
    </row>
    <row r="616">
      <c r="A616" s="61" t="n">
        <v>45825</v>
      </c>
      <c r="B616" s="16" t="inlineStr">
        <is>
          <t>SEGUROS SURA S/A</t>
        </is>
      </c>
      <c r="C616" s="90" t="n"/>
      <c r="D616" s="90" t="n">
        <v>202.4</v>
      </c>
      <c r="E616" s="90" t="n">
        <v>-202.4</v>
      </c>
      <c r="F616" s="16" t="inlineStr">
        <is>
          <t>12.12 - SEGUROS DE VIDA</t>
        </is>
      </c>
      <c r="G616" s="16" t="inlineStr">
        <is>
          <t>FOSFATO CMOC CONTRAT</t>
        </is>
      </c>
      <c r="H616" s="63" t="n">
        <v>2025</v>
      </c>
      <c r="I616" s="64" t="n">
        <v>6</v>
      </c>
      <c r="J616" s="16" t="inlineStr">
        <is>
          <t>Jun</t>
        </is>
      </c>
      <c r="K616" s="16" t="n"/>
      <c r="M616" s="89" t="n">
        <v>-202.4</v>
      </c>
      <c r="N616" s="1" t="inlineStr">
        <is>
          <t>SEGUROS DE VIDA</t>
        </is>
      </c>
      <c r="O616" s="1" t="inlineStr">
        <is>
          <t>Despesas com Pessoal</t>
        </is>
      </c>
      <c r="P616" s="1" t="inlineStr">
        <is>
          <t>(-)Gastos Fixos</t>
        </is>
      </c>
      <c r="Q616" s="1" t="n">
        <v>4</v>
      </c>
      <c r="R616" s="1" t="n">
        <v>2025</v>
      </c>
    </row>
    <row r="617">
      <c r="A617" s="61" t="n">
        <v>45825</v>
      </c>
      <c r="B617" s="16" t="inlineStr">
        <is>
          <t>SEGUROS SURA S/A</t>
        </is>
      </c>
      <c r="C617" s="90" t="n"/>
      <c r="D617" s="90" t="n">
        <v>96.8</v>
      </c>
      <c r="E617" s="90" t="n">
        <v>-96.8</v>
      </c>
      <c r="F617" s="16" t="inlineStr">
        <is>
          <t>12.12 - SEGUROS DE VIDA</t>
        </is>
      </c>
      <c r="G617" s="16" t="inlineStr">
        <is>
          <t>NIOBIO CMOC CONTRATO</t>
        </is>
      </c>
      <c r="H617" s="63" t="n">
        <v>2025</v>
      </c>
      <c r="I617" s="64" t="n">
        <v>6</v>
      </c>
      <c r="J617" s="16" t="inlineStr">
        <is>
          <t>Jun</t>
        </is>
      </c>
      <c r="K617" s="16" t="n"/>
      <c r="M617" s="89" t="n">
        <v>-96.8</v>
      </c>
      <c r="N617" s="1" t="inlineStr">
        <is>
          <t>SEGUROS DE VIDA</t>
        </is>
      </c>
      <c r="O617" s="1" t="inlineStr">
        <is>
          <t>Despesas com Pessoal</t>
        </is>
      </c>
      <c r="P617" s="1" t="inlineStr">
        <is>
          <t>(-)Gastos Fixos</t>
        </is>
      </c>
      <c r="Q617" s="1" t="n">
        <v>4</v>
      </c>
      <c r="R617" s="1" t="n">
        <v>2025</v>
      </c>
    </row>
    <row r="618">
      <c r="A618" s="61" t="n">
        <v>45825</v>
      </c>
      <c r="B618" s="16" t="inlineStr">
        <is>
          <t>10737 - OPÇÃO UNIFORMES LTDA</t>
        </is>
      </c>
      <c r="C618" s="90" t="n"/>
      <c r="D618" s="90" t="n">
        <v>420</v>
      </c>
      <c r="E618" s="90" t="n">
        <v>-420</v>
      </c>
      <c r="F618" s="16" t="inlineStr">
        <is>
          <t>13.2 - UNIFORMES</t>
        </is>
      </c>
      <c r="G618" s="16" t="inlineStr">
        <is>
          <t>ADMINISTRATIVO</t>
        </is>
      </c>
      <c r="H618" s="63" t="n">
        <v>2025</v>
      </c>
      <c r="I618" s="64" t="n">
        <v>6</v>
      </c>
      <c r="J618" s="16" t="inlineStr">
        <is>
          <t>Jun</t>
        </is>
      </c>
      <c r="K618" s="16" t="n"/>
      <c r="M618" s="89" t="n">
        <v>-420</v>
      </c>
      <c r="N618" s="1" t="inlineStr">
        <is>
          <t>UNIFORMES</t>
        </is>
      </c>
      <c r="O618" s="1" t="inlineStr">
        <is>
          <t>Despesas com Pessoal</t>
        </is>
      </c>
      <c r="P618" s="1" t="inlineStr">
        <is>
          <t>(-)Gastos Fixos</t>
        </is>
      </c>
      <c r="Q618" s="1" t="n">
        <v>4</v>
      </c>
      <c r="R618" s="1" t="n">
        <v>2025</v>
      </c>
    </row>
    <row r="619">
      <c r="A619" s="61" t="n">
        <v>45825</v>
      </c>
      <c r="B619" s="16" t="inlineStr">
        <is>
          <t>DESPESAS VEICULOS</t>
        </is>
      </c>
      <c r="C619" s="90" t="n"/>
      <c r="D619" s="90" t="n">
        <v>60</v>
      </c>
      <c r="E619" s="90" t="n">
        <v>-60</v>
      </c>
      <c r="F619" s="16" t="inlineStr">
        <is>
          <t>6.3 - MANUTENÇÃO/PEÇAS  VEICULOS</t>
        </is>
      </c>
      <c r="G619" s="16" t="inlineStr">
        <is>
          <t>ADMINISTRATIVO</t>
        </is>
      </c>
      <c r="H619" s="63" t="n">
        <v>2025</v>
      </c>
      <c r="I619" s="64" t="n">
        <v>6</v>
      </c>
      <c r="J619" s="16" t="inlineStr">
        <is>
          <t>Jun</t>
        </is>
      </c>
      <c r="K619" s="16" t="n"/>
      <c r="M619" s="89" t="n">
        <v>-60</v>
      </c>
      <c r="N619" s="1" t="inlineStr">
        <is>
          <t>MANUTENÇÃO/PEÇAS  VEICULOS</t>
        </is>
      </c>
      <c r="O619" s="1" t="inlineStr">
        <is>
          <t>Despesas com Veículos e Equipamentos</t>
        </is>
      </c>
      <c r="P619" s="1" t="inlineStr">
        <is>
          <t>(-)Gastos Fixos</t>
        </is>
      </c>
      <c r="Q619" s="1" t="n">
        <v>4</v>
      </c>
      <c r="R619" s="1" t="n">
        <v>2025</v>
      </c>
    </row>
    <row r="620">
      <c r="A620" s="61" t="n">
        <v>45825</v>
      </c>
      <c r="B620" s="16" t="inlineStr">
        <is>
          <t>MOTO BOY CLAUDEMIR</t>
        </is>
      </c>
      <c r="C620" s="90" t="n"/>
      <c r="D620" s="90" t="n">
        <v>70</v>
      </c>
      <c r="E620" s="90" t="n">
        <v>-70</v>
      </c>
      <c r="F620" s="16" t="inlineStr">
        <is>
          <t>3.8 - SERVIÇO MOTOBOY / UBER</t>
        </is>
      </c>
      <c r="G620" s="16" t="inlineStr">
        <is>
          <t>ADMINISTRATIVO</t>
        </is>
      </c>
      <c r="H620" s="63" t="n">
        <v>2025</v>
      </c>
      <c r="I620" s="64" t="n">
        <v>6</v>
      </c>
      <c r="J620" s="16" t="inlineStr">
        <is>
          <t>Jun</t>
        </is>
      </c>
      <c r="K620" s="16" t="n"/>
      <c r="M620" s="89" t="n">
        <v>-70</v>
      </c>
      <c r="N620" s="1" t="inlineStr">
        <is>
          <t>SERVIÇO MOTOBOY / UBER</t>
        </is>
      </c>
      <c r="O620" s="1" t="inlineStr">
        <is>
          <t>Despesas Administrativas</t>
        </is>
      </c>
      <c r="P620" s="1" t="inlineStr">
        <is>
          <t>(-)Gastos Fixos</t>
        </is>
      </c>
      <c r="Q620" s="1" t="n">
        <v>4</v>
      </c>
      <c r="R620" s="1" t="n">
        <v>2025</v>
      </c>
    </row>
    <row r="621">
      <c r="A621" s="61" t="n">
        <v>45825</v>
      </c>
      <c r="B621" s="16" t="inlineStr">
        <is>
          <t>REFEIÇÃO OBRAS</t>
        </is>
      </c>
      <c r="C621" s="90" t="n"/>
      <c r="D621" s="90" t="n">
        <v>456</v>
      </c>
      <c r="E621" s="90" t="n">
        <v>-456</v>
      </c>
      <c r="F621" s="16" t="inlineStr">
        <is>
          <t>12.5 - REFEIÇÕES FUNCIONARIOS</t>
        </is>
      </c>
      <c r="G621" s="16" t="inlineStr">
        <is>
          <t>SERENA 21 TORRES 2024</t>
        </is>
      </c>
      <c r="H621" s="63" t="n">
        <v>2025</v>
      </c>
      <c r="I621" s="64" t="n">
        <v>6</v>
      </c>
      <c r="J621" s="16" t="inlineStr">
        <is>
          <t>Jun</t>
        </is>
      </c>
      <c r="K621" s="16" t="n"/>
      <c r="M621" s="89" t="n">
        <v>-456</v>
      </c>
      <c r="N621" s="1" t="inlineStr">
        <is>
          <t>12.5 - REFEIÇÕES FUNCIONARIOS</t>
        </is>
      </c>
      <c r="O621" s="1" t="n"/>
      <c r="P621" s="1" t="n"/>
      <c r="Q621" s="1" t="n"/>
      <c r="R621" s="1" t="n">
        <v>2025</v>
      </c>
    </row>
    <row r="622">
      <c r="A622" s="61" t="n">
        <v>45825</v>
      </c>
      <c r="B622" s="16" t="inlineStr">
        <is>
          <t>RODOVIARIA MATEUS CABEÇA BRANCA</t>
        </is>
      </c>
      <c r="C622" s="90" t="n"/>
      <c r="D622" s="90" t="n">
        <v>863.87</v>
      </c>
      <c r="E622" s="90" t="n">
        <v>-863.87</v>
      </c>
      <c r="F622" s="16" t="inlineStr">
        <is>
          <t>12.9 - PASSAGENS FUNCIONARIOS</t>
        </is>
      </c>
      <c r="G622" s="16" t="inlineStr">
        <is>
          <t>MOSAIC UBERABA CONTRAT0 3 ANOS</t>
        </is>
      </c>
      <c r="H622" s="63" t="n">
        <v>2025</v>
      </c>
      <c r="I622" s="64" t="n">
        <v>6</v>
      </c>
      <c r="J622" s="16" t="inlineStr">
        <is>
          <t>Jun</t>
        </is>
      </c>
      <c r="K622" s="16" t="n"/>
      <c r="M622" s="89" t="n">
        <v>-863.87</v>
      </c>
      <c r="N622" s="1" t="inlineStr">
        <is>
          <t>12.9 - PASSAGENS FUNCIONARIOS</t>
        </is>
      </c>
      <c r="O622" s="1" t="n"/>
      <c r="P622" s="1" t="n"/>
      <c r="Q622" s="1" t="n"/>
      <c r="R622" s="1" t="n">
        <v>2025</v>
      </c>
    </row>
    <row r="623">
      <c r="A623" s="61" t="n">
        <v>45825</v>
      </c>
      <c r="B623" s="16" t="inlineStr">
        <is>
          <t>RODOVIARIA MATEUS CABEÇA BRANCA</t>
        </is>
      </c>
      <c r="C623" s="90" t="n"/>
      <c r="D623" s="90" t="n">
        <v>625.48</v>
      </c>
      <c r="E623" s="90" t="n">
        <v>-625.48</v>
      </c>
      <c r="F623" s="16" t="inlineStr">
        <is>
          <t>12.9 - PASSAGENS FUNCIONARIOS</t>
        </is>
      </c>
      <c r="G623" s="16" t="inlineStr">
        <is>
          <t>EUROCHEM SERRA DO SALITRE</t>
        </is>
      </c>
      <c r="H623" s="63" t="n">
        <v>2025</v>
      </c>
      <c r="I623" s="64" t="n">
        <v>6</v>
      </c>
      <c r="J623" s="16" t="inlineStr">
        <is>
          <t>Jun</t>
        </is>
      </c>
      <c r="K623" s="16" t="n"/>
      <c r="M623" s="89" t="n">
        <v>-625.48</v>
      </c>
      <c r="N623" s="1" t="inlineStr">
        <is>
          <t>12.9 - PASSAGENS FUNCIONARIOS</t>
        </is>
      </c>
      <c r="O623" s="1" t="n"/>
      <c r="P623" s="1" t="n"/>
      <c r="Q623" s="1" t="n"/>
      <c r="R623" s="1" t="n">
        <v>2025</v>
      </c>
    </row>
    <row r="624">
      <c r="A624" s="61" t="n">
        <v>45825</v>
      </c>
      <c r="B624" s="16" t="inlineStr">
        <is>
          <t>RODOVIARIA MATEUS CABEÇA BRANCA</t>
        </is>
      </c>
      <c r="C624" s="90" t="n"/>
      <c r="D624" s="90" t="n">
        <v>542.5</v>
      </c>
      <c r="E624" s="90" t="n">
        <v>-542.5</v>
      </c>
      <c r="F624" s="16" t="inlineStr">
        <is>
          <t>12.9 - PASSAGENS FUNCIONARIOS</t>
        </is>
      </c>
      <c r="G624" s="16" t="inlineStr">
        <is>
          <t>FOSFATO CMOC CONTRAT</t>
        </is>
      </c>
      <c r="H624" s="63" t="n">
        <v>2025</v>
      </c>
      <c r="I624" s="64" t="n">
        <v>6</v>
      </c>
      <c r="J624" s="16" t="inlineStr">
        <is>
          <t>Jun</t>
        </is>
      </c>
      <c r="K624" s="16" t="n"/>
      <c r="M624" s="89" t="n">
        <v>-542.5</v>
      </c>
      <c r="N624" s="1" t="inlineStr">
        <is>
          <t>12.9 - PASSAGENS FUNCIONARIOS</t>
        </is>
      </c>
      <c r="O624" s="1" t="n"/>
      <c r="P624" s="1" t="n"/>
      <c r="Q624" s="1" t="n"/>
      <c r="R624" s="1" t="n">
        <v>2025</v>
      </c>
    </row>
    <row r="625">
      <c r="A625" s="61" t="n">
        <v>45825</v>
      </c>
      <c r="B625" s="16" t="inlineStr">
        <is>
          <t>DESPESAS DE VIAGEM</t>
        </is>
      </c>
      <c r="C625" s="90" t="n"/>
      <c r="D625" s="90" t="n">
        <v>597.995227</v>
      </c>
      <c r="E625" s="90" t="n">
        <v>-597.995227</v>
      </c>
      <c r="F625" s="16" t="inlineStr">
        <is>
          <t>12.5 - REFEIÇÕES FUNCIONARIOS</t>
        </is>
      </c>
      <c r="G625" s="16" t="inlineStr">
        <is>
          <t>VLI PINTURA</t>
        </is>
      </c>
      <c r="H625" s="63" t="n">
        <v>2025</v>
      </c>
      <c r="I625" s="64" t="n">
        <v>6</v>
      </c>
      <c r="J625" s="16" t="inlineStr">
        <is>
          <t>Jun</t>
        </is>
      </c>
      <c r="K625" s="16" t="n"/>
      <c r="M625" s="89" t="n">
        <v>-597.995227</v>
      </c>
      <c r="N625" s="1" t="inlineStr">
        <is>
          <t>12.5 - REFEIÇÕES FUNCIONARIOS</t>
        </is>
      </c>
      <c r="O625" s="1" t="n"/>
      <c r="P625" s="1" t="n"/>
      <c r="Q625" s="1" t="n"/>
      <c r="R625" s="1" t="n">
        <v>2025</v>
      </c>
    </row>
    <row r="626">
      <c r="A626" s="61" t="n">
        <v>45825</v>
      </c>
      <c r="B626" s="16" t="inlineStr">
        <is>
          <t>DESPESAS DE VIAGEM</t>
        </is>
      </c>
      <c r="C626" s="90" t="n"/>
      <c r="D626" s="90" t="n">
        <v>2012.004773</v>
      </c>
      <c r="E626" s="90" t="n">
        <v>-2012.004773</v>
      </c>
      <c r="F626" s="16" t="inlineStr">
        <is>
          <t>12.9 - PASSAGENS FUNCIONARIOS</t>
        </is>
      </c>
      <c r="G626" s="16" t="inlineStr">
        <is>
          <t>VLI PINTURA</t>
        </is>
      </c>
      <c r="H626" s="63" t="n">
        <v>2025</v>
      </c>
      <c r="I626" s="64" t="n">
        <v>6</v>
      </c>
      <c r="J626" s="16" t="inlineStr">
        <is>
          <t>Jun</t>
        </is>
      </c>
      <c r="K626" s="16" t="n"/>
      <c r="M626" s="89" t="n">
        <v>-2012.004773</v>
      </c>
      <c r="N626" s="1" t="inlineStr">
        <is>
          <t>12.9 - PASSAGENS FUNCIONARIOS</t>
        </is>
      </c>
      <c r="O626" s="1" t="n"/>
      <c r="P626" s="1" t="n"/>
      <c r="Q626" s="1" t="n"/>
      <c r="R626" s="1" t="n">
        <v>2025</v>
      </c>
    </row>
    <row r="627">
      <c r="A627" s="61" t="n">
        <v>45825</v>
      </c>
      <c r="B627" s="16" t="inlineStr">
        <is>
          <t>DESPESAS DE VIAGEM</t>
        </is>
      </c>
      <c r="C627" s="90" t="n"/>
      <c r="D627" s="90" t="n">
        <v>325.346062</v>
      </c>
      <c r="E627" s="90" t="n">
        <v>-325.346062</v>
      </c>
      <c r="F627" s="16" t="inlineStr">
        <is>
          <t>12.5 - REFEIÇÕES FUNCIONARIOS</t>
        </is>
      </c>
      <c r="G627" s="16" t="inlineStr">
        <is>
          <t>MOSAIC UBERABA CONTRAT0 3 ANOS</t>
        </is>
      </c>
      <c r="H627" s="63" t="n">
        <v>2025</v>
      </c>
      <c r="I627" s="64" t="n">
        <v>6</v>
      </c>
      <c r="J627" s="16" t="inlineStr">
        <is>
          <t>Jun</t>
        </is>
      </c>
      <c r="K627" s="16" t="n"/>
      <c r="M627" s="89" t="n">
        <v>-325.346062</v>
      </c>
      <c r="N627" s="1" t="inlineStr">
        <is>
          <t>12.5 - REFEIÇÕES FUNCIONARIOS</t>
        </is>
      </c>
      <c r="O627" s="1" t="n"/>
      <c r="P627" s="1" t="n"/>
      <c r="Q627" s="1" t="n"/>
      <c r="R627" s="1" t="n">
        <v>2025</v>
      </c>
    </row>
    <row r="628">
      <c r="A628" s="61" t="n">
        <v>45825</v>
      </c>
      <c r="B628" s="16" t="inlineStr">
        <is>
          <t>DESPESAS DE VIAGEM</t>
        </is>
      </c>
      <c r="C628" s="90" t="n"/>
      <c r="D628" s="90" t="n">
        <v>1094.653938</v>
      </c>
      <c r="E628" s="90" t="n">
        <v>-1094.653938</v>
      </c>
      <c r="F628" s="16" t="inlineStr">
        <is>
          <t>12.9 - PASSAGENS FUNCIONARIOS</t>
        </is>
      </c>
      <c r="G628" s="16" t="inlineStr">
        <is>
          <t>MOSAIC UBERABA CONTRAT0 3 ANOS</t>
        </is>
      </c>
      <c r="H628" s="63" t="n">
        <v>2025</v>
      </c>
      <c r="I628" s="64" t="n">
        <v>6</v>
      </c>
      <c r="J628" s="16" t="inlineStr">
        <is>
          <t>Jun</t>
        </is>
      </c>
      <c r="K628" s="16" t="n"/>
      <c r="M628" s="89" t="n">
        <v>-1094.653938</v>
      </c>
      <c r="N628" s="1" t="inlineStr">
        <is>
          <t>12.9 - PASSAGENS FUNCIONARIOS</t>
        </is>
      </c>
      <c r="O628" s="1" t="n"/>
      <c r="P628" s="1" t="n"/>
      <c r="Q628" s="1" t="n"/>
      <c r="R628" s="1" t="n">
        <v>2025</v>
      </c>
    </row>
    <row r="629">
      <c r="A629" s="61" t="n">
        <v>45825</v>
      </c>
      <c r="B629" s="16" t="inlineStr">
        <is>
          <t>DESPESAS DE VIAGEM</t>
        </is>
      </c>
      <c r="C629" s="90" t="n"/>
      <c r="D629" s="90" t="n">
        <v>36.658711</v>
      </c>
      <c r="E629" s="90" t="n">
        <v>-36.658711</v>
      </c>
      <c r="F629" s="16" t="inlineStr">
        <is>
          <t>12.5 - REFEIÇÕES FUNCIONARIOS</t>
        </is>
      </c>
      <c r="G629" s="16" t="inlineStr">
        <is>
          <t>ANGLO AMERICAN</t>
        </is>
      </c>
      <c r="H629" s="63" t="n">
        <v>2025</v>
      </c>
      <c r="I629" s="64" t="n">
        <v>6</v>
      </c>
      <c r="J629" s="16" t="inlineStr">
        <is>
          <t>Jun</t>
        </is>
      </c>
      <c r="K629" s="16" t="n"/>
      <c r="M629" s="89" t="n">
        <v>-36.658711</v>
      </c>
      <c r="N629" s="1" t="inlineStr">
        <is>
          <t>12.5 - REFEIÇÕES FUNCIONARIOS</t>
        </is>
      </c>
      <c r="O629" s="1" t="n"/>
      <c r="P629" s="1" t="n"/>
      <c r="Q629" s="1" t="n"/>
      <c r="R629" s="1" t="n">
        <v>2025</v>
      </c>
    </row>
    <row r="630">
      <c r="A630" s="61" t="n">
        <v>45825</v>
      </c>
      <c r="B630" s="16" t="inlineStr">
        <is>
          <t>DESPESAS DE VIAGEM</t>
        </is>
      </c>
      <c r="C630" s="90" t="n"/>
      <c r="D630" s="90" t="n">
        <v>123.341289</v>
      </c>
      <c r="E630" s="90" t="n">
        <v>-123.341289</v>
      </c>
      <c r="F630" s="16" t="inlineStr">
        <is>
          <t>12.9 - PASSAGENS FUNCIONARIOS</t>
        </is>
      </c>
      <c r="G630" s="16" t="inlineStr">
        <is>
          <t>ANGLO AMERICAN</t>
        </is>
      </c>
      <c r="H630" s="63" t="n">
        <v>2025</v>
      </c>
      <c r="I630" s="64" t="n">
        <v>6</v>
      </c>
      <c r="J630" s="16" t="inlineStr">
        <is>
          <t>Jun</t>
        </is>
      </c>
      <c r="K630" s="16" t="n"/>
      <c r="M630" s="89" t="n">
        <v>-123.341289</v>
      </c>
      <c r="N630" s="1" t="inlineStr">
        <is>
          <t>12.9 - PASSAGENS FUNCIONARIOS</t>
        </is>
      </c>
      <c r="O630" s="1" t="n"/>
      <c r="P630" s="1" t="n"/>
      <c r="Q630" s="1" t="n"/>
      <c r="R630" s="1" t="n">
        <v>2025</v>
      </c>
    </row>
    <row r="631">
      <c r="A631" s="61" t="n">
        <v>45825</v>
      </c>
      <c r="B631" s="16" t="inlineStr">
        <is>
          <t>19109 - POSTO A+ COMERCIO DE COMBUSTIVEL LTDA</t>
        </is>
      </c>
      <c r="C631" s="90" t="n"/>
      <c r="D631" s="90" t="n">
        <v>1051.17</v>
      </c>
      <c r="E631" s="90" t="n">
        <v>-1051.17</v>
      </c>
      <c r="F631" s="16" t="inlineStr">
        <is>
          <t>6.4 - COMBUSTIVEL VEICULOS</t>
        </is>
      </c>
      <c r="G631" s="16" t="inlineStr">
        <is>
          <t>VLI PINTURA</t>
        </is>
      </c>
      <c r="H631" s="63" t="n">
        <v>2025</v>
      </c>
      <c r="I631" s="64" t="n">
        <v>6</v>
      </c>
      <c r="J631" s="16" t="inlineStr">
        <is>
          <t>Jun</t>
        </is>
      </c>
      <c r="K631" s="16" t="n"/>
      <c r="M631" s="89" t="n">
        <v>-1051.17</v>
      </c>
      <c r="N631" s="1" t="inlineStr">
        <is>
          <t>COMBUSTIVEL VEICULOS</t>
        </is>
      </c>
      <c r="O631" s="1" t="inlineStr">
        <is>
          <t>Despesas com Veículos e Equipamentos</t>
        </is>
      </c>
      <c r="P631" s="1" t="inlineStr">
        <is>
          <t>(-)Gastos Fixos</t>
        </is>
      </c>
      <c r="Q631" s="1" t="n">
        <v>4</v>
      </c>
      <c r="R631" s="1" t="n">
        <v>2025</v>
      </c>
    </row>
    <row r="632">
      <c r="A632" s="61" t="n">
        <v>45825</v>
      </c>
      <c r="B632" s="16" t="inlineStr">
        <is>
          <t>19109 - POSTO A+ COMERCIO DE COMBUSTIVEL LTDA</t>
        </is>
      </c>
      <c r="C632" s="90" t="n"/>
      <c r="D632" s="90" t="n">
        <v>1500</v>
      </c>
      <c r="E632" s="90" t="n">
        <v>-1500</v>
      </c>
      <c r="F632" s="16" t="inlineStr">
        <is>
          <t>8.13 - COMBUSTIVEL EQUIPAMENTOS</t>
        </is>
      </c>
      <c r="G632" s="16" t="inlineStr">
        <is>
          <t>VLI PINTURA</t>
        </is>
      </c>
      <c r="H632" s="63" t="n">
        <v>2025</v>
      </c>
      <c r="I632" s="64" t="n">
        <v>6</v>
      </c>
      <c r="J632" s="16" t="inlineStr">
        <is>
          <t>Jun</t>
        </is>
      </c>
      <c r="K632" s="16" t="n"/>
      <c r="M632" s="89" t="n">
        <v>-1500</v>
      </c>
      <c r="N632" s="1" t="inlineStr">
        <is>
          <t>COMBUSTIVEL EQUIPAMENTOS</t>
        </is>
      </c>
      <c r="O632" s="1" t="inlineStr">
        <is>
          <t>Despesas com Máquinas e Equipamentos</t>
        </is>
      </c>
      <c r="P632" s="1" t="inlineStr">
        <is>
          <t>(-)Gastos Fixos</t>
        </is>
      </c>
      <c r="Q632" s="1" t="n">
        <v>4</v>
      </c>
      <c r="R632" s="1" t="n">
        <v>2025</v>
      </c>
    </row>
    <row r="633">
      <c r="A633" s="61" t="n">
        <v>45825</v>
      </c>
      <c r="B633" s="16" t="inlineStr">
        <is>
          <t>250204 - BRASLIMP TRANSPORTES ESPECIALIZADOS LTDA</t>
        </is>
      </c>
      <c r="C633" s="90" t="n"/>
      <c r="D633" s="90" t="n">
        <v>2712.77</v>
      </c>
      <c r="E633" s="90" t="n">
        <v>-2712.77</v>
      </c>
      <c r="F633" s="16" t="inlineStr">
        <is>
          <t>7.9 - LOCAÇAO CAÇAMBA P/ RESIDUOS</t>
        </is>
      </c>
      <c r="G633" s="16" t="inlineStr">
        <is>
          <t>VLI PINTURA</t>
        </is>
      </c>
      <c r="H633" s="63" t="n">
        <v>2025</v>
      </c>
      <c r="I633" s="64" t="n">
        <v>6</v>
      </c>
      <c r="J633" s="16" t="inlineStr">
        <is>
          <t>Jun</t>
        </is>
      </c>
      <c r="K633" s="16" t="n"/>
      <c r="M633" s="89" t="n">
        <v>-2712.77</v>
      </c>
      <c r="N633" s="1" t="inlineStr">
        <is>
          <t>LOCAÇAO CAÇAMBA P/ RESIDUOS</t>
        </is>
      </c>
      <c r="O633" s="1" t="inlineStr">
        <is>
          <t>Despesas com Locações</t>
        </is>
      </c>
      <c r="P633" s="1" t="inlineStr">
        <is>
          <t>(-)Gastos Fixos</t>
        </is>
      </c>
      <c r="Q633" s="1" t="n">
        <v>4</v>
      </c>
      <c r="R633" s="1" t="n">
        <v>2025</v>
      </c>
    </row>
    <row r="634">
      <c r="A634" s="61" t="n">
        <v>45825</v>
      </c>
      <c r="B634" s="16" t="inlineStr">
        <is>
          <t>13° PREVISAO</t>
        </is>
      </c>
      <c r="C634" s="90" t="n"/>
      <c r="D634" s="90" t="n">
        <v>100</v>
      </c>
      <c r="E634" s="90" t="n">
        <v>-100</v>
      </c>
      <c r="F634" s="16" t="inlineStr">
        <is>
          <t>12.3 - PREVISÃO 13°</t>
        </is>
      </c>
      <c r="G634" s="16" t="inlineStr">
        <is>
          <t>VLI PINTURA</t>
        </is>
      </c>
      <c r="H634" s="63" t="n">
        <v>2025</v>
      </c>
      <c r="I634" s="64" t="n">
        <v>6</v>
      </c>
      <c r="J634" s="16" t="inlineStr">
        <is>
          <t>Jun</t>
        </is>
      </c>
      <c r="K634" s="16" t="n"/>
      <c r="M634" s="89" t="n">
        <v>-100</v>
      </c>
      <c r="N634" s="1" t="inlineStr">
        <is>
          <t>13° PREVISAO</t>
        </is>
      </c>
      <c r="O634" s="1" t="inlineStr">
        <is>
          <t>Despesas com Pessoal</t>
        </is>
      </c>
      <c r="P634" s="1" t="inlineStr">
        <is>
          <t>(-)Gastos Fixos</t>
        </is>
      </c>
      <c r="Q634" s="1" t="n">
        <v>4</v>
      </c>
      <c r="R634" s="1" t="n">
        <v>2025</v>
      </c>
    </row>
    <row r="635">
      <c r="A635" s="61" t="n">
        <v>45825</v>
      </c>
      <c r="B635" s="16" t="inlineStr">
        <is>
          <t>13° PREVISAO</t>
        </is>
      </c>
      <c r="C635" s="90" t="n"/>
      <c r="D635" s="90" t="n">
        <v>2937.9725</v>
      </c>
      <c r="E635" s="90" t="n">
        <v>-2937.9725</v>
      </c>
      <c r="F635" s="16" t="inlineStr">
        <is>
          <t>12.3 - PREVISÃO 13°</t>
        </is>
      </c>
      <c r="G635" s="16" t="inlineStr">
        <is>
          <t>MOSAIC UBERABA CONTRAT0 3 ANOS</t>
        </is>
      </c>
      <c r="H635" s="63" t="n">
        <v>2025</v>
      </c>
      <c r="I635" s="64" t="n">
        <v>6</v>
      </c>
      <c r="J635" s="16" t="inlineStr">
        <is>
          <t>Jun</t>
        </is>
      </c>
      <c r="K635" s="16" t="n"/>
      <c r="M635" s="89" t="n">
        <v>-2937.9725</v>
      </c>
      <c r="N635" s="1" t="inlineStr">
        <is>
          <t>13° PREVISAO</t>
        </is>
      </c>
      <c r="O635" s="1" t="inlineStr">
        <is>
          <t>Despesas com Pessoal</t>
        </is>
      </c>
      <c r="P635" s="1" t="inlineStr">
        <is>
          <t>(-)Gastos Fixos</t>
        </is>
      </c>
      <c r="Q635" s="1" t="n">
        <v>4</v>
      </c>
      <c r="R635" s="1" t="n">
        <v>2025</v>
      </c>
    </row>
    <row r="636">
      <c r="A636" s="61" t="n">
        <v>45825</v>
      </c>
      <c r="B636" s="16" t="inlineStr">
        <is>
          <t>13° PREVISAO</t>
        </is>
      </c>
      <c r="C636" s="90" t="n"/>
      <c r="D636" s="90" t="n">
        <v>2843.750833333334</v>
      </c>
      <c r="E636" s="90" t="n">
        <v>-2843.750833333334</v>
      </c>
      <c r="F636" s="16" t="inlineStr">
        <is>
          <t>12.3 - PREVISÃO 13°</t>
        </is>
      </c>
      <c r="G636" s="16" t="inlineStr">
        <is>
          <t>EUROCHEM SERRA DO SALITRE</t>
        </is>
      </c>
      <c r="H636" s="63" t="n">
        <v>2025</v>
      </c>
      <c r="I636" s="64" t="n">
        <v>6</v>
      </c>
      <c r="J636" s="16" t="inlineStr">
        <is>
          <t>Jun</t>
        </is>
      </c>
      <c r="K636" s="16" t="n"/>
      <c r="M636" s="89" t="n">
        <v>-2843.750833333334</v>
      </c>
      <c r="N636" s="1" t="inlineStr">
        <is>
          <t>13° PREVISAO</t>
        </is>
      </c>
      <c r="O636" s="1" t="inlineStr">
        <is>
          <t>Despesas com Pessoal</t>
        </is>
      </c>
      <c r="P636" s="1" t="inlineStr">
        <is>
          <t>(-)Gastos Fixos</t>
        </is>
      </c>
      <c r="Q636" s="1" t="n">
        <v>4</v>
      </c>
      <c r="R636" s="1" t="n">
        <v>2025</v>
      </c>
    </row>
    <row r="637">
      <c r="A637" s="61" t="n">
        <v>45825</v>
      </c>
      <c r="B637" s="16" t="inlineStr">
        <is>
          <t>FÉRIAS PREVISAO</t>
        </is>
      </c>
      <c r="C637" s="90" t="n"/>
      <c r="D637" s="90" t="n">
        <v>133</v>
      </c>
      <c r="E637" s="90" t="n">
        <v>-133</v>
      </c>
      <c r="F637" s="16" t="inlineStr">
        <is>
          <t>12.4 - PREVISÃO FÉRIAS</t>
        </is>
      </c>
      <c r="G637" s="16" t="inlineStr">
        <is>
          <t>VLI PINTURA</t>
        </is>
      </c>
      <c r="H637" s="63" t="n">
        <v>2025</v>
      </c>
      <c r="I637" s="64" t="n">
        <v>6</v>
      </c>
      <c r="J637" s="16" t="inlineStr">
        <is>
          <t>Jun</t>
        </is>
      </c>
      <c r="K637" s="16" t="n"/>
      <c r="M637" s="89" t="n">
        <v>-133</v>
      </c>
      <c r="N637" s="1" t="inlineStr">
        <is>
          <t>12.4 - PREVISÃO FÉRIAS</t>
        </is>
      </c>
      <c r="O637" s="1" t="n"/>
      <c r="P637" s="1" t="n"/>
      <c r="Q637" s="1" t="n"/>
      <c r="R637" s="1" t="n">
        <v>2025</v>
      </c>
    </row>
    <row r="638">
      <c r="A638" s="61" t="n">
        <v>45825</v>
      </c>
      <c r="B638" s="16" t="inlineStr">
        <is>
          <t>FÉRIAS PREVISAO</t>
        </is>
      </c>
      <c r="C638" s="90" t="n"/>
      <c r="D638" s="90" t="n">
        <v>3907.503425</v>
      </c>
      <c r="E638" s="90" t="n">
        <v>-3907.503425</v>
      </c>
      <c r="F638" s="16" t="inlineStr">
        <is>
          <t>12.4 - PREVISÃO FÉRIAS</t>
        </is>
      </c>
      <c r="G638" s="16" t="inlineStr">
        <is>
          <t>MOSAIC UBERABA CONTRAT0 3 ANOS</t>
        </is>
      </c>
      <c r="H638" s="63" t="n">
        <v>2025</v>
      </c>
      <c r="I638" s="64" t="n">
        <v>6</v>
      </c>
      <c r="J638" s="16" t="inlineStr">
        <is>
          <t>Jun</t>
        </is>
      </c>
      <c r="K638" s="16" t="n"/>
      <c r="M638" s="89" t="n">
        <v>-3907.503425</v>
      </c>
      <c r="N638" s="1" t="inlineStr">
        <is>
          <t>12.4 - PREVISÃO FÉRIAS</t>
        </is>
      </c>
      <c r="O638" s="1" t="n"/>
      <c r="P638" s="1" t="n"/>
      <c r="Q638" s="1" t="n"/>
      <c r="R638" s="1" t="n">
        <v>2025</v>
      </c>
    </row>
    <row r="639">
      <c r="A639" s="61" t="n">
        <v>45825</v>
      </c>
      <c r="B639" s="16" t="inlineStr">
        <is>
          <t>FÉRIAS PREVISAO</t>
        </is>
      </c>
      <c r="C639" s="90" t="n"/>
      <c r="D639" s="90" t="n">
        <v>3782.188608333334</v>
      </c>
      <c r="E639" s="90" t="n">
        <v>-3782.188608333334</v>
      </c>
      <c r="F639" s="16" t="inlineStr">
        <is>
          <t>12.4 - PREVISÃO FÉRIAS</t>
        </is>
      </c>
      <c r="G639" s="16" t="inlineStr">
        <is>
          <t>EUROCHEM SERRA DO SALITRE</t>
        </is>
      </c>
      <c r="H639" s="63" t="n">
        <v>2025</v>
      </c>
      <c r="I639" s="64" t="n">
        <v>6</v>
      </c>
      <c r="J639" s="16" t="inlineStr">
        <is>
          <t>Jun</t>
        </is>
      </c>
      <c r="K639" s="16" t="n"/>
      <c r="M639" s="89" t="n">
        <v>-3782.188608333334</v>
      </c>
      <c r="N639" s="1" t="inlineStr">
        <is>
          <t>12.4 - PREVISÃO FÉRIAS</t>
        </is>
      </c>
      <c r="O639" s="1" t="n"/>
      <c r="P639" s="1" t="n"/>
      <c r="Q639" s="1" t="n"/>
      <c r="R639" s="1" t="n">
        <v>2025</v>
      </c>
    </row>
    <row r="640">
      <c r="A640" s="61" t="n">
        <v>45826</v>
      </c>
      <c r="B640" s="16" t="inlineStr">
        <is>
          <t>19.1 - SALITRE FERTILIZANTES LTDA</t>
        </is>
      </c>
      <c r="C640" s="90" t="n">
        <v>32573.11</v>
      </c>
      <c r="D640" s="90" t="n"/>
      <c r="E640" s="90" t="n">
        <v>32573.11</v>
      </c>
      <c r="F640" s="16" t="inlineStr">
        <is>
          <t>1.1.1 - Recebimento de Clientes</t>
        </is>
      </c>
      <c r="G640" s="16" t="inlineStr">
        <is>
          <t>EUROCHEM SERRA DO SALITRE</t>
        </is>
      </c>
      <c r="H640" s="63" t="n">
        <v>2025</v>
      </c>
      <c r="I640" s="64" t="n">
        <v>6</v>
      </c>
      <c r="J640" s="16" t="inlineStr">
        <is>
          <t>Jun</t>
        </is>
      </c>
      <c r="K640" s="16" t="n"/>
      <c r="M640" s="89" t="n">
        <v>32573.11</v>
      </c>
      <c r="N640" s="1" t="inlineStr">
        <is>
          <t>Faturamento</t>
        </is>
      </c>
      <c r="O640" s="1" t="inlineStr">
        <is>
          <t>(+)Receita Bruta</t>
        </is>
      </c>
      <c r="P640" s="1" t="inlineStr">
        <is>
          <t>(=)Receita Bruta</t>
        </is>
      </c>
      <c r="Q640" s="1" t="n">
        <v>1</v>
      </c>
      <c r="R640" s="1" t="n">
        <v>2025</v>
      </c>
    </row>
    <row r="641">
      <c r="A641" s="61" t="n">
        <v>45826</v>
      </c>
      <c r="B641" s="16" t="inlineStr">
        <is>
          <t>2478 - CMOC BRASIL MINERAÇAO INDUSTRIAL E PARTICIPAÇOES</t>
        </is>
      </c>
      <c r="C641" s="90" t="n">
        <v>39887.64</v>
      </c>
      <c r="D641" s="90" t="n"/>
      <c r="E641" s="90" t="n">
        <v>39887.64</v>
      </c>
      <c r="F641" s="16" t="inlineStr">
        <is>
          <t>1.1.1 - Recebimento de Clientes</t>
        </is>
      </c>
      <c r="G641" s="16" t="inlineStr">
        <is>
          <t>NIOBIO CMOC CONTRATO</t>
        </is>
      </c>
      <c r="H641" s="63" t="n">
        <v>2025</v>
      </c>
      <c r="I641" s="64" t="n">
        <v>6</v>
      </c>
      <c r="J641" s="16" t="inlineStr">
        <is>
          <t>Jun</t>
        </is>
      </c>
      <c r="K641" s="16" t="n"/>
      <c r="M641" s="89" t="n">
        <v>39887.64</v>
      </c>
      <c r="N641" s="1" t="inlineStr">
        <is>
          <t>Faturamento</t>
        </is>
      </c>
      <c r="O641" s="1" t="inlineStr">
        <is>
          <t>(+)Receita Bruta</t>
        </is>
      </c>
      <c r="P641" s="1" t="inlineStr">
        <is>
          <t>(=)Receita Bruta</t>
        </is>
      </c>
      <c r="Q641" s="1" t="n">
        <v>1</v>
      </c>
      <c r="R641" s="1" t="n">
        <v>2025</v>
      </c>
    </row>
    <row r="642">
      <c r="A642" s="61" t="n">
        <v>45826</v>
      </c>
      <c r="B642" s="16" t="inlineStr">
        <is>
          <t>2479 - SALITRE FERTILIZANTES LTDA</t>
        </is>
      </c>
      <c r="C642" s="90" t="n">
        <v>31542.57</v>
      </c>
      <c r="D642" s="90" t="n"/>
      <c r="E642" s="90" t="n">
        <v>31542.57</v>
      </c>
      <c r="F642" s="16" t="inlineStr">
        <is>
          <t>1.1.1 - Recebimento de Clientes</t>
        </is>
      </c>
      <c r="G642" s="16" t="inlineStr">
        <is>
          <t>EUROCHEM SERRA DO SALITRE</t>
        </is>
      </c>
      <c r="H642" s="63" t="n">
        <v>2025</v>
      </c>
      <c r="I642" s="64" t="n">
        <v>6</v>
      </c>
      <c r="J642" s="16" t="inlineStr">
        <is>
          <t>Jun</t>
        </is>
      </c>
      <c r="K642" s="16" t="n"/>
      <c r="M642" s="89" t="n">
        <v>31542.57</v>
      </c>
      <c r="N642" s="1" t="inlineStr">
        <is>
          <t>Faturamento</t>
        </is>
      </c>
      <c r="O642" s="1" t="inlineStr">
        <is>
          <t>(+)Receita Bruta</t>
        </is>
      </c>
      <c r="P642" s="1" t="inlineStr">
        <is>
          <t>(=)Receita Bruta</t>
        </is>
      </c>
      <c r="Q642" s="1" t="n">
        <v>1</v>
      </c>
      <c r="R642" s="1" t="n">
        <v>2025</v>
      </c>
    </row>
    <row r="643">
      <c r="A643" s="61" t="n">
        <v>45826</v>
      </c>
      <c r="B643" s="16" t="inlineStr">
        <is>
          <t>BANCO CAIXA</t>
        </is>
      </c>
      <c r="C643" s="90" t="n"/>
      <c r="D643" s="90" t="n">
        <v>15804.58</v>
      </c>
      <c r="E643" s="90" t="n">
        <v>-15804.58</v>
      </c>
      <c r="F643" s="16" t="inlineStr">
        <is>
          <t>11.9 - PAGAMENTOS EMPRESTIMOS</t>
        </is>
      </c>
      <c r="G643" s="16" t="inlineStr">
        <is>
          <t>EMPRESTIMOS</t>
        </is>
      </c>
      <c r="H643" s="63" t="n">
        <v>2025</v>
      </c>
      <c r="I643" s="64" t="n">
        <v>6</v>
      </c>
      <c r="J643" s="16" t="inlineStr">
        <is>
          <t>Jun</t>
        </is>
      </c>
      <c r="K643" s="16" t="n"/>
      <c r="M643" s="89" t="n">
        <v>-15804.58</v>
      </c>
      <c r="N643" s="1" t="inlineStr">
        <is>
          <t>Empréstimos Bancários</t>
        </is>
      </c>
      <c r="O643" s="1" t="inlineStr">
        <is>
          <t>(-) Despesas Financeiras</t>
        </is>
      </c>
      <c r="P643" s="1" t="inlineStr">
        <is>
          <t>(+/-)Despesas e Receitas Financeiras</t>
        </is>
      </c>
      <c r="Q643" s="1" t="n">
        <v>6</v>
      </c>
      <c r="R643" s="1" t="n">
        <v>2025</v>
      </c>
    </row>
    <row r="644">
      <c r="A644" s="61" t="n">
        <v>45826</v>
      </c>
      <c r="B644" s="16" t="inlineStr">
        <is>
          <t>WERLEYANO INDIO DO CARIRI FILHO LTDA</t>
        </is>
      </c>
      <c r="C644" s="90" t="n"/>
      <c r="D644" s="90" t="n">
        <v>2387</v>
      </c>
      <c r="E644" s="90" t="n">
        <v>-2387</v>
      </c>
      <c r="F644" s="16" t="inlineStr">
        <is>
          <t>13.2 - UNIFORMES</t>
        </is>
      </c>
      <c r="G644" s="16" t="inlineStr">
        <is>
          <t>VLI PINTURA</t>
        </is>
      </c>
      <c r="H644" s="63" t="n">
        <v>2025</v>
      </c>
      <c r="I644" s="64" t="n">
        <v>6</v>
      </c>
      <c r="J644" s="16" t="inlineStr">
        <is>
          <t>Jun</t>
        </is>
      </c>
      <c r="K644" s="16" t="n"/>
      <c r="M644" s="89" t="n">
        <v>-2387</v>
      </c>
      <c r="N644" s="1" t="inlineStr">
        <is>
          <t>UNIFORMES</t>
        </is>
      </c>
      <c r="O644" s="1" t="inlineStr">
        <is>
          <t>Despesas com Pessoal</t>
        </is>
      </c>
      <c r="P644" s="1" t="inlineStr">
        <is>
          <t>(-)Gastos Fixos</t>
        </is>
      </c>
      <c r="Q644" s="1" t="n">
        <v>4</v>
      </c>
      <c r="R644" s="1" t="n">
        <v>2025</v>
      </c>
    </row>
    <row r="645">
      <c r="A645" s="61" t="n">
        <v>45826</v>
      </c>
      <c r="B645" s="16" t="inlineStr">
        <is>
          <t>RESTAURANTES OBRAS</t>
        </is>
      </c>
      <c r="C645" s="90" t="n"/>
      <c r="D645" s="90" t="n">
        <v>300</v>
      </c>
      <c r="E645" s="90" t="n">
        <v>-300</v>
      </c>
      <c r="F645" s="16" t="inlineStr">
        <is>
          <t>11.5 - ALIMENTAÇÃO ADM</t>
        </is>
      </c>
      <c r="G645" s="16" t="inlineStr">
        <is>
          <t>ADMINISTRATIVO</t>
        </is>
      </c>
      <c r="H645" s="63" t="n">
        <v>2025</v>
      </c>
      <c r="I645" s="64" t="n">
        <v>6</v>
      </c>
      <c r="J645" s="16" t="inlineStr">
        <is>
          <t>Jun</t>
        </is>
      </c>
      <c r="K645" s="16" t="n"/>
      <c r="M645" s="89" t="n">
        <v>-300</v>
      </c>
      <c r="N645" s="1" t="inlineStr">
        <is>
          <t>ALIMENTAÇÃO ADM</t>
        </is>
      </c>
      <c r="O645" s="1" t="inlineStr">
        <is>
          <t>Despesas com Pessoal</t>
        </is>
      </c>
      <c r="P645" s="1" t="inlineStr">
        <is>
          <t>(-)Gastos Fixos</t>
        </is>
      </c>
      <c r="Q645" s="1" t="n">
        <v>4</v>
      </c>
      <c r="R645" s="1" t="n">
        <v>2025</v>
      </c>
    </row>
    <row r="646">
      <c r="A646" s="61" t="n">
        <v>45826</v>
      </c>
      <c r="B646" s="16" t="inlineStr">
        <is>
          <t>755087 - PAPELARIA TRIBUTARIA LTDA</t>
        </is>
      </c>
      <c r="C646" s="90" t="n"/>
      <c r="D646" s="90" t="n">
        <v>215.4</v>
      </c>
      <c r="E646" s="90" t="n">
        <v>-215.4</v>
      </c>
      <c r="F646" s="16" t="inlineStr">
        <is>
          <t>8.10 - MATERIAS DE ESCRITORIO</t>
        </is>
      </c>
      <c r="G646" s="16" t="inlineStr">
        <is>
          <t>FOSFATO CMOC CONTRAT</t>
        </is>
      </c>
      <c r="H646" s="63" t="n">
        <v>2025</v>
      </c>
      <c r="I646" s="64" t="n">
        <v>6</v>
      </c>
      <c r="J646" s="16" t="inlineStr">
        <is>
          <t>Jun</t>
        </is>
      </c>
      <c r="K646" s="16" t="n"/>
      <c r="M646" s="89" t="n">
        <v>-215.4</v>
      </c>
      <c r="N646" s="1" t="inlineStr">
        <is>
          <t>MATERIAS DE ESCRITORIO / PAPELARIA</t>
        </is>
      </c>
      <c r="O646" s="1" t="inlineStr">
        <is>
          <t>Despesas Administrativas</t>
        </is>
      </c>
      <c r="P646" s="1" t="inlineStr">
        <is>
          <t>(-)Gastos Fixos</t>
        </is>
      </c>
      <c r="Q646" s="1" t="n">
        <v>4</v>
      </c>
      <c r="R646" s="1" t="n">
        <v>2025</v>
      </c>
    </row>
    <row r="647">
      <c r="A647" s="61" t="n">
        <v>45826</v>
      </c>
      <c r="B647" s="16" t="inlineStr">
        <is>
          <t>755087 - PAPELARIA TRIBUTARIA LTDA</t>
        </is>
      </c>
      <c r="C647" s="90" t="n"/>
      <c r="D647" s="90" t="n">
        <v>215.4</v>
      </c>
      <c r="E647" s="90" t="n">
        <v>-215.4</v>
      </c>
      <c r="F647" s="16" t="inlineStr">
        <is>
          <t>8.10 - MATERIAS DE ESCRITORIO</t>
        </is>
      </c>
      <c r="G647" s="16" t="inlineStr">
        <is>
          <t>NIOBIO CMOC CONTRATO</t>
        </is>
      </c>
      <c r="H647" s="63" t="n">
        <v>2025</v>
      </c>
      <c r="I647" s="64" t="n">
        <v>6</v>
      </c>
      <c r="J647" s="16" t="inlineStr">
        <is>
          <t>Jun</t>
        </is>
      </c>
      <c r="K647" s="16" t="n"/>
      <c r="M647" s="89" t="n">
        <v>-215.4</v>
      </c>
      <c r="N647" s="1" t="inlineStr">
        <is>
          <t>MATERIAS DE ESCRITORIO / PAPELARIA</t>
        </is>
      </c>
      <c r="O647" s="1" t="inlineStr">
        <is>
          <t>Despesas Administrativas</t>
        </is>
      </c>
      <c r="P647" s="1" t="inlineStr">
        <is>
          <t>(-)Gastos Fixos</t>
        </is>
      </c>
      <c r="Q647" s="1" t="n">
        <v>4</v>
      </c>
      <c r="R647" s="1" t="n">
        <v>2025</v>
      </c>
    </row>
    <row r="648">
      <c r="A648" s="61" t="n">
        <v>45826</v>
      </c>
      <c r="B648" s="16" t="inlineStr">
        <is>
          <t>755087 - PAPELARIA TRIBUTARIA LTDA</t>
        </is>
      </c>
      <c r="C648" s="90" t="n"/>
      <c r="D648" s="90" t="n">
        <v>215.4</v>
      </c>
      <c r="E648" s="90" t="n">
        <v>-215.4</v>
      </c>
      <c r="F648" s="16" t="inlineStr">
        <is>
          <t>8.10 - MATERIAS DE ESCRITORIO</t>
        </is>
      </c>
      <c r="G648" s="16" t="inlineStr">
        <is>
          <t>FOSFATO CMOC CONTRAT</t>
        </is>
      </c>
      <c r="H648" s="63" t="n">
        <v>2025</v>
      </c>
      <c r="I648" s="64" t="n">
        <v>6</v>
      </c>
      <c r="J648" s="16" t="inlineStr">
        <is>
          <t>Jun</t>
        </is>
      </c>
      <c r="K648" s="16" t="n"/>
      <c r="M648" s="89" t="n">
        <v>-215.4</v>
      </c>
      <c r="N648" s="1" t="inlineStr">
        <is>
          <t>MATERIAS DE ESCRITORIO / PAPELARIA</t>
        </is>
      </c>
      <c r="O648" s="1" t="inlineStr">
        <is>
          <t>Despesas Administrativas</t>
        </is>
      </c>
      <c r="P648" s="1" t="inlineStr">
        <is>
          <t>(-)Gastos Fixos</t>
        </is>
      </c>
      <c r="Q648" s="1" t="n">
        <v>4</v>
      </c>
      <c r="R648" s="1" t="n">
        <v>2025</v>
      </c>
    </row>
    <row r="649">
      <c r="A649" s="61" t="n">
        <v>45826</v>
      </c>
      <c r="B649" s="16" t="inlineStr">
        <is>
          <t>755087 - PAPELARIA TRIBUTARIA LTDA</t>
        </is>
      </c>
      <c r="C649" s="90" t="n"/>
      <c r="D649" s="90" t="n">
        <v>215.4</v>
      </c>
      <c r="E649" s="90" t="n">
        <v>-215.4</v>
      </c>
      <c r="F649" s="16" t="inlineStr">
        <is>
          <t>8.10 - MATERIAS DE ESCRITORIO</t>
        </is>
      </c>
      <c r="G649" s="16" t="inlineStr">
        <is>
          <t>NIOBIO CMOC CONTRATO</t>
        </is>
      </c>
      <c r="H649" s="63" t="n">
        <v>2025</v>
      </c>
      <c r="I649" s="64" t="n">
        <v>6</v>
      </c>
      <c r="J649" s="16" t="inlineStr">
        <is>
          <t>Jun</t>
        </is>
      </c>
      <c r="K649" s="16" t="n"/>
      <c r="M649" s="89" t="n">
        <v>-215.4</v>
      </c>
      <c r="N649" s="1" t="inlineStr">
        <is>
          <t>MATERIAS DE ESCRITORIO / PAPELARIA</t>
        </is>
      </c>
      <c r="O649" s="1" t="inlineStr">
        <is>
          <t>Despesas Administrativas</t>
        </is>
      </c>
      <c r="P649" s="1" t="inlineStr">
        <is>
          <t>(-)Gastos Fixos</t>
        </is>
      </c>
      <c r="Q649" s="1" t="n">
        <v>4</v>
      </c>
      <c r="R649" s="1" t="n">
        <v>2025</v>
      </c>
    </row>
    <row r="650">
      <c r="A650" s="61" t="n">
        <v>45826</v>
      </c>
      <c r="B650" s="16" t="inlineStr">
        <is>
          <t>755086 - PAPELARIA TRIBUTARIA LTDA</t>
        </is>
      </c>
      <c r="C650" s="90" t="n"/>
      <c r="D650" s="90" t="n">
        <v>197.41</v>
      </c>
      <c r="E650" s="90" t="n">
        <v>-197.41</v>
      </c>
      <c r="F650" s="16" t="inlineStr">
        <is>
          <t>8.10 - MATERIAS DE ESCRITORIO</t>
        </is>
      </c>
      <c r="G650" s="16" t="inlineStr">
        <is>
          <t>EUROCHEM SERRA DO SALITRE</t>
        </is>
      </c>
      <c r="H650" s="63" t="n">
        <v>2025</v>
      </c>
      <c r="I650" s="64" t="n">
        <v>6</v>
      </c>
      <c r="J650" s="16" t="inlineStr">
        <is>
          <t>Jun</t>
        </is>
      </c>
      <c r="K650" s="16" t="n"/>
      <c r="M650" s="89" t="n">
        <v>-197.41</v>
      </c>
      <c r="N650" s="1" t="inlineStr">
        <is>
          <t>MATERIAS DE ESCRITORIO / PAPELARIA</t>
        </is>
      </c>
      <c r="O650" s="1" t="inlineStr">
        <is>
          <t>Despesas Administrativas</t>
        </is>
      </c>
      <c r="P650" s="1" t="inlineStr">
        <is>
          <t>(-)Gastos Fixos</t>
        </is>
      </c>
      <c r="Q650" s="1" t="n">
        <v>4</v>
      </c>
      <c r="R650" s="1" t="n">
        <v>2025</v>
      </c>
    </row>
    <row r="651">
      <c r="A651" s="61" t="n">
        <v>45826</v>
      </c>
      <c r="B651" s="16" t="inlineStr">
        <is>
          <t>755086 - PAPELARIA TRIBUTARIA LTDA</t>
        </is>
      </c>
      <c r="C651" s="90" t="n"/>
      <c r="D651" s="90" t="n">
        <v>196.95</v>
      </c>
      <c r="E651" s="90" t="n">
        <v>-196.95</v>
      </c>
      <c r="F651" s="16" t="inlineStr">
        <is>
          <t>8.10 - MATERIAS DE ESCRITORIO</t>
        </is>
      </c>
      <c r="G651" s="16" t="inlineStr">
        <is>
          <t>EUROCHEM SERRA DO SALITRE</t>
        </is>
      </c>
      <c r="H651" s="63" t="n">
        <v>2025</v>
      </c>
      <c r="I651" s="64" t="n">
        <v>6</v>
      </c>
      <c r="J651" s="16" t="inlineStr">
        <is>
          <t>Jun</t>
        </is>
      </c>
      <c r="K651" s="16" t="n"/>
      <c r="M651" s="89" t="n">
        <v>-196.95</v>
      </c>
      <c r="N651" s="1" t="inlineStr">
        <is>
          <t>MATERIAS DE ESCRITORIO / PAPELARIA</t>
        </is>
      </c>
      <c r="O651" s="1" t="inlineStr">
        <is>
          <t>Despesas Administrativas</t>
        </is>
      </c>
      <c r="P651" s="1" t="inlineStr">
        <is>
          <t>(-)Gastos Fixos</t>
        </is>
      </c>
      <c r="Q651" s="1" t="n">
        <v>4</v>
      </c>
      <c r="R651" s="1" t="n">
        <v>2025</v>
      </c>
    </row>
    <row r="652">
      <c r="A652" s="61" t="n">
        <v>45826</v>
      </c>
      <c r="B652" s="16" t="inlineStr">
        <is>
          <t>REINALDO DIAS</t>
        </is>
      </c>
      <c r="C652" s="90" t="n"/>
      <c r="D652" s="90" t="n">
        <v>38.4</v>
      </c>
      <c r="E652" s="90" t="n">
        <v>-38.4</v>
      </c>
      <c r="F652" s="16" t="inlineStr">
        <is>
          <t>6.6 - PEDAGIOS</t>
        </is>
      </c>
      <c r="G652" s="16" t="inlineStr">
        <is>
          <t>ADMINISTRATIVO</t>
        </is>
      </c>
      <c r="H652" s="63" t="n">
        <v>2025</v>
      </c>
      <c r="I652" s="64" t="n">
        <v>6</v>
      </c>
      <c r="J652" s="16" t="inlineStr">
        <is>
          <t>Jun</t>
        </is>
      </c>
      <c r="K652" s="16" t="n"/>
      <c r="M652" s="89" t="n">
        <v>-38.4</v>
      </c>
      <c r="N652" s="1" t="inlineStr">
        <is>
          <t>PEDAGIOS</t>
        </is>
      </c>
      <c r="O652" s="1" t="inlineStr">
        <is>
          <t>Despesas com Veículos e Equipamentos</t>
        </is>
      </c>
      <c r="P652" s="1" t="inlineStr">
        <is>
          <t>(-)Gastos Fixos</t>
        </is>
      </c>
      <c r="Q652" s="1" t="n">
        <v>4</v>
      </c>
      <c r="R652" s="1" t="n">
        <v>2025</v>
      </c>
    </row>
    <row r="653">
      <c r="A653" s="61" t="n">
        <v>45826</v>
      </c>
      <c r="B653" s="16" t="inlineStr">
        <is>
          <t>REINALDO DIAS</t>
        </is>
      </c>
      <c r="C653" s="90" t="n"/>
      <c r="D653" s="90" t="n">
        <v>79.43000000000001</v>
      </c>
      <c r="E653" s="90" t="n">
        <v>-79.43000000000001</v>
      </c>
      <c r="F653" s="16" t="inlineStr">
        <is>
          <t>12.5 - REFEIÇÕES FUNCIONARIOS</t>
        </is>
      </c>
      <c r="G653" s="16" t="inlineStr">
        <is>
          <t>ADMINISTRATIVO</t>
        </is>
      </c>
      <c r="H653" s="63" t="n">
        <v>2025</v>
      </c>
      <c r="I653" s="64" t="n">
        <v>6</v>
      </c>
      <c r="J653" s="16" t="inlineStr">
        <is>
          <t>Jun</t>
        </is>
      </c>
      <c r="K653" s="16" t="n"/>
      <c r="M653" s="89" t="n">
        <v>-79.43000000000001</v>
      </c>
      <c r="N653" s="1" t="inlineStr">
        <is>
          <t>12.5 - REFEIÇÕES FUNCIONARIOS</t>
        </is>
      </c>
      <c r="O653" s="1" t="n"/>
      <c r="P653" s="1" t="n"/>
      <c r="Q653" s="1" t="n"/>
      <c r="R653" s="1" t="n">
        <v>2025</v>
      </c>
    </row>
    <row r="654">
      <c r="A654" s="61" t="n">
        <v>45826</v>
      </c>
      <c r="B654" s="16" t="inlineStr">
        <is>
          <t>REINALDO DIAS</t>
        </is>
      </c>
      <c r="C654" s="90" t="n"/>
      <c r="D654" s="90" t="n">
        <v>410</v>
      </c>
      <c r="E654" s="90" t="n">
        <v>-410</v>
      </c>
      <c r="F654" s="16" t="inlineStr">
        <is>
          <t>6.3 - MANUTENÇÃO/PEÇAS  VEICULOS</t>
        </is>
      </c>
      <c r="G654" s="16" t="inlineStr">
        <is>
          <t>ADMINISTRATIVO</t>
        </is>
      </c>
      <c r="H654" s="63" t="n">
        <v>2025</v>
      </c>
      <c r="I654" s="64" t="n">
        <v>6</v>
      </c>
      <c r="J654" s="16" t="inlineStr">
        <is>
          <t>Jun</t>
        </is>
      </c>
      <c r="K654" s="16" t="n"/>
      <c r="M654" s="89" t="n">
        <v>-410</v>
      </c>
      <c r="N654" s="1" t="inlineStr">
        <is>
          <t>MANUTENÇÃO/PEÇAS  VEICULOS</t>
        </is>
      </c>
      <c r="O654" s="1" t="inlineStr">
        <is>
          <t>Despesas com Veículos e Equipamentos</t>
        </is>
      </c>
      <c r="P654" s="1" t="inlineStr">
        <is>
          <t>(-)Gastos Fixos</t>
        </is>
      </c>
      <c r="Q654" s="1" t="n">
        <v>4</v>
      </c>
      <c r="R654" s="1" t="n">
        <v>2025</v>
      </c>
    </row>
    <row r="655">
      <c r="A655" s="61" t="n">
        <v>45826</v>
      </c>
      <c r="B655" s="16" t="inlineStr">
        <is>
          <t>SANEAMENTO DE GOIA S.A</t>
        </is>
      </c>
      <c r="C655" s="90" t="n"/>
      <c r="D655" s="90" t="n">
        <v>689.51</v>
      </c>
      <c r="E655" s="90" t="n">
        <v>-689.51</v>
      </c>
      <c r="F655" s="16" t="inlineStr">
        <is>
          <t>5.4 - AGUA ALOJAMENTO</t>
        </is>
      </c>
      <c r="G655" s="16" t="inlineStr">
        <is>
          <t>ANGLO AMERICAN</t>
        </is>
      </c>
      <c r="H655" s="63" t="n">
        <v>2025</v>
      </c>
      <c r="I655" s="64" t="n">
        <v>6</v>
      </c>
      <c r="J655" s="16" t="inlineStr">
        <is>
          <t>Jun</t>
        </is>
      </c>
      <c r="K655" s="16" t="n"/>
      <c r="M655" s="89" t="n">
        <v>-689.51</v>
      </c>
      <c r="N655" s="1" t="inlineStr">
        <is>
          <t>AGUA ALOJAMENTO</t>
        </is>
      </c>
      <c r="O655" s="1" t="inlineStr">
        <is>
          <t>Despesas com Infraestrutura</t>
        </is>
      </c>
      <c r="P655" s="1" t="inlineStr">
        <is>
          <t>(-)Gastos Fixos</t>
        </is>
      </c>
      <c r="Q655" s="1" t="n">
        <v>4</v>
      </c>
      <c r="R655" s="1" t="n">
        <v>2025</v>
      </c>
    </row>
    <row r="656">
      <c r="A656" s="61" t="n">
        <v>45826</v>
      </c>
      <c r="B656" s="16" t="inlineStr">
        <is>
          <t>CORREIOS OBRAS</t>
        </is>
      </c>
      <c r="C656" s="90" t="n"/>
      <c r="D656" s="90" t="n">
        <v>276.8</v>
      </c>
      <c r="E656" s="90" t="n">
        <v>-276.8</v>
      </c>
      <c r="F656" s="16" t="inlineStr">
        <is>
          <t>10.1 - FRETE MATERIAIS E EQUIPAMENTOS</t>
        </is>
      </c>
      <c r="G656" s="16" t="inlineStr">
        <is>
          <t>CONDUTOS - ELETROBRAS</t>
        </is>
      </c>
      <c r="H656" s="63" t="n">
        <v>2025</v>
      </c>
      <c r="I656" s="64" t="n">
        <v>6</v>
      </c>
      <c r="J656" s="16" t="inlineStr">
        <is>
          <t>Jun</t>
        </is>
      </c>
      <c r="K656" s="16" t="n"/>
      <c r="M656" s="89" t="n">
        <v>-276.8</v>
      </c>
      <c r="N656" s="1" t="inlineStr">
        <is>
          <t>FRETE MATERIAIS E EQUIPAMENTOS</t>
        </is>
      </c>
      <c r="O656" s="1" t="inlineStr">
        <is>
          <t>Fornecedores</t>
        </is>
      </c>
      <c r="P656" s="1" t="inlineStr">
        <is>
          <t>(-)Custos Variavéis</t>
        </is>
      </c>
      <c r="Q656" s="1" t="n">
        <v>3</v>
      </c>
      <c r="R656" s="1" t="n">
        <v>2025</v>
      </c>
    </row>
    <row r="657">
      <c r="A657" s="61" t="n">
        <v>45826</v>
      </c>
      <c r="B657" s="16" t="inlineStr">
        <is>
          <t>DESPESAS DE OBRAS</t>
        </is>
      </c>
      <c r="C657" s="90" t="n"/>
      <c r="D657" s="90" t="n">
        <v>200</v>
      </c>
      <c r="E657" s="90" t="n">
        <v>-200</v>
      </c>
      <c r="F657" s="16" t="inlineStr">
        <is>
          <t>12.5 - REFEIÇÕES FUNCIONARIOS</t>
        </is>
      </c>
      <c r="G657" s="16" t="inlineStr">
        <is>
          <t>CONDUTOS - ELETROBRAS</t>
        </is>
      </c>
      <c r="H657" s="63" t="n">
        <v>2025</v>
      </c>
      <c r="I657" s="64" t="n">
        <v>6</v>
      </c>
      <c r="J657" s="16" t="inlineStr">
        <is>
          <t>Jun</t>
        </is>
      </c>
      <c r="K657" s="16" t="n"/>
      <c r="M657" s="89" t="n">
        <v>-200</v>
      </c>
      <c r="N657" s="1" t="inlineStr">
        <is>
          <t>12.5 - REFEIÇÕES FUNCIONARIOS</t>
        </is>
      </c>
      <c r="O657" s="1" t="n"/>
      <c r="P657" s="1" t="n"/>
      <c r="Q657" s="1" t="n"/>
      <c r="R657" s="1" t="n">
        <v>2025</v>
      </c>
    </row>
    <row r="658">
      <c r="A658" s="61" t="n">
        <v>45826</v>
      </c>
      <c r="B658" s="16" t="inlineStr">
        <is>
          <t>DESPESAS DE OBRAS</t>
        </is>
      </c>
      <c r="C658" s="90" t="n"/>
      <c r="D658" s="90" t="n">
        <v>300</v>
      </c>
      <c r="E658" s="90" t="n">
        <v>-300</v>
      </c>
      <c r="F658" s="16" t="inlineStr">
        <is>
          <t>6.4 - COMBUSTIVEL VEICULOS</t>
        </is>
      </c>
      <c r="G658" s="16" t="inlineStr">
        <is>
          <t>CONDUTOS - ELETROBRAS</t>
        </is>
      </c>
      <c r="H658" s="63" t="n">
        <v>2025</v>
      </c>
      <c r="I658" s="64" t="n">
        <v>6</v>
      </c>
      <c r="J658" s="16" t="inlineStr">
        <is>
          <t>Jun</t>
        </is>
      </c>
      <c r="K658" s="16" t="n"/>
      <c r="M658" s="89" t="n">
        <v>-300</v>
      </c>
      <c r="N658" s="1" t="inlineStr">
        <is>
          <t>COMBUSTIVEL VEICULOS</t>
        </is>
      </c>
      <c r="O658" s="1" t="inlineStr">
        <is>
          <t>Despesas com Veículos e Equipamentos</t>
        </is>
      </c>
      <c r="P658" s="1" t="inlineStr">
        <is>
          <t>(-)Gastos Fixos</t>
        </is>
      </c>
      <c r="Q658" s="1" t="n">
        <v>4</v>
      </c>
      <c r="R658" s="1" t="n">
        <v>2025</v>
      </c>
    </row>
    <row r="659">
      <c r="A659" s="61" t="n">
        <v>45826</v>
      </c>
      <c r="B659" s="16" t="inlineStr">
        <is>
          <t>DESPESAS DE OBRAS</t>
        </is>
      </c>
      <c r="C659" s="90" t="n"/>
      <c r="D659" s="90" t="n">
        <v>500</v>
      </c>
      <c r="E659" s="90" t="n">
        <v>-500</v>
      </c>
      <c r="F659" s="16" t="inlineStr">
        <is>
          <t>5.1 - HOTEL FUNCIONARIOS</t>
        </is>
      </c>
      <c r="G659" s="16" t="inlineStr">
        <is>
          <t>CONDUTOS - ELETROBRAS</t>
        </is>
      </c>
      <c r="H659" s="63" t="n">
        <v>2025</v>
      </c>
      <c r="I659" s="64" t="n">
        <v>6</v>
      </c>
      <c r="J659" s="16" t="inlineStr">
        <is>
          <t>Jun</t>
        </is>
      </c>
      <c r="K659" s="16" t="n"/>
      <c r="M659" s="89" t="n">
        <v>-500</v>
      </c>
      <c r="N659" s="1" t="inlineStr">
        <is>
          <t>5.1 - HOTEL FUNCIONARIOS</t>
        </is>
      </c>
      <c r="O659" s="1" t="n"/>
      <c r="P659" s="1" t="n"/>
      <c r="Q659" s="1" t="n"/>
      <c r="R659" s="1" t="n">
        <v>2025</v>
      </c>
    </row>
    <row r="660">
      <c r="A660" s="61" t="n">
        <v>45826</v>
      </c>
      <c r="B660" s="16" t="inlineStr">
        <is>
          <t>51750 - FREITAS COMERCIO DE EMBALAGENS LTDA</t>
        </is>
      </c>
      <c r="C660" s="90" t="n"/>
      <c r="D660" s="90" t="n">
        <v>445</v>
      </c>
      <c r="E660" s="90" t="n">
        <v>-445</v>
      </c>
      <c r="F660" s="16" t="inlineStr">
        <is>
          <t>8.11 - MATERIAIS DE LIMPEZA / HIGIENE</t>
        </is>
      </c>
      <c r="G660" s="16" t="inlineStr">
        <is>
          <t>ANGLO AMERICAN</t>
        </is>
      </c>
      <c r="H660" s="63" t="n">
        <v>2025</v>
      </c>
      <c r="I660" s="64" t="n">
        <v>6</v>
      </c>
      <c r="J660" s="16" t="inlineStr">
        <is>
          <t>Jun</t>
        </is>
      </c>
      <c r="K660" s="16" t="n"/>
      <c r="M660" s="89" t="n">
        <v>-445</v>
      </c>
      <c r="N660" s="1" t="inlineStr">
        <is>
          <t>MATERIAIS DE LIMPEZA / HIGIENE</t>
        </is>
      </c>
      <c r="O660" s="1" t="inlineStr">
        <is>
          <t>Despesas com Máquinas e Equipamentos</t>
        </is>
      </c>
      <c r="P660" s="1" t="inlineStr">
        <is>
          <t>(-)Gastos Fixos</t>
        </is>
      </c>
      <c r="Q660" s="1" t="n">
        <v>4</v>
      </c>
      <c r="R660" s="1" t="n">
        <v>2025</v>
      </c>
    </row>
    <row r="661">
      <c r="A661" s="61" t="n">
        <v>45826</v>
      </c>
      <c r="B661" s="16" t="inlineStr">
        <is>
          <t>51760 - FREITAS COMERCIO DE EMBALAGENS LTDA</t>
        </is>
      </c>
      <c r="C661" s="90" t="n"/>
      <c r="D661" s="90" t="n">
        <v>315</v>
      </c>
      <c r="E661" s="90" t="n">
        <v>-315</v>
      </c>
      <c r="F661" s="16" t="inlineStr">
        <is>
          <t>8.11 - MATERIAIS DE LIMPEZA / HIGIENE</t>
        </is>
      </c>
      <c r="G661" s="16" t="inlineStr">
        <is>
          <t>EUROCHEM SERRA DO SALITRE</t>
        </is>
      </c>
      <c r="H661" s="63" t="n">
        <v>2025</v>
      </c>
      <c r="I661" s="64" t="n">
        <v>6</v>
      </c>
      <c r="J661" s="16" t="inlineStr">
        <is>
          <t>Jun</t>
        </is>
      </c>
      <c r="K661" s="16" t="n"/>
      <c r="M661" s="89" t="n">
        <v>-315</v>
      </c>
      <c r="N661" s="1" t="inlineStr">
        <is>
          <t>MATERIAIS DE LIMPEZA / HIGIENE</t>
        </is>
      </c>
      <c r="O661" s="1" t="inlineStr">
        <is>
          <t>Despesas com Máquinas e Equipamentos</t>
        </is>
      </c>
      <c r="P661" s="1" t="inlineStr">
        <is>
          <t>(-)Gastos Fixos</t>
        </is>
      </c>
      <c r="Q661" s="1" t="n">
        <v>4</v>
      </c>
      <c r="R661" s="1" t="n">
        <v>2025</v>
      </c>
    </row>
    <row r="662">
      <c r="A662" s="61" t="n">
        <v>45826</v>
      </c>
      <c r="B662" s="16" t="inlineStr">
        <is>
          <t>DESPESAS DE VIAGEM</t>
        </is>
      </c>
      <c r="C662" s="90" t="n"/>
      <c r="D662" s="90" t="n">
        <v>53</v>
      </c>
      <c r="E662" s="90" t="n">
        <v>-53</v>
      </c>
      <c r="F662" s="16" t="inlineStr">
        <is>
          <t>12.5 - REFEIÇÕES FUNCIONARIOS</t>
        </is>
      </c>
      <c r="G662" s="16" t="inlineStr">
        <is>
          <t>COMPORTAS - PORTO FERREIRA</t>
        </is>
      </c>
      <c r="H662" s="63" t="n">
        <v>2025</v>
      </c>
      <c r="I662" s="64" t="n">
        <v>6</v>
      </c>
      <c r="J662" s="16" t="inlineStr">
        <is>
          <t>Jun</t>
        </is>
      </c>
      <c r="K662" s="16" t="n"/>
      <c r="M662" s="89" t="n">
        <v>-53</v>
      </c>
      <c r="N662" s="1" t="inlineStr">
        <is>
          <t>12.5 - REFEIÇÕES FUNCIONARIOS</t>
        </is>
      </c>
      <c r="O662" s="1" t="n"/>
      <c r="P662" s="1" t="n"/>
      <c r="Q662" s="1" t="n"/>
      <c r="R662" s="1" t="n">
        <v>2025</v>
      </c>
    </row>
    <row r="663">
      <c r="A663" s="61" t="n">
        <v>45826</v>
      </c>
      <c r="B663" s="16" t="inlineStr">
        <is>
          <t>DESPESAS DE VIAGEM</t>
        </is>
      </c>
      <c r="C663" s="90" t="n"/>
      <c r="D663" s="90" t="n">
        <v>654.53</v>
      </c>
      <c r="E663" s="90" t="n">
        <v>-654.53</v>
      </c>
      <c r="F663" s="16" t="inlineStr">
        <is>
          <t>6.4 - COMBUSTIVEL VEICULOS</t>
        </is>
      </c>
      <c r="G663" s="16" t="inlineStr">
        <is>
          <t>COMPORTAS - PORTO FERREIRA</t>
        </is>
      </c>
      <c r="H663" s="63" t="n">
        <v>2025</v>
      </c>
      <c r="I663" s="64" t="n">
        <v>6</v>
      </c>
      <c r="J663" s="16" t="inlineStr">
        <is>
          <t>Jun</t>
        </is>
      </c>
      <c r="K663" s="16" t="n"/>
      <c r="M663" s="89" t="n">
        <v>-654.53</v>
      </c>
      <c r="N663" s="1" t="inlineStr">
        <is>
          <t>COMBUSTIVEL VEICULOS</t>
        </is>
      </c>
      <c r="O663" s="1" t="inlineStr">
        <is>
          <t>Despesas com Veículos e Equipamentos</t>
        </is>
      </c>
      <c r="P663" s="1" t="inlineStr">
        <is>
          <t>(-)Gastos Fixos</t>
        </is>
      </c>
      <c r="Q663" s="1" t="n">
        <v>4</v>
      </c>
      <c r="R663" s="1" t="n">
        <v>2025</v>
      </c>
    </row>
    <row r="664">
      <c r="A664" s="61" t="n">
        <v>45826</v>
      </c>
      <c r="B664" s="16" t="inlineStr">
        <is>
          <t>DESPESAS DE VIAGEM</t>
        </is>
      </c>
      <c r="C664" s="90" t="n"/>
      <c r="D664" s="90" t="n">
        <v>160</v>
      </c>
      <c r="E664" s="90" t="n">
        <v>-160</v>
      </c>
      <c r="F664" s="16" t="inlineStr">
        <is>
          <t>12.9 - PASSAGENS FUNCIONARIOS</t>
        </is>
      </c>
      <c r="G664" s="16" t="inlineStr">
        <is>
          <t>MOSAIC UBERABA CONTRAT0 3 ANOS</t>
        </is>
      </c>
      <c r="H664" s="63" t="n">
        <v>2025</v>
      </c>
      <c r="I664" s="64" t="n">
        <v>6</v>
      </c>
      <c r="J664" s="16" t="inlineStr">
        <is>
          <t>Jun</t>
        </is>
      </c>
      <c r="K664" s="16" t="n"/>
      <c r="M664" s="89" t="n">
        <v>-160</v>
      </c>
      <c r="N664" s="1" t="inlineStr">
        <is>
          <t>12.9 - PASSAGENS FUNCIONARIOS</t>
        </is>
      </c>
      <c r="O664" s="1" t="n"/>
      <c r="P664" s="1" t="n"/>
      <c r="Q664" s="1" t="n"/>
      <c r="R664" s="1" t="n">
        <v>2025</v>
      </c>
    </row>
    <row r="665">
      <c r="A665" s="61" t="n">
        <v>45826</v>
      </c>
      <c r="B665" s="16" t="inlineStr">
        <is>
          <t>DESPESAS DE VIAGEM</t>
        </is>
      </c>
      <c r="C665" s="90" t="n"/>
      <c r="D665" s="90" t="n">
        <v>280</v>
      </c>
      <c r="E665" s="90" t="n">
        <v>-280</v>
      </c>
      <c r="F665" s="16" t="inlineStr">
        <is>
          <t>12.9 - PASSAGENS FUNCIONARIOS</t>
        </is>
      </c>
      <c r="G665" s="16" t="inlineStr">
        <is>
          <t>ANGLO AMERICAN</t>
        </is>
      </c>
      <c r="H665" s="63" t="n">
        <v>2025</v>
      </c>
      <c r="I665" s="64" t="n">
        <v>6</v>
      </c>
      <c r="J665" s="16" t="inlineStr">
        <is>
          <t>Jun</t>
        </is>
      </c>
      <c r="K665" s="16" t="n"/>
      <c r="M665" s="89" t="n">
        <v>-280</v>
      </c>
      <c r="N665" s="1" t="inlineStr">
        <is>
          <t>12.9 - PASSAGENS FUNCIONARIOS</t>
        </is>
      </c>
      <c r="O665" s="1" t="n"/>
      <c r="P665" s="1" t="n"/>
      <c r="Q665" s="1" t="n"/>
      <c r="R665" s="1" t="n">
        <v>2025</v>
      </c>
    </row>
    <row r="666">
      <c r="A666" s="61" t="n">
        <v>45826</v>
      </c>
      <c r="B666" s="16" t="inlineStr">
        <is>
          <t>WILLIAM ADM</t>
        </is>
      </c>
      <c r="C666" s="90" t="n"/>
      <c r="D666" s="90" t="n">
        <v>700</v>
      </c>
      <c r="E666" s="90" t="n">
        <v>-700</v>
      </c>
      <c r="F666" s="16" t="inlineStr">
        <is>
          <t>12.9 - PASSAGENS FUNCIONARIOS</t>
        </is>
      </c>
      <c r="G666" s="16" t="inlineStr">
        <is>
          <t>ADMINISTRATIVO</t>
        </is>
      </c>
      <c r="H666" s="63" t="n">
        <v>2025</v>
      </c>
      <c r="I666" s="64" t="n">
        <v>6</v>
      </c>
      <c r="J666" s="16" t="inlineStr">
        <is>
          <t>Jun</t>
        </is>
      </c>
      <c r="K666" s="16" t="n"/>
      <c r="M666" s="89" t="n">
        <v>-700</v>
      </c>
      <c r="N666" s="1" t="inlineStr">
        <is>
          <t>12.9 - PASSAGENS FUNCIONARIOS</t>
        </is>
      </c>
      <c r="O666" s="1" t="n"/>
      <c r="P666" s="1" t="n"/>
      <c r="Q666" s="1" t="n"/>
      <c r="R666" s="1" t="n">
        <v>2025</v>
      </c>
    </row>
    <row r="667">
      <c r="A667" s="61" t="n">
        <v>45826</v>
      </c>
      <c r="B667" s="16" t="inlineStr">
        <is>
          <t>WILLIAM ADM</t>
        </is>
      </c>
      <c r="C667" s="90" t="n"/>
      <c r="D667" s="90" t="n">
        <v>350</v>
      </c>
      <c r="E667" s="90" t="n">
        <v>-350</v>
      </c>
      <c r="F667" s="16" t="inlineStr">
        <is>
          <t>12.9 - PASSAGENS FUNCIONARIOS</t>
        </is>
      </c>
      <c r="G667" s="16" t="inlineStr">
        <is>
          <t>ADMINISTRATIVO</t>
        </is>
      </c>
      <c r="H667" s="63" t="n">
        <v>2025</v>
      </c>
      <c r="I667" s="64" t="n">
        <v>6</v>
      </c>
      <c r="J667" s="16" t="inlineStr">
        <is>
          <t>Jun</t>
        </is>
      </c>
      <c r="K667" s="16" t="n"/>
      <c r="M667" s="89" t="n">
        <v>-350</v>
      </c>
      <c r="N667" s="1" t="inlineStr">
        <is>
          <t>12.9 - PASSAGENS FUNCIONARIOS</t>
        </is>
      </c>
      <c r="O667" s="1" t="n"/>
      <c r="P667" s="1" t="n"/>
      <c r="Q667" s="1" t="n"/>
      <c r="R667" s="1" t="n">
        <v>2025</v>
      </c>
    </row>
    <row r="668">
      <c r="A668" s="61" t="n">
        <v>45826</v>
      </c>
      <c r="B668" s="16" t="inlineStr">
        <is>
          <t>DESPESAS DE VIAGEM</t>
        </is>
      </c>
      <c r="C668" s="90" t="n"/>
      <c r="D668" s="90" t="n">
        <v>160</v>
      </c>
      <c r="E668" s="90" t="n">
        <v>-160</v>
      </c>
      <c r="F668" s="16" t="inlineStr">
        <is>
          <t>12.5 - REFEIÇÕES FUNCIONARIOS</t>
        </is>
      </c>
      <c r="G668" s="16" t="inlineStr">
        <is>
          <t>MOSAIC UBERABA CONTRAT0 3 ANOS</t>
        </is>
      </c>
      <c r="H668" s="63" t="n">
        <v>2025</v>
      </c>
      <c r="I668" s="64" t="n">
        <v>6</v>
      </c>
      <c r="J668" s="16" t="inlineStr">
        <is>
          <t>Jun</t>
        </is>
      </c>
      <c r="K668" s="16" t="n"/>
      <c r="M668" s="89" t="n">
        <v>-160</v>
      </c>
      <c r="N668" s="1" t="inlineStr">
        <is>
          <t>12.5 - REFEIÇÕES FUNCIONARIOS</t>
        </is>
      </c>
      <c r="O668" s="1" t="n"/>
      <c r="P668" s="1" t="n"/>
      <c r="Q668" s="1" t="n"/>
      <c r="R668" s="1" t="n">
        <v>2025</v>
      </c>
    </row>
    <row r="669">
      <c r="A669" s="61" t="n">
        <v>45826</v>
      </c>
      <c r="B669" s="16" t="inlineStr">
        <is>
          <t>19087 - BIRCK &amp; AMP ROCHA LTDA</t>
        </is>
      </c>
      <c r="C669" s="90" t="n"/>
      <c r="D669" s="90" t="n">
        <v>2027</v>
      </c>
      <c r="E669" s="90" t="n">
        <v>-2027</v>
      </c>
      <c r="F669" s="16" t="inlineStr">
        <is>
          <t>4.1 - TINTAS E SOLVENTES</t>
        </is>
      </c>
      <c r="G669" s="16" t="inlineStr">
        <is>
          <t>NIOBIO CMOC CONTRATO</t>
        </is>
      </c>
      <c r="H669" s="63" t="n">
        <v>2025</v>
      </c>
      <c r="I669" s="64" t="n">
        <v>6</v>
      </c>
      <c r="J669" s="16" t="inlineStr">
        <is>
          <t>Jun</t>
        </is>
      </c>
      <c r="K669" s="16" t="n"/>
      <c r="M669" s="89" t="n">
        <v>-2027</v>
      </c>
      <c r="N669" s="1" t="inlineStr">
        <is>
          <t>TINTAS E SOLVENTES</t>
        </is>
      </c>
      <c r="O669" s="1" t="inlineStr">
        <is>
          <t>Fornecedores</t>
        </is>
      </c>
      <c r="P669" s="1" t="inlineStr">
        <is>
          <t>(-)Custos Variavéis</t>
        </is>
      </c>
      <c r="Q669" s="1" t="n">
        <v>3</v>
      </c>
      <c r="R669" s="1" t="n">
        <v>2025</v>
      </c>
    </row>
    <row r="670">
      <c r="A670" s="61" t="n">
        <v>45826</v>
      </c>
      <c r="B670" s="16" t="inlineStr">
        <is>
          <t>19087 - BIRCK &amp; AMP ROCHA LTDA</t>
        </is>
      </c>
      <c r="C670" s="90" t="n"/>
      <c r="D670" s="90" t="n">
        <v>2027</v>
      </c>
      <c r="E670" s="90" t="n">
        <v>-2027</v>
      </c>
      <c r="F670" s="16" t="inlineStr">
        <is>
          <t>4.1 - TINTAS E SOLVENTES</t>
        </is>
      </c>
      <c r="G670" s="16" t="inlineStr">
        <is>
          <t>NIOBIO CMOC CONTRATO</t>
        </is>
      </c>
      <c r="H670" s="63" t="n">
        <v>2025</v>
      </c>
      <c r="I670" s="64" t="n">
        <v>6</v>
      </c>
      <c r="J670" s="16" t="inlineStr">
        <is>
          <t>Jun</t>
        </is>
      </c>
      <c r="K670" s="16" t="n"/>
      <c r="M670" s="89" t="n">
        <v>-2027</v>
      </c>
      <c r="N670" s="1" t="inlineStr">
        <is>
          <t>TINTAS E SOLVENTES</t>
        </is>
      </c>
      <c r="O670" s="1" t="inlineStr">
        <is>
          <t>Fornecedores</t>
        </is>
      </c>
      <c r="P670" s="1" t="inlineStr">
        <is>
          <t>(-)Custos Variavéis</t>
        </is>
      </c>
      <c r="Q670" s="1" t="n">
        <v>3</v>
      </c>
      <c r="R670" s="1" t="n">
        <v>2025</v>
      </c>
    </row>
    <row r="671">
      <c r="A671" s="61" t="n">
        <v>45826</v>
      </c>
      <c r="B671" s="16" t="inlineStr">
        <is>
          <t>64 - CBS TREINAMENTOS LTDA</t>
        </is>
      </c>
      <c r="C671" s="90" t="n"/>
      <c r="D671" s="90" t="n">
        <v>500</v>
      </c>
      <c r="E671" s="90" t="n">
        <v>-500</v>
      </c>
      <c r="F671" s="16" t="inlineStr">
        <is>
          <t>14.2 - CURSOS / TREINAMENTOS</t>
        </is>
      </c>
      <c r="G671" s="16" t="inlineStr">
        <is>
          <t>CONDUTOS - ELETROBRAS</t>
        </is>
      </c>
      <c r="H671" s="63" t="n">
        <v>2025</v>
      </c>
      <c r="I671" s="64" t="n">
        <v>6</v>
      </c>
      <c r="J671" s="16" t="inlineStr">
        <is>
          <t>Jun</t>
        </is>
      </c>
      <c r="K671" s="16" t="n"/>
      <c r="M671" s="89" t="n">
        <v>-500</v>
      </c>
      <c r="N671" s="1" t="inlineStr">
        <is>
          <t>CURSOS / TREINAMENTOS</t>
        </is>
      </c>
      <c r="O671" s="1" t="inlineStr">
        <is>
          <t>Despesas com Pessoal</t>
        </is>
      </c>
      <c r="P671" s="1" t="inlineStr">
        <is>
          <t>(-)Gastos Fixos</t>
        </is>
      </c>
      <c r="Q671" s="1" t="n">
        <v>4</v>
      </c>
      <c r="R671" s="1" t="n">
        <v>2025</v>
      </c>
    </row>
    <row r="672">
      <c r="A672" s="61" t="n">
        <v>45826</v>
      </c>
      <c r="B672" s="16" t="inlineStr">
        <is>
          <t>1062185 - IMPERIAL COM DE PARAF. FER E MAQ. LTDA</t>
        </is>
      </c>
      <c r="C672" s="90" t="n"/>
      <c r="D672" s="90" t="n">
        <v>445</v>
      </c>
      <c r="E672" s="90" t="n">
        <v>-445</v>
      </c>
      <c r="F672" s="16" t="inlineStr">
        <is>
          <t>8.4 - MAQUINAS / EQUIPAMENTOS</t>
        </is>
      </c>
      <c r="G672" s="16" t="inlineStr">
        <is>
          <t>ANGLO AMERICAN</t>
        </is>
      </c>
      <c r="H672" s="63" t="n">
        <v>2025</v>
      </c>
      <c r="I672" s="64" t="n">
        <v>6</v>
      </c>
      <c r="J672" s="16" t="inlineStr">
        <is>
          <t>Jun</t>
        </is>
      </c>
      <c r="K672" s="16" t="n"/>
      <c r="M672" s="89" t="n">
        <v>-445</v>
      </c>
      <c r="N672" s="1" t="inlineStr">
        <is>
          <t>Aquisição de Maquinas e Equipamentos</t>
        </is>
      </c>
      <c r="O672" s="1" t="inlineStr">
        <is>
          <t>Investimentos</t>
        </is>
      </c>
      <c r="P672" s="1" t="inlineStr">
        <is>
          <t>(-)Investimentos</t>
        </is>
      </c>
      <c r="Q672" s="1" t="n">
        <v>8</v>
      </c>
      <c r="R672" s="1" t="n">
        <v>2025</v>
      </c>
    </row>
    <row r="673">
      <c r="A673" s="61" t="n">
        <v>45826</v>
      </c>
      <c r="B673" s="16" t="inlineStr">
        <is>
          <t>1062185 - IMPERIAL COM DE PARAF. FER E MAQ. LTDA</t>
        </is>
      </c>
      <c r="C673" s="90" t="n"/>
      <c r="D673" s="90" t="n">
        <v>445</v>
      </c>
      <c r="E673" s="90" t="n">
        <v>-445</v>
      </c>
      <c r="F673" s="16" t="inlineStr">
        <is>
          <t>8.4 - MAQUINAS / EQUIPAMENTOS</t>
        </is>
      </c>
      <c r="G673" s="16" t="inlineStr">
        <is>
          <t>ANGLO AMERICAN</t>
        </is>
      </c>
      <c r="H673" s="63" t="n">
        <v>2025</v>
      </c>
      <c r="I673" s="64" t="n">
        <v>6</v>
      </c>
      <c r="J673" s="16" t="inlineStr">
        <is>
          <t>Jun</t>
        </is>
      </c>
      <c r="K673" s="16" t="n"/>
      <c r="M673" s="89" t="n">
        <v>-445</v>
      </c>
      <c r="N673" s="1" t="inlineStr">
        <is>
          <t>Aquisição de Maquinas e Equipamentos</t>
        </is>
      </c>
      <c r="O673" s="1" t="inlineStr">
        <is>
          <t>Investimentos</t>
        </is>
      </c>
      <c r="P673" s="1" t="inlineStr">
        <is>
          <t>(-)Investimentos</t>
        </is>
      </c>
      <c r="Q673" s="1" t="n">
        <v>8</v>
      </c>
      <c r="R673" s="1" t="n">
        <v>2025</v>
      </c>
    </row>
    <row r="674">
      <c r="A674" s="61" t="n">
        <v>45827</v>
      </c>
      <c r="B674" s="16" t="inlineStr">
        <is>
          <t>299 - RESTAURANTE MARINA LTDA</t>
        </is>
      </c>
      <c r="C674" s="90" t="n"/>
      <c r="D674" s="90" t="n">
        <v>1817</v>
      </c>
      <c r="E674" s="90" t="n">
        <v>-1817</v>
      </c>
      <c r="F674" s="16" t="inlineStr">
        <is>
          <t>12.5 - REFEIÇÕES FUNCIONARIOS</t>
        </is>
      </c>
      <c r="G674" s="16" t="inlineStr">
        <is>
          <t>VLI PINTURA</t>
        </is>
      </c>
      <c r="H674" s="63" t="n">
        <v>2025</v>
      </c>
      <c r="I674" s="64" t="n">
        <v>6</v>
      </c>
      <c r="J674" s="16" t="inlineStr">
        <is>
          <t>Jun</t>
        </is>
      </c>
      <c r="K674" s="16" t="n"/>
      <c r="M674" s="89" t="n">
        <v>-1817</v>
      </c>
      <c r="N674" s="1" t="inlineStr">
        <is>
          <t>12.5 - REFEIÇÕES FUNCIONARIOS</t>
        </is>
      </c>
      <c r="O674" s="1" t="n"/>
      <c r="P674" s="1" t="n"/>
      <c r="Q674" s="1" t="n"/>
      <c r="R674" s="1" t="n">
        <v>2025</v>
      </c>
    </row>
    <row r="675">
      <c r="A675" s="61" t="n">
        <v>45828</v>
      </c>
      <c r="B675" s="16" t="inlineStr">
        <is>
          <t>A IDEAL SOLUÇÕES ANTICORROSIVAS LTDA</t>
        </is>
      </c>
      <c r="C675" s="90" t="n">
        <v>2500</v>
      </c>
      <c r="D675" s="90" t="n"/>
      <c r="E675" s="90" t="n">
        <v>2500</v>
      </c>
      <c r="F675" s="16" t="inlineStr">
        <is>
          <t>3.19 - SERVIÇO BRINDES E ACESSORIOS</t>
        </is>
      </c>
      <c r="G675" s="16" t="inlineStr">
        <is>
          <t>GASTOS COMERCIAIS</t>
        </is>
      </c>
      <c r="H675" s="63" t="n">
        <v>2025</v>
      </c>
      <c r="I675" s="64" t="n">
        <v>6</v>
      </c>
      <c r="J675" s="16" t="inlineStr">
        <is>
          <t>Jun</t>
        </is>
      </c>
      <c r="K675" s="16" t="n"/>
      <c r="M675" s="89" t="n">
        <v>2500</v>
      </c>
      <c r="N675" s="1" t="inlineStr">
        <is>
          <t>SERVIÇO BRINDES E ACESSORIOS</t>
        </is>
      </c>
      <c r="O675" s="1" t="inlineStr">
        <is>
          <t>Despesas Administrativas</t>
        </is>
      </c>
      <c r="P675" s="1" t="inlineStr">
        <is>
          <t>(-)Gastos Fixos</t>
        </is>
      </c>
      <c r="Q675" s="1" t="n">
        <v>4</v>
      </c>
      <c r="R675" s="1" t="n">
        <v>2025</v>
      </c>
    </row>
    <row r="676">
      <c r="A676" s="61" t="n">
        <v>45828</v>
      </c>
      <c r="B676" s="16" t="inlineStr">
        <is>
          <t>ADVOGADO</t>
        </is>
      </c>
      <c r="C676" s="90" t="n"/>
      <c r="D676" s="90" t="n">
        <v>3600</v>
      </c>
      <c r="E676" s="90" t="n">
        <v>-3600</v>
      </c>
      <c r="F676" s="16" t="inlineStr">
        <is>
          <t>9.1 - HONORARIOS ADVOCATICIOS</t>
        </is>
      </c>
      <c r="G676" s="16" t="inlineStr">
        <is>
          <t>ADMINISTRATIVO</t>
        </is>
      </c>
      <c r="H676" s="63" t="n">
        <v>2025</v>
      </c>
      <c r="I676" s="64" t="n">
        <v>6</v>
      </c>
      <c r="J676" s="16" t="inlineStr">
        <is>
          <t>Jun</t>
        </is>
      </c>
      <c r="K676" s="16" t="n"/>
      <c r="M676" s="89" t="n">
        <v>-3600</v>
      </c>
      <c r="N676" s="1" t="inlineStr">
        <is>
          <t>HONORÁRIOS ADVOCATÍCIOS</t>
        </is>
      </c>
      <c r="O676" s="1" t="inlineStr">
        <is>
          <t>Despesas Administrativas</t>
        </is>
      </c>
      <c r="P676" s="1" t="inlineStr">
        <is>
          <t>(-)Gastos Fixos</t>
        </is>
      </c>
      <c r="Q676" s="1" t="n">
        <v>4</v>
      </c>
      <c r="R676" s="1" t="n">
        <v>2025</v>
      </c>
    </row>
    <row r="677">
      <c r="A677" s="61" t="n">
        <v>45828</v>
      </c>
      <c r="B677" s="16" t="inlineStr">
        <is>
          <t>ALUGUEIS OBRAS</t>
        </is>
      </c>
      <c r="C677" s="90" t="n"/>
      <c r="D677" s="90" t="n">
        <v>1500</v>
      </c>
      <c r="E677" s="90" t="n">
        <v>-1500</v>
      </c>
      <c r="F677" s="16" t="inlineStr">
        <is>
          <t>5.3 - ALUGUEL ALOJAMENTO</t>
        </is>
      </c>
      <c r="G677" s="16" t="inlineStr">
        <is>
          <t>SERENA 21 TORRES 2024</t>
        </is>
      </c>
      <c r="H677" s="63" t="n">
        <v>2025</v>
      </c>
      <c r="I677" s="64" t="n">
        <v>6</v>
      </c>
      <c r="J677" s="16" t="inlineStr">
        <is>
          <t>Jun</t>
        </is>
      </c>
      <c r="K677" s="16" t="n"/>
      <c r="M677" s="89" t="n">
        <v>-1500</v>
      </c>
      <c r="N677" s="1" t="inlineStr">
        <is>
          <t>ALUGUEL ALOJAMENTO</t>
        </is>
      </c>
      <c r="O677" s="1" t="inlineStr">
        <is>
          <t>Despesas com Infraestrutura</t>
        </is>
      </c>
      <c r="P677" s="1" t="inlineStr">
        <is>
          <t>(-)Gastos Fixos</t>
        </is>
      </c>
      <c r="Q677" s="1" t="n">
        <v>4</v>
      </c>
      <c r="R677" s="1" t="n">
        <v>2025</v>
      </c>
    </row>
    <row r="678">
      <c r="A678" s="61" t="n">
        <v>45828</v>
      </c>
      <c r="B678" s="16" t="inlineStr">
        <is>
          <t>ALUGUEIS OBRAS</t>
        </is>
      </c>
      <c r="C678" s="90" t="n"/>
      <c r="D678" s="90" t="n">
        <v>600</v>
      </c>
      <c r="E678" s="90" t="n">
        <v>-600</v>
      </c>
      <c r="F678" s="16" t="inlineStr">
        <is>
          <t>5.3 - ALUGUEL ALOJAMENTO</t>
        </is>
      </c>
      <c r="G678" s="16" t="inlineStr">
        <is>
          <t>SERENA 21 TORRES 2024</t>
        </is>
      </c>
      <c r="H678" s="63" t="n">
        <v>2025</v>
      </c>
      <c r="I678" s="64" t="n">
        <v>6</v>
      </c>
      <c r="J678" s="16" t="inlineStr">
        <is>
          <t>Jun</t>
        </is>
      </c>
      <c r="K678" s="16" t="n"/>
      <c r="M678" s="89" t="n">
        <v>-600</v>
      </c>
      <c r="N678" s="1" t="inlineStr">
        <is>
          <t>ALUGUEL ALOJAMENTO</t>
        </is>
      </c>
      <c r="O678" s="1" t="inlineStr">
        <is>
          <t>Despesas com Infraestrutura</t>
        </is>
      </c>
      <c r="P678" s="1" t="inlineStr">
        <is>
          <t>(-)Gastos Fixos</t>
        </is>
      </c>
      <c r="Q678" s="1" t="n">
        <v>4</v>
      </c>
      <c r="R678" s="1" t="n">
        <v>2025</v>
      </c>
    </row>
    <row r="679">
      <c r="A679" s="61" t="n">
        <v>45828</v>
      </c>
      <c r="B679" s="16" t="inlineStr">
        <is>
          <t>22719 - CVAL ALUGUEL DE VEÍCULOS LTDA</t>
        </is>
      </c>
      <c r="C679" s="90" t="n"/>
      <c r="D679" s="90" t="n">
        <v>2835.41</v>
      </c>
      <c r="E679" s="90" t="n">
        <v>-2835.41</v>
      </c>
      <c r="F679" s="16" t="inlineStr">
        <is>
          <t>7.8 - LOCAÇAO VEICULOS</t>
        </is>
      </c>
      <c r="G679" s="16" t="inlineStr">
        <is>
          <t>MOSAIC UBERABA CONTRAT0 3 ANOS</t>
        </is>
      </c>
      <c r="H679" s="63" t="n">
        <v>2025</v>
      </c>
      <c r="I679" s="64" t="n">
        <v>6</v>
      </c>
      <c r="J679" s="16" t="inlineStr">
        <is>
          <t>Jun</t>
        </is>
      </c>
      <c r="K679" s="16" t="n"/>
      <c r="M679" s="89" t="n">
        <v>-2835.41</v>
      </c>
      <c r="N679" s="1" t="inlineStr">
        <is>
          <t>LOCAÇAO VEICULOS</t>
        </is>
      </c>
      <c r="O679" s="1" t="inlineStr">
        <is>
          <t>Despesas com Locações</t>
        </is>
      </c>
      <c r="P679" s="1" t="inlineStr">
        <is>
          <t>(-)Gastos Fixos</t>
        </is>
      </c>
      <c r="Q679" s="1" t="n">
        <v>4</v>
      </c>
      <c r="R679" s="1" t="n">
        <v>2025</v>
      </c>
    </row>
    <row r="680">
      <c r="A680" s="61" t="n">
        <v>45828</v>
      </c>
      <c r="B680" s="16" t="inlineStr">
        <is>
          <t>285930 - A L R ELETRICA LTDA.</t>
        </is>
      </c>
      <c r="C680" s="90" t="n"/>
      <c r="D680" s="90" t="n">
        <v>62.91</v>
      </c>
      <c r="E680" s="90" t="n">
        <v>-62.91</v>
      </c>
      <c r="F680" s="16" t="inlineStr">
        <is>
          <t>8.7 - MATERIAL ELETRICO</t>
        </is>
      </c>
      <c r="G680" s="16" t="inlineStr">
        <is>
          <t>ADMINISTRATIVO</t>
        </is>
      </c>
      <c r="H680" s="63" t="n">
        <v>2025</v>
      </c>
      <c r="I680" s="64" t="n">
        <v>6</v>
      </c>
      <c r="J680" s="16" t="inlineStr">
        <is>
          <t>Jun</t>
        </is>
      </c>
      <c r="K680" s="16" t="n"/>
      <c r="M680" s="89" t="n">
        <v>-62.91</v>
      </c>
      <c r="N680" s="1" t="inlineStr">
        <is>
          <t>MATERIAL ELETRICO</t>
        </is>
      </c>
      <c r="O680" s="1" t="inlineStr">
        <is>
          <t>Despesas com Máquinas e Equipamentos</t>
        </is>
      </c>
      <c r="P680" s="1" t="inlineStr">
        <is>
          <t>(-)Gastos Fixos</t>
        </is>
      </c>
      <c r="Q680" s="1" t="n">
        <v>4</v>
      </c>
      <c r="R680" s="1" t="n">
        <v>2025</v>
      </c>
    </row>
    <row r="681">
      <c r="A681" s="61" t="n">
        <v>45828</v>
      </c>
      <c r="B681" s="16" t="inlineStr">
        <is>
          <t>40766 - ALR AUTOMACAO INDUSTRIAL</t>
        </is>
      </c>
      <c r="C681" s="90" t="n"/>
      <c r="D681" s="90" t="n">
        <v>78.87</v>
      </c>
      <c r="E681" s="90" t="n">
        <v>-78.87</v>
      </c>
      <c r="F681" s="16" t="inlineStr">
        <is>
          <t>8.7 - MATERIAL ELETRICO</t>
        </is>
      </c>
      <c r="G681" s="16" t="inlineStr">
        <is>
          <t>ADMINISTRATIVO</t>
        </is>
      </c>
      <c r="H681" s="63" t="n">
        <v>2025</v>
      </c>
      <c r="I681" s="64" t="n">
        <v>6</v>
      </c>
      <c r="J681" s="16" t="inlineStr">
        <is>
          <t>Jun</t>
        </is>
      </c>
      <c r="K681" s="16" t="n"/>
      <c r="M681" s="89" t="n">
        <v>-78.87</v>
      </c>
      <c r="N681" s="1" t="inlineStr">
        <is>
          <t>MATERIAL ELETRICO</t>
        </is>
      </c>
      <c r="O681" s="1" t="inlineStr">
        <is>
          <t>Despesas com Máquinas e Equipamentos</t>
        </is>
      </c>
      <c r="P681" s="1" t="inlineStr">
        <is>
          <t>(-)Gastos Fixos</t>
        </is>
      </c>
      <c r="Q681" s="1" t="n">
        <v>4</v>
      </c>
      <c r="R681" s="1" t="n">
        <v>2025</v>
      </c>
    </row>
    <row r="682">
      <c r="A682" s="61" t="n">
        <v>45828</v>
      </c>
      <c r="B682" s="16" t="inlineStr">
        <is>
          <t>131279 - QUALISOL INDUSTRIA E COMERCIO DE PRODUTOS QUIMICOS LTDA</t>
        </is>
      </c>
      <c r="C682" s="90" t="n"/>
      <c r="D682" s="90" t="n">
        <v>596.4</v>
      </c>
      <c r="E682" s="90" t="n">
        <v>-596.4</v>
      </c>
      <c r="F682" s="16" t="inlineStr">
        <is>
          <t>4.1 - TINTAS E SOLVENTES</t>
        </is>
      </c>
      <c r="G682" s="16" t="inlineStr">
        <is>
          <t>EUROCHEM SERRA DO SALITRE</t>
        </is>
      </c>
      <c r="H682" s="63" t="n">
        <v>2025</v>
      </c>
      <c r="I682" s="64" t="n">
        <v>6</v>
      </c>
      <c r="J682" s="16" t="inlineStr">
        <is>
          <t>Jun</t>
        </is>
      </c>
      <c r="K682" s="16" t="n"/>
      <c r="M682" s="89" t="n">
        <v>-596.4</v>
      </c>
      <c r="N682" s="1" t="inlineStr">
        <is>
          <t>TINTAS E SOLVENTES</t>
        </is>
      </c>
      <c r="O682" s="1" t="inlineStr">
        <is>
          <t>Fornecedores</t>
        </is>
      </c>
      <c r="P682" s="1" t="inlineStr">
        <is>
          <t>(-)Custos Variavéis</t>
        </is>
      </c>
      <c r="Q682" s="1" t="n">
        <v>3</v>
      </c>
      <c r="R682" s="1" t="n">
        <v>2025</v>
      </c>
    </row>
    <row r="683">
      <c r="A683" s="61" t="n">
        <v>45828</v>
      </c>
      <c r="B683" s="16" t="inlineStr">
        <is>
          <t>131279 - QUALISOL INDUSTRIA E COMERCIO DE PRODUTOS QUIMICOS LTDA</t>
        </is>
      </c>
      <c r="C683" s="90" t="n"/>
      <c r="D683" s="90" t="n">
        <v>596.4</v>
      </c>
      <c r="E683" s="90" t="n">
        <v>-596.4</v>
      </c>
      <c r="F683" s="16" t="inlineStr">
        <is>
          <t>4.1 - TINTAS E SOLVENTES</t>
        </is>
      </c>
      <c r="G683" s="16" t="inlineStr">
        <is>
          <t>EUROCHEM SERRA DO SALITRE</t>
        </is>
      </c>
      <c r="H683" s="63" t="n">
        <v>2025</v>
      </c>
      <c r="I683" s="64" t="n">
        <v>6</v>
      </c>
      <c r="J683" s="16" t="inlineStr">
        <is>
          <t>Jun</t>
        </is>
      </c>
      <c r="K683" s="16" t="n"/>
      <c r="M683" s="89" t="n">
        <v>-596.4</v>
      </c>
      <c r="N683" s="1" t="inlineStr">
        <is>
          <t>TINTAS E SOLVENTES</t>
        </is>
      </c>
      <c r="O683" s="1" t="inlineStr">
        <is>
          <t>Fornecedores</t>
        </is>
      </c>
      <c r="P683" s="1" t="inlineStr">
        <is>
          <t>(-)Custos Variavéis</t>
        </is>
      </c>
      <c r="Q683" s="1" t="n">
        <v>3</v>
      </c>
      <c r="R683" s="1" t="n">
        <v>2025</v>
      </c>
    </row>
    <row r="684">
      <c r="A684" s="61" t="n">
        <v>45828</v>
      </c>
      <c r="B684" s="16" t="inlineStr">
        <is>
          <t>131279 - QUALISOL INDUSTRIA E COMERCIO DE PRODUTOS QUIMICOS LTDA</t>
        </is>
      </c>
      <c r="C684" s="90" t="n"/>
      <c r="D684" s="90" t="n">
        <v>596.4</v>
      </c>
      <c r="E684" s="90" t="n">
        <v>-596.4</v>
      </c>
      <c r="F684" s="16" t="inlineStr">
        <is>
          <t>4.1 - TINTAS E SOLVENTES</t>
        </is>
      </c>
      <c r="G684" s="16" t="inlineStr">
        <is>
          <t>EUROCHEM SERRA DO SALITRE</t>
        </is>
      </c>
      <c r="H684" s="63" t="n">
        <v>2025</v>
      </c>
      <c r="I684" s="64" t="n">
        <v>6</v>
      </c>
      <c r="J684" s="16" t="inlineStr">
        <is>
          <t>Jun</t>
        </is>
      </c>
      <c r="K684" s="16" t="n"/>
      <c r="M684" s="89" t="n">
        <v>-596.4</v>
      </c>
      <c r="N684" s="1" t="inlineStr">
        <is>
          <t>TINTAS E SOLVENTES</t>
        </is>
      </c>
      <c r="O684" s="1" t="inlineStr">
        <is>
          <t>Fornecedores</t>
        </is>
      </c>
      <c r="P684" s="1" t="inlineStr">
        <is>
          <t>(-)Custos Variavéis</t>
        </is>
      </c>
      <c r="Q684" s="1" t="n">
        <v>3</v>
      </c>
      <c r="R684" s="1" t="n">
        <v>2025</v>
      </c>
    </row>
    <row r="685">
      <c r="A685" s="61" t="n">
        <v>45828</v>
      </c>
      <c r="B685" s="16" t="inlineStr">
        <is>
          <t>DESPESAS LOTE TRINDADE AIDEAL</t>
        </is>
      </c>
      <c r="C685" s="90" t="n"/>
      <c r="D685" s="90" t="n">
        <v>2169</v>
      </c>
      <c r="E685" s="90" t="n">
        <v>-2169</v>
      </c>
      <c r="F685" s="16" t="inlineStr">
        <is>
          <t>15.4 - DESPESAS C/ CONSTRUÇÃO ESCRITORIO ADM</t>
        </is>
      </c>
      <c r="G685" s="16" t="inlineStr">
        <is>
          <t>LOTE TRINDADE</t>
        </is>
      </c>
      <c r="H685" s="63" t="n">
        <v>2025</v>
      </c>
      <c r="I685" s="64" t="n">
        <v>6</v>
      </c>
      <c r="J685" s="16" t="inlineStr">
        <is>
          <t>Jun</t>
        </is>
      </c>
      <c r="K685" s="16" t="n"/>
      <c r="M685" s="89" t="n">
        <v>-2169</v>
      </c>
      <c r="N685" s="1" t="inlineStr">
        <is>
          <t>Construção da Nova Sede</t>
        </is>
      </c>
      <c r="O685" s="1" t="inlineStr">
        <is>
          <t>Investimentos</t>
        </is>
      </c>
      <c r="P685" s="1" t="inlineStr">
        <is>
          <t>(-)Investimentos</t>
        </is>
      </c>
      <c r="Q685" s="1" t="n">
        <v>8</v>
      </c>
      <c r="R685" s="1" t="n">
        <v>2025</v>
      </c>
    </row>
    <row r="686">
      <c r="A686" s="61" t="n">
        <v>45828</v>
      </c>
      <c r="B686" s="16" t="inlineStr">
        <is>
          <t>DESPESAS LOTE TRINDADE AIDEAL</t>
        </is>
      </c>
      <c r="C686" s="90" t="n"/>
      <c r="D686" s="90" t="n">
        <v>5061</v>
      </c>
      <c r="E686" s="90" t="n">
        <v>-5061</v>
      </c>
      <c r="F686" s="16" t="inlineStr">
        <is>
          <t>15.1 - DESPESAS C/ MURO E CALÇADAS</t>
        </is>
      </c>
      <c r="G686" s="16" t="inlineStr">
        <is>
          <t>LOTE TRINDADE</t>
        </is>
      </c>
      <c r="H686" s="63" t="n">
        <v>2025</v>
      </c>
      <c r="I686" s="64" t="n">
        <v>6</v>
      </c>
      <c r="J686" s="16" t="inlineStr">
        <is>
          <t>Jun</t>
        </is>
      </c>
      <c r="K686" s="16" t="n"/>
      <c r="M686" s="89" t="n">
        <v>-5061</v>
      </c>
      <c r="N686" s="1" t="inlineStr">
        <is>
          <t>15.1 - DESPESAS C/ MURO E CALÇADAS</t>
        </is>
      </c>
      <c r="O686" s="1" t="n"/>
      <c r="P686" s="1" t="n"/>
      <c r="Q686" s="1" t="n"/>
      <c r="R686" s="1" t="n">
        <v>2025</v>
      </c>
    </row>
    <row r="687">
      <c r="A687" s="61" t="n">
        <v>45828</v>
      </c>
      <c r="B687" s="16" t="inlineStr">
        <is>
          <t>DESPESAS LOTE TRINDADE AIDEAL</t>
        </is>
      </c>
      <c r="C687" s="90" t="n"/>
      <c r="D687" s="90" t="n">
        <v>3600</v>
      </c>
      <c r="E687" s="90" t="n">
        <v>-3600</v>
      </c>
      <c r="F687" s="16" t="inlineStr">
        <is>
          <t>15.1 - DESPESAS C/ MURO E CALÇADAS</t>
        </is>
      </c>
      <c r="G687" s="16" t="inlineStr">
        <is>
          <t>LOTE TRINDADE</t>
        </is>
      </c>
      <c r="H687" s="63" t="n">
        <v>2025</v>
      </c>
      <c r="I687" s="64" t="n">
        <v>6</v>
      </c>
      <c r="J687" s="16" t="inlineStr">
        <is>
          <t>Jun</t>
        </is>
      </c>
      <c r="K687" s="16" t="n"/>
      <c r="M687" s="89" t="n">
        <v>-3600</v>
      </c>
      <c r="N687" s="1" t="inlineStr">
        <is>
          <t>15.1 - DESPESAS C/ MURO E CALÇADAS</t>
        </is>
      </c>
      <c r="O687" s="1" t="n"/>
      <c r="P687" s="1" t="n"/>
      <c r="Q687" s="1" t="n"/>
      <c r="R687" s="1" t="n">
        <v>2025</v>
      </c>
    </row>
    <row r="688">
      <c r="A688" s="61" t="n">
        <v>45829</v>
      </c>
      <c r="B688" s="16" t="inlineStr">
        <is>
          <t>ALEX INFORMATICA XCELL CELULARES E COMPUTADORES</t>
        </is>
      </c>
      <c r="C688" s="90" t="n"/>
      <c r="D688" s="90" t="n">
        <v>500</v>
      </c>
      <c r="E688" s="90" t="n">
        <v>-500</v>
      </c>
      <c r="F688" s="16" t="inlineStr">
        <is>
          <t>11.8 - SISTEMA / SERVIDOR</t>
        </is>
      </c>
      <c r="G688" s="16" t="inlineStr">
        <is>
          <t>ADMINISTRATIVO</t>
        </is>
      </c>
      <c r="H688" s="63" t="n">
        <v>2025</v>
      </c>
      <c r="I688" s="64" t="n">
        <v>6</v>
      </c>
      <c r="J688" s="16" t="inlineStr">
        <is>
          <t>Jun</t>
        </is>
      </c>
      <c r="K688" s="16" t="n"/>
      <c r="M688" s="89" t="n">
        <v>-500</v>
      </c>
      <c r="N688" s="1" t="inlineStr">
        <is>
          <t>SISTEMA / SERVIDOR</t>
        </is>
      </c>
      <c r="O688" s="1" t="inlineStr">
        <is>
          <t>Despesas Administrativas</t>
        </is>
      </c>
      <c r="P688" s="1" t="inlineStr">
        <is>
          <t>(-)Gastos Fixos</t>
        </is>
      </c>
      <c r="Q688" s="1" t="n">
        <v>4</v>
      </c>
      <c r="R688" s="1" t="n">
        <v>2025</v>
      </c>
    </row>
    <row r="689">
      <c r="A689" s="61" t="n">
        <v>45831</v>
      </c>
      <c r="B689" s="16" t="inlineStr">
        <is>
          <t>SMART BOSS SERVIÇOS LTDA</t>
        </is>
      </c>
      <c r="C689" s="90" t="n"/>
      <c r="D689" s="90" t="n">
        <v>10000</v>
      </c>
      <c r="E689" s="90" t="n">
        <v>-10000</v>
      </c>
      <c r="F689" s="16" t="inlineStr">
        <is>
          <t>3.3 - SERVIÇOS DE CONSULTORIA</t>
        </is>
      </c>
      <c r="G689" s="16" t="inlineStr">
        <is>
          <t>ADMINISTRATIVO</t>
        </is>
      </c>
      <c r="H689" s="63" t="n">
        <v>2025</v>
      </c>
      <c r="I689" s="64" t="n">
        <v>6</v>
      </c>
      <c r="J689" s="16" t="inlineStr">
        <is>
          <t>Jun</t>
        </is>
      </c>
      <c r="K689" s="16" t="n"/>
      <c r="M689" s="89" t="n">
        <v>-10000</v>
      </c>
      <c r="N689" s="1" t="inlineStr">
        <is>
          <t>SERVIÇOS DE CONSULTORIA</t>
        </is>
      </c>
      <c r="O689" s="1" t="inlineStr">
        <is>
          <t>Despesas Administrativas</t>
        </is>
      </c>
      <c r="P689" s="1" t="inlineStr">
        <is>
          <t>(-)Gastos Fixos</t>
        </is>
      </c>
      <c r="Q689" s="1" t="n">
        <v>4</v>
      </c>
      <c r="R689" s="1" t="n">
        <v>2025</v>
      </c>
    </row>
    <row r="690">
      <c r="A690" s="61" t="n">
        <v>45831</v>
      </c>
      <c r="B690" s="16" t="inlineStr">
        <is>
          <t>SMART BOSS SERVIÇOS LTDA</t>
        </is>
      </c>
      <c r="C690" s="90" t="n"/>
      <c r="D690" s="90" t="n">
        <v>7900</v>
      </c>
      <c r="E690" s="90" t="n">
        <v>-7900</v>
      </c>
      <c r="F690" s="16" t="inlineStr">
        <is>
          <t>3.3 - SERVIÇOS DE CONSULTORIA</t>
        </is>
      </c>
      <c r="G690" s="16" t="inlineStr">
        <is>
          <t>ADMINISTRATIVO</t>
        </is>
      </c>
      <c r="H690" s="63" t="n">
        <v>2025</v>
      </c>
      <c r="I690" s="64" t="n">
        <v>6</v>
      </c>
      <c r="J690" s="16" t="inlineStr">
        <is>
          <t>Jun</t>
        </is>
      </c>
      <c r="K690" s="16" t="n"/>
      <c r="M690" s="89" t="n">
        <v>-7900</v>
      </c>
      <c r="N690" s="1" t="inlineStr">
        <is>
          <t>SERVIÇOS DE CONSULTORIA</t>
        </is>
      </c>
      <c r="O690" s="1" t="inlineStr">
        <is>
          <t>Despesas Administrativas</t>
        </is>
      </c>
      <c r="P690" s="1" t="inlineStr">
        <is>
          <t>(-)Gastos Fixos</t>
        </is>
      </c>
      <c r="Q690" s="1" t="n">
        <v>4</v>
      </c>
      <c r="R690" s="1" t="n">
        <v>2025</v>
      </c>
    </row>
    <row r="691">
      <c r="A691" s="61" t="n">
        <v>45831</v>
      </c>
      <c r="B691" s="16" t="inlineStr">
        <is>
          <t>ALUGUEL GALPAO ADM FRANK ANTONIO</t>
        </is>
      </c>
      <c r="C691" s="90" t="n"/>
      <c r="D691" s="90" t="n">
        <v>2500</v>
      </c>
      <c r="E691" s="90" t="n">
        <v>-2500</v>
      </c>
      <c r="F691" s="16" t="inlineStr">
        <is>
          <t>11.1 - ALUGUEIS ADM</t>
        </is>
      </c>
      <c r="G691" s="16" t="inlineStr">
        <is>
          <t>ADMINISTRATIVO</t>
        </is>
      </c>
      <c r="H691" s="63" t="n">
        <v>2025</v>
      </c>
      <c r="I691" s="64" t="n">
        <v>6</v>
      </c>
      <c r="J691" s="16" t="inlineStr">
        <is>
          <t>Jun</t>
        </is>
      </c>
      <c r="K691" s="16" t="n"/>
      <c r="M691" s="89" t="n">
        <v>-2500</v>
      </c>
      <c r="N691" s="1" t="inlineStr">
        <is>
          <t>ALUGUEIS ADM</t>
        </is>
      </c>
      <c r="O691" s="1" t="inlineStr">
        <is>
          <t>Despesas com Infraestrutura</t>
        </is>
      </c>
      <c r="P691" s="1" t="inlineStr">
        <is>
          <t>(-)Gastos Fixos</t>
        </is>
      </c>
      <c r="Q691" s="1" t="n">
        <v>4</v>
      </c>
      <c r="R691" s="1" t="n">
        <v>2025</v>
      </c>
    </row>
    <row r="692">
      <c r="A692" s="61" t="n">
        <v>45831</v>
      </c>
      <c r="B692" s="16" t="inlineStr">
        <is>
          <t>ALUGUEL GALPAO ADM FRANK ANTONIO</t>
        </is>
      </c>
      <c r="C692" s="90" t="n"/>
      <c r="D692" s="90" t="n">
        <v>3704.6</v>
      </c>
      <c r="E692" s="90" t="n">
        <v>-3704.6</v>
      </c>
      <c r="F692" s="16" t="inlineStr">
        <is>
          <t>11.4 - IPTU</t>
        </is>
      </c>
      <c r="G692" s="16" t="inlineStr">
        <is>
          <t>ADMINISTRATIVO</t>
        </is>
      </c>
      <c r="H692" s="63" t="n">
        <v>2025</v>
      </c>
      <c r="I692" s="64" t="n">
        <v>6</v>
      </c>
      <c r="J692" s="16" t="inlineStr">
        <is>
          <t>Jun</t>
        </is>
      </c>
      <c r="K692" s="16" t="n"/>
      <c r="M692" s="89" t="n">
        <v>-3704.6</v>
      </c>
      <c r="N692" s="1" t="inlineStr">
        <is>
          <t>IPTU</t>
        </is>
      </c>
      <c r="O692" s="1" t="inlineStr">
        <is>
          <t>Despesas com Infraestrutura</t>
        </is>
      </c>
      <c r="P692" s="1" t="inlineStr">
        <is>
          <t>(-)Gastos Fixos</t>
        </is>
      </c>
      <c r="Q692" s="1" t="n">
        <v>4</v>
      </c>
      <c r="R692" s="1" t="n">
        <v>2025</v>
      </c>
    </row>
    <row r="693">
      <c r="A693" s="61" t="n">
        <v>45831</v>
      </c>
      <c r="B693" s="16" t="inlineStr">
        <is>
          <t>DESPESAS VEICULOS</t>
        </is>
      </c>
      <c r="C693" s="90" t="n"/>
      <c r="D693" s="90" t="n">
        <v>793</v>
      </c>
      <c r="E693" s="90" t="n">
        <v>-793</v>
      </c>
      <c r="F693" s="16" t="inlineStr">
        <is>
          <t>6.3 - MANUTENÇÃO/PEÇAS  VEICULOS</t>
        </is>
      </c>
      <c r="G693" s="16" t="inlineStr">
        <is>
          <t>SERENA 21 TORRES 2024</t>
        </is>
      </c>
      <c r="H693" s="63" t="n">
        <v>2025</v>
      </c>
      <c r="I693" s="64" t="n">
        <v>6</v>
      </c>
      <c r="J693" s="16" t="inlineStr">
        <is>
          <t>Jun</t>
        </is>
      </c>
      <c r="K693" s="16" t="n"/>
      <c r="M693" s="89" t="n">
        <v>-793</v>
      </c>
      <c r="N693" s="1" t="inlineStr">
        <is>
          <t>MANUTENÇÃO/PEÇAS  VEICULOS</t>
        </is>
      </c>
      <c r="O693" s="1" t="inlineStr">
        <is>
          <t>Despesas com Veículos e Equipamentos</t>
        </is>
      </c>
      <c r="P693" s="1" t="inlineStr">
        <is>
          <t>(-)Gastos Fixos</t>
        </is>
      </c>
      <c r="Q693" s="1" t="n">
        <v>4</v>
      </c>
      <c r="R693" s="1" t="n">
        <v>2025</v>
      </c>
    </row>
    <row r="694">
      <c r="A694" s="61" t="n">
        <v>45831</v>
      </c>
      <c r="B694" s="16" t="inlineStr">
        <is>
          <t>VAN OBRAS</t>
        </is>
      </c>
      <c r="C694" s="90" t="n"/>
      <c r="D694" s="90" t="n">
        <v>2180</v>
      </c>
      <c r="E694" s="90" t="n">
        <v>-2180</v>
      </c>
      <c r="F694" s="16" t="inlineStr">
        <is>
          <t>12.7 - TRANSPORTE FUNCIONARIOS</t>
        </is>
      </c>
      <c r="G694" s="16" t="inlineStr">
        <is>
          <t>EUROCHEM SERRA DO SALITRE</t>
        </is>
      </c>
      <c r="H694" s="63" t="n">
        <v>2025</v>
      </c>
      <c r="I694" s="64" t="n">
        <v>6</v>
      </c>
      <c r="J694" s="16" t="inlineStr">
        <is>
          <t>Jun</t>
        </is>
      </c>
      <c r="K694" s="16" t="n"/>
      <c r="M694" s="89" t="n">
        <v>-2180</v>
      </c>
      <c r="N694" s="1" t="inlineStr">
        <is>
          <t>12.7 - TRANSPORTE FUNCIONARIOS</t>
        </is>
      </c>
      <c r="O694" s="1" t="n"/>
      <c r="P694" s="1" t="n"/>
      <c r="Q694" s="1" t="n"/>
      <c r="R694" s="1" t="n">
        <v>2025</v>
      </c>
    </row>
    <row r="695">
      <c r="A695" s="61" t="n">
        <v>45831</v>
      </c>
      <c r="B695" s="16" t="inlineStr">
        <is>
          <t>JACINTO FERNANDES</t>
        </is>
      </c>
      <c r="C695" s="90" t="n"/>
      <c r="D695" s="90" t="n">
        <v>40</v>
      </c>
      <c r="E695" s="90" t="n">
        <v>-40</v>
      </c>
      <c r="F695" s="16" t="inlineStr">
        <is>
          <t>6.3 - MANUTENÇÃO/PEÇAS  VEICULOS</t>
        </is>
      </c>
      <c r="G695" s="16" t="inlineStr">
        <is>
          <t>SERENA 21 TORRES 2024</t>
        </is>
      </c>
      <c r="H695" s="63" t="n">
        <v>2025</v>
      </c>
      <c r="I695" s="64" t="n">
        <v>6</v>
      </c>
      <c r="J695" s="16" t="inlineStr">
        <is>
          <t>Jun</t>
        </is>
      </c>
      <c r="K695" s="16" t="n"/>
      <c r="M695" s="89" t="n">
        <v>-40</v>
      </c>
      <c r="N695" s="1" t="inlineStr">
        <is>
          <t>MANUTENÇÃO/PEÇAS  VEICULOS</t>
        </is>
      </c>
      <c r="O695" s="1" t="inlineStr">
        <is>
          <t>Despesas com Veículos e Equipamentos</t>
        </is>
      </c>
      <c r="P695" s="1" t="inlineStr">
        <is>
          <t>(-)Gastos Fixos</t>
        </is>
      </c>
      <c r="Q695" s="1" t="n">
        <v>4</v>
      </c>
      <c r="R695" s="1" t="n">
        <v>2025</v>
      </c>
    </row>
    <row r="696">
      <c r="A696" s="61" t="n">
        <v>45831</v>
      </c>
      <c r="B696" s="16" t="inlineStr">
        <is>
          <t>JACINTO FERNANDES</t>
        </is>
      </c>
      <c r="C696" s="90" t="n"/>
      <c r="D696" s="90" t="n">
        <v>210</v>
      </c>
      <c r="E696" s="90" t="n">
        <v>-210</v>
      </c>
      <c r="F696" s="16" t="inlineStr">
        <is>
          <t>6.10 - SERVIÇO LAVA JATO</t>
        </is>
      </c>
      <c r="G696" s="16" t="inlineStr">
        <is>
          <t>SERENA 21 TORRES 2024</t>
        </is>
      </c>
      <c r="H696" s="63" t="n">
        <v>2025</v>
      </c>
      <c r="I696" s="64" t="n">
        <v>6</v>
      </c>
      <c r="J696" s="16" t="inlineStr">
        <is>
          <t>Jun</t>
        </is>
      </c>
      <c r="K696" s="16" t="n"/>
      <c r="M696" s="89" t="n">
        <v>-210</v>
      </c>
      <c r="N696" s="1" t="inlineStr">
        <is>
          <t>SERVIÇO LAVA JATO</t>
        </is>
      </c>
      <c r="O696" s="1" t="inlineStr">
        <is>
          <t>Despesas com Veículos e Equipamentos</t>
        </is>
      </c>
      <c r="P696" s="1" t="inlineStr">
        <is>
          <t>(-)Gastos Fixos</t>
        </is>
      </c>
      <c r="Q696" s="1" t="n">
        <v>4</v>
      </c>
      <c r="R696" s="1" t="n">
        <v>2025</v>
      </c>
    </row>
    <row r="697">
      <c r="A697" s="61" t="n">
        <v>45831</v>
      </c>
      <c r="B697" s="16" t="inlineStr">
        <is>
          <t>JACINTO FERNANDES</t>
        </is>
      </c>
      <c r="C697" s="90" t="n"/>
      <c r="D697" s="90" t="n">
        <v>300</v>
      </c>
      <c r="E697" s="90" t="n">
        <v>-300</v>
      </c>
      <c r="F697" s="16" t="inlineStr">
        <is>
          <t>6.4 - COMBUSTIVEL VEICULOS</t>
        </is>
      </c>
      <c r="G697" s="16" t="inlineStr">
        <is>
          <t>SERENA 21 TORRES 2024</t>
        </is>
      </c>
      <c r="H697" s="63" t="n">
        <v>2025</v>
      </c>
      <c r="I697" s="64" t="n">
        <v>6</v>
      </c>
      <c r="J697" s="16" t="inlineStr">
        <is>
          <t>Jun</t>
        </is>
      </c>
      <c r="K697" s="16" t="n"/>
      <c r="M697" s="89" t="n">
        <v>-300</v>
      </c>
      <c r="N697" s="1" t="inlineStr">
        <is>
          <t>COMBUSTIVEL VEICULOS</t>
        </is>
      </c>
      <c r="O697" s="1" t="inlineStr">
        <is>
          <t>Despesas com Veículos e Equipamentos</t>
        </is>
      </c>
      <c r="P697" s="1" t="inlineStr">
        <is>
          <t>(-)Gastos Fixos</t>
        </is>
      </c>
      <c r="Q697" s="1" t="n">
        <v>4</v>
      </c>
      <c r="R697" s="1" t="n">
        <v>2025</v>
      </c>
    </row>
    <row r="698">
      <c r="A698" s="61" t="n">
        <v>45831</v>
      </c>
      <c r="B698" s="16" t="inlineStr">
        <is>
          <t>16229 - QUALI TINTAS</t>
        </is>
      </c>
      <c r="C698" s="90" t="n"/>
      <c r="D698" s="90" t="n">
        <v>30</v>
      </c>
      <c r="E698" s="90" t="n">
        <v>-30</v>
      </c>
      <c r="F698" s="16" t="inlineStr">
        <is>
          <t>6.3 - MANUTENÇÃO/PEÇAS  VEICULOS</t>
        </is>
      </c>
      <c r="G698" s="16" t="inlineStr">
        <is>
          <t>VEICULOS</t>
        </is>
      </c>
      <c r="H698" s="63" t="n">
        <v>2025</v>
      </c>
      <c r="I698" s="64" t="n">
        <v>6</v>
      </c>
      <c r="J698" s="16" t="inlineStr">
        <is>
          <t>Jun</t>
        </is>
      </c>
      <c r="K698" s="16" t="n"/>
      <c r="M698" s="89" t="n">
        <v>-30</v>
      </c>
      <c r="N698" s="1" t="inlineStr">
        <is>
          <t>MANUTENÇÃO/PEÇAS  VEICULOS</t>
        </is>
      </c>
      <c r="O698" s="1" t="inlineStr">
        <is>
          <t>Despesas com Veículos e Equipamentos</t>
        </is>
      </c>
      <c r="P698" s="1" t="inlineStr">
        <is>
          <t>(-)Gastos Fixos</t>
        </is>
      </c>
      <c r="Q698" s="1" t="n">
        <v>4</v>
      </c>
      <c r="R698" s="1" t="n">
        <v>2025</v>
      </c>
    </row>
    <row r="699">
      <c r="A699" s="61" t="n">
        <v>45831</v>
      </c>
      <c r="B699" s="16" t="inlineStr">
        <is>
          <t>UBER JULIANO</t>
        </is>
      </c>
      <c r="C699" s="90" t="n"/>
      <c r="D699" s="90" t="n">
        <v>430</v>
      </c>
      <c r="E699" s="90" t="n">
        <v>-430</v>
      </c>
      <c r="F699" s="16" t="inlineStr">
        <is>
          <t>12.7 - TRANSPORTE FUNCIONARIOS</t>
        </is>
      </c>
      <c r="G699" s="16" t="inlineStr">
        <is>
          <t>FOSFATO CMOC CONTRAT</t>
        </is>
      </c>
      <c r="H699" s="63" t="n">
        <v>2025</v>
      </c>
      <c r="I699" s="64" t="n">
        <v>6</v>
      </c>
      <c r="J699" s="16" t="inlineStr">
        <is>
          <t>Jun</t>
        </is>
      </c>
      <c r="K699" s="16" t="n"/>
      <c r="M699" s="89" t="n">
        <v>-430</v>
      </c>
      <c r="N699" s="1" t="inlineStr">
        <is>
          <t>12.7 - TRANSPORTE FUNCIONARIOS</t>
        </is>
      </c>
      <c r="O699" s="1" t="n"/>
      <c r="P699" s="1" t="n"/>
      <c r="Q699" s="1" t="n"/>
      <c r="R699" s="1" t="n">
        <v>2025</v>
      </c>
    </row>
    <row r="700">
      <c r="A700" s="61" t="n">
        <v>45831</v>
      </c>
      <c r="B700" s="16" t="inlineStr">
        <is>
          <t>UBER JULIANO</t>
        </is>
      </c>
      <c r="C700" s="90" t="n"/>
      <c r="D700" s="90" t="n">
        <v>1020</v>
      </c>
      <c r="E700" s="90" t="n">
        <v>-1020</v>
      </c>
      <c r="F700" s="16" t="inlineStr">
        <is>
          <t>12.7 - TRANSPORTE FUNCIONARIOS</t>
        </is>
      </c>
      <c r="G700" s="16" t="inlineStr">
        <is>
          <t>NIOBIO CMOC CONTRATO</t>
        </is>
      </c>
      <c r="H700" s="63" t="n">
        <v>2025</v>
      </c>
      <c r="I700" s="64" t="n">
        <v>6</v>
      </c>
      <c r="J700" s="16" t="inlineStr">
        <is>
          <t>Jun</t>
        </is>
      </c>
      <c r="K700" s="16" t="n"/>
      <c r="M700" s="89" t="n">
        <v>-1020</v>
      </c>
      <c r="N700" s="1" t="inlineStr">
        <is>
          <t>12.7 - TRANSPORTE FUNCIONARIOS</t>
        </is>
      </c>
      <c r="O700" s="1" t="n"/>
      <c r="P700" s="1" t="n"/>
      <c r="Q700" s="1" t="n"/>
      <c r="R700" s="1" t="n">
        <v>2025</v>
      </c>
    </row>
    <row r="701">
      <c r="A701" s="61" t="n">
        <v>45831</v>
      </c>
      <c r="B701" s="16" t="inlineStr">
        <is>
          <t>RESTAURANTES OBRAS</t>
        </is>
      </c>
      <c r="C701" s="90" t="n"/>
      <c r="D701" s="90" t="n">
        <v>184</v>
      </c>
      <c r="E701" s="90" t="n">
        <v>-184</v>
      </c>
      <c r="F701" s="16" t="inlineStr">
        <is>
          <t>11.5 - ALIMENTAÇÃO ADM</t>
        </is>
      </c>
      <c r="G701" s="16" t="inlineStr">
        <is>
          <t>ADMINISTRATIVO</t>
        </is>
      </c>
      <c r="H701" s="63" t="n">
        <v>2025</v>
      </c>
      <c r="I701" s="64" t="n">
        <v>6</v>
      </c>
      <c r="J701" s="16" t="inlineStr">
        <is>
          <t>Jun</t>
        </is>
      </c>
      <c r="K701" s="16" t="n"/>
      <c r="M701" s="89" t="n">
        <v>-184</v>
      </c>
      <c r="N701" s="1" t="inlineStr">
        <is>
          <t>ALIMENTAÇÃO ADM</t>
        </is>
      </c>
      <c r="O701" s="1" t="inlineStr">
        <is>
          <t>Despesas com Pessoal</t>
        </is>
      </c>
      <c r="P701" s="1" t="inlineStr">
        <is>
          <t>(-)Gastos Fixos</t>
        </is>
      </c>
      <c r="Q701" s="1" t="n">
        <v>4</v>
      </c>
      <c r="R701" s="1" t="n">
        <v>2025</v>
      </c>
    </row>
    <row r="702">
      <c r="A702" s="61" t="n">
        <v>45831</v>
      </c>
      <c r="B702" s="16" t="inlineStr">
        <is>
          <t>ENCOMENDA BARRO ALTO</t>
        </is>
      </c>
      <c r="C702" s="90" t="n"/>
      <c r="D702" s="90" t="n">
        <v>200</v>
      </c>
      <c r="E702" s="90" t="n">
        <v>-200</v>
      </c>
      <c r="F702" s="16" t="inlineStr">
        <is>
          <t>10.4 - FRETE TRANSPORTADORA</t>
        </is>
      </c>
      <c r="G702" s="16" t="inlineStr">
        <is>
          <t>ANGLO AMERICAN</t>
        </is>
      </c>
      <c r="H702" s="63" t="n">
        <v>2025</v>
      </c>
      <c r="I702" s="64" t="n">
        <v>6</v>
      </c>
      <c r="J702" s="16" t="inlineStr">
        <is>
          <t>Jun</t>
        </is>
      </c>
      <c r="K702" s="16" t="n"/>
      <c r="M702" s="89" t="n">
        <v>-200</v>
      </c>
      <c r="N702" s="1" t="inlineStr">
        <is>
          <t>FRETE TRANSPORTADORA</t>
        </is>
      </c>
      <c r="O702" s="1" t="inlineStr">
        <is>
          <t>Fornecedores</t>
        </is>
      </c>
      <c r="P702" s="1" t="inlineStr">
        <is>
          <t>(-)Custos Variavéis</t>
        </is>
      </c>
      <c r="Q702" s="1" t="n">
        <v>3</v>
      </c>
      <c r="R702" s="1" t="n">
        <v>2025</v>
      </c>
    </row>
    <row r="703">
      <c r="A703" s="61" t="n">
        <v>45831</v>
      </c>
      <c r="B703" s="16" t="inlineStr">
        <is>
          <t>GILVAN</t>
        </is>
      </c>
      <c r="C703" s="90" t="n"/>
      <c r="D703" s="90" t="n">
        <v>102</v>
      </c>
      <c r="E703" s="90" t="n">
        <v>-102</v>
      </c>
      <c r="F703" s="16" t="inlineStr">
        <is>
          <t>8.8 - MATERIAIS DE CONSUMO EM OBRAS</t>
        </is>
      </c>
      <c r="G703" s="16" t="inlineStr">
        <is>
          <t>ADMINISTRATIVO</t>
        </is>
      </c>
      <c r="H703" s="63" t="n">
        <v>2025</v>
      </c>
      <c r="I703" s="64" t="n">
        <v>6</v>
      </c>
      <c r="J703" s="16" t="inlineStr">
        <is>
          <t>Jun</t>
        </is>
      </c>
      <c r="K703" s="16" t="n"/>
      <c r="M703" s="89" t="n">
        <v>-102</v>
      </c>
      <c r="N703" s="1" t="inlineStr">
        <is>
          <t>MATERIAIS DE CONSUMO EM OBRAS</t>
        </is>
      </c>
      <c r="O703" s="1" t="inlineStr">
        <is>
          <t>Despesas com Máquinas e Equipamentos</t>
        </is>
      </c>
      <c r="P703" s="1" t="inlineStr">
        <is>
          <t>(-)Gastos Fixos</t>
        </is>
      </c>
      <c r="Q703" s="1" t="n">
        <v>4</v>
      </c>
      <c r="R703" s="1" t="n">
        <v>2025</v>
      </c>
    </row>
    <row r="704">
      <c r="A704" s="61" t="n">
        <v>45831</v>
      </c>
      <c r="B704" s="16" t="inlineStr">
        <is>
          <t>GILVAN</t>
        </is>
      </c>
      <c r="C704" s="90" t="n"/>
      <c r="D704" s="90" t="n">
        <v>395.57</v>
      </c>
      <c r="E704" s="90" t="n">
        <v>-395.57</v>
      </c>
      <c r="F704" s="16" t="inlineStr">
        <is>
          <t>6.4 - COMBUSTIVEL VEICULOS</t>
        </is>
      </c>
      <c r="G704" s="16" t="inlineStr">
        <is>
          <t>ADMINISTRATIVO</t>
        </is>
      </c>
      <c r="H704" s="63" t="n">
        <v>2025</v>
      </c>
      <c r="I704" s="64" t="n">
        <v>6</v>
      </c>
      <c r="J704" s="16" t="inlineStr">
        <is>
          <t>Jun</t>
        </is>
      </c>
      <c r="K704" s="16" t="n"/>
      <c r="M704" s="89" t="n">
        <v>-395.57</v>
      </c>
      <c r="N704" s="1" t="inlineStr">
        <is>
          <t>COMBUSTIVEL VEICULOS</t>
        </is>
      </c>
      <c r="O704" s="1" t="inlineStr">
        <is>
          <t>Despesas com Veículos e Equipamentos</t>
        </is>
      </c>
      <c r="P704" s="1" t="inlineStr">
        <is>
          <t>(-)Gastos Fixos</t>
        </is>
      </c>
      <c r="Q704" s="1" t="n">
        <v>4</v>
      </c>
      <c r="R704" s="1" t="n">
        <v>2025</v>
      </c>
    </row>
    <row r="705">
      <c r="A705" s="61" t="n">
        <v>45831</v>
      </c>
      <c r="B705" s="16" t="inlineStr">
        <is>
          <t>PRUDENTIAL DO BRASIL SEGURO DE VIDAS</t>
        </is>
      </c>
      <c r="C705" s="90" t="n"/>
      <c r="D705" s="90" t="n">
        <v>2711.01</v>
      </c>
      <c r="E705" s="90" t="n">
        <v>-2711.01</v>
      </c>
      <c r="F705" s="16" t="inlineStr">
        <is>
          <t>12.12 - SEGUROS DE VIDA</t>
        </is>
      </c>
      <c r="G705" s="16" t="inlineStr">
        <is>
          <t>RETIRADA</t>
        </is>
      </c>
      <c r="H705" s="63" t="n">
        <v>2025</v>
      </c>
      <c r="I705" s="64" t="n">
        <v>6</v>
      </c>
      <c r="J705" s="16" t="inlineStr">
        <is>
          <t>Jun</t>
        </is>
      </c>
      <c r="K705" s="16" t="n"/>
      <c r="M705" s="89" t="n">
        <v>-2711.01</v>
      </c>
      <c r="N705" s="1" t="inlineStr">
        <is>
          <t>SEGUROS DE VIDA</t>
        </is>
      </c>
      <c r="O705" s="1" t="inlineStr">
        <is>
          <t>Despesas com Pessoal</t>
        </is>
      </c>
      <c r="P705" s="1" t="inlineStr">
        <is>
          <t>(-)Gastos Fixos</t>
        </is>
      </c>
      <c r="Q705" s="1" t="n">
        <v>4</v>
      </c>
      <c r="R705" s="1" t="n">
        <v>2025</v>
      </c>
    </row>
    <row r="706">
      <c r="A706" s="61" t="n">
        <v>45831</v>
      </c>
      <c r="B706" s="16" t="inlineStr">
        <is>
          <t>PRUDENTIAL DO BRASIL SEGURO DE VIDAS</t>
        </is>
      </c>
      <c r="C706" s="90" t="n"/>
      <c r="D706" s="90" t="n">
        <v>2366.04</v>
      </c>
      <c r="E706" s="90" t="n">
        <v>-2366.04</v>
      </c>
      <c r="F706" s="16" t="inlineStr">
        <is>
          <t>12.12 - SEGUROS DE VIDA</t>
        </is>
      </c>
      <c r="G706" s="16" t="inlineStr">
        <is>
          <t>RETIRADA</t>
        </is>
      </c>
      <c r="H706" s="63" t="n">
        <v>2025</v>
      </c>
      <c r="I706" s="64" t="n">
        <v>6</v>
      </c>
      <c r="J706" s="16" t="inlineStr">
        <is>
          <t>Jun</t>
        </is>
      </c>
      <c r="K706" s="16" t="n"/>
      <c r="M706" s="89" t="n">
        <v>-2366.04</v>
      </c>
      <c r="N706" s="1" t="inlineStr">
        <is>
          <t>SEGUROS DE VIDA</t>
        </is>
      </c>
      <c r="O706" s="1" t="inlineStr">
        <is>
          <t>Despesas com Pessoal</t>
        </is>
      </c>
      <c r="P706" s="1" t="inlineStr">
        <is>
          <t>(-)Gastos Fixos</t>
        </is>
      </c>
      <c r="Q706" s="1" t="n">
        <v>4</v>
      </c>
      <c r="R706" s="1" t="n">
        <v>2025</v>
      </c>
    </row>
    <row r="707">
      <c r="A707" s="61" t="n">
        <v>45831</v>
      </c>
      <c r="B707" s="16" t="inlineStr">
        <is>
          <t>SANEAMENTO DE GOIA S.A</t>
        </is>
      </c>
      <c r="C707" s="90" t="n"/>
      <c r="D707" s="90" t="n">
        <v>1458.3</v>
      </c>
      <c r="E707" s="90" t="n">
        <v>-1458.3</v>
      </c>
      <c r="F707" s="16" t="inlineStr">
        <is>
          <t>11.2 - AGUA ADM</t>
        </is>
      </c>
      <c r="G707" s="16" t="inlineStr">
        <is>
          <t>ADMINISTRATIVO</t>
        </is>
      </c>
      <c r="H707" s="63" t="n">
        <v>2025</v>
      </c>
      <c r="I707" s="64" t="n">
        <v>6</v>
      </c>
      <c r="J707" s="16" t="inlineStr">
        <is>
          <t>Jun</t>
        </is>
      </c>
      <c r="K707" s="16" t="n"/>
      <c r="M707" s="89" t="n">
        <v>-1458.3</v>
      </c>
      <c r="N707" s="1" t="inlineStr">
        <is>
          <t>AGUA ADM</t>
        </is>
      </c>
      <c r="O707" s="1" t="inlineStr">
        <is>
          <t>Despesas com Infraestrutura</t>
        </is>
      </c>
      <c r="P707" s="1" t="inlineStr">
        <is>
          <t>(-)Gastos Fixos</t>
        </is>
      </c>
      <c r="Q707" s="1" t="n">
        <v>4</v>
      </c>
      <c r="R707" s="1" t="n">
        <v>2025</v>
      </c>
    </row>
    <row r="708">
      <c r="A708" s="61" t="n">
        <v>45831</v>
      </c>
      <c r="B708" s="16" t="inlineStr">
        <is>
          <t>COMISSÃO</t>
        </is>
      </c>
      <c r="C708" s="90" t="n"/>
      <c r="D708" s="90" t="n">
        <v>2912.49</v>
      </c>
      <c r="E708" s="90" t="n">
        <v>-2912.49</v>
      </c>
      <c r="F708" s="16" t="inlineStr">
        <is>
          <t>12.18 - COMISSÃO</t>
        </is>
      </c>
      <c r="G708" s="16" t="inlineStr">
        <is>
          <t>MOSAIC UBERABA CONTRAT0 3 ANOS</t>
        </is>
      </c>
      <c r="H708" s="63" t="n">
        <v>2025</v>
      </c>
      <c r="I708" s="64" t="n">
        <v>6</v>
      </c>
      <c r="J708" s="16" t="inlineStr">
        <is>
          <t>Jun</t>
        </is>
      </c>
      <c r="K708" s="16" t="n"/>
      <c r="M708" s="89" t="n">
        <v>-2912.49</v>
      </c>
      <c r="N708" s="1" t="inlineStr">
        <is>
          <t>COMISSÃO</t>
        </is>
      </c>
      <c r="O708" s="1" t="inlineStr">
        <is>
          <t>Gastos Comerciais</t>
        </is>
      </c>
      <c r="P708" s="1" t="inlineStr">
        <is>
          <t>(-)Custos Variavéis</t>
        </is>
      </c>
      <c r="Q708" s="1" t="n">
        <v>3</v>
      </c>
      <c r="R708" s="1" t="n">
        <v>2025</v>
      </c>
    </row>
    <row r="709">
      <c r="A709" s="61" t="n">
        <v>45831</v>
      </c>
      <c r="B709" s="16" t="inlineStr">
        <is>
          <t>DESPESAS DE OBRAS</t>
        </is>
      </c>
      <c r="C709" s="90" t="n"/>
      <c r="D709" s="90" t="n">
        <v>375</v>
      </c>
      <c r="E709" s="90" t="n">
        <v>-375</v>
      </c>
      <c r="F709" s="16" t="inlineStr">
        <is>
          <t>3.9 - SERVIÇO GRAFICA / IMPRESSAO</t>
        </is>
      </c>
      <c r="G709" s="16" t="inlineStr">
        <is>
          <t>ADMINISTRATIVO</t>
        </is>
      </c>
      <c r="H709" s="63" t="n">
        <v>2025</v>
      </c>
      <c r="I709" s="64" t="n">
        <v>6</v>
      </c>
      <c r="J709" s="16" t="inlineStr">
        <is>
          <t>Jun</t>
        </is>
      </c>
      <c r="K709" s="16" t="n"/>
      <c r="M709" s="89" t="n">
        <v>-375</v>
      </c>
      <c r="N709" s="1" t="inlineStr">
        <is>
          <t>SERVIÇO GRAFICA / IMPRESSAO</t>
        </is>
      </c>
      <c r="O709" s="1" t="inlineStr">
        <is>
          <t>Despesas Administrativas</t>
        </is>
      </c>
      <c r="P709" s="1" t="inlineStr">
        <is>
          <t>(-)Gastos Fixos</t>
        </is>
      </c>
      <c r="Q709" s="1" t="n">
        <v>4</v>
      </c>
      <c r="R709" s="1" t="n">
        <v>2025</v>
      </c>
    </row>
    <row r="710">
      <c r="A710" s="61" t="n">
        <v>45831</v>
      </c>
      <c r="B710" s="16" t="inlineStr">
        <is>
          <t>ALUGUEIS OBRAS</t>
        </is>
      </c>
      <c r="C710" s="90" t="n"/>
      <c r="D710" s="90" t="n">
        <v>2705.23</v>
      </c>
      <c r="E710" s="90" t="n">
        <v>-2705.23</v>
      </c>
      <c r="F710" s="16" t="inlineStr">
        <is>
          <t>5.3 - ALUGUEL ALOJAMENTO</t>
        </is>
      </c>
      <c r="G710" s="16" t="inlineStr">
        <is>
          <t>MOSAIC UBERABA CONTRAT0 3 ANOS</t>
        </is>
      </c>
      <c r="H710" s="63" t="n">
        <v>2025</v>
      </c>
      <c r="I710" s="64" t="n">
        <v>6</v>
      </c>
      <c r="J710" s="16" t="inlineStr">
        <is>
          <t>Jun</t>
        </is>
      </c>
      <c r="K710" s="16" t="n"/>
      <c r="M710" s="89" t="n">
        <v>-2705.23</v>
      </c>
      <c r="N710" s="1" t="inlineStr">
        <is>
          <t>ALUGUEL ALOJAMENTO</t>
        </is>
      </c>
      <c r="O710" s="1" t="inlineStr">
        <is>
          <t>Despesas com Infraestrutura</t>
        </is>
      </c>
      <c r="P710" s="1" t="inlineStr">
        <is>
          <t>(-)Gastos Fixos</t>
        </is>
      </c>
      <c r="Q710" s="1" t="n">
        <v>4</v>
      </c>
      <c r="R710" s="1" t="n">
        <v>2025</v>
      </c>
    </row>
    <row r="711">
      <c r="A711" s="61" t="n">
        <v>45831</v>
      </c>
      <c r="B711" s="16" t="inlineStr">
        <is>
          <t>ADIANTAMENTO SALARIAL</t>
        </is>
      </c>
      <c r="C711" s="90" t="n"/>
      <c r="D711" s="90" t="n">
        <v>1214.36</v>
      </c>
      <c r="E711" s="90" t="n">
        <v>-1214.36</v>
      </c>
      <c r="F711" s="16" t="inlineStr">
        <is>
          <t>12.1 - SALARIO</t>
        </is>
      </c>
      <c r="G711" s="16" t="inlineStr">
        <is>
          <t>SERENA 21 TORRES 2024</t>
        </is>
      </c>
      <c r="H711" s="63" t="n">
        <v>2025</v>
      </c>
      <c r="I711" s="64" t="n">
        <v>6</v>
      </c>
      <c r="J711" s="16" t="inlineStr">
        <is>
          <t>Jun</t>
        </is>
      </c>
      <c r="K711" s="16" t="n"/>
      <c r="M711" s="89" t="n">
        <v>-1214.36</v>
      </c>
      <c r="N711" s="1" t="inlineStr">
        <is>
          <t>SALARIO</t>
        </is>
      </c>
      <c r="O711" s="1" t="inlineStr">
        <is>
          <t>Despesas com Pessoal</t>
        </is>
      </c>
      <c r="P711" s="1" t="inlineStr">
        <is>
          <t>(-)Gastos Fixos</t>
        </is>
      </c>
      <c r="Q711" s="1" t="n">
        <v>4</v>
      </c>
      <c r="R711" s="1" t="n">
        <v>2025</v>
      </c>
    </row>
    <row r="712">
      <c r="A712" s="61" t="n">
        <v>45831</v>
      </c>
      <c r="B712" s="16" t="inlineStr">
        <is>
          <t>4183 - IDELFONSO SOARES DOS REIS - ME</t>
        </is>
      </c>
      <c r="C712" s="90" t="n"/>
      <c r="D712" s="90" t="n">
        <v>650</v>
      </c>
      <c r="E712" s="90" t="n">
        <v>-650</v>
      </c>
      <c r="F712" s="16" t="inlineStr">
        <is>
          <t>8.6 - MANGUEIRAS / CONEXÕES</t>
        </is>
      </c>
      <c r="G712" s="16" t="inlineStr">
        <is>
          <t>ADMINISTRATIVO</t>
        </is>
      </c>
      <c r="H712" s="63" t="n">
        <v>2025</v>
      </c>
      <c r="I712" s="64" t="n">
        <v>6</v>
      </c>
      <c r="J712" s="16" t="inlineStr">
        <is>
          <t>Jun</t>
        </is>
      </c>
      <c r="K712" s="16" t="n"/>
      <c r="M712" s="89" t="n">
        <v>-650</v>
      </c>
      <c r="N712" s="1" t="inlineStr">
        <is>
          <t>MANGUEIRAS / CONEXÕES</t>
        </is>
      </c>
      <c r="O712" s="1" t="inlineStr">
        <is>
          <t>Despesas com Máquinas e Equipamentos</t>
        </is>
      </c>
      <c r="P712" s="1" t="inlineStr">
        <is>
          <t>(-)Gastos Fixos</t>
        </is>
      </c>
      <c r="Q712" s="1" t="n">
        <v>4</v>
      </c>
      <c r="R712" s="1" t="n">
        <v>2025</v>
      </c>
    </row>
    <row r="713">
      <c r="A713" s="61" t="n">
        <v>45831</v>
      </c>
      <c r="B713" s="16" t="inlineStr">
        <is>
          <t>4182 - IDELFONSO SOARES DOS REIS - ME</t>
        </is>
      </c>
      <c r="C713" s="90" t="n"/>
      <c r="D713" s="90" t="n">
        <v>440</v>
      </c>
      <c r="E713" s="90" t="n">
        <v>-440</v>
      </c>
      <c r="F713" s="16" t="inlineStr">
        <is>
          <t>8.8 - MATERIAIS DE CONSUMO EM OBRAS</t>
        </is>
      </c>
      <c r="G713" s="16" t="inlineStr">
        <is>
          <t>ANGLO AMERICAN</t>
        </is>
      </c>
      <c r="H713" s="63" t="n">
        <v>2025</v>
      </c>
      <c r="I713" s="64" t="n">
        <v>6</v>
      </c>
      <c r="J713" s="16" t="inlineStr">
        <is>
          <t>Jun</t>
        </is>
      </c>
      <c r="K713" s="16" t="n"/>
      <c r="M713" s="89" t="n">
        <v>-440</v>
      </c>
      <c r="N713" s="1" t="inlineStr">
        <is>
          <t>MATERIAIS DE CONSUMO EM OBRAS</t>
        </is>
      </c>
      <c r="O713" s="1" t="inlineStr">
        <is>
          <t>Despesas com Máquinas e Equipamentos</t>
        </is>
      </c>
      <c r="P713" s="1" t="inlineStr">
        <is>
          <t>(-)Gastos Fixos</t>
        </is>
      </c>
      <c r="Q713" s="1" t="n">
        <v>4</v>
      </c>
      <c r="R713" s="1" t="n">
        <v>2025</v>
      </c>
    </row>
    <row r="714">
      <c r="A714" s="61" t="n">
        <v>45831</v>
      </c>
      <c r="B714" s="16" t="inlineStr">
        <is>
          <t>187971 - CARTAO PRA TODOS</t>
        </is>
      </c>
      <c r="C714" s="90" t="n"/>
      <c r="D714" s="90" t="n">
        <v>564.3</v>
      </c>
      <c r="E714" s="90" t="n">
        <v>-564.3</v>
      </c>
      <c r="F714" s="16" t="inlineStr">
        <is>
          <t>12.11 - ASSISTENCIA MEDICA ADM</t>
        </is>
      </c>
      <c r="G714" s="16" t="inlineStr">
        <is>
          <t>ADMINISTRATIVO</t>
        </is>
      </c>
      <c r="H714" s="63" t="n">
        <v>2025</v>
      </c>
      <c r="I714" s="64" t="n">
        <v>6</v>
      </c>
      <c r="J714" s="16" t="inlineStr">
        <is>
          <t>Jun</t>
        </is>
      </c>
      <c r="K714" s="16" t="n"/>
      <c r="M714" s="89" t="n">
        <v>-564.3</v>
      </c>
      <c r="N714" s="1" t="inlineStr">
        <is>
          <t>ASSISTENCIA MEDICA ADM</t>
        </is>
      </c>
      <c r="O714" s="1" t="inlineStr">
        <is>
          <t>Despesas com pessoal</t>
        </is>
      </c>
      <c r="P714" s="1" t="inlineStr">
        <is>
          <t>(-)Gastos Fixos</t>
        </is>
      </c>
      <c r="Q714" s="1" t="n">
        <v>4</v>
      </c>
      <c r="R714" s="1" t="n">
        <v>2025</v>
      </c>
    </row>
    <row r="715">
      <c r="A715" s="61" t="n">
        <v>45831</v>
      </c>
      <c r="B715" s="16" t="inlineStr">
        <is>
          <t>187971 - CARTAO PRA TODOS</t>
        </is>
      </c>
      <c r="C715" s="90" t="n"/>
      <c r="D715" s="90" t="n">
        <v>861.3</v>
      </c>
      <c r="E715" s="90" t="n">
        <v>-861.3</v>
      </c>
      <c r="F715" s="16" t="inlineStr">
        <is>
          <t>12.11 - ASSISTENCIA MEDICA ADM</t>
        </is>
      </c>
      <c r="G715" s="16" t="inlineStr">
        <is>
          <t>MOSAIC UBERABA CONTRAT0 3 ANOS</t>
        </is>
      </c>
      <c r="H715" s="63" t="n">
        <v>2025</v>
      </c>
      <c r="I715" s="64" t="n">
        <v>6</v>
      </c>
      <c r="J715" s="16" t="inlineStr">
        <is>
          <t>Jun</t>
        </is>
      </c>
      <c r="K715" s="16" t="n"/>
      <c r="M715" s="89" t="n">
        <v>-861.3</v>
      </c>
      <c r="N715" s="1" t="inlineStr">
        <is>
          <t>ASSISTENCIA MEDICA ADM</t>
        </is>
      </c>
      <c r="O715" s="1" t="inlineStr">
        <is>
          <t>Despesas com pessoal</t>
        </is>
      </c>
      <c r="P715" s="1" t="inlineStr">
        <is>
          <t>(-)Gastos Fixos</t>
        </is>
      </c>
      <c r="Q715" s="1" t="n">
        <v>4</v>
      </c>
      <c r="R715" s="1" t="n">
        <v>2025</v>
      </c>
    </row>
    <row r="716">
      <c r="A716" s="61" t="n">
        <v>45831</v>
      </c>
      <c r="B716" s="16" t="inlineStr">
        <is>
          <t>187971 - CARTAO PRA TODOS</t>
        </is>
      </c>
      <c r="C716" s="90" t="n"/>
      <c r="D716" s="90" t="n">
        <v>564.3</v>
      </c>
      <c r="E716" s="90" t="n">
        <v>-564.3</v>
      </c>
      <c r="F716" s="16" t="inlineStr">
        <is>
          <t>12.11 - ASSISTENCIA MEDICA ADM</t>
        </is>
      </c>
      <c r="G716" s="16" t="inlineStr">
        <is>
          <t>ANGLO AMERICAN</t>
        </is>
      </c>
      <c r="H716" s="63" t="n">
        <v>2025</v>
      </c>
      <c r="I716" s="64" t="n">
        <v>6</v>
      </c>
      <c r="J716" s="16" t="inlineStr">
        <is>
          <t>Jun</t>
        </is>
      </c>
      <c r="K716" s="16" t="n"/>
      <c r="M716" s="89" t="n">
        <v>-564.3</v>
      </c>
      <c r="N716" s="1" t="inlineStr">
        <is>
          <t>ASSISTENCIA MEDICA ADM</t>
        </is>
      </c>
      <c r="O716" s="1" t="inlineStr">
        <is>
          <t>Despesas com pessoal</t>
        </is>
      </c>
      <c r="P716" s="1" t="inlineStr">
        <is>
          <t>(-)Gastos Fixos</t>
        </is>
      </c>
      <c r="Q716" s="1" t="n">
        <v>4</v>
      </c>
      <c r="R716" s="1" t="n">
        <v>2025</v>
      </c>
    </row>
    <row r="717">
      <c r="A717" s="61" t="n">
        <v>45831</v>
      </c>
      <c r="B717" s="16" t="inlineStr">
        <is>
          <t>187971 - CARTAO PRA TODOS</t>
        </is>
      </c>
      <c r="C717" s="90" t="n"/>
      <c r="D717" s="90" t="n">
        <v>326.7</v>
      </c>
      <c r="E717" s="90" t="n">
        <v>-326.7</v>
      </c>
      <c r="F717" s="16" t="inlineStr">
        <is>
          <t>12.11 - ASSISTENCIA MEDICA ADM</t>
        </is>
      </c>
      <c r="G717" s="16" t="inlineStr">
        <is>
          <t>EUROCHEM SERRA DO SALITRE</t>
        </is>
      </c>
      <c r="H717" s="63" t="n">
        <v>2025</v>
      </c>
      <c r="I717" s="64" t="n">
        <v>6</v>
      </c>
      <c r="J717" s="16" t="inlineStr">
        <is>
          <t>Jun</t>
        </is>
      </c>
      <c r="K717" s="16" t="n"/>
      <c r="M717" s="89" t="n">
        <v>-326.7</v>
      </c>
      <c r="N717" s="1" t="inlineStr">
        <is>
          <t>ASSISTENCIA MEDICA ADM</t>
        </is>
      </c>
      <c r="O717" s="1" t="inlineStr">
        <is>
          <t>Despesas com pessoal</t>
        </is>
      </c>
      <c r="P717" s="1" t="inlineStr">
        <is>
          <t>(-)Gastos Fixos</t>
        </is>
      </c>
      <c r="Q717" s="1" t="n">
        <v>4</v>
      </c>
      <c r="R717" s="1" t="n">
        <v>2025</v>
      </c>
    </row>
    <row r="718">
      <c r="A718" s="61" t="n">
        <v>45831</v>
      </c>
      <c r="B718" s="16" t="inlineStr">
        <is>
          <t>187971 - CARTAO PRA TODOS</t>
        </is>
      </c>
      <c r="C718" s="90" t="n"/>
      <c r="D718" s="90" t="n">
        <v>297</v>
      </c>
      <c r="E718" s="90" t="n">
        <v>-297</v>
      </c>
      <c r="F718" s="16" t="inlineStr">
        <is>
          <t>12.11 - ASSISTENCIA MEDICA ADM</t>
        </is>
      </c>
      <c r="G718" s="16" t="inlineStr">
        <is>
          <t>SERENA 21 TORRES 2024</t>
        </is>
      </c>
      <c r="H718" s="63" t="n">
        <v>2025</v>
      </c>
      <c r="I718" s="64" t="n">
        <v>6</v>
      </c>
      <c r="J718" s="16" t="inlineStr">
        <is>
          <t>Jun</t>
        </is>
      </c>
      <c r="K718" s="16" t="n"/>
      <c r="M718" s="89" t="n">
        <v>-297</v>
      </c>
      <c r="N718" s="1" t="inlineStr">
        <is>
          <t>ASSISTENCIA MEDICA ADM</t>
        </is>
      </c>
      <c r="O718" s="1" t="inlineStr">
        <is>
          <t>Despesas com pessoal</t>
        </is>
      </c>
      <c r="P718" s="1" t="inlineStr">
        <is>
          <t>(-)Gastos Fixos</t>
        </is>
      </c>
      <c r="Q718" s="1" t="n">
        <v>4</v>
      </c>
      <c r="R718" s="1" t="n">
        <v>2025</v>
      </c>
    </row>
    <row r="719">
      <c r="A719" s="61" t="n">
        <v>45831</v>
      </c>
      <c r="B719" s="16" t="inlineStr">
        <is>
          <t>187971 - CARTAO PRA TODOS</t>
        </is>
      </c>
      <c r="C719" s="90" t="n"/>
      <c r="D719" s="90" t="n">
        <v>683.1</v>
      </c>
      <c r="E719" s="90" t="n">
        <v>-683.1</v>
      </c>
      <c r="F719" s="16" t="inlineStr">
        <is>
          <t>12.11 - ASSISTENCIA MEDICA ADM</t>
        </is>
      </c>
      <c r="G719" s="16" t="inlineStr">
        <is>
          <t>FOSFATO CMOC CONTRAT</t>
        </is>
      </c>
      <c r="H719" s="63" t="n">
        <v>2025</v>
      </c>
      <c r="I719" s="64" t="n">
        <v>6</v>
      </c>
      <c r="J719" s="16" t="inlineStr">
        <is>
          <t>Jun</t>
        </is>
      </c>
      <c r="K719" s="16" t="n"/>
      <c r="M719" s="89" t="n">
        <v>-683.1</v>
      </c>
      <c r="N719" s="1" t="inlineStr">
        <is>
          <t>ASSISTENCIA MEDICA ADM</t>
        </is>
      </c>
      <c r="O719" s="1" t="inlineStr">
        <is>
          <t>Despesas com pessoal</t>
        </is>
      </c>
      <c r="P719" s="1" t="inlineStr">
        <is>
          <t>(-)Gastos Fixos</t>
        </is>
      </c>
      <c r="Q719" s="1" t="n">
        <v>4</v>
      </c>
      <c r="R719" s="1" t="n">
        <v>2025</v>
      </c>
    </row>
    <row r="720">
      <c r="A720" s="61" t="n">
        <v>45831</v>
      </c>
      <c r="B720" s="16" t="inlineStr">
        <is>
          <t>187971 - CARTAO PRA TODOS</t>
        </is>
      </c>
      <c r="C720" s="90" t="n"/>
      <c r="D720" s="90" t="n">
        <v>297</v>
      </c>
      <c r="E720" s="90" t="n">
        <v>-297</v>
      </c>
      <c r="F720" s="16" t="inlineStr">
        <is>
          <t>12.11 - ASSISTENCIA MEDICA ADM</t>
        </is>
      </c>
      <c r="G720" s="16" t="inlineStr">
        <is>
          <t>NIOBIO CMOC CONTRATO</t>
        </is>
      </c>
      <c r="H720" s="63" t="n">
        <v>2025</v>
      </c>
      <c r="I720" s="64" t="n">
        <v>6</v>
      </c>
      <c r="J720" s="16" t="inlineStr">
        <is>
          <t>Jun</t>
        </is>
      </c>
      <c r="K720" s="16" t="n"/>
      <c r="M720" s="89" t="n">
        <v>-297</v>
      </c>
      <c r="N720" s="1" t="inlineStr">
        <is>
          <t>ASSISTENCIA MEDICA ADM</t>
        </is>
      </c>
      <c r="O720" s="1" t="inlineStr">
        <is>
          <t>Despesas com pessoal</t>
        </is>
      </c>
      <c r="P720" s="1" t="inlineStr">
        <is>
          <t>(-)Gastos Fixos</t>
        </is>
      </c>
      <c r="Q720" s="1" t="n">
        <v>4</v>
      </c>
      <c r="R720" s="1" t="n">
        <v>2025</v>
      </c>
    </row>
    <row r="721">
      <c r="A721" s="61" t="n">
        <v>45831</v>
      </c>
      <c r="B721" s="16" t="inlineStr">
        <is>
          <t>23681 - AMOSTRA ASSISTENCIA MEDICA LTDA</t>
        </is>
      </c>
      <c r="C721" s="90" t="n"/>
      <c r="D721" s="90" t="n">
        <v>343</v>
      </c>
      <c r="E721" s="90" t="n">
        <v>-343</v>
      </c>
      <c r="F721" s="16" t="inlineStr">
        <is>
          <t>14.1 - EXAMES</t>
        </is>
      </c>
      <c r="G721" s="16" t="inlineStr">
        <is>
          <t>ANGLO AMERICAN</t>
        </is>
      </c>
      <c r="H721" s="63" t="n">
        <v>2025</v>
      </c>
      <c r="I721" s="64" t="n">
        <v>6</v>
      </c>
      <c r="J721" s="16" t="inlineStr">
        <is>
          <t>Jun</t>
        </is>
      </c>
      <c r="K721" s="16" t="n"/>
      <c r="M721" s="89" t="n">
        <v>-343</v>
      </c>
      <c r="N721" s="1" t="inlineStr">
        <is>
          <t>EXAMES MÉDICOS</t>
        </is>
      </c>
      <c r="O721" s="1" t="inlineStr">
        <is>
          <t>Despesas com Pessoal</t>
        </is>
      </c>
      <c r="P721" s="1" t="inlineStr">
        <is>
          <t>(-)Gastos Fixos</t>
        </is>
      </c>
      <c r="Q721" s="1" t="n">
        <v>4</v>
      </c>
      <c r="R721" s="1" t="n">
        <v>2025</v>
      </c>
    </row>
    <row r="722">
      <c r="A722" s="61" t="n">
        <v>45831</v>
      </c>
      <c r="B722" s="16" t="inlineStr">
        <is>
          <t>55466 - NEOBETEL EPI, EQUIPAMENTOS DE PROTECAO INDIVIDUAL LTDA</t>
        </is>
      </c>
      <c r="C722" s="90" t="n"/>
      <c r="D722" s="90" t="n">
        <v>2720</v>
      </c>
      <c r="E722" s="90" t="n">
        <v>-2720</v>
      </c>
      <c r="F722" s="16" t="inlineStr">
        <is>
          <t>13.2 - UNIFORMES</t>
        </is>
      </c>
      <c r="G722" s="16" t="inlineStr">
        <is>
          <t>ANGLO AMERICAN</t>
        </is>
      </c>
      <c r="H722" s="63" t="n">
        <v>2025</v>
      </c>
      <c r="I722" s="64" t="n">
        <v>6</v>
      </c>
      <c r="J722" s="16" t="inlineStr">
        <is>
          <t>Jun</t>
        </is>
      </c>
      <c r="K722" s="16" t="n"/>
      <c r="M722" s="89" t="n">
        <v>-2720</v>
      </c>
      <c r="N722" s="1" t="inlineStr">
        <is>
          <t>UNIFORMES</t>
        </is>
      </c>
      <c r="O722" s="1" t="inlineStr">
        <is>
          <t>Despesas com Pessoal</t>
        </is>
      </c>
      <c r="P722" s="1" t="inlineStr">
        <is>
          <t>(-)Gastos Fixos</t>
        </is>
      </c>
      <c r="Q722" s="1" t="n">
        <v>4</v>
      </c>
      <c r="R722" s="1" t="n">
        <v>2025</v>
      </c>
    </row>
    <row r="723">
      <c r="A723" s="61" t="n">
        <v>45831</v>
      </c>
      <c r="B723" s="16" t="inlineStr">
        <is>
          <t>55466 - NEOBETEL EPI, EQUIPAMENTOS DE PROTECAO INDIVIDUAL LTDA</t>
        </is>
      </c>
      <c r="C723" s="90" t="n"/>
      <c r="D723" s="90" t="n">
        <v>2720</v>
      </c>
      <c r="E723" s="90" t="n">
        <v>-2720</v>
      </c>
      <c r="F723" s="16" t="inlineStr">
        <is>
          <t>13.2 - UNIFORMES</t>
        </is>
      </c>
      <c r="G723" s="16" t="inlineStr">
        <is>
          <t>ANGLO AMERICAN</t>
        </is>
      </c>
      <c r="H723" s="63" t="n">
        <v>2025</v>
      </c>
      <c r="I723" s="64" t="n">
        <v>6</v>
      </c>
      <c r="J723" s="16" t="inlineStr">
        <is>
          <t>Jun</t>
        </is>
      </c>
      <c r="K723" s="16" t="n"/>
      <c r="M723" s="89" t="n">
        <v>-2720</v>
      </c>
      <c r="N723" s="1" t="inlineStr">
        <is>
          <t>UNIFORMES</t>
        </is>
      </c>
      <c r="O723" s="1" t="inlineStr">
        <is>
          <t>Despesas com Pessoal</t>
        </is>
      </c>
      <c r="P723" s="1" t="inlineStr">
        <is>
          <t>(-)Gastos Fixos</t>
        </is>
      </c>
      <c r="Q723" s="1" t="n">
        <v>4</v>
      </c>
      <c r="R723" s="1" t="n">
        <v>2025</v>
      </c>
    </row>
    <row r="724">
      <c r="A724" s="61" t="n">
        <v>45831</v>
      </c>
      <c r="B724" s="16" t="inlineStr">
        <is>
          <t>55466 - NEOBETEL EPI, EQUIPAMENTOS DE PROTECAO INDIVIDUAL LTDA</t>
        </is>
      </c>
      <c r="C724" s="90" t="n"/>
      <c r="D724" s="90" t="n">
        <v>2720</v>
      </c>
      <c r="E724" s="90" t="n">
        <v>-2720</v>
      </c>
      <c r="F724" s="16" t="inlineStr">
        <is>
          <t>13.2 - UNIFORMES</t>
        </is>
      </c>
      <c r="G724" s="16" t="inlineStr">
        <is>
          <t>ANGLO AMERICAN</t>
        </is>
      </c>
      <c r="H724" s="63" t="n">
        <v>2025</v>
      </c>
      <c r="I724" s="64" t="n">
        <v>6</v>
      </c>
      <c r="J724" s="16" t="inlineStr">
        <is>
          <t>Jun</t>
        </is>
      </c>
      <c r="K724" s="16" t="n"/>
      <c r="M724" s="89" t="n">
        <v>-2720</v>
      </c>
      <c r="N724" s="1" t="inlineStr">
        <is>
          <t>UNIFORMES</t>
        </is>
      </c>
      <c r="O724" s="1" t="inlineStr">
        <is>
          <t>Despesas com Pessoal</t>
        </is>
      </c>
      <c r="P724" s="1" t="inlineStr">
        <is>
          <t>(-)Gastos Fixos</t>
        </is>
      </c>
      <c r="Q724" s="1" t="n">
        <v>4</v>
      </c>
      <c r="R724" s="1" t="n">
        <v>2025</v>
      </c>
    </row>
    <row r="725">
      <c r="A725" s="61" t="n">
        <v>45831</v>
      </c>
      <c r="B725" s="16" t="inlineStr">
        <is>
          <t>BANCO MERCANTIL</t>
        </is>
      </c>
      <c r="C725" s="90" t="n"/>
      <c r="D725" s="90" t="n">
        <v>500</v>
      </c>
      <c r="E725" s="90" t="n">
        <v>-500</v>
      </c>
      <c r="F725" s="16" t="inlineStr">
        <is>
          <t>18.2 - TARIFAS BANCARIAS</t>
        </is>
      </c>
      <c r="G725" s="16" t="inlineStr">
        <is>
          <t>ADMINISTRATIVO</t>
        </is>
      </c>
      <c r="H725" s="63" t="n">
        <v>2025</v>
      </c>
      <c r="I725" s="64" t="n">
        <v>6</v>
      </c>
      <c r="J725" s="16" t="inlineStr">
        <is>
          <t>Jun</t>
        </is>
      </c>
      <c r="K725" s="16" t="n"/>
      <c r="M725" s="89" t="n">
        <v>-500</v>
      </c>
      <c r="N725" s="1" t="inlineStr">
        <is>
          <t>TARIFAS BANCARIAS</t>
        </is>
      </c>
      <c r="O725" s="1" t="inlineStr">
        <is>
          <t>Despesas Financeiras</t>
        </is>
      </c>
      <c r="P725" s="1" t="inlineStr">
        <is>
          <t>(-)Gastos Fixos</t>
        </is>
      </c>
      <c r="Q725" s="1" t="n">
        <v>4</v>
      </c>
      <c r="R725" s="1" t="n">
        <v>2025</v>
      </c>
    </row>
    <row r="726">
      <c r="A726" s="61" t="n">
        <v>45831</v>
      </c>
      <c r="B726" s="16" t="inlineStr">
        <is>
          <t>74147 - CAB INDUSTRIAL LTDA</t>
        </is>
      </c>
      <c r="C726" s="90" t="n"/>
      <c r="D726" s="90" t="n">
        <v>457.62</v>
      </c>
      <c r="E726" s="90" t="n">
        <v>-457.62</v>
      </c>
      <c r="F726" s="16" t="inlineStr">
        <is>
          <t>13.1 - EPIS</t>
        </is>
      </c>
      <c r="G726" s="16" t="inlineStr">
        <is>
          <t>MOSAIC UBERABA CONTRAT0 3 ANOS</t>
        </is>
      </c>
      <c r="H726" s="63" t="n">
        <v>2025</v>
      </c>
      <c r="I726" s="64" t="n">
        <v>6</v>
      </c>
      <c r="J726" s="16" t="inlineStr">
        <is>
          <t>Jun</t>
        </is>
      </c>
      <c r="K726" s="16" t="n"/>
      <c r="M726" s="89" t="n">
        <v>-457.62</v>
      </c>
      <c r="N726" s="1" t="inlineStr">
        <is>
          <t>EPIS</t>
        </is>
      </c>
      <c r="O726" s="1" t="inlineStr">
        <is>
          <t>Despesas com Pessoal</t>
        </is>
      </c>
      <c r="P726" s="1" t="inlineStr">
        <is>
          <t>(-)Gastos Fixos</t>
        </is>
      </c>
      <c r="Q726" s="1" t="n">
        <v>4</v>
      </c>
      <c r="R726" s="1" t="n">
        <v>2025</v>
      </c>
    </row>
    <row r="727">
      <c r="A727" s="61" t="n">
        <v>45831</v>
      </c>
      <c r="B727" s="16" t="inlineStr">
        <is>
          <t>19151 - POSTO A+ COMERCIO DE COMBUSTIVEL LTDA</t>
        </is>
      </c>
      <c r="C727" s="90" t="n"/>
      <c r="D727" s="90" t="n">
        <v>788.95</v>
      </c>
      <c r="E727" s="90" t="n">
        <v>-788.95</v>
      </c>
      <c r="F727" s="16" t="inlineStr">
        <is>
          <t>6.4 - COMBUSTIVEL VEICULOS</t>
        </is>
      </c>
      <c r="G727" s="16" t="inlineStr">
        <is>
          <t>VLI PINTURA</t>
        </is>
      </c>
      <c r="H727" s="63" t="n">
        <v>2025</v>
      </c>
      <c r="I727" s="64" t="n">
        <v>6</v>
      </c>
      <c r="J727" s="16" t="inlineStr">
        <is>
          <t>Jun</t>
        </is>
      </c>
      <c r="K727" s="16" t="n"/>
      <c r="M727" s="89" t="n">
        <v>-788.95</v>
      </c>
      <c r="N727" s="1" t="inlineStr">
        <is>
          <t>COMBUSTIVEL VEICULOS</t>
        </is>
      </c>
      <c r="O727" s="1" t="inlineStr">
        <is>
          <t>Despesas com Veículos e Equipamentos</t>
        </is>
      </c>
      <c r="P727" s="1" t="inlineStr">
        <is>
          <t>(-)Gastos Fixos</t>
        </is>
      </c>
      <c r="Q727" s="1" t="n">
        <v>4</v>
      </c>
      <c r="R727" s="1" t="n">
        <v>2025</v>
      </c>
    </row>
    <row r="728">
      <c r="A728" s="61" t="n">
        <v>45831</v>
      </c>
      <c r="B728" s="16" t="inlineStr">
        <is>
          <t>19151 - POSTO A+ COMERCIO DE COMBUSTIVEL LTDA</t>
        </is>
      </c>
      <c r="C728" s="90" t="n"/>
      <c r="D728" s="90" t="n">
        <v>944.8099999999999</v>
      </c>
      <c r="E728" s="90" t="n">
        <v>-944.8099999999999</v>
      </c>
      <c r="F728" s="16" t="inlineStr">
        <is>
          <t>8.13 - COMBUSTIVEL EQUIPAMENTOS</t>
        </is>
      </c>
      <c r="G728" s="16" t="inlineStr">
        <is>
          <t>VLI PINTURA</t>
        </is>
      </c>
      <c r="H728" s="63" t="n">
        <v>2025</v>
      </c>
      <c r="I728" s="64" t="n">
        <v>6</v>
      </c>
      <c r="J728" s="16" t="inlineStr">
        <is>
          <t>Jun</t>
        </is>
      </c>
      <c r="K728" s="16" t="n"/>
      <c r="M728" s="89" t="n">
        <v>-944.8099999999999</v>
      </c>
      <c r="N728" s="1" t="inlineStr">
        <is>
          <t>COMBUSTIVEL EQUIPAMENTOS</t>
        </is>
      </c>
      <c r="O728" s="1" t="inlineStr">
        <is>
          <t>Despesas com Máquinas e Equipamentos</t>
        </is>
      </c>
      <c r="P728" s="1" t="inlineStr">
        <is>
          <t>(-)Gastos Fixos</t>
        </is>
      </c>
      <c r="Q728" s="1" t="n">
        <v>4</v>
      </c>
      <c r="R728" s="1" t="n">
        <v>2025</v>
      </c>
    </row>
    <row r="729">
      <c r="A729" s="61" t="n">
        <v>45831</v>
      </c>
      <c r="B729" s="16" t="inlineStr">
        <is>
          <t>19254 - UNIODONTO UBERABA - COOP. DE ASSISTENCIA A SAUDE ODONTOLOGICA LTDA</t>
        </is>
      </c>
      <c r="C729" s="90" t="n"/>
      <c r="D729" s="90" t="n">
        <v>301</v>
      </c>
      <c r="E729" s="90" t="n">
        <v>-301</v>
      </c>
      <c r="F729" s="16" t="inlineStr">
        <is>
          <t>12.10 - PLANO DE SAUDE</t>
        </is>
      </c>
      <c r="G729" s="16" t="inlineStr">
        <is>
          <t>MOSAIC UBERABA CONTRAT0 3 ANOS</t>
        </is>
      </c>
      <c r="H729" s="63" t="n">
        <v>2025</v>
      </c>
      <c r="I729" s="64" t="n">
        <v>6</v>
      </c>
      <c r="J729" s="16" t="inlineStr">
        <is>
          <t>Jun</t>
        </is>
      </c>
      <c r="K729" s="16" t="n"/>
      <c r="M729" s="89" t="n">
        <v>-301</v>
      </c>
      <c r="N729" s="1" t="inlineStr">
        <is>
          <t>PLANO DE SAUDE</t>
        </is>
      </c>
      <c r="O729" s="1" t="inlineStr">
        <is>
          <t>Despesas com Pessoal</t>
        </is>
      </c>
      <c r="P729" s="1" t="inlineStr">
        <is>
          <t>(-)Gastos Fixos</t>
        </is>
      </c>
      <c r="Q729" s="1" t="n">
        <v>4</v>
      </c>
      <c r="R729" s="1" t="n">
        <v>2025</v>
      </c>
    </row>
    <row r="730">
      <c r="A730" s="61" t="n">
        <v>45831</v>
      </c>
      <c r="B730" s="16" t="inlineStr">
        <is>
          <t>ESTRELA ENCOMENDAS LTDA</t>
        </is>
      </c>
      <c r="C730" s="90" t="n"/>
      <c r="D730" s="90" t="n">
        <v>208.39</v>
      </c>
      <c r="E730" s="90" t="n">
        <v>-208.39</v>
      </c>
      <c r="F730" s="16" t="inlineStr">
        <is>
          <t>10.4 - FRETE TRANSPORTADORA</t>
        </is>
      </c>
      <c r="G730" s="16" t="inlineStr">
        <is>
          <t>MOSAIC UBERABA CONTRAT0 3 ANOS</t>
        </is>
      </c>
      <c r="H730" s="63" t="n">
        <v>2025</v>
      </c>
      <c r="I730" s="64" t="n">
        <v>6</v>
      </c>
      <c r="J730" s="16" t="inlineStr">
        <is>
          <t>Jun</t>
        </is>
      </c>
      <c r="K730" s="16" t="n"/>
      <c r="M730" s="89" t="n">
        <v>-208.39</v>
      </c>
      <c r="N730" s="1" t="inlineStr">
        <is>
          <t>FRETE TRANSPORTADORA</t>
        </is>
      </c>
      <c r="O730" s="1" t="inlineStr">
        <is>
          <t>Fornecedores</t>
        </is>
      </c>
      <c r="P730" s="1" t="inlineStr">
        <is>
          <t>(-)Custos Variavéis</t>
        </is>
      </c>
      <c r="Q730" s="1" t="n">
        <v>3</v>
      </c>
      <c r="R730" s="1" t="n">
        <v>2025</v>
      </c>
    </row>
    <row r="731">
      <c r="A731" s="61" t="n">
        <v>45831</v>
      </c>
      <c r="B731" s="16" t="inlineStr">
        <is>
          <t>INTERNET OBRAS</t>
        </is>
      </c>
      <c r="C731" s="90" t="n"/>
      <c r="D731" s="90" t="n">
        <v>200</v>
      </c>
      <c r="E731" s="90" t="n">
        <v>-200</v>
      </c>
      <c r="F731" s="16" t="inlineStr">
        <is>
          <t>11.14 - INTERNET OBRAS</t>
        </is>
      </c>
      <c r="G731" s="16" t="inlineStr">
        <is>
          <t>EUROCHEM SERRA DO SALITRE</t>
        </is>
      </c>
      <c r="H731" s="63" t="n">
        <v>2025</v>
      </c>
      <c r="I731" s="64" t="n">
        <v>6</v>
      </c>
      <c r="J731" s="16" t="inlineStr">
        <is>
          <t>Jun</t>
        </is>
      </c>
      <c r="K731" s="16" t="n"/>
      <c r="M731" s="89" t="n">
        <v>-200</v>
      </c>
      <c r="N731" s="1" t="inlineStr">
        <is>
          <t>INTERNET OBRAS</t>
        </is>
      </c>
      <c r="O731" s="1" t="inlineStr">
        <is>
          <t>Despesas com Infraestrutura</t>
        </is>
      </c>
      <c r="P731" s="1" t="inlineStr">
        <is>
          <t>(-)Gastos Fixos</t>
        </is>
      </c>
      <c r="Q731" s="1" t="n">
        <v>4</v>
      </c>
      <c r="R731" s="1" t="n">
        <v>2025</v>
      </c>
    </row>
    <row r="732">
      <c r="A732" s="61" t="n">
        <v>45831</v>
      </c>
      <c r="B732" s="16" t="inlineStr">
        <is>
          <t>13° PREVISAO</t>
        </is>
      </c>
      <c r="C732" s="90" t="n"/>
      <c r="D732" s="90" t="n">
        <v>82.26166666666667</v>
      </c>
      <c r="E732" s="90" t="n">
        <v>-82.26166666666667</v>
      </c>
      <c r="F732" s="16" t="inlineStr">
        <is>
          <t>12.3 - PREVISÃO 13°</t>
        </is>
      </c>
      <c r="G732" s="16" t="inlineStr">
        <is>
          <t>SERENA 21 TORRES 2024</t>
        </is>
      </c>
      <c r="H732" s="63" t="n">
        <v>2025</v>
      </c>
      <c r="I732" s="64" t="n">
        <v>6</v>
      </c>
      <c r="J732" s="16" t="inlineStr">
        <is>
          <t>Jun</t>
        </is>
      </c>
      <c r="K732" s="16" t="n"/>
      <c r="M732" s="89" t="n">
        <v>-82.26166666666667</v>
      </c>
      <c r="N732" s="1" t="inlineStr">
        <is>
          <t>13° PREVISAO</t>
        </is>
      </c>
      <c r="O732" s="1" t="inlineStr">
        <is>
          <t>Despesas com Pessoal</t>
        </is>
      </c>
      <c r="P732" s="1" t="inlineStr">
        <is>
          <t>(-)Gastos Fixos</t>
        </is>
      </c>
      <c r="Q732" s="1" t="n">
        <v>4</v>
      </c>
      <c r="R732" s="1" t="n">
        <v>2025</v>
      </c>
    </row>
    <row r="733">
      <c r="A733" s="61" t="n">
        <v>45831</v>
      </c>
      <c r="B733" s="16" t="inlineStr">
        <is>
          <t>FÉRIAS PREVISAO</t>
        </is>
      </c>
      <c r="C733" s="90" t="n"/>
      <c r="D733" s="90" t="n">
        <v>109.4080166666667</v>
      </c>
      <c r="E733" s="90" t="n">
        <v>-109.4080166666667</v>
      </c>
      <c r="F733" s="16" t="inlineStr">
        <is>
          <t>12.4 - PREVISÃO FÉRIAS</t>
        </is>
      </c>
      <c r="G733" s="16" t="inlineStr">
        <is>
          <t>SERENA 21 TORRES 2024</t>
        </is>
      </c>
      <c r="H733" s="63" t="n">
        <v>2025</v>
      </c>
      <c r="I733" s="64" t="n">
        <v>6</v>
      </c>
      <c r="J733" s="16" t="inlineStr">
        <is>
          <t>Jun</t>
        </is>
      </c>
      <c r="K733" s="16" t="n"/>
      <c r="M733" s="89" t="n">
        <v>-109.4080166666667</v>
      </c>
      <c r="N733" s="1" t="inlineStr">
        <is>
          <t>12.4 - PREVISÃO FÉRIAS</t>
        </is>
      </c>
      <c r="O733" s="1" t="n"/>
      <c r="P733" s="1" t="n"/>
      <c r="Q733" s="1" t="n"/>
      <c r="R733" s="1" t="n">
        <v>2025</v>
      </c>
    </row>
    <row r="734">
      <c r="A734" s="61" t="n">
        <v>45832</v>
      </c>
      <c r="B734" s="16" t="inlineStr">
        <is>
          <t>2481 - ANGLO AMERICAN NIQUEL BRASIL LTDA</t>
        </is>
      </c>
      <c r="C734" s="90" t="n">
        <v>211919.23</v>
      </c>
      <c r="D734" s="90" t="n"/>
      <c r="E734" s="90" t="n">
        <v>211919.23</v>
      </c>
      <c r="F734" s="16" t="inlineStr">
        <is>
          <t>1.1.1 - Recebimento de Clientes</t>
        </is>
      </c>
      <c r="G734" s="16" t="inlineStr">
        <is>
          <t>ANGLO AMERICAN</t>
        </is>
      </c>
      <c r="H734" s="63" t="n">
        <v>2025</v>
      </c>
      <c r="I734" s="64" t="n">
        <v>6</v>
      </c>
      <c r="J734" s="16" t="inlineStr">
        <is>
          <t>Jun</t>
        </is>
      </c>
      <c r="K734" s="16" t="n"/>
      <c r="M734" s="89" t="n">
        <v>211919.23</v>
      </c>
      <c r="N734" s="1" t="inlineStr">
        <is>
          <t>Faturamento</t>
        </is>
      </c>
      <c r="O734" s="1" t="inlineStr">
        <is>
          <t>(+)Receita Bruta</t>
        </is>
      </c>
      <c r="P734" s="1" t="inlineStr">
        <is>
          <t>(=)Receita Bruta</t>
        </is>
      </c>
      <c r="Q734" s="1" t="n">
        <v>1</v>
      </c>
      <c r="R734" s="1" t="n">
        <v>2025</v>
      </c>
    </row>
    <row r="735">
      <c r="A735" s="61" t="n">
        <v>45832</v>
      </c>
      <c r="B735" s="16" t="inlineStr">
        <is>
          <t>2482 - ANGLO AMERICAN NIQUEL BRASIL LTDA</t>
        </is>
      </c>
      <c r="C735" s="90" t="n">
        <v>35634.56</v>
      </c>
      <c r="D735" s="90" t="n"/>
      <c r="E735" s="90" t="n">
        <v>35634.56</v>
      </c>
      <c r="F735" s="16" t="inlineStr">
        <is>
          <t>1.1.1 - Recebimento de Clientes</t>
        </is>
      </c>
      <c r="G735" s="16" t="inlineStr">
        <is>
          <t>ANGLO AMERICAN</t>
        </is>
      </c>
      <c r="H735" s="63" t="n">
        <v>2025</v>
      </c>
      <c r="I735" s="64" t="n">
        <v>6</v>
      </c>
      <c r="J735" s="16" t="inlineStr">
        <is>
          <t>Jun</t>
        </is>
      </c>
      <c r="K735" s="16" t="n"/>
      <c r="M735" s="89" t="n">
        <v>35634.56</v>
      </c>
      <c r="N735" s="1" t="inlineStr">
        <is>
          <t>Faturamento</t>
        </is>
      </c>
      <c r="O735" s="1" t="inlineStr">
        <is>
          <t>(+)Receita Bruta</t>
        </is>
      </c>
      <c r="P735" s="1" t="inlineStr">
        <is>
          <t>(=)Receita Bruta</t>
        </is>
      </c>
      <c r="Q735" s="1" t="n">
        <v>1</v>
      </c>
      <c r="R735" s="1" t="n">
        <v>2025</v>
      </c>
    </row>
    <row r="736">
      <c r="A736" s="61" t="n">
        <v>45832</v>
      </c>
      <c r="B736" s="16" t="inlineStr">
        <is>
          <t>2483 - ANGLO AMERICAN NIQUEL BRASIL LTDA</t>
        </is>
      </c>
      <c r="C736" s="90" t="n">
        <v>20694.58</v>
      </c>
      <c r="D736" s="90" t="n"/>
      <c r="E736" s="90" t="n">
        <v>20694.58</v>
      </c>
      <c r="F736" s="16" t="inlineStr">
        <is>
          <t>1.1.1 - Recebimento de Clientes</t>
        </is>
      </c>
      <c r="G736" s="16" t="inlineStr">
        <is>
          <t>ANGLO AMERICAN</t>
        </is>
      </c>
      <c r="H736" s="63" t="n">
        <v>2025</v>
      </c>
      <c r="I736" s="64" t="n">
        <v>6</v>
      </c>
      <c r="J736" s="16" t="inlineStr">
        <is>
          <t>Jun</t>
        </is>
      </c>
      <c r="K736" s="16" t="n"/>
      <c r="M736" s="89" t="n">
        <v>20694.58</v>
      </c>
      <c r="N736" s="1" t="inlineStr">
        <is>
          <t>Faturamento</t>
        </is>
      </c>
      <c r="O736" s="1" t="inlineStr">
        <is>
          <t>(+)Receita Bruta</t>
        </is>
      </c>
      <c r="P736" s="1" t="inlineStr">
        <is>
          <t>(=)Receita Bruta</t>
        </is>
      </c>
      <c r="Q736" s="1" t="n">
        <v>1</v>
      </c>
      <c r="R736" s="1" t="n">
        <v>2025</v>
      </c>
    </row>
    <row r="737">
      <c r="A737" s="61" t="n">
        <v>45832</v>
      </c>
      <c r="B737" s="16" t="inlineStr">
        <is>
          <t>SANEAMENTO E ACOES URBANAS</t>
        </is>
      </c>
      <c r="C737" s="90" t="n"/>
      <c r="D737" s="90" t="n">
        <v>492.8</v>
      </c>
      <c r="E737" s="90" t="n">
        <v>-492.8</v>
      </c>
      <c r="F737" s="16" t="inlineStr">
        <is>
          <t>5.4 - AGUA ALOJAMENTO</t>
        </is>
      </c>
      <c r="G737" s="16" t="inlineStr">
        <is>
          <t>MOSAIC UBERABA CONTRAT0 3 ANOS</t>
        </is>
      </c>
      <c r="H737" s="63" t="n">
        <v>2025</v>
      </c>
      <c r="I737" s="64" t="n">
        <v>6</v>
      </c>
      <c r="J737" s="16" t="inlineStr">
        <is>
          <t>Jun</t>
        </is>
      </c>
      <c r="K737" s="16" t="n"/>
      <c r="M737" s="89" t="n">
        <v>-492.8</v>
      </c>
      <c r="N737" s="1" t="inlineStr">
        <is>
          <t>AGUA ALOJAMENTO</t>
        </is>
      </c>
      <c r="O737" s="1" t="inlineStr">
        <is>
          <t>Despesas com Infraestrutura</t>
        </is>
      </c>
      <c r="P737" s="1" t="inlineStr">
        <is>
          <t>(-)Gastos Fixos</t>
        </is>
      </c>
      <c r="Q737" s="1" t="n">
        <v>4</v>
      </c>
      <c r="R737" s="1" t="n">
        <v>2025</v>
      </c>
    </row>
    <row r="738">
      <c r="A738" s="61" t="n">
        <v>45832</v>
      </c>
      <c r="B738" s="16" t="inlineStr">
        <is>
          <t>CEMIG DISTRIBUIÇÃO S.A</t>
        </is>
      </c>
      <c r="C738" s="90" t="n"/>
      <c r="D738" s="90" t="n">
        <v>620.87</v>
      </c>
      <c r="E738" s="90" t="n">
        <v>-620.87</v>
      </c>
      <c r="F738" s="16" t="inlineStr">
        <is>
          <t>5.5 - ENERGIA ALOJAMENTO</t>
        </is>
      </c>
      <c r="G738" s="16" t="inlineStr">
        <is>
          <t>MOSAIC UBERABA CONTRAT0 3 ANOS</t>
        </is>
      </c>
      <c r="H738" s="63" t="n">
        <v>2025</v>
      </c>
      <c r="I738" s="64" t="n">
        <v>6</v>
      </c>
      <c r="J738" s="16" t="inlineStr">
        <is>
          <t>Jun</t>
        </is>
      </c>
      <c r="K738" s="16" t="n"/>
      <c r="M738" s="89" t="n">
        <v>-620.87</v>
      </c>
      <c r="N738" s="1" t="inlineStr">
        <is>
          <t>ENERGIA ALOJAMENTO</t>
        </is>
      </c>
      <c r="O738" s="1" t="inlineStr">
        <is>
          <t>Despesas com Infraestrutura</t>
        </is>
      </c>
      <c r="P738" s="1" t="inlineStr">
        <is>
          <t>(-)Gastos Fixos</t>
        </is>
      </c>
      <c r="Q738" s="1" t="n">
        <v>4</v>
      </c>
      <c r="R738" s="1" t="n">
        <v>2025</v>
      </c>
    </row>
    <row r="739">
      <c r="A739" s="61" t="n">
        <v>45832</v>
      </c>
      <c r="B739" s="16" t="inlineStr">
        <is>
          <t>VALE TRANSPORTE</t>
        </is>
      </c>
      <c r="C739" s="90" t="n"/>
      <c r="D739" s="90" t="n">
        <v>68.8</v>
      </c>
      <c r="E739" s="90" t="n">
        <v>-68.8</v>
      </c>
      <c r="F739" s="16" t="inlineStr">
        <is>
          <t>12.7 - TRANSPORTE FUNCIONARIOS</t>
        </is>
      </c>
      <c r="G739" s="16" t="inlineStr">
        <is>
          <t>ADMINISTRATIVO</t>
        </is>
      </c>
      <c r="H739" s="63" t="n">
        <v>2025</v>
      </c>
      <c r="I739" s="64" t="n">
        <v>6</v>
      </c>
      <c r="J739" s="16" t="inlineStr">
        <is>
          <t>Jun</t>
        </is>
      </c>
      <c r="K739" s="16" t="n"/>
      <c r="M739" s="89" t="n">
        <v>-68.8</v>
      </c>
      <c r="N739" s="1" t="inlineStr">
        <is>
          <t>12.7 - TRANSPORTE FUNCIONARIOS</t>
        </is>
      </c>
      <c r="O739" s="1" t="n"/>
      <c r="P739" s="1" t="n"/>
      <c r="Q739" s="1" t="n"/>
      <c r="R739" s="1" t="n">
        <v>2025</v>
      </c>
    </row>
    <row r="740">
      <c r="A740" s="61" t="n">
        <v>45832</v>
      </c>
      <c r="B740" s="16" t="inlineStr">
        <is>
          <t>CG ENGENHARIA E CONSULTORIA LTDA</t>
        </is>
      </c>
      <c r="C740" s="90" t="n"/>
      <c r="D740" s="90" t="n">
        <v>1000</v>
      </c>
      <c r="E740" s="90" t="n">
        <v>-1000</v>
      </c>
      <c r="F740" s="16" t="inlineStr">
        <is>
          <t>14.1 - EXAMES</t>
        </is>
      </c>
      <c r="G740" s="16" t="inlineStr">
        <is>
          <t>ADMINISTRATIVO</t>
        </is>
      </c>
      <c r="H740" s="63" t="n">
        <v>2025</v>
      </c>
      <c r="I740" s="64" t="n">
        <v>6</v>
      </c>
      <c r="J740" s="16" t="inlineStr">
        <is>
          <t>Jun</t>
        </is>
      </c>
      <c r="K740" s="16" t="n"/>
      <c r="M740" s="89" t="n">
        <v>-1000</v>
      </c>
      <c r="N740" s="1" t="inlineStr">
        <is>
          <t>EXAMES MÉDICOS</t>
        </is>
      </c>
      <c r="O740" s="1" t="inlineStr">
        <is>
          <t>Despesas com Pessoal</t>
        </is>
      </c>
      <c r="P740" s="1" t="inlineStr">
        <is>
          <t>(-)Gastos Fixos</t>
        </is>
      </c>
      <c r="Q740" s="1" t="n">
        <v>4</v>
      </c>
      <c r="R740" s="1" t="n">
        <v>2025</v>
      </c>
    </row>
    <row r="741">
      <c r="A741" s="61" t="n">
        <v>45832</v>
      </c>
      <c r="B741" s="16" t="inlineStr">
        <is>
          <t>CG ENGENHARIA E CONSULTORIA LTDA</t>
        </is>
      </c>
      <c r="C741" s="90" t="n"/>
      <c r="D741" s="90" t="n">
        <v>250</v>
      </c>
      <c r="E741" s="90" t="n">
        <v>-250</v>
      </c>
      <c r="F741" s="16" t="inlineStr">
        <is>
          <t>14.1 - EXAMES</t>
        </is>
      </c>
      <c r="G741" s="16" t="inlineStr">
        <is>
          <t>ANGLO AMERICAN</t>
        </is>
      </c>
      <c r="H741" s="63" t="n">
        <v>2025</v>
      </c>
      <c r="I741" s="64" t="n">
        <v>6</v>
      </c>
      <c r="J741" s="16" t="inlineStr">
        <is>
          <t>Jun</t>
        </is>
      </c>
      <c r="K741" s="16" t="n"/>
      <c r="M741" s="89" t="n">
        <v>-250</v>
      </c>
      <c r="N741" s="1" t="inlineStr">
        <is>
          <t>EXAMES MÉDICOS</t>
        </is>
      </c>
      <c r="O741" s="1" t="inlineStr">
        <is>
          <t>Despesas com Pessoal</t>
        </is>
      </c>
      <c r="P741" s="1" t="inlineStr">
        <is>
          <t>(-)Gastos Fixos</t>
        </is>
      </c>
      <c r="Q741" s="1" t="n">
        <v>4</v>
      </c>
      <c r="R741" s="1" t="n">
        <v>2025</v>
      </c>
    </row>
    <row r="742">
      <c r="A742" s="61" t="n">
        <v>45832</v>
      </c>
      <c r="B742" s="16" t="inlineStr">
        <is>
          <t>CG ENGENHARIA E CONSULTORIA LTDA</t>
        </is>
      </c>
      <c r="C742" s="90" t="n"/>
      <c r="D742" s="90" t="n">
        <v>4000</v>
      </c>
      <c r="E742" s="90" t="n">
        <v>-4000</v>
      </c>
      <c r="F742" s="16" t="inlineStr">
        <is>
          <t>14.1 - EXAMES</t>
        </is>
      </c>
      <c r="G742" s="16" t="inlineStr">
        <is>
          <t>COMPORTAS - PORTO FERREIRA</t>
        </is>
      </c>
      <c r="H742" s="63" t="n">
        <v>2025</v>
      </c>
      <c r="I742" s="64" t="n">
        <v>6</v>
      </c>
      <c r="J742" s="16" t="inlineStr">
        <is>
          <t>Jun</t>
        </is>
      </c>
      <c r="K742" s="16" t="n"/>
      <c r="M742" s="89" t="n">
        <v>-4000</v>
      </c>
      <c r="N742" s="1" t="inlineStr">
        <is>
          <t>EXAMES MÉDICOS</t>
        </is>
      </c>
      <c r="O742" s="1" t="inlineStr">
        <is>
          <t>Despesas com Pessoal</t>
        </is>
      </c>
      <c r="P742" s="1" t="inlineStr">
        <is>
          <t>(-)Gastos Fixos</t>
        </is>
      </c>
      <c r="Q742" s="1" t="n">
        <v>4</v>
      </c>
      <c r="R742" s="1" t="n">
        <v>2025</v>
      </c>
    </row>
    <row r="743">
      <c r="A743" s="61" t="n">
        <v>45832</v>
      </c>
      <c r="B743" s="16" t="inlineStr">
        <is>
          <t>A L DE SOUSA LTDA</t>
        </is>
      </c>
      <c r="C743" s="90" t="n"/>
      <c r="D743" s="90" t="n">
        <v>150</v>
      </c>
      <c r="E743" s="90" t="n">
        <v>-150</v>
      </c>
      <c r="F743" s="16" t="inlineStr">
        <is>
          <t>8.14 - MANUTENÇÃO/PEÇAS MAQUINAS E EQUIPAMENTOS</t>
        </is>
      </c>
      <c r="G743" s="16" t="inlineStr">
        <is>
          <t>ADMINISTRATIVO</t>
        </is>
      </c>
      <c r="H743" s="63" t="n">
        <v>2025</v>
      </c>
      <c r="I743" s="64" t="n">
        <v>6</v>
      </c>
      <c r="J743" s="16" t="inlineStr">
        <is>
          <t>Jun</t>
        </is>
      </c>
      <c r="K743" s="16" t="n"/>
      <c r="M743" s="89" t="n">
        <v>-150</v>
      </c>
      <c r="N743" s="1" t="inlineStr">
        <is>
          <t>MANUTENÇÃO/PEÇAS MAQUINAS E EQUIPAMENTOS</t>
        </is>
      </c>
      <c r="O743" s="1" t="inlineStr">
        <is>
          <t>Despesas com Máquinas e Equipamentos</t>
        </is>
      </c>
      <c r="P743" s="1" t="inlineStr">
        <is>
          <t>(-)Gastos Fixos</t>
        </is>
      </c>
      <c r="Q743" s="1" t="n">
        <v>4</v>
      </c>
      <c r="R743" s="1" t="n">
        <v>2025</v>
      </c>
    </row>
    <row r="744">
      <c r="A744" s="61" t="n">
        <v>45832</v>
      </c>
      <c r="B744" s="16" t="inlineStr">
        <is>
          <t>REFEIÇÃO OBRAS</t>
        </is>
      </c>
      <c r="C744" s="90" t="n"/>
      <c r="D744" s="90" t="n">
        <v>1160</v>
      </c>
      <c r="E744" s="90" t="n">
        <v>-1160</v>
      </c>
      <c r="F744" s="16" t="inlineStr">
        <is>
          <t>12.5 - REFEIÇÕES FUNCIONARIOS</t>
        </is>
      </c>
      <c r="G744" s="16" t="inlineStr">
        <is>
          <t>ANGLO AMERICAN</t>
        </is>
      </c>
      <c r="H744" s="63" t="n">
        <v>2025</v>
      </c>
      <c r="I744" s="64" t="n">
        <v>6</v>
      </c>
      <c r="J744" s="16" t="inlineStr">
        <is>
          <t>Jun</t>
        </is>
      </c>
      <c r="K744" s="16" t="n"/>
      <c r="M744" s="89" t="n">
        <v>-1160</v>
      </c>
      <c r="N744" s="1" t="inlineStr">
        <is>
          <t>12.5 - REFEIÇÕES FUNCIONARIOS</t>
        </is>
      </c>
      <c r="O744" s="1" t="n"/>
      <c r="P744" s="1" t="n"/>
      <c r="Q744" s="1" t="n"/>
      <c r="R744" s="1" t="n">
        <v>2025</v>
      </c>
    </row>
    <row r="745">
      <c r="A745" s="61" t="n">
        <v>45832</v>
      </c>
      <c r="B745" s="16" t="inlineStr">
        <is>
          <t>IMPERIO DO ESPETO</t>
        </is>
      </c>
      <c r="C745" s="90" t="n"/>
      <c r="D745" s="90" t="n">
        <v>162</v>
      </c>
      <c r="E745" s="90" t="n">
        <v>-162</v>
      </c>
      <c r="F745" s="16" t="inlineStr">
        <is>
          <t>11.5 - ALIMENTAÇÃO ADM</t>
        </is>
      </c>
      <c r="G745" s="16" t="inlineStr">
        <is>
          <t>ADMINISTRATIVO</t>
        </is>
      </c>
      <c r="H745" s="63" t="n">
        <v>2025</v>
      </c>
      <c r="I745" s="64" t="n">
        <v>6</v>
      </c>
      <c r="J745" s="16" t="inlineStr">
        <is>
          <t>Jun</t>
        </is>
      </c>
      <c r="K745" s="16" t="n"/>
      <c r="M745" s="89" t="n">
        <v>-162</v>
      </c>
      <c r="N745" s="1" t="inlineStr">
        <is>
          <t>ALIMENTAÇÃO ADM</t>
        </is>
      </c>
      <c r="O745" s="1" t="inlineStr">
        <is>
          <t>Despesas com Pessoal</t>
        </is>
      </c>
      <c r="P745" s="1" t="inlineStr">
        <is>
          <t>(-)Gastos Fixos</t>
        </is>
      </c>
      <c r="Q745" s="1" t="n">
        <v>4</v>
      </c>
      <c r="R745" s="1" t="n">
        <v>2025</v>
      </c>
    </row>
    <row r="746">
      <c r="A746" s="61" t="n">
        <v>45832</v>
      </c>
      <c r="B746" s="16" t="inlineStr">
        <is>
          <t>EQUATORIAL DISTRIBUIDORA DE ENERGIA S.A.</t>
        </is>
      </c>
      <c r="C746" s="90" t="n"/>
      <c r="D746" s="90" t="n">
        <v>172.14</v>
      </c>
      <c r="E746" s="90" t="n">
        <v>-172.14</v>
      </c>
      <c r="F746" s="16" t="inlineStr">
        <is>
          <t>5.5 - ENERGIA ALOJAMENTO</t>
        </is>
      </c>
      <c r="G746" s="16" t="inlineStr">
        <is>
          <t>SERENA 21 TORRES 2024</t>
        </is>
      </c>
      <c r="H746" s="63" t="n">
        <v>2025</v>
      </c>
      <c r="I746" s="64" t="n">
        <v>6</v>
      </c>
      <c r="J746" s="16" t="inlineStr">
        <is>
          <t>Jun</t>
        </is>
      </c>
      <c r="K746" s="16" t="n"/>
      <c r="M746" s="89" t="n">
        <v>-172.14</v>
      </c>
      <c r="N746" s="1" t="inlineStr">
        <is>
          <t>ENERGIA ALOJAMENTO</t>
        </is>
      </c>
      <c r="O746" s="1" t="inlineStr">
        <is>
          <t>Despesas com Infraestrutura</t>
        </is>
      </c>
      <c r="P746" s="1" t="inlineStr">
        <is>
          <t>(-)Gastos Fixos</t>
        </is>
      </c>
      <c r="Q746" s="1" t="n">
        <v>4</v>
      </c>
      <c r="R746" s="1" t="n">
        <v>2025</v>
      </c>
    </row>
    <row r="747">
      <c r="A747" s="61" t="n">
        <v>45832</v>
      </c>
      <c r="B747" s="16" t="inlineStr">
        <is>
          <t>MOTO BOY CLAUDEMIR</t>
        </is>
      </c>
      <c r="C747" s="90" t="n"/>
      <c r="D747" s="90" t="n">
        <v>120</v>
      </c>
      <c r="E747" s="90" t="n">
        <v>-120</v>
      </c>
      <c r="F747" s="16" t="inlineStr">
        <is>
          <t>3.8 - SERVIÇO MOTOBOY / UBER</t>
        </is>
      </c>
      <c r="G747" s="16" t="inlineStr">
        <is>
          <t>ADMINISTRATIVO</t>
        </is>
      </c>
      <c r="H747" s="63" t="n">
        <v>2025</v>
      </c>
      <c r="I747" s="64" t="n">
        <v>6</v>
      </c>
      <c r="J747" s="16" t="inlineStr">
        <is>
          <t>Jun</t>
        </is>
      </c>
      <c r="K747" s="16" t="n"/>
      <c r="M747" s="89" t="n">
        <v>-120</v>
      </c>
      <c r="N747" s="1" t="inlineStr">
        <is>
          <t>SERVIÇO MOTOBOY / UBER</t>
        </is>
      </c>
      <c r="O747" s="1" t="inlineStr">
        <is>
          <t>Despesas Administrativas</t>
        </is>
      </c>
      <c r="P747" s="1" t="inlineStr">
        <is>
          <t>(-)Gastos Fixos</t>
        </is>
      </c>
      <c r="Q747" s="1" t="n">
        <v>4</v>
      </c>
      <c r="R747" s="1" t="n">
        <v>2025</v>
      </c>
    </row>
    <row r="748">
      <c r="A748" s="61" t="n">
        <v>45832</v>
      </c>
      <c r="B748" s="16" t="inlineStr">
        <is>
          <t>FOLGA DE CAMPO</t>
        </is>
      </c>
      <c r="C748" s="90" t="n"/>
      <c r="D748" s="90" t="n">
        <v>1500</v>
      </c>
      <c r="E748" s="90" t="n">
        <v>-1500</v>
      </c>
      <c r="F748" s="16" t="inlineStr">
        <is>
          <t>12.9 - PASSAGENS FUNCIONARIOS</t>
        </is>
      </c>
      <c r="G748" s="16" t="inlineStr">
        <is>
          <t>FOSFATO CMOC CONTRAT</t>
        </is>
      </c>
      <c r="H748" s="63" t="n">
        <v>2025</v>
      </c>
      <c r="I748" s="64" t="n">
        <v>6</v>
      </c>
      <c r="J748" s="16" t="inlineStr">
        <is>
          <t>Jun</t>
        </is>
      </c>
      <c r="K748" s="16" t="n"/>
      <c r="M748" s="89" t="n">
        <v>-1500</v>
      </c>
      <c r="N748" s="1" t="inlineStr">
        <is>
          <t>12.9 - PASSAGENS FUNCIONARIOS</t>
        </is>
      </c>
      <c r="O748" s="1" t="n"/>
      <c r="P748" s="1" t="n"/>
      <c r="Q748" s="1" t="n"/>
      <c r="R748" s="1" t="n">
        <v>2025</v>
      </c>
    </row>
    <row r="749">
      <c r="A749" s="61" t="n">
        <v>45832</v>
      </c>
      <c r="B749" s="16" t="inlineStr">
        <is>
          <t>REINALDO DIAS</t>
        </is>
      </c>
      <c r="C749" s="90" t="n"/>
      <c r="D749" s="90" t="n">
        <v>22.884298</v>
      </c>
      <c r="E749" s="90" t="n">
        <v>-22.884298</v>
      </c>
      <c r="F749" s="16" t="inlineStr">
        <is>
          <t>12.5 - REFEIÇÕES FUNCIONARIOS</t>
        </is>
      </c>
      <c r="G749" s="16" t="inlineStr">
        <is>
          <t>ADMINISTRATIVO</t>
        </is>
      </c>
      <c r="H749" s="63" t="n">
        <v>2025</v>
      </c>
      <c r="I749" s="64" t="n">
        <v>6</v>
      </c>
      <c r="J749" s="16" t="inlineStr">
        <is>
          <t>Jun</t>
        </is>
      </c>
      <c r="K749" s="16" t="n"/>
      <c r="M749" s="89" t="n">
        <v>-22.884298</v>
      </c>
      <c r="N749" s="1" t="inlineStr">
        <is>
          <t>12.5 - REFEIÇÕES FUNCIONARIOS</t>
        </is>
      </c>
      <c r="O749" s="1" t="n"/>
      <c r="P749" s="1" t="n"/>
      <c r="Q749" s="1" t="n"/>
      <c r="R749" s="1" t="n">
        <v>2025</v>
      </c>
    </row>
    <row r="750">
      <c r="A750" s="61" t="n">
        <v>45832</v>
      </c>
      <c r="B750" s="16" t="inlineStr">
        <is>
          <t>REINALDO DIAS</t>
        </is>
      </c>
      <c r="C750" s="90" t="n"/>
      <c r="D750" s="90" t="n">
        <v>44.595041</v>
      </c>
      <c r="E750" s="90" t="n">
        <v>-44.595041</v>
      </c>
      <c r="F750" s="16" t="inlineStr">
        <is>
          <t>8.8 - MATERIAIS DE CONSUMO EM OBRAS</t>
        </is>
      </c>
      <c r="G750" s="16" t="inlineStr">
        <is>
          <t>ADMINISTRATIVO</t>
        </is>
      </c>
      <c r="H750" s="63" t="n">
        <v>2025</v>
      </c>
      <c r="I750" s="64" t="n">
        <v>6</v>
      </c>
      <c r="J750" s="16" t="inlineStr">
        <is>
          <t>Jun</t>
        </is>
      </c>
      <c r="K750" s="16" t="n"/>
      <c r="M750" s="89" t="n">
        <v>-44.595041</v>
      </c>
      <c r="N750" s="1" t="inlineStr">
        <is>
          <t>MATERIAIS DE CONSUMO EM OBRAS</t>
        </is>
      </c>
      <c r="O750" s="1" t="inlineStr">
        <is>
          <t>Despesas com Máquinas e Equipamentos</t>
        </is>
      </c>
      <c r="P750" s="1" t="inlineStr">
        <is>
          <t>(-)Gastos Fixos</t>
        </is>
      </c>
      <c r="Q750" s="1" t="n">
        <v>4</v>
      </c>
      <c r="R750" s="1" t="n">
        <v>2025</v>
      </c>
    </row>
    <row r="751">
      <c r="A751" s="61" t="n">
        <v>45832</v>
      </c>
      <c r="B751" s="16" t="inlineStr">
        <is>
          <t>REINALDO DIAS</t>
        </is>
      </c>
      <c r="C751" s="90" t="n"/>
      <c r="D751" s="90" t="n">
        <v>88.01652900000001</v>
      </c>
      <c r="E751" s="90" t="n">
        <v>-88.01652900000001</v>
      </c>
      <c r="F751" s="16" t="inlineStr">
        <is>
          <t>3.6 - SERVIÇO SERRALHEIRO</t>
        </is>
      </c>
      <c r="G751" s="16" t="inlineStr">
        <is>
          <t>ADMINISTRATIVO</t>
        </is>
      </c>
      <c r="H751" s="63" t="n">
        <v>2025</v>
      </c>
      <c r="I751" s="64" t="n">
        <v>6</v>
      </c>
      <c r="J751" s="16" t="inlineStr">
        <is>
          <t>Jun</t>
        </is>
      </c>
      <c r="K751" s="16" t="n"/>
      <c r="M751" s="89" t="n">
        <v>-88.01652900000001</v>
      </c>
      <c r="N751" s="1" t="inlineStr">
        <is>
          <t>SERVIÇO SERRALHEIRO</t>
        </is>
      </c>
      <c r="O751" s="1" t="inlineStr">
        <is>
          <t>Serviços de Terceiros</t>
        </is>
      </c>
      <c r="P751" s="1" t="inlineStr">
        <is>
          <t>(-)Gastos Fixos</t>
        </is>
      </c>
      <c r="Q751" s="1" t="n">
        <v>4</v>
      </c>
      <c r="R751" s="1" t="n">
        <v>2025</v>
      </c>
    </row>
    <row r="752">
      <c r="A752" s="61" t="n">
        <v>45832</v>
      </c>
      <c r="B752" s="16" t="inlineStr">
        <is>
          <t>REINALDO DIAS</t>
        </is>
      </c>
      <c r="C752" s="90" t="n"/>
      <c r="D752" s="90" t="n">
        <v>440.082645</v>
      </c>
      <c r="E752" s="90" t="n">
        <v>-440.082645</v>
      </c>
      <c r="F752" s="16" t="inlineStr">
        <is>
          <t>8.6 - MANGUEIRAS / CONEXÕES</t>
        </is>
      </c>
      <c r="G752" s="16" t="inlineStr">
        <is>
          <t>ADMINISTRATIVO</t>
        </is>
      </c>
      <c r="H752" s="63" t="n">
        <v>2025</v>
      </c>
      <c r="I752" s="64" t="n">
        <v>6</v>
      </c>
      <c r="J752" s="16" t="inlineStr">
        <is>
          <t>Jun</t>
        </is>
      </c>
      <c r="K752" s="16" t="n"/>
      <c r="M752" s="89" t="n">
        <v>-440.082645</v>
      </c>
      <c r="N752" s="1" t="inlineStr">
        <is>
          <t>MANGUEIRAS / CONEXÕES</t>
        </is>
      </c>
      <c r="O752" s="1" t="inlineStr">
        <is>
          <t>Despesas com Máquinas e Equipamentos</t>
        </is>
      </c>
      <c r="P752" s="1" t="inlineStr">
        <is>
          <t>(-)Gastos Fixos</t>
        </is>
      </c>
      <c r="Q752" s="1" t="n">
        <v>4</v>
      </c>
      <c r="R752" s="1" t="n">
        <v>2025</v>
      </c>
    </row>
    <row r="753">
      <c r="A753" s="61" t="n">
        <v>45832</v>
      </c>
      <c r="B753" s="16" t="inlineStr">
        <is>
          <t>REINALDO DIAS</t>
        </is>
      </c>
      <c r="C753" s="90" t="n"/>
      <c r="D753" s="90" t="n">
        <v>469.421488</v>
      </c>
      <c r="E753" s="90" t="n">
        <v>-469.421488</v>
      </c>
      <c r="F753" s="16" t="inlineStr">
        <is>
          <t>7.1 - LOCAÇÃO MUNCK / GUINDASTES</t>
        </is>
      </c>
      <c r="G753" s="16" t="inlineStr">
        <is>
          <t>ADMINISTRATIVO</t>
        </is>
      </c>
      <c r="H753" s="63" t="n">
        <v>2025</v>
      </c>
      <c r="I753" s="64" t="n">
        <v>6</v>
      </c>
      <c r="J753" s="16" t="inlineStr">
        <is>
          <t>Jun</t>
        </is>
      </c>
      <c r="K753" s="16" t="n"/>
      <c r="M753" s="89" t="n">
        <v>-469.421488</v>
      </c>
      <c r="N753" s="1" t="inlineStr">
        <is>
          <t>LOCAÇÃO MUNCK / GUINDASTES</t>
        </is>
      </c>
      <c r="O753" s="1" t="inlineStr">
        <is>
          <t>Despesas com Locações</t>
        </is>
      </c>
      <c r="P753" s="1" t="inlineStr">
        <is>
          <t>(-)Gastos Fixos</t>
        </is>
      </c>
      <c r="Q753" s="1" t="n">
        <v>4</v>
      </c>
      <c r="R753" s="1" t="n">
        <v>2025</v>
      </c>
    </row>
    <row r="754">
      <c r="A754" s="61" t="n">
        <v>45832</v>
      </c>
      <c r="B754" s="16" t="inlineStr">
        <is>
          <t>REINALDO DIAS</t>
        </is>
      </c>
      <c r="C754" s="90" t="n"/>
      <c r="D754" s="90" t="n">
        <v>16.115702</v>
      </c>
      <c r="E754" s="90" t="n">
        <v>-16.115702</v>
      </c>
      <c r="F754" s="16" t="inlineStr">
        <is>
          <t>12.5 - REFEIÇÕES FUNCIONARIOS</t>
        </is>
      </c>
      <c r="G754" s="16" t="inlineStr">
        <is>
          <t>CONDUTOS - ELETROBRAS</t>
        </is>
      </c>
      <c r="H754" s="63" t="n">
        <v>2025</v>
      </c>
      <c r="I754" s="64" t="n">
        <v>6</v>
      </c>
      <c r="J754" s="16" t="inlineStr">
        <is>
          <t>Jun</t>
        </is>
      </c>
      <c r="K754" s="16" t="n"/>
      <c r="M754" s="89" t="n">
        <v>-16.115702</v>
      </c>
      <c r="N754" s="1" t="inlineStr">
        <is>
          <t>12.5 - REFEIÇÕES FUNCIONARIOS</t>
        </is>
      </c>
      <c r="O754" s="1" t="n"/>
      <c r="P754" s="1" t="n"/>
      <c r="Q754" s="1" t="n"/>
      <c r="R754" s="1" t="n">
        <v>2025</v>
      </c>
    </row>
    <row r="755">
      <c r="A755" s="61" t="n">
        <v>45832</v>
      </c>
      <c r="B755" s="16" t="inlineStr">
        <is>
          <t>REINALDO DIAS</t>
        </is>
      </c>
      <c r="C755" s="90" t="n"/>
      <c r="D755" s="90" t="n">
        <v>31.404959</v>
      </c>
      <c r="E755" s="90" t="n">
        <v>-31.404959</v>
      </c>
      <c r="F755" s="16" t="inlineStr">
        <is>
          <t>8.8 - MATERIAIS DE CONSUMO EM OBRAS</t>
        </is>
      </c>
      <c r="G755" s="16" t="inlineStr">
        <is>
          <t>CONDUTOS - ELETROBRAS</t>
        </is>
      </c>
      <c r="H755" s="63" t="n">
        <v>2025</v>
      </c>
      <c r="I755" s="64" t="n">
        <v>6</v>
      </c>
      <c r="J755" s="16" t="inlineStr">
        <is>
          <t>Jun</t>
        </is>
      </c>
      <c r="K755" s="16" t="n"/>
      <c r="M755" s="89" t="n">
        <v>-31.404959</v>
      </c>
      <c r="N755" s="1" t="inlineStr">
        <is>
          <t>MATERIAIS DE CONSUMO EM OBRAS</t>
        </is>
      </c>
      <c r="O755" s="1" t="inlineStr">
        <is>
          <t>Despesas com Máquinas e Equipamentos</t>
        </is>
      </c>
      <c r="P755" s="1" t="inlineStr">
        <is>
          <t>(-)Gastos Fixos</t>
        </is>
      </c>
      <c r="Q755" s="1" t="n">
        <v>4</v>
      </c>
      <c r="R755" s="1" t="n">
        <v>2025</v>
      </c>
    </row>
    <row r="756">
      <c r="A756" s="61" t="n">
        <v>45832</v>
      </c>
      <c r="B756" s="16" t="inlineStr">
        <is>
          <t>REINALDO DIAS</t>
        </is>
      </c>
      <c r="C756" s="90" t="n"/>
      <c r="D756" s="90" t="n">
        <v>61.983471</v>
      </c>
      <c r="E756" s="90" t="n">
        <v>-61.983471</v>
      </c>
      <c r="F756" s="16" t="inlineStr">
        <is>
          <t>3.6 - SERVIÇO SERRALHEIRO</t>
        </is>
      </c>
      <c r="G756" s="16" t="inlineStr">
        <is>
          <t>CONDUTOS - ELETROBRAS</t>
        </is>
      </c>
      <c r="H756" s="63" t="n">
        <v>2025</v>
      </c>
      <c r="I756" s="64" t="n">
        <v>6</v>
      </c>
      <c r="J756" s="16" t="inlineStr">
        <is>
          <t>Jun</t>
        </is>
      </c>
      <c r="K756" s="16" t="n"/>
      <c r="M756" s="89" t="n">
        <v>-61.983471</v>
      </c>
      <c r="N756" s="1" t="inlineStr">
        <is>
          <t>SERVIÇO SERRALHEIRO</t>
        </is>
      </c>
      <c r="O756" s="1" t="inlineStr">
        <is>
          <t>Serviços de Terceiros</t>
        </is>
      </c>
      <c r="P756" s="1" t="inlineStr">
        <is>
          <t>(-)Gastos Fixos</t>
        </is>
      </c>
      <c r="Q756" s="1" t="n">
        <v>4</v>
      </c>
      <c r="R756" s="1" t="n">
        <v>2025</v>
      </c>
    </row>
    <row r="757">
      <c r="A757" s="61" t="n">
        <v>45832</v>
      </c>
      <c r="B757" s="16" t="inlineStr">
        <is>
          <t>REINALDO DIAS</t>
        </is>
      </c>
      <c r="C757" s="90" t="n"/>
      <c r="D757" s="90" t="n">
        <v>309.917355</v>
      </c>
      <c r="E757" s="90" t="n">
        <v>-309.917355</v>
      </c>
      <c r="F757" s="16" t="inlineStr">
        <is>
          <t>8.6 - MANGUEIRAS / CONEXÕES</t>
        </is>
      </c>
      <c r="G757" s="16" t="inlineStr">
        <is>
          <t>CONDUTOS - ELETROBRAS</t>
        </is>
      </c>
      <c r="H757" s="63" t="n">
        <v>2025</v>
      </c>
      <c r="I757" s="64" t="n">
        <v>6</v>
      </c>
      <c r="J757" s="16" t="inlineStr">
        <is>
          <t>Jun</t>
        </is>
      </c>
      <c r="K757" s="16" t="n"/>
      <c r="M757" s="89" t="n">
        <v>-309.917355</v>
      </c>
      <c r="N757" s="1" t="inlineStr">
        <is>
          <t>MANGUEIRAS / CONEXÕES</t>
        </is>
      </c>
      <c r="O757" s="1" t="inlineStr">
        <is>
          <t>Despesas com Máquinas e Equipamentos</t>
        </is>
      </c>
      <c r="P757" s="1" t="inlineStr">
        <is>
          <t>(-)Gastos Fixos</t>
        </is>
      </c>
      <c r="Q757" s="1" t="n">
        <v>4</v>
      </c>
      <c r="R757" s="1" t="n">
        <v>2025</v>
      </c>
    </row>
    <row r="758">
      <c r="A758" s="61" t="n">
        <v>45832</v>
      </c>
      <c r="B758" s="16" t="inlineStr">
        <is>
          <t>REINALDO DIAS</t>
        </is>
      </c>
      <c r="C758" s="90" t="n"/>
      <c r="D758" s="90" t="n">
        <v>330.578512</v>
      </c>
      <c r="E758" s="90" t="n">
        <v>-330.578512</v>
      </c>
      <c r="F758" s="16" t="inlineStr">
        <is>
          <t>7.1 - LOCAÇÃO MUNCK / GUINDASTES</t>
        </is>
      </c>
      <c r="G758" s="16" t="inlineStr">
        <is>
          <t>CONDUTOS - ELETROBRAS</t>
        </is>
      </c>
      <c r="H758" s="63" t="n">
        <v>2025</v>
      </c>
      <c r="I758" s="64" t="n">
        <v>6</v>
      </c>
      <c r="J758" s="16" t="inlineStr">
        <is>
          <t>Jun</t>
        </is>
      </c>
      <c r="K758" s="16" t="n"/>
      <c r="M758" s="89" t="n">
        <v>-330.578512</v>
      </c>
      <c r="N758" s="1" t="inlineStr">
        <is>
          <t>LOCAÇÃO MUNCK / GUINDASTES</t>
        </is>
      </c>
      <c r="O758" s="1" t="inlineStr">
        <is>
          <t>Despesas com Locações</t>
        </is>
      </c>
      <c r="P758" s="1" t="inlineStr">
        <is>
          <t>(-)Gastos Fixos</t>
        </is>
      </c>
      <c r="Q758" s="1" t="n">
        <v>4</v>
      </c>
      <c r="R758" s="1" t="n">
        <v>2025</v>
      </c>
    </row>
    <row r="759">
      <c r="A759" s="61" t="n">
        <v>45832</v>
      </c>
      <c r="B759" s="16" t="inlineStr">
        <is>
          <t>10380 - A PONTEC RELOGIOS E COMERCIO LTDA</t>
        </is>
      </c>
      <c r="C759" s="90" t="n"/>
      <c r="D759" s="90" t="n">
        <v>745</v>
      </c>
      <c r="E759" s="90" t="n">
        <v>-745</v>
      </c>
      <c r="F759" s="16" t="inlineStr">
        <is>
          <t>11.8 - SISTEMA / SERVIDOR</t>
        </is>
      </c>
      <c r="G759" s="16" t="inlineStr">
        <is>
          <t>ADMINISTRATIVO</t>
        </is>
      </c>
      <c r="H759" s="63" t="n">
        <v>2025</v>
      </c>
      <c r="I759" s="64" t="n">
        <v>6</v>
      </c>
      <c r="J759" s="16" t="inlineStr">
        <is>
          <t>Jun</t>
        </is>
      </c>
      <c r="K759" s="16" t="n"/>
      <c r="M759" s="89" t="n">
        <v>-745</v>
      </c>
      <c r="N759" s="1" t="inlineStr">
        <is>
          <t>SISTEMA / SERVIDOR</t>
        </is>
      </c>
      <c r="O759" s="1" t="inlineStr">
        <is>
          <t>Despesas Administrativas</t>
        </is>
      </c>
      <c r="P759" s="1" t="inlineStr">
        <is>
          <t>(-)Gastos Fixos</t>
        </is>
      </c>
      <c r="Q759" s="1" t="n">
        <v>4</v>
      </c>
      <c r="R759" s="1" t="n">
        <v>2025</v>
      </c>
    </row>
    <row r="760">
      <c r="A760" s="61" t="n">
        <v>45832</v>
      </c>
      <c r="B760" s="16" t="inlineStr">
        <is>
          <t>10380 - A PONTEC RELOGIOS E COMERCIO LTDA</t>
        </is>
      </c>
      <c r="C760" s="90" t="n"/>
      <c r="D760" s="90" t="n">
        <v>745</v>
      </c>
      <c r="E760" s="90" t="n">
        <v>-745</v>
      </c>
      <c r="F760" s="16" t="inlineStr">
        <is>
          <t>11.8 - SISTEMA / SERVIDOR</t>
        </is>
      </c>
      <c r="G760" s="16" t="inlineStr">
        <is>
          <t>ADMINISTRATIVO</t>
        </is>
      </c>
      <c r="H760" s="63" t="n">
        <v>2025</v>
      </c>
      <c r="I760" s="64" t="n">
        <v>6</v>
      </c>
      <c r="J760" s="16" t="inlineStr">
        <is>
          <t>Jun</t>
        </is>
      </c>
      <c r="K760" s="16" t="n"/>
      <c r="M760" s="89" t="n">
        <v>-745</v>
      </c>
      <c r="N760" s="1" t="inlineStr">
        <is>
          <t>SISTEMA / SERVIDOR</t>
        </is>
      </c>
      <c r="O760" s="1" t="inlineStr">
        <is>
          <t>Despesas Administrativas</t>
        </is>
      </c>
      <c r="P760" s="1" t="inlineStr">
        <is>
          <t>(-)Gastos Fixos</t>
        </is>
      </c>
      <c r="Q760" s="1" t="n">
        <v>4</v>
      </c>
      <c r="R760" s="1" t="n">
        <v>2025</v>
      </c>
    </row>
    <row r="761">
      <c r="A761" s="61" t="n">
        <v>45832</v>
      </c>
      <c r="B761" s="16" t="inlineStr">
        <is>
          <t>MAGNO</t>
        </is>
      </c>
      <c r="C761" s="90" t="n"/>
      <c r="D761" s="90" t="n">
        <v>94.90000000000001</v>
      </c>
      <c r="E761" s="90" t="n">
        <v>-94.90000000000001</v>
      </c>
      <c r="F761" s="16" t="inlineStr">
        <is>
          <t>11.14 - INTERNET OBRAS</t>
        </is>
      </c>
      <c r="G761" s="16" t="inlineStr">
        <is>
          <t>MOSAIC UBERABA CONTRAT0 3 ANOS</t>
        </is>
      </c>
      <c r="H761" s="63" t="n">
        <v>2025</v>
      </c>
      <c r="I761" s="64" t="n">
        <v>6</v>
      </c>
      <c r="J761" s="16" t="inlineStr">
        <is>
          <t>Jun</t>
        </is>
      </c>
      <c r="K761" s="16" t="n"/>
      <c r="M761" s="89" t="n">
        <v>-94.90000000000001</v>
      </c>
      <c r="N761" s="1" t="inlineStr">
        <is>
          <t>INTERNET OBRAS</t>
        </is>
      </c>
      <c r="O761" s="1" t="inlineStr">
        <is>
          <t>Despesas com Infraestrutura</t>
        </is>
      </c>
      <c r="P761" s="1" t="inlineStr">
        <is>
          <t>(-)Gastos Fixos</t>
        </is>
      </c>
      <c r="Q761" s="1" t="n">
        <v>4</v>
      </c>
      <c r="R761" s="1" t="n">
        <v>2025</v>
      </c>
    </row>
    <row r="762">
      <c r="A762" s="61" t="n">
        <v>45832</v>
      </c>
      <c r="B762" s="16" t="inlineStr">
        <is>
          <t>MAGNO</t>
        </is>
      </c>
      <c r="C762" s="90" t="n"/>
      <c r="D762" s="90" t="n">
        <v>190</v>
      </c>
      <c r="E762" s="90" t="n">
        <v>-190</v>
      </c>
      <c r="F762" s="16" t="inlineStr">
        <is>
          <t>6.10 - SERVIÇO LAVA JATO</t>
        </is>
      </c>
      <c r="G762" s="16" t="inlineStr">
        <is>
          <t>MOSAIC UBERABA CONTRAT0 3 ANOS</t>
        </is>
      </c>
      <c r="H762" s="63" t="n">
        <v>2025</v>
      </c>
      <c r="I762" s="64" t="n">
        <v>6</v>
      </c>
      <c r="J762" s="16" t="inlineStr">
        <is>
          <t>Jun</t>
        </is>
      </c>
      <c r="K762" s="16" t="n"/>
      <c r="M762" s="89" t="n">
        <v>-190</v>
      </c>
      <c r="N762" s="1" t="inlineStr">
        <is>
          <t>SERVIÇO LAVA JATO</t>
        </is>
      </c>
      <c r="O762" s="1" t="inlineStr">
        <is>
          <t>Despesas com Veículos e Equipamentos</t>
        </is>
      </c>
      <c r="P762" s="1" t="inlineStr">
        <is>
          <t>(-)Gastos Fixos</t>
        </is>
      </c>
      <c r="Q762" s="1" t="n">
        <v>4</v>
      </c>
      <c r="R762" s="1" t="n">
        <v>2025</v>
      </c>
    </row>
    <row r="763">
      <c r="A763" s="61" t="n">
        <v>45832</v>
      </c>
      <c r="B763" s="16" t="inlineStr">
        <is>
          <t>MAGNO</t>
        </is>
      </c>
      <c r="C763" s="90" t="n"/>
      <c r="D763" s="90" t="n">
        <v>230</v>
      </c>
      <c r="E763" s="90" t="n">
        <v>-230</v>
      </c>
      <c r="F763" s="16" t="inlineStr">
        <is>
          <t>6.6 - PEDAGIOS</t>
        </is>
      </c>
      <c r="G763" s="16" t="inlineStr">
        <is>
          <t>MOSAIC UBERABA CONTRAT0 3 ANOS</t>
        </is>
      </c>
      <c r="H763" s="63" t="n">
        <v>2025</v>
      </c>
      <c r="I763" s="64" t="n">
        <v>6</v>
      </c>
      <c r="J763" s="16" t="inlineStr">
        <is>
          <t>Jun</t>
        </is>
      </c>
      <c r="K763" s="16" t="n"/>
      <c r="M763" s="89" t="n">
        <v>-230</v>
      </c>
      <c r="N763" s="1" t="inlineStr">
        <is>
          <t>PEDAGIOS</t>
        </is>
      </c>
      <c r="O763" s="1" t="inlineStr">
        <is>
          <t>Despesas com Veículos e Equipamentos</t>
        </is>
      </c>
      <c r="P763" s="1" t="inlineStr">
        <is>
          <t>(-)Gastos Fixos</t>
        </is>
      </c>
      <c r="Q763" s="1" t="n">
        <v>4</v>
      </c>
      <c r="R763" s="1" t="n">
        <v>2025</v>
      </c>
    </row>
    <row r="764">
      <c r="A764" s="61" t="n">
        <v>45832</v>
      </c>
      <c r="B764" s="16" t="inlineStr">
        <is>
          <t>MAGNO</t>
        </is>
      </c>
      <c r="C764" s="90" t="n"/>
      <c r="D764" s="90" t="n">
        <v>260</v>
      </c>
      <c r="E764" s="90" t="n">
        <v>-260</v>
      </c>
      <c r="F764" s="16" t="inlineStr">
        <is>
          <t>3.8 - SERVIÇO MOTOBOY / UBER</t>
        </is>
      </c>
      <c r="G764" s="16" t="inlineStr">
        <is>
          <t>MOSAIC UBERABA CONTRAT0 3 ANOS</t>
        </is>
      </c>
      <c r="H764" s="63" t="n">
        <v>2025</v>
      </c>
      <c r="I764" s="64" t="n">
        <v>6</v>
      </c>
      <c r="J764" s="16" t="inlineStr">
        <is>
          <t>Jun</t>
        </is>
      </c>
      <c r="K764" s="16" t="n"/>
      <c r="M764" s="89" t="n">
        <v>-260</v>
      </c>
      <c r="N764" s="1" t="inlineStr">
        <is>
          <t>SERVIÇO MOTOBOY / UBER</t>
        </is>
      </c>
      <c r="O764" s="1" t="inlineStr">
        <is>
          <t>Despesas Administrativas</t>
        </is>
      </c>
      <c r="P764" s="1" t="inlineStr">
        <is>
          <t>(-)Gastos Fixos</t>
        </is>
      </c>
      <c r="Q764" s="1" t="n">
        <v>4</v>
      </c>
      <c r="R764" s="1" t="n">
        <v>2025</v>
      </c>
    </row>
    <row r="765">
      <c r="A765" s="61" t="n">
        <v>45832</v>
      </c>
      <c r="B765" s="16" t="inlineStr">
        <is>
          <t>MAGNO</t>
        </is>
      </c>
      <c r="C765" s="90" t="n"/>
      <c r="D765" s="90" t="n">
        <v>270</v>
      </c>
      <c r="E765" s="90" t="n">
        <v>-270</v>
      </c>
      <c r="F765" s="16" t="inlineStr">
        <is>
          <t>5.1 - HOTEL FUNCIONARIOS</t>
        </is>
      </c>
      <c r="G765" s="16" t="inlineStr">
        <is>
          <t>MOSAIC UBERABA CONTRAT0 3 ANOS</t>
        </is>
      </c>
      <c r="H765" s="63" t="n">
        <v>2025</v>
      </c>
      <c r="I765" s="64" t="n">
        <v>6</v>
      </c>
      <c r="J765" s="16" t="inlineStr">
        <is>
          <t>Jun</t>
        </is>
      </c>
      <c r="K765" s="16" t="n"/>
      <c r="M765" s="89" t="n">
        <v>-270</v>
      </c>
      <c r="N765" s="1" t="inlineStr">
        <is>
          <t>5.1 - HOTEL FUNCIONARIOS</t>
        </is>
      </c>
      <c r="O765" s="1" t="n"/>
      <c r="P765" s="1" t="n"/>
      <c r="Q765" s="1" t="n"/>
      <c r="R765" s="1" t="n">
        <v>2025</v>
      </c>
    </row>
    <row r="766">
      <c r="A766" s="61" t="n">
        <v>45832</v>
      </c>
      <c r="B766" s="16" t="inlineStr">
        <is>
          <t>MAGNO</t>
        </is>
      </c>
      <c r="C766" s="90" t="n"/>
      <c r="D766" s="90" t="n">
        <v>492.81</v>
      </c>
      <c r="E766" s="90" t="n">
        <v>-492.81</v>
      </c>
      <c r="F766" s="16" t="inlineStr">
        <is>
          <t>8.11 - MATERIAIS DE LIMPEZA / HIGIENE</t>
        </is>
      </c>
      <c r="G766" s="16" t="inlineStr">
        <is>
          <t>MOSAIC UBERABA CONTRAT0 3 ANOS</t>
        </is>
      </c>
      <c r="H766" s="63" t="n">
        <v>2025</v>
      </c>
      <c r="I766" s="64" t="n">
        <v>6</v>
      </c>
      <c r="J766" s="16" t="inlineStr">
        <is>
          <t>Jun</t>
        </is>
      </c>
      <c r="K766" s="16" t="n"/>
      <c r="M766" s="89" t="n">
        <v>-492.81</v>
      </c>
      <c r="N766" s="1" t="inlineStr">
        <is>
          <t>MATERIAIS DE LIMPEZA / HIGIENE</t>
        </is>
      </c>
      <c r="O766" s="1" t="inlineStr">
        <is>
          <t>Despesas com Máquinas e Equipamentos</t>
        </is>
      </c>
      <c r="P766" s="1" t="inlineStr">
        <is>
          <t>(-)Gastos Fixos</t>
        </is>
      </c>
      <c r="Q766" s="1" t="n">
        <v>4</v>
      </c>
      <c r="R766" s="1" t="n">
        <v>2025</v>
      </c>
    </row>
    <row r="767">
      <c r="A767" s="61" t="n">
        <v>45832</v>
      </c>
      <c r="B767" s="16" t="inlineStr">
        <is>
          <t>MAGNO</t>
        </is>
      </c>
      <c r="C767" s="90" t="n"/>
      <c r="D767" s="90" t="n">
        <v>517.28</v>
      </c>
      <c r="E767" s="90" t="n">
        <v>-517.28</v>
      </c>
      <c r="F767" s="16" t="inlineStr">
        <is>
          <t>12.5 - REFEIÇÕES FUNCIONARIOS</t>
        </is>
      </c>
      <c r="G767" s="16" t="inlineStr">
        <is>
          <t>MOSAIC UBERABA CONTRAT0 3 ANOS</t>
        </is>
      </c>
      <c r="H767" s="63" t="n">
        <v>2025</v>
      </c>
      <c r="I767" s="64" t="n">
        <v>6</v>
      </c>
      <c r="J767" s="16" t="inlineStr">
        <is>
          <t>Jun</t>
        </is>
      </c>
      <c r="K767" s="16" t="n"/>
      <c r="M767" s="89" t="n">
        <v>-517.28</v>
      </c>
      <c r="N767" s="1" t="inlineStr">
        <is>
          <t>12.5 - REFEIÇÕES FUNCIONARIOS</t>
        </is>
      </c>
      <c r="O767" s="1" t="n"/>
      <c r="P767" s="1" t="n"/>
      <c r="Q767" s="1" t="n"/>
      <c r="R767" s="1" t="n">
        <v>2025</v>
      </c>
    </row>
    <row r="768">
      <c r="A768" s="61" t="n">
        <v>45832</v>
      </c>
      <c r="B768" s="16" t="inlineStr">
        <is>
          <t>MAGNO</t>
        </is>
      </c>
      <c r="C768" s="90" t="n"/>
      <c r="D768" s="90" t="n">
        <v>764.24</v>
      </c>
      <c r="E768" s="90" t="n">
        <v>-764.24</v>
      </c>
      <c r="F768" s="16" t="inlineStr">
        <is>
          <t>6.4 - COMBUSTIVEL VEICULOS</t>
        </is>
      </c>
      <c r="G768" s="16" t="inlineStr">
        <is>
          <t>MOSAIC UBERABA CONTRAT0 3 ANOS</t>
        </is>
      </c>
      <c r="H768" s="63" t="n">
        <v>2025</v>
      </c>
      <c r="I768" s="64" t="n">
        <v>6</v>
      </c>
      <c r="J768" s="16" t="inlineStr">
        <is>
          <t>Jun</t>
        </is>
      </c>
      <c r="K768" s="16" t="n"/>
      <c r="M768" s="89" t="n">
        <v>-764.24</v>
      </c>
      <c r="N768" s="1" t="inlineStr">
        <is>
          <t>COMBUSTIVEL VEICULOS</t>
        </is>
      </c>
      <c r="O768" s="1" t="inlineStr">
        <is>
          <t>Despesas com Veículos e Equipamentos</t>
        </is>
      </c>
      <c r="P768" s="1" t="inlineStr">
        <is>
          <t>(-)Gastos Fixos</t>
        </is>
      </c>
      <c r="Q768" s="1" t="n">
        <v>4</v>
      </c>
      <c r="R768" s="1" t="n">
        <v>2025</v>
      </c>
    </row>
    <row r="769">
      <c r="A769" s="61" t="n">
        <v>45832</v>
      </c>
      <c r="B769" s="16" t="inlineStr">
        <is>
          <t>FGTS</t>
        </is>
      </c>
      <c r="C769" s="90" t="n"/>
      <c r="D769" s="90" t="n">
        <v>159.42</v>
      </c>
      <c r="E769" s="90" t="n">
        <v>-159.42</v>
      </c>
      <c r="F769" s="16" t="inlineStr">
        <is>
          <t>12.14 - FGTS FUNCIONARIOS</t>
        </is>
      </c>
      <c r="G769" s="16" t="inlineStr">
        <is>
          <t>MOSAIC UBERABA CONTRAT0 3 ANOS</t>
        </is>
      </c>
      <c r="H769" s="63" t="n">
        <v>2025</v>
      </c>
      <c r="I769" s="64" t="n">
        <v>6</v>
      </c>
      <c r="J769" s="16" t="inlineStr">
        <is>
          <t>Jun</t>
        </is>
      </c>
      <c r="K769" s="16" t="n"/>
      <c r="M769" s="89" t="n">
        <v>-159.42</v>
      </c>
      <c r="N769" s="1" t="inlineStr">
        <is>
          <t>FGTS FUNCIONARIOS</t>
        </is>
      </c>
      <c r="O769" s="1" t="inlineStr">
        <is>
          <t>Despesas com Pessoal</t>
        </is>
      </c>
      <c r="P769" s="1" t="inlineStr">
        <is>
          <t>(-)Gastos Fixos</t>
        </is>
      </c>
      <c r="Q769" s="1" t="n">
        <v>4</v>
      </c>
      <c r="R769" s="1" t="n">
        <v>2025</v>
      </c>
    </row>
    <row r="770">
      <c r="A770" s="61" t="n">
        <v>45832</v>
      </c>
      <c r="B770" s="16" t="inlineStr">
        <is>
          <t>MAGNO</t>
        </is>
      </c>
      <c r="C770" s="90" t="n"/>
      <c r="D770" s="90" t="n">
        <v>5800</v>
      </c>
      <c r="E770" s="90" t="n">
        <v>-5800</v>
      </c>
      <c r="F770" s="16" t="inlineStr">
        <is>
          <t>8.6 - MANGUEIRAS / CONEXÕES</t>
        </is>
      </c>
      <c r="G770" s="16" t="inlineStr">
        <is>
          <t>ADMINISTRATIVO</t>
        </is>
      </c>
      <c r="H770" s="63" t="n">
        <v>2025</v>
      </c>
      <c r="I770" s="64" t="n">
        <v>6</v>
      </c>
      <c r="J770" s="16" t="inlineStr">
        <is>
          <t>Jun</t>
        </is>
      </c>
      <c r="K770" s="16" t="n"/>
      <c r="M770" s="89" t="n">
        <v>-5800</v>
      </c>
      <c r="N770" s="1" t="inlineStr">
        <is>
          <t>MANGUEIRAS / CONEXÕES</t>
        </is>
      </c>
      <c r="O770" s="1" t="inlineStr">
        <is>
          <t>Despesas com Máquinas e Equipamentos</t>
        </is>
      </c>
      <c r="P770" s="1" t="inlineStr">
        <is>
          <t>(-)Gastos Fixos</t>
        </is>
      </c>
      <c r="Q770" s="1" t="n">
        <v>4</v>
      </c>
      <c r="R770" s="1" t="n">
        <v>2025</v>
      </c>
    </row>
    <row r="771">
      <c r="A771" s="61" t="n">
        <v>45832</v>
      </c>
      <c r="B771" s="16" t="inlineStr">
        <is>
          <t>GENILDO</t>
        </is>
      </c>
      <c r="C771" s="90" t="n"/>
      <c r="D771" s="90" t="n">
        <v>31</v>
      </c>
      <c r="E771" s="90" t="n">
        <v>-31</v>
      </c>
      <c r="F771" s="16" t="inlineStr">
        <is>
          <t>12.5 - REFEIÇÕES FUNCIONARIOS</t>
        </is>
      </c>
      <c r="G771" s="16" t="inlineStr">
        <is>
          <t>COMPORTAS - PORTO FERREIRA</t>
        </is>
      </c>
      <c r="H771" s="63" t="n">
        <v>2025</v>
      </c>
      <c r="I771" s="64" t="n">
        <v>6</v>
      </c>
      <c r="J771" s="16" t="inlineStr">
        <is>
          <t>Jun</t>
        </is>
      </c>
      <c r="K771" s="16" t="n"/>
      <c r="M771" s="89" t="n">
        <v>-31</v>
      </c>
      <c r="N771" s="1" t="inlineStr">
        <is>
          <t>12.5 - REFEIÇÕES FUNCIONARIOS</t>
        </is>
      </c>
      <c r="O771" s="1" t="n"/>
      <c r="P771" s="1" t="n"/>
      <c r="Q771" s="1" t="n"/>
      <c r="R771" s="1" t="n">
        <v>2025</v>
      </c>
    </row>
    <row r="772">
      <c r="A772" s="61" t="n">
        <v>45832</v>
      </c>
      <c r="B772" s="16" t="inlineStr">
        <is>
          <t>GENILDO</t>
        </is>
      </c>
      <c r="C772" s="90" t="n"/>
      <c r="D772" s="90" t="n">
        <v>230</v>
      </c>
      <c r="E772" s="90" t="n">
        <v>-230</v>
      </c>
      <c r="F772" s="16" t="inlineStr">
        <is>
          <t>6.4 - COMBUSTIVEL VEICULOS</t>
        </is>
      </c>
      <c r="G772" s="16" t="inlineStr">
        <is>
          <t>COMPORTAS - PORTO FERREIRA</t>
        </is>
      </c>
      <c r="H772" s="63" t="n">
        <v>2025</v>
      </c>
      <c r="I772" s="64" t="n">
        <v>6</v>
      </c>
      <c r="J772" s="16" t="inlineStr">
        <is>
          <t>Jun</t>
        </is>
      </c>
      <c r="K772" s="16" t="n"/>
      <c r="M772" s="89" t="n">
        <v>-230</v>
      </c>
      <c r="N772" s="1" t="inlineStr">
        <is>
          <t>COMBUSTIVEL VEICULOS</t>
        </is>
      </c>
      <c r="O772" s="1" t="inlineStr">
        <is>
          <t>Despesas com Veículos e Equipamentos</t>
        </is>
      </c>
      <c r="P772" s="1" t="inlineStr">
        <is>
          <t>(-)Gastos Fixos</t>
        </is>
      </c>
      <c r="Q772" s="1" t="n">
        <v>4</v>
      </c>
      <c r="R772" s="1" t="n">
        <v>2025</v>
      </c>
    </row>
    <row r="773">
      <c r="A773" s="61" t="n">
        <v>45832</v>
      </c>
      <c r="B773" s="16" t="inlineStr">
        <is>
          <t>RICARDO RODRIGUES - COMERCIAL</t>
        </is>
      </c>
      <c r="C773" s="90" t="n"/>
      <c r="D773" s="90" t="n">
        <v>90</v>
      </c>
      <c r="E773" s="90" t="n">
        <v>-90</v>
      </c>
      <c r="F773" s="16" t="inlineStr">
        <is>
          <t>12.5 - REFEIÇÕES FUNCIONARIOS</t>
        </is>
      </c>
      <c r="G773" s="16" t="inlineStr">
        <is>
          <t>ADMINISTRATIVO</t>
        </is>
      </c>
      <c r="H773" s="63" t="n">
        <v>2025</v>
      </c>
      <c r="I773" s="64" t="n">
        <v>6</v>
      </c>
      <c r="J773" s="16" t="inlineStr">
        <is>
          <t>Jun</t>
        </is>
      </c>
      <c r="K773" s="16" t="n"/>
      <c r="M773" s="89" t="n">
        <v>-90</v>
      </c>
      <c r="N773" s="1" t="inlineStr">
        <is>
          <t>12.5 - REFEIÇÕES FUNCIONARIOS</t>
        </is>
      </c>
      <c r="O773" s="1" t="n"/>
      <c r="P773" s="1" t="n"/>
      <c r="Q773" s="1" t="n"/>
      <c r="R773" s="1" t="n">
        <v>2025</v>
      </c>
    </row>
    <row r="774">
      <c r="A774" s="61" t="n">
        <v>45832</v>
      </c>
      <c r="B774" s="16" t="inlineStr">
        <is>
          <t>RICARDO RODRIGUES - COMERCIAL</t>
        </is>
      </c>
      <c r="C774" s="90" t="n"/>
      <c r="D774" s="90" t="n">
        <v>180</v>
      </c>
      <c r="E774" s="90" t="n">
        <v>-180</v>
      </c>
      <c r="F774" s="16" t="inlineStr">
        <is>
          <t>12.7 - TRANSPORTE FUNCIONARIOS</t>
        </is>
      </c>
      <c r="G774" s="16" t="inlineStr">
        <is>
          <t>ADMINISTRATIVO</t>
        </is>
      </c>
      <c r="H774" s="63" t="n">
        <v>2025</v>
      </c>
      <c r="I774" s="64" t="n">
        <v>6</v>
      </c>
      <c r="J774" s="16" t="inlineStr">
        <is>
          <t>Jun</t>
        </is>
      </c>
      <c r="K774" s="16" t="n"/>
      <c r="M774" s="89" t="n">
        <v>-180</v>
      </c>
      <c r="N774" s="1" t="inlineStr">
        <is>
          <t>12.7 - TRANSPORTE FUNCIONARIOS</t>
        </is>
      </c>
      <c r="O774" s="1" t="n"/>
      <c r="P774" s="1" t="n"/>
      <c r="Q774" s="1" t="n"/>
      <c r="R774" s="1" t="n">
        <v>2025</v>
      </c>
    </row>
    <row r="775">
      <c r="A775" s="61" t="n">
        <v>45832</v>
      </c>
      <c r="B775" s="16" t="inlineStr">
        <is>
          <t>UBER MOACIR</t>
        </is>
      </c>
      <c r="C775" s="90" t="n"/>
      <c r="D775" s="90" t="n">
        <v>80</v>
      </c>
      <c r="E775" s="90" t="n">
        <v>-80</v>
      </c>
      <c r="F775" s="16" t="inlineStr">
        <is>
          <t>3.8 - SERVIÇO MOTOBOY / UBER</t>
        </is>
      </c>
      <c r="G775" s="16" t="inlineStr">
        <is>
          <t>MOSAIC UBERABA CONTRAT0 3 ANOS</t>
        </is>
      </c>
      <c r="H775" s="63" t="n">
        <v>2025</v>
      </c>
      <c r="I775" s="64" t="n">
        <v>6</v>
      </c>
      <c r="J775" s="16" t="inlineStr">
        <is>
          <t>Jun</t>
        </is>
      </c>
      <c r="K775" s="16" t="n"/>
      <c r="M775" s="89" t="n">
        <v>-80</v>
      </c>
      <c r="N775" s="1" t="inlineStr">
        <is>
          <t>SERVIÇO MOTOBOY / UBER</t>
        </is>
      </c>
      <c r="O775" s="1" t="inlineStr">
        <is>
          <t>Despesas Administrativas</t>
        </is>
      </c>
      <c r="P775" s="1" t="inlineStr">
        <is>
          <t>(-)Gastos Fixos</t>
        </is>
      </c>
      <c r="Q775" s="1" t="n">
        <v>4</v>
      </c>
      <c r="R775" s="1" t="n">
        <v>2025</v>
      </c>
    </row>
    <row r="776">
      <c r="A776" s="61" t="n">
        <v>45832</v>
      </c>
      <c r="B776" s="16" t="inlineStr">
        <is>
          <t>DESPESAS DE OBRAS</t>
        </is>
      </c>
      <c r="C776" s="90" t="n"/>
      <c r="D776" s="90" t="n">
        <v>600</v>
      </c>
      <c r="E776" s="90" t="n">
        <v>-600</v>
      </c>
      <c r="F776" s="16" t="inlineStr">
        <is>
          <t>7.4 - LOCAÇÃO EQUIPAMENTOS</t>
        </is>
      </c>
      <c r="G776" s="16" t="inlineStr">
        <is>
          <t>GASTOS COMERCIAIS</t>
        </is>
      </c>
      <c r="H776" s="63" t="n">
        <v>2025</v>
      </c>
      <c r="I776" s="64" t="n">
        <v>6</v>
      </c>
      <c r="J776" s="16" t="inlineStr">
        <is>
          <t>Jun</t>
        </is>
      </c>
      <c r="K776" s="16" t="n"/>
      <c r="M776" s="89" t="n">
        <v>-600</v>
      </c>
      <c r="N776" s="1" t="inlineStr">
        <is>
          <t>LOCAÇÃO EQUIPAMENTOS</t>
        </is>
      </c>
      <c r="O776" s="1" t="inlineStr">
        <is>
          <t>Despesas com Locações</t>
        </is>
      </c>
      <c r="P776" s="1" t="inlineStr">
        <is>
          <t>(-)Gastos Fixos</t>
        </is>
      </c>
      <c r="Q776" s="1" t="n">
        <v>4</v>
      </c>
      <c r="R776" s="1" t="n">
        <v>2025</v>
      </c>
    </row>
    <row r="777">
      <c r="A777" s="61" t="n">
        <v>45832</v>
      </c>
      <c r="B777" s="16" t="inlineStr">
        <is>
          <t>DESPESAS DE OBRAS</t>
        </is>
      </c>
      <c r="C777" s="90" t="n"/>
      <c r="D777" s="90" t="n">
        <v>700</v>
      </c>
      <c r="E777" s="90" t="n">
        <v>-700</v>
      </c>
      <c r="F777" s="16" t="inlineStr">
        <is>
          <t>3.18 - SERVIÇO ALVARAS E LICENCIAMENTO</t>
        </is>
      </c>
      <c r="G777" s="16" t="inlineStr">
        <is>
          <t>ADMINISTRATIVO</t>
        </is>
      </c>
      <c r="H777" s="63" t="n">
        <v>2025</v>
      </c>
      <c r="I777" s="64" t="n">
        <v>6</v>
      </c>
      <c r="J777" s="16" t="inlineStr">
        <is>
          <t>Jun</t>
        </is>
      </c>
      <c r="K777" s="16" t="n"/>
      <c r="M777" s="89" t="n">
        <v>-700</v>
      </c>
      <c r="N777" s="1" t="inlineStr">
        <is>
          <t>SERVIÇO ALVARAS E LICENCIAMENTO</t>
        </is>
      </c>
      <c r="O777" s="1" t="inlineStr">
        <is>
          <t>Despesas Administrativas</t>
        </is>
      </c>
      <c r="P777" s="1" t="inlineStr">
        <is>
          <t>(-)Gastos Fixos</t>
        </is>
      </c>
      <c r="Q777" s="1" t="n">
        <v>4</v>
      </c>
      <c r="R777" s="1" t="n">
        <v>2025</v>
      </c>
    </row>
    <row r="778">
      <c r="A778" s="61" t="n">
        <v>45832</v>
      </c>
      <c r="B778" s="16" t="inlineStr">
        <is>
          <t>CLINICA OBRAS</t>
        </is>
      </c>
      <c r="C778" s="90" t="n"/>
      <c r="D778" s="90" t="n">
        <v>70</v>
      </c>
      <c r="E778" s="90" t="n">
        <v>-70</v>
      </c>
      <c r="F778" s="16" t="inlineStr">
        <is>
          <t>14.1 - EXAMES</t>
        </is>
      </c>
      <c r="G778" s="16" t="inlineStr">
        <is>
          <t>MOSAIC UBERABA CONTRAT0 3 ANOS</t>
        </is>
      </c>
      <c r="H778" s="63" t="n">
        <v>2025</v>
      </c>
      <c r="I778" s="64" t="n">
        <v>6</v>
      </c>
      <c r="J778" s="16" t="inlineStr">
        <is>
          <t>Jun</t>
        </is>
      </c>
      <c r="K778" s="16" t="n"/>
      <c r="M778" s="89" t="n">
        <v>-70</v>
      </c>
      <c r="N778" s="1" t="inlineStr">
        <is>
          <t>EXAMES MÉDICOS</t>
        </is>
      </c>
      <c r="O778" s="1" t="inlineStr">
        <is>
          <t>Despesas com Pessoal</t>
        </is>
      </c>
      <c r="P778" s="1" t="inlineStr">
        <is>
          <t>(-)Gastos Fixos</t>
        </is>
      </c>
      <c r="Q778" s="1" t="n">
        <v>4</v>
      </c>
      <c r="R778" s="1" t="n">
        <v>2025</v>
      </c>
    </row>
    <row r="779">
      <c r="A779" s="61" t="n">
        <v>45832</v>
      </c>
      <c r="B779" s="16" t="inlineStr">
        <is>
          <t>RODOVIARIA MATEUS CABEÇA BRANCA</t>
        </is>
      </c>
      <c r="C779" s="90" t="n"/>
      <c r="D779" s="90" t="n">
        <v>514.03</v>
      </c>
      <c r="E779" s="90" t="n">
        <v>-514.03</v>
      </c>
      <c r="F779" s="16" t="inlineStr">
        <is>
          <t>12.9 - PASSAGENS FUNCIONARIOS</t>
        </is>
      </c>
      <c r="G779" s="16" t="inlineStr">
        <is>
          <t>VLI PINTURA</t>
        </is>
      </c>
      <c r="H779" s="63" t="n">
        <v>2025</v>
      </c>
      <c r="I779" s="64" t="n">
        <v>6</v>
      </c>
      <c r="J779" s="16" t="inlineStr">
        <is>
          <t>Jun</t>
        </is>
      </c>
      <c r="K779" s="16" t="n"/>
      <c r="M779" s="89" t="n">
        <v>-514.03</v>
      </c>
      <c r="N779" s="1" t="inlineStr">
        <is>
          <t>12.9 - PASSAGENS FUNCIONARIOS</t>
        </is>
      </c>
      <c r="O779" s="1" t="n"/>
      <c r="P779" s="1" t="n"/>
      <c r="Q779" s="1" t="n"/>
      <c r="R779" s="1" t="n">
        <v>2025</v>
      </c>
    </row>
    <row r="780">
      <c r="A780" s="61" t="n">
        <v>45832</v>
      </c>
      <c r="B780" s="16" t="inlineStr">
        <is>
          <t>RODOVIARIA MATEUS CABEÇA BRANCA</t>
        </is>
      </c>
      <c r="C780" s="90" t="n"/>
      <c r="D780" s="90" t="n">
        <v>2643.97</v>
      </c>
      <c r="E780" s="90" t="n">
        <v>-2643.97</v>
      </c>
      <c r="F780" s="16" t="inlineStr">
        <is>
          <t>12.9 - PASSAGENS FUNCIONARIOS</t>
        </is>
      </c>
      <c r="G780" s="16" t="inlineStr">
        <is>
          <t>MOSAIC UBERABA CONTRAT0 3 ANOS</t>
        </is>
      </c>
      <c r="H780" s="63" t="n">
        <v>2025</v>
      </c>
      <c r="I780" s="64" t="n">
        <v>6</v>
      </c>
      <c r="J780" s="16" t="inlineStr">
        <is>
          <t>Jun</t>
        </is>
      </c>
      <c r="K780" s="16" t="n"/>
      <c r="M780" s="89" t="n">
        <v>-2643.97</v>
      </c>
      <c r="N780" s="1" t="inlineStr">
        <is>
          <t>12.9 - PASSAGENS FUNCIONARIOS</t>
        </is>
      </c>
      <c r="O780" s="1" t="n"/>
      <c r="P780" s="1" t="n"/>
      <c r="Q780" s="1" t="n"/>
      <c r="R780" s="1" t="n">
        <v>2025</v>
      </c>
    </row>
    <row r="781">
      <c r="A781" s="61" t="n">
        <v>45832</v>
      </c>
      <c r="B781" s="16" t="inlineStr">
        <is>
          <t>RODOVIARIA MATEUS CABEÇA BRANCA</t>
        </is>
      </c>
      <c r="C781" s="90" t="n"/>
      <c r="D781" s="90" t="n">
        <v>585.1900000000001</v>
      </c>
      <c r="E781" s="90" t="n">
        <v>-585.1900000000001</v>
      </c>
      <c r="F781" s="16" t="inlineStr">
        <is>
          <t>12.9 - PASSAGENS FUNCIONARIOS</t>
        </is>
      </c>
      <c r="G781" s="16" t="inlineStr">
        <is>
          <t>ANGLO AMERICAN</t>
        </is>
      </c>
      <c r="H781" s="63" t="n">
        <v>2025</v>
      </c>
      <c r="I781" s="64" t="n">
        <v>6</v>
      </c>
      <c r="J781" s="16" t="inlineStr">
        <is>
          <t>Jun</t>
        </is>
      </c>
      <c r="K781" s="16" t="n"/>
      <c r="M781" s="89" t="n">
        <v>-585.1900000000001</v>
      </c>
      <c r="N781" s="1" t="inlineStr">
        <is>
          <t>12.9 - PASSAGENS FUNCIONARIOS</t>
        </is>
      </c>
      <c r="O781" s="1" t="n"/>
      <c r="P781" s="1" t="n"/>
      <c r="Q781" s="1" t="n"/>
      <c r="R781" s="1" t="n">
        <v>2025</v>
      </c>
    </row>
    <row r="782">
      <c r="A782" s="61" t="n">
        <v>45832</v>
      </c>
      <c r="B782" s="16" t="inlineStr">
        <is>
          <t>RODOVIARIA MATEUS CABEÇA BRANCA</t>
        </is>
      </c>
      <c r="C782" s="90" t="n"/>
      <c r="D782" s="90" t="n">
        <v>304</v>
      </c>
      <c r="E782" s="90" t="n">
        <v>-304</v>
      </c>
      <c r="F782" s="16" t="inlineStr">
        <is>
          <t>12.9 - PASSAGENS FUNCIONARIOS</t>
        </is>
      </c>
      <c r="G782" s="16" t="inlineStr">
        <is>
          <t>COMPORTAS - PORTO FERREIRA</t>
        </is>
      </c>
      <c r="H782" s="63" t="n">
        <v>2025</v>
      </c>
      <c r="I782" s="64" t="n">
        <v>6</v>
      </c>
      <c r="J782" s="16" t="inlineStr">
        <is>
          <t>Jun</t>
        </is>
      </c>
      <c r="K782" s="16" t="n"/>
      <c r="M782" s="89" t="n">
        <v>-304</v>
      </c>
      <c r="N782" s="1" t="inlineStr">
        <is>
          <t>12.9 - PASSAGENS FUNCIONARIOS</t>
        </is>
      </c>
      <c r="O782" s="1" t="n"/>
      <c r="P782" s="1" t="n"/>
      <c r="Q782" s="1" t="n"/>
      <c r="R782" s="1" t="n">
        <v>2025</v>
      </c>
    </row>
    <row r="783">
      <c r="A783" s="61" t="n">
        <v>45832</v>
      </c>
      <c r="B783" s="16" t="inlineStr">
        <is>
          <t>DESPESAS DE VIAGEM</t>
        </is>
      </c>
      <c r="C783" s="90" t="n"/>
      <c r="D783" s="90" t="n">
        <v>264</v>
      </c>
      <c r="E783" s="90" t="n">
        <v>-264</v>
      </c>
      <c r="F783" s="16" t="inlineStr">
        <is>
          <t>12.5 - REFEIÇÕES FUNCIONARIOS</t>
        </is>
      </c>
      <c r="G783" s="16" t="inlineStr">
        <is>
          <t>MOSAIC UBERABA CONTRAT0 3 ANOS</t>
        </is>
      </c>
      <c r="H783" s="63" t="n">
        <v>2025</v>
      </c>
      <c r="I783" s="64" t="n">
        <v>6</v>
      </c>
      <c r="J783" s="16" t="inlineStr">
        <is>
          <t>Jun</t>
        </is>
      </c>
      <c r="K783" s="16" t="n"/>
      <c r="M783" s="89" t="n">
        <v>-264</v>
      </c>
      <c r="N783" s="1" t="inlineStr">
        <is>
          <t>12.5 - REFEIÇÕES FUNCIONARIOS</t>
        </is>
      </c>
      <c r="O783" s="1" t="n"/>
      <c r="P783" s="1" t="n"/>
      <c r="Q783" s="1" t="n"/>
      <c r="R783" s="1" t="n">
        <v>2025</v>
      </c>
    </row>
    <row r="784">
      <c r="A784" s="61" t="n">
        <v>45832</v>
      </c>
      <c r="B784" s="16" t="inlineStr">
        <is>
          <t>DESPESAS DE VIAGEM</t>
        </is>
      </c>
      <c r="C784" s="90" t="n"/>
      <c r="D784" s="90" t="n">
        <v>396</v>
      </c>
      <c r="E784" s="90" t="n">
        <v>-396</v>
      </c>
      <c r="F784" s="16" t="inlineStr">
        <is>
          <t>12.9 - PASSAGENS FUNCIONARIOS</t>
        </is>
      </c>
      <c r="G784" s="16" t="inlineStr">
        <is>
          <t>MOSAIC UBERABA CONTRAT0 3 ANOS</t>
        </is>
      </c>
      <c r="H784" s="63" t="n">
        <v>2025</v>
      </c>
      <c r="I784" s="64" t="n">
        <v>6</v>
      </c>
      <c r="J784" s="16" t="inlineStr">
        <is>
          <t>Jun</t>
        </is>
      </c>
      <c r="K784" s="16" t="n"/>
      <c r="M784" s="89" t="n">
        <v>-396</v>
      </c>
      <c r="N784" s="1" t="inlineStr">
        <is>
          <t>12.9 - PASSAGENS FUNCIONARIOS</t>
        </is>
      </c>
      <c r="O784" s="1" t="n"/>
      <c r="P784" s="1" t="n"/>
      <c r="Q784" s="1" t="n"/>
      <c r="R784" s="1" t="n">
        <v>2025</v>
      </c>
    </row>
    <row r="785">
      <c r="A785" s="61" t="n">
        <v>45832</v>
      </c>
      <c r="B785" s="16" t="inlineStr">
        <is>
          <t>DESPESAS DE VIAGEM</t>
        </is>
      </c>
      <c r="C785" s="90" t="n"/>
      <c r="D785" s="90" t="n">
        <v>232</v>
      </c>
      <c r="E785" s="90" t="n">
        <v>-232</v>
      </c>
      <c r="F785" s="16" t="inlineStr">
        <is>
          <t>12.5 - REFEIÇÕES FUNCIONARIOS</t>
        </is>
      </c>
      <c r="G785" s="16" t="inlineStr">
        <is>
          <t>ANGLO AMERICAN</t>
        </is>
      </c>
      <c r="H785" s="63" t="n">
        <v>2025</v>
      </c>
      <c r="I785" s="64" t="n">
        <v>6</v>
      </c>
      <c r="J785" s="16" t="inlineStr">
        <is>
          <t>Jun</t>
        </is>
      </c>
      <c r="K785" s="16" t="n"/>
      <c r="M785" s="89" t="n">
        <v>-232</v>
      </c>
      <c r="N785" s="1" t="inlineStr">
        <is>
          <t>12.5 - REFEIÇÕES FUNCIONARIOS</t>
        </is>
      </c>
      <c r="O785" s="1" t="n"/>
      <c r="P785" s="1" t="n"/>
      <c r="Q785" s="1" t="n"/>
      <c r="R785" s="1" t="n">
        <v>2025</v>
      </c>
    </row>
    <row r="786">
      <c r="A786" s="61" t="n">
        <v>45832</v>
      </c>
      <c r="B786" s="16" t="inlineStr">
        <is>
          <t>DESPESAS DE VIAGEM</t>
        </is>
      </c>
      <c r="C786" s="90" t="n"/>
      <c r="D786" s="90" t="n">
        <v>348</v>
      </c>
      <c r="E786" s="90" t="n">
        <v>-348</v>
      </c>
      <c r="F786" s="16" t="inlineStr">
        <is>
          <t>12.9 - PASSAGENS FUNCIONARIOS</t>
        </is>
      </c>
      <c r="G786" s="16" t="inlineStr">
        <is>
          <t>ANGLO AMERICAN</t>
        </is>
      </c>
      <c r="H786" s="63" t="n">
        <v>2025</v>
      </c>
      <c r="I786" s="64" t="n">
        <v>6</v>
      </c>
      <c r="J786" s="16" t="inlineStr">
        <is>
          <t>Jun</t>
        </is>
      </c>
      <c r="K786" s="16" t="n"/>
      <c r="M786" s="89" t="n">
        <v>-348</v>
      </c>
      <c r="N786" s="1" t="inlineStr">
        <is>
          <t>12.9 - PASSAGENS FUNCIONARIOS</t>
        </is>
      </c>
      <c r="O786" s="1" t="n"/>
      <c r="P786" s="1" t="n"/>
      <c r="Q786" s="1" t="n"/>
      <c r="R786" s="1" t="n">
        <v>2025</v>
      </c>
    </row>
    <row r="787">
      <c r="A787" s="61" t="n">
        <v>45832</v>
      </c>
      <c r="B787" s="16" t="inlineStr">
        <is>
          <t>DESPESAS DE VIAGEM</t>
        </is>
      </c>
      <c r="C787" s="90" t="n"/>
      <c r="D787" s="90" t="n">
        <v>144</v>
      </c>
      <c r="E787" s="90" t="n">
        <v>-144</v>
      </c>
      <c r="F787" s="16" t="inlineStr">
        <is>
          <t>12.5 - REFEIÇÕES FUNCIONARIOS</t>
        </is>
      </c>
      <c r="G787" s="16" t="inlineStr">
        <is>
          <t>COMPORTAS - PORTO FERREIRA</t>
        </is>
      </c>
      <c r="H787" s="63" t="n">
        <v>2025</v>
      </c>
      <c r="I787" s="64" t="n">
        <v>6</v>
      </c>
      <c r="J787" s="16" t="inlineStr">
        <is>
          <t>Jun</t>
        </is>
      </c>
      <c r="K787" s="16" t="n"/>
      <c r="M787" s="89" t="n">
        <v>-144</v>
      </c>
      <c r="N787" s="1" t="inlineStr">
        <is>
          <t>12.5 - REFEIÇÕES FUNCIONARIOS</t>
        </is>
      </c>
      <c r="O787" s="1" t="n"/>
      <c r="P787" s="1" t="n"/>
      <c r="Q787" s="1" t="n"/>
      <c r="R787" s="1" t="n">
        <v>2025</v>
      </c>
    </row>
    <row r="788">
      <c r="A788" s="61" t="n">
        <v>45832</v>
      </c>
      <c r="B788" s="16" t="inlineStr">
        <is>
          <t>DESPESAS DE VIAGEM</t>
        </is>
      </c>
      <c r="C788" s="90" t="n"/>
      <c r="D788" s="90" t="n">
        <v>216</v>
      </c>
      <c r="E788" s="90" t="n">
        <v>-216</v>
      </c>
      <c r="F788" s="16" t="inlineStr">
        <is>
          <t>12.9 - PASSAGENS FUNCIONARIOS</t>
        </is>
      </c>
      <c r="G788" s="16" t="inlineStr">
        <is>
          <t>COMPORTAS - PORTO FERREIRA</t>
        </is>
      </c>
      <c r="H788" s="63" t="n">
        <v>2025</v>
      </c>
      <c r="I788" s="64" t="n">
        <v>6</v>
      </c>
      <c r="J788" s="16" t="inlineStr">
        <is>
          <t>Jun</t>
        </is>
      </c>
      <c r="K788" s="16" t="n"/>
      <c r="M788" s="89" t="n">
        <v>-216</v>
      </c>
      <c r="N788" s="1" t="inlineStr">
        <is>
          <t>12.9 - PASSAGENS FUNCIONARIOS</t>
        </is>
      </c>
      <c r="O788" s="1" t="n"/>
      <c r="P788" s="1" t="n"/>
      <c r="Q788" s="1" t="n"/>
      <c r="R788" s="1" t="n">
        <v>2025</v>
      </c>
    </row>
    <row r="789">
      <c r="A789" s="61" t="n">
        <v>45832</v>
      </c>
      <c r="B789" s="16" t="inlineStr">
        <is>
          <t>172 - SAO LUIS COMERCIO DE MADEIRA LTDA</t>
        </is>
      </c>
      <c r="C789" s="90" t="n"/>
      <c r="D789" s="90" t="n">
        <v>960</v>
      </c>
      <c r="E789" s="90" t="n">
        <v>-960</v>
      </c>
      <c r="F789" s="16" t="inlineStr">
        <is>
          <t>8.4 - MAQUINAS / EQUIPAMENTOS</t>
        </is>
      </c>
      <c r="G789" s="16" t="inlineStr">
        <is>
          <t>VLI PINTURA</t>
        </is>
      </c>
      <c r="H789" s="63" t="n">
        <v>2025</v>
      </c>
      <c r="I789" s="64" t="n">
        <v>6</v>
      </c>
      <c r="J789" s="16" t="inlineStr">
        <is>
          <t>Jun</t>
        </is>
      </c>
      <c r="K789" s="16" t="n"/>
      <c r="M789" s="89" t="n">
        <v>-960</v>
      </c>
      <c r="N789" s="1" t="inlineStr">
        <is>
          <t>Aquisição de Maquinas e Equipamentos</t>
        </is>
      </c>
      <c r="O789" s="1" t="inlineStr">
        <is>
          <t>Investimentos</t>
        </is>
      </c>
      <c r="P789" s="1" t="inlineStr">
        <is>
          <t>(-)Investimentos</t>
        </is>
      </c>
      <c r="Q789" s="1" t="n">
        <v>8</v>
      </c>
      <c r="R789" s="1" t="n">
        <v>2025</v>
      </c>
    </row>
    <row r="790">
      <c r="A790" s="61" t="n">
        <v>45832</v>
      </c>
      <c r="B790" s="16" t="inlineStr">
        <is>
          <t>BANCO CAIXA</t>
        </is>
      </c>
      <c r="C790" s="90" t="n"/>
      <c r="D790" s="90" t="n">
        <v>88.2</v>
      </c>
      <c r="E790" s="90" t="n">
        <v>-88.2</v>
      </c>
      <c r="F790" s="16" t="inlineStr">
        <is>
          <t>18.2 - TARIFAS BANCARIAS</t>
        </is>
      </c>
      <c r="G790" s="16" t="inlineStr">
        <is>
          <t>ADMINISTRATIVO</t>
        </is>
      </c>
      <c r="H790" s="63" t="n">
        <v>2025</v>
      </c>
      <c r="I790" s="64" t="n">
        <v>6</v>
      </c>
      <c r="J790" s="16" t="inlineStr">
        <is>
          <t>Jun</t>
        </is>
      </c>
      <c r="K790" s="16" t="n"/>
      <c r="M790" s="89" t="n">
        <v>-88.2</v>
      </c>
      <c r="N790" s="1" t="inlineStr">
        <is>
          <t>TARIFAS BANCARIAS</t>
        </is>
      </c>
      <c r="O790" s="1" t="inlineStr">
        <is>
          <t>Despesas Financeiras</t>
        </is>
      </c>
      <c r="P790" s="1" t="inlineStr">
        <is>
          <t>(-)Gastos Fixos</t>
        </is>
      </c>
      <c r="Q790" s="1" t="n">
        <v>4</v>
      </c>
      <c r="R790" s="1" t="n">
        <v>2025</v>
      </c>
    </row>
    <row r="791">
      <c r="A791" s="61" t="n">
        <v>45832</v>
      </c>
      <c r="B791" s="16" t="inlineStr">
        <is>
          <t>51663 - TECHGEL COMERCIAL LTDA</t>
        </is>
      </c>
      <c r="C791" s="90" t="n"/>
      <c r="D791" s="90" t="n">
        <v>10125</v>
      </c>
      <c r="E791" s="90" t="n">
        <v>-10125</v>
      </c>
      <c r="F791" s="16" t="inlineStr">
        <is>
          <t>4.2 - ABRASIVOS</t>
        </is>
      </c>
      <c r="G791" s="16" t="inlineStr">
        <is>
          <t>EUROCHEM SERRA DO SALITRE</t>
        </is>
      </c>
      <c r="H791" s="63" t="n">
        <v>2025</v>
      </c>
      <c r="I791" s="64" t="n">
        <v>6</v>
      </c>
      <c r="J791" s="16" t="inlineStr">
        <is>
          <t>Jun</t>
        </is>
      </c>
      <c r="K791" s="16" t="n"/>
      <c r="M791" s="89" t="n">
        <v>-10125</v>
      </c>
      <c r="N791" s="1" t="inlineStr">
        <is>
          <t>ABRASIVOS</t>
        </is>
      </c>
      <c r="O791" s="1" t="inlineStr">
        <is>
          <t>Fornecedores</t>
        </is>
      </c>
      <c r="P791" s="1" t="inlineStr">
        <is>
          <t>(-)Custos Variavéis</t>
        </is>
      </c>
      <c r="Q791" s="1" t="n">
        <v>3</v>
      </c>
      <c r="R791" s="1" t="n">
        <v>2025</v>
      </c>
    </row>
    <row r="792">
      <c r="A792" s="61" t="n">
        <v>45832</v>
      </c>
      <c r="B792" s="16" t="inlineStr">
        <is>
          <t>51663 - TECHGEL COMERCIAL LTDA</t>
        </is>
      </c>
      <c r="C792" s="90" t="n"/>
      <c r="D792" s="90" t="n">
        <v>10125</v>
      </c>
      <c r="E792" s="90" t="n">
        <v>-10125</v>
      </c>
      <c r="F792" s="16" t="inlineStr">
        <is>
          <t>4.2 - ABRASIVOS</t>
        </is>
      </c>
      <c r="G792" s="16" t="inlineStr">
        <is>
          <t>EUROCHEM SERRA DO SALITRE</t>
        </is>
      </c>
      <c r="H792" s="63" t="n">
        <v>2025</v>
      </c>
      <c r="I792" s="64" t="n">
        <v>6</v>
      </c>
      <c r="J792" s="16" t="inlineStr">
        <is>
          <t>Jun</t>
        </is>
      </c>
      <c r="K792" s="16" t="n"/>
      <c r="M792" s="89" t="n">
        <v>-10125</v>
      </c>
      <c r="N792" s="1" t="inlineStr">
        <is>
          <t>ABRASIVOS</t>
        </is>
      </c>
      <c r="O792" s="1" t="inlineStr">
        <is>
          <t>Fornecedores</t>
        </is>
      </c>
      <c r="P792" s="1" t="inlineStr">
        <is>
          <t>(-)Custos Variavéis</t>
        </is>
      </c>
      <c r="Q792" s="1" t="n">
        <v>3</v>
      </c>
      <c r="R792" s="1" t="n">
        <v>2025</v>
      </c>
    </row>
    <row r="793">
      <c r="A793" s="61" t="n">
        <v>45832</v>
      </c>
      <c r="B793" s="16" t="inlineStr">
        <is>
          <t>51663 - TECHGEL COMERCIAL LTDA</t>
        </is>
      </c>
      <c r="C793" s="90" t="n"/>
      <c r="D793" s="90" t="n">
        <v>10125</v>
      </c>
      <c r="E793" s="90" t="n">
        <v>-10125</v>
      </c>
      <c r="F793" s="16" t="inlineStr">
        <is>
          <t>4.2 - ABRASIVOS</t>
        </is>
      </c>
      <c r="G793" s="16" t="inlineStr">
        <is>
          <t>EUROCHEM SERRA DO SALITRE</t>
        </is>
      </c>
      <c r="H793" s="63" t="n">
        <v>2025</v>
      </c>
      <c r="I793" s="64" t="n">
        <v>6</v>
      </c>
      <c r="J793" s="16" t="inlineStr">
        <is>
          <t>Jun</t>
        </is>
      </c>
      <c r="K793" s="16" t="n"/>
      <c r="M793" s="89" t="n">
        <v>-10125</v>
      </c>
      <c r="N793" s="1" t="inlineStr">
        <is>
          <t>ABRASIVOS</t>
        </is>
      </c>
      <c r="O793" s="1" t="inlineStr">
        <is>
          <t>Fornecedores</t>
        </is>
      </c>
      <c r="P793" s="1" t="inlineStr">
        <is>
          <t>(-)Custos Variavéis</t>
        </is>
      </c>
      <c r="Q793" s="1" t="n">
        <v>3</v>
      </c>
      <c r="R793" s="1" t="n">
        <v>2025</v>
      </c>
    </row>
    <row r="794">
      <c r="A794" s="61" t="n">
        <v>45832</v>
      </c>
      <c r="B794" s="16" t="inlineStr">
        <is>
          <t>51663 - TECHGEL COMERCIAL LTDA</t>
        </is>
      </c>
      <c r="C794" s="90" t="n"/>
      <c r="D794" s="90" t="n">
        <v>10125</v>
      </c>
      <c r="E794" s="90" t="n">
        <v>-10125</v>
      </c>
      <c r="F794" s="16" t="inlineStr">
        <is>
          <t>4.2 - ABRASIVOS</t>
        </is>
      </c>
      <c r="G794" s="16" t="inlineStr">
        <is>
          <t>EUROCHEM SERRA DO SALITRE</t>
        </is>
      </c>
      <c r="H794" s="63" t="n">
        <v>2025</v>
      </c>
      <c r="I794" s="64" t="n">
        <v>6</v>
      </c>
      <c r="J794" s="16" t="inlineStr">
        <is>
          <t>Jun</t>
        </is>
      </c>
      <c r="K794" s="16" t="n"/>
      <c r="M794" s="89" t="n">
        <v>-10125</v>
      </c>
      <c r="N794" s="1" t="inlineStr">
        <is>
          <t>ABRASIVOS</t>
        </is>
      </c>
      <c r="O794" s="1" t="inlineStr">
        <is>
          <t>Fornecedores</t>
        </is>
      </c>
      <c r="P794" s="1" t="inlineStr">
        <is>
          <t>(-)Custos Variavéis</t>
        </is>
      </c>
      <c r="Q794" s="1" t="n">
        <v>3</v>
      </c>
      <c r="R794" s="1" t="n">
        <v>2025</v>
      </c>
    </row>
    <row r="795">
      <c r="A795" s="61" t="n">
        <v>45833</v>
      </c>
      <c r="B795" s="16" t="inlineStr">
        <is>
          <t>ALIMENTAÇÃO ADM</t>
        </is>
      </c>
      <c r="C795" s="90" t="n"/>
      <c r="D795" s="90" t="n">
        <v>110</v>
      </c>
      <c r="E795" s="90" t="n">
        <v>-110</v>
      </c>
      <c r="F795" s="16" t="inlineStr">
        <is>
          <t>11.5 - ALIMENTAÇÃO ADM</t>
        </is>
      </c>
      <c r="G795" s="16" t="inlineStr">
        <is>
          <t>ADMINISTRATIVO</t>
        </is>
      </c>
      <c r="H795" s="63" t="n">
        <v>2025</v>
      </c>
      <c r="I795" s="64" t="n">
        <v>6</v>
      </c>
      <c r="J795" s="16" t="inlineStr">
        <is>
          <t>Jun</t>
        </is>
      </c>
      <c r="K795" s="16" t="n"/>
      <c r="M795" s="89" t="n">
        <v>-110</v>
      </c>
      <c r="N795" s="1" t="inlineStr">
        <is>
          <t>ALIMENTAÇÃO ADM</t>
        </is>
      </c>
      <c r="O795" s="1" t="inlineStr">
        <is>
          <t>Despesas com Pessoal</t>
        </is>
      </c>
      <c r="P795" s="1" t="inlineStr">
        <is>
          <t>(-)Gastos Fixos</t>
        </is>
      </c>
      <c r="Q795" s="1" t="n">
        <v>4</v>
      </c>
      <c r="R795" s="1" t="n">
        <v>2025</v>
      </c>
    </row>
    <row r="796">
      <c r="A796" s="61" t="n">
        <v>45833</v>
      </c>
      <c r="B796" s="16" t="inlineStr">
        <is>
          <t>ENCOMENDA DE CATALAO</t>
        </is>
      </c>
      <c r="C796" s="90" t="n"/>
      <c r="D796" s="90" t="n">
        <v>40</v>
      </c>
      <c r="E796" s="90" t="n">
        <v>-40</v>
      </c>
      <c r="F796" s="16" t="inlineStr">
        <is>
          <t>10.4 - FRETE TRANSPORTADORA</t>
        </is>
      </c>
      <c r="G796" s="16" t="inlineStr">
        <is>
          <t>FOSFATO CMOC CONTRAT</t>
        </is>
      </c>
      <c r="H796" s="63" t="n">
        <v>2025</v>
      </c>
      <c r="I796" s="64" t="n">
        <v>6</v>
      </c>
      <c r="J796" s="16" t="inlineStr">
        <is>
          <t>Jun</t>
        </is>
      </c>
      <c r="K796" s="16" t="n"/>
      <c r="M796" s="89" t="n">
        <v>-40</v>
      </c>
      <c r="N796" s="1" t="inlineStr">
        <is>
          <t>FRETE TRANSPORTADORA</t>
        </is>
      </c>
      <c r="O796" s="1" t="inlineStr">
        <is>
          <t>Fornecedores</t>
        </is>
      </c>
      <c r="P796" s="1" t="inlineStr">
        <is>
          <t>(-)Custos Variavéis</t>
        </is>
      </c>
      <c r="Q796" s="1" t="n">
        <v>3</v>
      </c>
      <c r="R796" s="1" t="n">
        <v>2025</v>
      </c>
    </row>
    <row r="797">
      <c r="A797" s="61" t="n">
        <v>45833</v>
      </c>
      <c r="B797" s="16" t="inlineStr">
        <is>
          <t>ENCOMENDA DE CATALAO</t>
        </is>
      </c>
      <c r="C797" s="90" t="n"/>
      <c r="D797" s="90" t="n">
        <v>40</v>
      </c>
      <c r="E797" s="90" t="n">
        <v>-40</v>
      </c>
      <c r="F797" s="16" t="inlineStr">
        <is>
          <t>10.4 - FRETE TRANSPORTADORA</t>
        </is>
      </c>
      <c r="G797" s="16" t="inlineStr">
        <is>
          <t>NIOBIO CMOC CONTRATO</t>
        </is>
      </c>
      <c r="H797" s="63" t="n">
        <v>2025</v>
      </c>
      <c r="I797" s="64" t="n">
        <v>6</v>
      </c>
      <c r="J797" s="16" t="inlineStr">
        <is>
          <t>Jun</t>
        </is>
      </c>
      <c r="K797" s="16" t="n"/>
      <c r="M797" s="89" t="n">
        <v>-40</v>
      </c>
      <c r="N797" s="1" t="inlineStr">
        <is>
          <t>FRETE TRANSPORTADORA</t>
        </is>
      </c>
      <c r="O797" s="1" t="inlineStr">
        <is>
          <t>Fornecedores</t>
        </is>
      </c>
      <c r="P797" s="1" t="inlineStr">
        <is>
          <t>(-)Custos Variavéis</t>
        </is>
      </c>
      <c r="Q797" s="1" t="n">
        <v>3</v>
      </c>
      <c r="R797" s="1" t="n">
        <v>2025</v>
      </c>
    </row>
    <row r="798">
      <c r="A798" s="61" t="n">
        <v>45833</v>
      </c>
      <c r="B798" s="16" t="inlineStr">
        <is>
          <t>ALEX INFORMATICA XCELL CELULARES E COMPUTADORES</t>
        </is>
      </c>
      <c r="C798" s="90" t="n"/>
      <c r="D798" s="90" t="n">
        <v>650</v>
      </c>
      <c r="E798" s="90" t="n">
        <v>-650</v>
      </c>
      <c r="F798" s="16" t="inlineStr">
        <is>
          <t>8.10 - MATERIAS DE ESCRITORIO</t>
        </is>
      </c>
      <c r="G798" s="16" t="inlineStr">
        <is>
          <t>ADMINISTRATIVO</t>
        </is>
      </c>
      <c r="H798" s="63" t="n">
        <v>2025</v>
      </c>
      <c r="I798" s="64" t="n">
        <v>6</v>
      </c>
      <c r="J798" s="16" t="inlineStr">
        <is>
          <t>Jun</t>
        </is>
      </c>
      <c r="K798" s="16" t="n"/>
      <c r="M798" s="89" t="n">
        <v>-650</v>
      </c>
      <c r="N798" s="1" t="inlineStr">
        <is>
          <t>MATERIAS DE ESCRITORIO / PAPELARIA</t>
        </is>
      </c>
      <c r="O798" s="1" t="inlineStr">
        <is>
          <t>Despesas Administrativas</t>
        </is>
      </c>
      <c r="P798" s="1" t="inlineStr">
        <is>
          <t>(-)Gastos Fixos</t>
        </is>
      </c>
      <c r="Q798" s="1" t="n">
        <v>4</v>
      </c>
      <c r="R798" s="1" t="n">
        <v>2025</v>
      </c>
    </row>
    <row r="799">
      <c r="A799" s="61" t="n">
        <v>45833</v>
      </c>
      <c r="B799" s="16" t="inlineStr">
        <is>
          <t>SANEAMENTO DE GOIA S.A</t>
        </is>
      </c>
      <c r="C799" s="90" t="n"/>
      <c r="D799" s="90" t="n">
        <v>215.35</v>
      </c>
      <c r="E799" s="90" t="n">
        <v>-215.35</v>
      </c>
      <c r="F799" s="16" t="inlineStr">
        <is>
          <t>11.2 - AGUA ADM</t>
        </is>
      </c>
      <c r="G799" s="16" t="inlineStr">
        <is>
          <t>ADMINISTRATIVO</t>
        </is>
      </c>
      <c r="H799" s="63" t="n">
        <v>2025</v>
      </c>
      <c r="I799" s="64" t="n">
        <v>6</v>
      </c>
      <c r="J799" s="16" t="inlineStr">
        <is>
          <t>Jun</t>
        </is>
      </c>
      <c r="K799" s="16" t="n"/>
      <c r="M799" s="89" t="n">
        <v>-215.35</v>
      </c>
      <c r="N799" s="1" t="inlineStr">
        <is>
          <t>AGUA ADM</t>
        </is>
      </c>
      <c r="O799" s="1" t="inlineStr">
        <is>
          <t>Despesas com Infraestrutura</t>
        </is>
      </c>
      <c r="P799" s="1" t="inlineStr">
        <is>
          <t>(-)Gastos Fixos</t>
        </is>
      </c>
      <c r="Q799" s="1" t="n">
        <v>4</v>
      </c>
      <c r="R799" s="1" t="n">
        <v>2025</v>
      </c>
    </row>
    <row r="800">
      <c r="A800" s="61" t="n">
        <v>45833</v>
      </c>
      <c r="B800" s="16" t="inlineStr">
        <is>
          <t>VAN OBRAS</t>
        </is>
      </c>
      <c r="C800" s="90" t="n"/>
      <c r="D800" s="90" t="n">
        <v>7280</v>
      </c>
      <c r="E800" s="90" t="n">
        <v>-7280</v>
      </c>
      <c r="F800" s="16" t="inlineStr">
        <is>
          <t>12.7 - TRANSPORTE FUNCIONARIOS</t>
        </is>
      </c>
      <c r="G800" s="16" t="inlineStr">
        <is>
          <t>VLI PINTURA</t>
        </is>
      </c>
      <c r="H800" s="63" t="n">
        <v>2025</v>
      </c>
      <c r="I800" s="64" t="n">
        <v>6</v>
      </c>
      <c r="J800" s="16" t="inlineStr">
        <is>
          <t>Jun</t>
        </is>
      </c>
      <c r="K800" s="16" t="n"/>
      <c r="M800" s="89" t="n">
        <v>-7280</v>
      </c>
      <c r="N800" s="1" t="inlineStr">
        <is>
          <t>12.7 - TRANSPORTE FUNCIONARIOS</t>
        </is>
      </c>
      <c r="O800" s="1" t="n"/>
      <c r="P800" s="1" t="n"/>
      <c r="Q800" s="1" t="n"/>
      <c r="R800" s="1" t="n">
        <v>2025</v>
      </c>
    </row>
    <row r="801">
      <c r="A801" s="61" t="n">
        <v>45833</v>
      </c>
      <c r="B801" s="16" t="inlineStr">
        <is>
          <t>1370 - MATRIX CONSULTORIA E GESTAO DE TREINAMENTO EIRELI</t>
        </is>
      </c>
      <c r="C801" s="90" t="n"/>
      <c r="D801" s="90" t="n">
        <v>544.6</v>
      </c>
      <c r="E801" s="90" t="n">
        <v>-544.6</v>
      </c>
      <c r="F801" s="16" t="inlineStr">
        <is>
          <t>14.2 - CURSOS / TREINAMENTOS</t>
        </is>
      </c>
      <c r="G801" s="16" t="inlineStr">
        <is>
          <t>ANGLO AMERICAN</t>
        </is>
      </c>
      <c r="H801" s="63" t="n">
        <v>2025</v>
      </c>
      <c r="I801" s="64" t="n">
        <v>6</v>
      </c>
      <c r="J801" s="16" t="inlineStr">
        <is>
          <t>Jun</t>
        </is>
      </c>
      <c r="K801" s="16" t="n"/>
      <c r="M801" s="89" t="n">
        <v>-544.6</v>
      </c>
      <c r="N801" s="1" t="inlineStr">
        <is>
          <t>CURSOS / TREINAMENTOS</t>
        </is>
      </c>
      <c r="O801" s="1" t="inlineStr">
        <is>
          <t>Despesas com Pessoal</t>
        </is>
      </c>
      <c r="P801" s="1" t="inlineStr">
        <is>
          <t>(-)Gastos Fixos</t>
        </is>
      </c>
      <c r="Q801" s="1" t="n">
        <v>4</v>
      </c>
      <c r="R801" s="1" t="n">
        <v>2025</v>
      </c>
    </row>
    <row r="802">
      <c r="A802" s="61" t="n">
        <v>45833</v>
      </c>
      <c r="B802" s="16" t="inlineStr">
        <is>
          <t>1370 - MATRIX CONSULTORIA E GESTAO DE TREINAMENTO EIRELI</t>
        </is>
      </c>
      <c r="C802" s="90" t="n"/>
      <c r="D802" s="90" t="n">
        <v>544.6</v>
      </c>
      <c r="E802" s="90" t="n">
        <v>-544.6</v>
      </c>
      <c r="F802" s="16" t="inlineStr">
        <is>
          <t>14.2 - CURSOS / TREINAMENTOS</t>
        </is>
      </c>
      <c r="G802" s="16" t="inlineStr">
        <is>
          <t>ANGLO AMERICAN</t>
        </is>
      </c>
      <c r="H802" s="63" t="n">
        <v>2025</v>
      </c>
      <c r="I802" s="64" t="n">
        <v>6</v>
      </c>
      <c r="J802" s="16" t="inlineStr">
        <is>
          <t>Jun</t>
        </is>
      </c>
      <c r="K802" s="16" t="n"/>
      <c r="M802" s="89" t="n">
        <v>-544.6</v>
      </c>
      <c r="N802" s="1" t="inlineStr">
        <is>
          <t>CURSOS / TREINAMENTOS</t>
        </is>
      </c>
      <c r="O802" s="1" t="inlineStr">
        <is>
          <t>Despesas com Pessoal</t>
        </is>
      </c>
      <c r="P802" s="1" t="inlineStr">
        <is>
          <t>(-)Gastos Fixos</t>
        </is>
      </c>
      <c r="Q802" s="1" t="n">
        <v>4</v>
      </c>
      <c r="R802" s="1" t="n">
        <v>2025</v>
      </c>
    </row>
    <row r="803">
      <c r="A803" s="61" t="n">
        <v>45833</v>
      </c>
      <c r="B803" s="16" t="inlineStr">
        <is>
          <t>IMPERIO DO ESPETO</t>
        </is>
      </c>
      <c r="C803" s="90" t="n"/>
      <c r="D803" s="90" t="n">
        <v>162</v>
      </c>
      <c r="E803" s="90" t="n">
        <v>-162</v>
      </c>
      <c r="F803" s="16" t="inlineStr">
        <is>
          <t>11.5 - ALIMENTAÇÃO ADM</t>
        </is>
      </c>
      <c r="G803" s="16" t="inlineStr">
        <is>
          <t>ADMINISTRATIVO</t>
        </is>
      </c>
      <c r="H803" s="63" t="n">
        <v>2025</v>
      </c>
      <c r="I803" s="64" t="n">
        <v>6</v>
      </c>
      <c r="J803" s="16" t="inlineStr">
        <is>
          <t>Jun</t>
        </is>
      </c>
      <c r="K803" s="16" t="n"/>
      <c r="M803" s="89" t="n">
        <v>-162</v>
      </c>
      <c r="N803" s="1" t="inlineStr">
        <is>
          <t>ALIMENTAÇÃO ADM</t>
        </is>
      </c>
      <c r="O803" s="1" t="inlineStr">
        <is>
          <t>Despesas com Pessoal</t>
        </is>
      </c>
      <c r="P803" s="1" t="inlineStr">
        <is>
          <t>(-)Gastos Fixos</t>
        </is>
      </c>
      <c r="Q803" s="1" t="n">
        <v>4</v>
      </c>
      <c r="R803" s="1" t="n">
        <v>2025</v>
      </c>
    </row>
    <row r="804">
      <c r="A804" s="61" t="n">
        <v>45833</v>
      </c>
      <c r="B804" s="16" t="inlineStr">
        <is>
          <t>ROBERTO SERVIÇOS</t>
        </is>
      </c>
      <c r="C804" s="90" t="n"/>
      <c r="D804" s="90" t="n">
        <v>706.45</v>
      </c>
      <c r="E804" s="90" t="n">
        <v>-706.45</v>
      </c>
      <c r="F804" s="16" t="inlineStr">
        <is>
          <t>10.1 - FRETE MATERIAIS E EQUIPAMENTOS</t>
        </is>
      </c>
      <c r="G804" s="16" t="inlineStr">
        <is>
          <t>EUROCHEM SERRA DO SALITRE</t>
        </is>
      </c>
      <c r="H804" s="63" t="n">
        <v>2025</v>
      </c>
      <c r="I804" s="64" t="n">
        <v>6</v>
      </c>
      <c r="J804" s="16" t="inlineStr">
        <is>
          <t>Jun</t>
        </is>
      </c>
      <c r="K804" s="16" t="n"/>
      <c r="M804" s="89" t="n">
        <v>-706.45</v>
      </c>
      <c r="N804" s="1" t="inlineStr">
        <is>
          <t>FRETE MATERIAIS E EQUIPAMENTOS</t>
        </is>
      </c>
      <c r="O804" s="1" t="inlineStr">
        <is>
          <t>Fornecedores</t>
        </is>
      </c>
      <c r="P804" s="1" t="inlineStr">
        <is>
          <t>(-)Custos Variavéis</t>
        </is>
      </c>
      <c r="Q804" s="1" t="n">
        <v>3</v>
      </c>
      <c r="R804" s="1" t="n">
        <v>2025</v>
      </c>
    </row>
    <row r="805">
      <c r="A805" s="61" t="n">
        <v>45833</v>
      </c>
      <c r="B805" s="16" t="inlineStr">
        <is>
          <t>GENILDO</t>
        </is>
      </c>
      <c r="C805" s="90" t="n"/>
      <c r="D805" s="90" t="n">
        <v>228.11</v>
      </c>
      <c r="E805" s="90" t="n">
        <v>-228.11</v>
      </c>
      <c r="F805" s="16" t="inlineStr">
        <is>
          <t>12.5 - REFEIÇÕES FUNCIONARIOS</t>
        </is>
      </c>
      <c r="G805" s="16" t="inlineStr">
        <is>
          <t>CONDUTOS - ELETROBRAS</t>
        </is>
      </c>
      <c r="H805" s="63" t="n">
        <v>2025</v>
      </c>
      <c r="I805" s="64" t="n">
        <v>6</v>
      </c>
      <c r="J805" s="16" t="inlineStr">
        <is>
          <t>Jun</t>
        </is>
      </c>
      <c r="K805" s="16" t="n"/>
      <c r="M805" s="89" t="n">
        <v>-228.11</v>
      </c>
      <c r="N805" s="1" t="inlineStr">
        <is>
          <t>12.5 - REFEIÇÕES FUNCIONARIOS</t>
        </is>
      </c>
      <c r="O805" s="1" t="n"/>
      <c r="P805" s="1" t="n"/>
      <c r="Q805" s="1" t="n"/>
      <c r="R805" s="1" t="n">
        <v>2025</v>
      </c>
    </row>
    <row r="806">
      <c r="A806" s="61" t="n">
        <v>45833</v>
      </c>
      <c r="B806" s="16" t="inlineStr">
        <is>
          <t>GENILDO</t>
        </is>
      </c>
      <c r="C806" s="90" t="n"/>
      <c r="D806" s="90" t="n">
        <v>1536.06</v>
      </c>
      <c r="E806" s="90" t="n">
        <v>-1536.06</v>
      </c>
      <c r="F806" s="16" t="inlineStr">
        <is>
          <t>6.4 - COMBUSTIVEL VEICULOS</t>
        </is>
      </c>
      <c r="G806" s="16" t="inlineStr">
        <is>
          <t>CONDUTOS - ELETROBRAS</t>
        </is>
      </c>
      <c r="H806" s="63" t="n">
        <v>2025</v>
      </c>
      <c r="I806" s="64" t="n">
        <v>6</v>
      </c>
      <c r="J806" s="16" t="inlineStr">
        <is>
          <t>Jun</t>
        </is>
      </c>
      <c r="K806" s="16" t="n"/>
      <c r="M806" s="89" t="n">
        <v>-1536.06</v>
      </c>
      <c r="N806" s="1" t="inlineStr">
        <is>
          <t>COMBUSTIVEL VEICULOS</t>
        </is>
      </c>
      <c r="O806" s="1" t="inlineStr">
        <is>
          <t>Despesas com Veículos e Equipamentos</t>
        </is>
      </c>
      <c r="P806" s="1" t="inlineStr">
        <is>
          <t>(-)Gastos Fixos</t>
        </is>
      </c>
      <c r="Q806" s="1" t="n">
        <v>4</v>
      </c>
      <c r="R806" s="1" t="n">
        <v>2025</v>
      </c>
    </row>
    <row r="807">
      <c r="A807" s="61" t="n">
        <v>45833</v>
      </c>
      <c r="B807" s="16" t="inlineStr">
        <is>
          <t>GENILDO</t>
        </is>
      </c>
      <c r="C807" s="90" t="n"/>
      <c r="D807" s="90" t="n">
        <v>42</v>
      </c>
      <c r="E807" s="90" t="n">
        <v>-42</v>
      </c>
      <c r="F807" s="16" t="inlineStr">
        <is>
          <t>12.5 - REFEIÇÕES FUNCIONARIOS</t>
        </is>
      </c>
      <c r="G807" s="16" t="inlineStr">
        <is>
          <t>GASTOS COMERCIAIS</t>
        </is>
      </c>
      <c r="H807" s="63" t="n">
        <v>2025</v>
      </c>
      <c r="I807" s="64" t="n">
        <v>6</v>
      </c>
      <c r="J807" s="16" t="inlineStr">
        <is>
          <t>Jun</t>
        </is>
      </c>
      <c r="K807" s="16" t="n"/>
      <c r="M807" s="89" t="n">
        <v>-42</v>
      </c>
      <c r="N807" s="1" t="inlineStr">
        <is>
          <t>12.5 - REFEIÇÕES FUNCIONARIOS</t>
        </is>
      </c>
      <c r="O807" s="1" t="n"/>
      <c r="P807" s="1" t="n"/>
      <c r="Q807" s="1" t="n"/>
      <c r="R807" s="1" t="n">
        <v>2025</v>
      </c>
    </row>
    <row r="808">
      <c r="A808" s="61" t="n">
        <v>45833</v>
      </c>
      <c r="B808" s="16" t="inlineStr">
        <is>
          <t>GENILDO</t>
        </is>
      </c>
      <c r="C808" s="90" t="n"/>
      <c r="D808" s="90" t="n">
        <v>100</v>
      </c>
      <c r="E808" s="90" t="n">
        <v>-100</v>
      </c>
      <c r="F808" s="16" t="inlineStr">
        <is>
          <t>6.4 - COMBUSTIVEL VEICULOS</t>
        </is>
      </c>
      <c r="G808" s="16" t="inlineStr">
        <is>
          <t>GASTOS COMERCIAIS</t>
        </is>
      </c>
      <c r="H808" s="63" t="n">
        <v>2025</v>
      </c>
      <c r="I808" s="64" t="n">
        <v>6</v>
      </c>
      <c r="J808" s="16" t="inlineStr">
        <is>
          <t>Jun</t>
        </is>
      </c>
      <c r="K808" s="16" t="n"/>
      <c r="M808" s="89" t="n">
        <v>-100</v>
      </c>
      <c r="N808" s="1" t="inlineStr">
        <is>
          <t>COMBUSTIVEL VEICULOS</t>
        </is>
      </c>
      <c r="O808" s="1" t="inlineStr">
        <is>
          <t>Despesas com Veículos e Equipamentos</t>
        </is>
      </c>
      <c r="P808" s="1" t="inlineStr">
        <is>
          <t>(-)Gastos Fixos</t>
        </is>
      </c>
      <c r="Q808" s="1" t="n">
        <v>4</v>
      </c>
      <c r="R808" s="1" t="n">
        <v>2025</v>
      </c>
    </row>
    <row r="809">
      <c r="A809" s="61" t="n">
        <v>45833</v>
      </c>
      <c r="B809" s="16" t="inlineStr">
        <is>
          <t>GENILDO</t>
        </is>
      </c>
      <c r="C809" s="90" t="n"/>
      <c r="D809" s="90" t="n">
        <v>129</v>
      </c>
      <c r="E809" s="90" t="n">
        <v>-129</v>
      </c>
      <c r="F809" s="16" t="inlineStr">
        <is>
          <t>5.1 - HOTEL FUNCIONARIOS</t>
        </is>
      </c>
      <c r="G809" s="16" t="inlineStr">
        <is>
          <t>GASTOS COMERCIAIS</t>
        </is>
      </c>
      <c r="H809" s="63" t="n">
        <v>2025</v>
      </c>
      <c r="I809" s="64" t="n">
        <v>6</v>
      </c>
      <c r="J809" s="16" t="inlineStr">
        <is>
          <t>Jun</t>
        </is>
      </c>
      <c r="K809" s="16" t="n"/>
      <c r="M809" s="89" t="n">
        <v>-129</v>
      </c>
      <c r="N809" s="1" t="inlineStr">
        <is>
          <t>5.1 - HOTEL FUNCIONARIOS</t>
        </is>
      </c>
      <c r="O809" s="1" t="n"/>
      <c r="P809" s="1" t="n"/>
      <c r="Q809" s="1" t="n"/>
      <c r="R809" s="1" t="n">
        <v>2025</v>
      </c>
    </row>
    <row r="810">
      <c r="A810" s="61" t="n">
        <v>45833</v>
      </c>
      <c r="B810" s="16" t="inlineStr">
        <is>
          <t>GENILDO</t>
        </is>
      </c>
      <c r="C810" s="90" t="n"/>
      <c r="D810" s="90" t="n">
        <v>7.653259</v>
      </c>
      <c r="E810" s="90" t="n">
        <v>-7.653259</v>
      </c>
      <c r="F810" s="16" t="inlineStr">
        <is>
          <t>12.5 - REFEIÇÕES FUNCIONARIOS</t>
        </is>
      </c>
      <c r="G810" s="16" t="inlineStr">
        <is>
          <t>GASTOS COMERCIAIS</t>
        </is>
      </c>
      <c r="H810" s="63" t="n">
        <v>2025</v>
      </c>
      <c r="I810" s="64" t="n">
        <v>6</v>
      </c>
      <c r="J810" s="16" t="inlineStr">
        <is>
          <t>Jun</t>
        </is>
      </c>
      <c r="K810" s="16" t="n"/>
      <c r="M810" s="89" t="n">
        <v>-7.653259</v>
      </c>
      <c r="N810" s="1" t="inlineStr">
        <is>
          <t>12.5 - REFEIÇÕES FUNCIONARIOS</t>
        </is>
      </c>
      <c r="O810" s="1" t="n"/>
      <c r="P810" s="1" t="n"/>
      <c r="Q810" s="1" t="n"/>
      <c r="R810" s="1" t="n">
        <v>2025</v>
      </c>
    </row>
    <row r="811">
      <c r="A811" s="61" t="n">
        <v>45833</v>
      </c>
      <c r="B811" s="16" t="inlineStr">
        <is>
          <t>GENILDO</t>
        </is>
      </c>
      <c r="C811" s="90" t="n"/>
      <c r="D811" s="90" t="n">
        <v>272.206741</v>
      </c>
      <c r="E811" s="90" t="n">
        <v>-272.206741</v>
      </c>
      <c r="F811" s="16" t="inlineStr">
        <is>
          <t>6.4 - COMBUSTIVEL VEICULOS</t>
        </is>
      </c>
      <c r="G811" s="16" t="inlineStr">
        <is>
          <t>GASTOS COMERCIAIS</t>
        </is>
      </c>
      <c r="H811" s="63" t="n">
        <v>2025</v>
      </c>
      <c r="I811" s="64" t="n">
        <v>6</v>
      </c>
      <c r="J811" s="16" t="inlineStr">
        <is>
          <t>Jun</t>
        </is>
      </c>
      <c r="K811" s="16" t="n"/>
      <c r="M811" s="89" t="n">
        <v>-272.206741</v>
      </c>
      <c r="N811" s="1" t="inlineStr">
        <is>
          <t>COMBUSTIVEL VEICULOS</t>
        </is>
      </c>
      <c r="O811" s="1" t="inlineStr">
        <is>
          <t>Despesas com Veículos e Equipamentos</t>
        </is>
      </c>
      <c r="P811" s="1" t="inlineStr">
        <is>
          <t>(-)Gastos Fixos</t>
        </is>
      </c>
      <c r="Q811" s="1" t="n">
        <v>4</v>
      </c>
      <c r="R811" s="1" t="n">
        <v>2025</v>
      </c>
    </row>
    <row r="812">
      <c r="A812" s="61" t="n">
        <v>45833</v>
      </c>
      <c r="B812" s="16" t="inlineStr">
        <is>
          <t>GENILDO</t>
        </is>
      </c>
      <c r="C812" s="90" t="n"/>
      <c r="D812" s="90" t="n">
        <v>43.5</v>
      </c>
      <c r="E812" s="90" t="n">
        <v>-43.5</v>
      </c>
      <c r="F812" s="16" t="inlineStr">
        <is>
          <t>6.6 - PEDAGIOS</t>
        </is>
      </c>
      <c r="G812" s="16" t="inlineStr">
        <is>
          <t>GASTOS COMERCIAIS</t>
        </is>
      </c>
      <c r="H812" s="63" t="n">
        <v>2025</v>
      </c>
      <c r="I812" s="64" t="n">
        <v>6</v>
      </c>
      <c r="J812" s="16" t="inlineStr">
        <is>
          <t>Jun</t>
        </is>
      </c>
      <c r="K812" s="16" t="n"/>
      <c r="M812" s="89" t="n">
        <v>-43.5</v>
      </c>
      <c r="N812" s="1" t="inlineStr">
        <is>
          <t>PEDAGIOS</t>
        </is>
      </c>
      <c r="O812" s="1" t="inlineStr">
        <is>
          <t>Despesas com Veículos e Equipamentos</t>
        </is>
      </c>
      <c r="P812" s="1" t="inlineStr">
        <is>
          <t>(-)Gastos Fixos</t>
        </is>
      </c>
      <c r="Q812" s="1" t="n">
        <v>4</v>
      </c>
      <c r="R812" s="1" t="n">
        <v>2025</v>
      </c>
    </row>
    <row r="813">
      <c r="A813" s="61" t="n">
        <v>45833</v>
      </c>
      <c r="B813" s="16" t="inlineStr">
        <is>
          <t>GENILDO</t>
        </is>
      </c>
      <c r="C813" s="90" t="n"/>
      <c r="D813" s="90" t="n">
        <v>200</v>
      </c>
      <c r="E813" s="90" t="n">
        <v>-200</v>
      </c>
      <c r="F813" s="16" t="inlineStr">
        <is>
          <t>5.1 - HOTEL FUNCIONARIOS</t>
        </is>
      </c>
      <c r="G813" s="16" t="inlineStr">
        <is>
          <t>GASTOS COMERCIAIS</t>
        </is>
      </c>
      <c r="H813" s="63" t="n">
        <v>2025</v>
      </c>
      <c r="I813" s="64" t="n">
        <v>6</v>
      </c>
      <c r="J813" s="16" t="inlineStr">
        <is>
          <t>Jun</t>
        </is>
      </c>
      <c r="K813" s="16" t="n"/>
      <c r="M813" s="89" t="n">
        <v>-200</v>
      </c>
      <c r="N813" s="1" t="inlineStr">
        <is>
          <t>5.1 - HOTEL FUNCIONARIOS</t>
        </is>
      </c>
      <c r="O813" s="1" t="n"/>
      <c r="P813" s="1" t="n"/>
      <c r="Q813" s="1" t="n"/>
      <c r="R813" s="1" t="n">
        <v>2025</v>
      </c>
    </row>
    <row r="814">
      <c r="A814" s="61" t="n">
        <v>45833</v>
      </c>
      <c r="B814" s="16" t="inlineStr">
        <is>
          <t>GENILDO</t>
        </is>
      </c>
      <c r="C814" s="90" t="n"/>
      <c r="D814" s="90" t="n">
        <v>446.78</v>
      </c>
      <c r="E814" s="90" t="n">
        <v>-446.78</v>
      </c>
      <c r="F814" s="16" t="inlineStr">
        <is>
          <t>12.5 - REFEIÇÕES FUNCIONARIOS</t>
        </is>
      </c>
      <c r="G814" s="16" t="inlineStr">
        <is>
          <t>GASTOS COMERCIAIS</t>
        </is>
      </c>
      <c r="H814" s="63" t="n">
        <v>2025</v>
      </c>
      <c r="I814" s="64" t="n">
        <v>6</v>
      </c>
      <c r="J814" s="16" t="inlineStr">
        <is>
          <t>Jun</t>
        </is>
      </c>
      <c r="K814" s="16" t="n"/>
      <c r="M814" s="89" t="n">
        <v>-446.78</v>
      </c>
      <c r="N814" s="1" t="inlineStr">
        <is>
          <t>12.5 - REFEIÇÕES FUNCIONARIOS</t>
        </is>
      </c>
      <c r="O814" s="1" t="n"/>
      <c r="P814" s="1" t="n"/>
      <c r="Q814" s="1" t="n"/>
      <c r="R814" s="1" t="n">
        <v>2025</v>
      </c>
    </row>
    <row r="815">
      <c r="A815" s="61" t="n">
        <v>45833</v>
      </c>
      <c r="B815" s="16" t="inlineStr">
        <is>
          <t>VALE TRANSPORTE</t>
        </is>
      </c>
      <c r="C815" s="90" t="n"/>
      <c r="D815" s="90" t="n">
        <v>43</v>
      </c>
      <c r="E815" s="90" t="n">
        <v>-43</v>
      </c>
      <c r="F815" s="16" t="inlineStr">
        <is>
          <t>12.7 - TRANSPORTE FUNCIONARIOS</t>
        </is>
      </c>
      <c r="G815" s="16" t="inlineStr">
        <is>
          <t>ADMINISTRATIVO</t>
        </is>
      </c>
      <c r="H815" s="63" t="n">
        <v>2025</v>
      </c>
      <c r="I815" s="64" t="n">
        <v>6</v>
      </c>
      <c r="J815" s="16" t="inlineStr">
        <is>
          <t>Jun</t>
        </is>
      </c>
      <c r="K815" s="16" t="n"/>
      <c r="M815" s="89" t="n">
        <v>-43</v>
      </c>
      <c r="N815" s="1" t="inlineStr">
        <is>
          <t>12.7 - TRANSPORTE FUNCIONARIOS</t>
        </is>
      </c>
      <c r="O815" s="1" t="n"/>
      <c r="P815" s="1" t="n"/>
      <c r="Q815" s="1" t="n"/>
      <c r="R815" s="1" t="n">
        <v>2025</v>
      </c>
    </row>
    <row r="816">
      <c r="A816" s="61" t="n">
        <v>45833</v>
      </c>
      <c r="B816" s="16" t="inlineStr">
        <is>
          <t>SILAS FRETE</t>
        </is>
      </c>
      <c r="C816" s="90" t="n">
        <v>2000</v>
      </c>
      <c r="D816" s="90" t="n"/>
      <c r="E816" s="90" t="n">
        <v>2000</v>
      </c>
      <c r="F816" s="16" t="inlineStr">
        <is>
          <t>10.1 - FRETE MATERIAIS E EQUIPAMENTOS</t>
        </is>
      </c>
      <c r="G816" s="16" t="inlineStr">
        <is>
          <t>EUROCHEM SERRA DO SALITRE</t>
        </is>
      </c>
      <c r="H816" s="63" t="n">
        <v>2025</v>
      </c>
      <c r="I816" s="64" t="n">
        <v>6</v>
      </c>
      <c r="J816" s="16" t="inlineStr">
        <is>
          <t>Jun</t>
        </is>
      </c>
      <c r="K816" s="16" t="n"/>
      <c r="M816" s="89" t="n">
        <v>2000</v>
      </c>
      <c r="N816" s="1" t="inlineStr">
        <is>
          <t>FRETE MATERIAIS E EQUIPAMENTOS</t>
        </is>
      </c>
      <c r="O816" s="1" t="inlineStr">
        <is>
          <t>Fornecedores</t>
        </is>
      </c>
      <c r="P816" s="1" t="inlineStr">
        <is>
          <t>(-)Custos Variavéis</t>
        </is>
      </c>
      <c r="Q816" s="1" t="n">
        <v>3</v>
      </c>
      <c r="R816" s="1" t="n">
        <v>2025</v>
      </c>
    </row>
    <row r="817">
      <c r="A817" s="61" t="n">
        <v>45833</v>
      </c>
      <c r="B817" s="16" t="inlineStr">
        <is>
          <t>30811 - BR HIDRAULICA EIRELI</t>
        </is>
      </c>
      <c r="C817" s="90" t="n"/>
      <c r="D817" s="90" t="n">
        <v>80.23999999999999</v>
      </c>
      <c r="E817" s="90" t="n">
        <v>-80.23999999999999</v>
      </c>
      <c r="F817" s="16" t="inlineStr">
        <is>
          <t>8.6 - MANGUEIRAS / CONEXÕES</t>
        </is>
      </c>
      <c r="G817" s="16" t="inlineStr">
        <is>
          <t>VLI PINTURA</t>
        </is>
      </c>
      <c r="H817" s="63" t="n">
        <v>2025</v>
      </c>
      <c r="I817" s="64" t="n">
        <v>6</v>
      </c>
      <c r="J817" s="16" t="inlineStr">
        <is>
          <t>Jun</t>
        </is>
      </c>
      <c r="K817" s="16" t="n"/>
      <c r="M817" s="89" t="n">
        <v>-80.23999999999999</v>
      </c>
      <c r="N817" s="1" t="inlineStr">
        <is>
          <t>MANGUEIRAS / CONEXÕES</t>
        </is>
      </c>
      <c r="O817" s="1" t="inlineStr">
        <is>
          <t>Despesas com Máquinas e Equipamentos</t>
        </is>
      </c>
      <c r="P817" s="1" t="inlineStr">
        <is>
          <t>(-)Gastos Fixos</t>
        </is>
      </c>
      <c r="Q817" s="1" t="n">
        <v>4</v>
      </c>
      <c r="R817" s="1" t="n">
        <v>2025</v>
      </c>
    </row>
    <row r="818">
      <c r="A818" s="61" t="n">
        <v>45833</v>
      </c>
      <c r="B818" s="16" t="inlineStr">
        <is>
          <t>16273 - QUALI TINTAS</t>
        </is>
      </c>
      <c r="C818" s="90" t="n"/>
      <c r="D818" s="90" t="n">
        <v>1012</v>
      </c>
      <c r="E818" s="90" t="n">
        <v>-1012</v>
      </c>
      <c r="F818" s="16" t="inlineStr">
        <is>
          <t>4.1 - TINTAS E SOLVENTES</t>
        </is>
      </c>
      <c r="G818" s="16" t="inlineStr">
        <is>
          <t>ANGLO AMERICAN</t>
        </is>
      </c>
      <c r="H818" s="63" t="n">
        <v>2025</v>
      </c>
      <c r="I818" s="64" t="n">
        <v>6</v>
      </c>
      <c r="J818" s="16" t="inlineStr">
        <is>
          <t>Jun</t>
        </is>
      </c>
      <c r="K818" s="16" t="n"/>
      <c r="M818" s="89" t="n">
        <v>-1012</v>
      </c>
      <c r="N818" s="1" t="inlineStr">
        <is>
          <t>TINTAS E SOLVENTES</t>
        </is>
      </c>
      <c r="O818" s="1" t="inlineStr">
        <is>
          <t>Fornecedores</t>
        </is>
      </c>
      <c r="P818" s="1" t="inlineStr">
        <is>
          <t>(-)Custos Variavéis</t>
        </is>
      </c>
      <c r="Q818" s="1" t="n">
        <v>3</v>
      </c>
      <c r="R818" s="1" t="n">
        <v>2025</v>
      </c>
    </row>
    <row r="819">
      <c r="A819" s="61" t="n">
        <v>45833</v>
      </c>
      <c r="B819" s="16" t="inlineStr">
        <is>
          <t>16273 - QUALI TINTAS</t>
        </is>
      </c>
      <c r="C819" s="90" t="n"/>
      <c r="D819" s="90" t="n">
        <v>1012</v>
      </c>
      <c r="E819" s="90" t="n">
        <v>-1012</v>
      </c>
      <c r="F819" s="16" t="inlineStr">
        <is>
          <t>4.1 - TINTAS E SOLVENTES</t>
        </is>
      </c>
      <c r="G819" s="16" t="inlineStr">
        <is>
          <t>ANGLO AMERICAN</t>
        </is>
      </c>
      <c r="H819" s="63" t="n">
        <v>2025</v>
      </c>
      <c r="I819" s="64" t="n">
        <v>6</v>
      </c>
      <c r="J819" s="16" t="inlineStr">
        <is>
          <t>Jun</t>
        </is>
      </c>
      <c r="K819" s="16" t="n"/>
      <c r="M819" s="89" t="n">
        <v>-1012</v>
      </c>
      <c r="N819" s="1" t="inlineStr">
        <is>
          <t>TINTAS E SOLVENTES</t>
        </is>
      </c>
      <c r="O819" s="1" t="inlineStr">
        <is>
          <t>Fornecedores</t>
        </is>
      </c>
      <c r="P819" s="1" t="inlineStr">
        <is>
          <t>(-)Custos Variavéis</t>
        </is>
      </c>
      <c r="Q819" s="1" t="n">
        <v>3</v>
      </c>
      <c r="R819" s="1" t="n">
        <v>2025</v>
      </c>
    </row>
    <row r="820">
      <c r="A820" s="61" t="n">
        <v>45833</v>
      </c>
      <c r="B820" s="16" t="inlineStr">
        <is>
          <t>16273 - QUALI TINTAS</t>
        </is>
      </c>
      <c r="C820" s="90" t="n"/>
      <c r="D820" s="90" t="n">
        <v>1012</v>
      </c>
      <c r="E820" s="90" t="n">
        <v>-1012</v>
      </c>
      <c r="F820" s="16" t="inlineStr">
        <is>
          <t>4.1 - TINTAS E SOLVENTES</t>
        </is>
      </c>
      <c r="G820" s="16" t="inlineStr">
        <is>
          <t>ANGLO AMERICAN</t>
        </is>
      </c>
      <c r="H820" s="63" t="n">
        <v>2025</v>
      </c>
      <c r="I820" s="64" t="n">
        <v>6</v>
      </c>
      <c r="J820" s="16" t="inlineStr">
        <is>
          <t>Jun</t>
        </is>
      </c>
      <c r="K820" s="16" t="n"/>
      <c r="M820" s="89" t="n">
        <v>-1012</v>
      </c>
      <c r="N820" s="1" t="inlineStr">
        <is>
          <t>TINTAS E SOLVENTES</t>
        </is>
      </c>
      <c r="O820" s="1" t="inlineStr">
        <is>
          <t>Fornecedores</t>
        </is>
      </c>
      <c r="P820" s="1" t="inlineStr">
        <is>
          <t>(-)Custos Variavéis</t>
        </is>
      </c>
      <c r="Q820" s="1" t="n">
        <v>3</v>
      </c>
      <c r="R820" s="1" t="n">
        <v>2025</v>
      </c>
    </row>
    <row r="821">
      <c r="A821" s="61" t="n">
        <v>45833</v>
      </c>
      <c r="B821" s="16" t="inlineStr">
        <is>
          <t>2506 - LAVANDERIA OBRAS</t>
        </is>
      </c>
      <c r="C821" s="90" t="n"/>
      <c r="D821" s="90" t="n">
        <v>498</v>
      </c>
      <c r="E821" s="90" t="n">
        <v>-498</v>
      </c>
      <c r="F821" s="16" t="inlineStr">
        <is>
          <t>5.2 - LAVANDERIA</t>
        </is>
      </c>
      <c r="G821" s="16" t="inlineStr">
        <is>
          <t>ANGLO AMERICAN</t>
        </is>
      </c>
      <c r="H821" s="63" t="n">
        <v>2025</v>
      </c>
      <c r="I821" s="64" t="n">
        <v>6</v>
      </c>
      <c r="J821" s="16" t="inlineStr">
        <is>
          <t>Jun</t>
        </is>
      </c>
      <c r="K821" s="16" t="n"/>
      <c r="M821" s="89" t="n">
        <v>-498</v>
      </c>
      <c r="N821" s="1" t="inlineStr">
        <is>
          <t>LAVANDERIA</t>
        </is>
      </c>
      <c r="O821" s="1" t="inlineStr">
        <is>
          <t>Despesas com Viagens e Hospedagens</t>
        </is>
      </c>
      <c r="P821" s="1" t="inlineStr">
        <is>
          <t>(-)Gastos Fixos</t>
        </is>
      </c>
      <c r="Q821" s="1" t="n">
        <v>4</v>
      </c>
      <c r="R821" s="1" t="n">
        <v>2025</v>
      </c>
    </row>
    <row r="822">
      <c r="A822" s="61" t="n">
        <v>45833</v>
      </c>
      <c r="B822" s="16" t="inlineStr">
        <is>
          <t>17360 - FONTEBRAS HOME CENTER COM. DE MAT. PARA CONST. LTDA - EPP</t>
        </is>
      </c>
      <c r="C822" s="90" t="n"/>
      <c r="D822" s="90" t="n">
        <v>143.66</v>
      </c>
      <c r="E822" s="90" t="n">
        <v>-143.66</v>
      </c>
      <c r="F822" s="16" t="inlineStr">
        <is>
          <t>8.8 - MATERIAIS DE CONSUMO EM OBRAS</t>
        </is>
      </c>
      <c r="G822" s="16" t="inlineStr">
        <is>
          <t>VLI PINTURA</t>
        </is>
      </c>
      <c r="H822" s="63" t="n">
        <v>2025</v>
      </c>
      <c r="I822" s="64" t="n">
        <v>6</v>
      </c>
      <c r="J822" s="16" t="inlineStr">
        <is>
          <t>Jun</t>
        </is>
      </c>
      <c r="K822" s="16" t="n"/>
      <c r="M822" s="89" t="n">
        <v>-143.66</v>
      </c>
      <c r="N822" s="1" t="inlineStr">
        <is>
          <t>MATERIAIS DE CONSUMO EM OBRAS</t>
        </is>
      </c>
      <c r="O822" s="1" t="inlineStr">
        <is>
          <t>Despesas com Máquinas e Equipamentos</t>
        </is>
      </c>
      <c r="P822" s="1" t="inlineStr">
        <is>
          <t>(-)Gastos Fixos</t>
        </is>
      </c>
      <c r="Q822" s="1" t="n">
        <v>4</v>
      </c>
      <c r="R822" s="1" t="n">
        <v>2025</v>
      </c>
    </row>
    <row r="823">
      <c r="A823" s="61" t="n">
        <v>45834</v>
      </c>
      <c r="B823" s="16" t="inlineStr">
        <is>
          <t>ZEQUINHA BORDADOS LTDA</t>
        </is>
      </c>
      <c r="C823" s="90" t="n"/>
      <c r="D823" s="90" t="n">
        <v>1156.4</v>
      </c>
      <c r="E823" s="90" t="n">
        <v>-1156.4</v>
      </c>
      <c r="F823" s="16" t="inlineStr">
        <is>
          <t>13.2 - UNIFORMES</t>
        </is>
      </c>
      <c r="G823" s="16" t="inlineStr">
        <is>
          <t>ANGLO AMERICAN</t>
        </is>
      </c>
      <c r="H823" s="63" t="n">
        <v>2025</v>
      </c>
      <c r="I823" s="64" t="n">
        <v>6</v>
      </c>
      <c r="J823" s="16" t="inlineStr">
        <is>
          <t>Jun</t>
        </is>
      </c>
      <c r="K823" s="16" t="n"/>
      <c r="M823" s="89" t="n">
        <v>-1156.4</v>
      </c>
      <c r="N823" s="1" t="inlineStr">
        <is>
          <t>UNIFORMES</t>
        </is>
      </c>
      <c r="O823" s="1" t="inlineStr">
        <is>
          <t>Despesas com Pessoal</t>
        </is>
      </c>
      <c r="P823" s="1" t="inlineStr">
        <is>
          <t>(-)Gastos Fixos</t>
        </is>
      </c>
      <c r="Q823" s="1" t="n">
        <v>4</v>
      </c>
      <c r="R823" s="1" t="n">
        <v>2025</v>
      </c>
    </row>
    <row r="824">
      <c r="A824" s="61" t="n">
        <v>45834</v>
      </c>
      <c r="B824" s="16" t="inlineStr">
        <is>
          <t>WILLIAM ADM</t>
        </is>
      </c>
      <c r="C824" s="90" t="n"/>
      <c r="D824" s="90" t="n">
        <v>11</v>
      </c>
      <c r="E824" s="90" t="n">
        <v>-11</v>
      </c>
      <c r="F824" s="16" t="inlineStr">
        <is>
          <t>11.5 - ALIMENTAÇÃO ADM</t>
        </is>
      </c>
      <c r="G824" s="16" t="inlineStr">
        <is>
          <t>ADMINISTRATIVO</t>
        </is>
      </c>
      <c r="H824" s="63" t="n">
        <v>2025</v>
      </c>
      <c r="I824" s="64" t="n">
        <v>6</v>
      </c>
      <c r="J824" s="16" t="inlineStr">
        <is>
          <t>Jun</t>
        </is>
      </c>
      <c r="K824" s="16" t="n"/>
      <c r="M824" s="89" t="n">
        <v>-11</v>
      </c>
      <c r="N824" s="1" t="inlineStr">
        <is>
          <t>ALIMENTAÇÃO ADM</t>
        </is>
      </c>
      <c r="O824" s="1" t="inlineStr">
        <is>
          <t>Despesas com Pessoal</t>
        </is>
      </c>
      <c r="P824" s="1" t="inlineStr">
        <is>
          <t>(-)Gastos Fixos</t>
        </is>
      </c>
      <c r="Q824" s="1" t="n">
        <v>4</v>
      </c>
      <c r="R824" s="1" t="n">
        <v>2025</v>
      </c>
    </row>
    <row r="825">
      <c r="A825" s="61" t="n">
        <v>45834</v>
      </c>
      <c r="B825" s="16" t="inlineStr">
        <is>
          <t>IMPERIO DO ESPETO</t>
        </is>
      </c>
      <c r="C825" s="90" t="n"/>
      <c r="D825" s="90" t="n">
        <v>162</v>
      </c>
      <c r="E825" s="90" t="n">
        <v>-162</v>
      </c>
      <c r="F825" s="16" t="inlineStr">
        <is>
          <t>11.5 - ALIMENTAÇÃO ADM</t>
        </is>
      </c>
      <c r="G825" s="16" t="inlineStr">
        <is>
          <t>ADMINISTRATIVO</t>
        </is>
      </c>
      <c r="H825" s="63" t="n">
        <v>2025</v>
      </c>
      <c r="I825" s="64" t="n">
        <v>6</v>
      </c>
      <c r="J825" s="16" t="inlineStr">
        <is>
          <t>Jun</t>
        </is>
      </c>
      <c r="K825" s="16" t="n"/>
      <c r="M825" s="89" t="n">
        <v>-162</v>
      </c>
      <c r="N825" s="1" t="inlineStr">
        <is>
          <t>ALIMENTAÇÃO ADM</t>
        </is>
      </c>
      <c r="O825" s="1" t="inlineStr">
        <is>
          <t>Despesas com Pessoal</t>
        </is>
      </c>
      <c r="P825" s="1" t="inlineStr">
        <is>
          <t>(-)Gastos Fixos</t>
        </is>
      </c>
      <c r="Q825" s="1" t="n">
        <v>4</v>
      </c>
      <c r="R825" s="1" t="n">
        <v>2025</v>
      </c>
    </row>
    <row r="826">
      <c r="A826" s="61" t="n">
        <v>45834</v>
      </c>
      <c r="B826" s="16" t="inlineStr">
        <is>
          <t>RESTAURANTES OBRAS</t>
        </is>
      </c>
      <c r="C826" s="90" t="n"/>
      <c r="D826" s="90" t="n">
        <v>2070</v>
      </c>
      <c r="E826" s="90" t="n">
        <v>-2070</v>
      </c>
      <c r="F826" s="16" t="inlineStr">
        <is>
          <t>12.5 - REFEIÇÕES FUNCIONARIOS</t>
        </is>
      </c>
      <c r="G826" s="16" t="inlineStr">
        <is>
          <t>SERENA 21 TORRES 2024</t>
        </is>
      </c>
      <c r="H826" s="63" t="n">
        <v>2025</v>
      </c>
      <c r="I826" s="64" t="n">
        <v>6</v>
      </c>
      <c r="J826" s="16" t="inlineStr">
        <is>
          <t>Jun</t>
        </is>
      </c>
      <c r="K826" s="16" t="n"/>
      <c r="M826" s="89" t="n">
        <v>-2070</v>
      </c>
      <c r="N826" s="1" t="inlineStr">
        <is>
          <t>12.5 - REFEIÇÕES FUNCIONARIOS</t>
        </is>
      </c>
      <c r="O826" s="1" t="n"/>
      <c r="P826" s="1" t="n"/>
      <c r="Q826" s="1" t="n"/>
      <c r="R826" s="1" t="n">
        <v>2025</v>
      </c>
    </row>
    <row r="827">
      <c r="A827" s="61" t="n">
        <v>45834</v>
      </c>
      <c r="B827" s="16" t="inlineStr">
        <is>
          <t>VALDMAR AUGUSTO</t>
        </is>
      </c>
      <c r="C827" s="90" t="n"/>
      <c r="D827" s="90" t="n">
        <v>39</v>
      </c>
      <c r="E827" s="90" t="n">
        <v>-39</v>
      </c>
      <c r="F827" s="16" t="inlineStr">
        <is>
          <t>8.8 - MATERIAIS DE CONSUMO EM OBRAS</t>
        </is>
      </c>
      <c r="G827" s="16" t="inlineStr">
        <is>
          <t>FOSFATO CMOC CONTRAT</t>
        </is>
      </c>
      <c r="H827" s="63" t="n">
        <v>2025</v>
      </c>
      <c r="I827" s="64" t="n">
        <v>6</v>
      </c>
      <c r="J827" s="16" t="inlineStr">
        <is>
          <t>Jun</t>
        </is>
      </c>
      <c r="K827" s="16" t="n"/>
      <c r="M827" s="89" t="n">
        <v>-39</v>
      </c>
      <c r="N827" s="1" t="inlineStr">
        <is>
          <t>MATERIAIS DE CONSUMO EM OBRAS</t>
        </is>
      </c>
      <c r="O827" s="1" t="inlineStr">
        <is>
          <t>Despesas com Máquinas e Equipamentos</t>
        </is>
      </c>
      <c r="P827" s="1" t="inlineStr">
        <is>
          <t>(-)Gastos Fixos</t>
        </is>
      </c>
      <c r="Q827" s="1" t="n">
        <v>4</v>
      </c>
      <c r="R827" s="1" t="n">
        <v>2025</v>
      </c>
    </row>
    <row r="828">
      <c r="A828" s="61" t="n">
        <v>45834</v>
      </c>
      <c r="B828" s="16" t="inlineStr">
        <is>
          <t>VALDMAR AUGUSTO</t>
        </is>
      </c>
      <c r="C828" s="90" t="n"/>
      <c r="D828" s="90" t="n">
        <v>100</v>
      </c>
      <c r="E828" s="90" t="n">
        <v>-100</v>
      </c>
      <c r="F828" s="16" t="inlineStr">
        <is>
          <t>6.4 - COMBUSTIVEL VEICULOS</t>
        </is>
      </c>
      <c r="G828" s="16" t="inlineStr">
        <is>
          <t>FOSFATO CMOC CONTRAT</t>
        </is>
      </c>
      <c r="H828" s="63" t="n">
        <v>2025</v>
      </c>
      <c r="I828" s="64" t="n">
        <v>6</v>
      </c>
      <c r="J828" s="16" t="inlineStr">
        <is>
          <t>Jun</t>
        </is>
      </c>
      <c r="K828" s="16" t="n"/>
      <c r="M828" s="89" t="n">
        <v>-100</v>
      </c>
      <c r="N828" s="1" t="inlineStr">
        <is>
          <t>COMBUSTIVEL VEICULOS</t>
        </is>
      </c>
      <c r="O828" s="1" t="inlineStr">
        <is>
          <t>Despesas com Veículos e Equipamentos</t>
        </is>
      </c>
      <c r="P828" s="1" t="inlineStr">
        <is>
          <t>(-)Gastos Fixos</t>
        </is>
      </c>
      <c r="Q828" s="1" t="n">
        <v>4</v>
      </c>
      <c r="R828" s="1" t="n">
        <v>2025</v>
      </c>
    </row>
    <row r="829">
      <c r="A829" s="61" t="n">
        <v>45834</v>
      </c>
      <c r="B829" s="16" t="inlineStr">
        <is>
          <t>VALDMAR AUGUSTO</t>
        </is>
      </c>
      <c r="C829" s="90" t="n"/>
      <c r="D829" s="90" t="n">
        <v>240</v>
      </c>
      <c r="E829" s="90" t="n">
        <v>-240</v>
      </c>
      <c r="F829" s="16" t="inlineStr">
        <is>
          <t>6.3 - MANUTENÇÃO/PEÇAS  VEICULOS</t>
        </is>
      </c>
      <c r="G829" s="16" t="inlineStr">
        <is>
          <t>FOSFATO CMOC CONTRAT</t>
        </is>
      </c>
      <c r="H829" s="63" t="n">
        <v>2025</v>
      </c>
      <c r="I829" s="64" t="n">
        <v>6</v>
      </c>
      <c r="J829" s="16" t="inlineStr">
        <is>
          <t>Jun</t>
        </is>
      </c>
      <c r="K829" s="16" t="n"/>
      <c r="M829" s="89" t="n">
        <v>-240</v>
      </c>
      <c r="N829" s="1" t="inlineStr">
        <is>
          <t>MANUTENÇÃO/PEÇAS  VEICULOS</t>
        </is>
      </c>
      <c r="O829" s="1" t="inlineStr">
        <is>
          <t>Despesas com Veículos e Equipamentos</t>
        </is>
      </c>
      <c r="P829" s="1" t="inlineStr">
        <is>
          <t>(-)Gastos Fixos</t>
        </is>
      </c>
      <c r="Q829" s="1" t="n">
        <v>4</v>
      </c>
      <c r="R829" s="1" t="n">
        <v>2025</v>
      </c>
    </row>
    <row r="830">
      <c r="A830" s="61" t="n">
        <v>45834</v>
      </c>
      <c r="B830" s="16" t="inlineStr">
        <is>
          <t>ALUGUEIS OBRAS</t>
        </is>
      </c>
      <c r="C830" s="90" t="n"/>
      <c r="D830" s="90" t="n">
        <v>850</v>
      </c>
      <c r="E830" s="90" t="n">
        <v>-850</v>
      </c>
      <c r="F830" s="16" t="inlineStr">
        <is>
          <t>5.3 - ALUGUEL ALOJAMENTO</t>
        </is>
      </c>
      <c r="G830" s="16" t="inlineStr">
        <is>
          <t>ADMINISTRATIVO</t>
        </is>
      </c>
      <c r="H830" s="63" t="n">
        <v>2025</v>
      </c>
      <c r="I830" s="64" t="n">
        <v>6</v>
      </c>
      <c r="J830" s="16" t="inlineStr">
        <is>
          <t>Jun</t>
        </is>
      </c>
      <c r="K830" s="16" t="n"/>
      <c r="M830" s="89" t="n">
        <v>-850</v>
      </c>
      <c r="N830" s="1" t="inlineStr">
        <is>
          <t>ALUGUEL ALOJAMENTO</t>
        </is>
      </c>
      <c r="O830" s="1" t="inlineStr">
        <is>
          <t>Despesas com Infraestrutura</t>
        </is>
      </c>
      <c r="P830" s="1" t="inlineStr">
        <is>
          <t>(-)Gastos Fixos</t>
        </is>
      </c>
      <c r="Q830" s="1" t="n">
        <v>4</v>
      </c>
      <c r="R830" s="1" t="n">
        <v>2025</v>
      </c>
    </row>
    <row r="831">
      <c r="A831" s="61" t="n">
        <v>45834</v>
      </c>
      <c r="B831" s="16" t="inlineStr">
        <is>
          <t>CAMINHAO MUNCK</t>
        </is>
      </c>
      <c r="C831" s="90" t="n"/>
      <c r="D831" s="90" t="n">
        <v>800</v>
      </c>
      <c r="E831" s="90" t="n">
        <v>-800</v>
      </c>
      <c r="F831" s="16" t="inlineStr">
        <is>
          <t>7.1 - LOCAÇÃO MUNCK / GUINDASTES</t>
        </is>
      </c>
      <c r="G831" s="16" t="inlineStr">
        <is>
          <t>EUROCHEM SERRA DO SALITRE</t>
        </is>
      </c>
      <c r="H831" s="63" t="n">
        <v>2025</v>
      </c>
      <c r="I831" s="64" t="n">
        <v>6</v>
      </c>
      <c r="J831" s="16" t="inlineStr">
        <is>
          <t>Jun</t>
        </is>
      </c>
      <c r="K831" s="16" t="n"/>
      <c r="M831" s="89" t="n">
        <v>-800</v>
      </c>
      <c r="N831" s="1" t="inlineStr">
        <is>
          <t>LOCAÇÃO MUNCK / GUINDASTES</t>
        </is>
      </c>
      <c r="O831" s="1" t="inlineStr">
        <is>
          <t>Despesas com Locações</t>
        </is>
      </c>
      <c r="P831" s="1" t="inlineStr">
        <is>
          <t>(-)Gastos Fixos</t>
        </is>
      </c>
      <c r="Q831" s="1" t="n">
        <v>4</v>
      </c>
      <c r="R831" s="1" t="n">
        <v>2025</v>
      </c>
    </row>
    <row r="832">
      <c r="A832" s="61" t="n">
        <v>45834</v>
      </c>
      <c r="B832" s="16" t="inlineStr">
        <is>
          <t>ALUGUEIS OBRAS</t>
        </is>
      </c>
      <c r="C832" s="90" t="n"/>
      <c r="D832" s="90" t="n">
        <v>4110</v>
      </c>
      <c r="E832" s="90" t="n">
        <v>-4110</v>
      </c>
      <c r="F832" s="16" t="inlineStr">
        <is>
          <t>5.3 - ALUGUEL ALOJAMENTO</t>
        </is>
      </c>
      <c r="G832" s="16" t="inlineStr">
        <is>
          <t>ADMINISTRATIVO</t>
        </is>
      </c>
      <c r="H832" s="63" t="n">
        <v>2025</v>
      </c>
      <c r="I832" s="64" t="n">
        <v>6</v>
      </c>
      <c r="J832" s="16" t="inlineStr">
        <is>
          <t>Jun</t>
        </is>
      </c>
      <c r="K832" s="16" t="n"/>
      <c r="M832" s="89" t="n">
        <v>-4110</v>
      </c>
      <c r="N832" s="1" t="inlineStr">
        <is>
          <t>ALUGUEL ALOJAMENTO</t>
        </is>
      </c>
      <c r="O832" s="1" t="inlineStr">
        <is>
          <t>Despesas com Infraestrutura</t>
        </is>
      </c>
      <c r="P832" s="1" t="inlineStr">
        <is>
          <t>(-)Gastos Fixos</t>
        </is>
      </c>
      <c r="Q832" s="1" t="n">
        <v>4</v>
      </c>
      <c r="R832" s="1" t="n">
        <v>2025</v>
      </c>
    </row>
    <row r="833">
      <c r="A833" s="61" t="n">
        <v>45834</v>
      </c>
      <c r="B833" s="16" t="inlineStr">
        <is>
          <t>ALUGUEIS OBRAS</t>
        </is>
      </c>
      <c r="C833" s="90" t="n"/>
      <c r="D833" s="90" t="n">
        <v>821.88</v>
      </c>
      <c r="E833" s="90" t="n">
        <v>-821.88</v>
      </c>
      <c r="F833" s="16" t="inlineStr">
        <is>
          <t>5.3 - ALUGUEL ALOJAMENTO</t>
        </is>
      </c>
      <c r="G833" s="16" t="inlineStr">
        <is>
          <t>ADMINISTRATIVO</t>
        </is>
      </c>
      <c r="H833" s="63" t="n">
        <v>2025</v>
      </c>
      <c r="I833" s="64" t="n">
        <v>6</v>
      </c>
      <c r="J833" s="16" t="inlineStr">
        <is>
          <t>Jun</t>
        </is>
      </c>
      <c r="K833" s="16" t="n"/>
      <c r="M833" s="89" t="n">
        <v>-821.88</v>
      </c>
      <c r="N833" s="1" t="inlineStr">
        <is>
          <t>ALUGUEL ALOJAMENTO</t>
        </is>
      </c>
      <c r="O833" s="1" t="inlineStr">
        <is>
          <t>Despesas com Infraestrutura</t>
        </is>
      </c>
      <c r="P833" s="1" t="inlineStr">
        <is>
          <t>(-)Gastos Fixos</t>
        </is>
      </c>
      <c r="Q833" s="1" t="n">
        <v>4</v>
      </c>
      <c r="R833" s="1" t="n">
        <v>2025</v>
      </c>
    </row>
    <row r="834">
      <c r="A834" s="61" t="n">
        <v>45834</v>
      </c>
      <c r="B834" s="16" t="inlineStr">
        <is>
          <t>55605 - NEOBETEL EPI, EQUIPAMENTOS DE PROTECAO INDIVIDUAL LTDA</t>
        </is>
      </c>
      <c r="C834" s="90" t="n"/>
      <c r="D834" s="90" t="n">
        <v>891.15</v>
      </c>
      <c r="E834" s="90" t="n">
        <v>-891.15</v>
      </c>
      <c r="F834" s="16" t="inlineStr">
        <is>
          <t>13.1 - EPIS</t>
        </is>
      </c>
      <c r="G834" s="16" t="inlineStr">
        <is>
          <t>ANGLO AMERICAN</t>
        </is>
      </c>
      <c r="H834" s="63" t="n">
        <v>2025</v>
      </c>
      <c r="I834" s="64" t="n">
        <v>6</v>
      </c>
      <c r="J834" s="16" t="inlineStr">
        <is>
          <t>Jun</t>
        </is>
      </c>
      <c r="K834" s="16" t="n"/>
      <c r="M834" s="89" t="n">
        <v>-891.15</v>
      </c>
      <c r="N834" s="1" t="inlineStr">
        <is>
          <t>EPIS</t>
        </is>
      </c>
      <c r="O834" s="1" t="inlineStr">
        <is>
          <t>Despesas com Pessoal</t>
        </is>
      </c>
      <c r="P834" s="1" t="inlineStr">
        <is>
          <t>(-)Gastos Fixos</t>
        </is>
      </c>
      <c r="Q834" s="1" t="n">
        <v>4</v>
      </c>
      <c r="R834" s="1" t="n">
        <v>2025</v>
      </c>
    </row>
    <row r="835">
      <c r="A835" s="61" t="n">
        <v>45834</v>
      </c>
      <c r="B835" s="16" t="inlineStr">
        <is>
          <t>55605 - NEOBETEL EPI, EQUIPAMENTOS DE PROTECAO INDIVIDUAL LTDA</t>
        </is>
      </c>
      <c r="C835" s="90" t="n"/>
      <c r="D835" s="90" t="n">
        <v>891.15</v>
      </c>
      <c r="E835" s="90" t="n">
        <v>-891.15</v>
      </c>
      <c r="F835" s="16" t="inlineStr">
        <is>
          <t>13.1 - EPIS</t>
        </is>
      </c>
      <c r="G835" s="16" t="inlineStr">
        <is>
          <t>ANGLO AMERICAN</t>
        </is>
      </c>
      <c r="H835" s="63" t="n">
        <v>2025</v>
      </c>
      <c r="I835" s="64" t="n">
        <v>6</v>
      </c>
      <c r="J835" s="16" t="inlineStr">
        <is>
          <t>Jun</t>
        </is>
      </c>
      <c r="K835" s="16" t="n"/>
      <c r="M835" s="89" t="n">
        <v>-891.15</v>
      </c>
      <c r="N835" s="1" t="inlineStr">
        <is>
          <t>EPIS</t>
        </is>
      </c>
      <c r="O835" s="1" t="inlineStr">
        <is>
          <t>Despesas com Pessoal</t>
        </is>
      </c>
      <c r="P835" s="1" t="inlineStr">
        <is>
          <t>(-)Gastos Fixos</t>
        </is>
      </c>
      <c r="Q835" s="1" t="n">
        <v>4</v>
      </c>
      <c r="R835" s="1" t="n">
        <v>2025</v>
      </c>
    </row>
    <row r="836">
      <c r="A836" s="61" t="n">
        <v>45834</v>
      </c>
      <c r="B836" s="16" t="inlineStr">
        <is>
          <t>45841 - AMHIGO ASSITENCIA MECANICA HID. DE GOIAS LTDA</t>
        </is>
      </c>
      <c r="C836" s="90" t="n"/>
      <c r="D836" s="90" t="n">
        <v>550</v>
      </c>
      <c r="E836" s="90" t="n">
        <v>-550</v>
      </c>
      <c r="F836" s="16" t="inlineStr">
        <is>
          <t>8.14 - MANUTENÇÃO/PEÇAS MAQUINAS E EQUIPAMENTOS</t>
        </is>
      </c>
      <c r="G836" s="16" t="inlineStr">
        <is>
          <t>MANUTENÇÃO DE EQUIPAMENTOS</t>
        </is>
      </c>
      <c r="H836" s="63" t="n">
        <v>2025</v>
      </c>
      <c r="I836" s="64" t="n">
        <v>6</v>
      </c>
      <c r="J836" s="16" t="inlineStr">
        <is>
          <t>Jun</t>
        </is>
      </c>
      <c r="K836" s="16" t="n"/>
      <c r="M836" s="89" t="n">
        <v>-550</v>
      </c>
      <c r="N836" s="1" t="inlineStr">
        <is>
          <t>MANUTENÇÃO/PEÇAS MAQUINAS E EQUIPAMENTOS</t>
        </is>
      </c>
      <c r="O836" s="1" t="inlineStr">
        <is>
          <t>Despesas com Máquinas e Equipamentos</t>
        </is>
      </c>
      <c r="P836" s="1" t="inlineStr">
        <is>
          <t>(-)Gastos Fixos</t>
        </is>
      </c>
      <c r="Q836" s="1" t="n">
        <v>4</v>
      </c>
      <c r="R836" s="1" t="n">
        <v>2025</v>
      </c>
    </row>
    <row r="837">
      <c r="A837" s="61" t="n">
        <v>45834</v>
      </c>
      <c r="B837" s="16" t="inlineStr">
        <is>
          <t>45841 - AMHIGO ASSITENCIA MECANICA HID. DE GOIAS LTDA</t>
        </is>
      </c>
      <c r="C837" s="90" t="n"/>
      <c r="D837" s="90" t="n">
        <v>550</v>
      </c>
      <c r="E837" s="90" t="n">
        <v>-550</v>
      </c>
      <c r="F837" s="16" t="inlineStr">
        <is>
          <t>8.14 - MANUTENÇÃO/PEÇAS MAQUINAS E EQUIPAMENTOS</t>
        </is>
      </c>
      <c r="G837" s="16" t="inlineStr">
        <is>
          <t>MANUTENÇÃO DE EQUIPAMENTOS</t>
        </is>
      </c>
      <c r="H837" s="63" t="n">
        <v>2025</v>
      </c>
      <c r="I837" s="64" t="n">
        <v>6</v>
      </c>
      <c r="J837" s="16" t="inlineStr">
        <is>
          <t>Jun</t>
        </is>
      </c>
      <c r="K837" s="16" t="n"/>
      <c r="M837" s="89" t="n">
        <v>-550</v>
      </c>
      <c r="N837" s="1" t="inlineStr">
        <is>
          <t>MANUTENÇÃO/PEÇAS MAQUINAS E EQUIPAMENTOS</t>
        </is>
      </c>
      <c r="O837" s="1" t="inlineStr">
        <is>
          <t>Despesas com Máquinas e Equipamentos</t>
        </is>
      </c>
      <c r="P837" s="1" t="inlineStr">
        <is>
          <t>(-)Gastos Fixos</t>
        </is>
      </c>
      <c r="Q837" s="1" t="n">
        <v>4</v>
      </c>
      <c r="R837" s="1" t="n">
        <v>2025</v>
      </c>
    </row>
    <row r="838">
      <c r="A838" s="61" t="n">
        <v>45834</v>
      </c>
      <c r="B838" s="16" t="inlineStr">
        <is>
          <t>45841 - AMHIGO ASSITENCIA MECANICA HID. DE GOIAS LTDA</t>
        </is>
      </c>
      <c r="C838" s="90" t="n"/>
      <c r="D838" s="90" t="n">
        <v>550</v>
      </c>
      <c r="E838" s="90" t="n">
        <v>-550</v>
      </c>
      <c r="F838" s="16" t="inlineStr">
        <is>
          <t>8.14 - MANUTENÇÃO/PEÇAS MAQUINAS E EQUIPAMENTOS</t>
        </is>
      </c>
      <c r="G838" s="16" t="inlineStr">
        <is>
          <t>MANUTENÇÃO DE EQUIPAMENTOS</t>
        </is>
      </c>
      <c r="H838" s="63" t="n">
        <v>2025</v>
      </c>
      <c r="I838" s="64" t="n">
        <v>6</v>
      </c>
      <c r="J838" s="16" t="inlineStr">
        <is>
          <t>Jun</t>
        </is>
      </c>
      <c r="K838" s="16" t="n"/>
      <c r="M838" s="89" t="n">
        <v>-550</v>
      </c>
      <c r="N838" s="1" t="inlineStr">
        <is>
          <t>MANUTENÇÃO/PEÇAS MAQUINAS E EQUIPAMENTOS</t>
        </is>
      </c>
      <c r="O838" s="1" t="inlineStr">
        <is>
          <t>Despesas com Máquinas e Equipamentos</t>
        </is>
      </c>
      <c r="P838" s="1" t="inlineStr">
        <is>
          <t>(-)Gastos Fixos</t>
        </is>
      </c>
      <c r="Q838" s="1" t="n">
        <v>4</v>
      </c>
      <c r="R838" s="1" t="n">
        <v>2025</v>
      </c>
    </row>
    <row r="839">
      <c r="A839" s="61" t="n">
        <v>45834</v>
      </c>
      <c r="B839" s="16" t="inlineStr">
        <is>
          <t>45841 - AMHIGO ASSITENCIA MECANICA HID. DE GOIAS LTDA</t>
        </is>
      </c>
      <c r="C839" s="90" t="n"/>
      <c r="D839" s="90" t="n">
        <v>550</v>
      </c>
      <c r="E839" s="90" t="n">
        <v>-550</v>
      </c>
      <c r="F839" s="16" t="inlineStr">
        <is>
          <t>8.14 - MANUTENÇÃO/PEÇAS MAQUINAS E EQUIPAMENTOS</t>
        </is>
      </c>
      <c r="G839" s="16" t="inlineStr">
        <is>
          <t>MANUTENÇÃO DE EQUIPAMENTOS</t>
        </is>
      </c>
      <c r="H839" s="63" t="n">
        <v>2025</v>
      </c>
      <c r="I839" s="64" t="n">
        <v>6</v>
      </c>
      <c r="J839" s="16" t="inlineStr">
        <is>
          <t>Jun</t>
        </is>
      </c>
      <c r="K839" s="16" t="n"/>
      <c r="M839" s="89" t="n">
        <v>-550</v>
      </c>
      <c r="N839" s="1" t="inlineStr">
        <is>
          <t>MANUTENÇÃO/PEÇAS MAQUINAS E EQUIPAMENTOS</t>
        </is>
      </c>
      <c r="O839" s="1" t="inlineStr">
        <is>
          <t>Despesas com Máquinas e Equipamentos</t>
        </is>
      </c>
      <c r="P839" s="1" t="inlineStr">
        <is>
          <t>(-)Gastos Fixos</t>
        </is>
      </c>
      <c r="Q839" s="1" t="n">
        <v>4</v>
      </c>
      <c r="R839" s="1" t="n">
        <v>2025</v>
      </c>
    </row>
    <row r="840">
      <c r="A840" s="61" t="n">
        <v>45834</v>
      </c>
      <c r="B840" s="16" t="inlineStr">
        <is>
          <t>17368 - FONTEBRAS HOME CENTER COM. DE MAT. PARA CONST. LTDA - EPP</t>
        </is>
      </c>
      <c r="C840" s="90" t="n"/>
      <c r="D840" s="90" t="n">
        <v>247</v>
      </c>
      <c r="E840" s="90" t="n">
        <v>-247</v>
      </c>
      <c r="F840" s="16" t="inlineStr">
        <is>
          <t>13.1 - EPIS</t>
        </is>
      </c>
      <c r="G840" s="16" t="inlineStr">
        <is>
          <t>VLI PINTURA</t>
        </is>
      </c>
      <c r="H840" s="63" t="n">
        <v>2025</v>
      </c>
      <c r="I840" s="64" t="n">
        <v>6</v>
      </c>
      <c r="J840" s="16" t="inlineStr">
        <is>
          <t>Jun</t>
        </is>
      </c>
      <c r="K840" s="16" t="n"/>
      <c r="M840" s="89" t="n">
        <v>-247</v>
      </c>
      <c r="N840" s="1" t="inlineStr">
        <is>
          <t>EPIS</t>
        </is>
      </c>
      <c r="O840" s="1" t="inlineStr">
        <is>
          <t>Despesas com Pessoal</t>
        </is>
      </c>
      <c r="P840" s="1" t="inlineStr">
        <is>
          <t>(-)Gastos Fixos</t>
        </is>
      </c>
      <c r="Q840" s="1" t="n">
        <v>4</v>
      </c>
      <c r="R840" s="1" t="n">
        <v>2025</v>
      </c>
    </row>
    <row r="841">
      <c r="A841" s="61" t="n">
        <v>45834</v>
      </c>
      <c r="B841" s="16" t="inlineStr">
        <is>
          <t>7711 - OLIVEIRA COMERCIO DE EQUIPAMENTOS LTDA</t>
        </is>
      </c>
      <c r="C841" s="90" t="n"/>
      <c r="D841" s="90" t="n">
        <v>160</v>
      </c>
      <c r="E841" s="90" t="n">
        <v>-160</v>
      </c>
      <c r="F841" s="16" t="inlineStr">
        <is>
          <t>13.1 - EPIS</t>
        </is>
      </c>
      <c r="G841" s="16" t="inlineStr">
        <is>
          <t>EUROCHEM SERRA DO SALITRE</t>
        </is>
      </c>
      <c r="H841" s="63" t="n">
        <v>2025</v>
      </c>
      <c r="I841" s="64" t="n">
        <v>6</v>
      </c>
      <c r="J841" s="16" t="inlineStr">
        <is>
          <t>Jun</t>
        </is>
      </c>
      <c r="K841" s="16" t="n"/>
      <c r="M841" s="89" t="n">
        <v>-160</v>
      </c>
      <c r="N841" s="1" t="inlineStr">
        <is>
          <t>EPIS</t>
        </is>
      </c>
      <c r="O841" s="1" t="inlineStr">
        <is>
          <t>Despesas com Pessoal</t>
        </is>
      </c>
      <c r="P841" s="1" t="inlineStr">
        <is>
          <t>(-)Gastos Fixos</t>
        </is>
      </c>
      <c r="Q841" s="1" t="n">
        <v>4</v>
      </c>
      <c r="R841" s="1" t="n">
        <v>2025</v>
      </c>
    </row>
    <row r="842">
      <c r="A842" s="61" t="n">
        <v>45834</v>
      </c>
      <c r="B842" s="16" t="inlineStr">
        <is>
          <t>2636 - V A PINT LOCAÇOES SERVIÇOS E PINTURA LTDA</t>
        </is>
      </c>
      <c r="C842" s="90" t="n">
        <v>3000</v>
      </c>
      <c r="D842" s="90" t="n"/>
      <c r="E842" s="90" t="n">
        <v>3000</v>
      </c>
      <c r="F842" s="16" t="inlineStr">
        <is>
          <t>8.14 - MANUTENÇÃO/PEÇAS MAQUINAS E EQUIPAMENTOS</t>
        </is>
      </c>
      <c r="G842" s="16" t="inlineStr">
        <is>
          <t>VLI PINTURA</t>
        </is>
      </c>
      <c r="H842" s="63" t="n">
        <v>2025</v>
      </c>
      <c r="I842" s="64" t="n">
        <v>6</v>
      </c>
      <c r="J842" s="16" t="inlineStr">
        <is>
          <t>Jun</t>
        </is>
      </c>
      <c r="K842" s="16" t="n"/>
      <c r="M842" s="89" t="n">
        <v>3000</v>
      </c>
      <c r="N842" s="1" t="inlineStr">
        <is>
          <t>MANUTENÇÃO/PEÇAS MAQUINAS E EQUIPAMENTOS</t>
        </is>
      </c>
      <c r="O842" s="1" t="inlineStr">
        <is>
          <t>Despesas com Máquinas e Equipamentos</t>
        </is>
      </c>
      <c r="P842" s="1" t="inlineStr">
        <is>
          <t>(-)Gastos Fixos</t>
        </is>
      </c>
      <c r="Q842" s="1" t="n">
        <v>4</v>
      </c>
      <c r="R842" s="1" t="n">
        <v>2025</v>
      </c>
    </row>
    <row r="843">
      <c r="A843" s="61" t="n">
        <v>45834</v>
      </c>
      <c r="B843" s="16" t="inlineStr">
        <is>
          <t>2637 - V A PINT LOCAÇOES SERVIÇOS E PINTURA LTDA</t>
        </is>
      </c>
      <c r="C843" s="90" t="n"/>
      <c r="D843" s="90" t="n">
        <v>11600</v>
      </c>
      <c r="E843" s="90" t="n">
        <v>-11600</v>
      </c>
      <c r="F843" s="16" t="inlineStr">
        <is>
          <t>7.2 - LOCAÇÃO COMPRESSORES</t>
        </is>
      </c>
      <c r="G843" s="16" t="inlineStr">
        <is>
          <t>VLI PINTURA</t>
        </is>
      </c>
      <c r="H843" s="63" t="n">
        <v>2025</v>
      </c>
      <c r="I843" s="64" t="n">
        <v>6</v>
      </c>
      <c r="J843" s="16" t="inlineStr">
        <is>
          <t>Jun</t>
        </is>
      </c>
      <c r="K843" s="16" t="n"/>
      <c r="M843" s="89" t="n">
        <v>-11600</v>
      </c>
      <c r="N843" s="1" t="inlineStr">
        <is>
          <t>LOCAÇÃO COMPRESSORES</t>
        </is>
      </c>
      <c r="O843" s="1" t="inlineStr">
        <is>
          <t>Despesas com Locações</t>
        </is>
      </c>
      <c r="P843" s="1" t="inlineStr">
        <is>
          <t>(-)Gastos Fixos</t>
        </is>
      </c>
      <c r="Q843" s="1" t="n">
        <v>4</v>
      </c>
      <c r="R843" s="1" t="n">
        <v>2025</v>
      </c>
    </row>
    <row r="844">
      <c r="A844" s="61" t="n">
        <v>45835</v>
      </c>
      <c r="B844" s="16" t="inlineStr">
        <is>
          <t>BANCO ITAU</t>
        </is>
      </c>
      <c r="C844" s="90" t="n"/>
      <c r="D844" s="90" t="n">
        <v>3601.26</v>
      </c>
      <c r="E844" s="90" t="n">
        <v>-3601.26</v>
      </c>
      <c r="F844" s="16" t="inlineStr">
        <is>
          <t>11.7 - FINANCIAMENTO</t>
        </is>
      </c>
      <c r="G844" s="16" t="inlineStr">
        <is>
          <t>IMOBILIZADO / INVESTIMENTO</t>
        </is>
      </c>
      <c r="H844" s="63" t="n">
        <v>2025</v>
      </c>
      <c r="I844" s="64" t="n">
        <v>6</v>
      </c>
      <c r="J844" s="16" t="inlineStr">
        <is>
          <t>Jun</t>
        </is>
      </c>
      <c r="K844" s="16" t="n"/>
      <c r="M844" s="89" t="n">
        <v>-3601.26</v>
      </c>
      <c r="N844" s="1" t="inlineStr">
        <is>
          <t>Financiamento</t>
        </is>
      </c>
      <c r="O844" s="1" t="inlineStr">
        <is>
          <t>Despesas Financeiras</t>
        </is>
      </c>
      <c r="P844" s="1" t="inlineStr">
        <is>
          <t>(-)Gastos Fixos</t>
        </is>
      </c>
      <c r="Q844" s="1" t="n">
        <v>4</v>
      </c>
      <c r="R844" s="1" t="n">
        <v>2025</v>
      </c>
    </row>
    <row r="845">
      <c r="A845" s="61" t="n">
        <v>45835</v>
      </c>
      <c r="B845" s="16" t="inlineStr">
        <is>
          <t>ENCOMENDA BARRO ALTO</t>
        </is>
      </c>
      <c r="C845" s="90" t="n"/>
      <c r="D845" s="90" t="n">
        <v>300</v>
      </c>
      <c r="E845" s="90" t="n">
        <v>-300</v>
      </c>
      <c r="F845" s="16" t="inlineStr">
        <is>
          <t>10.4 - FRETE TRANSPORTADORA</t>
        </is>
      </c>
      <c r="G845" s="16" t="inlineStr">
        <is>
          <t>ANGLO AMERICAN</t>
        </is>
      </c>
      <c r="H845" s="63" t="n">
        <v>2025</v>
      </c>
      <c r="I845" s="64" t="n">
        <v>6</v>
      </c>
      <c r="J845" s="16" t="inlineStr">
        <is>
          <t>Jun</t>
        </is>
      </c>
      <c r="K845" s="16" t="n"/>
      <c r="M845" s="89" t="n">
        <v>-300</v>
      </c>
      <c r="N845" s="1" t="inlineStr">
        <is>
          <t>FRETE TRANSPORTADORA</t>
        </is>
      </c>
      <c r="O845" s="1" t="inlineStr">
        <is>
          <t>Fornecedores</t>
        </is>
      </c>
      <c r="P845" s="1" t="inlineStr">
        <is>
          <t>(-)Custos Variavéis</t>
        </is>
      </c>
      <c r="Q845" s="1" t="n">
        <v>3</v>
      </c>
      <c r="R845" s="1" t="n">
        <v>2025</v>
      </c>
    </row>
    <row r="846">
      <c r="A846" s="61" t="n">
        <v>45835</v>
      </c>
      <c r="B846" s="16" t="inlineStr">
        <is>
          <t>MOTO BOY CLAUDEMIR</t>
        </is>
      </c>
      <c r="C846" s="90" t="n"/>
      <c r="D846" s="90" t="n">
        <v>50</v>
      </c>
      <c r="E846" s="90" t="n">
        <v>-50</v>
      </c>
      <c r="F846" s="16" t="inlineStr">
        <is>
          <t>3.8 - SERVIÇO MOTOBOY / UBER</t>
        </is>
      </c>
      <c r="G846" s="16" t="inlineStr">
        <is>
          <t>ADMINISTRATIVO</t>
        </is>
      </c>
      <c r="H846" s="63" t="n">
        <v>2025</v>
      </c>
      <c r="I846" s="64" t="n">
        <v>6</v>
      </c>
      <c r="J846" s="16" t="inlineStr">
        <is>
          <t>Jun</t>
        </is>
      </c>
      <c r="K846" s="16" t="n"/>
      <c r="M846" s="89" t="n">
        <v>-50</v>
      </c>
      <c r="N846" s="1" t="inlineStr">
        <is>
          <t>SERVIÇO MOTOBOY / UBER</t>
        </is>
      </c>
      <c r="O846" s="1" t="inlineStr">
        <is>
          <t>Despesas Administrativas</t>
        </is>
      </c>
      <c r="P846" s="1" t="inlineStr">
        <is>
          <t>(-)Gastos Fixos</t>
        </is>
      </c>
      <c r="Q846" s="1" t="n">
        <v>4</v>
      </c>
      <c r="R846" s="1" t="n">
        <v>2025</v>
      </c>
    </row>
    <row r="847">
      <c r="A847" s="61" t="n">
        <v>45835</v>
      </c>
      <c r="B847" s="16" t="inlineStr">
        <is>
          <t>YCARO GOMES</t>
        </is>
      </c>
      <c r="C847" s="90" t="n"/>
      <c r="D847" s="90" t="n">
        <v>105.769999</v>
      </c>
      <c r="E847" s="90" t="n">
        <v>-105.769999</v>
      </c>
      <c r="F847" s="16" t="inlineStr">
        <is>
          <t>11.14 - INTERNET OBRAS</t>
        </is>
      </c>
      <c r="G847" s="16" t="inlineStr">
        <is>
          <t>VLI PINTURA</t>
        </is>
      </c>
      <c r="H847" s="63" t="n">
        <v>2025</v>
      </c>
      <c r="I847" s="64" t="n">
        <v>6</v>
      </c>
      <c r="J847" s="16" t="inlineStr">
        <is>
          <t>Jun</t>
        </is>
      </c>
      <c r="K847" s="16" t="n"/>
      <c r="M847" s="89" t="n">
        <v>-105.769999</v>
      </c>
      <c r="N847" s="1" t="inlineStr">
        <is>
          <t>INTERNET OBRAS</t>
        </is>
      </c>
      <c r="O847" s="1" t="inlineStr">
        <is>
          <t>Despesas com Infraestrutura</t>
        </is>
      </c>
      <c r="P847" s="1" t="inlineStr">
        <is>
          <t>(-)Gastos Fixos</t>
        </is>
      </c>
      <c r="Q847" s="1" t="n">
        <v>4</v>
      </c>
      <c r="R847" s="1" t="n">
        <v>2025</v>
      </c>
    </row>
    <row r="848">
      <c r="A848" s="61" t="n">
        <v>45835</v>
      </c>
      <c r="B848" s="16" t="inlineStr">
        <is>
          <t>YCARO GOMES</t>
        </is>
      </c>
      <c r="C848" s="90" t="n"/>
      <c r="D848" s="90" t="n">
        <v>119.999999</v>
      </c>
      <c r="E848" s="90" t="n">
        <v>-119.999999</v>
      </c>
      <c r="F848" s="16" t="inlineStr">
        <is>
          <t>8.14 - MANUTENÇÃO/PEÇAS MAQUINAS E EQUIPAMENTOS</t>
        </is>
      </c>
      <c r="G848" s="16" t="inlineStr">
        <is>
          <t>VLI PINTURA</t>
        </is>
      </c>
      <c r="H848" s="63" t="n">
        <v>2025</v>
      </c>
      <c r="I848" s="64" t="n">
        <v>6</v>
      </c>
      <c r="J848" s="16" t="inlineStr">
        <is>
          <t>Jun</t>
        </is>
      </c>
      <c r="K848" s="16" t="n"/>
      <c r="M848" s="89" t="n">
        <v>-119.999999</v>
      </c>
      <c r="N848" s="1" t="inlineStr">
        <is>
          <t>MANUTENÇÃO/PEÇAS MAQUINAS E EQUIPAMENTOS</t>
        </is>
      </c>
      <c r="O848" s="1" t="inlineStr">
        <is>
          <t>Despesas com Máquinas e Equipamentos</t>
        </is>
      </c>
      <c r="P848" s="1" t="inlineStr">
        <is>
          <t>(-)Gastos Fixos</t>
        </is>
      </c>
      <c r="Q848" s="1" t="n">
        <v>4</v>
      </c>
      <c r="R848" s="1" t="n">
        <v>2025</v>
      </c>
    </row>
    <row r="849">
      <c r="A849" s="61" t="n">
        <v>45835</v>
      </c>
      <c r="B849" s="16" t="inlineStr">
        <is>
          <t>YCARO GOMES</t>
        </is>
      </c>
      <c r="C849" s="90" t="n"/>
      <c r="D849" s="90" t="n">
        <v>190</v>
      </c>
      <c r="E849" s="90" t="n">
        <v>-190</v>
      </c>
      <c r="F849" s="16" t="inlineStr">
        <is>
          <t>6.3 - MANUTENÇÃO/PEÇAS  VEICULOS</t>
        </is>
      </c>
      <c r="G849" s="16" t="inlineStr">
        <is>
          <t>VLI PINTURA</t>
        </is>
      </c>
      <c r="H849" s="63" t="n">
        <v>2025</v>
      </c>
      <c r="I849" s="64" t="n">
        <v>6</v>
      </c>
      <c r="J849" s="16" t="inlineStr">
        <is>
          <t>Jun</t>
        </is>
      </c>
      <c r="K849" s="16" t="n"/>
      <c r="M849" s="89" t="n">
        <v>-190</v>
      </c>
      <c r="N849" s="1" t="inlineStr">
        <is>
          <t>MANUTENÇÃO/PEÇAS  VEICULOS</t>
        </is>
      </c>
      <c r="O849" s="1" t="inlineStr">
        <is>
          <t>Despesas com Veículos e Equipamentos</t>
        </is>
      </c>
      <c r="P849" s="1" t="inlineStr">
        <is>
          <t>(-)Gastos Fixos</t>
        </is>
      </c>
      <c r="Q849" s="1" t="n">
        <v>4</v>
      </c>
      <c r="R849" s="1" t="n">
        <v>2025</v>
      </c>
    </row>
    <row r="850">
      <c r="A850" s="61" t="n">
        <v>45835</v>
      </c>
      <c r="B850" s="16" t="inlineStr">
        <is>
          <t>YCARO GOMES</t>
        </is>
      </c>
      <c r="C850" s="90" t="n"/>
      <c r="D850" s="90" t="n">
        <v>346</v>
      </c>
      <c r="E850" s="90" t="n">
        <v>-346</v>
      </c>
      <c r="F850" s="16" t="inlineStr">
        <is>
          <t>8.11 - MATERIAIS DE LIMPEZA / HIGIENE</t>
        </is>
      </c>
      <c r="G850" s="16" t="inlineStr">
        <is>
          <t>VLI PINTURA</t>
        </is>
      </c>
      <c r="H850" s="63" t="n">
        <v>2025</v>
      </c>
      <c r="I850" s="64" t="n">
        <v>6</v>
      </c>
      <c r="J850" s="16" t="inlineStr">
        <is>
          <t>Jun</t>
        </is>
      </c>
      <c r="K850" s="16" t="n"/>
      <c r="M850" s="89" t="n">
        <v>-346</v>
      </c>
      <c r="N850" s="1" t="inlineStr">
        <is>
          <t>MATERIAIS DE LIMPEZA / HIGIENE</t>
        </is>
      </c>
      <c r="O850" s="1" t="inlineStr">
        <is>
          <t>Despesas com Máquinas e Equipamentos</t>
        </is>
      </c>
      <c r="P850" s="1" t="inlineStr">
        <is>
          <t>(-)Gastos Fixos</t>
        </is>
      </c>
      <c r="Q850" s="1" t="n">
        <v>4</v>
      </c>
      <c r="R850" s="1" t="n">
        <v>2025</v>
      </c>
    </row>
    <row r="851">
      <c r="A851" s="61" t="n">
        <v>45835</v>
      </c>
      <c r="B851" s="16" t="inlineStr">
        <is>
          <t>YCARO GOMES</t>
        </is>
      </c>
      <c r="C851" s="90" t="n"/>
      <c r="D851" s="90" t="n">
        <v>445.999999</v>
      </c>
      <c r="E851" s="90" t="n">
        <v>-445.999999</v>
      </c>
      <c r="F851" s="16" t="inlineStr">
        <is>
          <t>13.1 - EPIS</t>
        </is>
      </c>
      <c r="G851" s="16" t="inlineStr">
        <is>
          <t>VLI PINTURA</t>
        </is>
      </c>
      <c r="H851" s="63" t="n">
        <v>2025</v>
      </c>
      <c r="I851" s="64" t="n">
        <v>6</v>
      </c>
      <c r="J851" s="16" t="inlineStr">
        <is>
          <t>Jun</t>
        </is>
      </c>
      <c r="K851" s="16" t="n"/>
      <c r="M851" s="89" t="n">
        <v>-445.999999</v>
      </c>
      <c r="N851" s="1" t="inlineStr">
        <is>
          <t>EPIS</t>
        </is>
      </c>
      <c r="O851" s="1" t="inlineStr">
        <is>
          <t>Despesas com Pessoal</t>
        </is>
      </c>
      <c r="P851" s="1" t="inlineStr">
        <is>
          <t>(-)Gastos Fixos</t>
        </is>
      </c>
      <c r="Q851" s="1" t="n">
        <v>4</v>
      </c>
      <c r="R851" s="1" t="n">
        <v>2025</v>
      </c>
    </row>
    <row r="852">
      <c r="A852" s="61" t="n">
        <v>45835</v>
      </c>
      <c r="B852" s="16" t="inlineStr">
        <is>
          <t>YCARO GOMES</t>
        </is>
      </c>
      <c r="C852" s="90" t="n"/>
      <c r="D852" s="90" t="n">
        <v>708.869999</v>
      </c>
      <c r="E852" s="90" t="n">
        <v>-708.869999</v>
      </c>
      <c r="F852" s="16" t="inlineStr">
        <is>
          <t>12.5 - REFEIÇÕES FUNCIONARIOS</t>
        </is>
      </c>
      <c r="G852" s="16" t="inlineStr">
        <is>
          <t>VLI PINTURA</t>
        </is>
      </c>
      <c r="H852" s="63" t="n">
        <v>2025</v>
      </c>
      <c r="I852" s="64" t="n">
        <v>6</v>
      </c>
      <c r="J852" s="16" t="inlineStr">
        <is>
          <t>Jun</t>
        </is>
      </c>
      <c r="K852" s="16" t="n"/>
      <c r="M852" s="89" t="n">
        <v>-708.869999</v>
      </c>
      <c r="N852" s="1" t="inlineStr">
        <is>
          <t>12.5 - REFEIÇÕES FUNCIONARIOS</t>
        </is>
      </c>
      <c r="O852" s="1" t="n"/>
      <c r="P852" s="1" t="n"/>
      <c r="Q852" s="1" t="n"/>
      <c r="R852" s="1" t="n">
        <v>2025</v>
      </c>
    </row>
    <row r="853">
      <c r="A853" s="61" t="n">
        <v>45835</v>
      </c>
      <c r="B853" s="16" t="inlineStr">
        <is>
          <t>YCARO GOMES</t>
        </is>
      </c>
      <c r="C853" s="90" t="n"/>
      <c r="D853" s="90" t="n">
        <v>1340</v>
      </c>
      <c r="E853" s="90" t="n">
        <v>-1340</v>
      </c>
      <c r="F853" s="16" t="inlineStr">
        <is>
          <t>5.1 - HOTEL FUNCIONARIOS</t>
        </is>
      </c>
      <c r="G853" s="16" t="inlineStr">
        <is>
          <t>VLI PINTURA</t>
        </is>
      </c>
      <c r="H853" s="63" t="n">
        <v>2025</v>
      </c>
      <c r="I853" s="64" t="n">
        <v>6</v>
      </c>
      <c r="J853" s="16" t="inlineStr">
        <is>
          <t>Jun</t>
        </is>
      </c>
      <c r="K853" s="16" t="n"/>
      <c r="M853" s="89" t="n">
        <v>-1340</v>
      </c>
      <c r="N853" s="1" t="inlineStr">
        <is>
          <t>5.1 - HOTEL FUNCIONARIOS</t>
        </is>
      </c>
      <c r="O853" s="1" t="n"/>
      <c r="P853" s="1" t="n"/>
      <c r="Q853" s="1" t="n"/>
      <c r="R853" s="1" t="n">
        <v>2025</v>
      </c>
    </row>
    <row r="854">
      <c r="A854" s="61" t="n">
        <v>45835</v>
      </c>
      <c r="B854" s="16" t="inlineStr">
        <is>
          <t>YCARO GOMES</t>
        </is>
      </c>
      <c r="C854" s="90" t="n"/>
      <c r="D854" s="90" t="n">
        <v>5948.57</v>
      </c>
      <c r="E854" s="90" t="n">
        <v>-5948.57</v>
      </c>
      <c r="F854" s="16" t="inlineStr">
        <is>
          <t>6.4 - COMBUSTIVEL VEICULOS</t>
        </is>
      </c>
      <c r="G854" s="16" t="inlineStr">
        <is>
          <t>VLI PINTURA</t>
        </is>
      </c>
      <c r="H854" s="63" t="n">
        <v>2025</v>
      </c>
      <c r="I854" s="64" t="n">
        <v>6</v>
      </c>
      <c r="J854" s="16" t="inlineStr">
        <is>
          <t>Jun</t>
        </is>
      </c>
      <c r="K854" s="16" t="n"/>
      <c r="M854" s="89" t="n">
        <v>-5948.57</v>
      </c>
      <c r="N854" s="1" t="inlineStr">
        <is>
          <t>COMBUSTIVEL VEICULOS</t>
        </is>
      </c>
      <c r="O854" s="1" t="inlineStr">
        <is>
          <t>Despesas com Veículos e Equipamentos</t>
        </is>
      </c>
      <c r="P854" s="1" t="inlineStr">
        <is>
          <t>(-)Gastos Fixos</t>
        </is>
      </c>
      <c r="Q854" s="1" t="n">
        <v>4</v>
      </c>
      <c r="R854" s="1" t="n">
        <v>2025</v>
      </c>
    </row>
    <row r="855">
      <c r="A855" s="61" t="n">
        <v>45835</v>
      </c>
      <c r="B855" s="16" t="inlineStr">
        <is>
          <t>SILAS FRETE</t>
        </is>
      </c>
      <c r="C855" s="90" t="n">
        <v>1000</v>
      </c>
      <c r="D855" s="90" t="n"/>
      <c r="E855" s="90" t="n">
        <v>1000</v>
      </c>
      <c r="F855" s="16" t="inlineStr">
        <is>
          <t>10.1 - FRETE MATERIAIS E EQUIPAMENTOS</t>
        </is>
      </c>
      <c r="G855" s="16" t="inlineStr">
        <is>
          <t>EUROCHEM SERRA DO SALITRE</t>
        </is>
      </c>
      <c r="H855" s="63" t="n">
        <v>2025</v>
      </c>
      <c r="I855" s="64" t="n">
        <v>6</v>
      </c>
      <c r="J855" s="16" t="inlineStr">
        <is>
          <t>Jun</t>
        </is>
      </c>
      <c r="K855" s="16" t="n"/>
      <c r="M855" s="89" t="n">
        <v>1000</v>
      </c>
      <c r="N855" s="1" t="inlineStr">
        <is>
          <t>FRETE MATERIAIS E EQUIPAMENTOS</t>
        </is>
      </c>
      <c r="O855" s="1" t="inlineStr">
        <is>
          <t>Fornecedores</t>
        </is>
      </c>
      <c r="P855" s="1" t="inlineStr">
        <is>
          <t>(-)Custos Variavéis</t>
        </is>
      </c>
      <c r="Q855" s="1" t="n">
        <v>3</v>
      </c>
      <c r="R855" s="1" t="n">
        <v>2025</v>
      </c>
    </row>
    <row r="856">
      <c r="A856" s="61" t="n">
        <v>45835</v>
      </c>
      <c r="B856" s="16" t="inlineStr">
        <is>
          <t>SILAS FRETE</t>
        </is>
      </c>
      <c r="C856" s="90" t="n">
        <v>3393.2</v>
      </c>
      <c r="D856" s="90" t="n"/>
      <c r="E856" s="90" t="n">
        <v>3393.2</v>
      </c>
      <c r="F856" s="16" t="inlineStr">
        <is>
          <t>10.1 - FRETE MATERIAIS E EQUIPAMENTOS</t>
        </is>
      </c>
      <c r="G856" s="16" t="inlineStr">
        <is>
          <t>EUROCHEM SERRA DO SALITRE</t>
        </is>
      </c>
      <c r="H856" s="63" t="n">
        <v>2025</v>
      </c>
      <c r="I856" s="64" t="n">
        <v>6</v>
      </c>
      <c r="J856" s="16" t="inlineStr">
        <is>
          <t>Jun</t>
        </is>
      </c>
      <c r="K856" s="16" t="n"/>
      <c r="M856" s="89" t="n">
        <v>3393.2</v>
      </c>
      <c r="N856" s="1" t="inlineStr">
        <is>
          <t>FRETE MATERIAIS E EQUIPAMENTOS</t>
        </is>
      </c>
      <c r="O856" s="1" t="inlineStr">
        <is>
          <t>Fornecedores</t>
        </is>
      </c>
      <c r="P856" s="1" t="inlineStr">
        <is>
          <t>(-)Custos Variavéis</t>
        </is>
      </c>
      <c r="Q856" s="1" t="n">
        <v>3</v>
      </c>
      <c r="R856" s="1" t="n">
        <v>2025</v>
      </c>
    </row>
    <row r="857">
      <c r="A857" s="61" t="n">
        <v>45835</v>
      </c>
      <c r="B857" s="16" t="inlineStr">
        <is>
          <t>VALE TRANSPORTE</t>
        </is>
      </c>
      <c r="C857" s="90" t="n"/>
      <c r="D857" s="90" t="n">
        <v>197.8</v>
      </c>
      <c r="E857" s="90" t="n">
        <v>-197.8</v>
      </c>
      <c r="F857" s="16" t="inlineStr">
        <is>
          <t>12.7 - TRANSPORTE FUNCIONARIOS</t>
        </is>
      </c>
      <c r="G857" s="16" t="inlineStr">
        <is>
          <t>ADMINISTRATIVO</t>
        </is>
      </c>
      <c r="H857" s="63" t="n">
        <v>2025</v>
      </c>
      <c r="I857" s="64" t="n">
        <v>6</v>
      </c>
      <c r="J857" s="16" t="inlineStr">
        <is>
          <t>Jun</t>
        </is>
      </c>
      <c r="K857" s="16" t="n"/>
      <c r="M857" s="89" t="n">
        <v>-197.8</v>
      </c>
      <c r="N857" s="1" t="inlineStr">
        <is>
          <t>12.7 - TRANSPORTE FUNCIONARIOS</t>
        </is>
      </c>
      <c r="O857" s="1" t="n"/>
      <c r="P857" s="1" t="n"/>
      <c r="Q857" s="1" t="n"/>
      <c r="R857" s="1" t="n">
        <v>2025</v>
      </c>
    </row>
    <row r="858">
      <c r="A858" s="61" t="n">
        <v>45835</v>
      </c>
      <c r="B858" s="16" t="inlineStr">
        <is>
          <t>VALE TRANSPORTE</t>
        </is>
      </c>
      <c r="C858" s="90" t="n"/>
      <c r="D858" s="90" t="n">
        <v>197.8</v>
      </c>
      <c r="E858" s="90" t="n">
        <v>-197.8</v>
      </c>
      <c r="F858" s="16" t="inlineStr">
        <is>
          <t>12.7 - TRANSPORTE FUNCIONARIOS</t>
        </is>
      </c>
      <c r="G858" s="16" t="inlineStr">
        <is>
          <t>ADMINISTRATIVO</t>
        </is>
      </c>
      <c r="H858" s="63" t="n">
        <v>2025</v>
      </c>
      <c r="I858" s="64" t="n">
        <v>6</v>
      </c>
      <c r="J858" s="16" t="inlineStr">
        <is>
          <t>Jun</t>
        </is>
      </c>
      <c r="K858" s="16" t="n"/>
      <c r="M858" s="89" t="n">
        <v>-197.8</v>
      </c>
      <c r="N858" s="1" t="inlineStr">
        <is>
          <t>12.7 - TRANSPORTE FUNCIONARIOS</t>
        </is>
      </c>
      <c r="O858" s="1" t="n"/>
      <c r="P858" s="1" t="n"/>
      <c r="Q858" s="1" t="n"/>
      <c r="R858" s="1" t="n">
        <v>2025</v>
      </c>
    </row>
    <row r="859">
      <c r="A859" s="61" t="n">
        <v>45835</v>
      </c>
      <c r="B859" s="16" t="inlineStr">
        <is>
          <t>VALE TRANSPORTE</t>
        </is>
      </c>
      <c r="C859" s="90" t="n"/>
      <c r="D859" s="90" t="n">
        <v>197.8</v>
      </c>
      <c r="E859" s="90" t="n">
        <v>-197.8</v>
      </c>
      <c r="F859" s="16" t="inlineStr">
        <is>
          <t>12.7 - TRANSPORTE FUNCIONARIOS</t>
        </is>
      </c>
      <c r="G859" s="16" t="inlineStr">
        <is>
          <t>ADMINISTRATIVO</t>
        </is>
      </c>
      <c r="H859" s="63" t="n">
        <v>2025</v>
      </c>
      <c r="I859" s="64" t="n">
        <v>6</v>
      </c>
      <c r="J859" s="16" t="inlineStr">
        <is>
          <t>Jun</t>
        </is>
      </c>
      <c r="K859" s="16" t="n"/>
      <c r="M859" s="89" t="n">
        <v>-197.8</v>
      </c>
      <c r="N859" s="1" t="inlineStr">
        <is>
          <t>12.7 - TRANSPORTE FUNCIONARIOS</t>
        </is>
      </c>
      <c r="O859" s="1" t="n"/>
      <c r="P859" s="1" t="n"/>
      <c r="Q859" s="1" t="n"/>
      <c r="R859" s="1" t="n">
        <v>2025</v>
      </c>
    </row>
    <row r="860">
      <c r="A860" s="61" t="n">
        <v>45835</v>
      </c>
      <c r="B860" s="16" t="inlineStr">
        <is>
          <t>VALE TRANSPORTE</t>
        </is>
      </c>
      <c r="C860" s="90" t="n"/>
      <c r="D860" s="90" t="n">
        <v>197.8</v>
      </c>
      <c r="E860" s="90" t="n">
        <v>-197.8</v>
      </c>
      <c r="F860" s="16" t="inlineStr">
        <is>
          <t>12.7 - TRANSPORTE FUNCIONARIOS</t>
        </is>
      </c>
      <c r="G860" s="16" t="inlineStr">
        <is>
          <t>ADMINISTRATIVO</t>
        </is>
      </c>
      <c r="H860" s="63" t="n">
        <v>2025</v>
      </c>
      <c r="I860" s="64" t="n">
        <v>6</v>
      </c>
      <c r="J860" s="16" t="inlineStr">
        <is>
          <t>Jun</t>
        </is>
      </c>
      <c r="K860" s="16" t="n"/>
      <c r="M860" s="89" t="n">
        <v>-197.8</v>
      </c>
      <c r="N860" s="1" t="inlineStr">
        <is>
          <t>12.7 - TRANSPORTE FUNCIONARIOS</t>
        </is>
      </c>
      <c r="O860" s="1" t="n"/>
      <c r="P860" s="1" t="n"/>
      <c r="Q860" s="1" t="n"/>
      <c r="R860" s="1" t="n">
        <v>2025</v>
      </c>
    </row>
    <row r="861">
      <c r="A861" s="61" t="n">
        <v>45835</v>
      </c>
      <c r="B861" s="16" t="inlineStr">
        <is>
          <t>VALE TRANSPORTE</t>
        </is>
      </c>
      <c r="C861" s="90" t="n"/>
      <c r="D861" s="90" t="n">
        <v>197.8</v>
      </c>
      <c r="E861" s="90" t="n">
        <v>-197.8</v>
      </c>
      <c r="F861" s="16" t="inlineStr">
        <is>
          <t>12.7 - TRANSPORTE FUNCIONARIOS</t>
        </is>
      </c>
      <c r="G861" s="16" t="inlineStr">
        <is>
          <t>ADMINISTRATIVO</t>
        </is>
      </c>
      <c r="H861" s="63" t="n">
        <v>2025</v>
      </c>
      <c r="I861" s="64" t="n">
        <v>6</v>
      </c>
      <c r="J861" s="16" t="inlineStr">
        <is>
          <t>Jun</t>
        </is>
      </c>
      <c r="K861" s="16" t="n"/>
      <c r="M861" s="89" t="n">
        <v>-197.8</v>
      </c>
      <c r="N861" s="1" t="inlineStr">
        <is>
          <t>12.7 - TRANSPORTE FUNCIONARIOS</t>
        </is>
      </c>
      <c r="O861" s="1" t="n"/>
      <c r="P861" s="1" t="n"/>
      <c r="Q861" s="1" t="n"/>
      <c r="R861" s="1" t="n">
        <v>2025</v>
      </c>
    </row>
    <row r="862">
      <c r="A862" s="61" t="n">
        <v>45835</v>
      </c>
      <c r="B862" s="16" t="inlineStr">
        <is>
          <t>IMPERIO DO ESPETO</t>
        </is>
      </c>
      <c r="C862" s="90" t="n"/>
      <c r="D862" s="90" t="n">
        <v>164</v>
      </c>
      <c r="E862" s="90" t="n">
        <v>-164</v>
      </c>
      <c r="F862" s="16" t="inlineStr">
        <is>
          <t>11.5 - ALIMENTAÇÃO ADM</t>
        </is>
      </c>
      <c r="G862" s="16" t="inlineStr">
        <is>
          <t>ADMINISTRATIVO</t>
        </is>
      </c>
      <c r="H862" s="63" t="n">
        <v>2025</v>
      </c>
      <c r="I862" s="64" t="n">
        <v>6</v>
      </c>
      <c r="J862" s="16" t="inlineStr">
        <is>
          <t>Jun</t>
        </is>
      </c>
      <c r="K862" s="16" t="n"/>
      <c r="M862" s="89" t="n">
        <v>-164</v>
      </c>
      <c r="N862" s="1" t="inlineStr">
        <is>
          <t>ALIMENTAÇÃO ADM</t>
        </is>
      </c>
      <c r="O862" s="1" t="inlineStr">
        <is>
          <t>Despesas com Pessoal</t>
        </is>
      </c>
      <c r="P862" s="1" t="inlineStr">
        <is>
          <t>(-)Gastos Fixos</t>
        </is>
      </c>
      <c r="Q862" s="1" t="n">
        <v>4</v>
      </c>
      <c r="R862" s="1" t="n">
        <v>2025</v>
      </c>
    </row>
    <row r="863">
      <c r="A863" s="61" t="n">
        <v>45835</v>
      </c>
      <c r="B863" s="16" t="inlineStr">
        <is>
          <t>CAIXA ROTATIVO OBRAS</t>
        </is>
      </c>
      <c r="C863" s="90" t="n"/>
      <c r="D863" s="90" t="n">
        <v>149.99</v>
      </c>
      <c r="E863" s="90" t="n">
        <v>-149.99</v>
      </c>
      <c r="F863" s="16" t="inlineStr">
        <is>
          <t>8.8 - MATERIAIS DE CONSUMO EM OBRAS</t>
        </is>
      </c>
      <c r="G863" s="16" t="inlineStr">
        <is>
          <t>EUROCHEM SERRA DO SALITRE</t>
        </is>
      </c>
      <c r="H863" s="63" t="n">
        <v>2025</v>
      </c>
      <c r="I863" s="64" t="n">
        <v>6</v>
      </c>
      <c r="J863" s="16" t="inlineStr">
        <is>
          <t>Jun</t>
        </is>
      </c>
      <c r="K863" s="16" t="n"/>
      <c r="M863" s="89" t="n">
        <v>-149.99</v>
      </c>
      <c r="N863" s="1" t="inlineStr">
        <is>
          <t>MATERIAIS DE CONSUMO EM OBRAS</t>
        </is>
      </c>
      <c r="O863" s="1" t="inlineStr">
        <is>
          <t>Despesas com Máquinas e Equipamentos</t>
        </is>
      </c>
      <c r="P863" s="1" t="inlineStr">
        <is>
          <t>(-)Gastos Fixos</t>
        </is>
      </c>
      <c r="Q863" s="1" t="n">
        <v>4</v>
      </c>
      <c r="R863" s="1" t="n">
        <v>2025</v>
      </c>
    </row>
    <row r="864">
      <c r="A864" s="61" t="n">
        <v>45835</v>
      </c>
      <c r="B864" s="16" t="inlineStr">
        <is>
          <t>CAIXA ROTATIVO OBRAS</t>
        </is>
      </c>
      <c r="C864" s="90" t="n"/>
      <c r="D864" s="90" t="n">
        <v>186.01</v>
      </c>
      <c r="E864" s="90" t="n">
        <v>-186.01</v>
      </c>
      <c r="F864" s="16" t="inlineStr">
        <is>
          <t>6.10 - SERVIÇO LAVA JATO</t>
        </is>
      </c>
      <c r="G864" s="16" t="inlineStr">
        <is>
          <t>EUROCHEM SERRA DO SALITRE</t>
        </is>
      </c>
      <c r="H864" s="63" t="n">
        <v>2025</v>
      </c>
      <c r="I864" s="64" t="n">
        <v>6</v>
      </c>
      <c r="J864" s="16" t="inlineStr">
        <is>
          <t>Jun</t>
        </is>
      </c>
      <c r="K864" s="16" t="n"/>
      <c r="M864" s="89" t="n">
        <v>-186.01</v>
      </c>
      <c r="N864" s="1" t="inlineStr">
        <is>
          <t>SERVIÇO LAVA JATO</t>
        </is>
      </c>
      <c r="O864" s="1" t="inlineStr">
        <is>
          <t>Despesas com Veículos e Equipamentos</t>
        </is>
      </c>
      <c r="P864" s="1" t="inlineStr">
        <is>
          <t>(-)Gastos Fixos</t>
        </is>
      </c>
      <c r="Q864" s="1" t="n">
        <v>4</v>
      </c>
      <c r="R864" s="1" t="n">
        <v>2025</v>
      </c>
    </row>
    <row r="865">
      <c r="A865" s="61" t="n">
        <v>45835</v>
      </c>
      <c r="B865" s="16" t="inlineStr">
        <is>
          <t>CAIXA ROTATIVO OBRAS</t>
        </is>
      </c>
      <c r="C865" s="90" t="n"/>
      <c r="D865" s="90" t="n">
        <v>311.99</v>
      </c>
      <c r="E865" s="90" t="n">
        <v>-311.99</v>
      </c>
      <c r="F865" s="16" t="inlineStr">
        <is>
          <t>12.5 - REFEIÇÕES FUNCIONARIOS</t>
        </is>
      </c>
      <c r="G865" s="16" t="inlineStr">
        <is>
          <t>EUROCHEM SERRA DO SALITRE</t>
        </is>
      </c>
      <c r="H865" s="63" t="n">
        <v>2025</v>
      </c>
      <c r="I865" s="64" t="n">
        <v>6</v>
      </c>
      <c r="J865" s="16" t="inlineStr">
        <is>
          <t>Jun</t>
        </is>
      </c>
      <c r="K865" s="16" t="n"/>
      <c r="M865" s="89" t="n">
        <v>-311.99</v>
      </c>
      <c r="N865" s="1" t="inlineStr">
        <is>
          <t>12.5 - REFEIÇÕES FUNCIONARIOS</t>
        </is>
      </c>
      <c r="O865" s="1" t="n"/>
      <c r="P865" s="1" t="n"/>
      <c r="Q865" s="1" t="n"/>
      <c r="R865" s="1" t="n">
        <v>2025</v>
      </c>
    </row>
    <row r="866">
      <c r="A866" s="61" t="n">
        <v>45835</v>
      </c>
      <c r="B866" s="16" t="inlineStr">
        <is>
          <t>CAIXA ROTATIVO OBRAS</t>
        </is>
      </c>
      <c r="C866" s="90" t="n"/>
      <c r="D866" s="90" t="n">
        <v>581.4299999999999</v>
      </c>
      <c r="E866" s="90" t="n">
        <v>-581.4299999999999</v>
      </c>
      <c r="F866" s="16" t="inlineStr">
        <is>
          <t>8.11 - MATERIAIS DE LIMPEZA / HIGIENE</t>
        </is>
      </c>
      <c r="G866" s="16" t="inlineStr">
        <is>
          <t>EUROCHEM SERRA DO SALITRE</t>
        </is>
      </c>
      <c r="H866" s="63" t="n">
        <v>2025</v>
      </c>
      <c r="I866" s="64" t="n">
        <v>6</v>
      </c>
      <c r="J866" s="16" t="inlineStr">
        <is>
          <t>Jun</t>
        </is>
      </c>
      <c r="K866" s="16" t="n"/>
      <c r="M866" s="89" t="n">
        <v>-581.4299999999999</v>
      </c>
      <c r="N866" s="1" t="inlineStr">
        <is>
          <t>MATERIAIS DE LIMPEZA / HIGIENE</t>
        </is>
      </c>
      <c r="O866" s="1" t="inlineStr">
        <is>
          <t>Despesas com Máquinas e Equipamentos</t>
        </is>
      </c>
      <c r="P866" s="1" t="inlineStr">
        <is>
          <t>(-)Gastos Fixos</t>
        </is>
      </c>
      <c r="Q866" s="1" t="n">
        <v>4</v>
      </c>
      <c r="R866" s="1" t="n">
        <v>2025</v>
      </c>
    </row>
    <row r="867">
      <c r="A867" s="61" t="n">
        <v>45835</v>
      </c>
      <c r="B867" s="16" t="inlineStr">
        <is>
          <t>CAIXA ROTATIVO OBRAS</t>
        </is>
      </c>
      <c r="C867" s="90" t="n"/>
      <c r="D867" s="90" t="n">
        <v>64.48</v>
      </c>
      <c r="E867" s="90" t="n">
        <v>-64.48</v>
      </c>
      <c r="F867" s="16" t="inlineStr">
        <is>
          <t>8.11 - MATERIAIS DE LIMPEZA / HIGIENE</t>
        </is>
      </c>
      <c r="G867" s="16" t="inlineStr">
        <is>
          <t>ANGLO AMERICAN</t>
        </is>
      </c>
      <c r="H867" s="63" t="n">
        <v>2025</v>
      </c>
      <c r="I867" s="64" t="n">
        <v>6</v>
      </c>
      <c r="J867" s="16" t="inlineStr">
        <is>
          <t>Jun</t>
        </is>
      </c>
      <c r="K867" s="16" t="n"/>
      <c r="M867" s="89" t="n">
        <v>-64.48</v>
      </c>
      <c r="N867" s="1" t="inlineStr">
        <is>
          <t>MATERIAIS DE LIMPEZA / HIGIENE</t>
        </is>
      </c>
      <c r="O867" s="1" t="inlineStr">
        <is>
          <t>Despesas com Máquinas e Equipamentos</t>
        </is>
      </c>
      <c r="P867" s="1" t="inlineStr">
        <is>
          <t>(-)Gastos Fixos</t>
        </is>
      </c>
      <c r="Q867" s="1" t="n">
        <v>4</v>
      </c>
      <c r="R867" s="1" t="n">
        <v>2025</v>
      </c>
    </row>
    <row r="868">
      <c r="A868" s="61" t="n">
        <v>45835</v>
      </c>
      <c r="B868" s="16" t="inlineStr">
        <is>
          <t>CAIXA ROTATIVO OBRAS</t>
        </is>
      </c>
      <c r="C868" s="90" t="n"/>
      <c r="D868" s="90" t="n">
        <v>80</v>
      </c>
      <c r="E868" s="90" t="n">
        <v>-80</v>
      </c>
      <c r="F868" s="16" t="inlineStr">
        <is>
          <t>6.10 - SERVIÇO LAVA JATO</t>
        </is>
      </c>
      <c r="G868" s="16" t="inlineStr">
        <is>
          <t>ANGLO AMERICAN</t>
        </is>
      </c>
      <c r="H868" s="63" t="n">
        <v>2025</v>
      </c>
      <c r="I868" s="64" t="n">
        <v>6</v>
      </c>
      <c r="J868" s="16" t="inlineStr">
        <is>
          <t>Jun</t>
        </is>
      </c>
      <c r="K868" s="16" t="n"/>
      <c r="M868" s="89" t="n">
        <v>-80</v>
      </c>
      <c r="N868" s="1" t="inlineStr">
        <is>
          <t>SERVIÇO LAVA JATO</t>
        </is>
      </c>
      <c r="O868" s="1" t="inlineStr">
        <is>
          <t>Despesas com Veículos e Equipamentos</t>
        </is>
      </c>
      <c r="P868" s="1" t="inlineStr">
        <is>
          <t>(-)Gastos Fixos</t>
        </is>
      </c>
      <c r="Q868" s="1" t="n">
        <v>4</v>
      </c>
      <c r="R868" s="1" t="n">
        <v>2025</v>
      </c>
    </row>
    <row r="869">
      <c r="A869" s="61" t="n">
        <v>45835</v>
      </c>
      <c r="B869" s="16" t="inlineStr">
        <is>
          <t>CAIXA ROTATIVO OBRAS</t>
        </is>
      </c>
      <c r="C869" s="90" t="n"/>
      <c r="D869" s="90" t="n">
        <v>155.5</v>
      </c>
      <c r="E869" s="90" t="n">
        <v>-155.5</v>
      </c>
      <c r="F869" s="16" t="inlineStr">
        <is>
          <t>8.8 - MATERIAIS DE CONSUMO EM OBRAS</t>
        </is>
      </c>
      <c r="G869" s="16" t="inlineStr">
        <is>
          <t>ANGLO AMERICAN</t>
        </is>
      </c>
      <c r="H869" s="63" t="n">
        <v>2025</v>
      </c>
      <c r="I869" s="64" t="n">
        <v>6</v>
      </c>
      <c r="J869" s="16" t="inlineStr">
        <is>
          <t>Jun</t>
        </is>
      </c>
      <c r="K869" s="16" t="n"/>
      <c r="M869" s="89" t="n">
        <v>-155.5</v>
      </c>
      <c r="N869" s="1" t="inlineStr">
        <is>
          <t>MATERIAIS DE CONSUMO EM OBRAS</t>
        </is>
      </c>
      <c r="O869" s="1" t="inlineStr">
        <is>
          <t>Despesas com Máquinas e Equipamentos</t>
        </is>
      </c>
      <c r="P869" s="1" t="inlineStr">
        <is>
          <t>(-)Gastos Fixos</t>
        </is>
      </c>
      <c r="Q869" s="1" t="n">
        <v>4</v>
      </c>
      <c r="R869" s="1" t="n">
        <v>2025</v>
      </c>
    </row>
    <row r="870">
      <c r="A870" s="61" t="n">
        <v>45835</v>
      </c>
      <c r="B870" s="16" t="inlineStr">
        <is>
          <t>CAIXA ROTATIVO OBRAS</t>
        </is>
      </c>
      <c r="C870" s="90" t="n"/>
      <c r="D870" s="90" t="n">
        <v>275</v>
      </c>
      <c r="E870" s="90" t="n">
        <v>-275</v>
      </c>
      <c r="F870" s="16" t="inlineStr">
        <is>
          <t>6.3 - MANUTENÇÃO/PEÇAS  VEICULOS</t>
        </is>
      </c>
      <c r="G870" s="16" t="inlineStr">
        <is>
          <t>ANGLO AMERICAN</t>
        </is>
      </c>
      <c r="H870" s="63" t="n">
        <v>2025</v>
      </c>
      <c r="I870" s="64" t="n">
        <v>6</v>
      </c>
      <c r="J870" s="16" t="inlineStr">
        <is>
          <t>Jun</t>
        </is>
      </c>
      <c r="K870" s="16" t="n"/>
      <c r="M870" s="89" t="n">
        <v>-275</v>
      </c>
      <c r="N870" s="1" t="inlineStr">
        <is>
          <t>MANUTENÇÃO/PEÇAS  VEICULOS</t>
        </is>
      </c>
      <c r="O870" s="1" t="inlineStr">
        <is>
          <t>Despesas com Veículos e Equipamentos</t>
        </is>
      </c>
      <c r="P870" s="1" t="inlineStr">
        <is>
          <t>(-)Gastos Fixos</t>
        </is>
      </c>
      <c r="Q870" s="1" t="n">
        <v>4</v>
      </c>
      <c r="R870" s="1" t="n">
        <v>2025</v>
      </c>
    </row>
    <row r="871">
      <c r="A871" s="61" t="n">
        <v>45835</v>
      </c>
      <c r="B871" s="16" t="inlineStr">
        <is>
          <t>CAIXA ROTATIVO OBRAS</t>
        </is>
      </c>
      <c r="C871" s="90" t="n"/>
      <c r="D871" s="90" t="n">
        <v>573.42</v>
      </c>
      <c r="E871" s="90" t="n">
        <v>-573.42</v>
      </c>
      <c r="F871" s="16" t="inlineStr">
        <is>
          <t>12.5 - REFEIÇÕES FUNCIONARIOS</t>
        </is>
      </c>
      <c r="G871" s="16" t="inlineStr">
        <is>
          <t>ANGLO AMERICAN</t>
        </is>
      </c>
      <c r="H871" s="63" t="n">
        <v>2025</v>
      </c>
      <c r="I871" s="64" t="n">
        <v>6</v>
      </c>
      <c r="J871" s="16" t="inlineStr">
        <is>
          <t>Jun</t>
        </is>
      </c>
      <c r="K871" s="16" t="n"/>
      <c r="M871" s="89" t="n">
        <v>-573.42</v>
      </c>
      <c r="N871" s="1" t="inlineStr">
        <is>
          <t>12.5 - REFEIÇÕES FUNCIONARIOS</t>
        </is>
      </c>
      <c r="O871" s="1" t="n"/>
      <c r="P871" s="1" t="n"/>
      <c r="Q871" s="1" t="n"/>
      <c r="R871" s="1" t="n">
        <v>2025</v>
      </c>
    </row>
    <row r="872">
      <c r="A872" s="61" t="n">
        <v>45835</v>
      </c>
      <c r="B872" s="16" t="inlineStr">
        <is>
          <t>MAGNO</t>
        </is>
      </c>
      <c r="C872" s="90" t="n"/>
      <c r="D872" s="90" t="n">
        <v>15</v>
      </c>
      <c r="E872" s="90" t="n">
        <v>-15</v>
      </c>
      <c r="F872" s="16" t="inlineStr">
        <is>
          <t>6.6 - PEDAGIOS</t>
        </is>
      </c>
      <c r="G872" s="16" t="inlineStr">
        <is>
          <t>MOSAIC UBERABA CONTRAT0 3 ANOS</t>
        </is>
      </c>
      <c r="H872" s="63" t="n">
        <v>2025</v>
      </c>
      <c r="I872" s="64" t="n">
        <v>6</v>
      </c>
      <c r="J872" s="16" t="inlineStr">
        <is>
          <t>Jun</t>
        </is>
      </c>
      <c r="K872" s="16" t="n"/>
      <c r="M872" s="89" t="n">
        <v>-15</v>
      </c>
      <c r="N872" s="1" t="inlineStr">
        <is>
          <t>PEDAGIOS</t>
        </is>
      </c>
      <c r="O872" s="1" t="inlineStr">
        <is>
          <t>Despesas com Veículos e Equipamentos</t>
        </is>
      </c>
      <c r="P872" s="1" t="inlineStr">
        <is>
          <t>(-)Gastos Fixos</t>
        </is>
      </c>
      <c r="Q872" s="1" t="n">
        <v>4</v>
      </c>
      <c r="R872" s="1" t="n">
        <v>2025</v>
      </c>
    </row>
    <row r="873">
      <c r="A873" s="61" t="n">
        <v>45835</v>
      </c>
      <c r="B873" s="16" t="inlineStr">
        <is>
          <t>MAGNO</t>
        </is>
      </c>
      <c r="C873" s="90" t="n"/>
      <c r="D873" s="90" t="n">
        <v>32</v>
      </c>
      <c r="E873" s="90" t="n">
        <v>-32</v>
      </c>
      <c r="F873" s="16" t="inlineStr">
        <is>
          <t>8.8 - MATERIAIS DE CONSUMO EM OBRAS</t>
        </is>
      </c>
      <c r="G873" s="16" t="inlineStr">
        <is>
          <t>MOSAIC UBERABA CONTRAT0 3 ANOS</t>
        </is>
      </c>
      <c r="H873" s="63" t="n">
        <v>2025</v>
      </c>
      <c r="I873" s="64" t="n">
        <v>6</v>
      </c>
      <c r="J873" s="16" t="inlineStr">
        <is>
          <t>Jun</t>
        </is>
      </c>
      <c r="K873" s="16" t="n"/>
      <c r="M873" s="89" t="n">
        <v>-32</v>
      </c>
      <c r="N873" s="1" t="inlineStr">
        <is>
          <t>MATERIAIS DE CONSUMO EM OBRAS</t>
        </is>
      </c>
      <c r="O873" s="1" t="inlineStr">
        <is>
          <t>Despesas com Máquinas e Equipamentos</t>
        </is>
      </c>
      <c r="P873" s="1" t="inlineStr">
        <is>
          <t>(-)Gastos Fixos</t>
        </is>
      </c>
      <c r="Q873" s="1" t="n">
        <v>4</v>
      </c>
      <c r="R873" s="1" t="n">
        <v>2025</v>
      </c>
    </row>
    <row r="874">
      <c r="A874" s="61" t="n">
        <v>45835</v>
      </c>
      <c r="B874" s="16" t="inlineStr">
        <is>
          <t>MAGNO</t>
        </is>
      </c>
      <c r="C874" s="90" t="n"/>
      <c r="D874" s="90" t="n">
        <v>50</v>
      </c>
      <c r="E874" s="90" t="n">
        <v>-50</v>
      </c>
      <c r="F874" s="16" t="inlineStr">
        <is>
          <t>3.8 - SERVIÇO MOTOBOY / UBER</t>
        </is>
      </c>
      <c r="G874" s="16" t="inlineStr">
        <is>
          <t>MOSAIC UBERABA CONTRAT0 3 ANOS</t>
        </is>
      </c>
      <c r="H874" s="63" t="n">
        <v>2025</v>
      </c>
      <c r="I874" s="64" t="n">
        <v>6</v>
      </c>
      <c r="J874" s="16" t="inlineStr">
        <is>
          <t>Jun</t>
        </is>
      </c>
      <c r="K874" s="16" t="n"/>
      <c r="M874" s="89" t="n">
        <v>-50</v>
      </c>
      <c r="N874" s="1" t="inlineStr">
        <is>
          <t>SERVIÇO MOTOBOY / UBER</t>
        </is>
      </c>
      <c r="O874" s="1" t="inlineStr">
        <is>
          <t>Despesas Administrativas</t>
        </is>
      </c>
      <c r="P874" s="1" t="inlineStr">
        <is>
          <t>(-)Gastos Fixos</t>
        </is>
      </c>
      <c r="Q874" s="1" t="n">
        <v>4</v>
      </c>
      <c r="R874" s="1" t="n">
        <v>2025</v>
      </c>
    </row>
    <row r="875">
      <c r="A875" s="61" t="n">
        <v>45835</v>
      </c>
      <c r="B875" s="16" t="inlineStr">
        <is>
          <t>MAGNO</t>
        </is>
      </c>
      <c r="C875" s="90" t="n"/>
      <c r="D875" s="90" t="n">
        <v>102.95</v>
      </c>
      <c r="E875" s="90" t="n">
        <v>-102.95</v>
      </c>
      <c r="F875" s="16" t="inlineStr">
        <is>
          <t>8.11 - MATERIAIS DE LIMPEZA / HIGIENE</t>
        </is>
      </c>
      <c r="G875" s="16" t="inlineStr">
        <is>
          <t>MOSAIC UBERABA CONTRAT0 3 ANOS</t>
        </is>
      </c>
      <c r="H875" s="63" t="n">
        <v>2025</v>
      </c>
      <c r="I875" s="64" t="n">
        <v>6</v>
      </c>
      <c r="J875" s="16" t="inlineStr">
        <is>
          <t>Jun</t>
        </is>
      </c>
      <c r="K875" s="16" t="n"/>
      <c r="M875" s="89" t="n">
        <v>-102.95</v>
      </c>
      <c r="N875" s="1" t="inlineStr">
        <is>
          <t>MATERIAIS DE LIMPEZA / HIGIENE</t>
        </is>
      </c>
      <c r="O875" s="1" t="inlineStr">
        <is>
          <t>Despesas com Máquinas e Equipamentos</t>
        </is>
      </c>
      <c r="P875" s="1" t="inlineStr">
        <is>
          <t>(-)Gastos Fixos</t>
        </is>
      </c>
      <c r="Q875" s="1" t="n">
        <v>4</v>
      </c>
      <c r="R875" s="1" t="n">
        <v>2025</v>
      </c>
    </row>
    <row r="876">
      <c r="A876" s="67" t="n">
        <v>45835</v>
      </c>
      <c r="B876" s="68" t="inlineStr">
        <is>
          <t>MAGNO</t>
        </is>
      </c>
      <c r="C876" s="91" t="n"/>
      <c r="D876" s="91" t="n">
        <v>150</v>
      </c>
      <c r="E876" s="91" t="n">
        <v>-150</v>
      </c>
      <c r="F876" s="68" t="inlineStr">
        <is>
          <t>6.3 - MANUTENÇÃO/PEÇAS  VEICULOS</t>
        </is>
      </c>
      <c r="G876" s="68" t="inlineStr">
        <is>
          <t>MOSAIC UBERABA CONTRAT0 3 ANOS</t>
        </is>
      </c>
      <c r="H876" s="70" t="n">
        <v>2025</v>
      </c>
      <c r="I876" s="71" t="n">
        <v>6</v>
      </c>
      <c r="J876" s="68" t="inlineStr">
        <is>
          <t>Jun</t>
        </is>
      </c>
      <c r="K876" s="16" t="n"/>
      <c r="M876" s="92" t="n">
        <v>-150</v>
      </c>
      <c r="N876" s="73" t="inlineStr">
        <is>
          <t>MANUTENÇÃO/PEÇAS  VEICULOS</t>
        </is>
      </c>
      <c r="O876" s="73" t="inlineStr">
        <is>
          <t>Despesas com Veículos e Equipamentos</t>
        </is>
      </c>
      <c r="P876" s="73" t="inlineStr">
        <is>
          <t>(-)Gastos Fixos</t>
        </is>
      </c>
      <c r="Q876" s="73" t="n">
        <v>4</v>
      </c>
      <c r="R876" s="73" t="n">
        <v>2025</v>
      </c>
    </row>
    <row r="877">
      <c r="A877" s="61" t="n">
        <v>45835</v>
      </c>
      <c r="B877" s="16" t="inlineStr">
        <is>
          <t>MAGNO</t>
        </is>
      </c>
      <c r="C877" s="90" t="n"/>
      <c r="D877" s="90" t="n">
        <v>552.91</v>
      </c>
      <c r="E877" s="90" t="n">
        <v>-552.91</v>
      </c>
      <c r="F877" s="16" t="inlineStr">
        <is>
          <t>12.5 - REFEIÇÕES FUNCIONARIOS</t>
        </is>
      </c>
      <c r="G877" s="16" t="inlineStr">
        <is>
          <t>MOSAIC UBERABA CONTRAT0 3 ANOS</t>
        </is>
      </c>
      <c r="H877" s="63" t="n">
        <v>2025</v>
      </c>
      <c r="I877" s="64" t="n">
        <v>6</v>
      </c>
      <c r="J877" s="16" t="inlineStr">
        <is>
          <t>Jun</t>
        </is>
      </c>
      <c r="K877" s="16" t="n"/>
      <c r="M877" s="89" t="n">
        <v>-552.91</v>
      </c>
      <c r="N877" s="1" t="inlineStr">
        <is>
          <t>12.5 - REFEIÇÕES FUNCIONARIOS</t>
        </is>
      </c>
      <c r="O877" s="1" t="n"/>
      <c r="P877" s="1" t="n"/>
      <c r="Q877" s="1" t="n"/>
      <c r="R877" s="1" t="n">
        <v>2025</v>
      </c>
    </row>
    <row r="878">
      <c r="A878" s="61" t="n">
        <v>45835</v>
      </c>
      <c r="B878" s="16" t="inlineStr">
        <is>
          <t>286855 - A L R ELETRICA LTDA.</t>
        </is>
      </c>
      <c r="C878" s="90" t="n"/>
      <c r="D878" s="90" t="n">
        <v>131.67</v>
      </c>
      <c r="E878" s="90" t="n">
        <v>-131.67</v>
      </c>
      <c r="F878" s="16" t="inlineStr">
        <is>
          <t>8.7 - MATERIAL ELETRICO</t>
        </is>
      </c>
      <c r="G878" s="16" t="inlineStr">
        <is>
          <t>ADMINISTRATIVO</t>
        </is>
      </c>
      <c r="H878" s="63" t="n">
        <v>2025</v>
      </c>
      <c r="I878" s="64" t="n">
        <v>6</v>
      </c>
      <c r="J878" s="16" t="inlineStr">
        <is>
          <t>Jun</t>
        </is>
      </c>
      <c r="K878" s="16" t="n"/>
      <c r="M878" s="89" t="n">
        <v>-131.67</v>
      </c>
      <c r="N878" s="1" t="inlineStr">
        <is>
          <t>MATERIAL ELETRICO</t>
        </is>
      </c>
      <c r="O878" s="1" t="inlineStr">
        <is>
          <t>Despesas com Máquinas e Equipamentos</t>
        </is>
      </c>
      <c r="P878" s="1" t="inlineStr">
        <is>
          <t>(-)Gastos Fixos</t>
        </is>
      </c>
      <c r="Q878" s="1" t="n">
        <v>4</v>
      </c>
      <c r="R878" s="1" t="n">
        <v>2025</v>
      </c>
    </row>
    <row r="879">
      <c r="A879" s="61" t="n">
        <v>45835</v>
      </c>
      <c r="B879" s="16" t="inlineStr">
        <is>
          <t>41135 - ALR AUTOMACAO INDUSTRIAL</t>
        </is>
      </c>
      <c r="C879" s="90" t="n"/>
      <c r="D879" s="90" t="n">
        <v>186.08</v>
      </c>
      <c r="E879" s="90" t="n">
        <v>-186.08</v>
      </c>
      <c r="F879" s="16" t="inlineStr">
        <is>
          <t>8.7 - MATERIAL ELETRICO</t>
        </is>
      </c>
      <c r="G879" s="16" t="inlineStr">
        <is>
          <t>ADMINISTRATIVO</t>
        </is>
      </c>
      <c r="H879" s="63" t="n">
        <v>2025</v>
      </c>
      <c r="I879" s="64" t="n">
        <v>6</v>
      </c>
      <c r="J879" s="16" t="inlineStr">
        <is>
          <t>Jun</t>
        </is>
      </c>
      <c r="K879" s="16" t="n"/>
      <c r="M879" s="89" t="n">
        <v>-186.08</v>
      </c>
      <c r="N879" s="1" t="inlineStr">
        <is>
          <t>MATERIAL ELETRICO</t>
        </is>
      </c>
      <c r="O879" s="1" t="inlineStr">
        <is>
          <t>Despesas com Máquinas e Equipamentos</t>
        </is>
      </c>
      <c r="P879" s="1" t="inlineStr">
        <is>
          <t>(-)Gastos Fixos</t>
        </is>
      </c>
      <c r="Q879" s="1" t="n">
        <v>4</v>
      </c>
      <c r="R879" s="1" t="n">
        <v>2025</v>
      </c>
    </row>
    <row r="880">
      <c r="A880" s="61" t="n">
        <v>45835</v>
      </c>
      <c r="B880" s="16" t="inlineStr">
        <is>
          <t>286781 - A L R ELETRICA LTDA.</t>
        </is>
      </c>
      <c r="C880" s="90" t="n"/>
      <c r="D880" s="90" t="n">
        <v>146.43</v>
      </c>
      <c r="E880" s="90" t="n">
        <v>-146.43</v>
      </c>
      <c r="F880" s="16" t="inlineStr">
        <is>
          <t>8.7 - MATERIAL ELETRICO</t>
        </is>
      </c>
      <c r="G880" s="16" t="inlineStr">
        <is>
          <t>ADMINISTRATIVO</t>
        </is>
      </c>
      <c r="H880" s="63" t="n">
        <v>2025</v>
      </c>
      <c r="I880" s="64" t="n">
        <v>6</v>
      </c>
      <c r="J880" s="16" t="inlineStr">
        <is>
          <t>Jun</t>
        </is>
      </c>
      <c r="K880" s="16" t="n"/>
      <c r="M880" s="89" t="n">
        <v>-146.43</v>
      </c>
      <c r="N880" s="1" t="inlineStr">
        <is>
          <t>MATERIAL ELETRICO</t>
        </is>
      </c>
      <c r="O880" s="1" t="inlineStr">
        <is>
          <t>Despesas com Máquinas e Equipamentos</t>
        </is>
      </c>
      <c r="P880" s="1" t="inlineStr">
        <is>
          <t>(-)Gastos Fixos</t>
        </is>
      </c>
      <c r="Q880" s="1" t="n">
        <v>4</v>
      </c>
      <c r="R880" s="1" t="n">
        <v>2025</v>
      </c>
    </row>
    <row r="881">
      <c r="A881" s="61" t="n">
        <v>45835</v>
      </c>
      <c r="B881" s="16" t="inlineStr">
        <is>
          <t>HOTEIS OBRAS</t>
        </is>
      </c>
      <c r="C881" s="90" t="n"/>
      <c r="D881" s="90" t="n">
        <v>285</v>
      </c>
      <c r="E881" s="90" t="n">
        <v>-285</v>
      </c>
      <c r="F881" s="16" t="inlineStr">
        <is>
          <t>5.1 - HOTEL FUNCIONARIOS</t>
        </is>
      </c>
      <c r="G881" s="16" t="inlineStr">
        <is>
          <t>ADMINISTRATIVO</t>
        </is>
      </c>
      <c r="H881" s="63" t="n">
        <v>2025</v>
      </c>
      <c r="I881" s="64" t="n">
        <v>6</v>
      </c>
      <c r="J881" s="16" t="inlineStr">
        <is>
          <t>Jun</t>
        </is>
      </c>
      <c r="K881" s="16" t="n"/>
      <c r="M881" s="89" t="n">
        <v>-285</v>
      </c>
      <c r="N881" s="1" t="inlineStr">
        <is>
          <t>5.1 - HOTEL FUNCIONARIOS</t>
        </is>
      </c>
      <c r="O881" s="1" t="n"/>
      <c r="P881" s="1" t="n"/>
      <c r="Q881" s="1" t="n"/>
      <c r="R881" s="1" t="n">
        <v>2025</v>
      </c>
    </row>
    <row r="882">
      <c r="A882" s="61" t="n">
        <v>45835</v>
      </c>
      <c r="B882" s="16" t="inlineStr">
        <is>
          <t>DESPESAS DE VIAGEM</t>
        </is>
      </c>
      <c r="C882" s="90" t="n"/>
      <c r="D882" s="90" t="n">
        <v>250</v>
      </c>
      <c r="E882" s="90" t="n">
        <v>-250</v>
      </c>
      <c r="F882" s="16" t="inlineStr">
        <is>
          <t>12.9 - PASSAGENS FUNCIONARIOS</t>
        </is>
      </c>
      <c r="G882" s="16" t="inlineStr">
        <is>
          <t>COMPORTAS - PORTO FERREIRA</t>
        </is>
      </c>
      <c r="H882" s="63" t="n">
        <v>2025</v>
      </c>
      <c r="I882" s="64" t="n">
        <v>6</v>
      </c>
      <c r="J882" s="16" t="inlineStr">
        <is>
          <t>Jun</t>
        </is>
      </c>
      <c r="K882" s="16" t="n"/>
      <c r="M882" s="89" t="n">
        <v>-250</v>
      </c>
      <c r="N882" s="1" t="inlineStr">
        <is>
          <t>12.9 - PASSAGENS FUNCIONARIOS</t>
        </is>
      </c>
      <c r="O882" s="1" t="n"/>
      <c r="P882" s="1" t="n"/>
      <c r="Q882" s="1" t="n"/>
      <c r="R882" s="1" t="n">
        <v>2025</v>
      </c>
    </row>
    <row r="883">
      <c r="A883" s="61" t="n">
        <v>45835</v>
      </c>
      <c r="B883" s="16" t="inlineStr">
        <is>
          <t>DESPESAS DE VIAGEM</t>
        </is>
      </c>
      <c r="C883" s="90" t="n"/>
      <c r="D883" s="90" t="n">
        <v>1740</v>
      </c>
      <c r="E883" s="90" t="n">
        <v>-1740</v>
      </c>
      <c r="F883" s="16" t="inlineStr">
        <is>
          <t>12.9 - PASSAGENS FUNCIONARIOS</t>
        </is>
      </c>
      <c r="G883" s="16" t="inlineStr">
        <is>
          <t>VLI PINTURA</t>
        </is>
      </c>
      <c r="H883" s="63" t="n">
        <v>2025</v>
      </c>
      <c r="I883" s="64" t="n">
        <v>6</v>
      </c>
      <c r="J883" s="16" t="inlineStr">
        <is>
          <t>Jun</t>
        </is>
      </c>
      <c r="K883" s="16" t="n"/>
      <c r="M883" s="89" t="n">
        <v>-1740</v>
      </c>
      <c r="N883" s="1" t="inlineStr">
        <is>
          <t>12.9 - PASSAGENS FUNCIONARIOS</t>
        </is>
      </c>
      <c r="O883" s="1" t="n"/>
      <c r="P883" s="1" t="n"/>
      <c r="Q883" s="1" t="n"/>
      <c r="R883" s="1" t="n">
        <v>2025</v>
      </c>
    </row>
    <row r="884">
      <c r="A884" s="61" t="n">
        <v>45835</v>
      </c>
      <c r="B884" s="16" t="inlineStr">
        <is>
          <t>URCA FRANCE AUTOMOVEIS LTDA</t>
        </is>
      </c>
      <c r="C884" s="90" t="n"/>
      <c r="D884" s="90" t="n">
        <v>900</v>
      </c>
      <c r="E884" s="90" t="n">
        <v>-900</v>
      </c>
      <c r="F884" s="16" t="inlineStr">
        <is>
          <t>6.3 - MANUTENÇÃO/PEÇAS  VEICULOS</t>
        </is>
      </c>
      <c r="G884" s="16" t="inlineStr">
        <is>
          <t>VEICULOS</t>
        </is>
      </c>
      <c r="H884" s="63" t="n">
        <v>2025</v>
      </c>
      <c r="I884" s="64" t="n">
        <v>6</v>
      </c>
      <c r="J884" s="16" t="inlineStr">
        <is>
          <t>Jun</t>
        </is>
      </c>
      <c r="K884" s="16" t="n"/>
      <c r="M884" s="89" t="n">
        <v>-900</v>
      </c>
      <c r="N884" s="1" t="inlineStr">
        <is>
          <t>MANUTENÇÃO/PEÇAS  VEICULOS</t>
        </is>
      </c>
      <c r="O884" s="1" t="inlineStr">
        <is>
          <t>Despesas com Veículos e Equipamentos</t>
        </is>
      </c>
      <c r="P884" s="1" t="inlineStr">
        <is>
          <t>(-)Gastos Fixos</t>
        </is>
      </c>
      <c r="Q884" s="1" t="n">
        <v>4</v>
      </c>
      <c r="R884" s="1" t="n">
        <v>2025</v>
      </c>
    </row>
    <row r="885">
      <c r="A885" s="61" t="n">
        <v>45835</v>
      </c>
      <c r="B885" s="16" t="inlineStr">
        <is>
          <t>URCA FRANCE AUTOMOVEIS LTDA</t>
        </is>
      </c>
      <c r="C885" s="90" t="n"/>
      <c r="D885" s="90" t="n">
        <v>342.17</v>
      </c>
      <c r="E885" s="90" t="n">
        <v>-342.17</v>
      </c>
      <c r="F885" s="16" t="inlineStr">
        <is>
          <t>6.3 - MANUTENÇÃO/PEÇAS  VEICULOS</t>
        </is>
      </c>
      <c r="G885" s="16" t="inlineStr">
        <is>
          <t>VEICULOS</t>
        </is>
      </c>
      <c r="H885" s="63" t="n">
        <v>2025</v>
      </c>
      <c r="I885" s="64" t="n">
        <v>6</v>
      </c>
      <c r="J885" s="16" t="inlineStr">
        <is>
          <t>Jun</t>
        </is>
      </c>
      <c r="K885" s="16" t="n"/>
      <c r="M885" s="89" t="n">
        <v>-342.17</v>
      </c>
      <c r="N885" s="1" t="inlineStr">
        <is>
          <t>MANUTENÇÃO/PEÇAS  VEICULOS</t>
        </is>
      </c>
      <c r="O885" s="1" t="inlineStr">
        <is>
          <t>Despesas com Veículos e Equipamentos</t>
        </is>
      </c>
      <c r="P885" s="1" t="inlineStr">
        <is>
          <t>(-)Gastos Fixos</t>
        </is>
      </c>
      <c r="Q885" s="1" t="n">
        <v>4</v>
      </c>
      <c r="R885" s="1" t="n">
        <v>2025</v>
      </c>
    </row>
    <row r="886">
      <c r="A886" s="61" t="n">
        <v>45835</v>
      </c>
      <c r="B886" s="16" t="inlineStr">
        <is>
          <t>LAVA JATO OBRAS</t>
        </is>
      </c>
      <c r="C886" s="90" t="n"/>
      <c r="D886" s="90" t="n">
        <v>100</v>
      </c>
      <c r="E886" s="90" t="n">
        <v>-100</v>
      </c>
      <c r="F886" s="16" t="inlineStr">
        <is>
          <t>6.10 - SERVIÇO LAVA JATO</t>
        </is>
      </c>
      <c r="G886" s="16" t="inlineStr">
        <is>
          <t>MANUTENÇÃO DE EQUIPAMENTOS</t>
        </is>
      </c>
      <c r="H886" s="63" t="n">
        <v>2025</v>
      </c>
      <c r="I886" s="64" t="n">
        <v>6</v>
      </c>
      <c r="J886" s="16" t="inlineStr">
        <is>
          <t>Jun</t>
        </is>
      </c>
      <c r="K886" s="16" t="n"/>
      <c r="M886" s="89" t="n">
        <v>-100</v>
      </c>
      <c r="N886" s="1" t="inlineStr">
        <is>
          <t>SERVIÇO LAVA JATO</t>
        </is>
      </c>
      <c r="O886" s="1" t="inlineStr">
        <is>
          <t>Despesas com Veículos e Equipamentos</t>
        </is>
      </c>
      <c r="P886" s="1" t="inlineStr">
        <is>
          <t>(-)Gastos Fixos</t>
        </is>
      </c>
      <c r="Q886" s="1" t="n">
        <v>4</v>
      </c>
      <c r="R886" s="1" t="n">
        <v>2025</v>
      </c>
    </row>
    <row r="887">
      <c r="A887" s="61" t="n">
        <v>45835</v>
      </c>
      <c r="B887" s="16" t="inlineStr">
        <is>
          <t>225967 - COE COELHO E CIA LTDA</t>
        </is>
      </c>
      <c r="C887" s="90" t="n"/>
      <c r="D887" s="90" t="n">
        <v>224</v>
      </c>
      <c r="E887" s="90" t="n">
        <v>-224</v>
      </c>
      <c r="F887" s="16" t="inlineStr">
        <is>
          <t>8.14 - MANUTENÇÃO/PEÇAS MAQUINAS E EQUIPAMENTOS</t>
        </is>
      </c>
      <c r="G887" s="16" t="inlineStr">
        <is>
          <t>MANUTENÇÃO DE EQUIPAMENTOS</t>
        </is>
      </c>
      <c r="H887" s="63" t="n">
        <v>2025</v>
      </c>
      <c r="I887" s="64" t="n">
        <v>6</v>
      </c>
      <c r="J887" s="16" t="inlineStr">
        <is>
          <t>Jun</t>
        </is>
      </c>
      <c r="K887" s="16" t="n"/>
      <c r="M887" s="89" t="n">
        <v>-224</v>
      </c>
      <c r="N887" s="1" t="inlineStr">
        <is>
          <t>MANUTENÇÃO/PEÇAS MAQUINAS E EQUIPAMENTOS</t>
        </is>
      </c>
      <c r="O887" s="1" t="inlineStr">
        <is>
          <t>Despesas com Máquinas e Equipamentos</t>
        </is>
      </c>
      <c r="P887" s="1" t="inlineStr">
        <is>
          <t>(-)Gastos Fixos</t>
        </is>
      </c>
      <c r="Q887" s="1" t="n">
        <v>4</v>
      </c>
      <c r="R887" s="1" t="n">
        <v>2025</v>
      </c>
    </row>
    <row r="888">
      <c r="A888" s="61" t="n">
        <v>45835</v>
      </c>
      <c r="B888" s="16" t="inlineStr">
        <is>
          <t>4198 - IDELFONSO SOARES DOS REIS - ME</t>
        </is>
      </c>
      <c r="C888" s="90" t="n"/>
      <c r="D888" s="90" t="n">
        <v>1183.9</v>
      </c>
      <c r="E888" s="90" t="n">
        <v>-1183.9</v>
      </c>
      <c r="F888" s="16" t="inlineStr">
        <is>
          <t>8.14 - MANUTENÇÃO/PEÇAS MAQUINAS E EQUIPAMENTOS</t>
        </is>
      </c>
      <c r="G888" s="16" t="inlineStr">
        <is>
          <t>MANUTENÇÃO DE EQUIPAMENTOS</t>
        </is>
      </c>
      <c r="H888" s="63" t="n">
        <v>2025</v>
      </c>
      <c r="I888" s="64" t="n">
        <v>6</v>
      </c>
      <c r="J888" s="16" t="inlineStr">
        <is>
          <t>Jun</t>
        </is>
      </c>
      <c r="K888" s="16" t="n"/>
      <c r="M888" s="89" t="n">
        <v>-1183.9</v>
      </c>
      <c r="N888" s="1" t="inlineStr">
        <is>
          <t>MANUTENÇÃO/PEÇAS MAQUINAS E EQUIPAMENTOS</t>
        </is>
      </c>
      <c r="O888" s="1" t="inlineStr">
        <is>
          <t>Despesas com Máquinas e Equipamentos</t>
        </is>
      </c>
      <c r="P888" s="1" t="inlineStr">
        <is>
          <t>(-)Gastos Fixos</t>
        </is>
      </c>
      <c r="Q888" s="1" t="n">
        <v>4</v>
      </c>
      <c r="R888" s="1" t="n">
        <v>2025</v>
      </c>
    </row>
    <row r="889">
      <c r="A889" s="61" t="n">
        <v>45835</v>
      </c>
      <c r="B889" s="16" t="inlineStr">
        <is>
          <t>4198 - IDELFONSO SOARES DOS REIS - ME</t>
        </is>
      </c>
      <c r="C889" s="90" t="n"/>
      <c r="D889" s="90" t="n">
        <v>1183.9</v>
      </c>
      <c r="E889" s="90" t="n">
        <v>-1183.9</v>
      </c>
      <c r="F889" s="16" t="inlineStr">
        <is>
          <t>8.14 - MANUTENÇÃO/PEÇAS MAQUINAS E EQUIPAMENTOS</t>
        </is>
      </c>
      <c r="G889" s="16" t="inlineStr">
        <is>
          <t>MANUTENÇÃO DE EQUIPAMENTOS</t>
        </is>
      </c>
      <c r="H889" s="63" t="n">
        <v>2025</v>
      </c>
      <c r="I889" s="64" t="n">
        <v>6</v>
      </c>
      <c r="J889" s="16" t="inlineStr">
        <is>
          <t>Jun</t>
        </is>
      </c>
      <c r="K889" s="16" t="n"/>
      <c r="M889" s="89" t="n">
        <v>-1183.9</v>
      </c>
      <c r="N889" s="1" t="inlineStr">
        <is>
          <t>MANUTENÇÃO/PEÇAS MAQUINAS E EQUIPAMENTOS</t>
        </is>
      </c>
      <c r="O889" s="1" t="inlineStr">
        <is>
          <t>Despesas com Máquinas e Equipamentos</t>
        </is>
      </c>
      <c r="P889" s="1" t="inlineStr">
        <is>
          <t>(-)Gastos Fixos</t>
        </is>
      </c>
      <c r="Q889" s="1" t="n">
        <v>4</v>
      </c>
      <c r="R889" s="1" t="n">
        <v>2025</v>
      </c>
    </row>
    <row r="890">
      <c r="A890" s="61" t="n">
        <v>45835</v>
      </c>
      <c r="B890" s="16" t="inlineStr">
        <is>
          <t>DESPESAS LOTE TRINDADE AIDEAL</t>
        </is>
      </c>
      <c r="C890" s="90" t="n"/>
      <c r="D890" s="90" t="n">
        <v>101.39</v>
      </c>
      <c r="E890" s="90" t="n">
        <v>-101.39</v>
      </c>
      <c r="F890" s="16" t="inlineStr">
        <is>
          <t>15.4 - DESPESAS C/ CONSTRUÇÃO ESCRITORIO ADM</t>
        </is>
      </c>
      <c r="G890" s="16" t="inlineStr">
        <is>
          <t>LOTE TRINDADE</t>
        </is>
      </c>
      <c r="H890" s="63" t="n">
        <v>2025</v>
      </c>
      <c r="I890" s="64" t="n">
        <v>6</v>
      </c>
      <c r="J890" s="16" t="inlineStr">
        <is>
          <t>Jun</t>
        </is>
      </c>
      <c r="K890" s="16" t="n"/>
      <c r="M890" s="89" t="n">
        <v>-101.39</v>
      </c>
      <c r="N890" s="1" t="inlineStr">
        <is>
          <t>Construção da Nova Sede</t>
        </is>
      </c>
      <c r="O890" s="1" t="inlineStr">
        <is>
          <t>Investimentos</t>
        </is>
      </c>
      <c r="P890" s="1" t="inlineStr">
        <is>
          <t>(-)Investimentos</t>
        </is>
      </c>
      <c r="Q890" s="1" t="n">
        <v>8</v>
      </c>
      <c r="R890" s="1" t="n">
        <v>2025</v>
      </c>
    </row>
    <row r="891">
      <c r="A891" s="61" t="n">
        <v>45835</v>
      </c>
      <c r="B891" s="16" t="inlineStr">
        <is>
          <t>DESPESAS LOTE TRINDADE AIDEAL</t>
        </is>
      </c>
      <c r="C891" s="90" t="n"/>
      <c r="D891" s="90" t="n">
        <v>810</v>
      </c>
      <c r="E891" s="90" t="n">
        <v>-810</v>
      </c>
      <c r="F891" s="16" t="inlineStr">
        <is>
          <t>15.4 - DESPESAS C/ CONSTRUÇÃO ESCRITORIO ADM</t>
        </is>
      </c>
      <c r="G891" s="16" t="inlineStr">
        <is>
          <t>LOTE TRINDADE</t>
        </is>
      </c>
      <c r="H891" s="63" t="n">
        <v>2025</v>
      </c>
      <c r="I891" s="64" t="n">
        <v>6</v>
      </c>
      <c r="J891" s="16" t="inlineStr">
        <is>
          <t>Jun</t>
        </is>
      </c>
      <c r="K891" s="16" t="n"/>
      <c r="M891" s="89" t="n">
        <v>-810</v>
      </c>
      <c r="N891" s="1" t="inlineStr">
        <is>
          <t>Construção da Nova Sede</t>
        </is>
      </c>
      <c r="O891" s="1" t="inlineStr">
        <is>
          <t>Investimentos</t>
        </is>
      </c>
      <c r="P891" s="1" t="inlineStr">
        <is>
          <t>(-)Investimentos</t>
        </is>
      </c>
      <c r="Q891" s="1" t="n">
        <v>8</v>
      </c>
      <c r="R891" s="1" t="n">
        <v>2025</v>
      </c>
    </row>
    <row r="892">
      <c r="A892" s="61" t="n">
        <v>45835</v>
      </c>
      <c r="B892" s="16" t="inlineStr">
        <is>
          <t>DESPESAS LOTE TRINDADE AIDEAL</t>
        </is>
      </c>
      <c r="C892" s="90" t="n"/>
      <c r="D892" s="90" t="n">
        <v>124.57</v>
      </c>
      <c r="E892" s="90" t="n">
        <v>-124.57</v>
      </c>
      <c r="F892" s="16" t="inlineStr">
        <is>
          <t>15.4 - DESPESAS C/ CONSTRUÇÃO ESCRITORIO ADM</t>
        </is>
      </c>
      <c r="G892" s="16" t="inlineStr">
        <is>
          <t>LOTE TRINDADE</t>
        </is>
      </c>
      <c r="H892" s="63" t="n">
        <v>2025</v>
      </c>
      <c r="I892" s="64" t="n">
        <v>6</v>
      </c>
      <c r="J892" s="16" t="inlineStr">
        <is>
          <t>Jun</t>
        </is>
      </c>
      <c r="K892" s="16" t="n"/>
      <c r="M892" s="89" t="n">
        <v>-124.57</v>
      </c>
      <c r="N892" s="1" t="inlineStr">
        <is>
          <t>Construção da Nova Sede</t>
        </is>
      </c>
      <c r="O892" s="1" t="inlineStr">
        <is>
          <t>Investimentos</t>
        </is>
      </c>
      <c r="P892" s="1" t="inlineStr">
        <is>
          <t>(-)Investimentos</t>
        </is>
      </c>
      <c r="Q892" s="1" t="n">
        <v>8</v>
      </c>
      <c r="R892" s="1" t="n">
        <v>2025</v>
      </c>
    </row>
    <row r="893">
      <c r="A893" s="61" t="n">
        <v>45835</v>
      </c>
      <c r="B893" s="16" t="inlineStr">
        <is>
          <t>DESPESAS LOTE TRINDADE AIDEAL</t>
        </is>
      </c>
      <c r="C893" s="90" t="n"/>
      <c r="D893" s="90" t="n">
        <v>3122</v>
      </c>
      <c r="E893" s="90" t="n">
        <v>-3122</v>
      </c>
      <c r="F893" s="16" t="inlineStr">
        <is>
          <t>15.1 - DESPESAS C/ MURO E CALÇADAS</t>
        </is>
      </c>
      <c r="G893" s="16" t="inlineStr">
        <is>
          <t>LOTE TRINDADE</t>
        </is>
      </c>
      <c r="H893" s="63" t="n">
        <v>2025</v>
      </c>
      <c r="I893" s="64" t="n">
        <v>6</v>
      </c>
      <c r="J893" s="16" t="inlineStr">
        <is>
          <t>Jun</t>
        </is>
      </c>
      <c r="K893" s="16" t="n"/>
      <c r="M893" s="89" t="n">
        <v>-3122</v>
      </c>
      <c r="N893" s="1" t="inlineStr">
        <is>
          <t>15.1 - DESPESAS C/ MURO E CALÇADAS</t>
        </is>
      </c>
      <c r="O893" s="1" t="n"/>
      <c r="P893" s="1" t="n"/>
      <c r="Q893" s="1" t="n"/>
      <c r="R893" s="1" t="n">
        <v>2025</v>
      </c>
    </row>
    <row r="894">
      <c r="A894" s="61" t="n">
        <v>45835</v>
      </c>
      <c r="B894" s="16" t="inlineStr">
        <is>
          <t>DESPESAS LOTE TRINDADE AIDEAL</t>
        </is>
      </c>
      <c r="C894" s="90" t="n"/>
      <c r="D894" s="90" t="n">
        <v>700</v>
      </c>
      <c r="E894" s="90" t="n">
        <v>-700</v>
      </c>
      <c r="F894" s="16" t="inlineStr">
        <is>
          <t>15.1 - DESPESAS C/ MURO E CALÇADAS</t>
        </is>
      </c>
      <c r="G894" s="16" t="inlineStr">
        <is>
          <t>LOTE TRINDADE</t>
        </is>
      </c>
      <c r="H894" s="63" t="n">
        <v>2025</v>
      </c>
      <c r="I894" s="64" t="n">
        <v>6</v>
      </c>
      <c r="J894" s="16" t="inlineStr">
        <is>
          <t>Jun</t>
        </is>
      </c>
      <c r="K894" s="16" t="n"/>
      <c r="M894" s="89" t="n">
        <v>-700</v>
      </c>
      <c r="N894" s="1" t="inlineStr">
        <is>
          <t>15.1 - DESPESAS C/ MURO E CALÇADAS</t>
        </is>
      </c>
      <c r="O894" s="1" t="n"/>
      <c r="P894" s="1" t="n"/>
      <c r="Q894" s="1" t="n"/>
      <c r="R894" s="1" t="n">
        <v>2025</v>
      </c>
    </row>
    <row r="895">
      <c r="A895" s="61" t="n">
        <v>45836</v>
      </c>
      <c r="B895" s="16" t="inlineStr">
        <is>
          <t>16321 - QUALI TINTAS</t>
        </is>
      </c>
      <c r="C895" s="90" t="n"/>
      <c r="D895" s="90" t="n">
        <v>6620</v>
      </c>
      <c r="E895" s="90" t="n">
        <v>-6620</v>
      </c>
      <c r="F895" s="16" t="inlineStr">
        <is>
          <t>4.1 - TINTAS E SOLVENTES</t>
        </is>
      </c>
      <c r="G895" s="16" t="inlineStr">
        <is>
          <t>NIOBIO CMOC CONTRATO</t>
        </is>
      </c>
      <c r="H895" s="63" t="n">
        <v>2025</v>
      </c>
      <c r="I895" s="64" t="n">
        <v>6</v>
      </c>
      <c r="J895" s="16" t="inlineStr">
        <is>
          <t>Jun</t>
        </is>
      </c>
      <c r="K895" s="16" t="n"/>
      <c r="M895" s="89" t="n">
        <v>-6620</v>
      </c>
      <c r="N895" s="1" t="inlineStr">
        <is>
          <t>TINTAS E SOLVENTES</t>
        </is>
      </c>
      <c r="O895" s="1" t="inlineStr">
        <is>
          <t>Fornecedores</t>
        </is>
      </c>
      <c r="P895" s="1" t="inlineStr">
        <is>
          <t>(-)Custos Variavéis</t>
        </is>
      </c>
      <c r="Q895" s="1" t="n">
        <v>3</v>
      </c>
      <c r="R895" s="1" t="n">
        <v>2025</v>
      </c>
    </row>
    <row r="896">
      <c r="A896" s="61" t="n">
        <v>45836</v>
      </c>
      <c r="B896" s="16" t="inlineStr">
        <is>
          <t>16321 - QUALI TINTAS</t>
        </is>
      </c>
      <c r="C896" s="90" t="n"/>
      <c r="D896" s="90" t="n">
        <v>6620</v>
      </c>
      <c r="E896" s="90" t="n">
        <v>-6620</v>
      </c>
      <c r="F896" s="16" t="inlineStr">
        <is>
          <t>4.1 - TINTAS E SOLVENTES</t>
        </is>
      </c>
      <c r="G896" s="16" t="inlineStr">
        <is>
          <t>NIOBIO CMOC CONTRATO</t>
        </is>
      </c>
      <c r="H896" s="63" t="n">
        <v>2025</v>
      </c>
      <c r="I896" s="64" t="n">
        <v>6</v>
      </c>
      <c r="J896" s="16" t="inlineStr">
        <is>
          <t>Jun</t>
        </is>
      </c>
      <c r="K896" s="16" t="n"/>
      <c r="M896" s="89" t="n">
        <v>-6620</v>
      </c>
      <c r="N896" s="1" t="inlineStr">
        <is>
          <t>TINTAS E SOLVENTES</t>
        </is>
      </c>
      <c r="O896" s="1" t="inlineStr">
        <is>
          <t>Fornecedores</t>
        </is>
      </c>
      <c r="P896" s="1" t="inlineStr">
        <is>
          <t>(-)Custos Variavéis</t>
        </is>
      </c>
      <c r="Q896" s="1" t="n">
        <v>3</v>
      </c>
      <c r="R896" s="1" t="n">
        <v>2025</v>
      </c>
    </row>
    <row r="897">
      <c r="A897" s="61" t="n">
        <v>45836</v>
      </c>
      <c r="B897" s="16" t="inlineStr">
        <is>
          <t>16321 - QUALI TINTAS</t>
        </is>
      </c>
      <c r="C897" s="90" t="n"/>
      <c r="D897" s="90" t="n">
        <v>6620</v>
      </c>
      <c r="E897" s="90" t="n">
        <v>-6620</v>
      </c>
      <c r="F897" s="16" t="inlineStr">
        <is>
          <t>4.1 - TINTAS E SOLVENTES</t>
        </is>
      </c>
      <c r="G897" s="16" t="inlineStr">
        <is>
          <t>NIOBIO CMOC CONTRATO</t>
        </is>
      </c>
      <c r="H897" s="63" t="n">
        <v>2025</v>
      </c>
      <c r="I897" s="64" t="n">
        <v>6</v>
      </c>
      <c r="J897" s="16" t="inlineStr">
        <is>
          <t>Jun</t>
        </is>
      </c>
      <c r="K897" s="16" t="n"/>
      <c r="M897" s="89" t="n">
        <v>-6620</v>
      </c>
      <c r="N897" s="1" t="inlineStr">
        <is>
          <t>TINTAS E SOLVENTES</t>
        </is>
      </c>
      <c r="O897" s="1" t="inlineStr">
        <is>
          <t>Fornecedores</t>
        </is>
      </c>
      <c r="P897" s="1" t="inlineStr">
        <is>
          <t>(-)Custos Variavéis</t>
        </is>
      </c>
      <c r="Q897" s="1" t="n">
        <v>3</v>
      </c>
      <c r="R897" s="1" t="n">
        <v>2025</v>
      </c>
    </row>
    <row r="898">
      <c r="A898" s="61" t="n">
        <v>45836</v>
      </c>
      <c r="B898" s="16" t="inlineStr">
        <is>
          <t>210601 - ALCON ENGENHARIA DE SISTEMA LTDA</t>
        </is>
      </c>
      <c r="C898" s="90" t="n"/>
      <c r="D898" s="90" t="n">
        <v>900</v>
      </c>
      <c r="E898" s="90" t="n">
        <v>-900</v>
      </c>
      <c r="F898" s="16" t="inlineStr">
        <is>
          <t>7.10 - LOCAÇAO RADIOS DE COMUNICAÇÃO</t>
        </is>
      </c>
      <c r="G898" s="16" t="inlineStr">
        <is>
          <t>VLI PINTURA</t>
        </is>
      </c>
      <c r="H898" s="63" t="n">
        <v>2025</v>
      </c>
      <c r="I898" s="64" t="n">
        <v>6</v>
      </c>
      <c r="J898" s="16" t="inlineStr">
        <is>
          <t>Jun</t>
        </is>
      </c>
      <c r="K898" s="16" t="n"/>
      <c r="M898" s="89" t="n">
        <v>-900</v>
      </c>
      <c r="N898" s="1" t="inlineStr">
        <is>
          <t>LOCAÇAO RADIOS DE COMUNICAÇÃO</t>
        </is>
      </c>
      <c r="O898" s="1" t="inlineStr">
        <is>
          <t>Despesas com Locações</t>
        </is>
      </c>
      <c r="P898" s="1" t="inlineStr">
        <is>
          <t>(-)Gastos Fixos</t>
        </is>
      </c>
      <c r="Q898" s="1" t="n">
        <v>4</v>
      </c>
      <c r="R898" s="1" t="n">
        <v>2025</v>
      </c>
    </row>
    <row r="899">
      <c r="A899" s="61" t="n">
        <v>45838</v>
      </c>
      <c r="B899" s="16" t="inlineStr">
        <is>
          <t>2484 - VLI MULTIMODAL S.A</t>
        </is>
      </c>
      <c r="C899" s="90" t="n">
        <v>702581.55</v>
      </c>
      <c r="D899" s="90" t="n"/>
      <c r="E899" s="90" t="n">
        <v>702581.55</v>
      </c>
      <c r="F899" s="16" t="inlineStr">
        <is>
          <t>1.1.1 - Recebimento de Clientes</t>
        </is>
      </c>
      <c r="G899" s="16" t="inlineStr">
        <is>
          <t>VLI PINTURA</t>
        </is>
      </c>
      <c r="H899" s="63" t="n">
        <v>2025</v>
      </c>
      <c r="I899" s="64" t="n">
        <v>6</v>
      </c>
      <c r="J899" s="16" t="inlineStr">
        <is>
          <t>Jun</t>
        </is>
      </c>
      <c r="K899" s="16" t="n"/>
      <c r="M899" s="89" t="n">
        <v>702581.55</v>
      </c>
      <c r="N899" s="1" t="inlineStr">
        <is>
          <t>Faturamento</t>
        </is>
      </c>
      <c r="O899" s="1" t="inlineStr">
        <is>
          <t>(+)Receita Bruta</t>
        </is>
      </c>
      <c r="P899" s="1" t="inlineStr">
        <is>
          <t>(=)Receita Bruta</t>
        </is>
      </c>
      <c r="Q899" s="1" t="n">
        <v>1</v>
      </c>
      <c r="R899" s="1" t="n">
        <v>2025</v>
      </c>
    </row>
    <row r="900">
      <c r="A900" s="61" t="n">
        <v>45838</v>
      </c>
      <c r="B900" s="16" t="inlineStr">
        <is>
          <t>PGFN</t>
        </is>
      </c>
      <c r="C900" s="90" t="n"/>
      <c r="D900" s="90" t="n">
        <v>127.08</v>
      </c>
      <c r="E900" s="90" t="n">
        <v>-127.08</v>
      </c>
      <c r="F900" s="16" t="inlineStr">
        <is>
          <t>17.1 - PARCELAMENTO</t>
        </is>
      </c>
      <c r="G900" s="16" t="inlineStr">
        <is>
          <t>IMPOSTOS</t>
        </is>
      </c>
      <c r="H900" s="63" t="n">
        <v>2025</v>
      </c>
      <c r="I900" s="64" t="n">
        <v>6</v>
      </c>
      <c r="J900" s="16" t="inlineStr">
        <is>
          <t>Jun</t>
        </is>
      </c>
      <c r="K900" s="16" t="n"/>
      <c r="M900" s="89" t="n">
        <v>-127.08</v>
      </c>
      <c r="N900" s="1" t="inlineStr">
        <is>
          <t>Parcelamento impostos exercicios anteriores</t>
        </is>
      </c>
      <c r="O900" s="1" t="inlineStr">
        <is>
          <t>(-) Despesas Não Operacionais</t>
        </is>
      </c>
      <c r="P900" s="1" t="inlineStr">
        <is>
          <t>(+/-)Despesas e Recebimentos Não Operacionais</t>
        </is>
      </c>
      <c r="Q900" s="1" t="n">
        <v>5</v>
      </c>
      <c r="R900" s="1" t="n">
        <v>2025</v>
      </c>
    </row>
    <row r="901">
      <c r="A901" s="61" t="n">
        <v>45838</v>
      </c>
      <c r="B901" s="16" t="inlineStr">
        <is>
          <t>PGFN</t>
        </is>
      </c>
      <c r="C901" s="90" t="n"/>
      <c r="D901" s="90" t="n">
        <v>132.02</v>
      </c>
      <c r="E901" s="90" t="n">
        <v>-132.02</v>
      </c>
      <c r="F901" s="16" t="inlineStr">
        <is>
          <t>17.1 - PARCELAMENTO</t>
        </is>
      </c>
      <c r="G901" s="16" t="inlineStr">
        <is>
          <t>IMPOSTOS</t>
        </is>
      </c>
      <c r="H901" s="63" t="n">
        <v>2025</v>
      </c>
      <c r="I901" s="64" t="n">
        <v>6</v>
      </c>
      <c r="J901" s="16" t="inlineStr">
        <is>
          <t>Jun</t>
        </is>
      </c>
      <c r="K901" s="16" t="n"/>
      <c r="M901" s="89" t="n">
        <v>-132.02</v>
      </c>
      <c r="N901" s="1" t="inlineStr">
        <is>
          <t>Parcelamento impostos exercicios anteriores</t>
        </is>
      </c>
      <c r="O901" s="1" t="inlineStr">
        <is>
          <t>(-) Despesas Não Operacionais</t>
        </is>
      </c>
      <c r="P901" s="1" t="inlineStr">
        <is>
          <t>(+/-)Despesas e Recebimentos Não Operacionais</t>
        </is>
      </c>
      <c r="Q901" s="1" t="n">
        <v>5</v>
      </c>
      <c r="R901" s="1" t="n">
        <v>2025</v>
      </c>
    </row>
    <row r="902">
      <c r="A902" s="61" t="n">
        <v>45838</v>
      </c>
      <c r="B902" s="16" t="inlineStr">
        <is>
          <t>PGFN</t>
        </is>
      </c>
      <c r="C902" s="90" t="n"/>
      <c r="D902" s="90" t="n">
        <v>316.58</v>
      </c>
      <c r="E902" s="90" t="n">
        <v>-316.58</v>
      </c>
      <c r="F902" s="16" t="inlineStr">
        <is>
          <t>17.1 - PARCELAMENTO</t>
        </is>
      </c>
      <c r="G902" s="16" t="inlineStr">
        <is>
          <t>IMPOSTOS</t>
        </is>
      </c>
      <c r="H902" s="63" t="n">
        <v>2025</v>
      </c>
      <c r="I902" s="64" t="n">
        <v>6</v>
      </c>
      <c r="J902" s="16" t="inlineStr">
        <is>
          <t>Jun</t>
        </is>
      </c>
      <c r="K902" s="16" t="n"/>
      <c r="M902" s="89" t="n">
        <v>-316.58</v>
      </c>
      <c r="N902" s="1" t="inlineStr">
        <is>
          <t>Parcelamento impostos exercicios anteriores</t>
        </is>
      </c>
      <c r="O902" s="1" t="inlineStr">
        <is>
          <t>(-) Despesas Não Operacionais</t>
        </is>
      </c>
      <c r="P902" s="1" t="inlineStr">
        <is>
          <t>(+/-)Despesas e Recebimentos Não Operacionais</t>
        </is>
      </c>
      <c r="Q902" s="1" t="n">
        <v>5</v>
      </c>
      <c r="R902" s="1" t="n">
        <v>2025</v>
      </c>
    </row>
    <row r="903">
      <c r="A903" s="61" t="n">
        <v>45838</v>
      </c>
      <c r="B903" s="16" t="inlineStr">
        <is>
          <t>DARF</t>
        </is>
      </c>
      <c r="C903" s="90" t="n"/>
      <c r="D903" s="90" t="n">
        <v>577.26</v>
      </c>
      <c r="E903" s="90" t="n">
        <v>-577.26</v>
      </c>
      <c r="F903" s="16" t="inlineStr">
        <is>
          <t>17.1 - PARCELAMENTO</t>
        </is>
      </c>
      <c r="G903" s="16" t="inlineStr">
        <is>
          <t>IMPOSTOS</t>
        </is>
      </c>
      <c r="H903" s="63" t="n">
        <v>2025</v>
      </c>
      <c r="I903" s="64" t="n">
        <v>6</v>
      </c>
      <c r="J903" s="16" t="inlineStr">
        <is>
          <t>Jun</t>
        </is>
      </c>
      <c r="K903" s="16" t="n"/>
      <c r="M903" s="89" t="n">
        <v>-577.26</v>
      </c>
      <c r="N903" s="1" t="inlineStr">
        <is>
          <t>Parcelamento impostos exercicios anteriores</t>
        </is>
      </c>
      <c r="O903" s="1" t="inlineStr">
        <is>
          <t>(-) Despesas Não Operacionais</t>
        </is>
      </c>
      <c r="P903" s="1" t="inlineStr">
        <is>
          <t>(+/-)Despesas e Recebimentos Não Operacionais</t>
        </is>
      </c>
      <c r="Q903" s="1" t="n">
        <v>5</v>
      </c>
      <c r="R903" s="1" t="n">
        <v>2025</v>
      </c>
    </row>
    <row r="904">
      <c r="A904" s="61" t="n">
        <v>45838</v>
      </c>
      <c r="B904" s="16" t="inlineStr">
        <is>
          <t>PGFN</t>
        </is>
      </c>
      <c r="C904" s="90" t="n"/>
      <c r="D904" s="90" t="n">
        <v>2345.25</v>
      </c>
      <c r="E904" s="90" t="n">
        <v>-2345.25</v>
      </c>
      <c r="F904" s="16" t="inlineStr">
        <is>
          <t>17.1 - PARCELAMENTO</t>
        </is>
      </c>
      <c r="G904" s="16" t="inlineStr">
        <is>
          <t>IMPOSTOS</t>
        </is>
      </c>
      <c r="H904" s="63" t="n">
        <v>2025</v>
      </c>
      <c r="I904" s="64" t="n">
        <v>6</v>
      </c>
      <c r="J904" s="16" t="inlineStr">
        <is>
          <t>Jun</t>
        </is>
      </c>
      <c r="K904" s="16" t="n"/>
      <c r="M904" s="89" t="n">
        <v>-2345.25</v>
      </c>
      <c r="N904" s="1" t="inlineStr">
        <is>
          <t>Parcelamento impostos exercicios anteriores</t>
        </is>
      </c>
      <c r="O904" s="1" t="inlineStr">
        <is>
          <t>(-) Despesas Não Operacionais</t>
        </is>
      </c>
      <c r="P904" s="1" t="inlineStr">
        <is>
          <t>(+/-)Despesas e Recebimentos Não Operacionais</t>
        </is>
      </c>
      <c r="Q904" s="1" t="n">
        <v>5</v>
      </c>
      <c r="R904" s="1" t="n">
        <v>2025</v>
      </c>
    </row>
    <row r="905">
      <c r="A905" s="61" t="n">
        <v>45838</v>
      </c>
      <c r="B905" s="16" t="inlineStr">
        <is>
          <t>PGFN</t>
        </is>
      </c>
      <c r="C905" s="90" t="n"/>
      <c r="D905" s="90" t="n">
        <v>548.53</v>
      </c>
      <c r="E905" s="90" t="n">
        <v>-548.53</v>
      </c>
      <c r="F905" s="16" t="inlineStr">
        <is>
          <t>17.1 - PARCELAMENTO</t>
        </is>
      </c>
      <c r="G905" s="16" t="inlineStr">
        <is>
          <t>IMPOSTOS</t>
        </is>
      </c>
      <c r="H905" s="63" t="n">
        <v>2025</v>
      </c>
      <c r="I905" s="64" t="n">
        <v>6</v>
      </c>
      <c r="J905" s="16" t="inlineStr">
        <is>
          <t>Jun</t>
        </is>
      </c>
      <c r="K905" s="16" t="n"/>
      <c r="M905" s="89" t="n">
        <v>-548.53</v>
      </c>
      <c r="N905" s="1" t="inlineStr">
        <is>
          <t>Parcelamento impostos exercicios anteriores</t>
        </is>
      </c>
      <c r="O905" s="1" t="inlineStr">
        <is>
          <t>(-) Despesas Não Operacionais</t>
        </is>
      </c>
      <c r="P905" s="1" t="inlineStr">
        <is>
          <t>(+/-)Despesas e Recebimentos Não Operacionais</t>
        </is>
      </c>
      <c r="Q905" s="1" t="n">
        <v>5</v>
      </c>
      <c r="R905" s="1" t="n">
        <v>2025</v>
      </c>
    </row>
    <row r="906">
      <c r="A906" s="61" t="n">
        <v>45838</v>
      </c>
      <c r="B906" s="16" t="inlineStr">
        <is>
          <t>PGFN</t>
        </is>
      </c>
      <c r="C906" s="90" t="n">
        <v>2472.92</v>
      </c>
      <c r="D906" s="90" t="n"/>
      <c r="E906" s="90" t="n">
        <v>2472.92</v>
      </c>
      <c r="F906" s="16" t="inlineStr">
        <is>
          <t>17.1 - PARCELAMENTO</t>
        </is>
      </c>
      <c r="G906" s="16" t="inlineStr">
        <is>
          <t>IMPOSTOS</t>
        </is>
      </c>
      <c r="H906" s="63" t="n">
        <v>2025</v>
      </c>
      <c r="I906" s="64" t="n">
        <v>6</v>
      </c>
      <c r="J906" s="16" t="inlineStr">
        <is>
          <t>Jun</t>
        </is>
      </c>
      <c r="K906" s="16" t="n"/>
      <c r="M906" s="89" t="n">
        <v>2472.92</v>
      </c>
      <c r="N906" s="1" t="inlineStr">
        <is>
          <t>Parcelamento impostos exercicios anteriores</t>
        </is>
      </c>
      <c r="O906" s="1" t="inlineStr">
        <is>
          <t>(-) Despesas Não Operacionais</t>
        </is>
      </c>
      <c r="P906" s="1" t="inlineStr">
        <is>
          <t>(+/-)Despesas e Recebimentos Não Operacionais</t>
        </is>
      </c>
      <c r="Q906" s="1" t="n">
        <v>5</v>
      </c>
      <c r="R906" s="1" t="n">
        <v>2025</v>
      </c>
    </row>
    <row r="907">
      <c r="A907" s="61" t="n">
        <v>45838</v>
      </c>
      <c r="B907" s="16" t="inlineStr">
        <is>
          <t>UBER JULIANO</t>
        </is>
      </c>
      <c r="C907" s="90" t="n"/>
      <c r="D907" s="90" t="n">
        <v>140</v>
      </c>
      <c r="E907" s="90" t="n">
        <v>-140</v>
      </c>
      <c r="F907" s="16" t="inlineStr">
        <is>
          <t>12.7 - TRANSPORTE FUNCIONARIOS</t>
        </is>
      </c>
      <c r="G907" s="16" t="inlineStr">
        <is>
          <t>FOSFATO CMOC CONTRAT</t>
        </is>
      </c>
      <c r="H907" s="63" t="n">
        <v>2025</v>
      </c>
      <c r="I907" s="64" t="n">
        <v>6</v>
      </c>
      <c r="J907" s="16" t="inlineStr">
        <is>
          <t>Jun</t>
        </is>
      </c>
      <c r="K907" s="16" t="n"/>
      <c r="M907" s="89" t="n">
        <v>-140</v>
      </c>
      <c r="N907" s="1" t="inlineStr">
        <is>
          <t>12.7 - TRANSPORTE FUNCIONARIOS</t>
        </is>
      </c>
      <c r="O907" s="1" t="n"/>
      <c r="P907" s="1" t="n"/>
      <c r="Q907" s="1" t="n"/>
      <c r="R907" s="1" t="n">
        <v>2025</v>
      </c>
    </row>
    <row r="908">
      <c r="A908" s="61" t="n">
        <v>45838</v>
      </c>
      <c r="B908" s="16" t="inlineStr">
        <is>
          <t>UBER JULIANO</t>
        </is>
      </c>
      <c r="C908" s="90" t="n"/>
      <c r="D908" s="90" t="n">
        <v>600</v>
      </c>
      <c r="E908" s="90" t="n">
        <v>-600</v>
      </c>
      <c r="F908" s="16" t="inlineStr">
        <is>
          <t>12.7 - TRANSPORTE FUNCIONARIOS</t>
        </is>
      </c>
      <c r="G908" s="16" t="inlineStr">
        <is>
          <t>NIOBIO CMOC CONTRATO</t>
        </is>
      </c>
      <c r="H908" s="63" t="n">
        <v>2025</v>
      </c>
      <c r="I908" s="64" t="n">
        <v>6</v>
      </c>
      <c r="J908" s="16" t="inlineStr">
        <is>
          <t>Jun</t>
        </is>
      </c>
      <c r="K908" s="16" t="n"/>
      <c r="M908" s="89" t="n">
        <v>-600</v>
      </c>
      <c r="N908" s="1" t="inlineStr">
        <is>
          <t>12.7 - TRANSPORTE FUNCIONARIOS</t>
        </is>
      </c>
      <c r="O908" s="1" t="n"/>
      <c r="P908" s="1" t="n"/>
      <c r="Q908" s="1" t="n"/>
      <c r="R908" s="1" t="n">
        <v>2025</v>
      </c>
    </row>
    <row r="909">
      <c r="A909" s="61" t="n">
        <v>45838</v>
      </c>
      <c r="B909" s="16" t="inlineStr">
        <is>
          <t>ENCOMENDA DE CATALAO</t>
        </is>
      </c>
      <c r="C909" s="90" t="n"/>
      <c r="D909" s="90" t="n">
        <v>70</v>
      </c>
      <c r="E909" s="90" t="n">
        <v>-70</v>
      </c>
      <c r="F909" s="16" t="inlineStr">
        <is>
          <t>10.4 - FRETE TRANSPORTADORA</t>
        </is>
      </c>
      <c r="G909" s="16" t="inlineStr">
        <is>
          <t>NIOBIO CMOC CONTRATO</t>
        </is>
      </c>
      <c r="H909" s="63" t="n">
        <v>2025</v>
      </c>
      <c r="I909" s="64" t="n">
        <v>6</v>
      </c>
      <c r="J909" s="16" t="inlineStr">
        <is>
          <t>Jun</t>
        </is>
      </c>
      <c r="K909" s="16" t="n"/>
      <c r="M909" s="89" t="n">
        <v>-70</v>
      </c>
      <c r="N909" s="1" t="inlineStr">
        <is>
          <t>FRETE TRANSPORTADORA</t>
        </is>
      </c>
      <c r="O909" s="1" t="inlineStr">
        <is>
          <t>Fornecedores</t>
        </is>
      </c>
      <c r="P909" s="1" t="inlineStr">
        <is>
          <t>(-)Custos Variavéis</t>
        </is>
      </c>
      <c r="Q909" s="1" t="n">
        <v>3</v>
      </c>
      <c r="R909" s="1" t="n">
        <v>2025</v>
      </c>
    </row>
    <row r="910">
      <c r="A910" s="61" t="n">
        <v>45838</v>
      </c>
      <c r="B910" s="16" t="inlineStr">
        <is>
          <t>JACINTO FERNANDES</t>
        </is>
      </c>
      <c r="C910" s="90" t="n"/>
      <c r="D910" s="90" t="n">
        <v>140</v>
      </c>
      <c r="E910" s="90" t="n">
        <v>-140</v>
      </c>
      <c r="F910" s="16" t="inlineStr">
        <is>
          <t>6.10 - SERVIÇO LAVA JATO</t>
        </is>
      </c>
      <c r="G910" s="16" t="inlineStr">
        <is>
          <t>SERENA 21 TORRES 2024</t>
        </is>
      </c>
      <c r="H910" s="63" t="n">
        <v>2025</v>
      </c>
      <c r="I910" s="64" t="n">
        <v>6</v>
      </c>
      <c r="J910" s="16" t="inlineStr">
        <is>
          <t>Jun</t>
        </is>
      </c>
      <c r="K910" s="16" t="n"/>
      <c r="M910" s="89" t="n">
        <v>-140</v>
      </c>
      <c r="N910" s="1" t="inlineStr">
        <is>
          <t>SERVIÇO LAVA JATO</t>
        </is>
      </c>
      <c r="O910" s="1" t="inlineStr">
        <is>
          <t>Despesas com Veículos e Equipamentos</t>
        </is>
      </c>
      <c r="P910" s="1" t="inlineStr">
        <is>
          <t>(-)Gastos Fixos</t>
        </is>
      </c>
      <c r="Q910" s="1" t="n">
        <v>4</v>
      </c>
      <c r="R910" s="1" t="n">
        <v>2025</v>
      </c>
    </row>
    <row r="911">
      <c r="A911" s="61" t="n">
        <v>45838</v>
      </c>
      <c r="B911" s="16" t="inlineStr">
        <is>
          <t>1554 - EL SHADDAI PARAFUSOS E FERRAMENTAS</t>
        </is>
      </c>
      <c r="C911" s="90" t="n"/>
      <c r="D911" s="90" t="n">
        <v>345</v>
      </c>
      <c r="E911" s="90" t="n">
        <v>-345</v>
      </c>
      <c r="F911" s="16" t="inlineStr">
        <is>
          <t>8.8 - MATERIAIS DE CONSUMO EM OBRAS</t>
        </is>
      </c>
      <c r="G911" s="16" t="inlineStr">
        <is>
          <t>CONDUTOS - ELETROBRAS</t>
        </is>
      </c>
      <c r="H911" s="63" t="n">
        <v>2025</v>
      </c>
      <c r="I911" s="64" t="n">
        <v>6</v>
      </c>
      <c r="J911" s="16" t="inlineStr">
        <is>
          <t>Jun</t>
        </is>
      </c>
      <c r="K911" s="16" t="n"/>
      <c r="M911" s="89" t="n">
        <v>-345</v>
      </c>
      <c r="N911" s="1" t="inlineStr">
        <is>
          <t>MATERIAIS DE CONSUMO EM OBRAS</t>
        </is>
      </c>
      <c r="O911" s="1" t="inlineStr">
        <is>
          <t>Despesas com Máquinas e Equipamentos</t>
        </is>
      </c>
      <c r="P911" s="1" t="inlineStr">
        <is>
          <t>(-)Gastos Fixos</t>
        </is>
      </c>
      <c r="Q911" s="1" t="n">
        <v>4</v>
      </c>
      <c r="R911" s="1" t="n">
        <v>2025</v>
      </c>
    </row>
    <row r="912">
      <c r="A912" s="61" t="n">
        <v>45838</v>
      </c>
      <c r="B912" s="16" t="inlineStr">
        <is>
          <t>19159 - BIRCK &amp; AMP ROCHA LTDA</t>
        </is>
      </c>
      <c r="C912" s="90" t="n"/>
      <c r="D912" s="90" t="n">
        <v>1095</v>
      </c>
      <c r="E912" s="90" t="n">
        <v>-1095</v>
      </c>
      <c r="F912" s="16" t="inlineStr">
        <is>
          <t>4.1 - TINTAS E SOLVENTES</t>
        </is>
      </c>
      <c r="G912" s="16" t="inlineStr">
        <is>
          <t>FOSFATO CMOC CONTRAT</t>
        </is>
      </c>
      <c r="H912" s="63" t="n">
        <v>2025</v>
      </c>
      <c r="I912" s="64" t="n">
        <v>6</v>
      </c>
      <c r="J912" s="16" t="inlineStr">
        <is>
          <t>Jun</t>
        </is>
      </c>
      <c r="K912" s="16" t="n"/>
      <c r="M912" s="89" t="n">
        <v>-1095</v>
      </c>
      <c r="N912" s="1" t="inlineStr">
        <is>
          <t>TINTAS E SOLVENTES</t>
        </is>
      </c>
      <c r="O912" s="1" t="inlineStr">
        <is>
          <t>Fornecedores</t>
        </is>
      </c>
      <c r="P912" s="1" t="inlineStr">
        <is>
          <t>(-)Custos Variavéis</t>
        </is>
      </c>
      <c r="Q912" s="1" t="n">
        <v>3</v>
      </c>
      <c r="R912" s="1" t="n">
        <v>2025</v>
      </c>
    </row>
    <row r="913">
      <c r="A913" s="61" t="n">
        <v>45838</v>
      </c>
      <c r="B913" s="16" t="inlineStr">
        <is>
          <t>19159 - BIRCK &amp; AMP ROCHA LTDA</t>
        </is>
      </c>
      <c r="C913" s="90" t="n"/>
      <c r="D913" s="90" t="n">
        <v>1095</v>
      </c>
      <c r="E913" s="90" t="n">
        <v>-1095</v>
      </c>
      <c r="F913" s="16" t="inlineStr">
        <is>
          <t>4.1 - TINTAS E SOLVENTES</t>
        </is>
      </c>
      <c r="G913" s="16" t="inlineStr">
        <is>
          <t>FOSFATO CMOC CONTRAT</t>
        </is>
      </c>
      <c r="H913" s="63" t="n">
        <v>2025</v>
      </c>
      <c r="I913" s="64" t="n">
        <v>6</v>
      </c>
      <c r="J913" s="16" t="inlineStr">
        <is>
          <t>Jun</t>
        </is>
      </c>
      <c r="K913" s="16" t="n"/>
      <c r="M913" s="89" t="n">
        <v>-1095</v>
      </c>
      <c r="N913" s="1" t="inlineStr">
        <is>
          <t>TINTAS E SOLVENTES</t>
        </is>
      </c>
      <c r="O913" s="1" t="inlineStr">
        <is>
          <t>Fornecedores</t>
        </is>
      </c>
      <c r="P913" s="1" t="inlineStr">
        <is>
          <t>(-)Custos Variavéis</t>
        </is>
      </c>
      <c r="Q913" s="1" t="n">
        <v>3</v>
      </c>
      <c r="R913" s="1" t="n">
        <v>2025</v>
      </c>
    </row>
    <row r="914">
      <c r="A914" s="61" t="n">
        <v>45838</v>
      </c>
      <c r="B914" s="16" t="inlineStr">
        <is>
          <t>POSTO OBRAS</t>
        </is>
      </c>
      <c r="C914" s="90" t="n"/>
      <c r="D914" s="90" t="n">
        <v>50</v>
      </c>
      <c r="E914" s="90" t="n">
        <v>-50</v>
      </c>
      <c r="F914" s="16" t="inlineStr">
        <is>
          <t>6.4 - COMBUSTIVEL VEICULOS</t>
        </is>
      </c>
      <c r="G914" s="16" t="inlineStr">
        <is>
          <t>ADMINISTRATIVO</t>
        </is>
      </c>
      <c r="H914" s="63" t="n">
        <v>2025</v>
      </c>
      <c r="I914" s="64" t="n">
        <v>6</v>
      </c>
      <c r="J914" s="16" t="inlineStr">
        <is>
          <t>Jun</t>
        </is>
      </c>
      <c r="K914" s="16" t="n"/>
      <c r="M914" s="89" t="n">
        <v>-50</v>
      </c>
      <c r="N914" s="1" t="inlineStr">
        <is>
          <t>COMBUSTIVEL VEICULOS</t>
        </is>
      </c>
      <c r="O914" s="1" t="inlineStr">
        <is>
          <t>Despesas com Veículos e Equipamentos</t>
        </is>
      </c>
      <c r="P914" s="1" t="inlineStr">
        <is>
          <t>(-)Gastos Fixos</t>
        </is>
      </c>
      <c r="Q914" s="1" t="n">
        <v>4</v>
      </c>
      <c r="R914" s="1" t="n">
        <v>2025</v>
      </c>
    </row>
    <row r="915">
      <c r="A915" s="61" t="n">
        <v>45838</v>
      </c>
      <c r="B915" s="16" t="inlineStr">
        <is>
          <t>VALE TRANSPORTE</t>
        </is>
      </c>
      <c r="C915" s="90" t="n"/>
      <c r="D915" s="90" t="n">
        <v>197.8</v>
      </c>
      <c r="E915" s="90" t="n">
        <v>-197.8</v>
      </c>
      <c r="F915" s="16" t="inlineStr">
        <is>
          <t>12.7 - TRANSPORTE FUNCIONARIOS</t>
        </is>
      </c>
      <c r="G915" s="16" t="inlineStr">
        <is>
          <t>ADMINISTRATIVO</t>
        </is>
      </c>
      <c r="H915" s="63" t="n">
        <v>2025</v>
      </c>
      <c r="I915" s="64" t="n">
        <v>6</v>
      </c>
      <c r="J915" s="16" t="inlineStr">
        <is>
          <t>Jun</t>
        </is>
      </c>
      <c r="K915" s="16" t="n"/>
      <c r="M915" s="89" t="n">
        <v>-197.8</v>
      </c>
      <c r="N915" s="1" t="inlineStr">
        <is>
          <t>12.7 - TRANSPORTE FUNCIONARIOS</t>
        </is>
      </c>
      <c r="O915" s="1" t="n"/>
      <c r="P915" s="1" t="n"/>
      <c r="Q915" s="1" t="n"/>
      <c r="R915" s="1" t="n">
        <v>2025</v>
      </c>
    </row>
    <row r="916">
      <c r="A916" s="61" t="n">
        <v>45838</v>
      </c>
      <c r="B916" s="16" t="inlineStr">
        <is>
          <t>16332 - QUALI TINTAS</t>
        </is>
      </c>
      <c r="C916" s="90" t="n"/>
      <c r="D916" s="90" t="n">
        <v>310</v>
      </c>
      <c r="E916" s="90" t="n">
        <v>-310</v>
      </c>
      <c r="F916" s="16" t="inlineStr">
        <is>
          <t>4.1 - TINTAS E SOLVENTES</t>
        </is>
      </c>
      <c r="G916" s="16" t="inlineStr">
        <is>
          <t>NIOBIO CMOC CONTRATO</t>
        </is>
      </c>
      <c r="H916" s="63" t="n">
        <v>2025</v>
      </c>
      <c r="I916" s="64" t="n">
        <v>6</v>
      </c>
      <c r="J916" s="16" t="inlineStr">
        <is>
          <t>Jun</t>
        </is>
      </c>
      <c r="K916" s="16" t="n"/>
      <c r="M916" s="89" t="n">
        <v>-310</v>
      </c>
      <c r="N916" s="1" t="inlineStr">
        <is>
          <t>TINTAS E SOLVENTES</t>
        </is>
      </c>
      <c r="O916" s="1" t="inlineStr">
        <is>
          <t>Fornecedores</t>
        </is>
      </c>
      <c r="P916" s="1" t="inlineStr">
        <is>
          <t>(-)Custos Variavéis</t>
        </is>
      </c>
      <c r="Q916" s="1" t="n">
        <v>3</v>
      </c>
      <c r="R916" s="1" t="n">
        <v>2025</v>
      </c>
    </row>
    <row r="917">
      <c r="A917" s="61" t="n">
        <v>45838</v>
      </c>
      <c r="B917" s="16" t="inlineStr">
        <is>
          <t>15 - LAVA JATO OBRAS</t>
        </is>
      </c>
      <c r="C917" s="90" t="n"/>
      <c r="D917" s="90" t="n">
        <v>1000</v>
      </c>
      <c r="E917" s="90" t="n">
        <v>-1000</v>
      </c>
      <c r="F917" s="16" t="inlineStr">
        <is>
          <t>6.10 - SERVIÇO LAVA JATO</t>
        </is>
      </c>
      <c r="G917" s="16" t="inlineStr">
        <is>
          <t>VEICULOS</t>
        </is>
      </c>
      <c r="H917" s="63" t="n">
        <v>2025</v>
      </c>
      <c r="I917" s="64" t="n">
        <v>6</v>
      </c>
      <c r="J917" s="16" t="inlineStr">
        <is>
          <t>Jun</t>
        </is>
      </c>
      <c r="K917" s="16" t="n"/>
      <c r="M917" s="89" t="n">
        <v>-1000</v>
      </c>
      <c r="N917" s="1" t="inlineStr">
        <is>
          <t>SERVIÇO LAVA JATO</t>
        </is>
      </c>
      <c r="O917" s="1" t="inlineStr">
        <is>
          <t>Despesas com Veículos e Equipamentos</t>
        </is>
      </c>
      <c r="P917" s="1" t="inlineStr">
        <is>
          <t>(-)Gastos Fixos</t>
        </is>
      </c>
      <c r="Q917" s="1" t="n">
        <v>4</v>
      </c>
      <c r="R917" s="1" t="n">
        <v>2025</v>
      </c>
    </row>
    <row r="918">
      <c r="A918" s="61" t="n">
        <v>45838</v>
      </c>
      <c r="B918" s="16" t="inlineStr">
        <is>
          <t>RICARDO RODRIGUES - COMERCIAL</t>
        </is>
      </c>
      <c r="C918" s="90" t="n"/>
      <c r="D918" s="90" t="n">
        <v>104.2</v>
      </c>
      <c r="E918" s="90" t="n">
        <v>-104.2</v>
      </c>
      <c r="F918" s="16" t="inlineStr">
        <is>
          <t>6.4 - COMBUSTIVEL VEICULOS</t>
        </is>
      </c>
      <c r="G918" s="16" t="inlineStr">
        <is>
          <t>GASTOS COMERCIAIS</t>
        </is>
      </c>
      <c r="H918" s="63" t="n">
        <v>2025</v>
      </c>
      <c r="I918" s="64" t="n">
        <v>6</v>
      </c>
      <c r="J918" s="16" t="inlineStr">
        <is>
          <t>Jun</t>
        </is>
      </c>
      <c r="K918" s="16" t="n"/>
      <c r="M918" s="89" t="n">
        <v>-104.2</v>
      </c>
      <c r="N918" s="1" t="inlineStr">
        <is>
          <t>COMBUSTIVEL VEICULOS</t>
        </is>
      </c>
      <c r="O918" s="1" t="inlineStr">
        <is>
          <t>Despesas com Veículos e Equipamentos</t>
        </is>
      </c>
      <c r="P918" s="1" t="inlineStr">
        <is>
          <t>(-)Gastos Fixos</t>
        </is>
      </c>
      <c r="Q918" s="1" t="n">
        <v>4</v>
      </c>
      <c r="R918" s="1" t="n">
        <v>2025</v>
      </c>
    </row>
    <row r="919">
      <c r="A919" s="61" t="n">
        <v>45838</v>
      </c>
      <c r="B919" s="16" t="inlineStr">
        <is>
          <t>31058 - LOJA DAS TINTAS MC MATERIAIS DE CONSTRUCAO LTDA</t>
        </is>
      </c>
      <c r="C919" s="90" t="n"/>
      <c r="D919" s="90" t="n">
        <v>720</v>
      </c>
      <c r="E919" s="90" t="n">
        <v>-720</v>
      </c>
      <c r="F919" s="16" t="inlineStr">
        <is>
          <t>4.1 - TINTAS E SOLVENTES</t>
        </is>
      </c>
      <c r="G919" s="16" t="inlineStr">
        <is>
          <t>ANGLO AMERICAN</t>
        </is>
      </c>
      <c r="H919" s="63" t="n">
        <v>2025</v>
      </c>
      <c r="I919" s="64" t="n">
        <v>6</v>
      </c>
      <c r="J919" s="16" t="inlineStr">
        <is>
          <t>Jun</t>
        </is>
      </c>
      <c r="K919" s="16" t="n"/>
      <c r="M919" s="89" t="n">
        <v>-720</v>
      </c>
      <c r="N919" s="1" t="inlineStr">
        <is>
          <t>TINTAS E SOLVENTES</t>
        </is>
      </c>
      <c r="O919" s="1" t="inlineStr">
        <is>
          <t>Fornecedores</t>
        </is>
      </c>
      <c r="P919" s="1" t="inlineStr">
        <is>
          <t>(-)Custos Variavéis</t>
        </is>
      </c>
      <c r="Q919" s="1" t="n">
        <v>3</v>
      </c>
      <c r="R919" s="1" t="n">
        <v>2025</v>
      </c>
    </row>
    <row r="920">
      <c r="A920" s="61" t="n">
        <v>45838</v>
      </c>
      <c r="B920" s="16" t="inlineStr">
        <is>
          <t>CLINICA OBRAS</t>
        </is>
      </c>
      <c r="C920" s="90" t="n"/>
      <c r="D920" s="90" t="n">
        <v>30</v>
      </c>
      <c r="E920" s="90" t="n">
        <v>-30</v>
      </c>
      <c r="F920" s="16" t="inlineStr">
        <is>
          <t>14.1 - EXAMES</t>
        </is>
      </c>
      <c r="G920" s="16" t="inlineStr">
        <is>
          <t>ADMINISTRATIVO</t>
        </is>
      </c>
      <c r="H920" s="63" t="n">
        <v>2025</v>
      </c>
      <c r="I920" s="64" t="n">
        <v>6</v>
      </c>
      <c r="J920" s="16" t="inlineStr">
        <is>
          <t>Jun</t>
        </is>
      </c>
      <c r="K920" s="16" t="n"/>
      <c r="M920" s="89" t="n">
        <v>-30</v>
      </c>
      <c r="N920" s="1" t="inlineStr">
        <is>
          <t>EXAMES MÉDICOS</t>
        </is>
      </c>
      <c r="O920" s="1" t="inlineStr">
        <is>
          <t>Despesas com Pessoal</t>
        </is>
      </c>
      <c r="P920" s="1" t="inlineStr">
        <is>
          <t>(-)Gastos Fixos</t>
        </is>
      </c>
      <c r="Q920" s="1" t="n">
        <v>4</v>
      </c>
      <c r="R920" s="1" t="n">
        <v>2025</v>
      </c>
    </row>
    <row r="921">
      <c r="A921" s="61" t="n">
        <v>45838</v>
      </c>
      <c r="B921" s="16" t="inlineStr">
        <is>
          <t>IMPOSTOS</t>
        </is>
      </c>
      <c r="C921" s="90" t="n"/>
      <c r="D921" s="90" t="n">
        <v>20704.56</v>
      </c>
      <c r="E921" s="90" t="n">
        <v>-20704.56</v>
      </c>
      <c r="F921" s="16" t="inlineStr">
        <is>
          <t>17.1 - PARCELAMENTO</t>
        </is>
      </c>
      <c r="G921" s="16" t="inlineStr">
        <is>
          <t>IMPOSTOS</t>
        </is>
      </c>
      <c r="H921" s="63" t="n">
        <v>2025</v>
      </c>
      <c r="I921" s="64" t="n">
        <v>6</v>
      </c>
      <c r="J921" s="16" t="inlineStr">
        <is>
          <t>Jun</t>
        </is>
      </c>
      <c r="K921" s="16" t="n"/>
      <c r="M921" s="89" t="n">
        <v>-20704.56</v>
      </c>
      <c r="N921" s="1" t="inlineStr">
        <is>
          <t>Parcelamento impostos exercicios anteriores</t>
        </is>
      </c>
      <c r="O921" s="1" t="inlineStr">
        <is>
          <t>(-) Despesas Não Operacionais</t>
        </is>
      </c>
      <c r="P921" s="1" t="inlineStr">
        <is>
          <t>(+/-)Despesas e Recebimentos Não Operacionais</t>
        </is>
      </c>
      <c r="Q921" s="1" t="n">
        <v>5</v>
      </c>
      <c r="R921" s="1" t="n">
        <v>2025</v>
      </c>
    </row>
    <row r="922">
      <c r="A922" s="61" t="n">
        <v>45838</v>
      </c>
      <c r="B922" s="16" t="inlineStr">
        <is>
          <t>DESPESAS LOTE TRINDADE AIDEAL</t>
        </is>
      </c>
      <c r="C922" s="90" t="n"/>
      <c r="D922" s="90" t="n">
        <v>1582.56</v>
      </c>
      <c r="E922" s="90" t="n">
        <v>-1582.56</v>
      </c>
      <c r="F922" s="16" t="inlineStr">
        <is>
          <t>15.4 - DESPESAS C/ CONSTRUÇÃO ESCRITORIO ADM</t>
        </is>
      </c>
      <c r="G922" s="16" t="inlineStr">
        <is>
          <t>LOTE TRINDADE</t>
        </is>
      </c>
      <c r="H922" s="63" t="n">
        <v>2025</v>
      </c>
      <c r="I922" s="64" t="n">
        <v>6</v>
      </c>
      <c r="J922" s="16" t="inlineStr">
        <is>
          <t>Jun</t>
        </is>
      </c>
      <c r="K922" s="16" t="n"/>
      <c r="M922" s="89" t="n">
        <v>-1582.56</v>
      </c>
      <c r="N922" s="1" t="inlineStr">
        <is>
          <t>Construção da Nova Sede</t>
        </is>
      </c>
      <c r="O922" s="1" t="inlineStr">
        <is>
          <t>Investimentos</t>
        </is>
      </c>
      <c r="P922" s="1" t="inlineStr">
        <is>
          <t>(-)Investimentos</t>
        </is>
      </c>
      <c r="Q922" s="1" t="n">
        <v>8</v>
      </c>
      <c r="R922" s="1" t="n">
        <v>2025</v>
      </c>
    </row>
    <row r="923">
      <c r="A923" s="61" t="n">
        <v>45838</v>
      </c>
      <c r="B923" s="16" t="inlineStr">
        <is>
          <t>797 - SYNERGON CONSULTORIA E CONTABILIDADE</t>
        </is>
      </c>
      <c r="C923" s="90" t="n"/>
      <c r="D923" s="90" t="n">
        <v>3910</v>
      </c>
      <c r="E923" s="90" t="n">
        <v>-3910</v>
      </c>
      <c r="F923" s="16" t="inlineStr">
        <is>
          <t>11.10 - CONTABILIDADE</t>
        </is>
      </c>
      <c r="G923" s="16" t="inlineStr">
        <is>
          <t>ADMINISTRATIVO</t>
        </is>
      </c>
      <c r="H923" s="63" t="n">
        <v>2025</v>
      </c>
      <c r="I923" s="64" t="n">
        <v>6</v>
      </c>
      <c r="J923" s="16" t="inlineStr">
        <is>
          <t>Jun</t>
        </is>
      </c>
      <c r="K923" s="16" t="n"/>
      <c r="M923" s="89" t="n">
        <v>-3910</v>
      </c>
      <c r="N923" s="1" t="inlineStr">
        <is>
          <t>HONORÁRIOS CONTÁBEIS</t>
        </is>
      </c>
      <c r="O923" s="1" t="inlineStr">
        <is>
          <t>Despesas Administrativas</t>
        </is>
      </c>
      <c r="P923" s="1" t="inlineStr">
        <is>
          <t>(-)Gastos Fixos</t>
        </is>
      </c>
      <c r="Q923" s="1" t="n">
        <v>4</v>
      </c>
      <c r="R923" s="1" t="n">
        <v>2025</v>
      </c>
    </row>
    <row r="924">
      <c r="A924" s="61" t="n">
        <v>45838</v>
      </c>
      <c r="B924" s="16" t="inlineStr">
        <is>
          <t>68 - GUSA DO BRASIL MOBILIARIO E CONTAINER</t>
        </is>
      </c>
      <c r="C924" s="90" t="n"/>
      <c r="D924" s="90" t="n">
        <v>900</v>
      </c>
      <c r="E924" s="90" t="n">
        <v>-900</v>
      </c>
      <c r="F924" s="16" t="inlineStr">
        <is>
          <t>7.6 - LOCAÇÃO CONTAINER</t>
        </is>
      </c>
      <c r="G924" s="16" t="inlineStr">
        <is>
          <t>SERENA 21 TORRES 2024</t>
        </is>
      </c>
      <c r="H924" s="63" t="n">
        <v>2025</v>
      </c>
      <c r="I924" s="64" t="n">
        <v>6</v>
      </c>
      <c r="J924" s="16" t="inlineStr">
        <is>
          <t>Jun</t>
        </is>
      </c>
      <c r="K924" s="16" t="n"/>
      <c r="M924" s="89" t="n">
        <v>-900</v>
      </c>
      <c r="N924" s="1" t="inlineStr">
        <is>
          <t>LOCAÇÃO CONTAINER</t>
        </is>
      </c>
      <c r="O924" s="1" t="inlineStr">
        <is>
          <t>Despesas com Locações</t>
        </is>
      </c>
      <c r="P924" s="1" t="inlineStr">
        <is>
          <t>(-)Gastos Fixos</t>
        </is>
      </c>
      <c r="Q924" s="1" t="n">
        <v>4</v>
      </c>
      <c r="R924" s="1" t="n">
        <v>2025</v>
      </c>
    </row>
    <row r="925">
      <c r="A925" s="61" t="n">
        <v>45838</v>
      </c>
      <c r="B925" s="16" t="inlineStr">
        <is>
          <t>206130 - SODEXO DO BRASIL COMERCIAL S.A</t>
        </is>
      </c>
      <c r="C925" s="90" t="n"/>
      <c r="D925" s="90" t="n">
        <v>2829</v>
      </c>
      <c r="E925" s="90" t="n">
        <v>-2829</v>
      </c>
      <c r="F925" s="16" t="inlineStr">
        <is>
          <t>12.5 - REFEIÇÕES FUNCIONARIOS</t>
        </is>
      </c>
      <c r="G925" s="16" t="inlineStr">
        <is>
          <t>EUROCHEM SERRA DO SALITRE</t>
        </is>
      </c>
      <c r="H925" s="63" t="n">
        <v>2025</v>
      </c>
      <c r="I925" s="64" t="n">
        <v>6</v>
      </c>
      <c r="J925" s="16" t="inlineStr">
        <is>
          <t>Jun</t>
        </is>
      </c>
      <c r="K925" s="16" t="n"/>
      <c r="M925" s="89" t="n">
        <v>-2829</v>
      </c>
      <c r="N925" s="1" t="inlineStr">
        <is>
          <t>12.5 - REFEIÇÕES FUNCIONARIOS</t>
        </is>
      </c>
      <c r="O925" s="1" t="n"/>
      <c r="P925" s="1" t="n"/>
      <c r="Q925" s="1" t="n"/>
      <c r="R925" s="1" t="n">
        <v>2025</v>
      </c>
    </row>
    <row r="926">
      <c r="A926" s="61" t="n">
        <v>45838</v>
      </c>
      <c r="B926" s="16" t="inlineStr">
        <is>
          <t>19190 / 2 - POSTO A+ COMERCIO DE COMBUSTIVEL LTDA</t>
        </is>
      </c>
      <c r="C926" s="90" t="n"/>
      <c r="D926" s="90" t="n">
        <v>940.24</v>
      </c>
      <c r="E926" s="90" t="n">
        <v>-940.24</v>
      </c>
      <c r="F926" s="16" t="inlineStr">
        <is>
          <t>6.4 - COMBUSTIVEL VEICULOS</t>
        </is>
      </c>
      <c r="G926" s="16" t="inlineStr">
        <is>
          <t>VLI PINTURA</t>
        </is>
      </c>
      <c r="H926" s="63" t="n">
        <v>2025</v>
      </c>
      <c r="I926" s="64" t="n">
        <v>6</v>
      </c>
      <c r="J926" s="16" t="inlineStr">
        <is>
          <t>Jun</t>
        </is>
      </c>
      <c r="K926" s="16" t="n"/>
      <c r="M926" s="89" t="n">
        <v>-940.24</v>
      </c>
      <c r="N926" s="1" t="inlineStr">
        <is>
          <t>COMBUSTIVEL VEICULOS</t>
        </is>
      </c>
      <c r="O926" s="1" t="inlineStr">
        <is>
          <t>Despesas com Veículos e Equipamentos</t>
        </is>
      </c>
      <c r="P926" s="1" t="inlineStr">
        <is>
          <t>(-)Gastos Fixos</t>
        </is>
      </c>
      <c r="Q926" s="1" t="n">
        <v>4</v>
      </c>
      <c r="R926" s="1" t="n">
        <v>2025</v>
      </c>
    </row>
    <row r="927">
      <c r="A927" s="61" t="n">
        <v>45838</v>
      </c>
      <c r="B927" s="16" t="inlineStr">
        <is>
          <t>19190 / 1 - POSTO A+ COMERCIO DE COMBUSTIVEL LTDA</t>
        </is>
      </c>
      <c r="C927" s="90" t="n"/>
      <c r="D927" s="90" t="n">
        <v>2055.18</v>
      </c>
      <c r="E927" s="90" t="n">
        <v>-2055.18</v>
      </c>
      <c r="F927" s="16" t="inlineStr">
        <is>
          <t>8.13 - COMBUSTIVEL EQUIPAMENTOS</t>
        </is>
      </c>
      <c r="G927" s="16" t="inlineStr">
        <is>
          <t>VLI PINTURA</t>
        </is>
      </c>
      <c r="H927" s="63" t="n">
        <v>2025</v>
      </c>
      <c r="I927" s="64" t="n">
        <v>6</v>
      </c>
      <c r="J927" s="16" t="inlineStr">
        <is>
          <t>Jun</t>
        </is>
      </c>
      <c r="K927" s="16" t="n"/>
      <c r="M927" s="89" t="n">
        <v>-2055.18</v>
      </c>
      <c r="N927" s="1" t="inlineStr">
        <is>
          <t>COMBUSTIVEL EQUIPAMENTOS</t>
        </is>
      </c>
      <c r="O927" s="1" t="inlineStr">
        <is>
          <t>Despesas com Máquinas e Equipamentos</t>
        </is>
      </c>
      <c r="P927" s="1" t="inlineStr">
        <is>
          <t>(-)Gastos Fixos</t>
        </is>
      </c>
      <c r="Q927" s="1" t="n">
        <v>4</v>
      </c>
      <c r="R927" s="1" t="n">
        <v>2025</v>
      </c>
    </row>
    <row r="928">
      <c r="A928" s="61" t="n"/>
      <c r="B928" s="16" t="n"/>
      <c r="C928" s="90" t="n"/>
      <c r="D928" s="90" t="n"/>
      <c r="E928" s="90" t="n"/>
      <c r="F928" s="16" t="n"/>
      <c r="G928" s="16" t="n"/>
      <c r="H928" s="63" t="n"/>
      <c r="I928" s="64" t="n"/>
      <c r="J928" s="16" t="n"/>
      <c r="K928" s="16" t="n"/>
      <c r="M928" s="89" t="n"/>
      <c r="N928" s="1" t="n"/>
      <c r="O928" s="1" t="n"/>
      <c r="P928" s="1" t="n"/>
      <c r="Q928" s="1" t="n"/>
      <c r="R928" s="1" t="n"/>
    </row>
    <row r="929">
      <c r="A929" s="61" t="n"/>
      <c r="B929" s="16" t="n"/>
      <c r="C929" s="90" t="n"/>
      <c r="D929" s="90" t="n"/>
      <c r="E929" s="90" t="n"/>
      <c r="F929" s="16" t="n"/>
      <c r="G929" s="16" t="n"/>
      <c r="H929" s="63" t="n"/>
      <c r="I929" s="64" t="n"/>
      <c r="J929" s="16" t="n"/>
      <c r="K929" s="16" t="n"/>
      <c r="M929" s="89" t="n"/>
      <c r="N929" s="1" t="n"/>
      <c r="O929" s="1" t="n"/>
      <c r="P929" s="1" t="n"/>
      <c r="Q929" s="1" t="n"/>
      <c r="R929" s="1" t="n"/>
    </row>
    <row r="930">
      <c r="A930" s="61" t="n"/>
      <c r="B930" s="16" t="n"/>
      <c r="C930" s="90" t="n"/>
      <c r="D930" s="90" t="n"/>
      <c r="E930" s="90" t="n"/>
      <c r="F930" s="16" t="n"/>
      <c r="G930" s="16" t="n"/>
      <c r="H930" s="63" t="n"/>
      <c r="I930" s="64" t="n"/>
      <c r="J930" s="16" t="n"/>
      <c r="K930" s="16" t="n"/>
      <c r="M930" s="89" t="n"/>
      <c r="N930" s="1" t="n"/>
      <c r="O930" s="1" t="n"/>
      <c r="P930" s="1" t="n"/>
      <c r="Q930" s="1" t="n"/>
      <c r="R930" s="1" t="n"/>
    </row>
    <row r="931">
      <c r="A931" s="61" t="n"/>
      <c r="B931" s="16" t="n"/>
      <c r="C931" s="90" t="n"/>
      <c r="D931" s="90" t="n"/>
      <c r="E931" s="90" t="n"/>
      <c r="F931" s="16" t="n"/>
      <c r="G931" s="16" t="n"/>
      <c r="H931" s="63" t="n"/>
      <c r="I931" s="64" t="n"/>
      <c r="J931" s="16" t="n"/>
      <c r="K931" s="16" t="n"/>
      <c r="M931" s="89" t="n"/>
      <c r="N931" s="1" t="n"/>
      <c r="O931" s="1" t="n"/>
      <c r="P931" s="1" t="n"/>
      <c r="Q931" s="1" t="n"/>
      <c r="R931" s="1" t="n"/>
    </row>
    <row r="932">
      <c r="A932" s="61" t="n"/>
      <c r="B932" s="16" t="n"/>
      <c r="C932" s="90" t="n"/>
      <c r="D932" s="90" t="n"/>
      <c r="E932" s="90" t="n"/>
      <c r="F932" s="16" t="n"/>
      <c r="G932" s="16" t="n"/>
      <c r="H932" s="63" t="n"/>
      <c r="I932" s="64" t="n"/>
      <c r="J932" s="16" t="n"/>
      <c r="K932" s="16" t="n"/>
      <c r="M932" s="89" t="n"/>
      <c r="N932" s="1" t="n"/>
      <c r="O932" s="1" t="n"/>
      <c r="P932" s="1" t="n"/>
      <c r="Q932" s="1" t="n"/>
      <c r="R932" s="1" t="n"/>
    </row>
    <row r="933">
      <c r="A933" s="61" t="n"/>
      <c r="B933" s="16" t="n"/>
      <c r="C933" s="90" t="n"/>
      <c r="D933" s="90" t="n"/>
      <c r="E933" s="90" t="n"/>
      <c r="F933" s="16" t="n"/>
      <c r="G933" s="16" t="n"/>
      <c r="H933" s="63" t="n"/>
      <c r="I933" s="64" t="n"/>
      <c r="J933" s="16" t="n"/>
      <c r="K933" s="16" t="n"/>
      <c r="M933" s="89" t="n"/>
      <c r="N933" s="1" t="n"/>
      <c r="O933" s="1" t="n"/>
      <c r="P933" s="1" t="n"/>
      <c r="Q933" s="1" t="n"/>
      <c r="R933" s="1" t="n"/>
    </row>
    <row r="934">
      <c r="A934" s="61" t="n"/>
      <c r="B934" s="16" t="n"/>
      <c r="C934" s="90" t="n"/>
      <c r="D934" s="90" t="n"/>
      <c r="E934" s="90" t="n"/>
      <c r="F934" s="16" t="n"/>
      <c r="G934" s="16" t="n"/>
      <c r="H934" s="63" t="n"/>
      <c r="I934" s="64" t="n"/>
      <c r="J934" s="16" t="n"/>
      <c r="K934" s="16" t="n"/>
      <c r="M934" s="89" t="n"/>
      <c r="N934" s="1" t="n"/>
      <c r="O934" s="1" t="n"/>
      <c r="P934" s="1" t="n"/>
      <c r="Q934" s="1" t="n"/>
      <c r="R934" s="1" t="n"/>
    </row>
    <row r="935">
      <c r="A935" s="61" t="n"/>
      <c r="B935" s="16" t="n"/>
      <c r="C935" s="90" t="n"/>
      <c r="D935" s="90" t="n"/>
      <c r="E935" s="90" t="n"/>
      <c r="F935" s="16" t="n"/>
      <c r="G935" s="16" t="n"/>
      <c r="H935" s="63" t="n"/>
      <c r="I935" s="64" t="n"/>
      <c r="J935" s="16" t="n"/>
      <c r="K935" s="16" t="n"/>
      <c r="M935" s="89" t="n"/>
      <c r="N935" s="1" t="n"/>
      <c r="O935" s="1" t="n"/>
      <c r="P935" s="1" t="n"/>
      <c r="Q935" s="1" t="n"/>
      <c r="R935" s="1" t="n"/>
    </row>
    <row r="936">
      <c r="A936" s="61" t="n"/>
      <c r="B936" s="16" t="n"/>
      <c r="C936" s="90" t="n"/>
      <c r="D936" s="90" t="n"/>
      <c r="E936" s="90" t="n"/>
      <c r="F936" s="16" t="n"/>
      <c r="G936" s="16" t="n"/>
      <c r="H936" s="63" t="n"/>
      <c r="I936" s="64" t="n"/>
      <c r="J936" s="16" t="n"/>
      <c r="K936" s="16" t="n"/>
      <c r="M936" s="89" t="n"/>
      <c r="N936" s="1" t="n"/>
      <c r="O936" s="1" t="n"/>
      <c r="P936" s="1" t="n"/>
      <c r="Q936" s="1" t="n"/>
      <c r="R936" s="1" t="n"/>
    </row>
    <row r="937">
      <c r="A937" s="61" t="n"/>
      <c r="B937" s="16" t="n"/>
      <c r="C937" s="90" t="n"/>
      <c r="D937" s="90" t="n"/>
      <c r="E937" s="90" t="n"/>
      <c r="F937" s="16" t="n"/>
      <c r="G937" s="16" t="n"/>
      <c r="H937" s="63" t="n"/>
      <c r="I937" s="64" t="n"/>
      <c r="J937" s="16" t="n"/>
      <c r="K937" s="16" t="n"/>
      <c r="M937" s="89" t="n"/>
      <c r="N937" s="1" t="n"/>
      <c r="O937" s="1" t="n"/>
      <c r="P937" s="1" t="n"/>
      <c r="Q937" s="1" t="n"/>
      <c r="R937" s="1" t="n"/>
    </row>
    <row r="938">
      <c r="A938" s="61" t="n"/>
      <c r="B938" s="16" t="n"/>
      <c r="C938" s="90" t="n"/>
      <c r="D938" s="90" t="n"/>
      <c r="E938" s="90" t="n"/>
      <c r="F938" s="16" t="n"/>
      <c r="G938" s="16" t="n"/>
      <c r="H938" s="63" t="n"/>
      <c r="I938" s="64" t="n"/>
      <c r="J938" s="16" t="n"/>
      <c r="K938" s="16" t="n"/>
      <c r="M938" s="89" t="n"/>
      <c r="N938" s="1" t="n"/>
      <c r="O938" s="1" t="n"/>
      <c r="P938" s="1" t="n"/>
      <c r="Q938" s="1" t="n"/>
      <c r="R938" s="1" t="n"/>
    </row>
    <row r="939">
      <c r="A939" s="61" t="n"/>
      <c r="B939" s="16" t="n"/>
      <c r="C939" s="90" t="n"/>
      <c r="D939" s="90" t="n"/>
      <c r="E939" s="90" t="n"/>
      <c r="F939" s="16" t="n"/>
      <c r="G939" s="16" t="n"/>
      <c r="H939" s="63" t="n"/>
      <c r="I939" s="64" t="n"/>
      <c r="J939" s="16" t="n"/>
      <c r="K939" s="16" t="n"/>
      <c r="M939" s="89" t="n"/>
      <c r="N939" s="1" t="n"/>
      <c r="O939" s="1" t="n"/>
      <c r="P939" s="1" t="n"/>
      <c r="Q939" s="1" t="n"/>
      <c r="R939" s="1" t="n"/>
    </row>
    <row r="940">
      <c r="A940" s="61" t="n"/>
      <c r="B940" s="16" t="n"/>
      <c r="C940" s="90" t="n"/>
      <c r="D940" s="90" t="n"/>
      <c r="E940" s="90" t="n"/>
      <c r="F940" s="16" t="n"/>
      <c r="G940" s="16" t="n"/>
      <c r="H940" s="63" t="n"/>
      <c r="I940" s="64" t="n"/>
      <c r="J940" s="16" t="n"/>
      <c r="K940" s="16" t="n"/>
      <c r="M940" s="89" t="n"/>
      <c r="N940" s="1" t="n"/>
      <c r="O940" s="1" t="n"/>
      <c r="P940" s="1" t="n"/>
      <c r="Q940" s="1" t="n"/>
      <c r="R940" s="1" t="n"/>
    </row>
    <row r="941">
      <c r="A941" s="61" t="n"/>
      <c r="B941" s="16" t="n"/>
      <c r="C941" s="90" t="n"/>
      <c r="D941" s="90" t="n"/>
      <c r="E941" s="90" t="n"/>
      <c r="F941" s="16" t="n"/>
      <c r="G941" s="16" t="n"/>
      <c r="H941" s="63" t="n"/>
      <c r="I941" s="64" t="n"/>
      <c r="J941" s="16" t="n"/>
      <c r="K941" s="16" t="n"/>
      <c r="M941" s="89" t="n"/>
      <c r="N941" s="1" t="n"/>
      <c r="O941" s="1" t="n"/>
      <c r="P941" s="1" t="n"/>
      <c r="Q941" s="1" t="n"/>
      <c r="R941" s="1" t="n"/>
    </row>
    <row r="942">
      <c r="A942" s="61" t="n"/>
      <c r="B942" s="16" t="n"/>
      <c r="C942" s="90" t="n"/>
      <c r="D942" s="90" t="n"/>
      <c r="E942" s="90" t="n"/>
      <c r="F942" s="16" t="n"/>
      <c r="G942" s="16" t="n"/>
      <c r="H942" s="63" t="n"/>
      <c r="I942" s="64" t="n"/>
      <c r="J942" s="16" t="n"/>
      <c r="K942" s="16" t="n"/>
      <c r="M942" s="89" t="n"/>
      <c r="N942" s="1" t="n"/>
      <c r="O942" s="1" t="n"/>
      <c r="P942" s="1" t="n"/>
      <c r="Q942" s="1" t="n"/>
      <c r="R942" s="1" t="n"/>
    </row>
    <row r="943">
      <c r="A943" s="61" t="n"/>
      <c r="B943" s="16" t="n"/>
      <c r="C943" s="90" t="n"/>
      <c r="D943" s="90" t="n"/>
      <c r="E943" s="90" t="n"/>
      <c r="F943" s="16" t="n"/>
      <c r="G943" s="16" t="n"/>
      <c r="H943" s="63" t="n"/>
      <c r="I943" s="64" t="n"/>
      <c r="J943" s="16" t="n"/>
      <c r="K943" s="16" t="n"/>
      <c r="M943" s="89" t="n"/>
      <c r="N943" s="1" t="n"/>
      <c r="O943" s="1" t="n"/>
      <c r="P943" s="1" t="n"/>
      <c r="Q943" s="1" t="n"/>
      <c r="R943" s="1" t="n"/>
    </row>
    <row r="944">
      <c r="A944" s="61" t="n"/>
      <c r="B944" s="16" t="n"/>
      <c r="C944" s="90" t="n"/>
      <c r="D944" s="90" t="n"/>
      <c r="E944" s="90" t="n"/>
      <c r="F944" s="16" t="n"/>
      <c r="G944" s="16" t="n"/>
      <c r="H944" s="63" t="n"/>
      <c r="I944" s="64" t="n"/>
      <c r="J944" s="16" t="n"/>
      <c r="K944" s="16" t="n"/>
      <c r="M944" s="89" t="n"/>
      <c r="N944" s="1" t="n"/>
      <c r="O944" s="1" t="n"/>
      <c r="P944" s="1" t="n"/>
      <c r="Q944" s="1" t="n"/>
      <c r="R944" s="1" t="n"/>
    </row>
    <row r="945">
      <c r="A945" s="61" t="n"/>
      <c r="B945" s="16" t="n"/>
      <c r="C945" s="90" t="n"/>
      <c r="D945" s="90" t="n"/>
      <c r="E945" s="90" t="n"/>
      <c r="F945" s="16" t="n"/>
      <c r="G945" s="16" t="n"/>
      <c r="H945" s="63" t="n"/>
      <c r="I945" s="64" t="n"/>
      <c r="J945" s="16" t="n"/>
      <c r="K945" s="16" t="n"/>
      <c r="M945" s="89" t="n"/>
      <c r="N945" s="1" t="n"/>
      <c r="O945" s="1" t="n"/>
      <c r="P945" s="1" t="n"/>
      <c r="Q945" s="1" t="n"/>
      <c r="R945" s="1" t="n"/>
    </row>
    <row r="946">
      <c r="A946" s="61" t="n"/>
      <c r="B946" s="16" t="n"/>
      <c r="C946" s="90" t="n"/>
      <c r="D946" s="90" t="n"/>
      <c r="E946" s="90" t="n"/>
      <c r="F946" s="16" t="n"/>
      <c r="G946" s="16" t="n"/>
      <c r="H946" s="63" t="n"/>
      <c r="I946" s="64" t="n"/>
      <c r="J946" s="16" t="n"/>
      <c r="K946" s="16" t="n"/>
      <c r="M946" s="89" t="n"/>
      <c r="N946" s="1" t="n"/>
      <c r="O946" s="1" t="n"/>
      <c r="P946" s="1" t="n"/>
      <c r="Q946" s="1" t="n"/>
      <c r="R946" s="1" t="n"/>
    </row>
    <row r="947">
      <c r="A947" s="61" t="n"/>
      <c r="B947" s="16" t="n"/>
      <c r="C947" s="90" t="n"/>
      <c r="D947" s="90" t="n"/>
      <c r="E947" s="90" t="n"/>
      <c r="F947" s="16" t="n"/>
      <c r="G947" s="16" t="n"/>
      <c r="H947" s="63" t="n"/>
      <c r="I947" s="64" t="n"/>
      <c r="J947" s="16" t="n"/>
      <c r="K947" s="16" t="n"/>
      <c r="M947" s="89" t="n"/>
      <c r="N947" s="1" t="n"/>
      <c r="O947" s="1" t="n"/>
      <c r="P947" s="1" t="n"/>
      <c r="Q947" s="1" t="n"/>
      <c r="R947" s="1" t="n"/>
    </row>
    <row r="948">
      <c r="A948" s="61" t="n"/>
      <c r="B948" s="16" t="n"/>
      <c r="C948" s="90" t="n"/>
      <c r="D948" s="90" t="n"/>
      <c r="E948" s="90" t="n"/>
      <c r="F948" s="16" t="n"/>
      <c r="G948" s="16" t="n"/>
      <c r="H948" s="63" t="n"/>
      <c r="I948" s="64" t="n"/>
      <c r="J948" s="16" t="n"/>
      <c r="K948" s="16" t="n"/>
      <c r="M948" s="89" t="n"/>
      <c r="N948" s="1" t="n"/>
      <c r="O948" s="1" t="n"/>
      <c r="P948" s="1" t="n"/>
      <c r="Q948" s="1" t="n"/>
      <c r="R948" s="1" t="n"/>
    </row>
    <row r="949">
      <c r="A949" s="61" t="n"/>
      <c r="B949" s="16" t="n"/>
      <c r="C949" s="90" t="n"/>
      <c r="D949" s="90" t="n"/>
      <c r="E949" s="90" t="n"/>
      <c r="F949" s="16" t="n"/>
      <c r="G949" s="16" t="n"/>
      <c r="H949" s="63" t="n"/>
      <c r="I949" s="64" t="n"/>
      <c r="J949" s="16" t="n"/>
      <c r="K949" s="16" t="n"/>
      <c r="M949" s="89" t="n"/>
      <c r="N949" s="1" t="n"/>
      <c r="O949" s="1" t="n"/>
      <c r="P949" s="1" t="n"/>
      <c r="Q949" s="1" t="n"/>
      <c r="R949" s="1" t="n"/>
    </row>
    <row r="950">
      <c r="A950" s="61" t="n"/>
      <c r="B950" s="16" t="n"/>
      <c r="C950" s="90" t="n"/>
      <c r="D950" s="90" t="n"/>
      <c r="E950" s="90" t="n"/>
      <c r="F950" s="16" t="n"/>
      <c r="G950" s="16" t="n"/>
      <c r="H950" s="63" t="n"/>
      <c r="I950" s="64" t="n"/>
      <c r="J950" s="16" t="n"/>
      <c r="K950" s="16" t="n"/>
      <c r="M950" s="89" t="n"/>
      <c r="N950" s="1" t="n"/>
      <c r="O950" s="1" t="n"/>
      <c r="P950" s="1" t="n"/>
      <c r="Q950" s="1" t="n"/>
      <c r="R950" s="1" t="n"/>
    </row>
    <row r="951">
      <c r="A951" s="61" t="n"/>
      <c r="B951" s="16" t="n"/>
      <c r="C951" s="90" t="n"/>
      <c r="D951" s="90" t="n"/>
      <c r="E951" s="90" t="n"/>
      <c r="F951" s="16" t="n"/>
      <c r="G951" s="16" t="n"/>
      <c r="H951" s="63" t="n"/>
      <c r="I951" s="64" t="n"/>
      <c r="J951" s="16" t="n"/>
      <c r="K951" s="16" t="n"/>
      <c r="M951" s="89" t="n"/>
      <c r="N951" s="1" t="n"/>
      <c r="O951" s="1" t="n"/>
      <c r="P951" s="1" t="n"/>
      <c r="Q951" s="1" t="n"/>
      <c r="R951" s="1" t="n"/>
    </row>
    <row r="952">
      <c r="A952" s="61" t="n"/>
      <c r="B952" s="16" t="n"/>
      <c r="C952" s="90" t="n"/>
      <c r="D952" s="90" t="n"/>
      <c r="E952" s="90" t="n"/>
      <c r="F952" s="16" t="n"/>
      <c r="G952" s="16" t="n"/>
      <c r="H952" s="63" t="n"/>
      <c r="I952" s="64" t="n"/>
      <c r="J952" s="16" t="n"/>
      <c r="K952" s="16" t="n"/>
      <c r="M952" s="89" t="n"/>
      <c r="N952" s="1" t="n"/>
      <c r="O952" s="1" t="n"/>
      <c r="P952" s="1" t="n"/>
      <c r="Q952" s="1" t="n"/>
      <c r="R952" s="1" t="n"/>
    </row>
    <row r="953">
      <c r="A953" s="61" t="n"/>
      <c r="B953" s="16" t="n"/>
      <c r="C953" s="90" t="n"/>
      <c r="D953" s="90" t="n"/>
      <c r="E953" s="90" t="n"/>
      <c r="F953" s="16" t="n"/>
      <c r="G953" s="16" t="n"/>
      <c r="H953" s="63" t="n"/>
      <c r="I953" s="64" t="n"/>
      <c r="J953" s="16" t="n"/>
      <c r="K953" s="16" t="n"/>
      <c r="M953" s="89" t="n"/>
      <c r="N953" s="1" t="n"/>
      <c r="O953" s="1" t="n"/>
      <c r="P953" s="1" t="n"/>
      <c r="Q953" s="1" t="n"/>
      <c r="R953" s="1" t="n"/>
    </row>
    <row r="954">
      <c r="A954" s="61" t="n"/>
      <c r="B954" s="16" t="n"/>
      <c r="C954" s="90" t="n"/>
      <c r="D954" s="90" t="n"/>
      <c r="E954" s="90" t="n"/>
      <c r="F954" s="16" t="n"/>
      <c r="G954" s="16" t="n"/>
      <c r="H954" s="63" t="n"/>
      <c r="I954" s="64" t="n"/>
      <c r="J954" s="16" t="n"/>
      <c r="K954" s="16" t="n"/>
      <c r="M954" s="89" t="n"/>
      <c r="N954" s="1" t="n"/>
      <c r="O954" s="1" t="n"/>
      <c r="P954" s="1" t="n"/>
      <c r="Q954" s="1" t="n"/>
      <c r="R954" s="1" t="n"/>
    </row>
    <row r="955">
      <c r="A955" s="61" t="n"/>
      <c r="B955" s="16" t="n"/>
      <c r="C955" s="90" t="n"/>
      <c r="D955" s="90" t="n"/>
      <c r="E955" s="90" t="n"/>
      <c r="F955" s="16" t="n"/>
      <c r="G955" s="16" t="n"/>
      <c r="H955" s="63" t="n"/>
      <c r="I955" s="64" t="n"/>
      <c r="J955" s="16" t="n"/>
      <c r="K955" s="16" t="n"/>
      <c r="M955" s="89" t="n"/>
      <c r="N955" s="1" t="n"/>
      <c r="O955" s="1" t="n"/>
      <c r="P955" s="1" t="n"/>
      <c r="Q955" s="1" t="n"/>
      <c r="R955" s="1" t="n"/>
    </row>
    <row r="956">
      <c r="A956" s="61" t="n"/>
      <c r="B956" s="16" t="n"/>
      <c r="C956" s="90" t="n"/>
      <c r="D956" s="90" t="n"/>
      <c r="E956" s="90" t="n"/>
      <c r="F956" s="16" t="n"/>
      <c r="G956" s="16" t="n"/>
      <c r="H956" s="63" t="n"/>
      <c r="I956" s="64" t="n"/>
      <c r="J956" s="16" t="n"/>
      <c r="K956" s="16" t="n"/>
      <c r="M956" s="89" t="n"/>
      <c r="N956" s="1" t="n"/>
      <c r="O956" s="1" t="n"/>
      <c r="P956" s="1" t="n"/>
      <c r="Q956" s="1" t="n"/>
      <c r="R956" s="1" t="n"/>
    </row>
    <row r="957">
      <c r="A957" s="61" t="n"/>
      <c r="B957" s="16" t="n"/>
      <c r="C957" s="90" t="n"/>
      <c r="D957" s="90" t="n"/>
      <c r="E957" s="90" t="n"/>
      <c r="F957" s="16" t="n"/>
      <c r="G957" s="16" t="n"/>
      <c r="H957" s="63" t="n"/>
      <c r="I957" s="64" t="n"/>
      <c r="J957" s="16" t="n"/>
      <c r="K957" s="16" t="n"/>
      <c r="M957" s="89" t="n"/>
      <c r="N957" s="1" t="n"/>
      <c r="O957" s="1" t="n"/>
      <c r="P957" s="1" t="n"/>
      <c r="Q957" s="1" t="n"/>
      <c r="R957" s="1" t="n"/>
    </row>
    <row r="958">
      <c r="A958" s="61" t="n"/>
      <c r="B958" s="16" t="n"/>
      <c r="C958" s="90" t="n"/>
      <c r="D958" s="90" t="n"/>
      <c r="E958" s="90" t="n"/>
      <c r="F958" s="16" t="n"/>
      <c r="G958" s="16" t="n"/>
      <c r="H958" s="63" t="n"/>
      <c r="I958" s="64" t="n"/>
      <c r="J958" s="16" t="n"/>
      <c r="K958" s="16" t="n"/>
      <c r="M958" s="89" t="n"/>
      <c r="N958" s="1" t="n"/>
      <c r="O958" s="1" t="n"/>
      <c r="P958" s="1" t="n"/>
      <c r="Q958" s="1" t="n"/>
      <c r="R958" s="1" t="n"/>
    </row>
    <row r="959">
      <c r="A959" s="61" t="n"/>
      <c r="B959" s="16" t="n"/>
      <c r="C959" s="90" t="n"/>
      <c r="D959" s="90" t="n"/>
      <c r="E959" s="90" t="n"/>
      <c r="F959" s="16" t="n"/>
      <c r="G959" s="16" t="n"/>
      <c r="H959" s="63" t="n"/>
      <c r="I959" s="64" t="n"/>
      <c r="J959" s="16" t="n"/>
      <c r="K959" s="16" t="n"/>
      <c r="M959" s="89" t="n"/>
      <c r="N959" s="1" t="n"/>
      <c r="O959" s="1" t="n"/>
      <c r="P959" s="1" t="n"/>
      <c r="Q959" s="1" t="n"/>
      <c r="R959" s="1" t="n"/>
    </row>
    <row r="960">
      <c r="A960" s="61" t="n"/>
      <c r="B960" s="16" t="n"/>
      <c r="C960" s="90" t="n"/>
      <c r="D960" s="90" t="n"/>
      <c r="E960" s="90" t="n"/>
      <c r="F960" s="16" t="n"/>
      <c r="G960" s="16" t="n"/>
      <c r="H960" s="63" t="n"/>
      <c r="I960" s="64" t="n"/>
      <c r="J960" s="16" t="n"/>
      <c r="K960" s="16" t="n"/>
      <c r="M960" s="89" t="n"/>
      <c r="N960" s="1" t="n"/>
      <c r="O960" s="1" t="n"/>
      <c r="P960" s="1" t="n"/>
      <c r="Q960" s="1" t="n"/>
      <c r="R960" s="1" t="n"/>
    </row>
    <row r="961">
      <c r="A961" s="61" t="n"/>
      <c r="B961" s="16" t="n"/>
      <c r="C961" s="90" t="n"/>
      <c r="D961" s="90" t="n"/>
      <c r="E961" s="90" t="n"/>
      <c r="F961" s="16" t="n"/>
      <c r="G961" s="16" t="n"/>
      <c r="H961" s="63" t="n"/>
      <c r="I961" s="64" t="n"/>
      <c r="J961" s="16" t="n"/>
      <c r="K961" s="16" t="n"/>
      <c r="M961" s="89" t="n"/>
      <c r="N961" s="1" t="n"/>
      <c r="O961" s="1" t="n"/>
      <c r="P961" s="1" t="n"/>
      <c r="Q961" s="1" t="n"/>
      <c r="R961" s="1" t="n"/>
    </row>
    <row r="962">
      <c r="A962" s="61" t="n"/>
      <c r="B962" s="16" t="n"/>
      <c r="C962" s="90" t="n"/>
      <c r="D962" s="90" t="n"/>
      <c r="E962" s="90" t="n"/>
      <c r="F962" s="16" t="n"/>
      <c r="G962" s="16" t="n"/>
      <c r="H962" s="63" t="n"/>
      <c r="I962" s="64" t="n"/>
      <c r="J962" s="16" t="n"/>
      <c r="K962" s="16" t="n"/>
      <c r="M962" s="89" t="n"/>
      <c r="N962" s="1" t="n"/>
      <c r="O962" s="1" t="n"/>
      <c r="P962" s="1" t="n"/>
      <c r="Q962" s="1" t="n"/>
      <c r="R962" s="1" t="n"/>
    </row>
    <row r="963">
      <c r="A963" s="61" t="n"/>
      <c r="B963" s="16" t="n"/>
      <c r="C963" s="90" t="n"/>
      <c r="D963" s="90" t="n"/>
      <c r="E963" s="90" t="n"/>
      <c r="F963" s="16" t="n"/>
      <c r="G963" s="16" t="n"/>
      <c r="H963" s="63" t="n"/>
      <c r="I963" s="64" t="n"/>
      <c r="J963" s="16" t="n"/>
      <c r="K963" s="16" t="n"/>
      <c r="M963" s="89" t="n"/>
      <c r="N963" s="1" t="n"/>
      <c r="O963" s="1" t="n"/>
      <c r="P963" s="1" t="n"/>
      <c r="Q963" s="1" t="n"/>
      <c r="R963" s="1" t="n"/>
    </row>
    <row r="964">
      <c r="A964" s="61" t="n"/>
      <c r="B964" s="16" t="n"/>
      <c r="C964" s="90" t="n"/>
      <c r="D964" s="90" t="n"/>
      <c r="E964" s="90" t="n"/>
      <c r="F964" s="16" t="n"/>
      <c r="G964" s="16" t="n"/>
      <c r="H964" s="63" t="n"/>
      <c r="I964" s="64" t="n"/>
      <c r="J964" s="16" t="n"/>
      <c r="K964" s="16" t="n"/>
      <c r="M964" s="89" t="n"/>
      <c r="N964" s="1" t="n"/>
      <c r="O964" s="1" t="n"/>
      <c r="P964" s="1" t="n"/>
      <c r="Q964" s="1" t="n"/>
      <c r="R964" s="1" t="n"/>
    </row>
    <row r="965">
      <c r="A965" s="61" t="n"/>
      <c r="B965" s="16" t="n"/>
      <c r="C965" s="90" t="n"/>
      <c r="D965" s="90" t="n"/>
      <c r="E965" s="90" t="n"/>
      <c r="F965" s="16" t="n"/>
      <c r="G965" s="16" t="n"/>
      <c r="H965" s="63" t="n"/>
      <c r="I965" s="64" t="n"/>
      <c r="J965" s="16" t="n"/>
      <c r="K965" s="16" t="n"/>
      <c r="M965" s="89" t="n"/>
      <c r="N965" s="1" t="n"/>
      <c r="O965" s="1" t="n"/>
      <c r="P965" s="1" t="n"/>
      <c r="Q965" s="1" t="n"/>
      <c r="R965" s="1" t="n"/>
    </row>
    <row r="966">
      <c r="A966" s="61" t="n"/>
      <c r="B966" s="16" t="n"/>
      <c r="C966" s="90" t="n"/>
      <c r="D966" s="90" t="n"/>
      <c r="E966" s="90" t="n"/>
      <c r="F966" s="16" t="n"/>
      <c r="G966" s="16" t="n"/>
      <c r="H966" s="63" t="n"/>
      <c r="I966" s="64" t="n"/>
      <c r="J966" s="16" t="n"/>
      <c r="K966" s="16" t="n"/>
      <c r="M966" s="89" t="n"/>
      <c r="N966" s="1" t="n"/>
      <c r="O966" s="1" t="n"/>
      <c r="P966" s="1" t="n"/>
      <c r="Q966" s="1" t="n"/>
      <c r="R966" s="1" t="n"/>
    </row>
    <row r="967">
      <c r="A967" s="61" t="n"/>
      <c r="B967" s="16" t="n"/>
      <c r="C967" s="90" t="n"/>
      <c r="D967" s="90" t="n"/>
      <c r="E967" s="90" t="n"/>
      <c r="F967" s="16" t="n"/>
      <c r="G967" s="16" t="n"/>
      <c r="H967" s="63" t="n"/>
      <c r="I967" s="64" t="n"/>
      <c r="J967" s="16" t="n"/>
      <c r="K967" s="16" t="n"/>
      <c r="M967" s="89" t="n"/>
      <c r="N967" s="1" t="n"/>
      <c r="O967" s="1" t="n"/>
      <c r="P967" s="1" t="n"/>
      <c r="Q967" s="1" t="n"/>
      <c r="R967" s="1" t="n"/>
    </row>
    <row r="968">
      <c r="A968" s="61" t="n"/>
      <c r="B968" s="16" t="n"/>
      <c r="C968" s="90" t="n"/>
      <c r="D968" s="90" t="n"/>
      <c r="E968" s="90" t="n"/>
      <c r="F968" s="16" t="n"/>
      <c r="G968" s="16" t="n"/>
      <c r="H968" s="63" t="n"/>
      <c r="I968" s="64" t="n"/>
      <c r="J968" s="16" t="n"/>
      <c r="K968" s="16" t="n"/>
      <c r="M968" s="89" t="n"/>
      <c r="N968" s="1" t="n"/>
      <c r="O968" s="1" t="n"/>
      <c r="P968" s="1" t="n"/>
      <c r="Q968" s="1" t="n"/>
      <c r="R968" s="1" t="n"/>
    </row>
    <row r="969">
      <c r="A969" s="61" t="n"/>
      <c r="B969" s="16" t="n"/>
      <c r="C969" s="90" t="n"/>
      <c r="D969" s="90" t="n"/>
      <c r="E969" s="90" t="n"/>
      <c r="F969" s="16" t="n"/>
      <c r="G969" s="16" t="n"/>
      <c r="H969" s="63" t="n"/>
      <c r="I969" s="64" t="n"/>
      <c r="J969" s="16" t="n"/>
      <c r="K969" s="16" t="n"/>
      <c r="M969" s="89" t="n"/>
      <c r="N969" s="1" t="n"/>
      <c r="O969" s="1" t="n"/>
      <c r="P969" s="1" t="n"/>
      <c r="Q969" s="1" t="n"/>
      <c r="R969" s="1" t="n"/>
    </row>
    <row r="970">
      <c r="A970" s="61" t="n"/>
      <c r="B970" s="16" t="n"/>
      <c r="C970" s="90" t="n"/>
      <c r="D970" s="90" t="n"/>
      <c r="E970" s="90" t="n"/>
      <c r="F970" s="16" t="n"/>
      <c r="G970" s="16" t="n"/>
      <c r="H970" s="63" t="n"/>
      <c r="I970" s="64" t="n"/>
      <c r="J970" s="16" t="n"/>
      <c r="K970" s="16" t="n"/>
      <c r="M970" s="89" t="n"/>
      <c r="N970" s="1" t="n"/>
      <c r="O970" s="1" t="n"/>
      <c r="P970" s="1" t="n"/>
      <c r="Q970" s="1" t="n"/>
      <c r="R970" s="1" t="n"/>
    </row>
    <row r="971">
      <c r="A971" s="61" t="n"/>
      <c r="B971" s="16" t="n"/>
      <c r="C971" s="90" t="n"/>
      <c r="D971" s="90" t="n"/>
      <c r="E971" s="90" t="n"/>
      <c r="F971" s="16" t="n"/>
      <c r="G971" s="16" t="n"/>
      <c r="H971" s="63" t="n"/>
      <c r="I971" s="64" t="n"/>
      <c r="J971" s="16" t="n"/>
      <c r="K971" s="16" t="n"/>
      <c r="M971" s="89" t="n"/>
      <c r="N971" s="1" t="n"/>
      <c r="O971" s="1" t="n"/>
      <c r="P971" s="1" t="n"/>
      <c r="Q971" s="1" t="n"/>
      <c r="R971" s="1" t="n"/>
    </row>
    <row r="972">
      <c r="A972" s="61" t="n"/>
      <c r="B972" s="16" t="n"/>
      <c r="C972" s="90" t="n"/>
      <c r="D972" s="90" t="n"/>
      <c r="E972" s="90" t="n"/>
      <c r="F972" s="16" t="n"/>
      <c r="G972" s="16" t="n"/>
      <c r="H972" s="63" t="n"/>
      <c r="I972" s="64" t="n"/>
      <c r="J972" s="16" t="n"/>
      <c r="K972" s="16" t="n"/>
      <c r="M972" s="89" t="n"/>
      <c r="N972" s="1" t="n"/>
      <c r="O972" s="1" t="n"/>
      <c r="P972" s="1" t="n"/>
      <c r="Q972" s="1" t="n"/>
      <c r="R972" s="1" t="n"/>
    </row>
    <row r="973">
      <c r="A973" s="61" t="n"/>
      <c r="B973" s="16" t="n"/>
      <c r="C973" s="90" t="n"/>
      <c r="D973" s="90" t="n"/>
      <c r="E973" s="90" t="n"/>
      <c r="F973" s="16" t="n"/>
      <c r="G973" s="16" t="n"/>
      <c r="H973" s="63" t="n"/>
      <c r="I973" s="64" t="n"/>
      <c r="J973" s="16" t="n"/>
      <c r="K973" s="16" t="n"/>
      <c r="M973" s="89" t="n"/>
      <c r="N973" s="1" t="n"/>
      <c r="O973" s="1" t="n"/>
      <c r="P973" s="1" t="n"/>
      <c r="Q973" s="1" t="n"/>
      <c r="R973" s="1" t="n"/>
    </row>
    <row r="974">
      <c r="A974" s="61" t="n"/>
      <c r="B974" s="16" t="n"/>
      <c r="C974" s="90" t="n"/>
      <c r="D974" s="90" t="n"/>
      <c r="E974" s="90" t="n"/>
      <c r="F974" s="16" t="n"/>
      <c r="G974" s="16" t="n"/>
      <c r="H974" s="63" t="n"/>
      <c r="I974" s="64" t="n"/>
      <c r="J974" s="16" t="n"/>
      <c r="K974" s="16" t="n"/>
      <c r="M974" s="89" t="n"/>
      <c r="N974" s="1" t="n"/>
      <c r="O974" s="1" t="n"/>
      <c r="P974" s="1" t="n"/>
      <c r="Q974" s="1" t="n"/>
      <c r="R974" s="1" t="n"/>
    </row>
    <row r="975">
      <c r="A975" s="61" t="n"/>
      <c r="B975" s="16" t="n"/>
      <c r="C975" s="90" t="n"/>
      <c r="D975" s="90" t="n"/>
      <c r="E975" s="90" t="n"/>
      <c r="F975" s="16" t="n"/>
      <c r="G975" s="16" t="n"/>
      <c r="H975" s="63" t="n"/>
      <c r="I975" s="64" t="n"/>
      <c r="J975" s="16" t="n"/>
      <c r="K975" s="16" t="n"/>
      <c r="M975" s="89" t="n"/>
      <c r="N975" s="1" t="n"/>
      <c r="O975" s="1" t="n"/>
      <c r="P975" s="1" t="n"/>
      <c r="Q975" s="1" t="n"/>
      <c r="R975" s="1" t="n"/>
    </row>
    <row r="976">
      <c r="A976" s="61" t="n"/>
      <c r="B976" s="16" t="n"/>
      <c r="C976" s="90" t="n"/>
      <c r="D976" s="90" t="n"/>
      <c r="E976" s="90" t="n"/>
      <c r="F976" s="16" t="n"/>
      <c r="G976" s="16" t="n"/>
      <c r="H976" s="63" t="n"/>
      <c r="I976" s="64" t="n"/>
      <c r="J976" s="16" t="n"/>
      <c r="K976" s="16" t="n"/>
      <c r="M976" s="89" t="n"/>
      <c r="N976" s="1" t="n"/>
      <c r="O976" s="1" t="n"/>
      <c r="P976" s="1" t="n"/>
      <c r="Q976" s="1" t="n"/>
      <c r="R976" s="1" t="n"/>
    </row>
    <row r="977">
      <c r="A977" s="61" t="n"/>
      <c r="B977" s="16" t="n"/>
      <c r="C977" s="90" t="n"/>
      <c r="D977" s="90" t="n"/>
      <c r="E977" s="90" t="n"/>
      <c r="F977" s="16" t="n"/>
      <c r="G977" s="16" t="n"/>
      <c r="H977" s="63" t="n"/>
      <c r="I977" s="64" t="n"/>
      <c r="J977" s="16" t="n"/>
      <c r="K977" s="16" t="n"/>
      <c r="M977" s="89" t="n"/>
      <c r="N977" s="1" t="n"/>
      <c r="O977" s="1" t="n"/>
      <c r="P977" s="1" t="n"/>
      <c r="Q977" s="1" t="n"/>
      <c r="R977" s="1" t="n"/>
    </row>
    <row r="978">
      <c r="A978" s="61" t="n"/>
      <c r="B978" s="16" t="n"/>
      <c r="C978" s="90" t="n"/>
      <c r="D978" s="90" t="n"/>
      <c r="E978" s="90" t="n"/>
      <c r="F978" s="16" t="n"/>
      <c r="G978" s="16" t="n"/>
      <c r="H978" s="63" t="n"/>
      <c r="I978" s="64" t="n"/>
      <c r="J978" s="16" t="n"/>
      <c r="K978" s="16" t="n"/>
      <c r="M978" s="89" t="n"/>
      <c r="N978" s="1" t="n"/>
      <c r="O978" s="1" t="n"/>
      <c r="P978" s="1" t="n"/>
      <c r="Q978" s="1" t="n"/>
      <c r="R978" s="1" t="n"/>
    </row>
    <row r="979">
      <c r="A979" s="61" t="n"/>
      <c r="B979" s="16" t="n"/>
      <c r="C979" s="90" t="n"/>
      <c r="D979" s="90" t="n"/>
      <c r="E979" s="90" t="n"/>
      <c r="F979" s="16" t="n"/>
      <c r="G979" s="16" t="n"/>
      <c r="H979" s="63" t="n"/>
      <c r="I979" s="64" t="n"/>
      <c r="J979" s="16" t="n"/>
      <c r="K979" s="16" t="n"/>
      <c r="M979" s="89" t="n"/>
      <c r="N979" s="1" t="n"/>
      <c r="O979" s="1" t="n"/>
      <c r="P979" s="1" t="n"/>
      <c r="Q979" s="1" t="n"/>
      <c r="R979" s="1" t="n"/>
    </row>
    <row r="980">
      <c r="A980" s="61" t="n"/>
      <c r="B980" s="16" t="n"/>
      <c r="C980" s="90" t="n"/>
      <c r="D980" s="90" t="n"/>
      <c r="E980" s="90" t="n"/>
      <c r="F980" s="16" t="n"/>
      <c r="G980" s="16" t="n"/>
      <c r="H980" s="63" t="n"/>
      <c r="I980" s="64" t="n"/>
      <c r="J980" s="16" t="n"/>
      <c r="K980" s="16" t="n"/>
      <c r="M980" s="89" t="n"/>
      <c r="N980" s="1" t="n"/>
      <c r="O980" s="1" t="n"/>
      <c r="P980" s="1" t="n"/>
      <c r="Q980" s="1" t="n"/>
      <c r="R980" s="1" t="n"/>
    </row>
    <row r="981">
      <c r="A981" s="61" t="n"/>
      <c r="B981" s="16" t="n"/>
      <c r="C981" s="90" t="n"/>
      <c r="D981" s="90" t="n"/>
      <c r="E981" s="90" t="n"/>
      <c r="F981" s="16" t="n"/>
      <c r="G981" s="16" t="n"/>
      <c r="H981" s="63" t="n"/>
      <c r="I981" s="64" t="n"/>
      <c r="J981" s="16" t="n"/>
      <c r="K981" s="16" t="n"/>
      <c r="M981" s="89" t="n"/>
      <c r="N981" s="1" t="n"/>
      <c r="O981" s="1" t="n"/>
      <c r="P981" s="1" t="n"/>
      <c r="Q981" s="1" t="n"/>
      <c r="R981" s="1" t="n"/>
    </row>
    <row r="982">
      <c r="A982" s="61" t="n"/>
      <c r="B982" s="16" t="n"/>
      <c r="C982" s="90" t="n"/>
      <c r="D982" s="90" t="n"/>
      <c r="E982" s="90" t="n"/>
      <c r="F982" s="16" t="n"/>
      <c r="G982" s="16" t="n"/>
      <c r="H982" s="63" t="n"/>
      <c r="I982" s="64" t="n"/>
      <c r="J982" s="16" t="n"/>
      <c r="K982" s="16" t="n"/>
      <c r="M982" s="89" t="n"/>
      <c r="N982" s="1" t="n"/>
      <c r="O982" s="1" t="n"/>
      <c r="P982" s="1" t="n"/>
      <c r="Q982" s="1" t="n"/>
      <c r="R982" s="1" t="n"/>
    </row>
    <row r="983">
      <c r="A983" s="61" t="n"/>
      <c r="B983" s="16" t="n"/>
      <c r="C983" s="90" t="n"/>
      <c r="D983" s="90" t="n"/>
      <c r="E983" s="90" t="n"/>
      <c r="F983" s="16" t="n"/>
      <c r="G983" s="16" t="n"/>
      <c r="H983" s="63" t="n"/>
      <c r="I983" s="64" t="n"/>
      <c r="J983" s="16" t="n"/>
      <c r="K983" s="16" t="n"/>
      <c r="M983" s="89" t="n"/>
      <c r="N983" s="1" t="n"/>
      <c r="O983" s="1" t="n"/>
      <c r="P983" s="1" t="n"/>
      <c r="Q983" s="1" t="n"/>
      <c r="R983" s="1" t="n"/>
    </row>
    <row r="984">
      <c r="A984" s="61" t="n"/>
      <c r="B984" s="16" t="n"/>
      <c r="C984" s="90" t="n"/>
      <c r="D984" s="90" t="n"/>
      <c r="E984" s="90" t="n"/>
      <c r="F984" s="16" t="n"/>
      <c r="G984" s="16" t="n"/>
      <c r="H984" s="63" t="n"/>
      <c r="I984" s="64" t="n"/>
      <c r="J984" s="16" t="n"/>
      <c r="K984" s="16" t="n"/>
      <c r="M984" s="89" t="n"/>
      <c r="N984" s="1" t="n"/>
      <c r="O984" s="1" t="n"/>
      <c r="P984" s="1" t="n"/>
      <c r="Q984" s="1" t="n"/>
      <c r="R984" s="1" t="n"/>
    </row>
    <row r="985">
      <c r="A985" s="61" t="n"/>
      <c r="B985" s="16" t="n"/>
      <c r="C985" s="90" t="n"/>
      <c r="D985" s="90" t="n"/>
      <c r="E985" s="90" t="n"/>
      <c r="F985" s="16" t="n"/>
      <c r="G985" s="16" t="n"/>
      <c r="H985" s="63" t="n"/>
      <c r="I985" s="64" t="n"/>
      <c r="J985" s="16" t="n"/>
      <c r="K985" s="16" t="n"/>
      <c r="M985" s="89" t="n"/>
      <c r="N985" s="1" t="n"/>
      <c r="O985" s="1" t="n"/>
      <c r="P985" s="1" t="n"/>
      <c r="Q985" s="1" t="n"/>
      <c r="R985" s="1" t="n"/>
    </row>
    <row r="986">
      <c r="A986" s="61" t="n"/>
      <c r="B986" s="16" t="n"/>
      <c r="C986" s="90" t="n"/>
      <c r="D986" s="90" t="n"/>
      <c r="E986" s="90" t="n"/>
      <c r="F986" s="16" t="n"/>
      <c r="G986" s="16" t="n"/>
      <c r="H986" s="63" t="n"/>
      <c r="I986" s="64" t="n"/>
      <c r="J986" s="16" t="n"/>
      <c r="K986" s="16" t="n"/>
      <c r="M986" s="89" t="n"/>
      <c r="N986" s="1" t="n"/>
      <c r="O986" s="1" t="n"/>
      <c r="P986" s="1" t="n"/>
      <c r="Q986" s="1" t="n"/>
      <c r="R986" s="1" t="n"/>
    </row>
    <row r="987">
      <c r="A987" s="61" t="n"/>
      <c r="B987" s="16" t="n"/>
      <c r="C987" s="90" t="n"/>
      <c r="D987" s="90" t="n"/>
      <c r="E987" s="90" t="n"/>
      <c r="F987" s="16" t="n"/>
      <c r="G987" s="16" t="n"/>
      <c r="H987" s="63" t="n"/>
      <c r="I987" s="64" t="n"/>
      <c r="J987" s="16" t="n"/>
      <c r="K987" s="16" t="n"/>
      <c r="M987" s="89" t="n"/>
      <c r="N987" s="1" t="n"/>
      <c r="O987" s="1" t="n"/>
      <c r="P987" s="1" t="n"/>
      <c r="Q987" s="1" t="n"/>
      <c r="R987" s="1" t="n"/>
    </row>
    <row r="988">
      <c r="A988" s="61" t="n"/>
      <c r="B988" s="16" t="n"/>
      <c r="C988" s="90" t="n"/>
      <c r="D988" s="90" t="n"/>
      <c r="E988" s="90" t="n"/>
      <c r="F988" s="16" t="n"/>
      <c r="G988" s="16" t="n"/>
      <c r="H988" s="63" t="n"/>
      <c r="I988" s="64" t="n"/>
      <c r="J988" s="16" t="n"/>
      <c r="K988" s="16" t="n"/>
      <c r="M988" s="89" t="n"/>
      <c r="N988" s="1" t="n"/>
      <c r="O988" s="1" t="n"/>
      <c r="P988" s="1" t="n"/>
      <c r="Q988" s="1" t="n"/>
      <c r="R988" s="1" t="n"/>
    </row>
    <row r="989">
      <c r="A989" s="61" t="n"/>
      <c r="B989" s="16" t="n"/>
      <c r="C989" s="90" t="n"/>
      <c r="D989" s="90" t="n"/>
      <c r="E989" s="90" t="n"/>
      <c r="F989" s="16" t="n"/>
      <c r="G989" s="16" t="n"/>
      <c r="H989" s="63" t="n"/>
      <c r="I989" s="64" t="n"/>
      <c r="J989" s="16" t="n"/>
      <c r="K989" s="16" t="n"/>
      <c r="M989" s="89" t="n"/>
      <c r="N989" s="1" t="n"/>
      <c r="O989" s="1" t="n"/>
      <c r="P989" s="1" t="n"/>
      <c r="Q989" s="1" t="n"/>
      <c r="R989" s="1" t="n"/>
    </row>
    <row r="990">
      <c r="A990" s="61" t="n"/>
      <c r="B990" s="16" t="n"/>
      <c r="C990" s="90" t="n"/>
      <c r="D990" s="90" t="n"/>
      <c r="E990" s="90" t="n"/>
      <c r="F990" s="16" t="n"/>
      <c r="G990" s="16" t="n"/>
      <c r="H990" s="63" t="n"/>
      <c r="I990" s="64" t="n"/>
      <c r="J990" s="16" t="n"/>
      <c r="K990" s="16" t="n"/>
      <c r="M990" s="89" t="n"/>
      <c r="N990" s="1" t="n"/>
      <c r="O990" s="1" t="n"/>
      <c r="P990" s="1" t="n"/>
      <c r="Q990" s="1" t="n"/>
      <c r="R990" s="1" t="n"/>
    </row>
    <row r="991">
      <c r="A991" s="61" t="n"/>
      <c r="B991" s="16" t="n"/>
      <c r="C991" s="90" t="n"/>
      <c r="D991" s="90" t="n"/>
      <c r="E991" s="90" t="n"/>
      <c r="F991" s="16" t="n"/>
      <c r="G991" s="16" t="n"/>
      <c r="H991" s="63" t="n"/>
      <c r="I991" s="64" t="n"/>
      <c r="J991" s="16" t="n"/>
      <c r="K991" s="16" t="n"/>
      <c r="M991" s="89" t="n"/>
      <c r="N991" s="1" t="n"/>
      <c r="O991" s="1" t="n"/>
      <c r="P991" s="1" t="n"/>
      <c r="Q991" s="1" t="n"/>
      <c r="R991" s="1" t="n"/>
    </row>
    <row r="992">
      <c r="A992" s="61" t="n"/>
      <c r="B992" s="16" t="n"/>
      <c r="C992" s="90" t="n"/>
      <c r="D992" s="90" t="n"/>
      <c r="E992" s="90" t="n"/>
      <c r="F992" s="16" t="n"/>
      <c r="G992" s="16" t="n"/>
      <c r="H992" s="63" t="n"/>
      <c r="I992" s="64" t="n"/>
      <c r="J992" s="16" t="n"/>
      <c r="K992" s="16" t="n"/>
      <c r="M992" s="89" t="n"/>
      <c r="N992" s="1" t="n"/>
      <c r="O992" s="1" t="n"/>
      <c r="P992" s="1" t="n"/>
      <c r="Q992" s="1" t="n"/>
      <c r="R992" s="1" t="n"/>
    </row>
    <row r="993">
      <c r="A993" s="61" t="n"/>
      <c r="B993" s="16" t="n"/>
      <c r="C993" s="90" t="n"/>
      <c r="D993" s="90" t="n"/>
      <c r="E993" s="90" t="n"/>
      <c r="F993" s="16" t="n"/>
      <c r="G993" s="16" t="n"/>
      <c r="H993" s="63" t="n"/>
      <c r="I993" s="64" t="n"/>
      <c r="J993" s="16" t="n"/>
      <c r="K993" s="16" t="n"/>
      <c r="M993" s="89" t="n"/>
      <c r="N993" s="1" t="n"/>
      <c r="O993" s="1" t="n"/>
      <c r="P993" s="1" t="n"/>
      <c r="Q993" s="1" t="n"/>
      <c r="R993" s="1" t="n"/>
    </row>
    <row r="994">
      <c r="A994" s="61" t="n"/>
      <c r="B994" s="16" t="n"/>
      <c r="C994" s="90" t="n"/>
      <c r="D994" s="90" t="n"/>
      <c r="E994" s="90" t="n"/>
      <c r="F994" s="16" t="n"/>
      <c r="G994" s="16" t="n"/>
      <c r="H994" s="63" t="n"/>
      <c r="I994" s="64" t="n"/>
      <c r="J994" s="16" t="n"/>
      <c r="K994" s="16" t="n"/>
      <c r="M994" s="89" t="n"/>
      <c r="N994" s="1" t="n"/>
      <c r="O994" s="1" t="n"/>
      <c r="P994" s="1" t="n"/>
      <c r="Q994" s="1" t="n"/>
      <c r="R994" s="1" t="n"/>
    </row>
    <row r="995">
      <c r="A995" s="61" t="n"/>
      <c r="B995" s="16" t="n"/>
      <c r="C995" s="90" t="n"/>
      <c r="D995" s="90" t="n"/>
      <c r="E995" s="90" t="n"/>
      <c r="F995" s="16" t="n"/>
      <c r="G995" s="16" t="n"/>
      <c r="H995" s="63" t="n"/>
      <c r="I995" s="64" t="n"/>
      <c r="J995" s="16" t="n"/>
      <c r="K995" s="16" t="n"/>
      <c r="M995" s="89" t="n"/>
      <c r="N995" s="1" t="n"/>
      <c r="O995" s="1" t="n"/>
      <c r="P995" s="1" t="n"/>
      <c r="Q995" s="1" t="n"/>
      <c r="R995" s="1" t="n"/>
    </row>
    <row r="996">
      <c r="A996" s="61" t="n"/>
      <c r="B996" s="16" t="n"/>
      <c r="C996" s="90" t="n"/>
      <c r="D996" s="90" t="n"/>
      <c r="E996" s="90" t="n"/>
      <c r="F996" s="16" t="n"/>
      <c r="G996" s="16" t="n"/>
      <c r="H996" s="63" t="n"/>
      <c r="I996" s="64" t="n"/>
      <c r="J996" s="16" t="n"/>
      <c r="K996" s="16" t="n"/>
      <c r="M996" s="89" t="n"/>
      <c r="N996" s="1" t="n"/>
      <c r="O996" s="1" t="n"/>
      <c r="P996" s="1" t="n"/>
      <c r="Q996" s="1" t="n"/>
      <c r="R996" s="1" t="n"/>
    </row>
    <row r="997">
      <c r="A997" s="61" t="n"/>
      <c r="B997" s="16" t="n"/>
      <c r="C997" s="90" t="n"/>
      <c r="D997" s="90" t="n"/>
      <c r="E997" s="90" t="n"/>
      <c r="F997" s="16" t="n"/>
      <c r="G997" s="16" t="n"/>
      <c r="H997" s="63" t="n"/>
      <c r="I997" s="64" t="n"/>
      <c r="J997" s="16" t="n"/>
      <c r="K997" s="16" t="n"/>
      <c r="M997" s="89" t="n"/>
      <c r="N997" s="1" t="n"/>
      <c r="O997" s="1" t="n"/>
      <c r="P997" s="1" t="n"/>
      <c r="Q997" s="1" t="n"/>
      <c r="R997" s="1" t="n"/>
    </row>
    <row r="998">
      <c r="A998" s="61" t="n"/>
      <c r="B998" s="16" t="n"/>
      <c r="C998" s="90" t="n"/>
      <c r="D998" s="90" t="n"/>
      <c r="E998" s="90" t="n"/>
      <c r="F998" s="16" t="n"/>
      <c r="G998" s="16" t="n"/>
      <c r="H998" s="63" t="n"/>
      <c r="I998" s="64" t="n"/>
      <c r="J998" s="16" t="n"/>
      <c r="K998" s="16" t="n"/>
      <c r="M998" s="89" t="n"/>
      <c r="N998" s="1" t="n"/>
      <c r="O998" s="1" t="n"/>
      <c r="P998" s="1" t="n"/>
      <c r="Q998" s="1" t="n"/>
      <c r="R998" s="1" t="n"/>
    </row>
    <row r="999">
      <c r="A999" s="61" t="n"/>
      <c r="B999" s="16" t="n"/>
      <c r="C999" s="90" t="n"/>
      <c r="D999" s="90" t="n"/>
      <c r="E999" s="90" t="n"/>
      <c r="F999" s="16" t="n"/>
      <c r="G999" s="16" t="n"/>
      <c r="H999" s="63" t="n"/>
      <c r="I999" s="64" t="n"/>
      <c r="J999" s="16" t="n"/>
      <c r="K999" s="16" t="n"/>
      <c r="M999" s="89" t="n"/>
      <c r="N999" s="1" t="n"/>
      <c r="O999" s="1" t="n"/>
      <c r="P999" s="1" t="n"/>
      <c r="Q999" s="1" t="n"/>
      <c r="R999" s="1" t="n"/>
    </row>
    <row r="1000">
      <c r="A1000" s="61" t="n"/>
      <c r="B1000" s="16" t="n"/>
      <c r="C1000" s="90" t="n"/>
      <c r="D1000" s="90" t="n"/>
      <c r="E1000" s="90" t="n"/>
      <c r="F1000" s="16" t="n"/>
      <c r="G1000" s="16" t="n"/>
      <c r="H1000" s="63" t="n"/>
      <c r="I1000" s="64" t="n"/>
      <c r="J1000" s="16" t="n"/>
      <c r="K1000" s="16" t="n"/>
      <c r="M1000" s="89" t="n"/>
      <c r="N1000" s="1" t="n"/>
      <c r="O1000" s="1" t="n"/>
      <c r="P1000" s="1" t="n"/>
      <c r="Q1000" s="1" t="n"/>
      <c r="R1000" s="1" t="n"/>
    </row>
    <row r="1001">
      <c r="A1001" s="61" t="n"/>
      <c r="B1001" s="16" t="n"/>
      <c r="C1001" s="90" t="n"/>
      <c r="D1001" s="90" t="n"/>
      <c r="E1001" s="90" t="n"/>
      <c r="F1001" s="16" t="n"/>
      <c r="G1001" s="16" t="n"/>
      <c r="H1001" s="63" t="n"/>
      <c r="I1001" s="64" t="n"/>
      <c r="J1001" s="16" t="n"/>
      <c r="K1001" s="16" t="n"/>
      <c r="M1001" s="89" t="n"/>
      <c r="N1001" s="1" t="n"/>
      <c r="O1001" s="1" t="n"/>
      <c r="P1001" s="1" t="n"/>
      <c r="Q1001" s="1" t="n"/>
      <c r="R1001" s="1" t="n"/>
    </row>
    <row r="1002">
      <c r="A1002" s="61" t="n"/>
      <c r="B1002" s="16" t="n"/>
      <c r="C1002" s="90" t="n"/>
      <c r="D1002" s="90" t="n"/>
      <c r="E1002" s="90" t="n"/>
      <c r="F1002" s="16" t="n"/>
      <c r="G1002" s="16" t="n"/>
      <c r="H1002" s="63" t="n"/>
      <c r="I1002" s="64" t="n"/>
      <c r="J1002" s="16" t="n"/>
      <c r="K1002" s="16" t="n"/>
      <c r="M1002" s="89" t="n"/>
      <c r="N1002" s="1" t="n"/>
      <c r="O1002" s="1" t="n"/>
      <c r="P1002" s="1" t="n"/>
      <c r="Q1002" s="1" t="n"/>
      <c r="R1002" s="1" t="n"/>
    </row>
    <row r="1003">
      <c r="A1003" s="61" t="n"/>
      <c r="B1003" s="16" t="n"/>
      <c r="C1003" s="90" t="n"/>
      <c r="D1003" s="90" t="n"/>
      <c r="E1003" s="90" t="n"/>
      <c r="F1003" s="16" t="n"/>
      <c r="G1003" s="16" t="n"/>
      <c r="H1003" s="63" t="n"/>
      <c r="I1003" s="64" t="n"/>
      <c r="J1003" s="16" t="n"/>
      <c r="K1003" s="16" t="n"/>
      <c r="M1003" s="89" t="n"/>
      <c r="N1003" s="1" t="n"/>
      <c r="O1003" s="1" t="n"/>
      <c r="P1003" s="1" t="n"/>
      <c r="Q1003" s="1" t="n"/>
      <c r="R1003" s="1" t="n"/>
    </row>
    <row r="1004">
      <c r="A1004" s="61" t="n"/>
      <c r="B1004" s="16" t="n"/>
      <c r="C1004" s="90" t="n"/>
      <c r="D1004" s="90" t="n"/>
      <c r="E1004" s="90" t="n"/>
      <c r="F1004" s="16" t="n"/>
      <c r="G1004" s="16" t="n"/>
      <c r="H1004" s="63" t="n"/>
      <c r="I1004" s="64" t="n"/>
      <c r="J1004" s="16" t="n"/>
      <c r="K1004" s="16" t="n"/>
      <c r="M1004" s="89" t="n"/>
      <c r="N1004" s="1" t="n"/>
      <c r="O1004" s="1" t="n"/>
      <c r="P1004" s="1" t="n"/>
      <c r="Q1004" s="1" t="n"/>
      <c r="R1004" s="1" t="n"/>
    </row>
    <row r="1005">
      <c r="A1005" s="61" t="n"/>
      <c r="B1005" s="16" t="n"/>
      <c r="C1005" s="90" t="n"/>
      <c r="D1005" s="90" t="n"/>
      <c r="E1005" s="90" t="n"/>
      <c r="F1005" s="16" t="n"/>
      <c r="G1005" s="16" t="n"/>
      <c r="H1005" s="63" t="n"/>
      <c r="I1005" s="64" t="n"/>
      <c r="J1005" s="16" t="n"/>
      <c r="K1005" s="16" t="n"/>
      <c r="M1005" s="89" t="n"/>
      <c r="N1005" s="1" t="n"/>
      <c r="O1005" s="1" t="n"/>
      <c r="P1005" s="1" t="n"/>
      <c r="Q1005" s="1" t="n"/>
      <c r="R1005" s="1" t="n"/>
    </row>
    <row r="1006">
      <c r="A1006" s="61" t="n"/>
      <c r="B1006" s="16" t="n"/>
      <c r="C1006" s="90" t="n"/>
      <c r="D1006" s="90" t="n"/>
      <c r="E1006" s="90" t="n"/>
      <c r="F1006" s="16" t="n"/>
      <c r="G1006" s="16" t="n"/>
      <c r="H1006" s="63" t="n"/>
      <c r="I1006" s="64" t="n"/>
      <c r="J1006" s="16" t="n"/>
      <c r="K1006" s="16" t="n"/>
      <c r="M1006" s="89" t="n"/>
      <c r="N1006" s="1" t="n"/>
      <c r="O1006" s="1" t="n"/>
      <c r="P1006" s="1" t="n"/>
      <c r="Q1006" s="1" t="n"/>
      <c r="R1006" s="1" t="n"/>
    </row>
    <row r="1007">
      <c r="A1007" s="61" t="n"/>
      <c r="B1007" s="16" t="n"/>
      <c r="C1007" s="90" t="n"/>
      <c r="D1007" s="90" t="n"/>
      <c r="E1007" s="90" t="n"/>
      <c r="F1007" s="16" t="n"/>
      <c r="G1007" s="16" t="n"/>
      <c r="H1007" s="63" t="n"/>
      <c r="I1007" s="64" t="n"/>
      <c r="J1007" s="16" t="n"/>
      <c r="K1007" s="16" t="n"/>
      <c r="M1007" s="89" t="n"/>
      <c r="N1007" s="1" t="n"/>
      <c r="O1007" s="1" t="n"/>
      <c r="P1007" s="1" t="n"/>
      <c r="Q1007" s="1" t="n"/>
      <c r="R1007" s="1" t="n"/>
    </row>
    <row r="1008">
      <c r="A1008" s="61" t="n"/>
      <c r="B1008" s="16" t="n"/>
      <c r="C1008" s="90" t="n"/>
      <c r="D1008" s="90" t="n"/>
      <c r="E1008" s="90" t="n"/>
      <c r="F1008" s="16" t="n"/>
      <c r="G1008" s="16" t="n"/>
      <c r="H1008" s="63" t="n"/>
      <c r="I1008" s="64" t="n"/>
      <c r="J1008" s="16" t="n"/>
      <c r="K1008" s="16" t="n"/>
      <c r="M1008" s="89" t="n"/>
      <c r="N1008" s="1" t="n"/>
      <c r="O1008" s="1" t="n"/>
      <c r="P1008" s="1" t="n"/>
      <c r="Q1008" s="1" t="n"/>
      <c r="R1008" s="1" t="n"/>
    </row>
    <row r="1009">
      <c r="A1009" s="61" t="n"/>
      <c r="B1009" s="16" t="n"/>
      <c r="C1009" s="90" t="n"/>
      <c r="D1009" s="90" t="n"/>
      <c r="E1009" s="90" t="n"/>
      <c r="F1009" s="16" t="n"/>
      <c r="G1009" s="16" t="n"/>
      <c r="H1009" s="63" t="n"/>
      <c r="I1009" s="64" t="n"/>
      <c r="J1009" s="16" t="n"/>
      <c r="K1009" s="16" t="n"/>
      <c r="M1009" s="89" t="n"/>
      <c r="N1009" s="1" t="n"/>
      <c r="O1009" s="1" t="n"/>
      <c r="P1009" s="1" t="n"/>
      <c r="Q1009" s="1" t="n"/>
      <c r="R1009" s="1" t="n"/>
    </row>
    <row r="1010">
      <c r="A1010" s="61" t="n"/>
      <c r="B1010" s="16" t="n"/>
      <c r="C1010" s="90" t="n"/>
      <c r="D1010" s="90" t="n"/>
      <c r="E1010" s="90" t="n"/>
      <c r="F1010" s="16" t="n"/>
      <c r="G1010" s="16" t="n"/>
      <c r="H1010" s="63" t="n"/>
      <c r="I1010" s="64" t="n"/>
      <c r="J1010" s="16" t="n"/>
      <c r="K1010" s="16" t="n"/>
      <c r="M1010" s="89" t="n"/>
      <c r="N1010" s="1" t="n"/>
      <c r="O1010" s="1" t="n"/>
      <c r="P1010" s="1" t="n"/>
      <c r="Q1010" s="1" t="n"/>
      <c r="R1010" s="1" t="n"/>
    </row>
    <row r="1011">
      <c r="A1011" s="61" t="n"/>
      <c r="B1011" s="16" t="n"/>
      <c r="C1011" s="90" t="n"/>
      <c r="D1011" s="90" t="n"/>
      <c r="E1011" s="90" t="n"/>
      <c r="F1011" s="16" t="n"/>
      <c r="G1011" s="16" t="n"/>
      <c r="H1011" s="63" t="n"/>
      <c r="I1011" s="64" t="n"/>
      <c r="J1011" s="16" t="n"/>
      <c r="K1011" s="16" t="n"/>
      <c r="M1011" s="89" t="n"/>
      <c r="N1011" s="1" t="n"/>
      <c r="O1011" s="1" t="n"/>
      <c r="P1011" s="1" t="n"/>
      <c r="Q1011" s="1" t="n"/>
      <c r="R1011" s="1" t="n"/>
    </row>
    <row r="1012">
      <c r="A1012" s="61" t="n"/>
      <c r="B1012" s="16" t="n"/>
      <c r="C1012" s="90" t="n"/>
      <c r="D1012" s="90" t="n"/>
      <c r="E1012" s="90" t="n"/>
      <c r="F1012" s="16" t="n"/>
      <c r="G1012" s="16" t="n"/>
      <c r="H1012" s="63" t="n"/>
      <c r="I1012" s="64" t="n"/>
      <c r="J1012" s="16" t="n"/>
      <c r="K1012" s="16" t="n"/>
      <c r="M1012" s="89" t="n"/>
      <c r="N1012" s="1" t="n"/>
      <c r="O1012" s="1" t="n"/>
      <c r="P1012" s="1" t="n"/>
      <c r="Q1012" s="1" t="n"/>
      <c r="R1012" s="1" t="n"/>
    </row>
    <row r="1013">
      <c r="A1013" s="61" t="n"/>
      <c r="B1013" s="16" t="n"/>
      <c r="C1013" s="90" t="n"/>
      <c r="D1013" s="90" t="n"/>
      <c r="E1013" s="90" t="n"/>
      <c r="F1013" s="16" t="n"/>
      <c r="G1013" s="16" t="n"/>
      <c r="H1013" s="63" t="n"/>
      <c r="I1013" s="64" t="n"/>
      <c r="J1013" s="16" t="n"/>
      <c r="K1013" s="16" t="n"/>
      <c r="M1013" s="89" t="n"/>
      <c r="N1013" s="1" t="n"/>
      <c r="O1013" s="1" t="n"/>
      <c r="P1013" s="1" t="n"/>
      <c r="Q1013" s="1" t="n"/>
      <c r="R1013" s="1" t="n"/>
    </row>
    <row r="1014">
      <c r="A1014" s="61" t="n"/>
      <c r="B1014" s="16" t="n"/>
      <c r="C1014" s="90" t="n"/>
      <c r="D1014" s="90" t="n"/>
      <c r="E1014" s="90" t="n"/>
      <c r="F1014" s="16" t="n"/>
      <c r="G1014" s="16" t="n"/>
      <c r="H1014" s="63" t="n"/>
      <c r="I1014" s="64" t="n"/>
      <c r="J1014" s="16" t="n"/>
      <c r="K1014" s="16" t="n"/>
      <c r="M1014" s="89" t="n"/>
      <c r="N1014" s="1" t="n"/>
      <c r="O1014" s="1" t="n"/>
      <c r="P1014" s="1" t="n"/>
      <c r="Q1014" s="1" t="n"/>
      <c r="R1014" s="1" t="n"/>
    </row>
    <row r="1015">
      <c r="A1015" s="61" t="n"/>
      <c r="B1015" s="16" t="n"/>
      <c r="C1015" s="90" t="n"/>
      <c r="D1015" s="90" t="n"/>
      <c r="E1015" s="90" t="n"/>
      <c r="F1015" s="16" t="n"/>
      <c r="G1015" s="16" t="n"/>
      <c r="H1015" s="63" t="n"/>
      <c r="I1015" s="64" t="n"/>
      <c r="J1015" s="16" t="n"/>
      <c r="K1015" s="16" t="n"/>
      <c r="M1015" s="89" t="n"/>
      <c r="N1015" s="1" t="n"/>
      <c r="O1015" s="1" t="n"/>
      <c r="P1015" s="1" t="n"/>
      <c r="Q1015" s="1" t="n"/>
      <c r="R1015" s="1" t="n"/>
    </row>
    <row r="1016">
      <c r="A1016" s="61" t="n"/>
      <c r="B1016" s="16" t="n"/>
      <c r="C1016" s="90" t="n"/>
      <c r="D1016" s="90" t="n"/>
      <c r="E1016" s="90" t="n"/>
      <c r="F1016" s="16" t="n"/>
      <c r="G1016" s="16" t="n"/>
      <c r="H1016" s="63" t="n"/>
      <c r="I1016" s="64" t="n"/>
      <c r="J1016" s="16" t="n"/>
      <c r="K1016" s="16" t="n"/>
      <c r="M1016" s="89" t="n"/>
      <c r="N1016" s="1" t="n"/>
      <c r="O1016" s="1" t="n"/>
      <c r="P1016" s="1" t="n"/>
      <c r="Q1016" s="1" t="n"/>
      <c r="R1016" s="1" t="n"/>
    </row>
    <row r="1017">
      <c r="A1017" s="61" t="n"/>
      <c r="B1017" s="16" t="n"/>
      <c r="C1017" s="90" t="n"/>
      <c r="D1017" s="90" t="n"/>
      <c r="E1017" s="90" t="n"/>
      <c r="F1017" s="16" t="n"/>
      <c r="G1017" s="16" t="n"/>
      <c r="H1017" s="63" t="n"/>
      <c r="I1017" s="64" t="n"/>
      <c r="J1017" s="16" t="n"/>
      <c r="K1017" s="16" t="n"/>
      <c r="M1017" s="89" t="n"/>
      <c r="N1017" s="1" t="n"/>
      <c r="O1017" s="1" t="n"/>
      <c r="P1017" s="1" t="n"/>
      <c r="Q1017" s="1" t="n"/>
      <c r="R1017" s="1" t="n"/>
    </row>
    <row r="1018">
      <c r="A1018" s="61" t="n"/>
      <c r="B1018" s="16" t="n"/>
      <c r="C1018" s="90" t="n"/>
      <c r="D1018" s="90" t="n"/>
      <c r="E1018" s="90" t="n"/>
      <c r="F1018" s="16" t="n"/>
      <c r="G1018" s="16" t="n"/>
      <c r="H1018" s="63" t="n"/>
      <c r="I1018" s="64" t="n"/>
      <c r="J1018" s="16" t="n"/>
      <c r="K1018" s="16" t="n"/>
      <c r="M1018" s="89" t="n"/>
      <c r="N1018" s="1" t="n"/>
      <c r="O1018" s="1" t="n"/>
      <c r="P1018" s="1" t="n"/>
      <c r="Q1018" s="1" t="n"/>
      <c r="R1018" s="1" t="n"/>
    </row>
    <row r="1019">
      <c r="A1019" s="61" t="n"/>
      <c r="B1019" s="16" t="n"/>
      <c r="C1019" s="90" t="n"/>
      <c r="D1019" s="90" t="n"/>
      <c r="E1019" s="90" t="n"/>
      <c r="F1019" s="16" t="n"/>
      <c r="G1019" s="16" t="n"/>
      <c r="H1019" s="63" t="n"/>
      <c r="I1019" s="64" t="n"/>
      <c r="J1019" s="16" t="n"/>
      <c r="K1019" s="16" t="n"/>
      <c r="M1019" s="89" t="n"/>
      <c r="N1019" s="1" t="n"/>
      <c r="O1019" s="1" t="n"/>
      <c r="P1019" s="1" t="n"/>
      <c r="Q1019" s="1" t="n"/>
      <c r="R1019" s="1" t="n"/>
    </row>
    <row r="1020">
      <c r="A1020" s="61" t="n"/>
      <c r="B1020" s="16" t="n"/>
      <c r="C1020" s="90" t="n"/>
      <c r="D1020" s="90" t="n"/>
      <c r="E1020" s="90" t="n"/>
      <c r="F1020" s="16" t="n"/>
      <c r="G1020" s="16" t="n"/>
      <c r="H1020" s="63" t="n"/>
      <c r="I1020" s="64" t="n"/>
      <c r="J1020" s="16" t="n"/>
      <c r="K1020" s="16" t="n"/>
      <c r="M1020" s="89" t="n"/>
      <c r="N1020" s="1" t="n"/>
      <c r="O1020" s="1" t="n"/>
      <c r="P1020" s="1" t="n"/>
      <c r="Q1020" s="1" t="n"/>
      <c r="R1020" s="1" t="n"/>
    </row>
    <row r="1021">
      <c r="A1021" s="61" t="n"/>
      <c r="B1021" s="16" t="n"/>
      <c r="C1021" s="90" t="n"/>
      <c r="D1021" s="90" t="n"/>
      <c r="E1021" s="90" t="n"/>
      <c r="F1021" s="16" t="n"/>
      <c r="G1021" s="16" t="n"/>
      <c r="H1021" s="63" t="n"/>
      <c r="I1021" s="64" t="n"/>
      <c r="J1021" s="16" t="n"/>
      <c r="K1021" s="16" t="n"/>
      <c r="M1021" s="89" t="n"/>
      <c r="N1021" s="1" t="n"/>
      <c r="O1021" s="1" t="n"/>
      <c r="P1021" s="1" t="n"/>
      <c r="Q1021" s="1" t="n"/>
      <c r="R1021" s="1" t="n"/>
    </row>
    <row r="1022">
      <c r="A1022" s="61" t="n"/>
      <c r="B1022" s="16" t="n"/>
      <c r="C1022" s="90" t="n"/>
      <c r="D1022" s="90" t="n"/>
      <c r="E1022" s="90" t="n"/>
      <c r="F1022" s="16" t="n"/>
      <c r="G1022" s="16" t="n"/>
      <c r="H1022" s="63" t="n"/>
      <c r="I1022" s="64" t="n"/>
      <c r="J1022" s="16" t="n"/>
      <c r="K1022" s="16" t="n"/>
      <c r="M1022" s="89" t="n"/>
      <c r="N1022" s="1" t="n"/>
      <c r="O1022" s="1" t="n"/>
      <c r="P1022" s="1" t="n"/>
      <c r="Q1022" s="1" t="n"/>
      <c r="R1022" s="1" t="n"/>
    </row>
    <row r="1023">
      <c r="A1023" s="61" t="n"/>
      <c r="B1023" s="16" t="n"/>
      <c r="C1023" s="90" t="n"/>
      <c r="D1023" s="90" t="n"/>
      <c r="E1023" s="90" t="n"/>
      <c r="F1023" s="16" t="n"/>
      <c r="G1023" s="16" t="n"/>
      <c r="H1023" s="63" t="n"/>
      <c r="I1023" s="64" t="n"/>
      <c r="J1023" s="16" t="n"/>
      <c r="K1023" s="16" t="n"/>
      <c r="M1023" s="89" t="n"/>
      <c r="N1023" s="1" t="n"/>
      <c r="O1023" s="1" t="n"/>
      <c r="P1023" s="1" t="n"/>
      <c r="Q1023" s="1" t="n"/>
      <c r="R1023" s="1" t="n"/>
    </row>
    <row r="1024">
      <c r="A1024" s="61" t="n"/>
      <c r="B1024" s="16" t="n"/>
      <c r="C1024" s="90" t="n"/>
      <c r="D1024" s="90" t="n"/>
      <c r="E1024" s="90" t="n"/>
      <c r="F1024" s="16" t="n"/>
      <c r="G1024" s="16" t="n"/>
      <c r="H1024" s="63" t="n"/>
      <c r="I1024" s="64" t="n"/>
      <c r="J1024" s="16" t="n"/>
      <c r="K1024" s="16" t="n"/>
      <c r="M1024" s="89" t="n"/>
      <c r="N1024" s="1" t="n"/>
      <c r="O1024" s="1" t="n"/>
      <c r="P1024" s="1" t="n"/>
      <c r="Q1024" s="1" t="n"/>
      <c r="R1024" s="1" t="n"/>
    </row>
    <row r="1025">
      <c r="A1025" s="61" t="n"/>
      <c r="B1025" s="16" t="n"/>
      <c r="C1025" s="90" t="n"/>
      <c r="D1025" s="90" t="n"/>
      <c r="E1025" s="90" t="n"/>
      <c r="F1025" s="16" t="n"/>
      <c r="G1025" s="16" t="n"/>
      <c r="H1025" s="63" t="n"/>
      <c r="I1025" s="64" t="n"/>
      <c r="J1025" s="16" t="n"/>
      <c r="K1025" s="16" t="n"/>
      <c r="M1025" s="89" t="n"/>
      <c r="N1025" s="1" t="n"/>
      <c r="O1025" s="1" t="n"/>
      <c r="P1025" s="1" t="n"/>
      <c r="Q1025" s="1" t="n"/>
      <c r="R1025" s="1" t="n"/>
    </row>
    <row r="1026">
      <c r="A1026" s="61" t="n"/>
      <c r="B1026" s="16" t="n"/>
      <c r="C1026" s="90" t="n"/>
      <c r="D1026" s="90" t="n"/>
      <c r="E1026" s="90" t="n"/>
      <c r="F1026" s="16" t="n"/>
      <c r="G1026" s="16" t="n"/>
      <c r="H1026" s="63" t="n"/>
      <c r="I1026" s="64" t="n"/>
      <c r="J1026" s="16" t="n"/>
      <c r="K1026" s="16" t="n"/>
      <c r="M1026" s="89" t="n"/>
      <c r="N1026" s="1" t="n"/>
      <c r="O1026" s="1" t="n"/>
      <c r="P1026" s="1" t="n"/>
      <c r="Q1026" s="1" t="n"/>
      <c r="R1026" s="1" t="n"/>
    </row>
    <row r="1027">
      <c r="A1027" s="61" t="n"/>
      <c r="B1027" s="16" t="n"/>
      <c r="C1027" s="90" t="n"/>
      <c r="D1027" s="90" t="n"/>
      <c r="E1027" s="90" t="n"/>
      <c r="F1027" s="16" t="n"/>
      <c r="G1027" s="16" t="n"/>
      <c r="H1027" s="63" t="n"/>
      <c r="I1027" s="64" t="n"/>
      <c r="J1027" s="16" t="n"/>
      <c r="K1027" s="16" t="n"/>
      <c r="M1027" s="89" t="n"/>
      <c r="N1027" s="1" t="n"/>
      <c r="O1027" s="1" t="n"/>
      <c r="P1027" s="1" t="n"/>
      <c r="Q1027" s="1" t="n"/>
      <c r="R1027" s="1" t="n"/>
    </row>
    <row r="1028">
      <c r="A1028" s="61" t="n"/>
      <c r="B1028" s="16" t="n"/>
      <c r="C1028" s="90" t="n"/>
      <c r="D1028" s="90" t="n"/>
      <c r="E1028" s="90" t="n"/>
      <c r="F1028" s="16" t="n"/>
      <c r="G1028" s="16" t="n"/>
      <c r="H1028" s="63" t="n"/>
      <c r="I1028" s="64" t="n"/>
      <c r="J1028" s="16" t="n"/>
      <c r="K1028" s="16" t="n"/>
      <c r="M1028" s="89" t="n"/>
      <c r="N1028" s="1" t="n"/>
      <c r="O1028" s="1" t="n"/>
      <c r="P1028" s="1" t="n"/>
      <c r="Q1028" s="1" t="n"/>
      <c r="R1028" s="1" t="n"/>
    </row>
    <row r="1029">
      <c r="A1029" s="61" t="n"/>
      <c r="B1029" s="16" t="n"/>
      <c r="C1029" s="90" t="n"/>
      <c r="D1029" s="90" t="n"/>
      <c r="E1029" s="90" t="n"/>
      <c r="F1029" s="16" t="n"/>
      <c r="G1029" s="16" t="n"/>
      <c r="H1029" s="63" t="n"/>
      <c r="I1029" s="64" t="n"/>
      <c r="J1029" s="16" t="n"/>
      <c r="K1029" s="16" t="n"/>
      <c r="M1029" s="89" t="n"/>
      <c r="N1029" s="1" t="n"/>
      <c r="O1029" s="1" t="n"/>
      <c r="P1029" s="1" t="n"/>
      <c r="Q1029" s="1" t="n"/>
      <c r="R1029" s="1" t="n"/>
    </row>
    <row r="1030">
      <c r="A1030" s="61" t="n"/>
      <c r="B1030" s="16" t="n"/>
      <c r="C1030" s="90" t="n"/>
      <c r="D1030" s="90" t="n"/>
      <c r="E1030" s="90" t="n"/>
      <c r="F1030" s="16" t="n"/>
      <c r="G1030" s="16" t="n"/>
      <c r="H1030" s="63" t="n"/>
      <c r="I1030" s="64" t="n"/>
      <c r="J1030" s="16" t="n"/>
      <c r="K1030" s="16" t="n"/>
      <c r="M1030" s="89" t="n"/>
      <c r="N1030" s="1" t="n"/>
      <c r="O1030" s="1" t="n"/>
      <c r="P1030" s="1" t="n"/>
      <c r="Q1030" s="1" t="n"/>
      <c r="R1030" s="1" t="n"/>
    </row>
    <row r="1031">
      <c r="A1031" s="61" t="n"/>
      <c r="B1031" s="16" t="n"/>
      <c r="C1031" s="90" t="n"/>
      <c r="D1031" s="90" t="n"/>
      <c r="E1031" s="90" t="n"/>
      <c r="F1031" s="16" t="n"/>
      <c r="G1031" s="16" t="n"/>
      <c r="H1031" s="63" t="n"/>
      <c r="I1031" s="64" t="n"/>
      <c r="J1031" s="16" t="n"/>
      <c r="K1031" s="16" t="n"/>
      <c r="M1031" s="89" t="n"/>
      <c r="N1031" s="1" t="n"/>
      <c r="O1031" s="1" t="n"/>
      <c r="P1031" s="1" t="n"/>
      <c r="Q1031" s="1" t="n"/>
      <c r="R1031" s="1" t="n"/>
    </row>
    <row r="1032">
      <c r="A1032" s="61" t="n"/>
      <c r="B1032" s="16" t="n"/>
      <c r="C1032" s="90" t="n"/>
      <c r="D1032" s="90" t="n"/>
      <c r="E1032" s="90" t="n"/>
      <c r="F1032" s="16" t="n"/>
      <c r="G1032" s="16" t="n"/>
      <c r="H1032" s="63" t="n"/>
      <c r="I1032" s="64" t="n"/>
      <c r="J1032" s="16" t="n"/>
      <c r="K1032" s="16" t="n"/>
      <c r="M1032" s="89" t="n"/>
      <c r="N1032" s="1" t="n"/>
      <c r="O1032" s="1" t="n"/>
      <c r="P1032" s="1" t="n"/>
      <c r="Q1032" s="1" t="n"/>
      <c r="R1032" s="1" t="n"/>
    </row>
    <row r="1033">
      <c r="A1033" s="61" t="n"/>
      <c r="B1033" s="16" t="n"/>
      <c r="C1033" s="90" t="n"/>
      <c r="D1033" s="90" t="n"/>
      <c r="E1033" s="90" t="n"/>
      <c r="F1033" s="16" t="n"/>
      <c r="G1033" s="16" t="n"/>
      <c r="H1033" s="63" t="n"/>
      <c r="I1033" s="64" t="n"/>
      <c r="J1033" s="16" t="n"/>
      <c r="K1033" s="16" t="n"/>
      <c r="M1033" s="89" t="n"/>
      <c r="N1033" s="1" t="n"/>
      <c r="O1033" s="1" t="n"/>
      <c r="P1033" s="1" t="n"/>
      <c r="Q1033" s="1" t="n"/>
      <c r="R1033" s="1" t="n"/>
    </row>
    <row r="1034">
      <c r="A1034" s="61" t="n"/>
      <c r="B1034" s="16" t="n"/>
      <c r="C1034" s="90" t="n"/>
      <c r="D1034" s="90" t="n"/>
      <c r="E1034" s="90" t="n"/>
      <c r="F1034" s="16" t="n"/>
      <c r="G1034" s="16" t="n"/>
      <c r="H1034" s="63" t="n"/>
      <c r="I1034" s="64" t="n"/>
      <c r="J1034" s="16" t="n"/>
      <c r="K1034" s="16" t="n"/>
      <c r="M1034" s="89" t="n"/>
      <c r="N1034" s="1" t="n"/>
      <c r="O1034" s="1" t="n"/>
      <c r="P1034" s="1" t="n"/>
      <c r="Q1034" s="1" t="n"/>
      <c r="R1034" s="1" t="n"/>
    </row>
    <row r="1035">
      <c r="A1035" s="61" t="n"/>
      <c r="B1035" s="16" t="n"/>
      <c r="C1035" s="90" t="n"/>
      <c r="D1035" s="90" t="n"/>
      <c r="E1035" s="90" t="n"/>
      <c r="F1035" s="16" t="n"/>
      <c r="G1035" s="16" t="n"/>
      <c r="H1035" s="63" t="n"/>
      <c r="I1035" s="64" t="n"/>
      <c r="J1035" s="16" t="n"/>
      <c r="K1035" s="16" t="n"/>
      <c r="M1035" s="89" t="n"/>
      <c r="N1035" s="1" t="n"/>
      <c r="O1035" s="1" t="n"/>
      <c r="P1035" s="1" t="n"/>
      <c r="Q1035" s="1" t="n"/>
      <c r="R1035" s="1" t="n"/>
    </row>
    <row r="1036">
      <c r="A1036" s="61" t="n"/>
      <c r="B1036" s="16" t="n"/>
      <c r="C1036" s="90" t="n"/>
      <c r="D1036" s="90" t="n"/>
      <c r="E1036" s="90" t="n"/>
      <c r="F1036" s="16" t="n"/>
      <c r="G1036" s="16" t="n"/>
      <c r="H1036" s="63" t="n"/>
      <c r="I1036" s="64" t="n"/>
      <c r="J1036" s="16" t="n"/>
      <c r="K1036" s="16" t="n"/>
      <c r="M1036" s="89" t="n"/>
      <c r="N1036" s="1" t="n"/>
      <c r="O1036" s="1" t="n"/>
      <c r="P1036" s="1" t="n"/>
      <c r="Q1036" s="1" t="n"/>
      <c r="R1036" s="1" t="n"/>
    </row>
    <row r="1037">
      <c r="A1037" s="61" t="n"/>
      <c r="B1037" s="16" t="n"/>
      <c r="C1037" s="90" t="n"/>
      <c r="D1037" s="90" t="n"/>
      <c r="E1037" s="90" t="n"/>
      <c r="F1037" s="16" t="n"/>
      <c r="G1037" s="16" t="n"/>
      <c r="H1037" s="63" t="n"/>
      <c r="I1037" s="64" t="n"/>
      <c r="J1037" s="16" t="n"/>
      <c r="K1037" s="16" t="n"/>
      <c r="M1037" s="89" t="n"/>
      <c r="N1037" s="1" t="n"/>
      <c r="O1037" s="1" t="n"/>
      <c r="P1037" s="1" t="n"/>
      <c r="Q1037" s="1" t="n"/>
      <c r="R1037" s="1" t="n"/>
    </row>
    <row r="1038">
      <c r="A1038" s="61" t="n"/>
      <c r="B1038" s="16" t="n"/>
      <c r="C1038" s="90" t="n"/>
      <c r="D1038" s="90" t="n"/>
      <c r="E1038" s="90" t="n"/>
      <c r="F1038" s="16" t="n"/>
      <c r="G1038" s="16" t="n"/>
      <c r="H1038" s="63" t="n"/>
      <c r="I1038" s="64" t="n"/>
      <c r="J1038" s="16" t="n"/>
      <c r="K1038" s="16" t="n"/>
      <c r="M1038" s="89" t="n"/>
      <c r="N1038" s="1" t="n"/>
      <c r="O1038" s="1" t="n"/>
      <c r="P1038" s="1" t="n"/>
      <c r="Q1038" s="1" t="n"/>
      <c r="R1038" s="1" t="n"/>
    </row>
    <row r="1039">
      <c r="A1039" s="61" t="n"/>
      <c r="B1039" s="16" t="n"/>
      <c r="C1039" s="90" t="n"/>
      <c r="D1039" s="90" t="n"/>
      <c r="E1039" s="90" t="n"/>
      <c r="F1039" s="16" t="n"/>
      <c r="G1039" s="16" t="n"/>
      <c r="H1039" s="63" t="n"/>
      <c r="I1039" s="64" t="n"/>
      <c r="J1039" s="16" t="n"/>
      <c r="K1039" s="16" t="n"/>
      <c r="M1039" s="89" t="n"/>
      <c r="N1039" s="1" t="n"/>
      <c r="O1039" s="1" t="n"/>
      <c r="P1039" s="1" t="n"/>
      <c r="Q1039" s="1" t="n"/>
      <c r="R1039" s="1" t="n"/>
    </row>
    <row r="1040">
      <c r="A1040" s="61" t="n"/>
      <c r="B1040" s="16" t="n"/>
      <c r="C1040" s="90" t="n"/>
      <c r="D1040" s="90" t="n"/>
      <c r="E1040" s="90" t="n"/>
      <c r="F1040" s="16" t="n"/>
      <c r="G1040" s="16" t="n"/>
      <c r="H1040" s="63" t="n"/>
      <c r="I1040" s="64" t="n"/>
      <c r="J1040" s="16" t="n"/>
      <c r="K1040" s="16" t="n"/>
      <c r="M1040" s="89" t="n"/>
      <c r="N1040" s="1" t="n"/>
      <c r="O1040" s="1" t="n"/>
      <c r="P1040" s="1" t="n"/>
      <c r="Q1040" s="1" t="n"/>
      <c r="R1040" s="1" t="n"/>
    </row>
    <row r="1041">
      <c r="A1041" s="61" t="n"/>
      <c r="B1041" s="16" t="n"/>
      <c r="C1041" s="90" t="n"/>
      <c r="D1041" s="90" t="n"/>
      <c r="E1041" s="90" t="n"/>
      <c r="F1041" s="16" t="n"/>
      <c r="G1041" s="16" t="n"/>
      <c r="H1041" s="63" t="n"/>
      <c r="I1041" s="64" t="n"/>
      <c r="J1041" s="16" t="n"/>
      <c r="K1041" s="16" t="n"/>
      <c r="M1041" s="89" t="n"/>
      <c r="N1041" s="1" t="n"/>
      <c r="O1041" s="1" t="n"/>
      <c r="P1041" s="1" t="n"/>
      <c r="Q1041" s="1" t="n"/>
      <c r="R1041" s="1" t="n"/>
    </row>
    <row r="1042">
      <c r="A1042" s="61" t="n"/>
      <c r="B1042" s="16" t="n"/>
      <c r="C1042" s="90" t="n"/>
      <c r="D1042" s="90" t="n"/>
      <c r="E1042" s="90" t="n"/>
      <c r="F1042" s="16" t="n"/>
      <c r="G1042" s="16" t="n"/>
      <c r="H1042" s="63" t="n"/>
      <c r="I1042" s="64" t="n"/>
      <c r="J1042" s="16" t="n"/>
      <c r="K1042" s="16" t="n"/>
      <c r="M1042" s="89" t="n"/>
      <c r="N1042" s="1" t="n"/>
      <c r="O1042" s="1" t="n"/>
      <c r="P1042" s="1" t="n"/>
      <c r="Q1042" s="1" t="n"/>
      <c r="R1042" s="1" t="n"/>
    </row>
    <row r="1043">
      <c r="A1043" s="61" t="n"/>
      <c r="B1043" s="16" t="n"/>
      <c r="C1043" s="90" t="n"/>
      <c r="D1043" s="90" t="n"/>
      <c r="E1043" s="90" t="n"/>
      <c r="F1043" s="16" t="n"/>
      <c r="G1043" s="16" t="n"/>
      <c r="H1043" s="63" t="n"/>
      <c r="I1043" s="64" t="n"/>
      <c r="J1043" s="16" t="n"/>
      <c r="K1043" s="16" t="n"/>
      <c r="M1043" s="89" t="n"/>
      <c r="N1043" s="1" t="n"/>
      <c r="O1043" s="1" t="n"/>
      <c r="P1043" s="1" t="n"/>
      <c r="Q1043" s="1" t="n"/>
      <c r="R1043" s="1" t="n"/>
    </row>
    <row r="1044">
      <c r="A1044" s="61" t="n"/>
      <c r="B1044" s="16" t="n"/>
      <c r="C1044" s="90" t="n"/>
      <c r="D1044" s="90" t="n"/>
      <c r="E1044" s="90" t="n"/>
      <c r="F1044" s="16" t="n"/>
      <c r="G1044" s="16" t="n"/>
      <c r="H1044" s="63" t="n"/>
      <c r="I1044" s="64" t="n"/>
      <c r="J1044" s="16" t="n"/>
      <c r="K1044" s="16" t="n"/>
      <c r="M1044" s="89" t="n"/>
      <c r="N1044" s="1" t="n"/>
      <c r="O1044" s="1" t="n"/>
      <c r="P1044" s="1" t="n"/>
      <c r="Q1044" s="1" t="n"/>
      <c r="R1044" s="1" t="n"/>
    </row>
    <row r="1045">
      <c r="A1045" s="61" t="n"/>
      <c r="B1045" s="16" t="n"/>
      <c r="C1045" s="90" t="n"/>
      <c r="D1045" s="90" t="n"/>
      <c r="E1045" s="90" t="n"/>
      <c r="F1045" s="16" t="n"/>
      <c r="G1045" s="16" t="n"/>
      <c r="H1045" s="63" t="n"/>
      <c r="I1045" s="64" t="n"/>
      <c r="J1045" s="16" t="n"/>
      <c r="K1045" s="16" t="n"/>
      <c r="M1045" s="89" t="n"/>
      <c r="N1045" s="1" t="n"/>
      <c r="O1045" s="1" t="n"/>
      <c r="P1045" s="1" t="n"/>
      <c r="Q1045" s="1" t="n"/>
      <c r="R1045" s="1" t="n"/>
    </row>
    <row r="1046">
      <c r="A1046" s="61" t="n"/>
      <c r="B1046" s="16" t="n"/>
      <c r="C1046" s="90" t="n"/>
      <c r="D1046" s="90" t="n"/>
      <c r="E1046" s="90" t="n"/>
      <c r="F1046" s="16" t="n"/>
      <c r="G1046" s="16" t="n"/>
      <c r="H1046" s="63" t="n"/>
      <c r="I1046" s="64" t="n"/>
      <c r="J1046" s="16" t="n"/>
      <c r="K1046" s="16" t="n"/>
      <c r="M1046" s="89" t="n"/>
      <c r="N1046" s="1" t="n"/>
      <c r="O1046" s="1" t="n"/>
      <c r="P1046" s="1" t="n"/>
      <c r="Q1046" s="1" t="n"/>
      <c r="R1046" s="1" t="n"/>
    </row>
    <row r="1047">
      <c r="A1047" s="61" t="n"/>
      <c r="B1047" s="16" t="n"/>
      <c r="C1047" s="90" t="n"/>
      <c r="D1047" s="90" t="n"/>
      <c r="E1047" s="90" t="n"/>
      <c r="F1047" s="16" t="n"/>
      <c r="G1047" s="16" t="n"/>
      <c r="H1047" s="63" t="n"/>
      <c r="I1047" s="64" t="n"/>
      <c r="J1047" s="16" t="n"/>
      <c r="K1047" s="16" t="n"/>
      <c r="M1047" s="89" t="n"/>
      <c r="N1047" s="1" t="n"/>
      <c r="O1047" s="1" t="n"/>
      <c r="P1047" s="1" t="n"/>
      <c r="Q1047" s="1" t="n"/>
      <c r="R1047" s="1" t="n"/>
    </row>
    <row r="1048">
      <c r="A1048" s="61" t="n"/>
      <c r="B1048" s="16" t="n"/>
      <c r="C1048" s="90" t="n"/>
      <c r="D1048" s="90" t="n"/>
      <c r="E1048" s="90" t="n"/>
      <c r="F1048" s="16" t="n"/>
      <c r="G1048" s="16" t="n"/>
      <c r="H1048" s="63" t="n"/>
      <c r="I1048" s="64" t="n"/>
      <c r="J1048" s="16" t="n"/>
      <c r="K1048" s="16" t="n"/>
      <c r="M1048" s="89" t="n"/>
      <c r="N1048" s="1" t="n"/>
      <c r="O1048" s="1" t="n"/>
      <c r="P1048" s="1" t="n"/>
      <c r="Q1048" s="1" t="n"/>
      <c r="R1048" s="1" t="n"/>
    </row>
    <row r="1049">
      <c r="A1049" s="61" t="n"/>
      <c r="B1049" s="16" t="n"/>
      <c r="C1049" s="90" t="n"/>
      <c r="D1049" s="90" t="n"/>
      <c r="E1049" s="90" t="n"/>
      <c r="F1049" s="16" t="n"/>
      <c r="G1049" s="16" t="n"/>
      <c r="H1049" s="63" t="n"/>
      <c r="I1049" s="64" t="n"/>
      <c r="J1049" s="16" t="n"/>
      <c r="K1049" s="16" t="n"/>
      <c r="M1049" s="89" t="n"/>
      <c r="N1049" s="1" t="n"/>
      <c r="O1049" s="1" t="n"/>
      <c r="P1049" s="1" t="n"/>
      <c r="Q1049" s="1" t="n"/>
      <c r="R1049" s="1" t="n"/>
    </row>
    <row r="1050">
      <c r="A1050" s="61" t="n"/>
      <c r="B1050" s="16" t="n"/>
      <c r="C1050" s="90" t="n"/>
      <c r="D1050" s="90" t="n"/>
      <c r="E1050" s="90" t="n"/>
      <c r="F1050" s="16" t="n"/>
      <c r="G1050" s="16" t="n"/>
      <c r="H1050" s="63" t="n"/>
      <c r="I1050" s="64" t="n"/>
      <c r="J1050" s="16" t="n"/>
      <c r="K1050" s="16" t="n"/>
      <c r="M1050" s="89" t="n"/>
      <c r="N1050" s="1" t="n"/>
      <c r="O1050" s="1" t="n"/>
      <c r="P1050" s="1" t="n"/>
      <c r="Q1050" s="1" t="n"/>
      <c r="R1050" s="1" t="n"/>
    </row>
    <row r="1051">
      <c r="A1051" s="61" t="n"/>
      <c r="B1051" s="16" t="n"/>
      <c r="C1051" s="90" t="n"/>
      <c r="D1051" s="90" t="n"/>
      <c r="E1051" s="90" t="n"/>
      <c r="F1051" s="16" t="n"/>
      <c r="G1051" s="16" t="n"/>
      <c r="H1051" s="63" t="n"/>
      <c r="I1051" s="64" t="n"/>
      <c r="J1051" s="16" t="n"/>
      <c r="K1051" s="16" t="n"/>
      <c r="M1051" s="89" t="n"/>
      <c r="N1051" s="1" t="n"/>
      <c r="O1051" s="1" t="n"/>
      <c r="P1051" s="1" t="n"/>
      <c r="Q1051" s="1" t="n"/>
      <c r="R1051" s="1" t="n"/>
    </row>
    <row r="1052">
      <c r="A1052" s="61" t="n"/>
      <c r="B1052" s="16" t="n"/>
      <c r="C1052" s="90" t="n"/>
      <c r="D1052" s="90" t="n"/>
      <c r="E1052" s="90" t="n"/>
      <c r="F1052" s="16" t="n"/>
      <c r="G1052" s="16" t="n"/>
      <c r="H1052" s="63" t="n"/>
      <c r="I1052" s="64" t="n"/>
      <c r="J1052" s="16" t="n"/>
      <c r="K1052" s="16" t="n"/>
      <c r="M1052" s="89" t="n"/>
      <c r="N1052" s="1" t="n"/>
      <c r="O1052" s="1" t="n"/>
      <c r="P1052" s="1" t="n"/>
      <c r="Q1052" s="1" t="n"/>
      <c r="R1052" s="1" t="n"/>
    </row>
    <row r="1053">
      <c r="A1053" s="61" t="n"/>
      <c r="B1053" s="16" t="n"/>
      <c r="C1053" s="90" t="n"/>
      <c r="D1053" s="90" t="n"/>
      <c r="E1053" s="90" t="n"/>
      <c r="F1053" s="16" t="n"/>
      <c r="G1053" s="16" t="n"/>
      <c r="H1053" s="63" t="n"/>
      <c r="I1053" s="64" t="n"/>
      <c r="J1053" s="16" t="n"/>
      <c r="K1053" s="16" t="n"/>
      <c r="M1053" s="89" t="n"/>
      <c r="N1053" s="1" t="n"/>
      <c r="O1053" s="1" t="n"/>
      <c r="P1053" s="1" t="n"/>
      <c r="Q1053" s="1" t="n"/>
      <c r="R1053" s="1" t="n"/>
    </row>
    <row r="1054">
      <c r="A1054" s="61" t="n"/>
      <c r="B1054" s="16" t="n"/>
      <c r="C1054" s="90" t="n"/>
      <c r="D1054" s="90" t="n"/>
      <c r="E1054" s="90" t="n"/>
      <c r="F1054" s="16" t="n"/>
      <c r="G1054" s="16" t="n"/>
      <c r="H1054" s="63" t="n"/>
      <c r="I1054" s="64" t="n"/>
      <c r="J1054" s="16" t="n"/>
      <c r="K1054" s="16" t="n"/>
      <c r="M1054" s="89" t="n"/>
      <c r="N1054" s="1" t="n"/>
      <c r="O1054" s="1" t="n"/>
      <c r="P1054" s="1" t="n"/>
      <c r="Q1054" s="1" t="n"/>
      <c r="R1054" s="1" t="n"/>
    </row>
    <row r="1055">
      <c r="A1055" s="61" t="n"/>
      <c r="B1055" s="16" t="n"/>
      <c r="C1055" s="90" t="n"/>
      <c r="D1055" s="90" t="n"/>
      <c r="E1055" s="90" t="n"/>
      <c r="F1055" s="16" t="n"/>
      <c r="G1055" s="16" t="n"/>
      <c r="H1055" s="63" t="n"/>
      <c r="I1055" s="64" t="n"/>
      <c r="J1055" s="16" t="n"/>
      <c r="K1055" s="16" t="n"/>
      <c r="M1055" s="89" t="n"/>
      <c r="N1055" s="1" t="n"/>
      <c r="O1055" s="1" t="n"/>
      <c r="P1055" s="1" t="n"/>
      <c r="Q1055" s="1" t="n"/>
      <c r="R1055" s="1" t="n"/>
    </row>
    <row r="1056">
      <c r="A1056" s="61" t="n"/>
      <c r="B1056" s="16" t="n"/>
      <c r="C1056" s="90" t="n"/>
      <c r="D1056" s="90" t="n"/>
      <c r="E1056" s="90" t="n"/>
      <c r="F1056" s="16" t="n"/>
      <c r="G1056" s="16" t="n"/>
      <c r="H1056" s="63" t="n"/>
      <c r="I1056" s="64" t="n"/>
      <c r="J1056" s="16" t="n"/>
      <c r="K1056" s="16" t="n"/>
      <c r="M1056" s="89" t="n"/>
      <c r="N1056" s="1" t="n"/>
      <c r="O1056" s="1" t="n"/>
      <c r="P1056" s="1" t="n"/>
      <c r="Q1056" s="1" t="n"/>
      <c r="R1056" s="1" t="n"/>
    </row>
    <row r="1057">
      <c r="A1057" s="61" t="n"/>
      <c r="B1057" s="16" t="n"/>
      <c r="C1057" s="90" t="n"/>
      <c r="D1057" s="90" t="n"/>
      <c r="E1057" s="90" t="n"/>
      <c r="F1057" s="16" t="n"/>
      <c r="G1057" s="16" t="n"/>
      <c r="H1057" s="63" t="n"/>
      <c r="I1057" s="64" t="n"/>
      <c r="J1057" s="16" t="n"/>
      <c r="K1057" s="16" t="n"/>
      <c r="M1057" s="89" t="n"/>
      <c r="N1057" s="1" t="n"/>
      <c r="O1057" s="1" t="n"/>
      <c r="P1057" s="1" t="n"/>
      <c r="Q1057" s="1" t="n"/>
      <c r="R1057" s="1" t="n"/>
    </row>
    <row r="1058">
      <c r="A1058" s="61" t="n"/>
      <c r="B1058" s="16" t="n"/>
      <c r="C1058" s="90" t="n"/>
      <c r="D1058" s="90" t="n"/>
      <c r="E1058" s="90" t="n"/>
      <c r="F1058" s="16" t="n"/>
      <c r="G1058" s="16" t="n"/>
      <c r="H1058" s="63" t="n"/>
      <c r="I1058" s="64" t="n"/>
      <c r="J1058" s="16" t="n"/>
      <c r="K1058" s="16" t="n"/>
      <c r="M1058" s="89" t="n"/>
      <c r="N1058" s="1" t="n"/>
      <c r="O1058" s="1" t="n"/>
      <c r="P1058" s="1" t="n"/>
      <c r="Q1058" s="1" t="n"/>
      <c r="R1058" s="1" t="n"/>
    </row>
    <row r="1059">
      <c r="A1059" s="61" t="n"/>
      <c r="B1059" s="16" t="n"/>
      <c r="C1059" s="90" t="n"/>
      <c r="D1059" s="90" t="n"/>
      <c r="E1059" s="90" t="n"/>
      <c r="F1059" s="16" t="n"/>
      <c r="G1059" s="16" t="n"/>
      <c r="H1059" s="63" t="n"/>
      <c r="I1059" s="64" t="n"/>
      <c r="J1059" s="16" t="n"/>
      <c r="K1059" s="16" t="n"/>
      <c r="M1059" s="89" t="n"/>
      <c r="N1059" s="1" t="n"/>
      <c r="O1059" s="1" t="n"/>
      <c r="P1059" s="1" t="n"/>
      <c r="Q1059" s="1" t="n"/>
      <c r="R1059" s="1" t="n"/>
    </row>
    <row r="1060">
      <c r="A1060" s="61" t="n"/>
      <c r="B1060" s="16" t="n"/>
      <c r="C1060" s="90" t="n"/>
      <c r="D1060" s="90" t="n"/>
      <c r="E1060" s="90" t="n"/>
      <c r="F1060" s="16" t="n"/>
      <c r="G1060" s="16" t="n"/>
      <c r="H1060" s="63" t="n"/>
      <c r="I1060" s="64" t="n"/>
      <c r="J1060" s="16" t="n"/>
      <c r="K1060" s="16" t="n"/>
      <c r="M1060" s="89" t="n"/>
      <c r="N1060" s="1" t="n"/>
      <c r="O1060" s="1" t="n"/>
      <c r="P1060" s="1" t="n"/>
      <c r="Q1060" s="1" t="n"/>
      <c r="R1060" s="1" t="n"/>
    </row>
    <row r="1061">
      <c r="A1061" s="61" t="n"/>
      <c r="B1061" s="16" t="n"/>
      <c r="C1061" s="90" t="n"/>
      <c r="D1061" s="90" t="n"/>
      <c r="E1061" s="90" t="n"/>
      <c r="F1061" s="16" t="n"/>
      <c r="G1061" s="16" t="n"/>
      <c r="H1061" s="63" t="n"/>
      <c r="I1061" s="64" t="n"/>
      <c r="J1061" s="16" t="n"/>
      <c r="K1061" s="16" t="n"/>
      <c r="M1061" s="89" t="n"/>
      <c r="N1061" s="1" t="n"/>
      <c r="O1061" s="1" t="n"/>
      <c r="P1061" s="1" t="n"/>
      <c r="Q1061" s="1" t="n"/>
      <c r="R1061" s="1" t="n"/>
    </row>
    <row r="1062">
      <c r="A1062" s="61" t="n"/>
      <c r="B1062" s="16" t="n"/>
      <c r="C1062" s="90" t="n"/>
      <c r="D1062" s="90" t="n"/>
      <c r="E1062" s="90" t="n"/>
      <c r="F1062" s="16" t="n"/>
      <c r="G1062" s="16" t="n"/>
      <c r="H1062" s="63" t="n"/>
      <c r="I1062" s="64" t="n"/>
      <c r="J1062" s="16" t="n"/>
      <c r="K1062" s="16" t="n"/>
      <c r="M1062" s="89" t="n"/>
      <c r="N1062" s="1" t="n"/>
      <c r="O1062" s="1" t="n"/>
      <c r="P1062" s="1" t="n"/>
      <c r="Q1062" s="1" t="n"/>
      <c r="R1062" s="1" t="n"/>
    </row>
    <row r="1063">
      <c r="A1063" s="61" t="n"/>
      <c r="B1063" s="16" t="n"/>
      <c r="C1063" s="90" t="n"/>
      <c r="D1063" s="90" t="n"/>
      <c r="E1063" s="90" t="n"/>
      <c r="F1063" s="16" t="n"/>
      <c r="G1063" s="16" t="n"/>
      <c r="H1063" s="63" t="n"/>
      <c r="I1063" s="64" t="n"/>
      <c r="J1063" s="16" t="n"/>
      <c r="K1063" s="16" t="n"/>
      <c r="M1063" s="89" t="n"/>
      <c r="N1063" s="1" t="n"/>
      <c r="O1063" s="1" t="n"/>
      <c r="P1063" s="1" t="n"/>
      <c r="Q1063" s="1" t="n"/>
      <c r="R1063" s="1" t="n"/>
    </row>
    <row r="1064">
      <c r="A1064" s="61" t="n"/>
      <c r="B1064" s="16" t="n"/>
      <c r="C1064" s="90" t="n"/>
      <c r="D1064" s="90" t="n"/>
      <c r="E1064" s="90" t="n"/>
      <c r="F1064" s="16" t="n"/>
      <c r="G1064" s="16" t="n"/>
      <c r="H1064" s="63" t="n"/>
      <c r="I1064" s="64" t="n"/>
      <c r="J1064" s="16" t="n"/>
      <c r="K1064" s="16" t="n"/>
      <c r="M1064" s="89" t="n"/>
      <c r="N1064" s="1" t="n"/>
      <c r="O1064" s="1" t="n"/>
      <c r="P1064" s="1" t="n"/>
      <c r="Q1064" s="1" t="n"/>
      <c r="R1064" s="1" t="n"/>
    </row>
    <row r="1065">
      <c r="A1065" s="61" t="n"/>
      <c r="B1065" s="16" t="n"/>
      <c r="C1065" s="90" t="n"/>
      <c r="D1065" s="90" t="n"/>
      <c r="E1065" s="90" t="n"/>
      <c r="F1065" s="16" t="n"/>
      <c r="G1065" s="16" t="n"/>
      <c r="H1065" s="63" t="n"/>
      <c r="I1065" s="64" t="n"/>
      <c r="J1065" s="16" t="n"/>
      <c r="K1065" s="16" t="n"/>
      <c r="M1065" s="89" t="n"/>
      <c r="N1065" s="1" t="n"/>
      <c r="O1065" s="1" t="n"/>
      <c r="P1065" s="1" t="n"/>
      <c r="Q1065" s="1" t="n"/>
      <c r="R1065" s="1" t="n"/>
    </row>
    <row r="1066">
      <c r="A1066" s="61" t="n"/>
      <c r="B1066" s="16" t="n"/>
      <c r="C1066" s="90" t="n"/>
      <c r="D1066" s="90" t="n"/>
      <c r="E1066" s="90" t="n"/>
      <c r="F1066" s="16" t="n"/>
      <c r="G1066" s="16" t="n"/>
      <c r="H1066" s="63" t="n"/>
      <c r="I1066" s="64" t="n"/>
      <c r="J1066" s="16" t="n"/>
      <c r="K1066" s="16" t="n"/>
      <c r="M1066" s="89" t="n"/>
      <c r="N1066" s="1" t="n"/>
      <c r="O1066" s="1" t="n"/>
      <c r="P1066" s="1" t="n"/>
      <c r="Q1066" s="1" t="n"/>
      <c r="R1066" s="1" t="n"/>
    </row>
    <row r="1067">
      <c r="A1067" s="61" t="n"/>
      <c r="B1067" s="16" t="n"/>
      <c r="C1067" s="90" t="n"/>
      <c r="D1067" s="90" t="n"/>
      <c r="E1067" s="90" t="n"/>
      <c r="F1067" s="16" t="n"/>
      <c r="G1067" s="16" t="n"/>
      <c r="H1067" s="63" t="n"/>
      <c r="I1067" s="64" t="n"/>
      <c r="J1067" s="16" t="n"/>
      <c r="K1067" s="16" t="n"/>
      <c r="M1067" s="89" t="n"/>
      <c r="N1067" s="1" t="n"/>
      <c r="O1067" s="1" t="n"/>
      <c r="P1067" s="1" t="n"/>
      <c r="Q1067" s="1" t="n"/>
      <c r="R1067" s="1" t="n"/>
    </row>
    <row r="1068">
      <c r="A1068" s="61" t="n"/>
      <c r="B1068" s="16" t="n"/>
      <c r="C1068" s="90" t="n"/>
      <c r="D1068" s="90" t="n"/>
      <c r="E1068" s="90" t="n"/>
      <c r="F1068" s="16" t="n"/>
      <c r="G1068" s="16" t="n"/>
      <c r="H1068" s="63" t="n"/>
      <c r="I1068" s="64" t="n"/>
      <c r="J1068" s="16" t="n"/>
      <c r="K1068" s="16" t="n"/>
      <c r="M1068" s="89" t="n"/>
      <c r="N1068" s="1" t="n"/>
      <c r="O1068" s="1" t="n"/>
      <c r="P1068" s="1" t="n"/>
      <c r="Q1068" s="1" t="n"/>
      <c r="R1068" s="1" t="n"/>
    </row>
    <row r="1069">
      <c r="A1069" s="61" t="n"/>
      <c r="B1069" s="16" t="n"/>
      <c r="C1069" s="90" t="n"/>
      <c r="D1069" s="90" t="n"/>
      <c r="E1069" s="90" t="n"/>
      <c r="F1069" s="16" t="n"/>
      <c r="G1069" s="16" t="n"/>
      <c r="H1069" s="63" t="n"/>
      <c r="I1069" s="64" t="n"/>
      <c r="J1069" s="16" t="n"/>
      <c r="K1069" s="16" t="n"/>
      <c r="M1069" s="89" t="n"/>
      <c r="N1069" s="1" t="n"/>
      <c r="O1069" s="1" t="n"/>
      <c r="P1069" s="1" t="n"/>
      <c r="Q1069" s="1" t="n"/>
      <c r="R1069" s="1" t="n"/>
    </row>
    <row r="1070">
      <c r="A1070" s="61" t="n"/>
      <c r="B1070" s="16" t="n"/>
      <c r="C1070" s="90" t="n"/>
      <c r="D1070" s="90" t="n"/>
      <c r="E1070" s="90" t="n"/>
      <c r="F1070" s="16" t="n"/>
      <c r="G1070" s="16" t="n"/>
      <c r="H1070" s="63" t="n"/>
      <c r="I1070" s="64" t="n"/>
      <c r="J1070" s="16" t="n"/>
      <c r="K1070" s="16" t="n"/>
      <c r="M1070" s="89" t="n"/>
      <c r="N1070" s="1" t="n"/>
      <c r="O1070" s="1" t="n"/>
      <c r="P1070" s="1" t="n"/>
      <c r="Q1070" s="1" t="n"/>
      <c r="R1070" s="1" t="n"/>
    </row>
    <row r="1071">
      <c r="A1071" s="61" t="n"/>
      <c r="B1071" s="16" t="n"/>
      <c r="C1071" s="90" t="n"/>
      <c r="D1071" s="90" t="n"/>
      <c r="E1071" s="90" t="n"/>
      <c r="F1071" s="16" t="n"/>
      <c r="G1071" s="16" t="n"/>
      <c r="H1071" s="63" t="n"/>
      <c r="I1071" s="64" t="n"/>
      <c r="J1071" s="16" t="n"/>
      <c r="K1071" s="16" t="n"/>
      <c r="M1071" s="89" t="n"/>
      <c r="N1071" s="1" t="n"/>
      <c r="O1071" s="1" t="n"/>
      <c r="P1071" s="1" t="n"/>
      <c r="Q1071" s="1" t="n"/>
      <c r="R1071" s="1" t="n"/>
    </row>
    <row r="1072">
      <c r="A1072" s="61" t="n"/>
      <c r="B1072" s="16" t="n"/>
      <c r="C1072" s="90" t="n"/>
      <c r="D1072" s="90" t="n"/>
      <c r="E1072" s="90" t="n"/>
      <c r="F1072" s="16" t="n"/>
      <c r="G1072" s="16" t="n"/>
      <c r="H1072" s="63" t="n"/>
      <c r="I1072" s="64" t="n"/>
      <c r="J1072" s="16" t="n"/>
      <c r="K1072" s="16" t="n"/>
      <c r="M1072" s="89" t="n"/>
      <c r="N1072" s="1" t="n"/>
      <c r="O1072" s="1" t="n"/>
      <c r="P1072" s="1" t="n"/>
      <c r="Q1072" s="1" t="n"/>
      <c r="R1072" s="1" t="n"/>
    </row>
    <row r="1073">
      <c r="A1073" s="61" t="n"/>
      <c r="B1073" s="16" t="n"/>
      <c r="C1073" s="90" t="n"/>
      <c r="D1073" s="90" t="n"/>
      <c r="E1073" s="90" t="n"/>
      <c r="F1073" s="16" t="n"/>
      <c r="G1073" s="16" t="n"/>
      <c r="H1073" s="63" t="n"/>
      <c r="I1073" s="64" t="n"/>
      <c r="J1073" s="16" t="n"/>
      <c r="K1073" s="16" t="n"/>
      <c r="M1073" s="89" t="n"/>
      <c r="N1073" s="1" t="n"/>
      <c r="O1073" s="1" t="n"/>
      <c r="P1073" s="1" t="n"/>
      <c r="Q1073" s="1" t="n"/>
      <c r="R1073" s="1" t="n"/>
    </row>
    <row r="1074">
      <c r="A1074" s="61" t="n"/>
      <c r="B1074" s="16" t="n"/>
      <c r="C1074" s="90" t="n"/>
      <c r="D1074" s="90" t="n"/>
      <c r="E1074" s="90" t="n"/>
      <c r="F1074" s="16" t="n"/>
      <c r="G1074" s="16" t="n"/>
      <c r="H1074" s="63" t="n"/>
      <c r="I1074" s="64" t="n"/>
      <c r="J1074" s="16" t="n"/>
      <c r="K1074" s="16" t="n"/>
      <c r="M1074" s="89" t="n"/>
      <c r="N1074" s="1" t="n"/>
      <c r="O1074" s="1" t="n"/>
      <c r="P1074" s="1" t="n"/>
      <c r="Q1074" s="1" t="n"/>
      <c r="R1074" s="1" t="n"/>
    </row>
    <row r="1075">
      <c r="A1075" s="61" t="n"/>
      <c r="B1075" s="16" t="n"/>
      <c r="C1075" s="90" t="n"/>
      <c r="D1075" s="90" t="n"/>
      <c r="E1075" s="90" t="n"/>
      <c r="F1075" s="16" t="n"/>
      <c r="G1075" s="16" t="n"/>
      <c r="H1075" s="63" t="n"/>
      <c r="I1075" s="64" t="n"/>
      <c r="J1075" s="16" t="n"/>
      <c r="K1075" s="16" t="n"/>
      <c r="M1075" s="89" t="n"/>
      <c r="N1075" s="1" t="n"/>
      <c r="O1075" s="1" t="n"/>
      <c r="P1075" s="1" t="n"/>
      <c r="Q1075" s="1" t="n"/>
      <c r="R1075" s="1" t="n"/>
    </row>
    <row r="1076">
      <c r="A1076" s="61" t="n"/>
      <c r="B1076" s="16" t="n"/>
      <c r="C1076" s="90" t="n"/>
      <c r="D1076" s="90" t="n"/>
      <c r="E1076" s="90" t="n"/>
      <c r="F1076" s="16" t="n"/>
      <c r="G1076" s="16" t="n"/>
      <c r="H1076" s="63" t="n"/>
      <c r="I1076" s="64" t="n"/>
      <c r="J1076" s="16" t="n"/>
      <c r="K1076" s="16" t="n"/>
      <c r="M1076" s="89" t="n"/>
      <c r="N1076" s="1" t="n"/>
      <c r="O1076" s="1" t="n"/>
      <c r="P1076" s="1" t="n"/>
      <c r="Q1076" s="1" t="n"/>
      <c r="R1076" s="1" t="n"/>
    </row>
    <row r="1077">
      <c r="A1077" s="61" t="n"/>
      <c r="B1077" s="16" t="n"/>
      <c r="C1077" s="90" t="n"/>
      <c r="D1077" s="90" t="n"/>
      <c r="E1077" s="90" t="n"/>
      <c r="F1077" s="16" t="n"/>
      <c r="G1077" s="16" t="n"/>
      <c r="H1077" s="63" t="n"/>
      <c r="I1077" s="64" t="n"/>
      <c r="J1077" s="16" t="n"/>
      <c r="K1077" s="16" t="n"/>
      <c r="M1077" s="89" t="n"/>
      <c r="N1077" s="1" t="n"/>
      <c r="O1077" s="1" t="n"/>
      <c r="P1077" s="1" t="n"/>
      <c r="Q1077" s="1" t="n"/>
      <c r="R1077" s="1" t="n"/>
    </row>
    <row r="1078">
      <c r="A1078" s="61" t="n"/>
      <c r="B1078" s="16" t="n"/>
      <c r="C1078" s="90" t="n"/>
      <c r="D1078" s="90" t="n"/>
      <c r="E1078" s="90" t="n"/>
      <c r="F1078" s="16" t="n"/>
      <c r="G1078" s="16" t="n"/>
      <c r="H1078" s="63" t="n"/>
      <c r="I1078" s="64" t="n"/>
      <c r="J1078" s="16" t="n"/>
      <c r="K1078" s="16" t="n"/>
      <c r="M1078" s="89" t="n"/>
      <c r="N1078" s="1" t="n"/>
      <c r="O1078" s="1" t="n"/>
      <c r="P1078" s="1" t="n"/>
      <c r="Q1078" s="1" t="n"/>
      <c r="R1078" s="1" t="n"/>
    </row>
    <row r="1079">
      <c r="A1079" s="61" t="n"/>
      <c r="B1079" s="16" t="n"/>
      <c r="C1079" s="90" t="n"/>
      <c r="D1079" s="90" t="n"/>
      <c r="E1079" s="90" t="n"/>
      <c r="F1079" s="16" t="n"/>
      <c r="G1079" s="16" t="n"/>
      <c r="H1079" s="63" t="n"/>
      <c r="I1079" s="64" t="n"/>
      <c r="J1079" s="16" t="n"/>
      <c r="K1079" s="16" t="n"/>
      <c r="M1079" s="89" t="n"/>
      <c r="N1079" s="1" t="n"/>
      <c r="O1079" s="1" t="n"/>
      <c r="P1079" s="1" t="n"/>
      <c r="Q1079" s="1" t="n"/>
      <c r="R1079" s="1" t="n"/>
    </row>
    <row r="1080">
      <c r="A1080" s="61" t="n"/>
      <c r="B1080" s="16" t="n"/>
      <c r="C1080" s="90" t="n"/>
      <c r="D1080" s="90" t="n"/>
      <c r="E1080" s="90" t="n"/>
      <c r="F1080" s="16" t="n"/>
      <c r="G1080" s="16" t="n"/>
      <c r="H1080" s="63" t="n"/>
      <c r="I1080" s="64" t="n"/>
      <c r="J1080" s="16" t="n"/>
      <c r="K1080" s="16" t="n"/>
      <c r="M1080" s="89" t="n"/>
      <c r="N1080" s="1" t="n"/>
      <c r="O1080" s="1" t="n"/>
      <c r="P1080" s="1" t="n"/>
      <c r="Q1080" s="1" t="n"/>
      <c r="R1080" s="1" t="n"/>
    </row>
    <row r="1081">
      <c r="A1081" s="61" t="n"/>
      <c r="B1081" s="16" t="n"/>
      <c r="C1081" s="90" t="n"/>
      <c r="D1081" s="90" t="n"/>
      <c r="E1081" s="90" t="n"/>
      <c r="F1081" s="16" t="n"/>
      <c r="G1081" s="16" t="n"/>
      <c r="H1081" s="63" t="n"/>
      <c r="I1081" s="64" t="n"/>
      <c r="J1081" s="16" t="n"/>
      <c r="K1081" s="16" t="n"/>
      <c r="M1081" s="89" t="n"/>
      <c r="N1081" s="1" t="n"/>
      <c r="O1081" s="1" t="n"/>
      <c r="P1081" s="1" t="n"/>
      <c r="Q1081" s="1" t="n"/>
      <c r="R1081" s="1" t="n"/>
    </row>
    <row r="1082">
      <c r="A1082" s="61" t="n"/>
      <c r="B1082" s="16" t="n"/>
      <c r="C1082" s="90" t="n"/>
      <c r="D1082" s="90" t="n"/>
      <c r="E1082" s="90" t="n"/>
      <c r="F1082" s="16" t="n"/>
      <c r="G1082" s="16" t="n"/>
      <c r="H1082" s="63" t="n"/>
      <c r="I1082" s="64" t="n"/>
      <c r="J1082" s="16" t="n"/>
      <c r="K1082" s="16" t="n"/>
      <c r="M1082" s="89" t="n"/>
      <c r="N1082" s="1" t="n"/>
      <c r="O1082" s="1" t="n"/>
      <c r="P1082" s="1" t="n"/>
      <c r="Q1082" s="1" t="n"/>
      <c r="R1082" s="1" t="n"/>
    </row>
    <row r="1083">
      <c r="A1083" s="61" t="n"/>
      <c r="B1083" s="16" t="n"/>
      <c r="C1083" s="90" t="n"/>
      <c r="D1083" s="90" t="n"/>
      <c r="E1083" s="90" t="n"/>
      <c r="F1083" s="16" t="n"/>
      <c r="G1083" s="16" t="n"/>
      <c r="H1083" s="63" t="n"/>
      <c r="I1083" s="64" t="n"/>
      <c r="J1083" s="16" t="n"/>
      <c r="K1083" s="16" t="n"/>
      <c r="M1083" s="89" t="n"/>
      <c r="N1083" s="1" t="n"/>
      <c r="O1083" s="1" t="n"/>
      <c r="P1083" s="1" t="n"/>
      <c r="Q1083" s="1" t="n"/>
      <c r="R1083" s="1" t="n"/>
    </row>
    <row r="1084">
      <c r="A1084" s="61" t="n"/>
      <c r="B1084" s="16" t="n"/>
      <c r="C1084" s="90" t="n"/>
      <c r="D1084" s="90" t="n"/>
      <c r="E1084" s="90" t="n"/>
      <c r="F1084" s="16" t="n"/>
      <c r="G1084" s="16" t="n"/>
      <c r="H1084" s="63" t="n"/>
      <c r="I1084" s="64" t="n"/>
      <c r="J1084" s="16" t="n"/>
      <c r="K1084" s="16" t="n"/>
      <c r="M1084" s="89" t="n"/>
      <c r="N1084" s="1" t="n"/>
      <c r="O1084" s="1" t="n"/>
      <c r="P1084" s="1" t="n"/>
      <c r="Q1084" s="1" t="n"/>
      <c r="R1084" s="1" t="n"/>
    </row>
    <row r="1085">
      <c r="A1085" s="61" t="n"/>
      <c r="B1085" s="16" t="n"/>
      <c r="C1085" s="90" t="n"/>
      <c r="D1085" s="90" t="n"/>
      <c r="E1085" s="90" t="n"/>
      <c r="F1085" s="16" t="n"/>
      <c r="G1085" s="16" t="n"/>
      <c r="H1085" s="63" t="n"/>
      <c r="I1085" s="64" t="n"/>
      <c r="J1085" s="16" t="n"/>
      <c r="K1085" s="16" t="n"/>
      <c r="M1085" s="89" t="n"/>
      <c r="N1085" s="1" t="n"/>
      <c r="O1085" s="1" t="n"/>
      <c r="P1085" s="1" t="n"/>
      <c r="Q1085" s="1" t="n"/>
      <c r="R1085" s="1" t="n"/>
    </row>
    <row r="1086">
      <c r="A1086" s="61" t="n"/>
      <c r="B1086" s="16" t="n"/>
      <c r="C1086" s="90" t="n"/>
      <c r="D1086" s="90" t="n"/>
      <c r="E1086" s="90" t="n"/>
      <c r="F1086" s="16" t="n"/>
      <c r="G1086" s="16" t="n"/>
      <c r="H1086" s="63" t="n"/>
      <c r="I1086" s="64" t="n"/>
      <c r="J1086" s="16" t="n"/>
      <c r="K1086" s="16" t="n"/>
      <c r="M1086" s="89" t="n"/>
      <c r="N1086" s="1" t="n"/>
      <c r="O1086" s="1" t="n"/>
      <c r="P1086" s="1" t="n"/>
      <c r="Q1086" s="1" t="n"/>
      <c r="R1086" s="1" t="n"/>
    </row>
    <row r="1087">
      <c r="A1087" s="61" t="n"/>
      <c r="B1087" s="16" t="n"/>
      <c r="C1087" s="90" t="n"/>
      <c r="D1087" s="90" t="n"/>
      <c r="E1087" s="90" t="n"/>
      <c r="F1087" s="16" t="n"/>
      <c r="G1087" s="16" t="n"/>
      <c r="H1087" s="63" t="n"/>
      <c r="I1087" s="64" t="n"/>
      <c r="J1087" s="16" t="n"/>
      <c r="K1087" s="16" t="n"/>
      <c r="M1087" s="89" t="n"/>
      <c r="N1087" s="1" t="n"/>
      <c r="O1087" s="1" t="n"/>
      <c r="P1087" s="1" t="n"/>
      <c r="Q1087" s="1" t="n"/>
      <c r="R1087" s="1" t="n"/>
    </row>
    <row r="1088">
      <c r="A1088" s="61" t="n"/>
      <c r="B1088" s="16" t="n"/>
      <c r="C1088" s="90" t="n"/>
      <c r="D1088" s="90" t="n"/>
      <c r="E1088" s="90" t="n"/>
      <c r="F1088" s="16" t="n"/>
      <c r="G1088" s="16" t="n"/>
      <c r="H1088" s="63" t="n"/>
      <c r="I1088" s="64" t="n"/>
      <c r="J1088" s="16" t="n"/>
      <c r="K1088" s="16" t="n"/>
      <c r="M1088" s="89" t="n"/>
      <c r="N1088" s="1" t="n"/>
      <c r="O1088" s="1" t="n"/>
      <c r="P1088" s="1" t="n"/>
      <c r="Q1088" s="1" t="n"/>
      <c r="R1088" s="1" t="n"/>
    </row>
    <row r="1089">
      <c r="A1089" s="61" t="n"/>
      <c r="B1089" s="16" t="n"/>
      <c r="C1089" s="90" t="n"/>
      <c r="D1089" s="90" t="n"/>
      <c r="E1089" s="90" t="n"/>
      <c r="F1089" s="16" t="n"/>
      <c r="G1089" s="16" t="n"/>
      <c r="H1089" s="63" t="n"/>
      <c r="I1089" s="64" t="n"/>
      <c r="J1089" s="16" t="n"/>
      <c r="K1089" s="16" t="n"/>
      <c r="M1089" s="89" t="n"/>
      <c r="N1089" s="1" t="n"/>
      <c r="O1089" s="1" t="n"/>
      <c r="P1089" s="1" t="n"/>
      <c r="Q1089" s="1" t="n"/>
      <c r="R1089" s="1" t="n"/>
    </row>
    <row r="1090">
      <c r="A1090" s="61" t="n"/>
      <c r="B1090" s="16" t="n"/>
      <c r="C1090" s="90" t="n"/>
      <c r="D1090" s="90" t="n"/>
      <c r="E1090" s="90" t="n"/>
      <c r="F1090" s="16" t="n"/>
      <c r="G1090" s="16" t="n"/>
      <c r="H1090" s="63" t="n"/>
      <c r="I1090" s="64" t="n"/>
      <c r="J1090" s="16" t="n"/>
      <c r="K1090" s="16" t="n"/>
      <c r="M1090" s="89" t="n"/>
      <c r="N1090" s="1" t="n"/>
      <c r="O1090" s="1" t="n"/>
      <c r="P1090" s="1" t="n"/>
      <c r="Q1090" s="1" t="n"/>
      <c r="R1090" s="1" t="n"/>
    </row>
    <row r="1091">
      <c r="A1091" s="61" t="n"/>
      <c r="B1091" s="16" t="n"/>
      <c r="C1091" s="90" t="n"/>
      <c r="D1091" s="90" t="n"/>
      <c r="E1091" s="90" t="n"/>
      <c r="F1091" s="16" t="n"/>
      <c r="G1091" s="16" t="n"/>
      <c r="H1091" s="63" t="n"/>
      <c r="I1091" s="64" t="n"/>
      <c r="J1091" s="16" t="n"/>
      <c r="K1091" s="16" t="n"/>
      <c r="M1091" s="89" t="n"/>
      <c r="N1091" s="1" t="n"/>
      <c r="O1091" s="1" t="n"/>
      <c r="P1091" s="1" t="n"/>
      <c r="Q1091" s="1" t="n"/>
      <c r="R1091" s="1" t="n"/>
    </row>
    <row r="1092">
      <c r="A1092" s="61" t="n"/>
      <c r="B1092" s="16" t="n"/>
      <c r="C1092" s="90" t="n"/>
      <c r="D1092" s="90" t="n"/>
      <c r="E1092" s="90" t="n"/>
      <c r="F1092" s="16" t="n"/>
      <c r="G1092" s="16" t="n"/>
      <c r="H1092" s="63" t="n"/>
      <c r="I1092" s="64" t="n"/>
      <c r="J1092" s="16" t="n"/>
      <c r="K1092" s="16" t="n"/>
      <c r="M1092" s="89" t="n"/>
      <c r="N1092" s="1" t="n"/>
      <c r="O1092" s="1" t="n"/>
      <c r="P1092" s="1" t="n"/>
      <c r="Q1092" s="1" t="n"/>
      <c r="R1092" s="1" t="n"/>
    </row>
    <row r="1093">
      <c r="A1093" s="61" t="n"/>
      <c r="B1093" s="16" t="n"/>
      <c r="C1093" s="90" t="n"/>
      <c r="D1093" s="90" t="n"/>
      <c r="E1093" s="90" t="n"/>
      <c r="F1093" s="16" t="n"/>
      <c r="G1093" s="16" t="n"/>
      <c r="H1093" s="63" t="n"/>
      <c r="I1093" s="64" t="n"/>
      <c r="J1093" s="16" t="n"/>
      <c r="K1093" s="16" t="n"/>
      <c r="M1093" s="89" t="n"/>
      <c r="N1093" s="1" t="n"/>
      <c r="O1093" s="1" t="n"/>
      <c r="P1093" s="1" t="n"/>
      <c r="Q1093" s="1" t="n"/>
      <c r="R1093" s="1" t="n"/>
    </row>
    <row r="1094">
      <c r="A1094" s="61" t="n"/>
      <c r="B1094" s="16" t="n"/>
      <c r="C1094" s="90" t="n"/>
      <c r="D1094" s="90" t="n"/>
      <c r="E1094" s="90" t="n"/>
      <c r="F1094" s="16" t="n"/>
      <c r="G1094" s="16" t="n"/>
      <c r="H1094" s="63" t="n"/>
      <c r="I1094" s="64" t="n"/>
      <c r="J1094" s="16" t="n"/>
      <c r="K1094" s="16" t="n"/>
      <c r="M1094" s="89" t="n"/>
      <c r="N1094" s="1" t="n"/>
      <c r="O1094" s="1" t="n"/>
      <c r="P1094" s="1" t="n"/>
      <c r="Q1094" s="1" t="n"/>
      <c r="R1094" s="1" t="n"/>
    </row>
    <row r="1095">
      <c r="A1095" s="61" t="n"/>
      <c r="B1095" s="16" t="n"/>
      <c r="C1095" s="90" t="n"/>
      <c r="D1095" s="90" t="n"/>
      <c r="E1095" s="90" t="n"/>
      <c r="F1095" s="16" t="n"/>
      <c r="G1095" s="16" t="n"/>
      <c r="H1095" s="63" t="n"/>
      <c r="I1095" s="64" t="n"/>
      <c r="J1095" s="16" t="n"/>
      <c r="K1095" s="16" t="n"/>
      <c r="M1095" s="89" t="n"/>
      <c r="N1095" s="1" t="n"/>
      <c r="O1095" s="1" t="n"/>
      <c r="P1095" s="1" t="n"/>
      <c r="Q1095" s="1" t="n"/>
      <c r="R1095" s="1" t="n"/>
    </row>
    <row r="1096">
      <c r="A1096" s="61" t="n"/>
      <c r="B1096" s="16" t="n"/>
      <c r="C1096" s="90" t="n"/>
      <c r="D1096" s="90" t="n"/>
      <c r="E1096" s="90" t="n"/>
      <c r="F1096" s="16" t="n"/>
      <c r="G1096" s="16" t="n"/>
      <c r="H1096" s="63" t="n"/>
      <c r="I1096" s="64" t="n"/>
      <c r="J1096" s="16" t="n"/>
      <c r="K1096" s="16" t="n"/>
      <c r="M1096" s="89" t="n"/>
      <c r="N1096" s="1" t="n"/>
      <c r="O1096" s="1" t="n"/>
      <c r="P1096" s="1" t="n"/>
      <c r="Q1096" s="1" t="n"/>
      <c r="R1096" s="1" t="n"/>
    </row>
    <row r="1097">
      <c r="A1097" s="61" t="n"/>
      <c r="B1097" s="16" t="n"/>
      <c r="C1097" s="90" t="n"/>
      <c r="D1097" s="90" t="n"/>
      <c r="E1097" s="90" t="n"/>
      <c r="F1097" s="16" t="n"/>
      <c r="G1097" s="16" t="n"/>
      <c r="H1097" s="63" t="n"/>
      <c r="I1097" s="64" t="n"/>
      <c r="J1097" s="16" t="n"/>
      <c r="K1097" s="16" t="n"/>
      <c r="M1097" s="89" t="n"/>
      <c r="N1097" s="1" t="n"/>
      <c r="O1097" s="1" t="n"/>
      <c r="P1097" s="1" t="n"/>
      <c r="Q1097" s="1" t="n"/>
      <c r="R1097" s="1" t="n"/>
    </row>
    <row r="1098">
      <c r="A1098" s="61" t="n"/>
      <c r="B1098" s="16" t="n"/>
      <c r="C1098" s="90" t="n"/>
      <c r="D1098" s="90" t="n"/>
      <c r="E1098" s="90" t="n"/>
      <c r="F1098" s="16" t="n"/>
      <c r="G1098" s="16" t="n"/>
      <c r="H1098" s="63" t="n"/>
      <c r="I1098" s="64" t="n"/>
      <c r="J1098" s="16" t="n"/>
      <c r="K1098" s="16" t="n"/>
      <c r="M1098" s="89" t="n"/>
      <c r="N1098" s="1" t="n"/>
      <c r="O1098" s="1" t="n"/>
      <c r="P1098" s="1" t="n"/>
      <c r="Q1098" s="1" t="n"/>
      <c r="R1098" s="1" t="n"/>
    </row>
    <row r="1099">
      <c r="A1099" s="61" t="n"/>
      <c r="B1099" s="16" t="n"/>
      <c r="C1099" s="90" t="n"/>
      <c r="D1099" s="90" t="n"/>
      <c r="E1099" s="90" t="n"/>
      <c r="F1099" s="16" t="n"/>
      <c r="G1099" s="16" t="n"/>
      <c r="H1099" s="63" t="n"/>
      <c r="I1099" s="64" t="n"/>
      <c r="J1099" s="16" t="n"/>
      <c r="K1099" s="16" t="n"/>
      <c r="M1099" s="89" t="n"/>
      <c r="N1099" s="1" t="n"/>
      <c r="O1099" s="1" t="n"/>
      <c r="P1099" s="1" t="n"/>
      <c r="Q1099" s="1" t="n"/>
      <c r="R1099" s="1" t="n"/>
    </row>
    <row r="1100">
      <c r="A1100" s="61" t="n"/>
      <c r="B1100" s="16" t="n"/>
      <c r="C1100" s="90" t="n"/>
      <c r="D1100" s="90" t="n"/>
      <c r="E1100" s="90" t="n"/>
      <c r="F1100" s="16" t="n"/>
      <c r="G1100" s="16" t="n"/>
      <c r="H1100" s="63" t="n"/>
      <c r="I1100" s="64" t="n"/>
      <c r="J1100" s="16" t="n"/>
      <c r="K1100" s="16" t="n"/>
      <c r="M1100" s="89" t="n"/>
      <c r="N1100" s="1" t="n"/>
      <c r="O1100" s="1" t="n"/>
      <c r="P1100" s="1" t="n"/>
      <c r="Q1100" s="1" t="n"/>
      <c r="R1100" s="1" t="n"/>
    </row>
    <row r="1101">
      <c r="A1101" s="61" t="n"/>
      <c r="B1101" s="16" t="n"/>
      <c r="C1101" s="90" t="n"/>
      <c r="D1101" s="90" t="n"/>
      <c r="E1101" s="90" t="n"/>
      <c r="F1101" s="16" t="n"/>
      <c r="G1101" s="16" t="n"/>
      <c r="H1101" s="63" t="n"/>
      <c r="I1101" s="64" t="n"/>
      <c r="J1101" s="16" t="n"/>
      <c r="K1101" s="16" t="n"/>
      <c r="M1101" s="89" t="n"/>
      <c r="N1101" s="1" t="n"/>
      <c r="O1101" s="1" t="n"/>
      <c r="P1101" s="1" t="n"/>
      <c r="Q1101" s="1" t="n"/>
      <c r="R1101" s="1" t="n"/>
    </row>
    <row r="1102">
      <c r="A1102" s="61" t="n"/>
      <c r="B1102" s="16" t="n"/>
      <c r="C1102" s="90" t="n"/>
      <c r="D1102" s="90" t="n"/>
      <c r="E1102" s="90" t="n"/>
      <c r="F1102" s="16" t="n"/>
      <c r="G1102" s="16" t="n"/>
      <c r="H1102" s="63" t="n"/>
      <c r="I1102" s="64" t="n"/>
      <c r="J1102" s="16" t="n"/>
      <c r="K1102" s="16" t="n"/>
      <c r="M1102" s="89" t="n"/>
      <c r="N1102" s="1" t="n"/>
      <c r="O1102" s="1" t="n"/>
      <c r="P1102" s="1" t="n"/>
      <c r="Q1102" s="1" t="n"/>
      <c r="R1102" s="1" t="n"/>
    </row>
    <row r="1103">
      <c r="A1103" s="61" t="n"/>
      <c r="B1103" s="16" t="n"/>
      <c r="C1103" s="90" t="n"/>
      <c r="D1103" s="90" t="n"/>
      <c r="E1103" s="90" t="n"/>
      <c r="F1103" s="16" t="n"/>
      <c r="G1103" s="16" t="n"/>
      <c r="H1103" s="63" t="n"/>
      <c r="I1103" s="64" t="n"/>
      <c r="J1103" s="16" t="n"/>
      <c r="K1103" s="16" t="n"/>
      <c r="M1103" s="89" t="n"/>
      <c r="N1103" s="1" t="n"/>
      <c r="O1103" s="1" t="n"/>
      <c r="P1103" s="1" t="n"/>
      <c r="Q1103" s="1" t="n"/>
      <c r="R1103" s="1" t="n"/>
    </row>
    <row r="1104">
      <c r="A1104" s="61" t="n"/>
      <c r="B1104" s="16" t="n"/>
      <c r="C1104" s="90" t="n"/>
      <c r="D1104" s="90" t="n"/>
      <c r="E1104" s="90" t="n"/>
      <c r="F1104" s="16" t="n"/>
      <c r="G1104" s="16" t="n"/>
      <c r="H1104" s="63" t="n"/>
      <c r="I1104" s="64" t="n"/>
      <c r="J1104" s="16" t="n"/>
      <c r="K1104" s="16" t="n"/>
      <c r="M1104" s="89" t="n"/>
      <c r="N1104" s="1" t="n"/>
      <c r="O1104" s="1" t="n"/>
      <c r="P1104" s="1" t="n"/>
      <c r="Q1104" s="1" t="n"/>
      <c r="R1104" s="1" t="n"/>
    </row>
    <row r="1105">
      <c r="A1105" s="61" t="n"/>
      <c r="B1105" s="16" t="n"/>
      <c r="C1105" s="90" t="n"/>
      <c r="D1105" s="90" t="n"/>
      <c r="E1105" s="90" t="n"/>
      <c r="F1105" s="16" t="n"/>
      <c r="G1105" s="16" t="n"/>
      <c r="H1105" s="63" t="n"/>
      <c r="I1105" s="64" t="n"/>
      <c r="J1105" s="16" t="n"/>
      <c r="K1105" s="16" t="n"/>
      <c r="M1105" s="89" t="n"/>
      <c r="N1105" s="1" t="n"/>
      <c r="O1105" s="1" t="n"/>
      <c r="P1105" s="1" t="n"/>
      <c r="Q1105" s="1" t="n"/>
      <c r="R1105" s="1" t="n"/>
    </row>
    <row r="1106">
      <c r="A1106" s="61" t="n"/>
      <c r="B1106" s="16" t="n"/>
      <c r="C1106" s="90" t="n"/>
      <c r="D1106" s="90" t="n"/>
      <c r="E1106" s="90" t="n"/>
      <c r="F1106" s="16" t="n"/>
      <c r="G1106" s="16" t="n"/>
      <c r="H1106" s="63" t="n"/>
      <c r="I1106" s="64" t="n"/>
      <c r="J1106" s="16" t="n"/>
      <c r="K1106" s="16" t="n"/>
      <c r="M1106" s="89" t="n"/>
      <c r="N1106" s="1" t="n"/>
      <c r="O1106" s="1" t="n"/>
      <c r="P1106" s="1" t="n"/>
      <c r="Q1106" s="1" t="n"/>
      <c r="R1106" s="1" t="n"/>
    </row>
    <row r="1107">
      <c r="A1107" s="61" t="n"/>
      <c r="B1107" s="16" t="n"/>
      <c r="C1107" s="90" t="n"/>
      <c r="D1107" s="90" t="n"/>
      <c r="E1107" s="90" t="n"/>
      <c r="F1107" s="16" t="n"/>
      <c r="G1107" s="16" t="n"/>
      <c r="H1107" s="63" t="n"/>
      <c r="I1107" s="64" t="n"/>
      <c r="J1107" s="16" t="n"/>
      <c r="K1107" s="16" t="n"/>
      <c r="M1107" s="89" t="n"/>
      <c r="N1107" s="1" t="n"/>
      <c r="O1107" s="1" t="n"/>
      <c r="P1107" s="1" t="n"/>
      <c r="Q1107" s="1" t="n"/>
      <c r="R1107" s="1" t="n"/>
    </row>
    <row r="1108">
      <c r="A1108" s="61" t="n"/>
      <c r="B1108" s="16" t="n"/>
      <c r="C1108" s="90" t="n"/>
      <c r="D1108" s="90" t="n"/>
      <c r="E1108" s="90" t="n"/>
      <c r="F1108" s="16" t="n"/>
      <c r="G1108" s="16" t="n"/>
      <c r="H1108" s="63" t="n"/>
      <c r="I1108" s="64" t="n"/>
      <c r="J1108" s="16" t="n"/>
      <c r="K1108" s="16" t="n"/>
      <c r="M1108" s="89" t="n"/>
      <c r="N1108" s="1" t="n"/>
      <c r="O1108" s="1" t="n"/>
      <c r="P1108" s="1" t="n"/>
      <c r="Q1108" s="1" t="n"/>
      <c r="R1108" s="1" t="n"/>
    </row>
    <row r="1109">
      <c r="A1109" s="61" t="n"/>
      <c r="B1109" s="16" t="n"/>
      <c r="C1109" s="90" t="n"/>
      <c r="D1109" s="90" t="n"/>
      <c r="E1109" s="90" t="n"/>
      <c r="F1109" s="16" t="n"/>
      <c r="G1109" s="16" t="n"/>
      <c r="H1109" s="63" t="n"/>
      <c r="I1109" s="64" t="n"/>
      <c r="J1109" s="16" t="n"/>
      <c r="K1109" s="16" t="n"/>
      <c r="M1109" s="89" t="n"/>
      <c r="N1109" s="1" t="n"/>
      <c r="O1109" s="1" t="n"/>
      <c r="P1109" s="1" t="n"/>
      <c r="Q1109" s="1" t="n"/>
      <c r="R1109" s="1" t="n"/>
    </row>
    <row r="1110">
      <c r="A1110" s="61" t="n"/>
      <c r="B1110" s="16" t="n"/>
      <c r="C1110" s="90" t="n"/>
      <c r="D1110" s="90" t="n"/>
      <c r="E1110" s="90" t="n"/>
      <c r="F1110" s="16" t="n"/>
      <c r="G1110" s="16" t="n"/>
      <c r="H1110" s="63" t="n"/>
      <c r="I1110" s="64" t="n"/>
      <c r="J1110" s="16" t="n"/>
      <c r="K1110" s="16" t="n"/>
      <c r="M1110" s="89" t="n"/>
      <c r="N1110" s="1" t="n"/>
      <c r="O1110" s="1" t="n"/>
      <c r="P1110" s="1" t="n"/>
      <c r="Q1110" s="1" t="n"/>
      <c r="R1110" s="1" t="n"/>
    </row>
    <row r="1111">
      <c r="A1111" s="61" t="n"/>
      <c r="B1111" s="16" t="n"/>
      <c r="C1111" s="90" t="n"/>
      <c r="D1111" s="90" t="n"/>
      <c r="E1111" s="90" t="n"/>
      <c r="F1111" s="16" t="n"/>
      <c r="G1111" s="16" t="n"/>
      <c r="H1111" s="63" t="n"/>
      <c r="I1111" s="64" t="n"/>
      <c r="J1111" s="16" t="n"/>
      <c r="K1111" s="16" t="n"/>
      <c r="M1111" s="89" t="n"/>
      <c r="N1111" s="1" t="n"/>
      <c r="O1111" s="1" t="n"/>
      <c r="P1111" s="1" t="n"/>
      <c r="Q1111" s="1" t="n"/>
      <c r="R1111" s="1" t="n"/>
    </row>
    <row r="1112">
      <c r="A1112" s="61" t="n"/>
      <c r="B1112" s="16" t="n"/>
      <c r="C1112" s="90" t="n"/>
      <c r="D1112" s="90" t="n"/>
      <c r="E1112" s="90" t="n"/>
      <c r="F1112" s="16" t="n"/>
      <c r="G1112" s="16" t="n"/>
      <c r="H1112" s="63" t="n"/>
      <c r="I1112" s="64" t="n"/>
      <c r="J1112" s="16" t="n"/>
      <c r="K1112" s="16" t="n"/>
      <c r="M1112" s="89" t="n"/>
      <c r="N1112" s="1" t="n"/>
      <c r="O1112" s="1" t="n"/>
      <c r="P1112" s="1" t="n"/>
      <c r="Q1112" s="1" t="n"/>
      <c r="R1112" s="1" t="n"/>
    </row>
    <row r="1113">
      <c r="A1113" s="61" t="n"/>
      <c r="B1113" s="16" t="n"/>
      <c r="C1113" s="90" t="n"/>
      <c r="D1113" s="90" t="n"/>
      <c r="E1113" s="90" t="n"/>
      <c r="F1113" s="16" t="n"/>
      <c r="G1113" s="16" t="n"/>
      <c r="H1113" s="63" t="n"/>
      <c r="I1113" s="64" t="n"/>
      <c r="J1113" s="16" t="n"/>
      <c r="K1113" s="16" t="n"/>
      <c r="M1113" s="89" t="n"/>
      <c r="N1113" s="1" t="n"/>
      <c r="O1113" s="1" t="n"/>
      <c r="P1113" s="1" t="n"/>
      <c r="Q1113" s="1" t="n"/>
      <c r="R1113" s="1" t="n"/>
    </row>
    <row r="1114">
      <c r="A1114" s="61" t="n"/>
      <c r="B1114" s="16" t="n"/>
      <c r="C1114" s="90" t="n"/>
      <c r="D1114" s="90" t="n"/>
      <c r="E1114" s="90" t="n"/>
      <c r="F1114" s="16" t="n"/>
      <c r="G1114" s="16" t="n"/>
      <c r="H1114" s="63" t="n"/>
      <c r="I1114" s="64" t="n"/>
      <c r="J1114" s="16" t="n"/>
      <c r="K1114" s="16" t="n"/>
      <c r="M1114" s="89" t="n"/>
      <c r="N1114" s="1" t="n"/>
      <c r="O1114" s="1" t="n"/>
      <c r="P1114" s="1" t="n"/>
      <c r="Q1114" s="1" t="n"/>
      <c r="R1114" s="1" t="n"/>
    </row>
    <row r="1115">
      <c r="A1115" s="61" t="n"/>
      <c r="B1115" s="16" t="n"/>
      <c r="C1115" s="90" t="n"/>
      <c r="D1115" s="90" t="n"/>
      <c r="E1115" s="90" t="n"/>
      <c r="F1115" s="16" t="n"/>
      <c r="G1115" s="16" t="n"/>
      <c r="H1115" s="63" t="n"/>
      <c r="I1115" s="64" t="n"/>
      <c r="J1115" s="16" t="n"/>
      <c r="K1115" s="16" t="n"/>
      <c r="M1115" s="89" t="n"/>
      <c r="N1115" s="1" t="n"/>
      <c r="O1115" s="1" t="n"/>
      <c r="P1115" s="1" t="n"/>
      <c r="Q1115" s="1" t="n"/>
      <c r="R1115" s="1" t="n"/>
    </row>
    <row r="1116">
      <c r="A1116" s="61" t="n"/>
      <c r="B1116" s="16" t="n"/>
      <c r="C1116" s="90" t="n"/>
      <c r="D1116" s="90" t="n"/>
      <c r="E1116" s="90" t="n"/>
      <c r="F1116" s="16" t="n"/>
      <c r="G1116" s="16" t="n"/>
      <c r="H1116" s="63" t="n"/>
      <c r="I1116" s="64" t="n"/>
      <c r="J1116" s="16" t="n"/>
      <c r="K1116" s="16" t="n"/>
      <c r="M1116" s="89" t="n"/>
      <c r="N1116" s="1" t="n"/>
      <c r="O1116" s="1" t="n"/>
      <c r="P1116" s="1" t="n"/>
      <c r="Q1116" s="1" t="n"/>
      <c r="R1116" s="1" t="n"/>
    </row>
    <row r="1117">
      <c r="A1117" s="61" t="n"/>
      <c r="B1117" s="16" t="n"/>
      <c r="C1117" s="90" t="n"/>
      <c r="D1117" s="90" t="n"/>
      <c r="E1117" s="90" t="n"/>
      <c r="F1117" s="16" t="n"/>
      <c r="G1117" s="16" t="n"/>
      <c r="H1117" s="63" t="n"/>
      <c r="I1117" s="64" t="n"/>
      <c r="J1117" s="16" t="n"/>
      <c r="K1117" s="16" t="n"/>
      <c r="M1117" s="89" t="n"/>
      <c r="N1117" s="1" t="n"/>
      <c r="O1117" s="1" t="n"/>
      <c r="P1117" s="1" t="n"/>
      <c r="Q1117" s="1" t="n"/>
      <c r="R1117" s="1" t="n"/>
    </row>
    <row r="1118">
      <c r="A1118" s="61" t="n"/>
      <c r="B1118" s="16" t="n"/>
      <c r="C1118" s="90" t="n"/>
      <c r="D1118" s="90" t="n"/>
      <c r="E1118" s="90" t="n"/>
      <c r="F1118" s="16" t="n"/>
      <c r="G1118" s="16" t="n"/>
      <c r="H1118" s="63" t="n"/>
      <c r="I1118" s="64" t="n"/>
      <c r="J1118" s="16" t="n"/>
      <c r="K1118" s="16" t="n"/>
      <c r="M1118" s="89" t="n"/>
      <c r="N1118" s="1" t="n"/>
      <c r="O1118" s="1" t="n"/>
      <c r="P1118" s="1" t="n"/>
      <c r="Q1118" s="1" t="n"/>
      <c r="R1118" s="1" t="n"/>
    </row>
    <row r="1119">
      <c r="A1119" s="61" t="n"/>
      <c r="B1119" s="16" t="n"/>
      <c r="C1119" s="90" t="n"/>
      <c r="D1119" s="90" t="n"/>
      <c r="E1119" s="90" t="n"/>
      <c r="F1119" s="16" t="n"/>
      <c r="G1119" s="16" t="n"/>
      <c r="H1119" s="63" t="n"/>
      <c r="I1119" s="64" t="n"/>
      <c r="J1119" s="16" t="n"/>
      <c r="K1119" s="16" t="n"/>
      <c r="M1119" s="89" t="n"/>
      <c r="N1119" s="1" t="n"/>
      <c r="O1119" s="1" t="n"/>
      <c r="P1119" s="1" t="n"/>
      <c r="Q1119" s="1" t="n"/>
      <c r="R1119" s="1" t="n"/>
    </row>
    <row r="1120">
      <c r="A1120" s="61" t="n"/>
      <c r="B1120" s="16" t="n"/>
      <c r="C1120" s="90" t="n"/>
      <c r="D1120" s="90" t="n"/>
      <c r="E1120" s="90" t="n"/>
      <c r="F1120" s="16" t="n"/>
      <c r="G1120" s="16" t="n"/>
      <c r="H1120" s="63" t="n"/>
      <c r="I1120" s="64" t="n"/>
      <c r="J1120" s="16" t="n"/>
      <c r="K1120" s="16" t="n"/>
      <c r="M1120" s="89" t="n"/>
      <c r="N1120" s="1" t="n"/>
      <c r="O1120" s="1" t="n"/>
      <c r="P1120" s="1" t="n"/>
      <c r="Q1120" s="1" t="n"/>
      <c r="R1120" s="1" t="n"/>
    </row>
    <row r="1121">
      <c r="A1121" s="61" t="n"/>
      <c r="B1121" s="16" t="n"/>
      <c r="C1121" s="90" t="n"/>
      <c r="D1121" s="90" t="n"/>
      <c r="E1121" s="90" t="n"/>
      <c r="F1121" s="16" t="n"/>
      <c r="G1121" s="16" t="n"/>
      <c r="H1121" s="63" t="n"/>
      <c r="I1121" s="64" t="n"/>
      <c r="J1121" s="16" t="n"/>
      <c r="K1121" s="16" t="n"/>
      <c r="M1121" s="89" t="n"/>
      <c r="N1121" s="1" t="n"/>
      <c r="O1121" s="1" t="n"/>
      <c r="P1121" s="1" t="n"/>
      <c r="Q1121" s="1" t="n"/>
      <c r="R1121" s="1" t="n"/>
    </row>
    <row r="1122">
      <c r="A1122" s="61" t="n"/>
      <c r="B1122" s="16" t="n"/>
      <c r="C1122" s="90" t="n"/>
      <c r="D1122" s="90" t="n"/>
      <c r="E1122" s="90" t="n"/>
      <c r="F1122" s="16" t="n"/>
      <c r="G1122" s="16" t="n"/>
      <c r="H1122" s="63" t="n"/>
      <c r="I1122" s="64" t="n"/>
      <c r="J1122" s="16" t="n"/>
      <c r="K1122" s="16" t="n"/>
      <c r="M1122" s="89" t="n"/>
      <c r="N1122" s="1" t="n"/>
      <c r="O1122" s="1" t="n"/>
      <c r="P1122" s="1" t="n"/>
      <c r="Q1122" s="1" t="n"/>
      <c r="R1122" s="1" t="n"/>
    </row>
    <row r="1123">
      <c r="A1123" s="61" t="n"/>
      <c r="B1123" s="16" t="n"/>
      <c r="C1123" s="90" t="n"/>
      <c r="D1123" s="90" t="n"/>
      <c r="E1123" s="90" t="n"/>
      <c r="F1123" s="16" t="n"/>
      <c r="G1123" s="16" t="n"/>
      <c r="H1123" s="63" t="n"/>
      <c r="I1123" s="64" t="n"/>
      <c r="J1123" s="16" t="n"/>
      <c r="K1123" s="16" t="n"/>
      <c r="M1123" s="89" t="n"/>
      <c r="N1123" s="1" t="n"/>
      <c r="O1123" s="1" t="n"/>
      <c r="P1123" s="1" t="n"/>
      <c r="Q1123" s="1" t="n"/>
      <c r="R1123" s="1" t="n"/>
    </row>
    <row r="1124">
      <c r="A1124" s="61" t="n"/>
      <c r="B1124" s="16" t="n"/>
      <c r="C1124" s="90" t="n"/>
      <c r="D1124" s="90" t="n"/>
      <c r="E1124" s="90" t="n"/>
      <c r="F1124" s="16" t="n"/>
      <c r="G1124" s="16" t="n"/>
      <c r="H1124" s="63" t="n"/>
      <c r="I1124" s="64" t="n"/>
      <c r="J1124" s="16" t="n"/>
      <c r="K1124" s="16" t="n"/>
      <c r="M1124" s="89" t="n"/>
      <c r="N1124" s="1" t="n"/>
      <c r="O1124" s="1" t="n"/>
      <c r="P1124" s="1" t="n"/>
      <c r="Q1124" s="1" t="n"/>
      <c r="R1124" s="1" t="n"/>
    </row>
    <row r="1125">
      <c r="A1125" s="61" t="n"/>
      <c r="B1125" s="16" t="n"/>
      <c r="C1125" s="90" t="n"/>
      <c r="D1125" s="90" t="n"/>
      <c r="E1125" s="90" t="n"/>
      <c r="F1125" s="16" t="n"/>
      <c r="G1125" s="16" t="n"/>
      <c r="H1125" s="63" t="n"/>
      <c r="I1125" s="64" t="n"/>
      <c r="J1125" s="16" t="n"/>
      <c r="K1125" s="16" t="n"/>
      <c r="M1125" s="89" t="n"/>
      <c r="N1125" s="1" t="n"/>
      <c r="O1125" s="1" t="n"/>
      <c r="P1125" s="1" t="n"/>
      <c r="Q1125" s="1" t="n"/>
      <c r="R1125" s="1" t="n"/>
    </row>
    <row r="1126">
      <c r="A1126" s="61" t="n"/>
      <c r="B1126" s="16" t="n"/>
      <c r="C1126" s="90" t="n"/>
      <c r="D1126" s="90" t="n"/>
      <c r="E1126" s="90" t="n"/>
      <c r="F1126" s="16" t="n"/>
      <c r="G1126" s="16" t="n"/>
      <c r="H1126" s="63" t="n"/>
      <c r="I1126" s="64" t="n"/>
      <c r="J1126" s="16" t="n"/>
      <c r="K1126" s="16" t="n"/>
      <c r="M1126" s="89" t="n"/>
      <c r="N1126" s="1" t="n"/>
      <c r="O1126" s="1" t="n"/>
      <c r="P1126" s="1" t="n"/>
      <c r="Q1126" s="1" t="n"/>
      <c r="R1126" s="1" t="n"/>
    </row>
    <row r="1127">
      <c r="A1127" s="61" t="n"/>
      <c r="B1127" s="16" t="n"/>
      <c r="C1127" s="90" t="n"/>
      <c r="D1127" s="90" t="n"/>
      <c r="E1127" s="90" t="n"/>
      <c r="F1127" s="16" t="n"/>
      <c r="G1127" s="16" t="n"/>
      <c r="H1127" s="63" t="n"/>
      <c r="I1127" s="64" t="n"/>
      <c r="J1127" s="16" t="n"/>
      <c r="K1127" s="16" t="n"/>
      <c r="M1127" s="89" t="n"/>
      <c r="N1127" s="1" t="n"/>
      <c r="O1127" s="1" t="n"/>
      <c r="P1127" s="1" t="n"/>
      <c r="Q1127" s="1" t="n"/>
      <c r="R1127" s="1" t="n"/>
    </row>
    <row r="1128">
      <c r="A1128" s="61" t="n"/>
      <c r="B1128" s="16" t="n"/>
      <c r="C1128" s="90" t="n"/>
      <c r="D1128" s="90" t="n"/>
      <c r="E1128" s="90" t="n"/>
      <c r="F1128" s="16" t="n"/>
      <c r="G1128" s="16" t="n"/>
      <c r="H1128" s="63" t="n"/>
      <c r="I1128" s="64" t="n"/>
      <c r="J1128" s="16" t="n"/>
      <c r="K1128" s="16" t="n"/>
      <c r="M1128" s="89" t="n"/>
      <c r="N1128" s="1" t="n"/>
      <c r="O1128" s="1" t="n"/>
      <c r="P1128" s="1" t="n"/>
      <c r="Q1128" s="1" t="n"/>
      <c r="R1128" s="1" t="n"/>
    </row>
    <row r="1129">
      <c r="A1129" s="61" t="n"/>
      <c r="B1129" s="16" t="n"/>
      <c r="C1129" s="90" t="n"/>
      <c r="D1129" s="90" t="n"/>
      <c r="E1129" s="90" t="n"/>
      <c r="F1129" s="16" t="n"/>
      <c r="G1129" s="16" t="n"/>
      <c r="H1129" s="63" t="n"/>
      <c r="I1129" s="64" t="n"/>
      <c r="J1129" s="16" t="n"/>
      <c r="K1129" s="16" t="n"/>
      <c r="M1129" s="89" t="n"/>
      <c r="N1129" s="1" t="n"/>
      <c r="O1129" s="1" t="n"/>
      <c r="P1129" s="1" t="n"/>
      <c r="Q1129" s="1" t="n"/>
      <c r="R1129" s="1" t="n"/>
    </row>
    <row r="1130">
      <c r="A1130" s="61" t="n"/>
      <c r="B1130" s="16" t="n"/>
      <c r="C1130" s="90" t="n"/>
      <c r="D1130" s="90" t="n"/>
      <c r="E1130" s="90" t="n"/>
      <c r="F1130" s="16" t="n"/>
      <c r="G1130" s="16" t="n"/>
      <c r="H1130" s="63" t="n"/>
      <c r="I1130" s="64" t="n"/>
      <c r="J1130" s="16" t="n"/>
      <c r="K1130" s="16" t="n"/>
      <c r="M1130" s="89" t="n"/>
      <c r="N1130" s="1" t="n"/>
      <c r="O1130" s="1" t="n"/>
      <c r="P1130" s="1" t="n"/>
      <c r="Q1130" s="1" t="n"/>
      <c r="R1130" s="1" t="n"/>
    </row>
    <row r="1131">
      <c r="A1131" s="61" t="n"/>
      <c r="B1131" s="16" t="n"/>
      <c r="C1131" s="90" t="n"/>
      <c r="D1131" s="90" t="n"/>
      <c r="E1131" s="90" t="n"/>
      <c r="F1131" s="16" t="n"/>
      <c r="G1131" s="16" t="n"/>
      <c r="H1131" s="63" t="n"/>
      <c r="I1131" s="64" t="n"/>
      <c r="J1131" s="16" t="n"/>
      <c r="K1131" s="16" t="n"/>
      <c r="M1131" s="89" t="n"/>
      <c r="N1131" s="1" t="n"/>
      <c r="O1131" s="1" t="n"/>
      <c r="P1131" s="1" t="n"/>
      <c r="Q1131" s="1" t="n"/>
      <c r="R1131" s="1" t="n"/>
    </row>
    <row r="1132">
      <c r="A1132" s="61" t="n"/>
      <c r="B1132" s="16" t="n"/>
      <c r="C1132" s="90" t="n"/>
      <c r="D1132" s="90" t="n"/>
      <c r="E1132" s="90" t="n"/>
      <c r="F1132" s="16" t="n"/>
      <c r="G1132" s="16" t="n"/>
      <c r="H1132" s="63" t="n"/>
      <c r="I1132" s="64" t="n"/>
      <c r="J1132" s="16" t="n"/>
      <c r="K1132" s="16" t="n"/>
      <c r="M1132" s="89" t="n"/>
      <c r="N1132" s="1" t="n"/>
      <c r="O1132" s="1" t="n"/>
      <c r="P1132" s="1" t="n"/>
      <c r="Q1132" s="1" t="n"/>
      <c r="R1132" s="1" t="n"/>
    </row>
    <row r="1133">
      <c r="A1133" s="61" t="n"/>
      <c r="B1133" s="16" t="n"/>
      <c r="C1133" s="90" t="n"/>
      <c r="D1133" s="90" t="n"/>
      <c r="E1133" s="90" t="n"/>
      <c r="F1133" s="16" t="n"/>
      <c r="G1133" s="16" t="n"/>
      <c r="H1133" s="63" t="n"/>
      <c r="I1133" s="64" t="n"/>
      <c r="J1133" s="16" t="n"/>
      <c r="K1133" s="16" t="n"/>
      <c r="M1133" s="89" t="n"/>
      <c r="N1133" s="1" t="n"/>
      <c r="O1133" s="1" t="n"/>
      <c r="P1133" s="1" t="n"/>
      <c r="Q1133" s="1" t="n"/>
      <c r="R1133" s="1" t="n"/>
    </row>
    <row r="1134">
      <c r="A1134" s="61" t="n"/>
      <c r="B1134" s="16" t="n"/>
      <c r="C1134" s="90" t="n"/>
      <c r="D1134" s="90" t="n"/>
      <c r="E1134" s="90" t="n"/>
      <c r="F1134" s="16" t="n"/>
      <c r="G1134" s="16" t="n"/>
      <c r="H1134" s="63" t="n"/>
      <c r="I1134" s="64" t="n"/>
      <c r="J1134" s="16" t="n"/>
      <c r="K1134" s="16" t="n"/>
      <c r="M1134" s="89" t="n"/>
      <c r="N1134" s="1" t="n"/>
      <c r="O1134" s="1" t="n"/>
      <c r="P1134" s="1" t="n"/>
      <c r="Q1134" s="1" t="n"/>
      <c r="R1134" s="1" t="n"/>
    </row>
    <row r="1135">
      <c r="A1135" s="61" t="n"/>
      <c r="B1135" s="16" t="n"/>
      <c r="C1135" s="90" t="n"/>
      <c r="D1135" s="90" t="n"/>
      <c r="E1135" s="90" t="n"/>
      <c r="F1135" s="16" t="n"/>
      <c r="G1135" s="16" t="n"/>
      <c r="H1135" s="63" t="n"/>
      <c r="I1135" s="64" t="n"/>
      <c r="J1135" s="16" t="n"/>
      <c r="K1135" s="16" t="n"/>
      <c r="M1135" s="89" t="n"/>
      <c r="N1135" s="1" t="n"/>
      <c r="O1135" s="1" t="n"/>
      <c r="P1135" s="1" t="n"/>
      <c r="Q1135" s="1" t="n"/>
      <c r="R1135" s="1" t="n"/>
    </row>
    <row r="1136">
      <c r="A1136" s="61" t="n"/>
      <c r="B1136" s="16" t="n"/>
      <c r="C1136" s="90" t="n"/>
      <c r="D1136" s="90" t="n"/>
      <c r="E1136" s="90" t="n"/>
      <c r="F1136" s="16" t="n"/>
      <c r="G1136" s="16" t="n"/>
      <c r="H1136" s="63" t="n"/>
      <c r="I1136" s="64" t="n"/>
      <c r="J1136" s="16" t="n"/>
      <c r="K1136" s="16" t="n"/>
      <c r="M1136" s="89" t="n"/>
      <c r="N1136" s="1" t="n"/>
      <c r="O1136" s="1" t="n"/>
      <c r="P1136" s="1" t="n"/>
      <c r="Q1136" s="1" t="n"/>
      <c r="R1136" s="1" t="n"/>
    </row>
    <row r="1137">
      <c r="A1137" s="61" t="n"/>
      <c r="B1137" s="16" t="n"/>
      <c r="C1137" s="90" t="n"/>
      <c r="D1137" s="90" t="n"/>
      <c r="E1137" s="90" t="n"/>
      <c r="F1137" s="16" t="n"/>
      <c r="G1137" s="16" t="n"/>
      <c r="H1137" s="63" t="n"/>
      <c r="I1137" s="64" t="n"/>
      <c r="J1137" s="16" t="n"/>
      <c r="K1137" s="16" t="n"/>
      <c r="M1137" s="89" t="n"/>
      <c r="N1137" s="1" t="n"/>
      <c r="O1137" s="1" t="n"/>
      <c r="P1137" s="1" t="n"/>
      <c r="Q1137" s="1" t="n"/>
      <c r="R1137" s="1" t="n"/>
    </row>
    <row r="1138">
      <c r="A1138" s="61" t="n"/>
      <c r="B1138" s="16" t="n"/>
      <c r="C1138" s="90" t="n"/>
      <c r="D1138" s="90" t="n"/>
      <c r="E1138" s="90" t="n"/>
      <c r="F1138" s="16" t="n"/>
      <c r="G1138" s="16" t="n"/>
      <c r="H1138" s="63" t="n"/>
      <c r="I1138" s="64" t="n"/>
      <c r="J1138" s="16" t="n"/>
      <c r="K1138" s="16" t="n"/>
      <c r="M1138" s="89" t="n"/>
      <c r="N1138" s="1" t="n"/>
      <c r="O1138" s="1" t="n"/>
      <c r="P1138" s="1" t="n"/>
      <c r="Q1138" s="1" t="n"/>
      <c r="R1138" s="1" t="n"/>
    </row>
    <row r="1139">
      <c r="A1139" s="61" t="n"/>
      <c r="B1139" s="16" t="n"/>
      <c r="C1139" s="90" t="n"/>
      <c r="D1139" s="90" t="n"/>
      <c r="E1139" s="90" t="n"/>
      <c r="F1139" s="16" t="n"/>
      <c r="G1139" s="16" t="n"/>
      <c r="H1139" s="63" t="n"/>
      <c r="I1139" s="64" t="n"/>
      <c r="J1139" s="16" t="n"/>
      <c r="K1139" s="16" t="n"/>
      <c r="M1139" s="89" t="n"/>
      <c r="N1139" s="1" t="n"/>
      <c r="O1139" s="1" t="n"/>
      <c r="P1139" s="1" t="n"/>
      <c r="Q1139" s="1" t="n"/>
      <c r="R1139" s="1" t="n"/>
    </row>
    <row r="1140">
      <c r="A1140" s="61" t="n"/>
      <c r="B1140" s="16" t="n"/>
      <c r="C1140" s="90" t="n"/>
      <c r="D1140" s="90" t="n"/>
      <c r="E1140" s="90" t="n"/>
      <c r="F1140" s="16" t="n"/>
      <c r="G1140" s="16" t="n"/>
      <c r="H1140" s="63" t="n"/>
      <c r="I1140" s="64" t="n"/>
      <c r="J1140" s="16" t="n"/>
      <c r="K1140" s="16" t="n"/>
      <c r="M1140" s="89" t="n"/>
      <c r="N1140" s="1" t="n"/>
      <c r="O1140" s="1" t="n"/>
      <c r="P1140" s="1" t="n"/>
      <c r="Q1140" s="1" t="n"/>
      <c r="R1140" s="1" t="n"/>
    </row>
    <row r="1141">
      <c r="A1141" s="61" t="n"/>
      <c r="B1141" s="16" t="n"/>
      <c r="C1141" s="90" t="n"/>
      <c r="D1141" s="90" t="n"/>
      <c r="E1141" s="90" t="n"/>
      <c r="F1141" s="16" t="n"/>
      <c r="G1141" s="16" t="n"/>
      <c r="H1141" s="63" t="n"/>
      <c r="I1141" s="64" t="n"/>
      <c r="J1141" s="16" t="n"/>
      <c r="K1141" s="16" t="n"/>
      <c r="M1141" s="89" t="n"/>
      <c r="N1141" s="1" t="n"/>
      <c r="O1141" s="1" t="n"/>
      <c r="P1141" s="1" t="n"/>
      <c r="Q1141" s="1" t="n"/>
      <c r="R1141" s="1" t="n"/>
    </row>
    <row r="1142">
      <c r="A1142" s="61" t="n"/>
      <c r="B1142" s="16" t="n"/>
      <c r="C1142" s="90" t="n"/>
      <c r="D1142" s="90" t="n"/>
      <c r="E1142" s="90" t="n"/>
      <c r="F1142" s="16" t="n"/>
      <c r="G1142" s="16" t="n"/>
      <c r="H1142" s="63" t="n"/>
      <c r="I1142" s="64" t="n"/>
      <c r="J1142" s="16" t="n"/>
      <c r="K1142" s="16" t="n"/>
      <c r="M1142" s="89" t="n"/>
      <c r="N1142" s="1" t="n"/>
      <c r="O1142" s="1" t="n"/>
      <c r="P1142" s="1" t="n"/>
      <c r="Q1142" s="1" t="n"/>
      <c r="R1142" s="1" t="n"/>
    </row>
    <row r="1143">
      <c r="A1143" s="61" t="n"/>
      <c r="B1143" s="16" t="n"/>
      <c r="C1143" s="90" t="n"/>
      <c r="D1143" s="90" t="n"/>
      <c r="E1143" s="90" t="n"/>
      <c r="F1143" s="16" t="n"/>
      <c r="G1143" s="16" t="n"/>
      <c r="H1143" s="63" t="n"/>
      <c r="I1143" s="64" t="n"/>
      <c r="J1143" s="16" t="n"/>
      <c r="K1143" s="16" t="n"/>
      <c r="M1143" s="89" t="n"/>
      <c r="N1143" s="1" t="n"/>
      <c r="O1143" s="1" t="n"/>
      <c r="P1143" s="1" t="n"/>
      <c r="Q1143" s="1" t="n"/>
      <c r="R1143" s="1" t="n"/>
    </row>
    <row r="1144">
      <c r="A1144" s="61" t="n"/>
      <c r="B1144" s="16" t="n"/>
      <c r="C1144" s="90" t="n"/>
      <c r="D1144" s="90" t="n"/>
      <c r="E1144" s="90" t="n"/>
      <c r="F1144" s="16" t="n"/>
      <c r="G1144" s="16" t="n"/>
      <c r="H1144" s="63" t="n"/>
      <c r="I1144" s="64" t="n"/>
      <c r="J1144" s="16" t="n"/>
      <c r="K1144" s="16" t="n"/>
      <c r="M1144" s="89" t="n"/>
      <c r="N1144" s="1" t="n"/>
      <c r="O1144" s="1" t="n"/>
      <c r="P1144" s="1" t="n"/>
      <c r="Q1144" s="1" t="n"/>
      <c r="R1144" s="1" t="n"/>
    </row>
    <row r="1145">
      <c r="A1145" s="61" t="n"/>
      <c r="B1145" s="16" t="n"/>
      <c r="C1145" s="90" t="n"/>
      <c r="D1145" s="90" t="n"/>
      <c r="E1145" s="90" t="n"/>
      <c r="F1145" s="16" t="n"/>
      <c r="G1145" s="16" t="n"/>
      <c r="H1145" s="63" t="n"/>
      <c r="I1145" s="64" t="n"/>
      <c r="J1145" s="16" t="n"/>
      <c r="K1145" s="16" t="n"/>
      <c r="M1145" s="89" t="n"/>
      <c r="N1145" s="1" t="n"/>
      <c r="O1145" s="1" t="n"/>
      <c r="P1145" s="1" t="n"/>
      <c r="Q1145" s="1" t="n"/>
      <c r="R1145" s="1" t="n"/>
    </row>
    <row r="1146">
      <c r="A1146" s="61" t="n"/>
      <c r="B1146" s="16" t="n"/>
      <c r="C1146" s="90" t="n"/>
      <c r="D1146" s="90" t="n"/>
      <c r="E1146" s="90" t="n"/>
      <c r="F1146" s="16" t="n"/>
      <c r="G1146" s="16" t="n"/>
      <c r="H1146" s="63" t="n"/>
      <c r="I1146" s="64" t="n"/>
      <c r="J1146" s="16" t="n"/>
      <c r="K1146" s="16" t="n"/>
      <c r="M1146" s="89" t="n"/>
      <c r="N1146" s="1" t="n"/>
      <c r="O1146" s="1" t="n"/>
      <c r="P1146" s="1" t="n"/>
      <c r="Q1146" s="1" t="n"/>
      <c r="R1146" s="1" t="n"/>
    </row>
    <row r="1147">
      <c r="A1147" s="61" t="n"/>
      <c r="B1147" s="16" t="n"/>
      <c r="C1147" s="90" t="n"/>
      <c r="D1147" s="90" t="n"/>
      <c r="E1147" s="90" t="n"/>
      <c r="F1147" s="16" t="n"/>
      <c r="G1147" s="16" t="n"/>
      <c r="H1147" s="63" t="n"/>
      <c r="I1147" s="64" t="n"/>
      <c r="J1147" s="16" t="n"/>
      <c r="K1147" s="16" t="n"/>
      <c r="M1147" s="89" t="n"/>
      <c r="N1147" s="1" t="n"/>
      <c r="O1147" s="1" t="n"/>
      <c r="P1147" s="1" t="n"/>
      <c r="Q1147" s="1" t="n"/>
      <c r="R1147" s="1" t="n"/>
    </row>
    <row r="1148">
      <c r="A1148" s="61" t="n"/>
      <c r="B1148" s="16" t="n"/>
      <c r="C1148" s="90" t="n"/>
      <c r="D1148" s="90" t="n"/>
      <c r="E1148" s="90" t="n"/>
      <c r="F1148" s="16" t="n"/>
      <c r="G1148" s="16" t="n"/>
      <c r="H1148" s="63" t="n"/>
      <c r="I1148" s="64" t="n"/>
      <c r="J1148" s="16" t="n"/>
      <c r="K1148" s="16" t="n"/>
      <c r="M1148" s="89" t="n"/>
      <c r="N1148" s="1" t="n"/>
      <c r="O1148" s="1" t="n"/>
      <c r="P1148" s="1" t="n"/>
      <c r="Q1148" s="1" t="n"/>
      <c r="R1148" s="1" t="n"/>
    </row>
    <row r="1149">
      <c r="A1149" s="61" t="n"/>
      <c r="B1149" s="16" t="n"/>
      <c r="C1149" s="90" t="n"/>
      <c r="D1149" s="90" t="n"/>
      <c r="E1149" s="90" t="n"/>
      <c r="F1149" s="16" t="n"/>
      <c r="G1149" s="16" t="n"/>
      <c r="H1149" s="63" t="n"/>
      <c r="I1149" s="64" t="n"/>
      <c r="J1149" s="16" t="n"/>
      <c r="K1149" s="16" t="n"/>
      <c r="M1149" s="89" t="n"/>
      <c r="N1149" s="1" t="n"/>
      <c r="O1149" s="1" t="n"/>
      <c r="P1149" s="1" t="n"/>
      <c r="Q1149" s="1" t="n"/>
      <c r="R1149" s="1" t="n"/>
    </row>
    <row r="1150">
      <c r="A1150" s="61" t="n"/>
      <c r="B1150" s="16" t="n"/>
      <c r="C1150" s="90" t="n"/>
      <c r="D1150" s="90" t="n"/>
      <c r="E1150" s="90" t="n"/>
      <c r="F1150" s="16" t="n"/>
      <c r="G1150" s="16" t="n"/>
      <c r="H1150" s="63" t="n"/>
      <c r="I1150" s="64" t="n"/>
      <c r="J1150" s="16" t="n"/>
      <c r="K1150" s="16" t="n"/>
      <c r="M1150" s="89" t="n"/>
      <c r="N1150" s="1" t="n"/>
      <c r="O1150" s="1" t="n"/>
      <c r="P1150" s="1" t="n"/>
      <c r="Q1150" s="1" t="n"/>
      <c r="R1150" s="1" t="n"/>
    </row>
    <row r="1151">
      <c r="A1151" s="61" t="n"/>
      <c r="B1151" s="16" t="n"/>
      <c r="C1151" s="90" t="n"/>
      <c r="D1151" s="90" t="n"/>
      <c r="E1151" s="90" t="n"/>
      <c r="F1151" s="16" t="n"/>
      <c r="G1151" s="16" t="n"/>
      <c r="H1151" s="63" t="n"/>
      <c r="I1151" s="64" t="n"/>
      <c r="J1151" s="16" t="n"/>
      <c r="K1151" s="16" t="n"/>
      <c r="M1151" s="89" t="n"/>
      <c r="N1151" s="1" t="n"/>
      <c r="O1151" s="1" t="n"/>
      <c r="P1151" s="1" t="n"/>
      <c r="Q1151" s="1" t="n"/>
      <c r="R1151" s="1" t="n"/>
    </row>
    <row r="1152">
      <c r="A1152" s="61" t="n"/>
      <c r="B1152" s="16" t="n"/>
      <c r="C1152" s="90" t="n"/>
      <c r="D1152" s="90" t="n"/>
      <c r="E1152" s="90" t="n"/>
      <c r="F1152" s="16" t="n"/>
      <c r="G1152" s="16" t="n"/>
      <c r="H1152" s="63" t="n"/>
      <c r="I1152" s="64" t="n"/>
      <c r="J1152" s="16" t="n"/>
      <c r="K1152" s="16" t="n"/>
      <c r="M1152" s="89" t="n"/>
      <c r="N1152" s="1" t="n"/>
      <c r="O1152" s="1" t="n"/>
      <c r="P1152" s="1" t="n"/>
      <c r="Q1152" s="1" t="n"/>
      <c r="R1152" s="1" t="n"/>
    </row>
    <row r="1153">
      <c r="A1153" s="61" t="n"/>
      <c r="B1153" s="16" t="n"/>
      <c r="C1153" s="90" t="n"/>
      <c r="D1153" s="90" t="n"/>
      <c r="E1153" s="90" t="n"/>
      <c r="F1153" s="16" t="n"/>
      <c r="G1153" s="16" t="n"/>
      <c r="H1153" s="63" t="n"/>
      <c r="I1153" s="64" t="n"/>
      <c r="J1153" s="16" t="n"/>
      <c r="K1153" s="16" t="n"/>
      <c r="M1153" s="89" t="n"/>
      <c r="N1153" s="1" t="n"/>
      <c r="O1153" s="1" t="n"/>
      <c r="P1153" s="1" t="n"/>
      <c r="Q1153" s="1" t="n"/>
      <c r="R1153" s="1" t="n"/>
    </row>
    <row r="1154">
      <c r="A1154" s="61" t="n"/>
      <c r="B1154" s="16" t="n"/>
      <c r="C1154" s="90" t="n"/>
      <c r="D1154" s="90" t="n"/>
      <c r="E1154" s="90" t="n"/>
      <c r="F1154" s="16" t="n"/>
      <c r="G1154" s="16" t="n"/>
      <c r="H1154" s="63" t="n"/>
      <c r="I1154" s="64" t="n"/>
      <c r="J1154" s="16" t="n"/>
      <c r="K1154" s="16" t="n"/>
      <c r="M1154" s="89" t="n"/>
      <c r="N1154" s="1" t="n"/>
      <c r="O1154" s="1" t="n"/>
      <c r="P1154" s="1" t="n"/>
      <c r="Q1154" s="1" t="n"/>
      <c r="R1154" s="1" t="n"/>
    </row>
    <row r="1155">
      <c r="A1155" s="61" t="n"/>
      <c r="B1155" s="16" t="n"/>
      <c r="C1155" s="90" t="n"/>
      <c r="D1155" s="90" t="n"/>
      <c r="E1155" s="90" t="n"/>
      <c r="F1155" s="16" t="n"/>
      <c r="G1155" s="16" t="n"/>
      <c r="H1155" s="63" t="n"/>
      <c r="I1155" s="64" t="n"/>
      <c r="J1155" s="16" t="n"/>
      <c r="K1155" s="16" t="n"/>
      <c r="M1155" s="89" t="n"/>
      <c r="N1155" s="1" t="n"/>
      <c r="O1155" s="1" t="n"/>
      <c r="P1155" s="1" t="n"/>
      <c r="Q1155" s="1" t="n"/>
      <c r="R1155" s="1" t="n"/>
    </row>
    <row r="1156">
      <c r="A1156" s="61" t="n"/>
      <c r="B1156" s="16" t="n"/>
      <c r="C1156" s="90" t="n"/>
      <c r="D1156" s="90" t="n"/>
      <c r="E1156" s="90" t="n"/>
      <c r="F1156" s="16" t="n"/>
      <c r="G1156" s="16" t="n"/>
      <c r="H1156" s="63" t="n"/>
      <c r="I1156" s="64" t="n"/>
      <c r="J1156" s="16" t="n"/>
      <c r="K1156" s="16" t="n"/>
      <c r="M1156" s="89" t="n"/>
      <c r="N1156" s="1" t="n"/>
      <c r="O1156" s="1" t="n"/>
      <c r="P1156" s="1" t="n"/>
      <c r="Q1156" s="1" t="n"/>
      <c r="R1156" s="1" t="n"/>
    </row>
    <row r="1157">
      <c r="A1157" s="61" t="n"/>
      <c r="B1157" s="16" t="n"/>
      <c r="C1157" s="90" t="n"/>
      <c r="D1157" s="90" t="n"/>
      <c r="E1157" s="90" t="n"/>
      <c r="F1157" s="16" t="n"/>
      <c r="G1157" s="16" t="n"/>
      <c r="H1157" s="63" t="n"/>
      <c r="I1157" s="64" t="n"/>
      <c r="J1157" s="16" t="n"/>
      <c r="K1157" s="16" t="n"/>
      <c r="M1157" s="89" t="n"/>
      <c r="N1157" s="1" t="n"/>
      <c r="O1157" s="1" t="n"/>
      <c r="P1157" s="1" t="n"/>
      <c r="Q1157" s="1" t="n"/>
      <c r="R1157" s="1" t="n"/>
    </row>
    <row r="1158">
      <c r="A1158" s="61" t="n"/>
      <c r="B1158" s="16" t="n"/>
      <c r="C1158" s="90" t="n"/>
      <c r="D1158" s="90" t="n"/>
      <c r="E1158" s="90" t="n"/>
      <c r="F1158" s="16" t="n"/>
      <c r="G1158" s="16" t="n"/>
      <c r="H1158" s="63" t="n"/>
      <c r="I1158" s="64" t="n"/>
      <c r="J1158" s="16" t="n"/>
      <c r="K1158" s="16" t="n"/>
      <c r="M1158" s="89" t="n"/>
      <c r="N1158" s="1" t="n"/>
      <c r="O1158" s="1" t="n"/>
      <c r="P1158" s="1" t="n"/>
      <c r="Q1158" s="1" t="n"/>
      <c r="R1158" s="1" t="n"/>
    </row>
    <row r="1159">
      <c r="A1159" s="61" t="n"/>
      <c r="B1159" s="16" t="n"/>
      <c r="C1159" s="90" t="n"/>
      <c r="D1159" s="90" t="n"/>
      <c r="E1159" s="90" t="n"/>
      <c r="F1159" s="16" t="n"/>
      <c r="G1159" s="16" t="n"/>
      <c r="H1159" s="63" t="n"/>
      <c r="I1159" s="64" t="n"/>
      <c r="J1159" s="16" t="n"/>
      <c r="K1159" s="16" t="n"/>
      <c r="M1159" s="89" t="n"/>
      <c r="N1159" s="1" t="n"/>
      <c r="O1159" s="1" t="n"/>
      <c r="P1159" s="1" t="n"/>
      <c r="Q1159" s="1" t="n"/>
      <c r="R1159" s="1" t="n"/>
    </row>
    <row r="1160">
      <c r="A1160" s="61" t="n"/>
      <c r="B1160" s="16" t="n"/>
      <c r="C1160" s="90" t="n"/>
      <c r="D1160" s="90" t="n"/>
      <c r="E1160" s="90" t="n"/>
      <c r="F1160" s="16" t="n"/>
      <c r="G1160" s="16" t="n"/>
      <c r="H1160" s="63" t="n"/>
      <c r="I1160" s="64" t="n"/>
      <c r="J1160" s="16" t="n"/>
      <c r="K1160" s="16" t="n"/>
      <c r="M1160" s="89" t="n"/>
      <c r="N1160" s="1" t="n"/>
      <c r="O1160" s="1" t="n"/>
      <c r="P1160" s="1" t="n"/>
      <c r="Q1160" s="1" t="n"/>
      <c r="R1160" s="1" t="n"/>
    </row>
    <row r="1161">
      <c r="A1161" s="61" t="n"/>
      <c r="B1161" s="16" t="n"/>
      <c r="C1161" s="90" t="n"/>
      <c r="D1161" s="90" t="n"/>
      <c r="E1161" s="90" t="n"/>
      <c r="F1161" s="16" t="n"/>
      <c r="G1161" s="16" t="n"/>
      <c r="H1161" s="63" t="n"/>
      <c r="I1161" s="64" t="n"/>
      <c r="J1161" s="16" t="n"/>
      <c r="K1161" s="16" t="n"/>
      <c r="M1161" s="89" t="n"/>
      <c r="N1161" s="1" t="n"/>
      <c r="O1161" s="1" t="n"/>
      <c r="P1161" s="1" t="n"/>
      <c r="Q1161" s="1" t="n"/>
      <c r="R1161" s="1" t="n"/>
    </row>
    <row r="1162">
      <c r="A1162" s="61" t="n"/>
      <c r="B1162" s="16" t="n"/>
      <c r="C1162" s="90" t="n"/>
      <c r="D1162" s="90" t="n"/>
      <c r="E1162" s="90" t="n"/>
      <c r="F1162" s="16" t="n"/>
      <c r="G1162" s="16" t="n"/>
      <c r="H1162" s="63" t="n"/>
      <c r="I1162" s="64" t="n"/>
      <c r="J1162" s="16" t="n"/>
      <c r="K1162" s="16" t="n"/>
      <c r="M1162" s="89" t="n"/>
      <c r="N1162" s="1" t="n"/>
      <c r="O1162" s="1" t="n"/>
      <c r="P1162" s="1" t="n"/>
      <c r="Q1162" s="1" t="n"/>
      <c r="R1162" s="1" t="n"/>
    </row>
    <row r="1163">
      <c r="A1163" s="61" t="n"/>
      <c r="B1163" s="16" t="n"/>
      <c r="C1163" s="90" t="n"/>
      <c r="D1163" s="90" t="n"/>
      <c r="E1163" s="90" t="n"/>
      <c r="F1163" s="16" t="n"/>
      <c r="G1163" s="16" t="n"/>
      <c r="H1163" s="63" t="n"/>
      <c r="I1163" s="64" t="n"/>
      <c r="J1163" s="16" t="n"/>
      <c r="K1163" s="16" t="n"/>
      <c r="M1163" s="89" t="n"/>
      <c r="N1163" s="1" t="n"/>
      <c r="O1163" s="1" t="n"/>
      <c r="P1163" s="1" t="n"/>
      <c r="Q1163" s="1" t="n"/>
      <c r="R1163" s="1" t="n"/>
    </row>
    <row r="1164">
      <c r="A1164" s="61" t="n"/>
      <c r="B1164" s="16" t="n"/>
      <c r="C1164" s="90" t="n"/>
      <c r="D1164" s="90" t="n"/>
      <c r="E1164" s="90" t="n"/>
      <c r="F1164" s="16" t="n"/>
      <c r="G1164" s="16" t="n"/>
      <c r="H1164" s="63" t="n"/>
      <c r="I1164" s="64" t="n"/>
      <c r="J1164" s="16" t="n"/>
      <c r="K1164" s="16" t="n"/>
      <c r="M1164" s="89" t="n"/>
      <c r="N1164" s="1" t="n"/>
      <c r="O1164" s="1" t="n"/>
      <c r="P1164" s="1" t="n"/>
      <c r="Q1164" s="1" t="n"/>
      <c r="R1164" s="1" t="n"/>
    </row>
    <row r="1165">
      <c r="A1165" s="61" t="n"/>
      <c r="B1165" s="16" t="n"/>
      <c r="C1165" s="90" t="n"/>
      <c r="D1165" s="90" t="n"/>
      <c r="E1165" s="90" t="n"/>
      <c r="F1165" s="16" t="n"/>
      <c r="G1165" s="16" t="n"/>
      <c r="H1165" s="63" t="n"/>
      <c r="I1165" s="64" t="n"/>
      <c r="J1165" s="16" t="n"/>
      <c r="K1165" s="16" t="n"/>
      <c r="M1165" s="89" t="n"/>
      <c r="N1165" s="1" t="n"/>
      <c r="O1165" s="1" t="n"/>
      <c r="P1165" s="1" t="n"/>
      <c r="Q1165" s="1" t="n"/>
      <c r="R1165" s="1" t="n"/>
    </row>
    <row r="1166">
      <c r="A1166" s="61" t="n"/>
      <c r="B1166" s="16" t="n"/>
      <c r="C1166" s="90" t="n"/>
      <c r="D1166" s="90" t="n"/>
      <c r="E1166" s="90" t="n"/>
      <c r="F1166" s="16" t="n"/>
      <c r="G1166" s="16" t="n"/>
      <c r="H1166" s="63" t="n"/>
      <c r="I1166" s="64" t="n"/>
      <c r="J1166" s="16" t="n"/>
      <c r="K1166" s="16" t="n"/>
      <c r="M1166" s="89" t="n"/>
      <c r="N1166" s="1" t="n"/>
      <c r="O1166" s="1" t="n"/>
      <c r="P1166" s="1" t="n"/>
      <c r="Q1166" s="1" t="n"/>
      <c r="R1166" s="1" t="n"/>
    </row>
    <row r="1167">
      <c r="A1167" s="61" t="n"/>
      <c r="B1167" s="16" t="n"/>
      <c r="C1167" s="90" t="n"/>
      <c r="D1167" s="90" t="n"/>
      <c r="E1167" s="90" t="n"/>
      <c r="F1167" s="16" t="n"/>
      <c r="G1167" s="16" t="n"/>
      <c r="H1167" s="63" t="n"/>
      <c r="I1167" s="64" t="n"/>
      <c r="J1167" s="16" t="n"/>
      <c r="K1167" s="16" t="n"/>
      <c r="M1167" s="89" t="n"/>
      <c r="N1167" s="1" t="n"/>
      <c r="O1167" s="1" t="n"/>
      <c r="P1167" s="1" t="n"/>
      <c r="Q1167" s="1" t="n"/>
      <c r="R1167" s="1" t="n"/>
    </row>
    <row r="1168">
      <c r="A1168" s="61" t="n"/>
      <c r="B1168" s="16" t="n"/>
      <c r="C1168" s="90" t="n"/>
      <c r="D1168" s="90" t="n"/>
      <c r="E1168" s="90" t="n"/>
      <c r="F1168" s="16" t="n"/>
      <c r="G1168" s="16" t="n"/>
      <c r="H1168" s="63" t="n"/>
      <c r="I1168" s="64" t="n"/>
      <c r="J1168" s="16" t="n"/>
      <c r="K1168" s="16" t="n"/>
      <c r="M1168" s="89" t="n"/>
      <c r="N1168" s="1" t="n"/>
      <c r="O1168" s="1" t="n"/>
      <c r="P1168" s="1" t="n"/>
      <c r="Q1168" s="1" t="n"/>
      <c r="R1168" s="1" t="n"/>
    </row>
    <row r="1169">
      <c r="A1169" s="61" t="n"/>
      <c r="B1169" s="16" t="n"/>
      <c r="C1169" s="90" t="n"/>
      <c r="D1169" s="90" t="n"/>
      <c r="E1169" s="90" t="n"/>
      <c r="F1169" s="16" t="n"/>
      <c r="G1169" s="16" t="n"/>
      <c r="H1169" s="63" t="n"/>
      <c r="I1169" s="64" t="n"/>
      <c r="J1169" s="16" t="n"/>
      <c r="K1169" s="16" t="n"/>
      <c r="M1169" s="89" t="n"/>
      <c r="N1169" s="1" t="n"/>
      <c r="O1169" s="1" t="n"/>
      <c r="P1169" s="1" t="n"/>
      <c r="Q1169" s="1" t="n"/>
      <c r="R1169" s="1" t="n"/>
    </row>
    <row r="1170">
      <c r="A1170" s="61" t="n"/>
      <c r="B1170" s="16" t="n"/>
      <c r="C1170" s="90" t="n"/>
      <c r="D1170" s="90" t="n"/>
      <c r="E1170" s="90" t="n"/>
      <c r="F1170" s="16" t="n"/>
      <c r="G1170" s="16" t="n"/>
      <c r="H1170" s="63" t="n"/>
      <c r="I1170" s="64" t="n"/>
      <c r="J1170" s="16" t="n"/>
      <c r="K1170" s="16" t="n"/>
      <c r="M1170" s="89" t="n"/>
      <c r="N1170" s="1" t="n"/>
      <c r="O1170" s="1" t="n"/>
      <c r="P1170" s="1" t="n"/>
      <c r="Q1170" s="1" t="n"/>
      <c r="R1170" s="1" t="n"/>
    </row>
    <row r="1171">
      <c r="A1171" s="61" t="n"/>
      <c r="B1171" s="16" t="n"/>
      <c r="C1171" s="90" t="n"/>
      <c r="D1171" s="90" t="n"/>
      <c r="E1171" s="90" t="n"/>
      <c r="F1171" s="16" t="n"/>
      <c r="G1171" s="16" t="n"/>
      <c r="H1171" s="63" t="n"/>
      <c r="I1171" s="64" t="n"/>
      <c r="J1171" s="16" t="n"/>
      <c r="K1171" s="16" t="n"/>
      <c r="M1171" s="89" t="n"/>
      <c r="N1171" s="1" t="n"/>
      <c r="O1171" s="1" t="n"/>
      <c r="P1171" s="1" t="n"/>
      <c r="Q1171" s="1" t="n"/>
      <c r="R1171" s="1" t="n"/>
    </row>
    <row r="1172">
      <c r="A1172" s="61" t="n"/>
      <c r="B1172" s="16" t="n"/>
      <c r="C1172" s="90" t="n"/>
      <c r="D1172" s="90" t="n"/>
      <c r="E1172" s="90" t="n"/>
      <c r="F1172" s="16" t="n"/>
      <c r="G1172" s="16" t="n"/>
      <c r="H1172" s="63" t="n"/>
      <c r="I1172" s="64" t="n"/>
      <c r="J1172" s="16" t="n"/>
      <c r="K1172" s="16" t="n"/>
      <c r="M1172" s="89" t="n"/>
      <c r="N1172" s="1" t="n"/>
      <c r="O1172" s="1" t="n"/>
      <c r="P1172" s="1" t="n"/>
      <c r="Q1172" s="1" t="n"/>
      <c r="R1172" s="1" t="n"/>
    </row>
    <row r="1173">
      <c r="A1173" s="61" t="n"/>
      <c r="B1173" s="16" t="n"/>
      <c r="C1173" s="90" t="n"/>
      <c r="D1173" s="90" t="n"/>
      <c r="E1173" s="90" t="n"/>
      <c r="F1173" s="16" t="n"/>
      <c r="G1173" s="16" t="n"/>
      <c r="H1173" s="63" t="n"/>
      <c r="I1173" s="64" t="n"/>
      <c r="J1173" s="16" t="n"/>
      <c r="K1173" s="16" t="n"/>
      <c r="M1173" s="89" t="n"/>
      <c r="N1173" s="1" t="n"/>
      <c r="O1173" s="1" t="n"/>
      <c r="P1173" s="1" t="n"/>
      <c r="Q1173" s="1" t="n"/>
      <c r="R1173" s="1" t="n"/>
    </row>
    <row r="1174">
      <c r="A1174" s="61" t="n"/>
      <c r="B1174" s="16" t="n"/>
      <c r="C1174" s="90" t="n"/>
      <c r="D1174" s="90" t="n"/>
      <c r="E1174" s="90" t="n"/>
      <c r="F1174" s="16" t="n"/>
      <c r="G1174" s="16" t="n"/>
      <c r="H1174" s="63" t="n"/>
      <c r="I1174" s="64" t="n"/>
      <c r="J1174" s="16" t="n"/>
      <c r="K1174" s="16" t="n"/>
      <c r="M1174" s="89" t="n"/>
      <c r="N1174" s="1" t="n"/>
      <c r="O1174" s="1" t="n"/>
      <c r="P1174" s="1" t="n"/>
      <c r="Q1174" s="1" t="n"/>
      <c r="R1174" s="1" t="n"/>
    </row>
    <row r="1175">
      <c r="A1175" s="61" t="n"/>
      <c r="B1175" s="16" t="n"/>
      <c r="C1175" s="90" t="n"/>
      <c r="D1175" s="90" t="n"/>
      <c r="E1175" s="90" t="n"/>
      <c r="F1175" s="16" t="n"/>
      <c r="G1175" s="16" t="n"/>
      <c r="H1175" s="63" t="n"/>
      <c r="I1175" s="64" t="n"/>
      <c r="J1175" s="16" t="n"/>
      <c r="K1175" s="16" t="n"/>
      <c r="M1175" s="89" t="n"/>
      <c r="N1175" s="1" t="n"/>
      <c r="O1175" s="1" t="n"/>
      <c r="P1175" s="1" t="n"/>
      <c r="Q1175" s="1" t="n"/>
      <c r="R1175" s="1" t="n"/>
    </row>
    <row r="1176">
      <c r="A1176" s="61" t="n"/>
      <c r="B1176" s="16" t="n"/>
      <c r="C1176" s="90" t="n"/>
      <c r="D1176" s="90" t="n"/>
      <c r="E1176" s="90" t="n"/>
      <c r="F1176" s="16" t="n"/>
      <c r="G1176" s="16" t="n"/>
      <c r="H1176" s="63" t="n"/>
      <c r="I1176" s="64" t="n"/>
      <c r="J1176" s="16" t="n"/>
      <c r="K1176" s="16" t="n"/>
      <c r="M1176" s="89" t="n"/>
      <c r="N1176" s="1" t="n"/>
      <c r="O1176" s="1" t="n"/>
      <c r="P1176" s="1" t="n"/>
      <c r="Q1176" s="1" t="n"/>
      <c r="R1176" s="1" t="n"/>
    </row>
    <row r="1177">
      <c r="A1177" s="61" t="n"/>
      <c r="B1177" s="16" t="n"/>
      <c r="C1177" s="90" t="n"/>
      <c r="D1177" s="90" t="n"/>
      <c r="E1177" s="90" t="n"/>
      <c r="F1177" s="16" t="n"/>
      <c r="G1177" s="16" t="n"/>
      <c r="H1177" s="63" t="n"/>
      <c r="I1177" s="64" t="n"/>
      <c r="J1177" s="16" t="n"/>
      <c r="K1177" s="16" t="n"/>
      <c r="M1177" s="89" t="n"/>
      <c r="N1177" s="1" t="n"/>
      <c r="O1177" s="1" t="n"/>
      <c r="P1177" s="1" t="n"/>
      <c r="Q1177" s="1" t="n"/>
      <c r="R1177" s="1" t="n"/>
    </row>
    <row r="1178">
      <c r="A1178" s="61" t="n"/>
      <c r="B1178" s="16" t="n"/>
      <c r="C1178" s="90" t="n"/>
      <c r="D1178" s="90" t="n"/>
      <c r="E1178" s="90" t="n"/>
      <c r="F1178" s="16" t="n"/>
      <c r="G1178" s="16" t="n"/>
      <c r="H1178" s="63" t="n"/>
      <c r="I1178" s="64" t="n"/>
      <c r="J1178" s="16" t="n"/>
      <c r="K1178" s="16" t="n"/>
      <c r="M1178" s="89" t="n"/>
      <c r="N1178" s="1" t="n"/>
      <c r="O1178" s="1" t="n"/>
      <c r="P1178" s="1" t="n"/>
      <c r="Q1178" s="1" t="n"/>
      <c r="R1178" s="1" t="n"/>
    </row>
    <row r="1179">
      <c r="A1179" s="61" t="n"/>
      <c r="B1179" s="16" t="n"/>
      <c r="C1179" s="90" t="n"/>
      <c r="D1179" s="90" t="n"/>
      <c r="E1179" s="90" t="n"/>
      <c r="F1179" s="16" t="n"/>
      <c r="G1179" s="16" t="n"/>
      <c r="H1179" s="63" t="n"/>
      <c r="I1179" s="64" t="n"/>
      <c r="J1179" s="16" t="n"/>
      <c r="K1179" s="16" t="n"/>
      <c r="M1179" s="89" t="n"/>
      <c r="N1179" s="1" t="n"/>
      <c r="O1179" s="1" t="n"/>
      <c r="P1179" s="1" t="n"/>
      <c r="Q1179" s="1" t="n"/>
      <c r="R1179" s="1" t="n"/>
    </row>
    <row r="1180">
      <c r="A1180" s="61" t="n"/>
      <c r="B1180" s="16" t="n"/>
      <c r="C1180" s="90" t="n"/>
      <c r="D1180" s="90" t="n"/>
      <c r="E1180" s="90" t="n"/>
      <c r="F1180" s="16" t="n"/>
      <c r="G1180" s="16" t="n"/>
      <c r="H1180" s="63" t="n"/>
      <c r="I1180" s="64" t="n"/>
      <c r="J1180" s="16" t="n"/>
      <c r="K1180" s="16" t="n"/>
      <c r="M1180" s="89" t="n"/>
      <c r="N1180" s="1" t="n"/>
      <c r="O1180" s="1" t="n"/>
      <c r="P1180" s="1" t="n"/>
      <c r="Q1180" s="1" t="n"/>
      <c r="R1180" s="1" t="n"/>
    </row>
    <row r="1181">
      <c r="A1181" s="61" t="n"/>
      <c r="B1181" s="16" t="n"/>
      <c r="C1181" s="90" t="n"/>
      <c r="D1181" s="90" t="n"/>
      <c r="E1181" s="90" t="n"/>
      <c r="F1181" s="16" t="n"/>
      <c r="G1181" s="16" t="n"/>
      <c r="H1181" s="63" t="n"/>
      <c r="I1181" s="64" t="n"/>
      <c r="J1181" s="16" t="n"/>
      <c r="K1181" s="16" t="n"/>
      <c r="M1181" s="89" t="n"/>
      <c r="N1181" s="1" t="n"/>
      <c r="O1181" s="1" t="n"/>
      <c r="P1181" s="1" t="n"/>
      <c r="Q1181" s="1" t="n"/>
      <c r="R1181" s="1" t="n"/>
    </row>
    <row r="1182">
      <c r="A1182" s="61" t="n"/>
      <c r="B1182" s="16" t="n"/>
      <c r="C1182" s="90" t="n"/>
      <c r="D1182" s="90" t="n"/>
      <c r="E1182" s="90" t="n"/>
      <c r="F1182" s="16" t="n"/>
      <c r="G1182" s="16" t="n"/>
      <c r="H1182" s="63" t="n"/>
      <c r="I1182" s="64" t="n"/>
      <c r="J1182" s="16" t="n"/>
      <c r="K1182" s="16" t="n"/>
      <c r="M1182" s="89" t="n"/>
      <c r="N1182" s="1" t="n"/>
      <c r="O1182" s="1" t="n"/>
      <c r="P1182" s="1" t="n"/>
      <c r="Q1182" s="1" t="n"/>
      <c r="R1182" s="1" t="n"/>
    </row>
    <row r="1183">
      <c r="A1183" s="61" t="n"/>
      <c r="B1183" s="16" t="n"/>
      <c r="C1183" s="90" t="n"/>
      <c r="D1183" s="90" t="n"/>
      <c r="E1183" s="90" t="n"/>
      <c r="F1183" s="16" t="n"/>
      <c r="G1183" s="16" t="n"/>
      <c r="H1183" s="63" t="n"/>
      <c r="I1183" s="64" t="n"/>
      <c r="J1183" s="16" t="n"/>
      <c r="K1183" s="16" t="n"/>
      <c r="M1183" s="89" t="n"/>
      <c r="N1183" s="1" t="n"/>
      <c r="O1183" s="1" t="n"/>
      <c r="P1183" s="1" t="n"/>
      <c r="Q1183" s="1" t="n"/>
      <c r="R1183" s="1" t="n"/>
    </row>
    <row r="1184">
      <c r="A1184" s="61" t="n"/>
      <c r="B1184" s="16" t="n"/>
      <c r="C1184" s="90" t="n"/>
      <c r="D1184" s="90" t="n"/>
      <c r="E1184" s="90" t="n"/>
      <c r="F1184" s="16" t="n"/>
      <c r="G1184" s="16" t="n"/>
      <c r="H1184" s="63" t="n"/>
      <c r="I1184" s="64" t="n"/>
      <c r="J1184" s="16" t="n"/>
      <c r="K1184" s="16" t="n"/>
      <c r="M1184" s="89" t="n"/>
      <c r="N1184" s="1" t="n"/>
      <c r="O1184" s="1" t="n"/>
      <c r="P1184" s="1" t="n"/>
      <c r="Q1184" s="1" t="n"/>
      <c r="R1184" s="1" t="n"/>
    </row>
    <row r="1185">
      <c r="A1185" s="61" t="n"/>
      <c r="B1185" s="16" t="n"/>
      <c r="C1185" s="90" t="n"/>
      <c r="D1185" s="90" t="n"/>
      <c r="E1185" s="90" t="n"/>
      <c r="F1185" s="16" t="n"/>
      <c r="G1185" s="16" t="n"/>
      <c r="H1185" s="63" t="n"/>
      <c r="I1185" s="64" t="n"/>
      <c r="J1185" s="16" t="n"/>
      <c r="K1185" s="16" t="n"/>
      <c r="M1185" s="89" t="n"/>
      <c r="N1185" s="1" t="n"/>
      <c r="O1185" s="1" t="n"/>
      <c r="P1185" s="1" t="n"/>
      <c r="Q1185" s="1" t="n"/>
      <c r="R1185" s="1" t="n"/>
    </row>
    <row r="1186">
      <c r="A1186" s="61" t="n"/>
      <c r="B1186" s="16" t="n"/>
      <c r="C1186" s="90" t="n"/>
      <c r="D1186" s="90" t="n"/>
      <c r="E1186" s="90" t="n"/>
      <c r="F1186" s="16" t="n"/>
      <c r="G1186" s="16" t="n"/>
      <c r="H1186" s="63" t="n"/>
      <c r="I1186" s="64" t="n"/>
      <c r="J1186" s="16" t="n"/>
      <c r="K1186" s="16" t="n"/>
      <c r="M1186" s="89" t="n"/>
      <c r="N1186" s="1" t="n"/>
      <c r="O1186" s="1" t="n"/>
      <c r="P1186" s="1" t="n"/>
      <c r="Q1186" s="1" t="n"/>
      <c r="R1186" s="1" t="n"/>
    </row>
    <row r="1187">
      <c r="A1187" s="61" t="n"/>
      <c r="B1187" s="16" t="n"/>
      <c r="C1187" s="90" t="n"/>
      <c r="D1187" s="90" t="n"/>
      <c r="E1187" s="90" t="n"/>
      <c r="F1187" s="16" t="n"/>
      <c r="G1187" s="16" t="n"/>
      <c r="H1187" s="63" t="n"/>
      <c r="I1187" s="64" t="n"/>
      <c r="J1187" s="16" t="n"/>
      <c r="K1187" s="16" t="n"/>
      <c r="M1187" s="89" t="n"/>
      <c r="N1187" s="1" t="n"/>
      <c r="O1187" s="1" t="n"/>
      <c r="P1187" s="1" t="n"/>
      <c r="Q1187" s="1" t="n"/>
      <c r="R1187" s="1" t="n"/>
    </row>
    <row r="1188">
      <c r="A1188" s="61" t="n"/>
      <c r="B1188" s="16" t="n"/>
      <c r="C1188" s="90" t="n"/>
      <c r="D1188" s="90" t="n"/>
      <c r="E1188" s="90" t="n"/>
      <c r="F1188" s="16" t="n"/>
      <c r="G1188" s="16" t="n"/>
      <c r="H1188" s="63" t="n"/>
      <c r="I1188" s="64" t="n"/>
      <c r="J1188" s="16" t="n"/>
      <c r="K1188" s="16" t="n"/>
      <c r="M1188" s="89" t="n"/>
      <c r="N1188" s="1" t="n"/>
      <c r="O1188" s="1" t="n"/>
      <c r="P1188" s="1" t="n"/>
      <c r="Q1188" s="1" t="n"/>
      <c r="R1188" s="1" t="n"/>
    </row>
    <row r="1189">
      <c r="A1189" s="61" t="n"/>
      <c r="B1189" s="16" t="n"/>
      <c r="C1189" s="90" t="n"/>
      <c r="D1189" s="90" t="n"/>
      <c r="E1189" s="90" t="n"/>
      <c r="F1189" s="16" t="n"/>
      <c r="G1189" s="16" t="n"/>
      <c r="H1189" s="63" t="n"/>
      <c r="I1189" s="64" t="n"/>
      <c r="J1189" s="16" t="n"/>
      <c r="K1189" s="16" t="n"/>
      <c r="M1189" s="89" t="n"/>
      <c r="N1189" s="1" t="n"/>
      <c r="O1189" s="1" t="n"/>
      <c r="P1189" s="1" t="n"/>
      <c r="Q1189" s="1" t="n"/>
      <c r="R1189" s="1" t="n"/>
    </row>
    <row r="1190">
      <c r="A1190" s="61" t="n"/>
      <c r="B1190" s="16" t="n"/>
      <c r="C1190" s="90" t="n"/>
      <c r="D1190" s="90" t="n"/>
      <c r="E1190" s="90" t="n"/>
      <c r="F1190" s="16" t="n"/>
      <c r="G1190" s="16" t="n"/>
      <c r="H1190" s="63" t="n"/>
      <c r="I1190" s="64" t="n"/>
      <c r="J1190" s="16" t="n"/>
      <c r="K1190" s="16" t="n"/>
      <c r="M1190" s="89" t="n"/>
      <c r="N1190" s="1" t="n"/>
      <c r="O1190" s="1" t="n"/>
      <c r="P1190" s="1" t="n"/>
      <c r="Q1190" s="1" t="n"/>
      <c r="R1190" s="1" t="n"/>
    </row>
    <row r="1191">
      <c r="A1191" s="61" t="n"/>
      <c r="B1191" s="16" t="n"/>
      <c r="C1191" s="90" t="n"/>
      <c r="D1191" s="90" t="n"/>
      <c r="E1191" s="90" t="n"/>
      <c r="F1191" s="16" t="n"/>
      <c r="G1191" s="16" t="n"/>
      <c r="H1191" s="63" t="n"/>
      <c r="I1191" s="64" t="n"/>
      <c r="J1191" s="16" t="n"/>
      <c r="K1191" s="16" t="n"/>
      <c r="M1191" s="89" t="n"/>
      <c r="N1191" s="1" t="n"/>
      <c r="O1191" s="1" t="n"/>
      <c r="P1191" s="1" t="n"/>
      <c r="Q1191" s="1" t="n"/>
      <c r="R1191" s="1" t="n"/>
    </row>
    <row r="1192">
      <c r="A1192" s="61" t="n"/>
      <c r="B1192" s="16" t="n"/>
      <c r="C1192" s="90" t="n"/>
      <c r="D1192" s="90" t="n"/>
      <c r="E1192" s="90" t="n"/>
      <c r="F1192" s="16" t="n"/>
      <c r="G1192" s="16" t="n"/>
      <c r="H1192" s="63" t="n"/>
      <c r="I1192" s="64" t="n"/>
      <c r="J1192" s="16" t="n"/>
      <c r="K1192" s="16" t="n"/>
      <c r="M1192" s="89" t="n"/>
      <c r="N1192" s="1" t="n"/>
      <c r="O1192" s="1" t="n"/>
      <c r="P1192" s="1" t="n"/>
      <c r="Q1192" s="1" t="n"/>
      <c r="R1192" s="1" t="n"/>
    </row>
    <row r="1193">
      <c r="A1193" s="61" t="n"/>
      <c r="B1193" s="16" t="n"/>
      <c r="C1193" s="90" t="n"/>
      <c r="D1193" s="90" t="n"/>
      <c r="E1193" s="90" t="n"/>
      <c r="F1193" s="16" t="n"/>
      <c r="G1193" s="16" t="n"/>
      <c r="H1193" s="63" t="n"/>
      <c r="I1193" s="64" t="n"/>
      <c r="J1193" s="16" t="n"/>
      <c r="K1193" s="16" t="n"/>
      <c r="M1193" s="89" t="n"/>
      <c r="N1193" s="1" t="n"/>
      <c r="O1193" s="1" t="n"/>
      <c r="P1193" s="1" t="n"/>
      <c r="Q1193" s="1" t="n"/>
      <c r="R1193" s="1" t="n"/>
    </row>
    <row r="1194">
      <c r="A1194" s="61" t="n"/>
      <c r="B1194" s="16" t="n"/>
      <c r="C1194" s="90" t="n"/>
      <c r="D1194" s="90" t="n"/>
      <c r="E1194" s="90" t="n"/>
      <c r="F1194" s="16" t="n"/>
      <c r="G1194" s="16" t="n"/>
      <c r="H1194" s="63" t="n"/>
      <c r="I1194" s="64" t="n"/>
      <c r="J1194" s="16" t="n"/>
      <c r="K1194" s="16" t="n"/>
      <c r="M1194" s="89" t="n"/>
      <c r="N1194" s="1" t="n"/>
      <c r="O1194" s="1" t="n"/>
      <c r="P1194" s="1" t="n"/>
      <c r="Q1194" s="1" t="n"/>
      <c r="R1194" s="1" t="n"/>
    </row>
    <row r="1195">
      <c r="A1195" s="61" t="n"/>
      <c r="B1195" s="16" t="n"/>
      <c r="C1195" s="90" t="n"/>
      <c r="D1195" s="90" t="n"/>
      <c r="E1195" s="90" t="n"/>
      <c r="F1195" s="16" t="n"/>
      <c r="G1195" s="16" t="n"/>
      <c r="H1195" s="63" t="n"/>
      <c r="I1195" s="64" t="n"/>
      <c r="J1195" s="16" t="n"/>
      <c r="K1195" s="16" t="n"/>
      <c r="M1195" s="89" t="n"/>
      <c r="N1195" s="1" t="n"/>
      <c r="O1195" s="1" t="n"/>
      <c r="P1195" s="1" t="n"/>
      <c r="Q1195" s="1" t="n"/>
      <c r="R1195" s="1" t="n"/>
    </row>
    <row r="1196">
      <c r="A1196" s="61" t="n"/>
      <c r="B1196" s="16" t="n"/>
      <c r="C1196" s="90" t="n"/>
      <c r="D1196" s="90" t="n"/>
      <c r="E1196" s="90" t="n"/>
      <c r="F1196" s="16" t="n"/>
      <c r="G1196" s="16" t="n"/>
      <c r="H1196" s="63" t="n"/>
      <c r="I1196" s="64" t="n"/>
      <c r="J1196" s="16" t="n"/>
      <c r="K1196" s="16" t="n"/>
      <c r="M1196" s="89" t="n"/>
      <c r="N1196" s="1" t="n"/>
      <c r="O1196" s="1" t="n"/>
      <c r="P1196" s="1" t="n"/>
      <c r="Q1196" s="1" t="n"/>
      <c r="R1196" s="1" t="n"/>
    </row>
    <row r="1197">
      <c r="A1197" s="61" t="n"/>
      <c r="B1197" s="16" t="n"/>
      <c r="C1197" s="90" t="n"/>
      <c r="D1197" s="90" t="n"/>
      <c r="E1197" s="90" t="n"/>
      <c r="F1197" s="16" t="n"/>
      <c r="G1197" s="16" t="n"/>
      <c r="H1197" s="63" t="n"/>
      <c r="I1197" s="64" t="n"/>
      <c r="J1197" s="16" t="n"/>
      <c r="K1197" s="16" t="n"/>
      <c r="M1197" s="89" t="n"/>
      <c r="N1197" s="1" t="n"/>
      <c r="O1197" s="1" t="n"/>
      <c r="P1197" s="1" t="n"/>
      <c r="Q1197" s="1" t="n"/>
      <c r="R1197" s="1" t="n"/>
    </row>
    <row r="1198">
      <c r="A1198" s="61" t="n"/>
      <c r="B1198" s="16" t="n"/>
      <c r="C1198" s="90" t="n"/>
      <c r="D1198" s="90" t="n"/>
      <c r="E1198" s="90" t="n"/>
      <c r="F1198" s="16" t="n"/>
      <c r="G1198" s="16" t="n"/>
      <c r="H1198" s="63" t="n"/>
      <c r="I1198" s="64" t="n"/>
      <c r="J1198" s="16" t="n"/>
      <c r="K1198" s="16" t="n"/>
      <c r="M1198" s="89" t="n"/>
      <c r="N1198" s="1" t="n"/>
      <c r="O1198" s="1" t="n"/>
      <c r="P1198" s="1" t="n"/>
      <c r="Q1198" s="1" t="n"/>
      <c r="R1198" s="1" t="n"/>
    </row>
    <row r="1199">
      <c r="A1199" s="61" t="n"/>
      <c r="B1199" s="16" t="n"/>
      <c r="C1199" s="90" t="n"/>
      <c r="D1199" s="90" t="n"/>
      <c r="E1199" s="90" t="n"/>
      <c r="F1199" s="16" t="n"/>
      <c r="G1199" s="16" t="n"/>
      <c r="H1199" s="63" t="n"/>
      <c r="I1199" s="64" t="n"/>
      <c r="J1199" s="16" t="n"/>
      <c r="K1199" s="16" t="n"/>
      <c r="M1199" s="89" t="n"/>
      <c r="N1199" s="1" t="n"/>
      <c r="O1199" s="1" t="n"/>
      <c r="P1199" s="1" t="n"/>
      <c r="Q1199" s="1" t="n"/>
      <c r="R1199" s="1" t="n"/>
    </row>
    <row r="1200">
      <c r="A1200" s="61" t="n"/>
      <c r="B1200" s="16" t="n"/>
      <c r="C1200" s="90" t="n"/>
      <c r="D1200" s="90" t="n"/>
      <c r="E1200" s="90" t="n"/>
      <c r="F1200" s="16" t="n"/>
      <c r="G1200" s="16" t="n"/>
      <c r="H1200" s="63" t="n"/>
      <c r="I1200" s="64" t="n"/>
      <c r="J1200" s="16" t="n"/>
      <c r="K1200" s="16" t="n"/>
      <c r="M1200" s="89" t="n"/>
      <c r="N1200" s="1" t="n"/>
      <c r="O1200" s="1" t="n"/>
      <c r="P1200" s="1" t="n"/>
      <c r="Q1200" s="1" t="n"/>
      <c r="R1200" s="1" t="n"/>
    </row>
    <row r="1201">
      <c r="A1201" s="61" t="n"/>
      <c r="B1201" s="16" t="n"/>
      <c r="C1201" s="90" t="n"/>
      <c r="D1201" s="90" t="n"/>
      <c r="E1201" s="90" t="n"/>
      <c r="F1201" s="16" t="n"/>
      <c r="G1201" s="16" t="n"/>
      <c r="H1201" s="63" t="n"/>
      <c r="I1201" s="64" t="n"/>
      <c r="J1201" s="16" t="n"/>
      <c r="K1201" s="16" t="n"/>
      <c r="M1201" s="89" t="n"/>
      <c r="N1201" s="1" t="n"/>
      <c r="O1201" s="1" t="n"/>
      <c r="P1201" s="1" t="n"/>
      <c r="Q1201" s="1" t="n"/>
      <c r="R1201" s="1" t="n"/>
    </row>
    <row r="1202">
      <c r="A1202" s="61" t="n"/>
      <c r="B1202" s="16" t="n"/>
      <c r="C1202" s="90" t="n"/>
      <c r="D1202" s="90" t="n"/>
      <c r="E1202" s="90" t="n"/>
      <c r="F1202" s="16" t="n"/>
      <c r="G1202" s="16" t="n"/>
      <c r="H1202" s="63" t="n"/>
      <c r="I1202" s="64" t="n"/>
      <c r="J1202" s="16" t="n"/>
      <c r="K1202" s="16" t="n"/>
      <c r="M1202" s="89" t="n"/>
      <c r="N1202" s="1" t="n"/>
      <c r="O1202" s="1" t="n"/>
      <c r="P1202" s="1" t="n"/>
      <c r="Q1202" s="1" t="n"/>
      <c r="R1202" s="1" t="n"/>
    </row>
    <row r="1203">
      <c r="A1203" s="61" t="n"/>
      <c r="B1203" s="16" t="n"/>
      <c r="C1203" s="90" t="n"/>
      <c r="D1203" s="90" t="n"/>
      <c r="E1203" s="90" t="n"/>
      <c r="F1203" s="16" t="n"/>
      <c r="G1203" s="16" t="n"/>
      <c r="H1203" s="63" t="n"/>
      <c r="I1203" s="64" t="n"/>
      <c r="J1203" s="16" t="n"/>
      <c r="K1203" s="16" t="n"/>
      <c r="M1203" s="89" t="n"/>
      <c r="N1203" s="1" t="n"/>
      <c r="O1203" s="1" t="n"/>
      <c r="P1203" s="1" t="n"/>
      <c r="Q1203" s="1" t="n"/>
      <c r="R1203" s="1" t="n"/>
    </row>
    <row r="1204">
      <c r="A1204" s="61" t="n"/>
      <c r="B1204" s="16" t="n"/>
      <c r="C1204" s="90" t="n"/>
      <c r="D1204" s="90" t="n"/>
      <c r="E1204" s="90" t="n"/>
      <c r="F1204" s="16" t="n"/>
      <c r="G1204" s="16" t="n"/>
      <c r="H1204" s="63" t="n"/>
      <c r="I1204" s="64" t="n"/>
      <c r="J1204" s="16" t="n"/>
      <c r="K1204" s="16" t="n"/>
      <c r="M1204" s="89" t="n"/>
      <c r="N1204" s="1" t="n"/>
      <c r="O1204" s="1" t="n"/>
      <c r="P1204" s="1" t="n"/>
      <c r="Q1204" s="1" t="n"/>
      <c r="R1204" s="1" t="n"/>
    </row>
    <row r="1205">
      <c r="A1205" s="61" t="n"/>
      <c r="B1205" s="16" t="n"/>
      <c r="C1205" s="90" t="n"/>
      <c r="D1205" s="90" t="n"/>
      <c r="E1205" s="90" t="n"/>
      <c r="F1205" s="16" t="n"/>
      <c r="G1205" s="16" t="n"/>
      <c r="H1205" s="63" t="n"/>
      <c r="I1205" s="64" t="n"/>
      <c r="J1205" s="16" t="n"/>
      <c r="K1205" s="16" t="n"/>
      <c r="M1205" s="89" t="n"/>
      <c r="N1205" s="1" t="n"/>
      <c r="O1205" s="1" t="n"/>
      <c r="P1205" s="1" t="n"/>
      <c r="Q1205" s="1" t="n"/>
      <c r="R1205" s="1" t="n"/>
    </row>
    <row r="1206">
      <c r="A1206" s="61" t="n"/>
      <c r="B1206" s="16" t="n"/>
      <c r="C1206" s="90" t="n"/>
      <c r="D1206" s="90" t="n"/>
      <c r="E1206" s="90" t="n"/>
      <c r="F1206" s="16" t="n"/>
      <c r="G1206" s="16" t="n"/>
      <c r="H1206" s="63" t="n"/>
      <c r="I1206" s="64" t="n"/>
      <c r="J1206" s="16" t="n"/>
      <c r="K1206" s="16" t="n"/>
      <c r="M1206" s="89" t="n"/>
      <c r="N1206" s="1" t="n"/>
      <c r="O1206" s="1" t="n"/>
      <c r="P1206" s="1" t="n"/>
      <c r="Q1206" s="1" t="n"/>
      <c r="R1206" s="1" t="n"/>
    </row>
    <row r="1207">
      <c r="A1207" s="61" t="n"/>
      <c r="B1207" s="16" t="n"/>
      <c r="C1207" s="90" t="n"/>
      <c r="D1207" s="90" t="n"/>
      <c r="E1207" s="90" t="n"/>
      <c r="F1207" s="16" t="n"/>
      <c r="G1207" s="16" t="n"/>
      <c r="H1207" s="63" t="n"/>
      <c r="I1207" s="64" t="n"/>
      <c r="J1207" s="16" t="n"/>
      <c r="K1207" s="16" t="n"/>
      <c r="M1207" s="89" t="n"/>
      <c r="N1207" s="1" t="n"/>
      <c r="O1207" s="1" t="n"/>
      <c r="P1207" s="1" t="n"/>
      <c r="Q1207" s="1" t="n"/>
      <c r="R1207" s="1" t="n"/>
    </row>
    <row r="1208">
      <c r="A1208" s="61" t="n"/>
      <c r="B1208" s="16" t="n"/>
      <c r="C1208" s="90" t="n"/>
      <c r="D1208" s="90" t="n"/>
      <c r="E1208" s="90" t="n"/>
      <c r="F1208" s="16" t="n"/>
      <c r="G1208" s="16" t="n"/>
      <c r="H1208" s="63" t="n"/>
      <c r="I1208" s="64" t="n"/>
      <c r="J1208" s="16" t="n"/>
      <c r="K1208" s="16" t="n"/>
      <c r="M1208" s="89" t="n"/>
      <c r="N1208" s="1" t="n"/>
      <c r="O1208" s="1" t="n"/>
      <c r="P1208" s="1" t="n"/>
      <c r="Q1208" s="1" t="n"/>
      <c r="R1208" s="1" t="n"/>
    </row>
    <row r="1209">
      <c r="A1209" s="61" t="n"/>
      <c r="B1209" s="16" t="n"/>
      <c r="C1209" s="90" t="n"/>
      <c r="D1209" s="90" t="n"/>
      <c r="E1209" s="90" t="n"/>
      <c r="F1209" s="16" t="n"/>
      <c r="G1209" s="16" t="n"/>
      <c r="H1209" s="63" t="n"/>
      <c r="I1209" s="64" t="n"/>
      <c r="J1209" s="16" t="n"/>
      <c r="K1209" s="16" t="n"/>
      <c r="M1209" s="89" t="n"/>
      <c r="N1209" s="1" t="n"/>
      <c r="O1209" s="1" t="n"/>
      <c r="P1209" s="1" t="n"/>
      <c r="Q1209" s="1" t="n"/>
      <c r="R1209" s="1" t="n"/>
    </row>
    <row r="1210">
      <c r="A1210" s="61" t="n"/>
      <c r="B1210" s="16" t="n"/>
      <c r="C1210" s="90" t="n"/>
      <c r="D1210" s="90" t="n"/>
      <c r="E1210" s="90" t="n"/>
      <c r="F1210" s="16" t="n"/>
      <c r="G1210" s="16" t="n"/>
      <c r="H1210" s="63" t="n"/>
      <c r="I1210" s="64" t="n"/>
      <c r="J1210" s="16" t="n"/>
      <c r="K1210" s="16" t="n"/>
      <c r="M1210" s="89" t="n"/>
      <c r="N1210" s="1" t="n"/>
      <c r="O1210" s="1" t="n"/>
      <c r="P1210" s="1" t="n"/>
      <c r="Q1210" s="1" t="n"/>
      <c r="R1210" s="1" t="n"/>
    </row>
    <row r="1211">
      <c r="A1211" s="61" t="n"/>
      <c r="B1211" s="16" t="n"/>
      <c r="C1211" s="90" t="n"/>
      <c r="D1211" s="90" t="n"/>
      <c r="E1211" s="90" t="n"/>
      <c r="F1211" s="16" t="n"/>
      <c r="G1211" s="16" t="n"/>
      <c r="H1211" s="63" t="n"/>
      <c r="I1211" s="64" t="n"/>
      <c r="J1211" s="16" t="n"/>
      <c r="K1211" s="16" t="n"/>
      <c r="M1211" s="89" t="n"/>
      <c r="N1211" s="1" t="n"/>
      <c r="O1211" s="1" t="n"/>
      <c r="P1211" s="1" t="n"/>
      <c r="Q1211" s="1" t="n"/>
      <c r="R1211" s="1" t="n"/>
    </row>
    <row r="1212">
      <c r="A1212" s="61" t="n"/>
      <c r="B1212" s="16" t="n"/>
      <c r="C1212" s="90" t="n"/>
      <c r="D1212" s="90" t="n"/>
      <c r="E1212" s="90" t="n"/>
      <c r="F1212" s="16" t="n"/>
      <c r="G1212" s="16" t="n"/>
      <c r="H1212" s="63" t="n"/>
      <c r="I1212" s="64" t="n"/>
      <c r="J1212" s="16" t="n"/>
      <c r="K1212" s="16" t="n"/>
      <c r="M1212" s="89" t="n"/>
      <c r="N1212" s="1" t="n"/>
      <c r="O1212" s="1" t="n"/>
      <c r="P1212" s="1" t="n"/>
      <c r="Q1212" s="1" t="n"/>
      <c r="R1212" s="1" t="n"/>
    </row>
    <row r="1213">
      <c r="A1213" s="61" t="n"/>
      <c r="B1213" s="16" t="n"/>
      <c r="C1213" s="90" t="n"/>
      <c r="D1213" s="90" t="n"/>
      <c r="E1213" s="90" t="n"/>
      <c r="F1213" s="16" t="n"/>
      <c r="G1213" s="16" t="n"/>
      <c r="H1213" s="63" t="n"/>
      <c r="I1213" s="64" t="n"/>
      <c r="J1213" s="16" t="n"/>
      <c r="K1213" s="16" t="n"/>
      <c r="M1213" s="89" t="n"/>
      <c r="N1213" s="1" t="n"/>
      <c r="O1213" s="1" t="n"/>
      <c r="P1213" s="1" t="n"/>
      <c r="Q1213" s="1" t="n"/>
      <c r="R1213" s="1" t="n"/>
    </row>
    <row r="1214">
      <c r="A1214" s="61" t="n"/>
      <c r="B1214" s="16" t="n"/>
      <c r="C1214" s="90" t="n"/>
      <c r="D1214" s="90" t="n"/>
      <c r="E1214" s="90" t="n"/>
      <c r="F1214" s="16" t="n"/>
      <c r="G1214" s="16" t="n"/>
      <c r="H1214" s="63" t="n"/>
      <c r="I1214" s="64" t="n"/>
      <c r="J1214" s="16" t="n"/>
      <c r="K1214" s="16" t="n"/>
      <c r="M1214" s="89" t="n"/>
      <c r="N1214" s="1" t="n"/>
      <c r="O1214" s="1" t="n"/>
      <c r="P1214" s="1" t="n"/>
      <c r="Q1214" s="1" t="n"/>
      <c r="R1214" s="1" t="n"/>
    </row>
    <row r="1215">
      <c r="A1215" s="61" t="n"/>
      <c r="B1215" s="16" t="n"/>
      <c r="C1215" s="90" t="n"/>
      <c r="D1215" s="90" t="n"/>
      <c r="E1215" s="90" t="n"/>
      <c r="F1215" s="16" t="n"/>
      <c r="G1215" s="16" t="n"/>
      <c r="H1215" s="63" t="n"/>
      <c r="I1215" s="64" t="n"/>
      <c r="J1215" s="16" t="n"/>
      <c r="K1215" s="16" t="n"/>
      <c r="M1215" s="89" t="n"/>
      <c r="N1215" s="1" t="n"/>
      <c r="O1215" s="1" t="n"/>
      <c r="P1215" s="1" t="n"/>
      <c r="Q1215" s="1" t="n"/>
      <c r="R1215" s="1" t="n"/>
    </row>
    <row r="1216">
      <c r="A1216" s="61" t="n"/>
      <c r="B1216" s="16" t="n"/>
      <c r="C1216" s="90" t="n"/>
      <c r="D1216" s="90" t="n"/>
      <c r="E1216" s="90" t="n"/>
      <c r="F1216" s="16" t="n"/>
      <c r="G1216" s="16" t="n"/>
      <c r="H1216" s="63" t="n"/>
      <c r="I1216" s="64" t="n"/>
      <c r="J1216" s="16" t="n"/>
      <c r="K1216" s="16" t="n"/>
      <c r="M1216" s="89" t="n"/>
      <c r="N1216" s="1" t="n"/>
      <c r="O1216" s="1" t="n"/>
      <c r="P1216" s="1" t="n"/>
      <c r="Q1216" s="1" t="n"/>
      <c r="R1216" s="1" t="n"/>
    </row>
    <row r="1217">
      <c r="A1217" s="61" t="n"/>
      <c r="B1217" s="16" t="n"/>
      <c r="C1217" s="90" t="n"/>
      <c r="D1217" s="90" t="n"/>
      <c r="E1217" s="90" t="n"/>
      <c r="F1217" s="16" t="n"/>
      <c r="G1217" s="16" t="n"/>
      <c r="H1217" s="63" t="n"/>
      <c r="I1217" s="64" t="n"/>
      <c r="J1217" s="16" t="n"/>
      <c r="K1217" s="16" t="n"/>
      <c r="M1217" s="89" t="n"/>
      <c r="N1217" s="1" t="n"/>
      <c r="O1217" s="1" t="n"/>
      <c r="P1217" s="1" t="n"/>
      <c r="Q1217" s="1" t="n"/>
      <c r="R1217" s="1" t="n"/>
    </row>
    <row r="1218">
      <c r="A1218" s="61" t="n"/>
      <c r="B1218" s="16" t="n"/>
      <c r="C1218" s="90" t="n"/>
      <c r="D1218" s="90" t="n"/>
      <c r="E1218" s="90" t="n"/>
      <c r="F1218" s="16" t="n"/>
      <c r="G1218" s="16" t="n"/>
      <c r="H1218" s="63" t="n"/>
      <c r="I1218" s="64" t="n"/>
      <c r="J1218" s="16" t="n"/>
      <c r="K1218" s="16" t="n"/>
      <c r="M1218" s="89" t="n"/>
      <c r="N1218" s="1" t="n"/>
      <c r="O1218" s="1" t="n"/>
      <c r="P1218" s="1" t="n"/>
      <c r="Q1218" s="1" t="n"/>
      <c r="R1218" s="1" t="n"/>
    </row>
    <row r="1219">
      <c r="A1219" s="61" t="n"/>
      <c r="B1219" s="16" t="n"/>
      <c r="C1219" s="90" t="n"/>
      <c r="D1219" s="90" t="n"/>
      <c r="E1219" s="90" t="n"/>
      <c r="F1219" s="16" t="n"/>
      <c r="G1219" s="16" t="n"/>
      <c r="H1219" s="63" t="n"/>
      <c r="I1219" s="64" t="n"/>
      <c r="J1219" s="16" t="n"/>
      <c r="K1219" s="16" t="n"/>
      <c r="M1219" s="89" t="n"/>
      <c r="N1219" s="1" t="n"/>
      <c r="O1219" s="1" t="n"/>
      <c r="P1219" s="1" t="n"/>
      <c r="Q1219" s="1" t="n"/>
      <c r="R1219" s="1" t="n"/>
    </row>
    <row r="1220">
      <c r="A1220" s="61" t="n"/>
      <c r="B1220" s="16" t="n"/>
      <c r="C1220" s="90" t="n"/>
      <c r="D1220" s="90" t="n"/>
      <c r="E1220" s="90" t="n"/>
      <c r="F1220" s="16" t="n"/>
      <c r="G1220" s="16" t="n"/>
      <c r="H1220" s="63" t="n"/>
      <c r="I1220" s="64" t="n"/>
      <c r="J1220" s="16" t="n"/>
      <c r="K1220" s="16" t="n"/>
      <c r="M1220" s="89" t="n"/>
      <c r="N1220" s="1" t="n"/>
      <c r="O1220" s="1" t="n"/>
      <c r="P1220" s="1" t="n"/>
      <c r="Q1220" s="1" t="n"/>
      <c r="R1220" s="1" t="n"/>
    </row>
    <row r="1221">
      <c r="A1221" s="61" t="n"/>
      <c r="B1221" s="16" t="n"/>
      <c r="C1221" s="90" t="n"/>
      <c r="D1221" s="90" t="n"/>
      <c r="E1221" s="90" t="n"/>
      <c r="F1221" s="16" t="n"/>
      <c r="G1221" s="16" t="n"/>
      <c r="H1221" s="63" t="n"/>
      <c r="I1221" s="64" t="n"/>
      <c r="J1221" s="16" t="n"/>
      <c r="K1221" s="16" t="n"/>
      <c r="M1221" s="89" t="n"/>
      <c r="N1221" s="1" t="n"/>
      <c r="O1221" s="1" t="n"/>
      <c r="P1221" s="1" t="n"/>
      <c r="Q1221" s="1" t="n"/>
      <c r="R1221" s="1" t="n"/>
    </row>
    <row r="1222">
      <c r="A1222" s="61" t="n"/>
      <c r="B1222" s="16" t="n"/>
      <c r="C1222" s="90" t="n"/>
      <c r="D1222" s="90" t="n"/>
      <c r="E1222" s="90" t="n"/>
      <c r="F1222" s="16" t="n"/>
      <c r="G1222" s="16" t="n"/>
      <c r="H1222" s="63" t="n"/>
      <c r="I1222" s="64" t="n"/>
      <c r="J1222" s="16" t="n"/>
      <c r="K1222" s="16" t="n"/>
      <c r="M1222" s="89" t="n"/>
      <c r="N1222" s="1" t="n"/>
      <c r="O1222" s="1" t="n"/>
      <c r="P1222" s="1" t="n"/>
      <c r="Q1222" s="1" t="n"/>
      <c r="R1222" s="1" t="n"/>
    </row>
    <row r="1223">
      <c r="A1223" s="61" t="n"/>
      <c r="B1223" s="16" t="n"/>
      <c r="C1223" s="90" t="n"/>
      <c r="D1223" s="90" t="n"/>
      <c r="E1223" s="90" t="n"/>
      <c r="F1223" s="16" t="n"/>
      <c r="G1223" s="16" t="n"/>
      <c r="H1223" s="63" t="n"/>
      <c r="I1223" s="64" t="n"/>
      <c r="J1223" s="16" t="n"/>
      <c r="K1223" s="16" t="n"/>
      <c r="M1223" s="89" t="n"/>
      <c r="N1223" s="1" t="n"/>
      <c r="O1223" s="1" t="n"/>
      <c r="P1223" s="1" t="n"/>
      <c r="Q1223" s="1" t="n"/>
      <c r="R1223" s="1" t="n"/>
    </row>
    <row r="1224">
      <c r="A1224" s="61" t="n"/>
      <c r="B1224" s="16" t="n"/>
      <c r="C1224" s="90" t="n"/>
      <c r="D1224" s="90" t="n"/>
      <c r="E1224" s="90" t="n"/>
      <c r="F1224" s="16" t="n"/>
      <c r="G1224" s="16" t="n"/>
      <c r="H1224" s="63" t="n"/>
      <c r="I1224" s="64" t="n"/>
      <c r="J1224" s="16" t="n"/>
      <c r="K1224" s="16" t="n"/>
      <c r="M1224" s="89" t="n"/>
      <c r="N1224" s="1" t="n"/>
      <c r="O1224" s="1" t="n"/>
      <c r="P1224" s="1" t="n"/>
      <c r="Q1224" s="1" t="n"/>
      <c r="R1224" s="1" t="n"/>
    </row>
    <row r="1225">
      <c r="A1225" s="61" t="n"/>
      <c r="B1225" s="16" t="n"/>
      <c r="C1225" s="90" t="n"/>
      <c r="D1225" s="90" t="n"/>
      <c r="E1225" s="90" t="n"/>
      <c r="F1225" s="16" t="n"/>
      <c r="G1225" s="16" t="n"/>
      <c r="H1225" s="63" t="n"/>
      <c r="I1225" s="64" t="n"/>
      <c r="J1225" s="16" t="n"/>
      <c r="K1225" s="16" t="n"/>
      <c r="M1225" s="89" t="n"/>
      <c r="N1225" s="1" t="n"/>
      <c r="O1225" s="1" t="n"/>
      <c r="P1225" s="1" t="n"/>
      <c r="Q1225" s="1" t="n"/>
      <c r="R1225" s="1" t="n"/>
    </row>
    <row r="1226">
      <c r="A1226" s="61" t="n"/>
      <c r="B1226" s="16" t="n"/>
      <c r="C1226" s="90" t="n"/>
      <c r="D1226" s="90" t="n"/>
      <c r="E1226" s="90" t="n"/>
      <c r="F1226" s="16" t="n"/>
      <c r="G1226" s="16" t="n"/>
      <c r="H1226" s="63" t="n"/>
      <c r="I1226" s="64" t="n"/>
      <c r="J1226" s="16" t="n"/>
      <c r="K1226" s="16" t="n"/>
      <c r="M1226" s="89" t="n"/>
      <c r="N1226" s="1" t="n"/>
      <c r="O1226" s="1" t="n"/>
      <c r="P1226" s="1" t="n"/>
      <c r="Q1226" s="1" t="n"/>
      <c r="R1226" s="1" t="n"/>
    </row>
    <row r="1227">
      <c r="A1227" s="61" t="n"/>
      <c r="B1227" s="16" t="n"/>
      <c r="C1227" s="90" t="n"/>
      <c r="D1227" s="90" t="n"/>
      <c r="E1227" s="90" t="n"/>
      <c r="F1227" s="16" t="n"/>
      <c r="G1227" s="16" t="n"/>
      <c r="H1227" s="63" t="n"/>
      <c r="I1227" s="64" t="n"/>
      <c r="J1227" s="16" t="n"/>
      <c r="K1227" s="16" t="n"/>
      <c r="M1227" s="89" t="n"/>
      <c r="N1227" s="1" t="n"/>
      <c r="O1227" s="1" t="n"/>
      <c r="P1227" s="1" t="n"/>
      <c r="Q1227" s="1" t="n"/>
      <c r="R1227" s="1" t="n"/>
    </row>
    <row r="1228">
      <c r="A1228" s="61" t="n"/>
      <c r="B1228" s="16" t="n"/>
      <c r="C1228" s="90" t="n"/>
      <c r="D1228" s="90" t="n"/>
      <c r="E1228" s="90" t="n"/>
      <c r="F1228" s="16" t="n"/>
      <c r="G1228" s="16" t="n"/>
      <c r="H1228" s="63" t="n"/>
      <c r="I1228" s="64" t="n"/>
      <c r="J1228" s="16" t="n"/>
      <c r="K1228" s="16" t="n"/>
      <c r="M1228" s="89" t="n"/>
      <c r="N1228" s="1" t="n"/>
      <c r="O1228" s="1" t="n"/>
      <c r="P1228" s="1" t="n"/>
      <c r="Q1228" s="1" t="n"/>
      <c r="R1228" s="1" t="n"/>
    </row>
    <row r="1229">
      <c r="A1229" s="61" t="n"/>
      <c r="B1229" s="16" t="n"/>
      <c r="C1229" s="90" t="n"/>
      <c r="D1229" s="90" t="n"/>
      <c r="E1229" s="90" t="n"/>
      <c r="F1229" s="16" t="n"/>
      <c r="G1229" s="16" t="n"/>
      <c r="H1229" s="63" t="n"/>
      <c r="I1229" s="64" t="n"/>
      <c r="J1229" s="16" t="n"/>
      <c r="K1229" s="16" t="n"/>
      <c r="M1229" s="89" t="n"/>
      <c r="N1229" s="1" t="n"/>
      <c r="O1229" s="1" t="n"/>
      <c r="P1229" s="1" t="n"/>
      <c r="Q1229" s="1" t="n"/>
      <c r="R1229" s="1" t="n"/>
    </row>
    <row r="1230">
      <c r="A1230" s="61" t="n"/>
      <c r="B1230" s="16" t="n"/>
      <c r="C1230" s="90" t="n"/>
      <c r="D1230" s="90" t="n"/>
      <c r="E1230" s="90" t="n"/>
      <c r="F1230" s="16" t="n"/>
      <c r="G1230" s="16" t="n"/>
      <c r="H1230" s="63" t="n"/>
      <c r="I1230" s="64" t="n"/>
      <c r="J1230" s="16" t="n"/>
      <c r="K1230" s="16" t="n"/>
      <c r="M1230" s="89" t="n"/>
      <c r="N1230" s="1" t="n"/>
      <c r="O1230" s="1" t="n"/>
      <c r="P1230" s="1" t="n"/>
      <c r="Q1230" s="1" t="n"/>
      <c r="R1230" s="1" t="n"/>
    </row>
    <row r="1231">
      <c r="A1231" s="61" t="n"/>
      <c r="B1231" s="16" t="n"/>
      <c r="C1231" s="90" t="n"/>
      <c r="D1231" s="90" t="n"/>
      <c r="E1231" s="90" t="n"/>
      <c r="F1231" s="16" t="n"/>
      <c r="G1231" s="16" t="n"/>
      <c r="H1231" s="63" t="n"/>
      <c r="I1231" s="64" t="n"/>
      <c r="J1231" s="16" t="n"/>
      <c r="K1231" s="16" t="n"/>
      <c r="M1231" s="89" t="n"/>
      <c r="N1231" s="1" t="n"/>
      <c r="O1231" s="1" t="n"/>
      <c r="P1231" s="1" t="n"/>
      <c r="Q1231" s="1" t="n"/>
      <c r="R1231" s="1" t="n"/>
    </row>
    <row r="1232">
      <c r="A1232" s="61" t="n"/>
      <c r="B1232" s="16" t="n"/>
      <c r="C1232" s="90" t="n"/>
      <c r="D1232" s="90" t="n"/>
      <c r="E1232" s="90" t="n"/>
      <c r="F1232" s="16" t="n"/>
      <c r="G1232" s="16" t="n"/>
      <c r="H1232" s="63" t="n"/>
      <c r="I1232" s="64" t="n"/>
      <c r="J1232" s="16" t="n"/>
      <c r="K1232" s="16" t="n"/>
      <c r="M1232" s="89" t="n"/>
      <c r="N1232" s="1" t="n"/>
      <c r="O1232" s="1" t="n"/>
      <c r="P1232" s="1" t="n"/>
      <c r="Q1232" s="1" t="n"/>
      <c r="R1232" s="1" t="n"/>
    </row>
    <row r="1233">
      <c r="A1233" s="61" t="n"/>
      <c r="B1233" s="16" t="n"/>
      <c r="C1233" s="90" t="n"/>
      <c r="D1233" s="90" t="n"/>
      <c r="E1233" s="90" t="n"/>
      <c r="F1233" s="16" t="n"/>
      <c r="G1233" s="16" t="n"/>
      <c r="H1233" s="63" t="n"/>
      <c r="I1233" s="64" t="n"/>
      <c r="J1233" s="16" t="n"/>
      <c r="K1233" s="16" t="n"/>
      <c r="M1233" s="89" t="n"/>
      <c r="N1233" s="1" t="n"/>
      <c r="O1233" s="1" t="n"/>
      <c r="P1233" s="1" t="n"/>
      <c r="Q1233" s="1" t="n"/>
      <c r="R1233" s="1" t="n"/>
    </row>
    <row r="1234">
      <c r="A1234" s="61" t="n"/>
      <c r="B1234" s="16" t="n"/>
      <c r="C1234" s="90" t="n"/>
      <c r="D1234" s="90" t="n"/>
      <c r="E1234" s="90" t="n"/>
      <c r="F1234" s="16" t="n"/>
      <c r="G1234" s="16" t="n"/>
      <c r="H1234" s="63" t="n"/>
      <c r="I1234" s="64" t="n"/>
      <c r="J1234" s="16" t="n"/>
      <c r="K1234" s="16" t="n"/>
      <c r="M1234" s="89" t="n"/>
      <c r="N1234" s="1" t="n"/>
      <c r="O1234" s="1" t="n"/>
      <c r="P1234" s="1" t="n"/>
      <c r="Q1234" s="1" t="n"/>
      <c r="R1234" s="1" t="n"/>
    </row>
    <row r="1235">
      <c r="A1235" s="61" t="n"/>
      <c r="B1235" s="16" t="n"/>
      <c r="C1235" s="90" t="n"/>
      <c r="D1235" s="90" t="n"/>
      <c r="E1235" s="90" t="n"/>
      <c r="F1235" s="16" t="n"/>
      <c r="G1235" s="16" t="n"/>
      <c r="H1235" s="63" t="n"/>
      <c r="I1235" s="64" t="n"/>
      <c r="J1235" s="16" t="n"/>
      <c r="K1235" s="16" t="n"/>
      <c r="M1235" s="89" t="n"/>
      <c r="N1235" s="1" t="n"/>
      <c r="O1235" s="1" t="n"/>
      <c r="P1235" s="1" t="n"/>
      <c r="Q1235" s="1" t="n"/>
      <c r="R1235" s="1" t="n"/>
    </row>
    <row r="1236">
      <c r="A1236" s="61" t="n"/>
      <c r="B1236" s="16" t="n"/>
      <c r="C1236" s="90" t="n"/>
      <c r="D1236" s="90" t="n"/>
      <c r="E1236" s="90" t="n"/>
      <c r="F1236" s="16" t="n"/>
      <c r="G1236" s="16" t="n"/>
      <c r="H1236" s="63" t="n"/>
      <c r="I1236" s="64" t="n"/>
      <c r="J1236" s="16" t="n"/>
      <c r="K1236" s="16" t="n"/>
      <c r="M1236" s="89" t="n"/>
      <c r="N1236" s="1" t="n"/>
      <c r="O1236" s="1" t="n"/>
      <c r="P1236" s="1" t="n"/>
      <c r="Q1236" s="1" t="n"/>
      <c r="R1236" s="1" t="n"/>
    </row>
    <row r="1237">
      <c r="A1237" s="61" t="n"/>
      <c r="B1237" s="16" t="n"/>
      <c r="C1237" s="90" t="n"/>
      <c r="D1237" s="90" t="n"/>
      <c r="E1237" s="90" t="n"/>
      <c r="F1237" s="16" t="n"/>
      <c r="G1237" s="16" t="n"/>
      <c r="H1237" s="63" t="n"/>
      <c r="I1237" s="64" t="n"/>
      <c r="J1237" s="16" t="n"/>
      <c r="K1237" s="16" t="n"/>
      <c r="M1237" s="89" t="n"/>
      <c r="N1237" s="1" t="n"/>
      <c r="O1237" s="1" t="n"/>
      <c r="P1237" s="1" t="n"/>
      <c r="Q1237" s="1" t="n"/>
      <c r="R1237" s="1" t="n"/>
    </row>
    <row r="1238">
      <c r="A1238" s="61" t="n"/>
      <c r="B1238" s="16" t="n"/>
      <c r="C1238" s="90" t="n"/>
      <c r="D1238" s="90" t="n"/>
      <c r="E1238" s="90" t="n"/>
      <c r="F1238" s="16" t="n"/>
      <c r="G1238" s="16" t="n"/>
      <c r="H1238" s="63" t="n"/>
      <c r="I1238" s="64" t="n"/>
      <c r="J1238" s="16" t="n"/>
      <c r="K1238" s="16" t="n"/>
      <c r="M1238" s="89" t="n"/>
      <c r="N1238" s="1" t="n"/>
      <c r="O1238" s="1" t="n"/>
      <c r="P1238" s="1" t="n"/>
      <c r="Q1238" s="1" t="n"/>
      <c r="R1238" s="1" t="n"/>
    </row>
    <row r="1239">
      <c r="A1239" s="61" t="n"/>
      <c r="B1239" s="16" t="n"/>
      <c r="C1239" s="90" t="n"/>
      <c r="D1239" s="90" t="n"/>
      <c r="E1239" s="90" t="n"/>
      <c r="F1239" s="16" t="n"/>
      <c r="G1239" s="16" t="n"/>
      <c r="H1239" s="63" t="n"/>
      <c r="I1239" s="64" t="n"/>
      <c r="J1239" s="16" t="n"/>
      <c r="K1239" s="16" t="n"/>
      <c r="M1239" s="89" t="n"/>
      <c r="N1239" s="1" t="n"/>
      <c r="O1239" s="1" t="n"/>
      <c r="P1239" s="1" t="n"/>
      <c r="Q1239" s="1" t="n"/>
      <c r="R1239" s="1" t="n"/>
    </row>
    <row r="1240">
      <c r="A1240" s="61" t="n"/>
      <c r="B1240" s="16" t="n"/>
      <c r="C1240" s="90" t="n"/>
      <c r="D1240" s="90" t="n"/>
      <c r="E1240" s="90" t="n"/>
      <c r="F1240" s="16" t="n"/>
      <c r="G1240" s="16" t="n"/>
      <c r="H1240" s="63" t="n"/>
      <c r="I1240" s="64" t="n"/>
      <c r="J1240" s="16" t="n"/>
      <c r="K1240" s="16" t="n"/>
      <c r="M1240" s="89" t="n"/>
      <c r="N1240" s="1" t="n"/>
      <c r="O1240" s="1" t="n"/>
      <c r="P1240" s="1" t="n"/>
      <c r="Q1240" s="1" t="n"/>
      <c r="R1240" s="1" t="n"/>
    </row>
    <row r="1241">
      <c r="A1241" s="61" t="n"/>
      <c r="B1241" s="16" t="n"/>
      <c r="C1241" s="90" t="n"/>
      <c r="D1241" s="90" t="n"/>
      <c r="E1241" s="90" t="n"/>
      <c r="F1241" s="16" t="n"/>
      <c r="G1241" s="16" t="n"/>
      <c r="H1241" s="63" t="n"/>
      <c r="I1241" s="64" t="n"/>
      <c r="J1241" s="16" t="n"/>
      <c r="K1241" s="16" t="n"/>
      <c r="M1241" s="89" t="n"/>
      <c r="N1241" s="1" t="n"/>
      <c r="O1241" s="1" t="n"/>
      <c r="P1241" s="1" t="n"/>
      <c r="Q1241" s="1" t="n"/>
      <c r="R1241" s="1" t="n"/>
    </row>
    <row r="1242">
      <c r="A1242" s="61" t="n"/>
      <c r="B1242" s="16" t="n"/>
      <c r="C1242" s="90" t="n"/>
      <c r="D1242" s="90" t="n"/>
      <c r="E1242" s="90" t="n"/>
      <c r="F1242" s="16" t="n"/>
      <c r="G1242" s="16" t="n"/>
      <c r="H1242" s="63" t="n"/>
      <c r="I1242" s="64" t="n"/>
      <c r="J1242" s="16" t="n"/>
      <c r="K1242" s="16" t="n"/>
      <c r="M1242" s="89" t="n"/>
      <c r="N1242" s="1" t="n"/>
      <c r="O1242" s="1" t="n"/>
      <c r="P1242" s="1" t="n"/>
      <c r="Q1242" s="1" t="n"/>
      <c r="R1242" s="1" t="n"/>
    </row>
    <row r="1243">
      <c r="A1243" s="61" t="n"/>
      <c r="B1243" s="16" t="n"/>
      <c r="C1243" s="90" t="n"/>
      <c r="D1243" s="90" t="n"/>
      <c r="E1243" s="90" t="n"/>
      <c r="F1243" s="16" t="n"/>
      <c r="G1243" s="16" t="n"/>
      <c r="H1243" s="63" t="n"/>
      <c r="I1243" s="64" t="n"/>
      <c r="J1243" s="16" t="n"/>
      <c r="K1243" s="16" t="n"/>
      <c r="M1243" s="89" t="n"/>
      <c r="N1243" s="1" t="n"/>
      <c r="O1243" s="1" t="n"/>
      <c r="P1243" s="1" t="n"/>
      <c r="Q1243" s="1" t="n"/>
      <c r="R1243" s="1" t="n"/>
    </row>
    <row r="1244">
      <c r="A1244" s="61" t="n"/>
      <c r="B1244" s="16" t="n"/>
      <c r="C1244" s="90" t="n"/>
      <c r="D1244" s="90" t="n"/>
      <c r="E1244" s="90" t="n"/>
      <c r="F1244" s="16" t="n"/>
      <c r="G1244" s="16" t="n"/>
      <c r="H1244" s="63" t="n"/>
      <c r="I1244" s="64" t="n"/>
      <c r="J1244" s="16" t="n"/>
      <c r="K1244" s="16" t="n"/>
      <c r="M1244" s="89" t="n"/>
      <c r="N1244" s="1" t="n"/>
      <c r="O1244" s="1" t="n"/>
      <c r="P1244" s="1" t="n"/>
      <c r="Q1244" s="1" t="n"/>
      <c r="R1244" s="1" t="n"/>
    </row>
    <row r="1245">
      <c r="A1245" s="61" t="n"/>
      <c r="B1245" s="16" t="n"/>
      <c r="C1245" s="90" t="n"/>
      <c r="D1245" s="90" t="n"/>
      <c r="E1245" s="90" t="n"/>
      <c r="F1245" s="16" t="n"/>
      <c r="G1245" s="16" t="n"/>
      <c r="H1245" s="63" t="n"/>
      <c r="I1245" s="64" t="n"/>
      <c r="J1245" s="16" t="n"/>
      <c r="K1245" s="16" t="n"/>
      <c r="M1245" s="89" t="n"/>
      <c r="N1245" s="1" t="n"/>
      <c r="O1245" s="1" t="n"/>
      <c r="P1245" s="1" t="n"/>
      <c r="Q1245" s="1" t="n"/>
      <c r="R1245" s="1" t="n"/>
    </row>
    <row r="1246">
      <c r="A1246" s="61" t="n"/>
      <c r="B1246" s="16" t="n"/>
      <c r="C1246" s="90" t="n"/>
      <c r="D1246" s="90" t="n"/>
      <c r="E1246" s="90" t="n"/>
      <c r="F1246" s="16" t="n"/>
      <c r="G1246" s="16" t="n"/>
      <c r="H1246" s="63" t="n"/>
      <c r="I1246" s="64" t="n"/>
      <c r="J1246" s="16" t="n"/>
      <c r="K1246" s="16" t="n"/>
      <c r="M1246" s="89" t="n"/>
      <c r="N1246" s="1" t="n"/>
      <c r="O1246" s="1" t="n"/>
      <c r="P1246" s="1" t="n"/>
      <c r="Q1246" s="1" t="n"/>
      <c r="R1246" s="1" t="n"/>
    </row>
    <row r="1247">
      <c r="A1247" s="61" t="n"/>
      <c r="B1247" s="16" t="n"/>
      <c r="C1247" s="90" t="n"/>
      <c r="D1247" s="90" t="n"/>
      <c r="E1247" s="90" t="n"/>
      <c r="F1247" s="16" t="n"/>
      <c r="G1247" s="16" t="n"/>
      <c r="H1247" s="63" t="n"/>
      <c r="I1247" s="64" t="n"/>
      <c r="J1247" s="16" t="n"/>
      <c r="K1247" s="16" t="n"/>
      <c r="M1247" s="89" t="n"/>
      <c r="N1247" s="1" t="n"/>
      <c r="O1247" s="1" t="n"/>
      <c r="P1247" s="1" t="n"/>
      <c r="Q1247" s="1" t="n"/>
      <c r="R1247" s="1" t="n"/>
    </row>
    <row r="1248">
      <c r="A1248" s="61" t="n"/>
      <c r="B1248" s="16" t="n"/>
      <c r="C1248" s="90" t="n"/>
      <c r="D1248" s="90" t="n"/>
      <c r="E1248" s="90" t="n"/>
      <c r="F1248" s="16" t="n"/>
      <c r="G1248" s="16" t="n"/>
      <c r="H1248" s="63" t="n"/>
      <c r="I1248" s="64" t="n"/>
      <c r="J1248" s="16" t="n"/>
      <c r="K1248" s="16" t="n"/>
      <c r="M1248" s="89" t="n"/>
      <c r="N1248" s="1" t="n"/>
      <c r="O1248" s="1" t="n"/>
      <c r="P1248" s="1" t="n"/>
      <c r="Q1248" s="1" t="n"/>
      <c r="R1248" s="1" t="n"/>
    </row>
    <row r="1249">
      <c r="A1249" s="61" t="n"/>
      <c r="B1249" s="16" t="n"/>
      <c r="C1249" s="90" t="n"/>
      <c r="D1249" s="90" t="n"/>
      <c r="E1249" s="90" t="n"/>
      <c r="F1249" s="16" t="n"/>
      <c r="G1249" s="16" t="n"/>
      <c r="H1249" s="63" t="n"/>
      <c r="I1249" s="64" t="n"/>
      <c r="J1249" s="16" t="n"/>
      <c r="K1249" s="16" t="n"/>
      <c r="M1249" s="89" t="n"/>
      <c r="N1249" s="1" t="n"/>
      <c r="O1249" s="1" t="n"/>
      <c r="P1249" s="1" t="n"/>
      <c r="Q1249" s="1" t="n"/>
      <c r="R1249" s="1" t="n"/>
    </row>
    <row r="1250">
      <c r="A1250" s="61" t="n"/>
      <c r="B1250" s="16" t="n"/>
      <c r="C1250" s="90" t="n"/>
      <c r="D1250" s="90" t="n"/>
      <c r="E1250" s="90" t="n"/>
      <c r="F1250" s="16" t="n"/>
      <c r="G1250" s="16" t="n"/>
      <c r="H1250" s="63" t="n"/>
      <c r="I1250" s="64" t="n"/>
      <c r="J1250" s="16" t="n"/>
      <c r="K1250" s="16" t="n"/>
      <c r="M1250" s="89" t="n"/>
      <c r="N1250" s="1" t="n"/>
      <c r="O1250" s="1" t="n"/>
      <c r="P1250" s="1" t="n"/>
      <c r="Q1250" s="1" t="n"/>
      <c r="R1250" s="1" t="n"/>
    </row>
    <row r="1251">
      <c r="A1251" s="61" t="n"/>
      <c r="B1251" s="16" t="n"/>
      <c r="C1251" s="90" t="n"/>
      <c r="D1251" s="90" t="n"/>
      <c r="E1251" s="90" t="n"/>
      <c r="F1251" s="16" t="n"/>
      <c r="G1251" s="16" t="n"/>
      <c r="H1251" s="63" t="n"/>
      <c r="I1251" s="64" t="n"/>
      <c r="J1251" s="16" t="n"/>
      <c r="K1251" s="16" t="n"/>
      <c r="M1251" s="89" t="n"/>
      <c r="N1251" s="1" t="n"/>
      <c r="O1251" s="1" t="n"/>
      <c r="P1251" s="1" t="n"/>
      <c r="Q1251" s="1" t="n"/>
      <c r="R1251" s="1" t="n"/>
    </row>
    <row r="1252">
      <c r="A1252" s="61" t="n"/>
      <c r="B1252" s="16" t="n"/>
      <c r="C1252" s="90" t="n"/>
      <c r="D1252" s="90" t="n"/>
      <c r="E1252" s="90" t="n"/>
      <c r="F1252" s="16" t="n"/>
      <c r="G1252" s="16" t="n"/>
      <c r="H1252" s="63" t="n"/>
      <c r="I1252" s="64" t="n"/>
      <c r="J1252" s="16" t="n"/>
      <c r="K1252" s="16" t="n"/>
      <c r="M1252" s="89" t="n"/>
      <c r="N1252" s="1" t="n"/>
      <c r="O1252" s="1" t="n"/>
      <c r="P1252" s="1" t="n"/>
      <c r="Q1252" s="1" t="n"/>
      <c r="R1252" s="1" t="n"/>
    </row>
    <row r="1253">
      <c r="A1253" s="61" t="n"/>
      <c r="B1253" s="16" t="n"/>
      <c r="C1253" s="90" t="n"/>
      <c r="D1253" s="90" t="n"/>
      <c r="E1253" s="90" t="n"/>
      <c r="F1253" s="16" t="n"/>
      <c r="G1253" s="16" t="n"/>
      <c r="H1253" s="63" t="n"/>
      <c r="I1253" s="64" t="n"/>
      <c r="J1253" s="16" t="n"/>
      <c r="K1253" s="16" t="n"/>
      <c r="M1253" s="89" t="n"/>
      <c r="N1253" s="1" t="n"/>
      <c r="O1253" s="1" t="n"/>
      <c r="P1253" s="1" t="n"/>
      <c r="Q1253" s="1" t="n"/>
      <c r="R1253" s="1" t="n"/>
    </row>
    <row r="1254">
      <c r="A1254" s="61" t="n"/>
      <c r="B1254" s="16" t="n"/>
      <c r="C1254" s="90" t="n"/>
      <c r="D1254" s="90" t="n"/>
      <c r="E1254" s="90" t="n"/>
      <c r="F1254" s="16" t="n"/>
      <c r="G1254" s="16" t="n"/>
      <c r="H1254" s="63" t="n"/>
      <c r="I1254" s="64" t="n"/>
      <c r="J1254" s="16" t="n"/>
      <c r="K1254" s="16" t="n"/>
      <c r="M1254" s="89" t="n"/>
      <c r="N1254" s="1" t="n"/>
      <c r="O1254" s="1" t="n"/>
      <c r="P1254" s="1" t="n"/>
      <c r="Q1254" s="1" t="n"/>
      <c r="R1254" s="1" t="n"/>
    </row>
    <row r="1255">
      <c r="A1255" s="61" t="n"/>
      <c r="B1255" s="16" t="n"/>
      <c r="C1255" s="90" t="n"/>
      <c r="D1255" s="90" t="n"/>
      <c r="E1255" s="90" t="n"/>
      <c r="F1255" s="16" t="n"/>
      <c r="G1255" s="16" t="n"/>
      <c r="H1255" s="63" t="n"/>
      <c r="I1255" s="64" t="n"/>
      <c r="J1255" s="16" t="n"/>
      <c r="K1255" s="16" t="n"/>
      <c r="M1255" s="89" t="n"/>
      <c r="N1255" s="1" t="n"/>
      <c r="O1255" s="1" t="n"/>
      <c r="P1255" s="1" t="n"/>
      <c r="Q1255" s="1" t="n"/>
      <c r="R1255" s="1" t="n"/>
    </row>
    <row r="1256">
      <c r="A1256" s="61" t="n"/>
      <c r="B1256" s="16" t="n"/>
      <c r="C1256" s="90" t="n"/>
      <c r="D1256" s="90" t="n"/>
      <c r="E1256" s="90" t="n"/>
      <c r="F1256" s="16" t="n"/>
      <c r="G1256" s="16" t="n"/>
      <c r="H1256" s="63" t="n"/>
      <c r="I1256" s="64" t="n"/>
      <c r="J1256" s="16" t="n"/>
      <c r="K1256" s="16" t="n"/>
      <c r="M1256" s="89" t="n"/>
      <c r="N1256" s="1" t="n"/>
      <c r="O1256" s="1" t="n"/>
      <c r="P1256" s="1" t="n"/>
      <c r="Q1256" s="1" t="n"/>
      <c r="R1256" s="1" t="n"/>
    </row>
    <row r="1257">
      <c r="A1257" s="61" t="n"/>
      <c r="B1257" s="16" t="n"/>
      <c r="C1257" s="90" t="n"/>
      <c r="D1257" s="90" t="n"/>
      <c r="E1257" s="90" t="n"/>
      <c r="F1257" s="16" t="n"/>
      <c r="G1257" s="16" t="n"/>
      <c r="H1257" s="63" t="n"/>
      <c r="I1257" s="64" t="n"/>
      <c r="J1257" s="16" t="n"/>
      <c r="K1257" s="16" t="n"/>
      <c r="M1257" s="89" t="n"/>
      <c r="N1257" s="1" t="n"/>
      <c r="O1257" s="1" t="n"/>
      <c r="P1257" s="1" t="n"/>
      <c r="Q1257" s="1" t="n"/>
      <c r="R1257" s="1" t="n"/>
    </row>
    <row r="1258">
      <c r="A1258" s="61" t="n"/>
      <c r="B1258" s="16" t="n"/>
      <c r="C1258" s="90" t="n"/>
      <c r="D1258" s="90" t="n"/>
      <c r="E1258" s="90" t="n"/>
      <c r="F1258" s="16" t="n"/>
      <c r="G1258" s="16" t="n"/>
      <c r="H1258" s="63" t="n"/>
      <c r="I1258" s="64" t="n"/>
      <c r="J1258" s="16" t="n"/>
      <c r="K1258" s="16" t="n"/>
      <c r="M1258" s="89" t="n"/>
      <c r="N1258" s="1" t="n"/>
      <c r="O1258" s="1" t="n"/>
      <c r="P1258" s="1" t="n"/>
      <c r="Q1258" s="1" t="n"/>
      <c r="R1258" s="1" t="n"/>
    </row>
    <row r="1259">
      <c r="A1259" s="61" t="n"/>
      <c r="B1259" s="16" t="n"/>
      <c r="C1259" s="90" t="n"/>
      <c r="D1259" s="90" t="n"/>
      <c r="E1259" s="90" t="n"/>
      <c r="F1259" s="16" t="n"/>
      <c r="G1259" s="16" t="n"/>
      <c r="H1259" s="63" t="n"/>
      <c r="I1259" s="64" t="n"/>
      <c r="J1259" s="16" t="n"/>
      <c r="K1259" s="16" t="n"/>
      <c r="M1259" s="89" t="n"/>
      <c r="N1259" s="1" t="n"/>
      <c r="O1259" s="1" t="n"/>
      <c r="P1259" s="1" t="n"/>
      <c r="Q1259" s="1" t="n"/>
      <c r="R1259" s="1" t="n"/>
    </row>
    <row r="1260">
      <c r="A1260" s="61" t="n"/>
      <c r="B1260" s="16" t="n"/>
      <c r="C1260" s="90" t="n"/>
      <c r="D1260" s="90" t="n"/>
      <c r="E1260" s="90" t="n"/>
      <c r="F1260" s="16" t="n"/>
      <c r="G1260" s="16" t="n"/>
      <c r="H1260" s="63" t="n"/>
      <c r="I1260" s="64" t="n"/>
      <c r="J1260" s="16" t="n"/>
      <c r="K1260" s="16" t="n"/>
      <c r="M1260" s="89" t="n"/>
      <c r="N1260" s="1" t="n"/>
      <c r="O1260" s="1" t="n"/>
      <c r="P1260" s="1" t="n"/>
      <c r="Q1260" s="1" t="n"/>
      <c r="R1260" s="1" t="n"/>
    </row>
    <row r="1261">
      <c r="A1261" s="61" t="n"/>
      <c r="B1261" s="16" t="n"/>
      <c r="C1261" s="90" t="n"/>
      <c r="D1261" s="90" t="n"/>
      <c r="E1261" s="90" t="n"/>
      <c r="F1261" s="16" t="n"/>
      <c r="G1261" s="16" t="n"/>
      <c r="H1261" s="63" t="n"/>
      <c r="I1261" s="64" t="n"/>
      <c r="J1261" s="16" t="n"/>
      <c r="K1261" s="16" t="n"/>
      <c r="M1261" s="89" t="n"/>
      <c r="N1261" s="1" t="n"/>
      <c r="O1261" s="1" t="n"/>
      <c r="P1261" s="1" t="n"/>
      <c r="Q1261" s="1" t="n"/>
      <c r="R1261" s="1" t="n"/>
    </row>
    <row r="1262">
      <c r="A1262" s="61" t="n"/>
      <c r="B1262" s="16" t="n"/>
      <c r="C1262" s="90" t="n"/>
      <c r="D1262" s="90" t="n"/>
      <c r="E1262" s="90" t="n"/>
      <c r="F1262" s="16" t="n"/>
      <c r="G1262" s="16" t="n"/>
      <c r="H1262" s="63" t="n"/>
      <c r="I1262" s="64" t="n"/>
      <c r="J1262" s="16" t="n"/>
      <c r="K1262" s="16" t="n"/>
      <c r="M1262" s="89" t="n"/>
      <c r="N1262" s="1" t="n"/>
      <c r="O1262" s="1" t="n"/>
      <c r="P1262" s="1" t="n"/>
      <c r="Q1262" s="1" t="n"/>
      <c r="R1262" s="1" t="n"/>
    </row>
    <row r="1263">
      <c r="A1263" s="61" t="n"/>
      <c r="B1263" s="16" t="n"/>
      <c r="C1263" s="90" t="n"/>
      <c r="D1263" s="90" t="n"/>
      <c r="E1263" s="90" t="n"/>
      <c r="F1263" s="16" t="n"/>
      <c r="G1263" s="16" t="n"/>
      <c r="H1263" s="63" t="n"/>
      <c r="I1263" s="64" t="n"/>
      <c r="J1263" s="16" t="n"/>
      <c r="K1263" s="16" t="n"/>
      <c r="M1263" s="89" t="n"/>
      <c r="N1263" s="1" t="n"/>
      <c r="O1263" s="1" t="n"/>
      <c r="P1263" s="1" t="n"/>
      <c r="Q1263" s="1" t="n"/>
      <c r="R1263" s="1" t="n"/>
    </row>
    <row r="1264">
      <c r="A1264" s="61" t="n"/>
      <c r="B1264" s="16" t="n"/>
      <c r="C1264" s="90" t="n"/>
      <c r="D1264" s="90" t="n"/>
      <c r="E1264" s="90" t="n"/>
      <c r="F1264" s="16" t="n"/>
      <c r="G1264" s="16" t="n"/>
      <c r="H1264" s="63" t="n"/>
      <c r="I1264" s="64" t="n"/>
      <c r="J1264" s="16" t="n"/>
      <c r="K1264" s="16" t="n"/>
      <c r="M1264" s="89" t="n"/>
      <c r="N1264" s="1" t="n"/>
      <c r="O1264" s="1" t="n"/>
      <c r="P1264" s="1" t="n"/>
      <c r="Q1264" s="1" t="n"/>
      <c r="R1264" s="1" t="n"/>
    </row>
    <row r="1265">
      <c r="A1265" s="61" t="n"/>
      <c r="B1265" s="16" t="n"/>
      <c r="C1265" s="90" t="n"/>
      <c r="D1265" s="90" t="n"/>
      <c r="E1265" s="90" t="n"/>
      <c r="F1265" s="16" t="n"/>
      <c r="G1265" s="16" t="n"/>
      <c r="H1265" s="63" t="n"/>
      <c r="I1265" s="64" t="n"/>
      <c r="J1265" s="16" t="n"/>
      <c r="K1265" s="16" t="n"/>
      <c r="M1265" s="89" t="n"/>
      <c r="N1265" s="1" t="n"/>
      <c r="O1265" s="1" t="n"/>
      <c r="P1265" s="1" t="n"/>
      <c r="Q1265" s="1" t="n"/>
      <c r="R1265" s="1" t="n"/>
    </row>
    <row r="1266">
      <c r="A1266" s="61" t="n"/>
      <c r="B1266" s="16" t="n"/>
      <c r="C1266" s="90" t="n"/>
      <c r="D1266" s="90" t="n"/>
      <c r="E1266" s="90" t="n"/>
      <c r="F1266" s="16" t="n"/>
      <c r="G1266" s="16" t="n"/>
      <c r="H1266" s="63" t="n"/>
      <c r="I1266" s="64" t="n"/>
      <c r="J1266" s="16" t="n"/>
      <c r="K1266" s="16" t="n"/>
      <c r="M1266" s="89" t="n"/>
      <c r="N1266" s="1" t="n"/>
      <c r="O1266" s="1" t="n"/>
      <c r="P1266" s="1" t="n"/>
      <c r="Q1266" s="1" t="n"/>
      <c r="R1266" s="1" t="n"/>
    </row>
    <row r="1267">
      <c r="A1267" s="61" t="n"/>
      <c r="B1267" s="16" t="n"/>
      <c r="C1267" s="90" t="n"/>
      <c r="D1267" s="90" t="n"/>
      <c r="E1267" s="90" t="n"/>
      <c r="F1267" s="16" t="n"/>
      <c r="G1267" s="16" t="n"/>
      <c r="H1267" s="63" t="n"/>
      <c r="I1267" s="64" t="n"/>
      <c r="J1267" s="16" t="n"/>
      <c r="K1267" s="16" t="n"/>
      <c r="M1267" s="89" t="n"/>
      <c r="N1267" s="1" t="n"/>
      <c r="O1267" s="1" t="n"/>
      <c r="P1267" s="1" t="n"/>
      <c r="Q1267" s="1" t="n"/>
      <c r="R1267" s="1" t="n"/>
    </row>
    <row r="1268">
      <c r="A1268" s="61" t="n"/>
      <c r="B1268" s="16" t="n"/>
      <c r="C1268" s="90" t="n"/>
      <c r="D1268" s="90" t="n"/>
      <c r="E1268" s="90" t="n"/>
      <c r="F1268" s="16" t="n"/>
      <c r="G1268" s="16" t="n"/>
      <c r="H1268" s="63" t="n"/>
      <c r="I1268" s="64" t="n"/>
      <c r="J1268" s="16" t="n"/>
      <c r="K1268" s="16" t="n"/>
      <c r="M1268" s="89" t="n"/>
      <c r="N1268" s="1" t="n"/>
      <c r="O1268" s="1" t="n"/>
      <c r="P1268" s="1" t="n"/>
      <c r="Q1268" s="1" t="n"/>
      <c r="R1268" s="1" t="n"/>
    </row>
    <row r="1269">
      <c r="A1269" s="61" t="n"/>
      <c r="B1269" s="16" t="n"/>
      <c r="C1269" s="90" t="n"/>
      <c r="D1269" s="90" t="n"/>
      <c r="E1269" s="90" t="n"/>
      <c r="F1269" s="16" t="n"/>
      <c r="G1269" s="16" t="n"/>
      <c r="H1269" s="63" t="n"/>
      <c r="I1269" s="64" t="n"/>
      <c r="J1269" s="16" t="n"/>
      <c r="K1269" s="16" t="n"/>
      <c r="M1269" s="89" t="n"/>
      <c r="N1269" s="1" t="n"/>
      <c r="O1269" s="1" t="n"/>
      <c r="P1269" s="1" t="n"/>
      <c r="Q1269" s="1" t="n"/>
      <c r="R1269" s="1" t="n"/>
    </row>
    <row r="1270">
      <c r="A1270" s="61" t="n"/>
      <c r="B1270" s="16" t="n"/>
      <c r="C1270" s="90" t="n"/>
      <c r="D1270" s="90" t="n"/>
      <c r="E1270" s="90" t="n"/>
      <c r="F1270" s="16" t="n"/>
      <c r="G1270" s="16" t="n"/>
      <c r="H1270" s="63" t="n"/>
      <c r="I1270" s="64" t="n"/>
      <c r="J1270" s="16" t="n"/>
      <c r="K1270" s="16" t="n"/>
      <c r="M1270" s="89" t="n"/>
      <c r="N1270" s="1" t="n"/>
      <c r="O1270" s="1" t="n"/>
      <c r="P1270" s="1" t="n"/>
      <c r="Q1270" s="1" t="n"/>
      <c r="R1270" s="1" t="n"/>
    </row>
    <row r="1271">
      <c r="A1271" s="61" t="n"/>
      <c r="B1271" s="16" t="n"/>
      <c r="C1271" s="90" t="n"/>
      <c r="D1271" s="90" t="n"/>
      <c r="E1271" s="90" t="n"/>
      <c r="F1271" s="16" t="n"/>
      <c r="G1271" s="16" t="n"/>
      <c r="H1271" s="63" t="n"/>
      <c r="I1271" s="64" t="n"/>
      <c r="J1271" s="16" t="n"/>
      <c r="K1271" s="16" t="n"/>
      <c r="M1271" s="89" t="n"/>
      <c r="N1271" s="1" t="n"/>
      <c r="O1271" s="1" t="n"/>
      <c r="P1271" s="1" t="n"/>
      <c r="Q1271" s="1" t="n"/>
      <c r="R1271" s="1" t="n"/>
    </row>
    <row r="1272">
      <c r="A1272" s="61" t="n"/>
      <c r="B1272" s="16" t="n"/>
      <c r="C1272" s="90" t="n"/>
      <c r="D1272" s="90" t="n"/>
      <c r="E1272" s="90" t="n"/>
      <c r="F1272" s="16" t="n"/>
      <c r="G1272" s="16" t="n"/>
      <c r="H1272" s="63" t="n"/>
      <c r="I1272" s="64" t="n"/>
      <c r="J1272" s="16" t="n"/>
      <c r="K1272" s="16" t="n"/>
      <c r="M1272" s="89" t="n"/>
      <c r="N1272" s="1" t="n"/>
      <c r="O1272" s="1" t="n"/>
      <c r="P1272" s="1" t="n"/>
      <c r="Q1272" s="1" t="n"/>
      <c r="R1272" s="1" t="n"/>
    </row>
    <row r="1273">
      <c r="A1273" s="61" t="n"/>
      <c r="B1273" s="16" t="n"/>
      <c r="C1273" s="90" t="n"/>
      <c r="D1273" s="90" t="n"/>
      <c r="E1273" s="90" t="n"/>
      <c r="F1273" s="16" t="n"/>
      <c r="G1273" s="16" t="n"/>
      <c r="H1273" s="63" t="n"/>
      <c r="I1273" s="64" t="n"/>
      <c r="J1273" s="16" t="n"/>
      <c r="K1273" s="16" t="n"/>
      <c r="M1273" s="89" t="n"/>
      <c r="N1273" s="1" t="n"/>
      <c r="O1273" s="1" t="n"/>
      <c r="P1273" s="1" t="n"/>
      <c r="Q1273" s="1" t="n"/>
      <c r="R1273" s="1" t="n"/>
    </row>
    <row r="1274">
      <c r="A1274" s="61" t="n"/>
      <c r="B1274" s="16" t="n"/>
      <c r="C1274" s="90" t="n"/>
      <c r="D1274" s="90" t="n"/>
      <c r="E1274" s="90" t="n"/>
      <c r="F1274" s="16" t="n"/>
      <c r="G1274" s="16" t="n"/>
      <c r="H1274" s="63" t="n"/>
      <c r="I1274" s="64" t="n"/>
      <c r="J1274" s="16" t="n"/>
      <c r="K1274" s="16" t="n"/>
      <c r="M1274" s="89" t="n"/>
      <c r="N1274" s="1" t="n"/>
      <c r="O1274" s="1" t="n"/>
      <c r="P1274" s="1" t="n"/>
      <c r="Q1274" s="1" t="n"/>
      <c r="R1274" s="1" t="n"/>
    </row>
    <row r="1275">
      <c r="A1275" s="61" t="n"/>
      <c r="B1275" s="16" t="n"/>
      <c r="C1275" s="90" t="n"/>
      <c r="D1275" s="90" t="n"/>
      <c r="E1275" s="90" t="n"/>
      <c r="F1275" s="16" t="n"/>
      <c r="G1275" s="16" t="n"/>
      <c r="H1275" s="63" t="n"/>
      <c r="I1275" s="64" t="n"/>
      <c r="J1275" s="16" t="n"/>
      <c r="K1275" s="16" t="n"/>
      <c r="M1275" s="89" t="n"/>
      <c r="N1275" s="1" t="n"/>
      <c r="O1275" s="1" t="n"/>
      <c r="P1275" s="1" t="n"/>
      <c r="Q1275" s="1" t="n"/>
      <c r="R1275" s="1" t="n"/>
    </row>
    <row r="1276">
      <c r="A1276" s="61" t="n"/>
      <c r="B1276" s="16" t="n"/>
      <c r="C1276" s="90" t="n"/>
      <c r="D1276" s="90" t="n"/>
      <c r="E1276" s="90" t="n"/>
      <c r="F1276" s="16" t="n"/>
      <c r="G1276" s="16" t="n"/>
      <c r="H1276" s="63" t="n"/>
      <c r="I1276" s="64" t="n"/>
      <c r="J1276" s="16" t="n"/>
      <c r="K1276" s="16" t="n"/>
      <c r="M1276" s="89" t="n"/>
      <c r="N1276" s="1" t="n"/>
      <c r="O1276" s="1" t="n"/>
      <c r="P1276" s="1" t="n"/>
      <c r="Q1276" s="1" t="n"/>
      <c r="R1276" s="1" t="n"/>
    </row>
    <row r="1277">
      <c r="A1277" s="61" t="n"/>
      <c r="B1277" s="16" t="n"/>
      <c r="C1277" s="90" t="n"/>
      <c r="D1277" s="90" t="n"/>
      <c r="E1277" s="90" t="n"/>
      <c r="F1277" s="16" t="n"/>
      <c r="G1277" s="16" t="n"/>
      <c r="H1277" s="63" t="n"/>
      <c r="I1277" s="64" t="n"/>
      <c r="J1277" s="16" t="n"/>
      <c r="K1277" s="16" t="n"/>
      <c r="M1277" s="89" t="n"/>
      <c r="N1277" s="1" t="n"/>
      <c r="O1277" s="1" t="n"/>
      <c r="P1277" s="1" t="n"/>
      <c r="Q1277" s="1" t="n"/>
      <c r="R1277" s="1" t="n"/>
    </row>
    <row r="1278">
      <c r="A1278" s="61" t="n"/>
      <c r="B1278" s="16" t="n"/>
      <c r="C1278" s="90" t="n"/>
      <c r="D1278" s="90" t="n"/>
      <c r="E1278" s="90" t="n"/>
      <c r="F1278" s="16" t="n"/>
      <c r="G1278" s="16" t="n"/>
      <c r="H1278" s="63" t="n"/>
      <c r="I1278" s="64" t="n"/>
      <c r="J1278" s="16" t="n"/>
      <c r="K1278" s="16" t="n"/>
      <c r="M1278" s="89" t="n"/>
      <c r="N1278" s="1" t="n"/>
      <c r="O1278" s="1" t="n"/>
      <c r="P1278" s="1" t="n"/>
      <c r="Q1278" s="1" t="n"/>
      <c r="R1278" s="1" t="n"/>
    </row>
    <row r="1279">
      <c r="A1279" s="61" t="n"/>
      <c r="B1279" s="16" t="n"/>
      <c r="C1279" s="90" t="n"/>
      <c r="D1279" s="90" t="n"/>
      <c r="E1279" s="90" t="n"/>
      <c r="F1279" s="16" t="n"/>
      <c r="G1279" s="16" t="n"/>
      <c r="H1279" s="63" t="n"/>
      <c r="I1279" s="64" t="n"/>
      <c r="J1279" s="16" t="n"/>
      <c r="K1279" s="16" t="n"/>
      <c r="M1279" s="89" t="n"/>
      <c r="N1279" s="1" t="n"/>
      <c r="O1279" s="1" t="n"/>
      <c r="P1279" s="1" t="n"/>
      <c r="Q1279" s="1" t="n"/>
      <c r="R1279" s="1" t="n"/>
    </row>
    <row r="1280">
      <c r="A1280" s="61" t="n"/>
      <c r="B1280" s="16" t="n"/>
      <c r="C1280" s="90" t="n"/>
      <c r="D1280" s="90" t="n"/>
      <c r="E1280" s="90" t="n"/>
      <c r="F1280" s="16" t="n"/>
      <c r="G1280" s="16" t="n"/>
      <c r="H1280" s="63" t="n"/>
      <c r="I1280" s="64" t="n"/>
      <c r="J1280" s="16" t="n"/>
      <c r="K1280" s="16" t="n"/>
      <c r="M1280" s="89" t="n"/>
      <c r="N1280" s="1" t="n"/>
      <c r="O1280" s="1" t="n"/>
      <c r="P1280" s="1" t="n"/>
      <c r="Q1280" s="1" t="n"/>
      <c r="R1280" s="1" t="n"/>
    </row>
    <row r="1281">
      <c r="A1281" s="61" t="n"/>
      <c r="B1281" s="16" t="n"/>
      <c r="C1281" s="90" t="n"/>
      <c r="D1281" s="90" t="n"/>
      <c r="E1281" s="90" t="n"/>
      <c r="F1281" s="16" t="n"/>
      <c r="G1281" s="16" t="n"/>
      <c r="H1281" s="63" t="n"/>
      <c r="I1281" s="64" t="n"/>
      <c r="J1281" s="16" t="n"/>
      <c r="K1281" s="16" t="n"/>
      <c r="M1281" s="89" t="n"/>
      <c r="N1281" s="1" t="n"/>
      <c r="O1281" s="1" t="n"/>
      <c r="P1281" s="1" t="n"/>
      <c r="Q1281" s="1" t="n"/>
      <c r="R1281" s="1" t="n"/>
    </row>
    <row r="1282">
      <c r="A1282" s="61" t="n"/>
      <c r="B1282" s="16" t="n"/>
      <c r="C1282" s="90" t="n"/>
      <c r="D1282" s="90" t="n"/>
      <c r="E1282" s="90" t="n"/>
      <c r="F1282" s="16" t="n"/>
      <c r="G1282" s="16" t="n"/>
      <c r="H1282" s="63" t="n"/>
      <c r="I1282" s="64" t="n"/>
      <c r="J1282" s="16" t="n"/>
      <c r="K1282" s="16" t="n"/>
      <c r="M1282" s="89" t="n"/>
      <c r="N1282" s="1" t="n"/>
      <c r="O1282" s="1" t="n"/>
      <c r="P1282" s="1" t="n"/>
      <c r="Q1282" s="1" t="n"/>
      <c r="R1282" s="1" t="n"/>
    </row>
    <row r="1283">
      <c r="A1283" s="61" t="n"/>
      <c r="B1283" s="16" t="n"/>
      <c r="C1283" s="90" t="n"/>
      <c r="D1283" s="90" t="n"/>
      <c r="E1283" s="90" t="n"/>
      <c r="F1283" s="16" t="n"/>
      <c r="G1283" s="16" t="n"/>
      <c r="H1283" s="63" t="n"/>
      <c r="I1283" s="64" t="n"/>
      <c r="J1283" s="16" t="n"/>
      <c r="K1283" s="16" t="n"/>
      <c r="M1283" s="89" t="n"/>
      <c r="N1283" s="1" t="n"/>
      <c r="O1283" s="1" t="n"/>
      <c r="P1283" s="1" t="n"/>
      <c r="Q1283" s="1" t="n"/>
      <c r="R1283" s="1" t="n"/>
    </row>
    <row r="1284">
      <c r="A1284" s="61" t="n"/>
      <c r="B1284" s="16" t="n"/>
      <c r="C1284" s="90" t="n"/>
      <c r="D1284" s="90" t="n"/>
      <c r="E1284" s="90" t="n"/>
      <c r="F1284" s="16" t="n"/>
      <c r="G1284" s="16" t="n"/>
      <c r="H1284" s="63" t="n"/>
      <c r="I1284" s="64" t="n"/>
      <c r="J1284" s="16" t="n"/>
      <c r="K1284" s="16" t="n"/>
      <c r="M1284" s="89" t="n"/>
      <c r="N1284" s="1" t="n"/>
      <c r="O1284" s="1" t="n"/>
      <c r="P1284" s="1" t="n"/>
      <c r="Q1284" s="1" t="n"/>
      <c r="R1284" s="1" t="n"/>
    </row>
    <row r="1285">
      <c r="A1285" s="61" t="n"/>
      <c r="B1285" s="16" t="n"/>
      <c r="C1285" s="90" t="n"/>
      <c r="D1285" s="90" t="n"/>
      <c r="E1285" s="90" t="n"/>
      <c r="F1285" s="16" t="n"/>
      <c r="G1285" s="16" t="n"/>
      <c r="H1285" s="63" t="n"/>
      <c r="I1285" s="64" t="n"/>
      <c r="J1285" s="16" t="n"/>
      <c r="K1285" s="16" t="n"/>
      <c r="M1285" s="89" t="n"/>
      <c r="N1285" s="1" t="n"/>
      <c r="O1285" s="1" t="n"/>
      <c r="P1285" s="1" t="n"/>
      <c r="Q1285" s="1" t="n"/>
      <c r="R1285" s="1" t="n"/>
    </row>
    <row r="1286">
      <c r="A1286" s="61" t="n"/>
      <c r="B1286" s="16" t="n"/>
      <c r="C1286" s="90" t="n"/>
      <c r="D1286" s="90" t="n"/>
      <c r="E1286" s="90" t="n"/>
      <c r="F1286" s="16" t="n"/>
      <c r="G1286" s="16" t="n"/>
      <c r="H1286" s="63" t="n"/>
      <c r="I1286" s="64" t="n"/>
      <c r="J1286" s="16" t="n"/>
      <c r="K1286" s="16" t="n"/>
      <c r="M1286" s="89" t="n"/>
      <c r="N1286" s="1" t="n"/>
      <c r="O1286" s="1" t="n"/>
      <c r="P1286" s="1" t="n"/>
      <c r="Q1286" s="1" t="n"/>
      <c r="R1286" s="1" t="n"/>
    </row>
    <row r="1287">
      <c r="A1287" s="61" t="n"/>
      <c r="B1287" s="16" t="n"/>
      <c r="C1287" s="90" t="n"/>
      <c r="D1287" s="90" t="n"/>
      <c r="E1287" s="90" t="n"/>
      <c r="F1287" s="16" t="n"/>
      <c r="G1287" s="16" t="n"/>
      <c r="H1287" s="63" t="n"/>
      <c r="I1287" s="64" t="n"/>
      <c r="J1287" s="16" t="n"/>
      <c r="K1287" s="16" t="n"/>
      <c r="M1287" s="89" t="n"/>
      <c r="N1287" s="1" t="n"/>
      <c r="O1287" s="1" t="n"/>
      <c r="P1287" s="1" t="n"/>
      <c r="Q1287" s="1" t="n"/>
      <c r="R1287" s="1" t="n"/>
    </row>
    <row r="1288">
      <c r="A1288" s="61" t="n"/>
      <c r="B1288" s="16" t="n"/>
      <c r="C1288" s="90" t="n"/>
      <c r="D1288" s="90" t="n"/>
      <c r="E1288" s="90" t="n"/>
      <c r="F1288" s="16" t="n"/>
      <c r="G1288" s="16" t="n"/>
      <c r="H1288" s="63" t="n"/>
      <c r="I1288" s="64" t="n"/>
      <c r="J1288" s="16" t="n"/>
      <c r="K1288" s="16" t="n"/>
      <c r="M1288" s="89" t="n"/>
      <c r="N1288" s="1" t="n"/>
      <c r="O1288" s="1" t="n"/>
      <c r="P1288" s="1" t="n"/>
      <c r="Q1288" s="1" t="n"/>
      <c r="R1288" s="1" t="n"/>
    </row>
    <row r="1289">
      <c r="A1289" s="61" t="n"/>
      <c r="B1289" s="16" t="n"/>
      <c r="C1289" s="90" t="n"/>
      <c r="D1289" s="90" t="n"/>
      <c r="E1289" s="90" t="n"/>
      <c r="F1289" s="16" t="n"/>
      <c r="G1289" s="16" t="n"/>
      <c r="H1289" s="63" t="n"/>
      <c r="I1289" s="64" t="n"/>
      <c r="J1289" s="16" t="n"/>
      <c r="K1289" s="16" t="n"/>
      <c r="M1289" s="89" t="n"/>
      <c r="N1289" s="1" t="n"/>
      <c r="O1289" s="1" t="n"/>
      <c r="P1289" s="1" t="n"/>
      <c r="Q1289" s="1" t="n"/>
      <c r="R1289" s="1" t="n"/>
    </row>
    <row r="1290">
      <c r="A1290" s="61" t="n"/>
      <c r="B1290" s="16" t="n"/>
      <c r="C1290" s="90" t="n"/>
      <c r="D1290" s="90" t="n"/>
      <c r="E1290" s="90" t="n"/>
      <c r="F1290" s="16" t="n"/>
      <c r="G1290" s="16" t="n"/>
      <c r="H1290" s="63" t="n"/>
      <c r="I1290" s="64" t="n"/>
      <c r="J1290" s="16" t="n"/>
      <c r="K1290" s="16" t="n"/>
      <c r="M1290" s="89" t="n"/>
      <c r="N1290" s="1" t="n"/>
      <c r="O1290" s="1" t="n"/>
      <c r="P1290" s="1" t="n"/>
      <c r="Q1290" s="1" t="n"/>
      <c r="R1290" s="1" t="n"/>
    </row>
    <row r="1291">
      <c r="A1291" s="61" t="n"/>
      <c r="B1291" s="16" t="n"/>
      <c r="C1291" s="90" t="n"/>
      <c r="D1291" s="90" t="n"/>
      <c r="E1291" s="90" t="n"/>
      <c r="F1291" s="16" t="n"/>
      <c r="G1291" s="16" t="n"/>
      <c r="H1291" s="63" t="n"/>
      <c r="I1291" s="64" t="n"/>
      <c r="J1291" s="16" t="n"/>
      <c r="K1291" s="16" t="n"/>
      <c r="M1291" s="89" t="n"/>
      <c r="N1291" s="1" t="n"/>
      <c r="O1291" s="1" t="n"/>
      <c r="P1291" s="1" t="n"/>
      <c r="Q1291" s="1" t="n"/>
      <c r="R1291" s="1" t="n"/>
    </row>
    <row r="1292">
      <c r="A1292" s="61" t="n"/>
      <c r="B1292" s="16" t="n"/>
      <c r="C1292" s="90" t="n"/>
      <c r="D1292" s="90" t="n"/>
      <c r="E1292" s="90" t="n"/>
      <c r="F1292" s="16" t="n"/>
      <c r="G1292" s="16" t="n"/>
      <c r="H1292" s="63" t="n"/>
      <c r="I1292" s="64" t="n"/>
      <c r="J1292" s="16" t="n"/>
      <c r="K1292" s="16" t="n"/>
      <c r="M1292" s="89" t="n"/>
      <c r="N1292" s="1" t="n"/>
      <c r="O1292" s="1" t="n"/>
      <c r="P1292" s="1" t="n"/>
      <c r="Q1292" s="1" t="n"/>
      <c r="R1292" s="1" t="n"/>
    </row>
    <row r="1293">
      <c r="A1293" s="61" t="n"/>
      <c r="B1293" s="16" t="n"/>
      <c r="C1293" s="90" t="n"/>
      <c r="D1293" s="90" t="n"/>
      <c r="E1293" s="90" t="n"/>
      <c r="F1293" s="16" t="n"/>
      <c r="G1293" s="16" t="n"/>
      <c r="H1293" s="63" t="n"/>
      <c r="I1293" s="64" t="n"/>
      <c r="J1293" s="16" t="n"/>
      <c r="K1293" s="16" t="n"/>
      <c r="M1293" s="89" t="n"/>
      <c r="N1293" s="1" t="n"/>
      <c r="O1293" s="1" t="n"/>
      <c r="P1293" s="1" t="n"/>
      <c r="Q1293" s="1" t="n"/>
      <c r="R1293" s="1" t="n"/>
    </row>
    <row r="1294">
      <c r="A1294" s="61" t="n"/>
      <c r="B1294" s="16" t="n"/>
      <c r="C1294" s="90" t="n"/>
      <c r="D1294" s="90" t="n"/>
      <c r="E1294" s="90" t="n"/>
      <c r="F1294" s="16" t="n"/>
      <c r="G1294" s="16" t="n"/>
      <c r="H1294" s="63" t="n"/>
      <c r="I1294" s="64" t="n"/>
      <c r="J1294" s="16" t="n"/>
      <c r="K1294" s="16" t="n"/>
      <c r="M1294" s="89" t="n"/>
      <c r="N1294" s="1" t="n"/>
      <c r="O1294" s="1" t="n"/>
      <c r="P1294" s="1" t="n"/>
      <c r="Q1294" s="1" t="n"/>
      <c r="R1294" s="1" t="n"/>
    </row>
    <row r="1295">
      <c r="A1295" s="61" t="n"/>
      <c r="B1295" s="16" t="n"/>
      <c r="C1295" s="90" t="n"/>
      <c r="D1295" s="90" t="n"/>
      <c r="E1295" s="90" t="n"/>
      <c r="F1295" s="16" t="n"/>
      <c r="G1295" s="16" t="n"/>
      <c r="H1295" s="63" t="n"/>
      <c r="I1295" s="64" t="n"/>
      <c r="J1295" s="16" t="n"/>
      <c r="K1295" s="16" t="n"/>
      <c r="M1295" s="89" t="n"/>
      <c r="N1295" s="1" t="n"/>
      <c r="O1295" s="1" t="n"/>
      <c r="P1295" s="1" t="n"/>
      <c r="Q1295" s="1" t="n"/>
      <c r="R1295" s="1" t="n"/>
    </row>
    <row r="1296">
      <c r="A1296" s="61" t="n"/>
      <c r="B1296" s="16" t="n"/>
      <c r="C1296" s="90" t="n"/>
      <c r="D1296" s="90" t="n"/>
      <c r="E1296" s="90" t="n"/>
      <c r="F1296" s="16" t="n"/>
      <c r="G1296" s="16" t="n"/>
      <c r="H1296" s="63" t="n"/>
      <c r="I1296" s="64" t="n"/>
      <c r="J1296" s="16" t="n"/>
      <c r="K1296" s="16" t="n"/>
      <c r="M1296" s="89" t="n"/>
      <c r="N1296" s="1" t="n"/>
      <c r="O1296" s="1" t="n"/>
      <c r="P1296" s="1" t="n"/>
      <c r="Q1296" s="1" t="n"/>
      <c r="R1296" s="1" t="n"/>
    </row>
    <row r="1297">
      <c r="A1297" s="61" t="n"/>
      <c r="B1297" s="16" t="n"/>
      <c r="C1297" s="90" t="n"/>
      <c r="D1297" s="90" t="n"/>
      <c r="E1297" s="90" t="n"/>
      <c r="F1297" s="16" t="n"/>
      <c r="G1297" s="16" t="n"/>
      <c r="H1297" s="63" t="n"/>
      <c r="I1297" s="64" t="n"/>
      <c r="J1297" s="16" t="n"/>
      <c r="K1297" s="16" t="n"/>
      <c r="M1297" s="89" t="n"/>
      <c r="N1297" s="1" t="n"/>
      <c r="O1297" s="1" t="n"/>
      <c r="P1297" s="1" t="n"/>
      <c r="Q1297" s="1" t="n"/>
      <c r="R1297" s="1" t="n"/>
    </row>
    <row r="1298">
      <c r="A1298" s="61" t="n"/>
      <c r="B1298" s="16" t="n"/>
      <c r="C1298" s="90" t="n"/>
      <c r="D1298" s="90" t="n"/>
      <c r="E1298" s="90" t="n"/>
      <c r="F1298" s="16" t="n"/>
      <c r="G1298" s="16" t="n"/>
      <c r="H1298" s="63" t="n"/>
      <c r="I1298" s="64" t="n"/>
      <c r="J1298" s="16" t="n"/>
      <c r="K1298" s="16" t="n"/>
      <c r="M1298" s="89" t="n"/>
      <c r="N1298" s="1" t="n"/>
      <c r="O1298" s="1" t="n"/>
      <c r="P1298" s="1" t="n"/>
      <c r="Q1298" s="1" t="n"/>
      <c r="R1298" s="1" t="n"/>
    </row>
    <row r="1299">
      <c r="A1299" s="61" t="n"/>
      <c r="B1299" s="16" t="n"/>
      <c r="C1299" s="90" t="n"/>
      <c r="D1299" s="90" t="n"/>
      <c r="E1299" s="90" t="n"/>
      <c r="F1299" s="16" t="n"/>
      <c r="G1299" s="16" t="n"/>
      <c r="H1299" s="63" t="n"/>
      <c r="I1299" s="64" t="n"/>
      <c r="J1299" s="16" t="n"/>
      <c r="K1299" s="16" t="n"/>
      <c r="M1299" s="89" t="n"/>
      <c r="N1299" s="1" t="n"/>
      <c r="O1299" s="1" t="n"/>
      <c r="P1299" s="1" t="n"/>
      <c r="Q1299" s="1" t="n"/>
      <c r="R1299" s="1" t="n"/>
    </row>
    <row r="1300">
      <c r="A1300" s="61" t="n"/>
      <c r="B1300" s="16" t="n"/>
      <c r="C1300" s="90" t="n"/>
      <c r="D1300" s="90" t="n"/>
      <c r="E1300" s="90" t="n"/>
      <c r="F1300" s="16" t="n"/>
      <c r="G1300" s="16" t="n"/>
      <c r="H1300" s="63" t="n"/>
      <c r="I1300" s="64" t="n"/>
      <c r="J1300" s="16" t="n"/>
      <c r="K1300" s="16" t="n"/>
      <c r="M1300" s="89" t="n"/>
      <c r="N1300" s="1" t="n"/>
      <c r="O1300" s="1" t="n"/>
      <c r="P1300" s="1" t="n"/>
      <c r="Q1300" s="1" t="n"/>
      <c r="R1300" s="1" t="n"/>
    </row>
    <row r="1301">
      <c r="A1301" s="61" t="n"/>
      <c r="B1301" s="16" t="n"/>
      <c r="C1301" s="90" t="n"/>
      <c r="D1301" s="90" t="n"/>
      <c r="E1301" s="90" t="n"/>
      <c r="F1301" s="16" t="n"/>
      <c r="G1301" s="16" t="n"/>
      <c r="H1301" s="63" t="n"/>
      <c r="I1301" s="64" t="n"/>
      <c r="J1301" s="16" t="n"/>
      <c r="K1301" s="16" t="n"/>
      <c r="M1301" s="89" t="n"/>
      <c r="N1301" s="1" t="n"/>
      <c r="O1301" s="1" t="n"/>
      <c r="P1301" s="1" t="n"/>
      <c r="Q1301" s="1" t="n"/>
      <c r="R1301" s="1" t="n"/>
    </row>
    <row r="1302">
      <c r="A1302" s="61" t="n"/>
      <c r="B1302" s="16" t="n"/>
      <c r="C1302" s="90" t="n"/>
      <c r="D1302" s="90" t="n"/>
      <c r="E1302" s="90" t="n"/>
      <c r="F1302" s="16" t="n"/>
      <c r="G1302" s="16" t="n"/>
      <c r="H1302" s="63" t="n"/>
      <c r="I1302" s="64" t="n"/>
      <c r="J1302" s="16" t="n"/>
      <c r="K1302" s="16" t="n"/>
      <c r="M1302" s="89" t="n"/>
      <c r="N1302" s="1" t="n"/>
      <c r="O1302" s="1" t="n"/>
      <c r="P1302" s="1" t="n"/>
      <c r="Q1302" s="1" t="n"/>
      <c r="R1302" s="1" t="n"/>
    </row>
    <row r="1303">
      <c r="A1303" s="61" t="n"/>
      <c r="B1303" s="16" t="n"/>
      <c r="C1303" s="90" t="n"/>
      <c r="D1303" s="90" t="n"/>
      <c r="E1303" s="90" t="n"/>
      <c r="F1303" s="16" t="n"/>
      <c r="G1303" s="16" t="n"/>
      <c r="H1303" s="63" t="n"/>
      <c r="I1303" s="64" t="n"/>
      <c r="J1303" s="16" t="n"/>
      <c r="K1303" s="16" t="n"/>
      <c r="M1303" s="89" t="n"/>
      <c r="N1303" s="1" t="n"/>
      <c r="O1303" s="1" t="n"/>
      <c r="P1303" s="1" t="n"/>
      <c r="Q1303" s="1" t="n"/>
      <c r="R1303" s="1" t="n"/>
    </row>
    <row r="1304">
      <c r="A1304" s="61" t="n"/>
      <c r="B1304" s="16" t="n"/>
      <c r="C1304" s="90" t="n"/>
      <c r="D1304" s="90" t="n"/>
      <c r="E1304" s="90" t="n"/>
      <c r="F1304" s="16" t="n"/>
      <c r="G1304" s="16" t="n"/>
      <c r="H1304" s="63" t="n"/>
      <c r="I1304" s="64" t="n"/>
      <c r="J1304" s="16" t="n"/>
      <c r="K1304" s="16" t="n"/>
      <c r="M1304" s="89" t="n"/>
      <c r="N1304" s="1" t="n"/>
      <c r="O1304" s="1" t="n"/>
      <c r="P1304" s="1" t="n"/>
      <c r="Q1304" s="1" t="n"/>
      <c r="R1304" s="1" t="n"/>
    </row>
    <row r="1305">
      <c r="A1305" s="61" t="n"/>
      <c r="B1305" s="16" t="n"/>
      <c r="C1305" s="90" t="n"/>
      <c r="D1305" s="90" t="n"/>
      <c r="E1305" s="90" t="n"/>
      <c r="F1305" s="16" t="n"/>
      <c r="G1305" s="16" t="n"/>
      <c r="H1305" s="63" t="n"/>
      <c r="I1305" s="64" t="n"/>
      <c r="J1305" s="16" t="n"/>
      <c r="K1305" s="16" t="n"/>
      <c r="M1305" s="89" t="n"/>
      <c r="N1305" s="1" t="n"/>
      <c r="O1305" s="1" t="n"/>
      <c r="P1305" s="1" t="n"/>
      <c r="Q1305" s="1" t="n"/>
      <c r="R1305" s="1" t="n"/>
    </row>
    <row r="1306">
      <c r="A1306" s="61" t="n"/>
      <c r="B1306" s="16" t="n"/>
      <c r="C1306" s="90" t="n"/>
      <c r="D1306" s="90" t="n"/>
      <c r="E1306" s="90" t="n"/>
      <c r="F1306" s="16" t="n"/>
      <c r="G1306" s="16" t="n"/>
      <c r="H1306" s="63" t="n"/>
      <c r="I1306" s="64" t="n"/>
      <c r="J1306" s="16" t="n"/>
      <c r="K1306" s="16" t="n"/>
      <c r="M1306" s="89" t="n"/>
      <c r="N1306" s="1" t="n"/>
      <c r="O1306" s="1" t="n"/>
      <c r="P1306" s="1" t="n"/>
      <c r="Q1306" s="1" t="n"/>
      <c r="R1306" s="1" t="n"/>
    </row>
    <row r="1307">
      <c r="A1307" s="61" t="n"/>
      <c r="B1307" s="16" t="n"/>
      <c r="C1307" s="90" t="n"/>
      <c r="D1307" s="90" t="n"/>
      <c r="E1307" s="90" t="n"/>
      <c r="F1307" s="16" t="n"/>
      <c r="G1307" s="16" t="n"/>
      <c r="H1307" s="63" t="n"/>
      <c r="I1307" s="64" t="n"/>
      <c r="J1307" s="16" t="n"/>
      <c r="K1307" s="16" t="n"/>
      <c r="M1307" s="89" t="n"/>
      <c r="N1307" s="1" t="n"/>
      <c r="O1307" s="1" t="n"/>
      <c r="P1307" s="1" t="n"/>
      <c r="Q1307" s="1" t="n"/>
      <c r="R1307" s="1" t="n"/>
    </row>
    <row r="1308">
      <c r="A1308" s="61" t="n"/>
      <c r="B1308" s="16" t="n"/>
      <c r="C1308" s="90" t="n"/>
      <c r="D1308" s="90" t="n"/>
      <c r="E1308" s="90" t="n"/>
      <c r="F1308" s="16" t="n"/>
      <c r="G1308" s="16" t="n"/>
      <c r="H1308" s="63" t="n"/>
      <c r="I1308" s="64" t="n"/>
      <c r="J1308" s="16" t="n"/>
      <c r="K1308" s="16" t="n"/>
      <c r="M1308" s="89" t="n"/>
      <c r="N1308" s="1" t="n"/>
      <c r="O1308" s="1" t="n"/>
      <c r="P1308" s="1" t="n"/>
      <c r="Q1308" s="1" t="n"/>
      <c r="R1308" s="1" t="n"/>
    </row>
    <row r="1309">
      <c r="A1309" s="61" t="n"/>
      <c r="B1309" s="16" t="n"/>
      <c r="C1309" s="90" t="n"/>
      <c r="D1309" s="90" t="n"/>
      <c r="E1309" s="90" t="n"/>
      <c r="F1309" s="16" t="n"/>
      <c r="G1309" s="16" t="n"/>
      <c r="H1309" s="63" t="n"/>
      <c r="I1309" s="64" t="n"/>
      <c r="J1309" s="16" t="n"/>
      <c r="K1309" s="16" t="n"/>
      <c r="M1309" s="89" t="n"/>
      <c r="N1309" s="1" t="n"/>
      <c r="O1309" s="1" t="n"/>
      <c r="P1309" s="1" t="n"/>
      <c r="Q1309" s="1" t="n"/>
      <c r="R1309" s="1" t="n"/>
    </row>
    <row r="1310">
      <c r="A1310" s="61" t="n"/>
      <c r="B1310" s="16" t="n"/>
      <c r="C1310" s="90" t="n"/>
      <c r="D1310" s="90" t="n"/>
      <c r="E1310" s="90" t="n"/>
      <c r="F1310" s="16" t="n"/>
      <c r="G1310" s="16" t="n"/>
      <c r="H1310" s="63" t="n"/>
      <c r="I1310" s="64" t="n"/>
      <c r="J1310" s="16" t="n"/>
      <c r="K1310" s="16" t="n"/>
      <c r="M1310" s="89" t="n"/>
      <c r="N1310" s="1" t="n"/>
      <c r="O1310" s="1" t="n"/>
      <c r="P1310" s="1" t="n"/>
      <c r="Q1310" s="1" t="n"/>
      <c r="R1310" s="1" t="n"/>
    </row>
    <row r="1311">
      <c r="A1311" s="61" t="n"/>
      <c r="B1311" s="16" t="n"/>
      <c r="C1311" s="90" t="n"/>
      <c r="D1311" s="90" t="n"/>
      <c r="E1311" s="90" t="n"/>
      <c r="F1311" s="16" t="n"/>
      <c r="G1311" s="16" t="n"/>
      <c r="H1311" s="63" t="n"/>
      <c r="I1311" s="64" t="n"/>
      <c r="J1311" s="16" t="n"/>
      <c r="K1311" s="16" t="n"/>
      <c r="M1311" s="89" t="n"/>
      <c r="N1311" s="1" t="n"/>
      <c r="O1311" s="1" t="n"/>
      <c r="P1311" s="1" t="n"/>
      <c r="Q1311" s="1" t="n"/>
      <c r="R1311" s="1" t="n"/>
    </row>
    <row r="1312">
      <c r="A1312" s="61" t="n"/>
      <c r="B1312" s="16" t="n"/>
      <c r="C1312" s="90" t="n"/>
      <c r="D1312" s="90" t="n"/>
      <c r="E1312" s="90" t="n"/>
      <c r="F1312" s="16" t="n"/>
      <c r="G1312" s="16" t="n"/>
      <c r="H1312" s="63" t="n"/>
      <c r="I1312" s="64" t="n"/>
      <c r="J1312" s="16" t="n"/>
      <c r="K1312" s="16" t="n"/>
      <c r="M1312" s="89" t="n"/>
      <c r="N1312" s="1" t="n"/>
      <c r="O1312" s="1" t="n"/>
      <c r="P1312" s="1" t="n"/>
      <c r="Q1312" s="1" t="n"/>
      <c r="R1312" s="1" t="n"/>
    </row>
    <row r="1313">
      <c r="A1313" s="61" t="n"/>
      <c r="B1313" s="16" t="n"/>
      <c r="C1313" s="90" t="n"/>
      <c r="D1313" s="90" t="n"/>
      <c r="E1313" s="90" t="n"/>
      <c r="F1313" s="16" t="n"/>
      <c r="G1313" s="16" t="n"/>
      <c r="H1313" s="63" t="n"/>
      <c r="I1313" s="64" t="n"/>
      <c r="J1313" s="16" t="n"/>
      <c r="K1313" s="16" t="n"/>
      <c r="M1313" s="89" t="n"/>
      <c r="N1313" s="1" t="n"/>
      <c r="O1313" s="1" t="n"/>
      <c r="P1313" s="1" t="n"/>
      <c r="Q1313" s="1" t="n"/>
      <c r="R1313" s="1" t="n"/>
    </row>
    <row r="1314">
      <c r="A1314" s="61" t="n"/>
      <c r="B1314" s="16" t="n"/>
      <c r="C1314" s="90" t="n"/>
      <c r="D1314" s="90" t="n"/>
      <c r="E1314" s="90" t="n"/>
      <c r="F1314" s="16" t="n"/>
      <c r="G1314" s="16" t="n"/>
      <c r="H1314" s="63" t="n"/>
      <c r="I1314" s="64" t="n"/>
      <c r="J1314" s="16" t="n"/>
      <c r="K1314" s="16" t="n"/>
      <c r="M1314" s="89" t="n"/>
      <c r="N1314" s="1" t="n"/>
      <c r="O1314" s="1" t="n"/>
      <c r="P1314" s="1" t="n"/>
      <c r="Q1314" s="1" t="n"/>
      <c r="R1314" s="1" t="n"/>
    </row>
    <row r="1315">
      <c r="A1315" s="61" t="n"/>
      <c r="B1315" s="16" t="n"/>
      <c r="C1315" s="90" t="n"/>
      <c r="D1315" s="90" t="n"/>
      <c r="E1315" s="90" t="n"/>
      <c r="F1315" s="16" t="n"/>
      <c r="G1315" s="16" t="n"/>
      <c r="H1315" s="63" t="n"/>
      <c r="I1315" s="64" t="n"/>
      <c r="J1315" s="16" t="n"/>
      <c r="K1315" s="16" t="n"/>
      <c r="M1315" s="89" t="n"/>
      <c r="N1315" s="1" t="n"/>
      <c r="O1315" s="1" t="n"/>
      <c r="P1315" s="1" t="n"/>
      <c r="Q1315" s="1" t="n"/>
      <c r="R1315" s="1" t="n"/>
    </row>
    <row r="1316">
      <c r="A1316" s="61" t="n"/>
      <c r="B1316" s="16" t="n"/>
      <c r="C1316" s="90" t="n"/>
      <c r="D1316" s="90" t="n"/>
      <c r="E1316" s="90" t="n"/>
      <c r="F1316" s="16" t="n"/>
      <c r="G1316" s="16" t="n"/>
      <c r="H1316" s="63" t="n"/>
      <c r="I1316" s="64" t="n"/>
      <c r="J1316" s="16" t="n"/>
      <c r="K1316" s="16" t="n"/>
      <c r="M1316" s="89" t="n"/>
      <c r="N1316" s="1" t="n"/>
      <c r="O1316" s="1" t="n"/>
      <c r="P1316" s="1" t="n"/>
      <c r="Q1316" s="1" t="n"/>
      <c r="R1316" s="1" t="n"/>
    </row>
    <row r="1317">
      <c r="A1317" s="61" t="n"/>
      <c r="B1317" s="16" t="n"/>
      <c r="C1317" s="90" t="n"/>
      <c r="D1317" s="90" t="n"/>
      <c r="E1317" s="90" t="n"/>
      <c r="F1317" s="16" t="n"/>
      <c r="G1317" s="16" t="n"/>
      <c r="H1317" s="63" t="n"/>
      <c r="I1317" s="64" t="n"/>
      <c r="J1317" s="16" t="n"/>
      <c r="K1317" s="16" t="n"/>
      <c r="M1317" s="89" t="n"/>
      <c r="N1317" s="1" t="n"/>
      <c r="O1317" s="1" t="n"/>
      <c r="P1317" s="1" t="n"/>
      <c r="Q1317" s="1" t="n"/>
      <c r="R1317" s="1" t="n"/>
    </row>
    <row r="1318">
      <c r="A1318" s="61" t="n"/>
      <c r="B1318" s="16" t="n"/>
      <c r="C1318" s="90" t="n"/>
      <c r="D1318" s="90" t="n"/>
      <c r="E1318" s="90" t="n"/>
      <c r="F1318" s="16" t="n"/>
      <c r="G1318" s="16" t="n"/>
      <c r="H1318" s="63" t="n"/>
      <c r="I1318" s="64" t="n"/>
      <c r="J1318" s="16" t="n"/>
      <c r="K1318" s="16" t="n"/>
      <c r="M1318" s="89" t="n"/>
      <c r="N1318" s="1" t="n"/>
      <c r="O1318" s="1" t="n"/>
      <c r="P1318" s="1" t="n"/>
      <c r="Q1318" s="1" t="n"/>
      <c r="R1318" s="1" t="n"/>
    </row>
    <row r="1319">
      <c r="A1319" s="61" t="n"/>
      <c r="B1319" s="16" t="n"/>
      <c r="C1319" s="90" t="n"/>
      <c r="D1319" s="90" t="n"/>
      <c r="E1319" s="90" t="n"/>
      <c r="F1319" s="16" t="n"/>
      <c r="G1319" s="16" t="n"/>
      <c r="H1319" s="63" t="n"/>
      <c r="I1319" s="64" t="n"/>
      <c r="J1319" s="16" t="n"/>
      <c r="K1319" s="16" t="n"/>
      <c r="M1319" s="89" t="n"/>
      <c r="N1319" s="1" t="n"/>
      <c r="O1319" s="1" t="n"/>
      <c r="P1319" s="1" t="n"/>
      <c r="Q1319" s="1" t="n"/>
      <c r="R1319" s="1" t="n"/>
    </row>
    <row r="1320">
      <c r="A1320" s="61" t="n"/>
      <c r="B1320" s="16" t="n"/>
      <c r="C1320" s="90" t="n"/>
      <c r="D1320" s="90" t="n"/>
      <c r="E1320" s="90" t="n"/>
      <c r="F1320" s="16" t="n"/>
      <c r="G1320" s="16" t="n"/>
      <c r="H1320" s="63" t="n"/>
      <c r="I1320" s="64" t="n"/>
      <c r="J1320" s="16" t="n"/>
      <c r="K1320" s="16" t="n"/>
      <c r="M1320" s="89" t="n"/>
      <c r="N1320" s="1" t="n"/>
      <c r="O1320" s="1" t="n"/>
      <c r="P1320" s="1" t="n"/>
      <c r="Q1320" s="1" t="n"/>
      <c r="R1320" s="1" t="n"/>
    </row>
    <row r="1321">
      <c r="A1321" s="61" t="n"/>
      <c r="B1321" s="16" t="n"/>
      <c r="C1321" s="90" t="n"/>
      <c r="D1321" s="90" t="n"/>
      <c r="E1321" s="90" t="n"/>
      <c r="F1321" s="16" t="n"/>
      <c r="G1321" s="16" t="n"/>
      <c r="H1321" s="63" t="n"/>
      <c r="I1321" s="64" t="n"/>
      <c r="J1321" s="16" t="n"/>
      <c r="K1321" s="16" t="n"/>
      <c r="M1321" s="89" t="n"/>
      <c r="N1321" s="1" t="n"/>
      <c r="O1321" s="1" t="n"/>
      <c r="P1321" s="1" t="n"/>
      <c r="Q1321" s="1" t="n"/>
      <c r="R1321" s="1" t="n"/>
    </row>
    <row r="1322">
      <c r="A1322" s="61" t="n"/>
      <c r="B1322" s="16" t="n"/>
      <c r="C1322" s="90" t="n"/>
      <c r="D1322" s="90" t="n"/>
      <c r="E1322" s="90" t="n"/>
      <c r="F1322" s="16" t="n"/>
      <c r="G1322" s="16" t="n"/>
      <c r="H1322" s="63" t="n"/>
      <c r="I1322" s="64" t="n"/>
      <c r="J1322" s="16" t="n"/>
      <c r="K1322" s="16" t="n"/>
      <c r="M1322" s="89" t="n"/>
      <c r="N1322" s="1" t="n"/>
      <c r="O1322" s="1" t="n"/>
      <c r="P1322" s="1" t="n"/>
      <c r="Q1322" s="1" t="n"/>
      <c r="R1322" s="1" t="n"/>
    </row>
    <row r="1323">
      <c r="A1323" s="61" t="n"/>
      <c r="B1323" s="16" t="n"/>
      <c r="C1323" s="90" t="n"/>
      <c r="D1323" s="90" t="n"/>
      <c r="E1323" s="90" t="n"/>
      <c r="F1323" s="16" t="n"/>
      <c r="G1323" s="16" t="n"/>
      <c r="H1323" s="63" t="n"/>
      <c r="I1323" s="64" t="n"/>
      <c r="J1323" s="16" t="n"/>
      <c r="K1323" s="16" t="n"/>
      <c r="M1323" s="89" t="n"/>
      <c r="N1323" s="1" t="n"/>
      <c r="O1323" s="1" t="n"/>
      <c r="P1323" s="1" t="n"/>
      <c r="Q1323" s="1" t="n"/>
      <c r="R1323" s="1" t="n"/>
    </row>
    <row r="1324">
      <c r="A1324" s="61" t="n"/>
      <c r="B1324" s="16" t="n"/>
      <c r="C1324" s="90" t="n"/>
      <c r="D1324" s="90" t="n"/>
      <c r="E1324" s="90" t="n"/>
      <c r="F1324" s="16" t="n"/>
      <c r="G1324" s="16" t="n"/>
      <c r="H1324" s="63" t="n"/>
      <c r="I1324" s="64" t="n"/>
      <c r="J1324" s="16" t="n"/>
      <c r="K1324" s="16" t="n"/>
      <c r="M1324" s="89" t="n"/>
      <c r="N1324" s="1" t="n"/>
      <c r="O1324" s="1" t="n"/>
      <c r="P1324" s="1" t="n"/>
      <c r="Q1324" s="1" t="n"/>
      <c r="R1324" s="1" t="n"/>
    </row>
    <row r="1325">
      <c r="A1325" s="61" t="n"/>
      <c r="B1325" s="16" t="n"/>
      <c r="C1325" s="90" t="n"/>
      <c r="D1325" s="90" t="n"/>
      <c r="E1325" s="90" t="n"/>
      <c r="F1325" s="16" t="n"/>
      <c r="G1325" s="16" t="n"/>
      <c r="H1325" s="63" t="n"/>
      <c r="I1325" s="64" t="n"/>
      <c r="J1325" s="16" t="n"/>
      <c r="K1325" s="16" t="n"/>
      <c r="M1325" s="89" t="n"/>
      <c r="N1325" s="1" t="n"/>
      <c r="O1325" s="1" t="n"/>
      <c r="P1325" s="1" t="n"/>
      <c r="Q1325" s="1" t="n"/>
      <c r="R1325" s="1" t="n"/>
    </row>
    <row r="1326">
      <c r="A1326" s="61" t="n"/>
      <c r="B1326" s="16" t="n"/>
      <c r="C1326" s="90" t="n"/>
      <c r="D1326" s="90" t="n"/>
      <c r="E1326" s="90" t="n"/>
      <c r="F1326" s="16" t="n"/>
      <c r="G1326" s="16" t="n"/>
      <c r="H1326" s="63" t="n"/>
      <c r="I1326" s="64" t="n"/>
      <c r="J1326" s="16" t="n"/>
      <c r="K1326" s="16" t="n"/>
      <c r="M1326" s="89" t="n"/>
      <c r="N1326" s="1" t="n"/>
      <c r="O1326" s="1" t="n"/>
      <c r="P1326" s="1" t="n"/>
      <c r="Q1326" s="1" t="n"/>
      <c r="R1326" s="1" t="n"/>
    </row>
    <row r="1327">
      <c r="A1327" s="61" t="n"/>
      <c r="B1327" s="16" t="n"/>
      <c r="C1327" s="90" t="n"/>
      <c r="D1327" s="90" t="n"/>
      <c r="E1327" s="90" t="n"/>
      <c r="F1327" s="16" t="n"/>
      <c r="G1327" s="16" t="n"/>
      <c r="H1327" s="63" t="n"/>
      <c r="I1327" s="64" t="n"/>
      <c r="J1327" s="16" t="n"/>
      <c r="K1327" s="16" t="n"/>
      <c r="M1327" s="89" t="n"/>
      <c r="N1327" s="1" t="n"/>
      <c r="O1327" s="1" t="n"/>
      <c r="P1327" s="1" t="n"/>
      <c r="Q1327" s="1" t="n"/>
      <c r="R1327" s="1" t="n"/>
    </row>
    <row r="1328">
      <c r="A1328" s="61" t="n"/>
      <c r="B1328" s="16" t="n"/>
      <c r="C1328" s="90" t="n"/>
      <c r="D1328" s="90" t="n"/>
      <c r="E1328" s="90" t="n"/>
      <c r="F1328" s="16" t="n"/>
      <c r="G1328" s="16" t="n"/>
      <c r="H1328" s="63" t="n"/>
      <c r="I1328" s="64" t="n"/>
      <c r="J1328" s="16" t="n"/>
      <c r="K1328" s="16" t="n"/>
      <c r="M1328" s="89" t="n"/>
      <c r="N1328" s="1" t="n"/>
      <c r="O1328" s="1" t="n"/>
      <c r="P1328" s="1" t="n"/>
      <c r="Q1328" s="1" t="n"/>
      <c r="R1328" s="1" t="n"/>
    </row>
    <row r="1329">
      <c r="A1329" s="61" t="n"/>
      <c r="B1329" s="16" t="n"/>
      <c r="C1329" s="90" t="n"/>
      <c r="D1329" s="90" t="n"/>
      <c r="E1329" s="90" t="n"/>
      <c r="F1329" s="16" t="n"/>
      <c r="G1329" s="16" t="n"/>
      <c r="H1329" s="63" t="n"/>
      <c r="I1329" s="64" t="n"/>
      <c r="J1329" s="16" t="n"/>
      <c r="K1329" s="16" t="n"/>
      <c r="M1329" s="89" t="n"/>
      <c r="N1329" s="1" t="n"/>
      <c r="O1329" s="1" t="n"/>
      <c r="P1329" s="1" t="n"/>
      <c r="Q1329" s="1" t="n"/>
      <c r="R1329" s="1" t="n"/>
    </row>
    <row r="1330">
      <c r="A1330" s="61" t="n"/>
      <c r="B1330" s="16" t="n"/>
      <c r="C1330" s="90" t="n"/>
      <c r="D1330" s="90" t="n"/>
      <c r="E1330" s="90" t="n"/>
      <c r="F1330" s="16" t="n"/>
      <c r="G1330" s="16" t="n"/>
      <c r="H1330" s="63" t="n"/>
      <c r="I1330" s="64" t="n"/>
      <c r="J1330" s="16" t="n"/>
      <c r="K1330" s="16" t="n"/>
      <c r="M1330" s="89" t="n"/>
      <c r="N1330" s="1" t="n"/>
      <c r="O1330" s="1" t="n"/>
      <c r="P1330" s="1" t="n"/>
      <c r="Q1330" s="1" t="n"/>
      <c r="R1330" s="1" t="n"/>
    </row>
    <row r="1331">
      <c r="A1331" s="61" t="n"/>
      <c r="B1331" s="16" t="n"/>
      <c r="C1331" s="90" t="n"/>
      <c r="D1331" s="90" t="n"/>
      <c r="E1331" s="90" t="n"/>
      <c r="F1331" s="16" t="n"/>
      <c r="G1331" s="16" t="n"/>
      <c r="H1331" s="63" t="n"/>
      <c r="I1331" s="64" t="n"/>
      <c r="J1331" s="16" t="n"/>
      <c r="K1331" s="16" t="n"/>
      <c r="M1331" s="89" t="n"/>
      <c r="N1331" s="1" t="n"/>
      <c r="O1331" s="1" t="n"/>
      <c r="P1331" s="1" t="n"/>
      <c r="Q1331" s="1" t="n"/>
      <c r="R1331" s="1" t="n"/>
    </row>
    <row r="1332">
      <c r="A1332" s="61" t="n"/>
      <c r="B1332" s="16" t="n"/>
      <c r="C1332" s="90" t="n"/>
      <c r="D1332" s="90" t="n"/>
      <c r="E1332" s="90" t="n"/>
      <c r="F1332" s="16" t="n"/>
      <c r="G1332" s="16" t="n"/>
      <c r="H1332" s="63" t="n"/>
      <c r="I1332" s="64" t="n"/>
      <c r="J1332" s="16" t="n"/>
      <c r="K1332" s="16" t="n"/>
      <c r="M1332" s="89" t="n"/>
      <c r="N1332" s="1" t="n"/>
      <c r="O1332" s="1" t="n"/>
      <c r="P1332" s="1" t="n"/>
      <c r="Q1332" s="1" t="n"/>
      <c r="R1332" s="1" t="n"/>
    </row>
    <row r="1333">
      <c r="A1333" s="61" t="n"/>
      <c r="B1333" s="16" t="n"/>
      <c r="C1333" s="90" t="n"/>
      <c r="D1333" s="90" t="n"/>
      <c r="E1333" s="90" t="n"/>
      <c r="F1333" s="16" t="n"/>
      <c r="G1333" s="16" t="n"/>
      <c r="H1333" s="63" t="n"/>
      <c r="I1333" s="64" t="n"/>
      <c r="J1333" s="16" t="n"/>
      <c r="K1333" s="16" t="n"/>
      <c r="M1333" s="89" t="n"/>
      <c r="N1333" s="1" t="n"/>
      <c r="O1333" s="1" t="n"/>
      <c r="P1333" s="1" t="n"/>
      <c r="Q1333" s="1" t="n"/>
      <c r="R1333" s="1" t="n"/>
    </row>
    <row r="1334">
      <c r="A1334" s="61" t="n"/>
      <c r="B1334" s="16" t="n"/>
      <c r="C1334" s="90" t="n"/>
      <c r="D1334" s="90" t="n"/>
      <c r="E1334" s="90" t="n"/>
      <c r="F1334" s="16" t="n"/>
      <c r="G1334" s="16" t="n"/>
      <c r="H1334" s="63" t="n"/>
      <c r="I1334" s="64" t="n"/>
      <c r="J1334" s="16" t="n"/>
      <c r="K1334" s="16" t="n"/>
      <c r="M1334" s="89" t="n"/>
      <c r="N1334" s="1" t="n"/>
      <c r="O1334" s="1" t="n"/>
      <c r="P1334" s="1" t="n"/>
      <c r="Q1334" s="1" t="n"/>
      <c r="R1334" s="1" t="n"/>
    </row>
    <row r="1335">
      <c r="A1335" s="61" t="n"/>
      <c r="B1335" s="16" t="n"/>
      <c r="C1335" s="90" t="n"/>
      <c r="D1335" s="90" t="n"/>
      <c r="E1335" s="90" t="n"/>
      <c r="F1335" s="16" t="n"/>
      <c r="G1335" s="16" t="n"/>
      <c r="H1335" s="63" t="n"/>
      <c r="I1335" s="64" t="n"/>
      <c r="J1335" s="16" t="n"/>
      <c r="K1335" s="16" t="n"/>
      <c r="M1335" s="89" t="n"/>
      <c r="N1335" s="1" t="n"/>
      <c r="O1335" s="1" t="n"/>
      <c r="P1335" s="1" t="n"/>
      <c r="Q1335" s="1" t="n"/>
      <c r="R1335" s="1" t="n"/>
    </row>
    <row r="1336">
      <c r="A1336" s="61" t="n"/>
      <c r="B1336" s="16" t="n"/>
      <c r="C1336" s="90" t="n"/>
      <c r="D1336" s="90" t="n"/>
      <c r="E1336" s="90" t="n"/>
      <c r="F1336" s="16" t="n"/>
      <c r="G1336" s="16" t="n"/>
      <c r="H1336" s="63" t="n"/>
      <c r="I1336" s="64" t="n"/>
      <c r="J1336" s="16" t="n"/>
      <c r="K1336" s="16" t="n"/>
      <c r="M1336" s="89" t="n"/>
      <c r="N1336" s="1" t="n"/>
      <c r="O1336" s="1" t="n"/>
      <c r="P1336" s="1" t="n"/>
      <c r="Q1336" s="1" t="n"/>
      <c r="R1336" s="1" t="n"/>
    </row>
    <row r="1337">
      <c r="A1337" s="61" t="n"/>
      <c r="B1337" s="16" t="n"/>
      <c r="C1337" s="90" t="n"/>
      <c r="D1337" s="90" t="n"/>
      <c r="E1337" s="90" t="n"/>
      <c r="F1337" s="16" t="n"/>
      <c r="G1337" s="16" t="n"/>
      <c r="H1337" s="63" t="n"/>
      <c r="I1337" s="64" t="n"/>
      <c r="J1337" s="16" t="n"/>
      <c r="K1337" s="16" t="n"/>
      <c r="M1337" s="89" t="n"/>
      <c r="N1337" s="1" t="n"/>
      <c r="O1337" s="1" t="n"/>
      <c r="P1337" s="1" t="n"/>
      <c r="Q1337" s="1" t="n"/>
      <c r="R1337" s="1" t="n"/>
    </row>
    <row r="1338">
      <c r="A1338" s="61" t="n"/>
      <c r="B1338" s="16" t="n"/>
      <c r="C1338" s="90" t="n"/>
      <c r="D1338" s="90" t="n"/>
      <c r="E1338" s="90" t="n"/>
      <c r="F1338" s="16" t="n"/>
      <c r="G1338" s="16" t="n"/>
      <c r="H1338" s="63" t="n"/>
      <c r="I1338" s="64" t="n"/>
      <c r="J1338" s="16" t="n"/>
      <c r="K1338" s="16" t="n"/>
      <c r="M1338" s="89" t="n"/>
      <c r="N1338" s="1" t="n"/>
      <c r="O1338" s="1" t="n"/>
      <c r="P1338" s="1" t="n"/>
      <c r="Q1338" s="1" t="n"/>
      <c r="R1338" s="1" t="n"/>
    </row>
    <row r="1339">
      <c r="A1339" s="61" t="n"/>
      <c r="B1339" s="16" t="n"/>
      <c r="C1339" s="90" t="n"/>
      <c r="D1339" s="90" t="n"/>
      <c r="E1339" s="90" t="n"/>
      <c r="F1339" s="16" t="n"/>
      <c r="G1339" s="16" t="n"/>
      <c r="H1339" s="63" t="n"/>
      <c r="I1339" s="64" t="n"/>
      <c r="J1339" s="16" t="n"/>
      <c r="K1339" s="16" t="n"/>
      <c r="M1339" s="89" t="n"/>
      <c r="N1339" s="1" t="n"/>
      <c r="O1339" s="1" t="n"/>
      <c r="P1339" s="1" t="n"/>
      <c r="Q1339" s="1" t="n"/>
      <c r="R1339" s="1" t="n"/>
    </row>
    <row r="1340">
      <c r="A1340" s="61" t="n"/>
      <c r="B1340" s="16" t="n"/>
      <c r="C1340" s="90" t="n"/>
      <c r="D1340" s="90" t="n"/>
      <c r="E1340" s="90" t="n"/>
      <c r="F1340" s="16" t="n"/>
      <c r="G1340" s="16" t="n"/>
      <c r="H1340" s="63" t="n"/>
      <c r="I1340" s="64" t="n"/>
      <c r="J1340" s="16" t="n"/>
      <c r="K1340" s="16" t="n"/>
      <c r="M1340" s="89" t="n"/>
      <c r="N1340" s="1" t="n"/>
      <c r="O1340" s="1" t="n"/>
      <c r="P1340" s="1" t="n"/>
      <c r="Q1340" s="1" t="n"/>
      <c r="R1340" s="1" t="n"/>
    </row>
    <row r="1341">
      <c r="A1341" s="61" t="n"/>
      <c r="B1341" s="16" t="n"/>
      <c r="C1341" s="90" t="n"/>
      <c r="D1341" s="90" t="n"/>
      <c r="E1341" s="90" t="n"/>
      <c r="F1341" s="16" t="n"/>
      <c r="G1341" s="16" t="n"/>
      <c r="H1341" s="63" t="n"/>
      <c r="I1341" s="64" t="n"/>
      <c r="J1341" s="16" t="n"/>
      <c r="K1341" s="16" t="n"/>
      <c r="M1341" s="89" t="n"/>
      <c r="N1341" s="1" t="n"/>
      <c r="O1341" s="1" t="n"/>
      <c r="P1341" s="1" t="n"/>
      <c r="Q1341" s="1" t="n"/>
      <c r="R1341" s="1" t="n"/>
    </row>
    <row r="1342">
      <c r="A1342" s="61" t="n"/>
      <c r="B1342" s="16" t="n"/>
      <c r="C1342" s="90" t="n"/>
      <c r="D1342" s="90" t="n"/>
      <c r="E1342" s="90" t="n"/>
      <c r="F1342" s="16" t="n"/>
      <c r="G1342" s="16" t="n"/>
      <c r="H1342" s="63" t="n"/>
      <c r="I1342" s="64" t="n"/>
      <c r="J1342" s="16" t="n"/>
      <c r="K1342" s="16" t="n"/>
      <c r="M1342" s="89" t="n"/>
      <c r="N1342" s="1" t="n"/>
      <c r="O1342" s="1" t="n"/>
      <c r="P1342" s="1" t="n"/>
      <c r="Q1342" s="1" t="n"/>
      <c r="R1342" s="1" t="n"/>
    </row>
    <row r="1343">
      <c r="A1343" s="61" t="n"/>
      <c r="B1343" s="16" t="n"/>
      <c r="C1343" s="90" t="n"/>
      <c r="D1343" s="90" t="n"/>
      <c r="E1343" s="90" t="n"/>
      <c r="F1343" s="16" t="n"/>
      <c r="G1343" s="16" t="n"/>
      <c r="H1343" s="63" t="n"/>
      <c r="I1343" s="64" t="n"/>
      <c r="J1343" s="16" t="n"/>
      <c r="K1343" s="16" t="n"/>
      <c r="M1343" s="89" t="n"/>
      <c r="N1343" s="1" t="n"/>
      <c r="O1343" s="1" t="n"/>
      <c r="P1343" s="1" t="n"/>
      <c r="Q1343" s="1" t="n"/>
      <c r="R1343" s="1" t="n"/>
    </row>
    <row r="1344">
      <c r="A1344" s="61" t="n"/>
      <c r="B1344" s="16" t="n"/>
      <c r="C1344" s="90" t="n"/>
      <c r="D1344" s="90" t="n"/>
      <c r="E1344" s="90" t="n"/>
      <c r="F1344" s="16" t="n"/>
      <c r="G1344" s="16" t="n"/>
      <c r="H1344" s="63" t="n"/>
      <c r="I1344" s="64" t="n"/>
      <c r="J1344" s="16" t="n"/>
      <c r="K1344" s="16" t="n"/>
      <c r="M1344" s="89" t="n"/>
      <c r="N1344" s="1" t="n"/>
      <c r="O1344" s="1" t="n"/>
      <c r="P1344" s="1" t="n"/>
      <c r="Q1344" s="1" t="n"/>
      <c r="R1344" s="1" t="n"/>
    </row>
    <row r="1345">
      <c r="A1345" s="61" t="n"/>
      <c r="B1345" s="16" t="n"/>
      <c r="C1345" s="90" t="n"/>
      <c r="D1345" s="90" t="n"/>
      <c r="E1345" s="90" t="n"/>
      <c r="F1345" s="16" t="n"/>
      <c r="G1345" s="16" t="n"/>
      <c r="H1345" s="63" t="n"/>
      <c r="I1345" s="64" t="n"/>
      <c r="J1345" s="16" t="n"/>
      <c r="K1345" s="16" t="n"/>
      <c r="M1345" s="89" t="n"/>
      <c r="N1345" s="1" t="n"/>
      <c r="O1345" s="1" t="n"/>
      <c r="P1345" s="1" t="n"/>
      <c r="Q1345" s="1" t="n"/>
      <c r="R1345" s="1" t="n"/>
    </row>
    <row r="1346">
      <c r="A1346" s="61" t="n"/>
      <c r="B1346" s="16" t="n"/>
      <c r="C1346" s="90" t="n"/>
      <c r="D1346" s="90" t="n"/>
      <c r="E1346" s="90" t="n"/>
      <c r="F1346" s="16" t="n"/>
      <c r="G1346" s="16" t="n"/>
      <c r="H1346" s="63" t="n"/>
      <c r="I1346" s="64" t="n"/>
      <c r="J1346" s="16" t="n"/>
      <c r="K1346" s="16" t="n"/>
      <c r="M1346" s="89" t="n"/>
      <c r="N1346" s="1" t="n"/>
      <c r="O1346" s="1" t="n"/>
      <c r="P1346" s="1" t="n"/>
      <c r="Q1346" s="1" t="n"/>
      <c r="R1346" s="1" t="n"/>
    </row>
    <row r="1347">
      <c r="A1347" s="61" t="n"/>
      <c r="B1347" s="16" t="n"/>
      <c r="C1347" s="90" t="n"/>
      <c r="D1347" s="90" t="n"/>
      <c r="E1347" s="90" t="n"/>
      <c r="F1347" s="16" t="n"/>
      <c r="G1347" s="16" t="n"/>
      <c r="H1347" s="63" t="n"/>
      <c r="I1347" s="64" t="n"/>
      <c r="J1347" s="16" t="n"/>
      <c r="K1347" s="16" t="n"/>
      <c r="M1347" s="89" t="n"/>
      <c r="N1347" s="1" t="n"/>
      <c r="O1347" s="1" t="n"/>
      <c r="P1347" s="1" t="n"/>
      <c r="Q1347" s="1" t="n"/>
      <c r="R1347" s="1" t="n"/>
    </row>
    <row r="1348">
      <c r="A1348" s="61" t="n"/>
      <c r="B1348" s="16" t="n"/>
      <c r="C1348" s="90" t="n"/>
      <c r="D1348" s="90" t="n"/>
      <c r="E1348" s="90" t="n"/>
      <c r="F1348" s="16" t="n"/>
      <c r="G1348" s="16" t="n"/>
      <c r="H1348" s="63" t="n"/>
      <c r="I1348" s="64" t="n"/>
      <c r="J1348" s="16" t="n"/>
      <c r="K1348" s="16" t="n"/>
      <c r="M1348" s="89" t="n"/>
      <c r="N1348" s="1" t="n"/>
      <c r="O1348" s="1" t="n"/>
      <c r="P1348" s="1" t="n"/>
      <c r="Q1348" s="1" t="n"/>
      <c r="R1348" s="1" t="n"/>
    </row>
    <row r="1349">
      <c r="A1349" s="61" t="n"/>
      <c r="B1349" s="16" t="n"/>
      <c r="C1349" s="90" t="n"/>
      <c r="D1349" s="90" t="n"/>
      <c r="E1349" s="90" t="n"/>
      <c r="F1349" s="16" t="n"/>
      <c r="G1349" s="16" t="n"/>
      <c r="H1349" s="63" t="n"/>
      <c r="I1349" s="64" t="n"/>
      <c r="J1349" s="16" t="n"/>
      <c r="K1349" s="16" t="n"/>
      <c r="M1349" s="89" t="n"/>
      <c r="N1349" s="1" t="n"/>
      <c r="O1349" s="1" t="n"/>
      <c r="P1349" s="1" t="n"/>
      <c r="Q1349" s="1" t="n"/>
      <c r="R1349" s="1" t="n"/>
    </row>
    <row r="1350">
      <c r="A1350" s="61" t="n"/>
      <c r="B1350" s="16" t="n"/>
      <c r="C1350" s="90" t="n"/>
      <c r="D1350" s="90" t="n"/>
      <c r="E1350" s="90" t="n"/>
      <c r="F1350" s="16" t="n"/>
      <c r="G1350" s="16" t="n"/>
      <c r="H1350" s="63" t="n"/>
      <c r="I1350" s="64" t="n"/>
      <c r="J1350" s="16" t="n"/>
      <c r="K1350" s="16" t="n"/>
      <c r="M1350" s="89" t="n"/>
      <c r="N1350" s="1" t="n"/>
      <c r="O1350" s="1" t="n"/>
      <c r="P1350" s="1" t="n"/>
      <c r="Q1350" s="1" t="n"/>
      <c r="R1350" s="1" t="n"/>
    </row>
    <row r="1351">
      <c r="A1351" s="61" t="n"/>
      <c r="B1351" s="16" t="n"/>
      <c r="C1351" s="90" t="n"/>
      <c r="D1351" s="90" t="n"/>
      <c r="E1351" s="90" t="n"/>
      <c r="F1351" s="16" t="n"/>
      <c r="G1351" s="16" t="n"/>
      <c r="H1351" s="63" t="n"/>
      <c r="I1351" s="64" t="n"/>
      <c r="J1351" s="16" t="n"/>
      <c r="K1351" s="16" t="n"/>
      <c r="M1351" s="89" t="n"/>
      <c r="N1351" s="1" t="n"/>
      <c r="O1351" s="1" t="n"/>
      <c r="P1351" s="1" t="n"/>
      <c r="Q1351" s="1" t="n"/>
      <c r="R1351" s="1" t="n"/>
    </row>
    <row r="1352">
      <c r="A1352" s="61" t="n"/>
      <c r="B1352" s="16" t="n"/>
      <c r="C1352" s="90" t="n"/>
      <c r="D1352" s="90" t="n"/>
      <c r="E1352" s="90" t="n"/>
      <c r="F1352" s="16" t="n"/>
      <c r="G1352" s="16" t="n"/>
      <c r="H1352" s="63" t="n"/>
      <c r="I1352" s="64" t="n"/>
      <c r="J1352" s="16" t="n"/>
      <c r="K1352" s="16" t="n"/>
      <c r="M1352" s="89" t="n"/>
      <c r="N1352" s="1" t="n"/>
      <c r="O1352" s="1" t="n"/>
      <c r="P1352" s="1" t="n"/>
      <c r="Q1352" s="1" t="n"/>
      <c r="R1352" s="1" t="n"/>
    </row>
    <row r="1353">
      <c r="A1353" s="61" t="n"/>
      <c r="B1353" s="16" t="n"/>
      <c r="C1353" s="90" t="n"/>
      <c r="D1353" s="90" t="n"/>
      <c r="E1353" s="90" t="n"/>
      <c r="F1353" s="16" t="n"/>
      <c r="G1353" s="16" t="n"/>
      <c r="H1353" s="63" t="n"/>
      <c r="I1353" s="64" t="n"/>
      <c r="J1353" s="16" t="n"/>
      <c r="K1353" s="16" t="n"/>
      <c r="M1353" s="89" t="n"/>
      <c r="N1353" s="1" t="n"/>
      <c r="O1353" s="1" t="n"/>
      <c r="P1353" s="1" t="n"/>
      <c r="Q1353" s="1" t="n"/>
      <c r="R1353" s="1" t="n"/>
    </row>
    <row r="1354">
      <c r="A1354" s="61" t="n"/>
      <c r="B1354" s="16" t="n"/>
      <c r="C1354" s="90" t="n"/>
      <c r="D1354" s="90" t="n"/>
      <c r="E1354" s="90" t="n"/>
      <c r="F1354" s="16" t="n"/>
      <c r="G1354" s="16" t="n"/>
      <c r="H1354" s="63" t="n"/>
      <c r="I1354" s="64" t="n"/>
      <c r="J1354" s="16" t="n"/>
      <c r="K1354" s="16" t="n"/>
      <c r="M1354" s="89" t="n"/>
      <c r="N1354" s="1" t="n"/>
      <c r="O1354" s="1" t="n"/>
      <c r="P1354" s="1" t="n"/>
      <c r="Q1354" s="1" t="n"/>
      <c r="R1354" s="1" t="n"/>
    </row>
    <row r="1355">
      <c r="A1355" s="61" t="n"/>
      <c r="B1355" s="16" t="n"/>
      <c r="C1355" s="90" t="n"/>
      <c r="D1355" s="90" t="n"/>
      <c r="E1355" s="90" t="n"/>
      <c r="F1355" s="16" t="n"/>
      <c r="G1355" s="16" t="n"/>
      <c r="H1355" s="63" t="n"/>
      <c r="I1355" s="64" t="n"/>
      <c r="J1355" s="16" t="n"/>
      <c r="K1355" s="16" t="n"/>
      <c r="M1355" s="89" t="n"/>
      <c r="N1355" s="1" t="n"/>
      <c r="O1355" s="1" t="n"/>
      <c r="P1355" s="1" t="n"/>
      <c r="Q1355" s="1" t="n"/>
      <c r="R1355" s="1" t="n"/>
    </row>
    <row r="1356">
      <c r="A1356" s="61" t="n"/>
      <c r="B1356" s="16" t="n"/>
      <c r="C1356" s="90" t="n"/>
      <c r="D1356" s="90" t="n"/>
      <c r="E1356" s="90" t="n"/>
      <c r="F1356" s="16" t="n"/>
      <c r="G1356" s="16" t="n"/>
      <c r="H1356" s="63" t="n"/>
      <c r="I1356" s="64" t="n"/>
      <c r="J1356" s="16" t="n"/>
      <c r="K1356" s="16" t="n"/>
      <c r="M1356" s="89" t="n"/>
      <c r="N1356" s="1" t="n"/>
      <c r="O1356" s="1" t="n"/>
      <c r="P1356" s="1" t="n"/>
      <c r="Q1356" s="1" t="n"/>
      <c r="R1356" s="1" t="n"/>
    </row>
    <row r="1357">
      <c r="A1357" s="61" t="n"/>
      <c r="B1357" s="16" t="n"/>
      <c r="C1357" s="90" t="n"/>
      <c r="D1357" s="90" t="n"/>
      <c r="E1357" s="90" t="n"/>
      <c r="F1357" s="16" t="n"/>
      <c r="G1357" s="16" t="n"/>
      <c r="H1357" s="63" t="n"/>
      <c r="I1357" s="64" t="n"/>
      <c r="J1357" s="16" t="n"/>
      <c r="K1357" s="16" t="n"/>
      <c r="M1357" s="89" t="n"/>
      <c r="N1357" s="1" t="n"/>
      <c r="O1357" s="1" t="n"/>
      <c r="P1357" s="1" t="n"/>
      <c r="Q1357" s="1" t="n"/>
      <c r="R1357" s="1" t="n"/>
    </row>
    <row r="1358">
      <c r="A1358" s="61" t="n"/>
      <c r="B1358" s="16" t="n"/>
      <c r="C1358" s="90" t="n"/>
      <c r="D1358" s="90" t="n"/>
      <c r="E1358" s="90" t="n"/>
      <c r="F1358" s="16" t="n"/>
      <c r="G1358" s="16" t="n"/>
      <c r="H1358" s="63" t="n"/>
      <c r="I1358" s="64" t="n"/>
      <c r="J1358" s="16" t="n"/>
      <c r="K1358" s="16" t="n"/>
      <c r="M1358" s="89" t="n"/>
      <c r="N1358" s="1" t="n"/>
      <c r="O1358" s="1" t="n"/>
      <c r="P1358" s="1" t="n"/>
      <c r="Q1358" s="1" t="n"/>
      <c r="R1358" s="1" t="n"/>
    </row>
    <row r="1359">
      <c r="A1359" s="61" t="n"/>
      <c r="B1359" s="16" t="n"/>
      <c r="C1359" s="90" t="n"/>
      <c r="D1359" s="90" t="n"/>
      <c r="E1359" s="90" t="n"/>
      <c r="F1359" s="16" t="n"/>
      <c r="G1359" s="16" t="n"/>
      <c r="H1359" s="63" t="n"/>
      <c r="I1359" s="64" t="n"/>
      <c r="J1359" s="16" t="n"/>
      <c r="K1359" s="16" t="n"/>
      <c r="M1359" s="89" t="n"/>
      <c r="N1359" s="1" t="n"/>
      <c r="O1359" s="1" t="n"/>
      <c r="P1359" s="1" t="n"/>
      <c r="Q1359" s="1" t="n"/>
      <c r="R1359" s="1" t="n"/>
    </row>
    <row r="1360">
      <c r="A1360" s="61" t="n"/>
      <c r="B1360" s="16" t="n"/>
      <c r="C1360" s="90" t="n"/>
      <c r="D1360" s="90" t="n"/>
      <c r="E1360" s="90" t="n"/>
      <c r="F1360" s="16" t="n"/>
      <c r="G1360" s="16" t="n"/>
      <c r="H1360" s="63" t="n"/>
      <c r="I1360" s="64" t="n"/>
      <c r="J1360" s="16" t="n"/>
      <c r="K1360" s="16" t="n"/>
      <c r="M1360" s="89" t="n"/>
      <c r="N1360" s="1" t="n"/>
      <c r="O1360" s="1" t="n"/>
      <c r="P1360" s="1" t="n"/>
      <c r="Q1360" s="1" t="n"/>
      <c r="R1360" s="1" t="n"/>
    </row>
    <row r="1361">
      <c r="A1361" s="61" t="n"/>
      <c r="B1361" s="16" t="n"/>
      <c r="C1361" s="90" t="n"/>
      <c r="D1361" s="90" t="n"/>
      <c r="E1361" s="90" t="n"/>
      <c r="F1361" s="16" t="n"/>
      <c r="G1361" s="16" t="n"/>
      <c r="H1361" s="63" t="n"/>
      <c r="I1361" s="64" t="n"/>
      <c r="J1361" s="16" t="n"/>
      <c r="K1361" s="16" t="n"/>
      <c r="M1361" s="89" t="n"/>
      <c r="N1361" s="1" t="n"/>
      <c r="O1361" s="1" t="n"/>
      <c r="P1361" s="1" t="n"/>
      <c r="Q1361" s="1" t="n"/>
      <c r="R1361" s="1" t="n"/>
    </row>
    <row r="1362">
      <c r="A1362" s="61" t="n"/>
      <c r="B1362" s="16" t="n"/>
      <c r="C1362" s="90" t="n"/>
      <c r="D1362" s="90" t="n"/>
      <c r="E1362" s="90" t="n"/>
      <c r="F1362" s="16" t="n"/>
      <c r="G1362" s="16" t="n"/>
      <c r="H1362" s="63" t="n"/>
      <c r="I1362" s="64" t="n"/>
      <c r="J1362" s="16" t="n"/>
      <c r="K1362" s="16" t="n"/>
      <c r="M1362" s="89" t="n"/>
      <c r="N1362" s="1" t="n"/>
      <c r="O1362" s="1" t="n"/>
      <c r="P1362" s="1" t="n"/>
      <c r="Q1362" s="1" t="n"/>
      <c r="R1362" s="1" t="n"/>
    </row>
    <row r="1363">
      <c r="A1363" s="61" t="n"/>
      <c r="B1363" s="16" t="n"/>
      <c r="C1363" s="90" t="n"/>
      <c r="D1363" s="90" t="n"/>
      <c r="E1363" s="90" t="n"/>
      <c r="F1363" s="16" t="n"/>
      <c r="G1363" s="16" t="n"/>
      <c r="H1363" s="63" t="n"/>
      <c r="I1363" s="64" t="n"/>
      <c r="J1363" s="16" t="n"/>
      <c r="K1363" s="16" t="n"/>
      <c r="M1363" s="89" t="n"/>
      <c r="N1363" s="1" t="n"/>
      <c r="O1363" s="1" t="n"/>
      <c r="P1363" s="1" t="n"/>
      <c r="Q1363" s="1" t="n"/>
      <c r="R1363" s="1" t="n"/>
    </row>
    <row r="1364">
      <c r="A1364" s="61" t="n"/>
      <c r="B1364" s="16" t="n"/>
      <c r="C1364" s="90" t="n"/>
      <c r="D1364" s="90" t="n"/>
      <c r="E1364" s="90" t="n"/>
      <c r="F1364" s="16" t="n"/>
      <c r="G1364" s="16" t="n"/>
      <c r="H1364" s="63" t="n"/>
      <c r="I1364" s="64" t="n"/>
      <c r="J1364" s="16" t="n"/>
      <c r="K1364" s="16" t="n"/>
      <c r="M1364" s="89" t="n"/>
      <c r="N1364" s="1" t="n"/>
      <c r="O1364" s="1" t="n"/>
      <c r="P1364" s="1" t="n"/>
      <c r="Q1364" s="1" t="n"/>
      <c r="R1364" s="1" t="n"/>
    </row>
    <row r="1365">
      <c r="A1365" s="61" t="n"/>
      <c r="B1365" s="16" t="n"/>
      <c r="C1365" s="90" t="n"/>
      <c r="D1365" s="90" t="n"/>
      <c r="E1365" s="90" t="n"/>
      <c r="F1365" s="16" t="n"/>
      <c r="G1365" s="16" t="n"/>
      <c r="H1365" s="63" t="n"/>
      <c r="I1365" s="64" t="n"/>
      <c r="J1365" s="16" t="n"/>
      <c r="K1365" s="16" t="n"/>
      <c r="M1365" s="89" t="n"/>
      <c r="N1365" s="1" t="n"/>
      <c r="O1365" s="1" t="n"/>
      <c r="P1365" s="1" t="n"/>
      <c r="Q1365" s="1" t="n"/>
      <c r="R1365" s="1" t="n"/>
    </row>
    <row r="1366">
      <c r="A1366" s="61" t="n"/>
      <c r="B1366" s="16" t="n"/>
      <c r="C1366" s="90" t="n"/>
      <c r="D1366" s="90" t="n"/>
      <c r="E1366" s="90" t="n"/>
      <c r="F1366" s="16" t="n"/>
      <c r="G1366" s="16" t="n"/>
      <c r="H1366" s="63" t="n"/>
      <c r="I1366" s="64" t="n"/>
      <c r="J1366" s="16" t="n"/>
      <c r="K1366" s="16" t="n"/>
      <c r="M1366" s="89" t="n"/>
      <c r="N1366" s="1" t="n"/>
      <c r="O1366" s="1" t="n"/>
      <c r="P1366" s="1" t="n"/>
      <c r="Q1366" s="1" t="n"/>
      <c r="R1366" s="1" t="n"/>
    </row>
    <row r="1367">
      <c r="A1367" s="61" t="n"/>
      <c r="B1367" s="16" t="n"/>
      <c r="C1367" s="90" t="n"/>
      <c r="D1367" s="90" t="n"/>
      <c r="E1367" s="90" t="n"/>
      <c r="F1367" s="16" t="n"/>
      <c r="G1367" s="16" t="n"/>
      <c r="H1367" s="63" t="n"/>
      <c r="I1367" s="64" t="n"/>
      <c r="J1367" s="16" t="n"/>
      <c r="K1367" s="16" t="n"/>
      <c r="M1367" s="89" t="n"/>
      <c r="N1367" s="1" t="n"/>
      <c r="O1367" s="1" t="n"/>
      <c r="P1367" s="1" t="n"/>
      <c r="Q1367" s="1" t="n"/>
      <c r="R1367" s="1" t="n"/>
    </row>
    <row r="1368">
      <c r="A1368" s="61" t="n"/>
      <c r="B1368" s="16" t="n"/>
      <c r="C1368" s="90" t="n"/>
      <c r="D1368" s="90" t="n"/>
      <c r="E1368" s="90" t="n"/>
      <c r="F1368" s="16" t="n"/>
      <c r="G1368" s="16" t="n"/>
      <c r="H1368" s="63" t="n"/>
      <c r="I1368" s="64" t="n"/>
      <c r="J1368" s="16" t="n"/>
      <c r="K1368" s="16" t="n"/>
      <c r="M1368" s="89" t="n"/>
      <c r="N1368" s="1" t="n"/>
      <c r="O1368" s="1" t="n"/>
      <c r="P1368" s="1" t="n"/>
      <c r="Q1368" s="1" t="n"/>
      <c r="R1368" s="1" t="n"/>
    </row>
    <row r="1369">
      <c r="A1369" s="61" t="n"/>
      <c r="B1369" s="16" t="n"/>
      <c r="C1369" s="90" t="n"/>
      <c r="D1369" s="90" t="n"/>
      <c r="E1369" s="90" t="n"/>
      <c r="F1369" s="16" t="n"/>
      <c r="G1369" s="16" t="n"/>
      <c r="H1369" s="63" t="n"/>
      <c r="I1369" s="64" t="n"/>
      <c r="J1369" s="16" t="n"/>
      <c r="K1369" s="16" t="n"/>
      <c r="M1369" s="89" t="n"/>
      <c r="N1369" s="1" t="n"/>
      <c r="O1369" s="1" t="n"/>
      <c r="P1369" s="1" t="n"/>
      <c r="Q1369" s="1" t="n"/>
      <c r="R1369" s="1" t="n"/>
    </row>
    <row r="1370">
      <c r="A1370" s="61" t="n"/>
      <c r="B1370" s="16" t="n"/>
      <c r="C1370" s="90" t="n"/>
      <c r="D1370" s="90" t="n"/>
      <c r="E1370" s="90" t="n"/>
      <c r="F1370" s="16" t="n"/>
      <c r="G1370" s="16" t="n"/>
      <c r="H1370" s="63" t="n"/>
      <c r="I1370" s="64" t="n"/>
      <c r="J1370" s="16" t="n"/>
      <c r="K1370" s="16" t="n"/>
      <c r="M1370" s="89" t="n"/>
      <c r="N1370" s="1" t="n"/>
      <c r="O1370" s="1" t="n"/>
      <c r="P1370" s="1" t="n"/>
      <c r="Q1370" s="1" t="n"/>
      <c r="R1370" s="1" t="n"/>
    </row>
    <row r="1371">
      <c r="A1371" s="61" t="n"/>
      <c r="B1371" s="16" t="n"/>
      <c r="C1371" s="90" t="n"/>
      <c r="D1371" s="90" t="n"/>
      <c r="E1371" s="90" t="n"/>
      <c r="F1371" s="16" t="n"/>
      <c r="G1371" s="16" t="n"/>
      <c r="H1371" s="63" t="n"/>
      <c r="I1371" s="64" t="n"/>
      <c r="J1371" s="16" t="n"/>
      <c r="K1371" s="16" t="n"/>
      <c r="M1371" s="89" t="n"/>
      <c r="N1371" s="1" t="n"/>
      <c r="O1371" s="1" t="n"/>
      <c r="P1371" s="1" t="n"/>
      <c r="Q1371" s="1" t="n"/>
      <c r="R1371" s="1" t="n"/>
    </row>
    <row r="1372">
      <c r="A1372" s="61" t="n"/>
      <c r="B1372" s="16" t="n"/>
      <c r="C1372" s="90" t="n"/>
      <c r="D1372" s="90" t="n"/>
      <c r="E1372" s="90" t="n"/>
      <c r="F1372" s="16" t="n"/>
      <c r="G1372" s="16" t="n"/>
      <c r="H1372" s="63" t="n"/>
      <c r="I1372" s="64" t="n"/>
      <c r="J1372" s="16" t="n"/>
      <c r="K1372" s="16" t="n"/>
      <c r="M1372" s="89" t="n"/>
      <c r="N1372" s="1" t="n"/>
      <c r="O1372" s="1" t="n"/>
      <c r="P1372" s="1" t="n"/>
      <c r="Q1372" s="1" t="n"/>
      <c r="R1372" s="1" t="n"/>
    </row>
    <row r="1373">
      <c r="A1373" s="61" t="n"/>
      <c r="B1373" s="16" t="n"/>
      <c r="C1373" s="90" t="n"/>
      <c r="D1373" s="90" t="n"/>
      <c r="E1373" s="90" t="n"/>
      <c r="F1373" s="16" t="n"/>
      <c r="G1373" s="16" t="n"/>
      <c r="H1373" s="63" t="n"/>
      <c r="I1373" s="64" t="n"/>
      <c r="J1373" s="16" t="n"/>
      <c r="K1373" s="16" t="n"/>
      <c r="M1373" s="89" t="n"/>
      <c r="N1373" s="1" t="n"/>
      <c r="O1373" s="1" t="n"/>
      <c r="P1373" s="1" t="n"/>
      <c r="Q1373" s="1" t="n"/>
      <c r="R1373" s="1" t="n"/>
    </row>
    <row r="1374">
      <c r="A1374" s="61" t="n"/>
      <c r="B1374" s="16" t="n"/>
      <c r="C1374" s="90" t="n"/>
      <c r="D1374" s="90" t="n"/>
      <c r="E1374" s="90" t="n"/>
      <c r="F1374" s="16" t="n"/>
      <c r="G1374" s="16" t="n"/>
      <c r="H1374" s="63" t="n"/>
      <c r="I1374" s="64" t="n"/>
      <c r="J1374" s="16" t="n"/>
      <c r="K1374" s="16" t="n"/>
      <c r="M1374" s="89" t="n"/>
      <c r="N1374" s="1" t="n"/>
      <c r="O1374" s="1" t="n"/>
      <c r="P1374" s="1" t="n"/>
      <c r="Q1374" s="1" t="n"/>
      <c r="R1374" s="1" t="n"/>
    </row>
    <row r="1375">
      <c r="A1375" s="61" t="n"/>
      <c r="B1375" s="16" t="n"/>
      <c r="C1375" s="90" t="n"/>
      <c r="D1375" s="90" t="n"/>
      <c r="E1375" s="90" t="n"/>
      <c r="F1375" s="16" t="n"/>
      <c r="G1375" s="16" t="n"/>
      <c r="H1375" s="63" t="n"/>
      <c r="I1375" s="64" t="n"/>
      <c r="J1375" s="16" t="n"/>
      <c r="K1375" s="16" t="n"/>
      <c r="M1375" s="89" t="n"/>
      <c r="N1375" s="1" t="n"/>
      <c r="O1375" s="1" t="n"/>
      <c r="P1375" s="1" t="n"/>
      <c r="Q1375" s="1" t="n"/>
      <c r="R1375" s="1" t="n"/>
    </row>
    <row r="1376">
      <c r="A1376" s="61" t="n"/>
      <c r="B1376" s="16" t="n"/>
      <c r="C1376" s="90" t="n"/>
      <c r="D1376" s="90" t="n"/>
      <c r="E1376" s="90" t="n"/>
      <c r="F1376" s="16" t="n"/>
      <c r="G1376" s="16" t="n"/>
      <c r="H1376" s="63" t="n"/>
      <c r="I1376" s="64" t="n"/>
      <c r="J1376" s="16" t="n"/>
      <c r="K1376" s="16" t="n"/>
      <c r="M1376" s="89" t="n"/>
      <c r="N1376" s="1" t="n"/>
      <c r="O1376" s="1" t="n"/>
      <c r="P1376" s="1" t="n"/>
      <c r="Q1376" s="1" t="n"/>
      <c r="R1376" s="1" t="n"/>
    </row>
    <row r="1377">
      <c r="A1377" s="61" t="n"/>
      <c r="B1377" s="16" t="n"/>
      <c r="C1377" s="90" t="n"/>
      <c r="D1377" s="90" t="n"/>
      <c r="E1377" s="90" t="n"/>
      <c r="F1377" s="16" t="n"/>
      <c r="G1377" s="16" t="n"/>
      <c r="H1377" s="63" t="n"/>
      <c r="I1377" s="64" t="n"/>
      <c r="J1377" s="16" t="n"/>
      <c r="K1377" s="16" t="n"/>
      <c r="M1377" s="89" t="n"/>
      <c r="N1377" s="1" t="n"/>
      <c r="O1377" s="1" t="n"/>
      <c r="P1377" s="1" t="n"/>
      <c r="Q1377" s="1" t="n"/>
      <c r="R1377" s="1" t="n"/>
    </row>
    <row r="1378">
      <c r="A1378" s="61" t="n"/>
      <c r="B1378" s="16" t="n"/>
      <c r="C1378" s="90" t="n"/>
      <c r="D1378" s="90" t="n"/>
      <c r="E1378" s="90" t="n"/>
      <c r="F1378" s="16" t="n"/>
      <c r="G1378" s="16" t="n"/>
      <c r="H1378" s="63" t="n"/>
      <c r="I1378" s="64" t="n"/>
      <c r="J1378" s="16" t="n"/>
      <c r="K1378" s="16" t="n"/>
      <c r="M1378" s="89" t="n"/>
      <c r="N1378" s="1" t="n"/>
      <c r="O1378" s="1" t="n"/>
      <c r="P1378" s="1" t="n"/>
      <c r="Q1378" s="1" t="n"/>
      <c r="R1378" s="1" t="n"/>
    </row>
    <row r="1379">
      <c r="A1379" s="61" t="n"/>
      <c r="B1379" s="16" t="n"/>
      <c r="C1379" s="90" t="n"/>
      <c r="D1379" s="90" t="n"/>
      <c r="E1379" s="90" t="n"/>
      <c r="F1379" s="16" t="n"/>
      <c r="G1379" s="16" t="n"/>
      <c r="H1379" s="63" t="n"/>
      <c r="I1379" s="64" t="n"/>
      <c r="J1379" s="16" t="n"/>
      <c r="K1379" s="16" t="n"/>
      <c r="M1379" s="89" t="n"/>
      <c r="N1379" s="1" t="n"/>
      <c r="O1379" s="1" t="n"/>
      <c r="P1379" s="1" t="n"/>
      <c r="Q1379" s="1" t="n"/>
      <c r="R1379" s="1" t="n"/>
    </row>
    <row r="1380">
      <c r="A1380" s="61" t="n"/>
      <c r="B1380" s="16" t="n"/>
      <c r="C1380" s="90" t="n"/>
      <c r="D1380" s="90" t="n"/>
      <c r="E1380" s="90" t="n"/>
      <c r="F1380" s="16" t="n"/>
      <c r="G1380" s="16" t="n"/>
      <c r="H1380" s="63" t="n"/>
      <c r="I1380" s="64" t="n"/>
      <c r="J1380" s="16" t="n"/>
      <c r="K1380" s="16" t="n"/>
      <c r="M1380" s="89" t="n"/>
      <c r="N1380" s="1" t="n"/>
      <c r="O1380" s="1" t="n"/>
      <c r="P1380" s="1" t="n"/>
      <c r="Q1380" s="1" t="n"/>
      <c r="R1380" s="1" t="n"/>
    </row>
    <row r="1381">
      <c r="A1381" s="61" t="n"/>
      <c r="B1381" s="16" t="n"/>
      <c r="C1381" s="90" t="n"/>
      <c r="D1381" s="90" t="n"/>
      <c r="E1381" s="90" t="n"/>
      <c r="F1381" s="16" t="n"/>
      <c r="G1381" s="16" t="n"/>
      <c r="H1381" s="63" t="n"/>
      <c r="I1381" s="64" t="n"/>
      <c r="J1381" s="16" t="n"/>
      <c r="K1381" s="16" t="n"/>
      <c r="M1381" s="89" t="n"/>
      <c r="N1381" s="1" t="n"/>
      <c r="O1381" s="1" t="n"/>
      <c r="P1381" s="1" t="n"/>
      <c r="Q1381" s="1" t="n"/>
      <c r="R1381" s="1" t="n"/>
    </row>
    <row r="1382">
      <c r="A1382" s="61" t="n"/>
      <c r="B1382" s="16" t="n"/>
      <c r="C1382" s="90" t="n"/>
      <c r="D1382" s="90" t="n"/>
      <c r="E1382" s="90" t="n"/>
      <c r="F1382" s="16" t="n"/>
      <c r="G1382" s="16" t="n"/>
      <c r="H1382" s="63" t="n"/>
      <c r="I1382" s="64" t="n"/>
      <c r="J1382" s="16" t="n"/>
      <c r="K1382" s="16" t="n"/>
      <c r="M1382" s="89" t="n"/>
      <c r="N1382" s="1" t="n"/>
      <c r="O1382" s="1" t="n"/>
      <c r="P1382" s="1" t="n"/>
      <c r="Q1382" s="1" t="n"/>
      <c r="R1382" s="1" t="n"/>
    </row>
    <row r="1383">
      <c r="A1383" s="61" t="n"/>
      <c r="B1383" s="16" t="n"/>
      <c r="C1383" s="90" t="n"/>
      <c r="D1383" s="90" t="n"/>
      <c r="E1383" s="90" t="n"/>
      <c r="F1383" s="16" t="n"/>
      <c r="G1383" s="16" t="n"/>
      <c r="H1383" s="63" t="n"/>
      <c r="I1383" s="64" t="n"/>
      <c r="J1383" s="16" t="n"/>
      <c r="K1383" s="16" t="n"/>
      <c r="M1383" s="89" t="n"/>
      <c r="N1383" s="1" t="n"/>
      <c r="O1383" s="1" t="n"/>
      <c r="P1383" s="1" t="n"/>
      <c r="Q1383" s="1" t="n"/>
      <c r="R1383" s="1" t="n"/>
    </row>
    <row r="1384">
      <c r="A1384" s="61" t="n"/>
      <c r="B1384" s="16" t="n"/>
      <c r="C1384" s="90" t="n"/>
      <c r="D1384" s="90" t="n"/>
      <c r="E1384" s="90" t="n"/>
      <c r="F1384" s="16" t="n"/>
      <c r="G1384" s="16" t="n"/>
      <c r="H1384" s="63" t="n"/>
      <c r="I1384" s="64" t="n"/>
      <c r="J1384" s="16" t="n"/>
      <c r="K1384" s="16" t="n"/>
      <c r="M1384" s="89" t="n"/>
      <c r="N1384" s="1" t="n"/>
      <c r="O1384" s="1" t="n"/>
      <c r="P1384" s="1" t="n"/>
      <c r="Q1384" s="1" t="n"/>
      <c r="R1384" s="1" t="n"/>
    </row>
    <row r="1385">
      <c r="A1385" s="61" t="n"/>
      <c r="B1385" s="16" t="n"/>
      <c r="C1385" s="90" t="n"/>
      <c r="D1385" s="90" t="n"/>
      <c r="E1385" s="90" t="n"/>
      <c r="F1385" s="16" t="n"/>
      <c r="G1385" s="16" t="n"/>
      <c r="H1385" s="63" t="n"/>
      <c r="I1385" s="64" t="n"/>
      <c r="J1385" s="16" t="n"/>
      <c r="K1385" s="16" t="n"/>
      <c r="M1385" s="89" t="n"/>
      <c r="N1385" s="1" t="n"/>
      <c r="O1385" s="1" t="n"/>
      <c r="P1385" s="1" t="n"/>
      <c r="Q1385" s="1" t="n"/>
      <c r="R1385" s="1" t="n"/>
    </row>
    <row r="1386">
      <c r="A1386" s="61" t="n"/>
      <c r="B1386" s="16" t="n"/>
      <c r="C1386" s="90" t="n"/>
      <c r="D1386" s="90" t="n"/>
      <c r="E1386" s="90" t="n"/>
      <c r="F1386" s="16" t="n"/>
      <c r="G1386" s="16" t="n"/>
      <c r="H1386" s="63" t="n"/>
      <c r="I1386" s="64" t="n"/>
      <c r="J1386" s="16" t="n"/>
      <c r="K1386" s="16" t="n"/>
      <c r="M1386" s="89" t="n"/>
      <c r="N1386" s="1" t="n"/>
      <c r="O1386" s="1" t="n"/>
      <c r="P1386" s="1" t="n"/>
      <c r="Q1386" s="1" t="n"/>
      <c r="R1386" s="1" t="n"/>
    </row>
    <row r="1387">
      <c r="A1387" s="61" t="n"/>
      <c r="B1387" s="16" t="n"/>
      <c r="C1387" s="90" t="n"/>
      <c r="D1387" s="90" t="n"/>
      <c r="E1387" s="90" t="n"/>
      <c r="F1387" s="16" t="n"/>
      <c r="G1387" s="16" t="n"/>
      <c r="H1387" s="63" t="n"/>
      <c r="I1387" s="64" t="n"/>
      <c r="J1387" s="16" t="n"/>
      <c r="K1387" s="16" t="n"/>
      <c r="M1387" s="89" t="n"/>
      <c r="N1387" s="1" t="n"/>
      <c r="O1387" s="1" t="n"/>
      <c r="P1387" s="1" t="n"/>
      <c r="Q1387" s="1" t="n"/>
      <c r="R1387" s="1" t="n"/>
    </row>
    <row r="1388">
      <c r="A1388" s="61" t="n"/>
      <c r="B1388" s="16" t="n"/>
      <c r="C1388" s="90" t="n"/>
      <c r="D1388" s="90" t="n"/>
      <c r="E1388" s="90" t="n"/>
      <c r="F1388" s="16" t="n"/>
      <c r="G1388" s="16" t="n"/>
      <c r="H1388" s="63" t="n"/>
      <c r="I1388" s="64" t="n"/>
      <c r="J1388" s="16" t="n"/>
      <c r="K1388" s="16" t="n"/>
      <c r="M1388" s="89" t="n"/>
      <c r="N1388" s="1" t="n"/>
      <c r="O1388" s="1" t="n"/>
      <c r="P1388" s="1" t="n"/>
      <c r="Q1388" s="1" t="n"/>
      <c r="R1388" s="1" t="n"/>
    </row>
    <row r="1389">
      <c r="A1389" s="61" t="n"/>
      <c r="B1389" s="16" t="n"/>
      <c r="C1389" s="90" t="n"/>
      <c r="D1389" s="90" t="n"/>
      <c r="E1389" s="90" t="n"/>
      <c r="F1389" s="16" t="n"/>
      <c r="G1389" s="16" t="n"/>
      <c r="H1389" s="63" t="n"/>
      <c r="I1389" s="64" t="n"/>
      <c r="J1389" s="16" t="n"/>
      <c r="K1389" s="16" t="n"/>
      <c r="M1389" s="89" t="n"/>
      <c r="N1389" s="1" t="n"/>
      <c r="O1389" s="1" t="n"/>
      <c r="P1389" s="1" t="n"/>
      <c r="Q1389" s="1" t="n"/>
      <c r="R1389" s="1" t="n"/>
    </row>
    <row r="1390">
      <c r="A1390" s="61" t="n"/>
      <c r="B1390" s="16" t="n"/>
      <c r="C1390" s="90" t="n"/>
      <c r="D1390" s="90" t="n"/>
      <c r="E1390" s="90" t="n"/>
      <c r="F1390" s="16" t="n"/>
      <c r="G1390" s="16" t="n"/>
      <c r="H1390" s="63" t="n"/>
      <c r="I1390" s="64" t="n"/>
      <c r="J1390" s="16" t="n"/>
      <c r="K1390" s="16" t="n"/>
      <c r="M1390" s="89" t="n"/>
      <c r="N1390" s="1" t="n"/>
      <c r="O1390" s="1" t="n"/>
      <c r="P1390" s="1" t="n"/>
      <c r="Q1390" s="1" t="n"/>
      <c r="R1390" s="1" t="n"/>
    </row>
    <row r="1391">
      <c r="A1391" s="61" t="n"/>
      <c r="B1391" s="16" t="n"/>
      <c r="C1391" s="90" t="n"/>
      <c r="D1391" s="90" t="n"/>
      <c r="E1391" s="90" t="n"/>
      <c r="F1391" s="16" t="n"/>
      <c r="G1391" s="16" t="n"/>
      <c r="H1391" s="63" t="n"/>
      <c r="I1391" s="64" t="n"/>
      <c r="J1391" s="16" t="n"/>
      <c r="K1391" s="16" t="n"/>
      <c r="M1391" s="89" t="n"/>
      <c r="N1391" s="1" t="n"/>
      <c r="O1391" s="1" t="n"/>
      <c r="P1391" s="1" t="n"/>
      <c r="Q1391" s="1" t="n"/>
      <c r="R1391" s="1" t="n"/>
    </row>
    <row r="1392">
      <c r="A1392" s="61" t="n"/>
      <c r="B1392" s="16" t="n"/>
      <c r="C1392" s="90" t="n"/>
      <c r="D1392" s="90" t="n"/>
      <c r="E1392" s="90" t="n"/>
      <c r="F1392" s="16" t="n"/>
      <c r="G1392" s="16" t="n"/>
      <c r="H1392" s="63" t="n"/>
      <c r="I1392" s="64" t="n"/>
      <c r="J1392" s="16" t="n"/>
      <c r="K1392" s="16" t="n"/>
      <c r="M1392" s="89" t="n"/>
      <c r="N1392" s="1" t="n"/>
      <c r="O1392" s="1" t="n"/>
      <c r="P1392" s="1" t="n"/>
      <c r="Q1392" s="1" t="n"/>
      <c r="R1392" s="1" t="n"/>
    </row>
    <row r="1393">
      <c r="A1393" s="61" t="n"/>
      <c r="B1393" s="16" t="n"/>
      <c r="C1393" s="90" t="n"/>
      <c r="D1393" s="90" t="n"/>
      <c r="E1393" s="90" t="n"/>
      <c r="F1393" s="16" t="n"/>
      <c r="G1393" s="16" t="n"/>
      <c r="H1393" s="63" t="n"/>
      <c r="I1393" s="64" t="n"/>
      <c r="J1393" s="16" t="n"/>
      <c r="K1393" s="16" t="n"/>
      <c r="M1393" s="89" t="n"/>
      <c r="N1393" s="1" t="n"/>
      <c r="O1393" s="1" t="n"/>
      <c r="P1393" s="1" t="n"/>
      <c r="Q1393" s="1" t="n"/>
      <c r="R1393" s="1" t="n"/>
    </row>
    <row r="1394">
      <c r="A1394" s="61" t="n"/>
      <c r="B1394" s="16" t="n"/>
      <c r="C1394" s="90" t="n"/>
      <c r="D1394" s="90" t="n"/>
      <c r="E1394" s="90" t="n"/>
      <c r="F1394" s="16" t="n"/>
      <c r="G1394" s="16" t="n"/>
      <c r="H1394" s="63" t="n"/>
      <c r="I1394" s="64" t="n"/>
      <c r="J1394" s="16" t="n"/>
      <c r="K1394" s="16" t="n"/>
      <c r="M1394" s="89" t="n"/>
      <c r="N1394" s="1" t="n"/>
      <c r="O1394" s="1" t="n"/>
      <c r="P1394" s="1" t="n"/>
      <c r="Q1394" s="1" t="n"/>
      <c r="R1394" s="1" t="n"/>
    </row>
    <row r="1395">
      <c r="A1395" s="61" t="n"/>
      <c r="B1395" s="16" t="n"/>
      <c r="C1395" s="90" t="n"/>
      <c r="D1395" s="90" t="n"/>
      <c r="E1395" s="90" t="n"/>
      <c r="F1395" s="16" t="n"/>
      <c r="G1395" s="16" t="n"/>
      <c r="H1395" s="63" t="n"/>
      <c r="I1395" s="64" t="n"/>
      <c r="J1395" s="16" t="n"/>
      <c r="K1395" s="16" t="n"/>
      <c r="M1395" s="89" t="n"/>
      <c r="N1395" s="1" t="n"/>
      <c r="O1395" s="1" t="n"/>
      <c r="P1395" s="1" t="n"/>
      <c r="Q1395" s="1" t="n"/>
      <c r="R1395" s="1" t="n"/>
    </row>
    <row r="1396">
      <c r="A1396" s="61" t="n"/>
      <c r="B1396" s="16" t="n"/>
      <c r="C1396" s="90" t="n"/>
      <c r="D1396" s="90" t="n"/>
      <c r="E1396" s="90" t="n"/>
      <c r="F1396" s="16" t="n"/>
      <c r="G1396" s="16" t="n"/>
      <c r="H1396" s="63" t="n"/>
      <c r="I1396" s="64" t="n"/>
      <c r="J1396" s="16" t="n"/>
      <c r="K1396" s="16" t="n"/>
      <c r="M1396" s="89" t="n"/>
      <c r="N1396" s="1" t="n"/>
      <c r="O1396" s="1" t="n"/>
      <c r="P1396" s="1" t="n"/>
      <c r="Q1396" s="1" t="n"/>
      <c r="R1396" s="1" t="n"/>
    </row>
    <row r="1397">
      <c r="A1397" s="61" t="n"/>
      <c r="B1397" s="16" t="n"/>
      <c r="C1397" s="90" t="n"/>
      <c r="D1397" s="90" t="n"/>
      <c r="E1397" s="90" t="n"/>
      <c r="F1397" s="16" t="n"/>
      <c r="G1397" s="16" t="n"/>
      <c r="H1397" s="63" t="n"/>
      <c r="I1397" s="64" t="n"/>
      <c r="J1397" s="16" t="n"/>
      <c r="K1397" s="16" t="n"/>
      <c r="M1397" s="89" t="n"/>
      <c r="N1397" s="1" t="n"/>
      <c r="O1397" s="1" t="n"/>
      <c r="P1397" s="1" t="n"/>
      <c r="Q1397" s="1" t="n"/>
      <c r="R1397" s="1" t="n"/>
    </row>
    <row r="1398">
      <c r="A1398" s="61" t="n"/>
      <c r="B1398" s="16" t="n"/>
      <c r="C1398" s="90" t="n"/>
      <c r="D1398" s="90" t="n"/>
      <c r="E1398" s="90" t="n"/>
      <c r="F1398" s="16" t="n"/>
      <c r="G1398" s="16" t="n"/>
      <c r="H1398" s="63" t="n"/>
      <c r="I1398" s="64" t="n"/>
      <c r="J1398" s="16" t="n"/>
      <c r="K1398" s="16" t="n"/>
      <c r="M1398" s="89" t="n"/>
      <c r="N1398" s="1" t="n"/>
      <c r="O1398" s="1" t="n"/>
      <c r="P1398" s="1" t="n"/>
      <c r="Q1398" s="1" t="n"/>
      <c r="R1398" s="1" t="n"/>
    </row>
    <row r="1399">
      <c r="A1399" s="61" t="n"/>
      <c r="B1399" s="16" t="n"/>
      <c r="C1399" s="90" t="n"/>
      <c r="D1399" s="90" t="n"/>
      <c r="E1399" s="90" t="n"/>
      <c r="F1399" s="16" t="n"/>
      <c r="G1399" s="16" t="n"/>
      <c r="H1399" s="63" t="n"/>
      <c r="I1399" s="64" t="n"/>
      <c r="J1399" s="16" t="n"/>
      <c r="K1399" s="16" t="n"/>
      <c r="M1399" s="89" t="n"/>
      <c r="N1399" s="1" t="n"/>
      <c r="O1399" s="1" t="n"/>
      <c r="P1399" s="1" t="n"/>
      <c r="Q1399" s="1" t="n"/>
      <c r="R1399" s="1" t="n"/>
    </row>
    <row r="1400">
      <c r="A1400" s="61" t="n"/>
      <c r="B1400" s="16" t="n"/>
      <c r="C1400" s="90" t="n"/>
      <c r="D1400" s="90" t="n"/>
      <c r="E1400" s="90" t="n"/>
      <c r="F1400" s="16" t="n"/>
      <c r="G1400" s="16" t="n"/>
      <c r="H1400" s="63" t="n"/>
      <c r="I1400" s="64" t="n"/>
      <c r="J1400" s="16" t="n"/>
      <c r="K1400" s="16" t="n"/>
      <c r="M1400" s="89" t="n"/>
      <c r="N1400" s="1" t="n"/>
      <c r="O1400" s="1" t="n"/>
      <c r="P1400" s="1" t="n"/>
      <c r="Q1400" s="1" t="n"/>
      <c r="R1400" s="1" t="n"/>
    </row>
    <row r="1401">
      <c r="A1401" s="61" t="n"/>
      <c r="B1401" s="16" t="n"/>
      <c r="C1401" s="90" t="n"/>
      <c r="D1401" s="90" t="n"/>
      <c r="E1401" s="90" t="n"/>
      <c r="F1401" s="16" t="n"/>
      <c r="G1401" s="16" t="n"/>
      <c r="H1401" s="63" t="n"/>
      <c r="I1401" s="64" t="n"/>
      <c r="J1401" s="16" t="n"/>
      <c r="K1401" s="16" t="n"/>
      <c r="M1401" s="89" t="n"/>
      <c r="N1401" s="1" t="n"/>
      <c r="O1401" s="1" t="n"/>
      <c r="P1401" s="1" t="n"/>
      <c r="Q1401" s="1" t="n"/>
      <c r="R1401" s="1" t="n"/>
    </row>
    <row r="1402">
      <c r="A1402" s="61" t="n"/>
      <c r="B1402" s="16" t="n"/>
      <c r="C1402" s="90" t="n"/>
      <c r="D1402" s="90" t="n"/>
      <c r="E1402" s="90" t="n"/>
      <c r="F1402" s="16" t="n"/>
      <c r="G1402" s="16" t="n"/>
      <c r="H1402" s="63" t="n"/>
      <c r="I1402" s="64" t="n"/>
      <c r="J1402" s="16" t="n"/>
      <c r="K1402" s="16" t="n"/>
      <c r="M1402" s="89" t="n"/>
      <c r="N1402" s="1" t="n"/>
      <c r="O1402" s="1" t="n"/>
      <c r="P1402" s="1" t="n"/>
      <c r="Q1402" s="1" t="n"/>
      <c r="R1402" s="1" t="n"/>
    </row>
    <row r="1403">
      <c r="A1403" s="61" t="n"/>
      <c r="B1403" s="16" t="n"/>
      <c r="C1403" s="90" t="n"/>
      <c r="D1403" s="90" t="n"/>
      <c r="E1403" s="90" t="n"/>
      <c r="F1403" s="16" t="n"/>
      <c r="G1403" s="16" t="n"/>
      <c r="H1403" s="63" t="n"/>
      <c r="I1403" s="64" t="n"/>
      <c r="J1403" s="16" t="n"/>
      <c r="K1403" s="16" t="n"/>
      <c r="M1403" s="89" t="n"/>
      <c r="N1403" s="1" t="n"/>
      <c r="O1403" s="1" t="n"/>
      <c r="P1403" s="1" t="n"/>
      <c r="Q1403" s="1" t="n"/>
      <c r="R1403" s="1" t="n"/>
    </row>
    <row r="1404">
      <c r="A1404" s="61" t="n"/>
      <c r="B1404" s="16" t="n"/>
      <c r="C1404" s="90" t="n"/>
      <c r="D1404" s="90" t="n"/>
      <c r="E1404" s="90" t="n"/>
      <c r="F1404" s="16" t="n"/>
      <c r="G1404" s="16" t="n"/>
      <c r="H1404" s="63" t="n"/>
      <c r="I1404" s="64" t="n"/>
      <c r="J1404" s="16" t="n"/>
      <c r="K1404" s="16" t="n"/>
      <c r="M1404" s="89" t="n"/>
      <c r="N1404" s="1" t="n"/>
      <c r="O1404" s="1" t="n"/>
      <c r="P1404" s="1" t="n"/>
      <c r="Q1404" s="1" t="n"/>
      <c r="R1404" s="1" t="n"/>
    </row>
    <row r="1405">
      <c r="A1405" s="61" t="n"/>
      <c r="B1405" s="16" t="n"/>
      <c r="C1405" s="90" t="n"/>
      <c r="D1405" s="90" t="n"/>
      <c r="E1405" s="90" t="n"/>
      <c r="F1405" s="16" t="n"/>
      <c r="G1405" s="16" t="n"/>
      <c r="H1405" s="63" t="n"/>
      <c r="I1405" s="64" t="n"/>
      <c r="J1405" s="16" t="n"/>
      <c r="K1405" s="16" t="n"/>
      <c r="M1405" s="89" t="n"/>
      <c r="N1405" s="1" t="n"/>
      <c r="O1405" s="1" t="n"/>
      <c r="P1405" s="1" t="n"/>
      <c r="Q1405" s="1" t="n"/>
      <c r="R1405" s="1" t="n"/>
    </row>
    <row r="1406">
      <c r="A1406" s="61" t="n"/>
      <c r="B1406" s="16" t="n"/>
      <c r="C1406" s="90" t="n"/>
      <c r="D1406" s="90" t="n"/>
      <c r="E1406" s="90" t="n"/>
      <c r="F1406" s="16" t="n"/>
      <c r="G1406" s="16" t="n"/>
      <c r="H1406" s="63" t="n"/>
      <c r="I1406" s="64" t="n"/>
      <c r="J1406" s="16" t="n"/>
      <c r="K1406" s="16" t="n"/>
      <c r="M1406" s="89" t="n"/>
      <c r="N1406" s="1" t="n"/>
      <c r="O1406" s="1" t="n"/>
      <c r="P1406" s="1" t="n"/>
      <c r="Q1406" s="1" t="n"/>
      <c r="R1406" s="1" t="n"/>
    </row>
    <row r="1407">
      <c r="A1407" s="61" t="n"/>
      <c r="B1407" s="16" t="n"/>
      <c r="C1407" s="90" t="n"/>
      <c r="D1407" s="90" t="n"/>
      <c r="E1407" s="90" t="n"/>
      <c r="F1407" s="16" t="n"/>
      <c r="G1407" s="16" t="n"/>
      <c r="H1407" s="63" t="n"/>
      <c r="I1407" s="64" t="n"/>
      <c r="J1407" s="16" t="n"/>
      <c r="K1407" s="16" t="n"/>
      <c r="M1407" s="89" t="n"/>
      <c r="N1407" s="1" t="n"/>
      <c r="O1407" s="1" t="n"/>
      <c r="P1407" s="1" t="n"/>
      <c r="Q1407" s="1" t="n"/>
      <c r="R1407" s="1" t="n"/>
    </row>
    <row r="1408">
      <c r="A1408" s="61" t="n"/>
      <c r="B1408" s="16" t="n"/>
      <c r="C1408" s="90" t="n"/>
      <c r="D1408" s="90" t="n"/>
      <c r="E1408" s="90" t="n"/>
      <c r="F1408" s="16" t="n"/>
      <c r="G1408" s="16" t="n"/>
      <c r="H1408" s="63" t="n"/>
      <c r="I1408" s="64" t="n"/>
      <c r="J1408" s="16" t="n"/>
      <c r="K1408" s="16" t="n"/>
      <c r="M1408" s="89" t="n"/>
      <c r="N1408" s="1" t="n"/>
      <c r="O1408" s="1" t="n"/>
      <c r="P1408" s="1" t="n"/>
      <c r="Q1408" s="1" t="n"/>
      <c r="R1408" s="1" t="n"/>
    </row>
    <row r="1409">
      <c r="A1409" s="61" t="n"/>
      <c r="B1409" s="16" t="n"/>
      <c r="C1409" s="90" t="n"/>
      <c r="D1409" s="90" t="n"/>
      <c r="E1409" s="90" t="n"/>
      <c r="F1409" s="16" t="n"/>
      <c r="G1409" s="16" t="n"/>
      <c r="H1409" s="63" t="n"/>
      <c r="I1409" s="64" t="n"/>
      <c r="J1409" s="16" t="n"/>
      <c r="K1409" s="16" t="n"/>
      <c r="M1409" s="89" t="n"/>
      <c r="N1409" s="1" t="n"/>
      <c r="O1409" s="1" t="n"/>
      <c r="P1409" s="1" t="n"/>
      <c r="Q1409" s="1" t="n"/>
      <c r="R1409" s="1" t="n"/>
    </row>
    <row r="1410">
      <c r="A1410" s="61" t="n"/>
      <c r="B1410" s="16" t="n"/>
      <c r="C1410" s="90" t="n"/>
      <c r="D1410" s="90" t="n"/>
      <c r="E1410" s="90" t="n"/>
      <c r="F1410" s="16" t="n"/>
      <c r="G1410" s="16" t="n"/>
      <c r="H1410" s="63" t="n"/>
      <c r="I1410" s="64" t="n"/>
      <c r="J1410" s="16" t="n"/>
      <c r="K1410" s="16" t="n"/>
      <c r="M1410" s="89" t="n"/>
      <c r="N1410" s="1" t="n"/>
      <c r="O1410" s="1" t="n"/>
      <c r="P1410" s="1" t="n"/>
      <c r="Q1410" s="1" t="n"/>
      <c r="R1410" s="1" t="n"/>
    </row>
    <row r="1411">
      <c r="A1411" s="61" t="n"/>
      <c r="B1411" s="16" t="n"/>
      <c r="C1411" s="90" t="n"/>
      <c r="D1411" s="90" t="n"/>
      <c r="E1411" s="90" t="n"/>
      <c r="F1411" s="16" t="n"/>
      <c r="G1411" s="16" t="n"/>
      <c r="H1411" s="63" t="n"/>
      <c r="I1411" s="64" t="n"/>
      <c r="J1411" s="16" t="n"/>
      <c r="K1411" s="16" t="n"/>
      <c r="M1411" s="89" t="n"/>
      <c r="N1411" s="1" t="n"/>
      <c r="O1411" s="1" t="n"/>
      <c r="P1411" s="1" t="n"/>
      <c r="Q1411" s="1" t="n"/>
      <c r="R1411" s="1" t="n"/>
    </row>
    <row r="1412">
      <c r="A1412" s="61" t="n"/>
      <c r="B1412" s="16" t="n"/>
      <c r="C1412" s="90" t="n"/>
      <c r="D1412" s="90" t="n"/>
      <c r="E1412" s="90" t="n"/>
      <c r="F1412" s="16" t="n"/>
      <c r="G1412" s="16" t="n"/>
      <c r="H1412" s="63" t="n"/>
      <c r="I1412" s="64" t="n"/>
      <c r="J1412" s="16" t="n"/>
      <c r="K1412" s="16" t="n"/>
      <c r="M1412" s="89" t="n"/>
      <c r="N1412" s="1" t="n"/>
      <c r="O1412" s="1" t="n"/>
      <c r="P1412" s="1" t="n"/>
      <c r="Q1412" s="1" t="n"/>
      <c r="R1412" s="1" t="n"/>
    </row>
    <row r="1413">
      <c r="A1413" s="61" t="n"/>
      <c r="B1413" s="16" t="n"/>
      <c r="C1413" s="90" t="n"/>
      <c r="D1413" s="90" t="n"/>
      <c r="E1413" s="90" t="n"/>
      <c r="F1413" s="16" t="n"/>
      <c r="G1413" s="16" t="n"/>
      <c r="H1413" s="63" t="n"/>
      <c r="I1413" s="64" t="n"/>
      <c r="J1413" s="16" t="n"/>
      <c r="K1413" s="16" t="n"/>
      <c r="M1413" s="89" t="n"/>
      <c r="N1413" s="1" t="n"/>
      <c r="O1413" s="1" t="n"/>
      <c r="P1413" s="1" t="n"/>
      <c r="Q1413" s="1" t="n"/>
      <c r="R1413" s="1" t="n"/>
    </row>
    <row r="1414">
      <c r="A1414" s="61" t="n"/>
      <c r="B1414" s="16" t="n"/>
      <c r="C1414" s="90" t="n"/>
      <c r="D1414" s="90" t="n"/>
      <c r="E1414" s="90" t="n"/>
      <c r="F1414" s="16" t="n"/>
      <c r="G1414" s="16" t="n"/>
      <c r="H1414" s="63" t="n"/>
      <c r="I1414" s="64" t="n"/>
      <c r="J1414" s="16" t="n"/>
      <c r="K1414" s="16" t="n"/>
      <c r="M1414" s="89" t="n"/>
      <c r="N1414" s="1" t="n"/>
      <c r="O1414" s="1" t="n"/>
      <c r="P1414" s="1" t="n"/>
      <c r="Q1414" s="1" t="n"/>
      <c r="R1414" s="1" t="n"/>
    </row>
    <row r="1415">
      <c r="A1415" s="61" t="n"/>
      <c r="B1415" s="16" t="n"/>
      <c r="C1415" s="90" t="n"/>
      <c r="D1415" s="90" t="n"/>
      <c r="E1415" s="90" t="n"/>
      <c r="F1415" s="16" t="n"/>
      <c r="G1415" s="16" t="n"/>
      <c r="H1415" s="63" t="n"/>
      <c r="I1415" s="64" t="n"/>
      <c r="J1415" s="16" t="n"/>
      <c r="K1415" s="16" t="n"/>
      <c r="M1415" s="89" t="n"/>
      <c r="N1415" s="1" t="n"/>
      <c r="O1415" s="1" t="n"/>
      <c r="P1415" s="1" t="n"/>
      <c r="Q1415" s="1" t="n"/>
      <c r="R1415" s="1" t="n"/>
    </row>
    <row r="1416">
      <c r="A1416" s="61" t="n"/>
      <c r="B1416" s="16" t="n"/>
      <c r="C1416" s="90" t="n"/>
      <c r="D1416" s="90" t="n"/>
      <c r="E1416" s="90" t="n"/>
      <c r="F1416" s="16" t="n"/>
      <c r="G1416" s="16" t="n"/>
      <c r="H1416" s="63" t="n"/>
      <c r="I1416" s="64" t="n"/>
      <c r="J1416" s="16" t="n"/>
      <c r="K1416" s="16" t="n"/>
      <c r="M1416" s="89" t="n"/>
      <c r="N1416" s="1" t="n"/>
      <c r="O1416" s="1" t="n"/>
      <c r="P1416" s="1" t="n"/>
      <c r="Q1416" s="1" t="n"/>
      <c r="R1416" s="1" t="n"/>
    </row>
    <row r="1417">
      <c r="A1417" s="61" t="n"/>
      <c r="B1417" s="16" t="n"/>
      <c r="C1417" s="90" t="n"/>
      <c r="D1417" s="90" t="n"/>
      <c r="E1417" s="90" t="n"/>
      <c r="F1417" s="16" t="n"/>
      <c r="G1417" s="16" t="n"/>
      <c r="H1417" s="63" t="n"/>
      <c r="I1417" s="64" t="n"/>
      <c r="J1417" s="16" t="n"/>
      <c r="K1417" s="16" t="n"/>
      <c r="M1417" s="89" t="n"/>
      <c r="N1417" s="1" t="n"/>
      <c r="O1417" s="1" t="n"/>
      <c r="P1417" s="1" t="n"/>
      <c r="Q1417" s="1" t="n"/>
      <c r="R1417" s="1" t="n"/>
    </row>
    <row r="1418">
      <c r="A1418" s="61" t="n"/>
      <c r="B1418" s="16" t="n"/>
      <c r="C1418" s="90" t="n"/>
      <c r="D1418" s="90" t="n"/>
      <c r="E1418" s="90" t="n"/>
      <c r="F1418" s="16" t="n"/>
      <c r="G1418" s="16" t="n"/>
      <c r="H1418" s="63" t="n"/>
      <c r="I1418" s="64" t="n"/>
      <c r="J1418" s="16" t="n"/>
      <c r="K1418" s="16" t="n"/>
      <c r="M1418" s="89" t="n"/>
      <c r="N1418" s="1" t="n"/>
      <c r="O1418" s="1" t="n"/>
      <c r="P1418" s="1" t="n"/>
      <c r="Q1418" s="1" t="n"/>
      <c r="R1418" s="1" t="n"/>
    </row>
    <row r="1419">
      <c r="A1419" s="61" t="n"/>
      <c r="B1419" s="16" t="n"/>
      <c r="C1419" s="90" t="n"/>
      <c r="D1419" s="90" t="n"/>
      <c r="E1419" s="90" t="n"/>
      <c r="F1419" s="16" t="n"/>
      <c r="G1419" s="16" t="n"/>
      <c r="H1419" s="63" t="n"/>
      <c r="I1419" s="64" t="n"/>
      <c r="J1419" s="16" t="n"/>
      <c r="K1419" s="16" t="n"/>
      <c r="M1419" s="89" t="n"/>
      <c r="N1419" s="1" t="n"/>
      <c r="O1419" s="1" t="n"/>
      <c r="P1419" s="1" t="n"/>
      <c r="Q1419" s="1" t="n"/>
      <c r="R1419" s="1" t="n"/>
    </row>
    <row r="1420">
      <c r="A1420" s="61" t="n"/>
      <c r="B1420" s="16" t="n"/>
      <c r="C1420" s="90" t="n"/>
      <c r="D1420" s="90" t="n"/>
      <c r="E1420" s="90" t="n"/>
      <c r="F1420" s="16" t="n"/>
      <c r="G1420" s="16" t="n"/>
      <c r="H1420" s="63" t="n"/>
      <c r="I1420" s="64" t="n"/>
      <c r="J1420" s="16" t="n"/>
      <c r="K1420" s="16" t="n"/>
      <c r="M1420" s="89" t="n"/>
      <c r="N1420" s="1" t="n"/>
      <c r="O1420" s="1" t="n"/>
      <c r="P1420" s="1" t="n"/>
      <c r="Q1420" s="1" t="n"/>
      <c r="R1420" s="1" t="n"/>
    </row>
    <row r="1421">
      <c r="A1421" s="61" t="n"/>
      <c r="B1421" s="16" t="n"/>
      <c r="C1421" s="90" t="n"/>
      <c r="D1421" s="90" t="n"/>
      <c r="E1421" s="90" t="n"/>
      <c r="F1421" s="16" t="n"/>
      <c r="G1421" s="16" t="n"/>
      <c r="H1421" s="63" t="n"/>
      <c r="I1421" s="64" t="n"/>
      <c r="J1421" s="16" t="n"/>
      <c r="K1421" s="16" t="n"/>
      <c r="M1421" s="89" t="n"/>
      <c r="N1421" s="1" t="n"/>
      <c r="O1421" s="1" t="n"/>
      <c r="P1421" s="1" t="n"/>
      <c r="Q1421" s="1" t="n"/>
      <c r="R1421" s="1" t="n"/>
    </row>
    <row r="1422">
      <c r="A1422" s="61" t="n"/>
      <c r="B1422" s="16" t="n"/>
      <c r="C1422" s="90" t="n"/>
      <c r="D1422" s="90" t="n"/>
      <c r="E1422" s="90" t="n"/>
      <c r="F1422" s="16" t="n"/>
      <c r="G1422" s="16" t="n"/>
      <c r="H1422" s="63" t="n"/>
      <c r="I1422" s="64" t="n"/>
      <c r="J1422" s="16" t="n"/>
      <c r="K1422" s="16" t="n"/>
      <c r="M1422" s="89" t="n"/>
      <c r="N1422" s="1" t="n"/>
      <c r="O1422" s="1" t="n"/>
      <c r="P1422" s="1" t="n"/>
      <c r="Q1422" s="1" t="n"/>
      <c r="R1422" s="1" t="n"/>
    </row>
    <row r="1423">
      <c r="A1423" s="61" t="n"/>
      <c r="B1423" s="16" t="n"/>
      <c r="C1423" s="90" t="n"/>
      <c r="D1423" s="90" t="n"/>
      <c r="E1423" s="90" t="n"/>
      <c r="F1423" s="16" t="n"/>
      <c r="G1423" s="16" t="n"/>
      <c r="H1423" s="63" t="n"/>
      <c r="I1423" s="64" t="n"/>
      <c r="J1423" s="16" t="n"/>
      <c r="K1423" s="16" t="n"/>
      <c r="M1423" s="89" t="n"/>
      <c r="N1423" s="1" t="n"/>
      <c r="O1423" s="1" t="n"/>
      <c r="P1423" s="1" t="n"/>
      <c r="Q1423" s="1" t="n"/>
      <c r="R1423" s="1" t="n"/>
    </row>
    <row r="1424">
      <c r="A1424" s="61" t="n"/>
      <c r="B1424" s="16" t="n"/>
      <c r="C1424" s="90" t="n"/>
      <c r="D1424" s="90" t="n"/>
      <c r="E1424" s="90" t="n"/>
      <c r="F1424" s="16" t="n"/>
      <c r="G1424" s="16" t="n"/>
      <c r="H1424" s="63" t="n"/>
      <c r="I1424" s="64" t="n"/>
      <c r="J1424" s="16" t="n"/>
      <c r="K1424" s="16" t="n"/>
      <c r="M1424" s="89" t="n"/>
      <c r="N1424" s="1" t="n"/>
      <c r="O1424" s="1" t="n"/>
      <c r="P1424" s="1" t="n"/>
      <c r="Q1424" s="1" t="n"/>
      <c r="R1424" s="1" t="n"/>
    </row>
    <row r="1425">
      <c r="A1425" s="61" t="n"/>
      <c r="B1425" s="16" t="n"/>
      <c r="C1425" s="90" t="n"/>
      <c r="D1425" s="90" t="n"/>
      <c r="E1425" s="90" t="n"/>
      <c r="F1425" s="16" t="n"/>
      <c r="G1425" s="16" t="n"/>
      <c r="H1425" s="63" t="n"/>
      <c r="I1425" s="64" t="n"/>
      <c r="J1425" s="16" t="n"/>
      <c r="K1425" s="16" t="n"/>
      <c r="M1425" s="89" t="n"/>
      <c r="N1425" s="1" t="n"/>
      <c r="O1425" s="1" t="n"/>
      <c r="P1425" s="1" t="n"/>
      <c r="Q1425" s="1" t="n"/>
      <c r="R1425" s="1" t="n"/>
    </row>
    <row r="1426">
      <c r="A1426" s="61" t="n"/>
      <c r="B1426" s="16" t="n"/>
      <c r="C1426" s="90" t="n"/>
      <c r="D1426" s="90" t="n"/>
      <c r="E1426" s="90" t="n"/>
      <c r="F1426" s="16" t="n"/>
      <c r="G1426" s="16" t="n"/>
      <c r="H1426" s="63" t="n"/>
      <c r="I1426" s="64" t="n"/>
      <c r="J1426" s="16" t="n"/>
      <c r="K1426" s="16" t="n"/>
      <c r="M1426" s="89" t="n"/>
      <c r="N1426" s="1" t="n"/>
      <c r="O1426" s="1" t="n"/>
      <c r="P1426" s="1" t="n"/>
      <c r="Q1426" s="1" t="n"/>
      <c r="R1426" s="1" t="n"/>
    </row>
    <row r="1427">
      <c r="A1427" s="61" t="n"/>
      <c r="B1427" s="16" t="n"/>
      <c r="C1427" s="90" t="n"/>
      <c r="D1427" s="90" t="n"/>
      <c r="E1427" s="90" t="n"/>
      <c r="F1427" s="16" t="n"/>
      <c r="G1427" s="16" t="n"/>
      <c r="H1427" s="63" t="n"/>
      <c r="I1427" s="64" t="n"/>
      <c r="J1427" s="16" t="n"/>
      <c r="K1427" s="16" t="n"/>
      <c r="M1427" s="89" t="n"/>
      <c r="N1427" s="1" t="n"/>
      <c r="O1427" s="1" t="n"/>
      <c r="P1427" s="1" t="n"/>
      <c r="Q1427" s="1" t="n"/>
      <c r="R1427" s="1" t="n"/>
    </row>
    <row r="1428">
      <c r="A1428" s="61" t="n"/>
      <c r="B1428" s="16" t="n"/>
      <c r="C1428" s="90" t="n"/>
      <c r="D1428" s="90" t="n"/>
      <c r="E1428" s="90" t="n"/>
      <c r="F1428" s="16" t="n"/>
      <c r="G1428" s="16" t="n"/>
      <c r="H1428" s="63" t="n"/>
      <c r="I1428" s="64" t="n"/>
      <c r="J1428" s="16" t="n"/>
      <c r="K1428" s="16" t="n"/>
      <c r="M1428" s="89" t="n"/>
      <c r="N1428" s="1" t="n"/>
      <c r="O1428" s="1" t="n"/>
      <c r="P1428" s="1" t="n"/>
      <c r="Q1428" s="1" t="n"/>
      <c r="R1428" s="1" t="n"/>
    </row>
    <row r="1429">
      <c r="A1429" s="61" t="n"/>
      <c r="B1429" s="16" t="n"/>
      <c r="C1429" s="90" t="n"/>
      <c r="D1429" s="90" t="n"/>
      <c r="E1429" s="90" t="n"/>
      <c r="F1429" s="16" t="n"/>
      <c r="G1429" s="16" t="n"/>
      <c r="H1429" s="63" t="n"/>
      <c r="I1429" s="64" t="n"/>
      <c r="J1429" s="16" t="n"/>
      <c r="K1429" s="16" t="n"/>
      <c r="M1429" s="89" t="n"/>
      <c r="N1429" s="1" t="n"/>
      <c r="O1429" s="1" t="n"/>
      <c r="P1429" s="1" t="n"/>
      <c r="Q1429" s="1" t="n"/>
      <c r="R1429" s="1" t="n"/>
    </row>
    <row r="1430">
      <c r="A1430" s="61" t="n"/>
      <c r="B1430" s="16" t="n"/>
      <c r="C1430" s="90" t="n"/>
      <c r="D1430" s="90" t="n"/>
      <c r="E1430" s="90" t="n"/>
      <c r="F1430" s="16" t="n"/>
      <c r="G1430" s="16" t="n"/>
      <c r="H1430" s="63" t="n"/>
      <c r="I1430" s="64" t="n"/>
      <c r="J1430" s="16" t="n"/>
      <c r="K1430" s="16" t="n"/>
      <c r="M1430" s="89" t="n"/>
      <c r="N1430" s="1" t="n"/>
      <c r="O1430" s="1" t="n"/>
      <c r="P1430" s="1" t="n"/>
      <c r="Q1430" s="1" t="n"/>
      <c r="R1430" s="1" t="n"/>
    </row>
    <row r="1431">
      <c r="A1431" s="61" t="n"/>
      <c r="B1431" s="16" t="n"/>
      <c r="C1431" s="90" t="n"/>
      <c r="D1431" s="90" t="n"/>
      <c r="E1431" s="90" t="n"/>
      <c r="F1431" s="16" t="n"/>
      <c r="G1431" s="16" t="n"/>
      <c r="H1431" s="63" t="n"/>
      <c r="I1431" s="64" t="n"/>
      <c r="J1431" s="16" t="n"/>
      <c r="K1431" s="16" t="n"/>
      <c r="M1431" s="89" t="n"/>
      <c r="N1431" s="1" t="n"/>
      <c r="O1431" s="1" t="n"/>
      <c r="P1431" s="1" t="n"/>
      <c r="Q1431" s="1" t="n"/>
      <c r="R1431" s="1" t="n"/>
    </row>
    <row r="1432">
      <c r="A1432" s="61" t="n"/>
      <c r="B1432" s="16" t="n"/>
      <c r="C1432" s="90" t="n"/>
      <c r="D1432" s="90" t="n"/>
      <c r="E1432" s="90" t="n"/>
      <c r="F1432" s="16" t="n"/>
      <c r="G1432" s="16" t="n"/>
      <c r="H1432" s="63" t="n"/>
      <c r="I1432" s="64" t="n"/>
      <c r="J1432" s="16" t="n"/>
      <c r="K1432" s="16" t="n"/>
      <c r="M1432" s="89" t="n"/>
      <c r="N1432" s="1" t="n"/>
      <c r="O1432" s="1" t="n"/>
      <c r="P1432" s="1" t="n"/>
      <c r="Q1432" s="1" t="n"/>
      <c r="R1432" s="1" t="n"/>
    </row>
    <row r="1433">
      <c r="A1433" s="61" t="n"/>
      <c r="B1433" s="16" t="n"/>
      <c r="C1433" s="90" t="n"/>
      <c r="D1433" s="90" t="n"/>
      <c r="E1433" s="90" t="n"/>
      <c r="F1433" s="16" t="n"/>
      <c r="G1433" s="16" t="n"/>
      <c r="H1433" s="63" t="n"/>
      <c r="I1433" s="64" t="n"/>
      <c r="J1433" s="16" t="n"/>
      <c r="K1433" s="16" t="n"/>
      <c r="M1433" s="89" t="n"/>
      <c r="N1433" s="1" t="n"/>
      <c r="O1433" s="1" t="n"/>
      <c r="P1433" s="1" t="n"/>
      <c r="Q1433" s="1" t="n"/>
      <c r="R1433" s="1" t="n"/>
    </row>
    <row r="1434">
      <c r="A1434" s="61" t="n"/>
      <c r="B1434" s="16" t="n"/>
      <c r="C1434" s="90" t="n"/>
      <c r="D1434" s="90" t="n"/>
      <c r="E1434" s="90" t="n"/>
      <c r="F1434" s="16" t="n"/>
      <c r="G1434" s="16" t="n"/>
      <c r="H1434" s="63" t="n"/>
      <c r="I1434" s="64" t="n"/>
      <c r="J1434" s="16" t="n"/>
      <c r="K1434" s="16" t="n"/>
      <c r="M1434" s="89" t="n"/>
      <c r="N1434" s="1" t="n"/>
      <c r="O1434" s="1" t="n"/>
      <c r="P1434" s="1" t="n"/>
      <c r="Q1434" s="1" t="n"/>
      <c r="R1434" s="1" t="n"/>
    </row>
    <row r="1435">
      <c r="A1435" s="61" t="n"/>
      <c r="B1435" s="16" t="n"/>
      <c r="C1435" s="90" t="n"/>
      <c r="D1435" s="90" t="n"/>
      <c r="E1435" s="90" t="n"/>
      <c r="F1435" s="16" t="n"/>
      <c r="G1435" s="16" t="n"/>
      <c r="H1435" s="63" t="n"/>
      <c r="I1435" s="64" t="n"/>
      <c r="J1435" s="16" t="n"/>
      <c r="K1435" s="16" t="n"/>
      <c r="M1435" s="89" t="n"/>
      <c r="N1435" s="1" t="n"/>
      <c r="O1435" s="1" t="n"/>
      <c r="P1435" s="1" t="n"/>
      <c r="Q1435" s="1" t="n"/>
      <c r="R1435" s="1" t="n"/>
    </row>
    <row r="1436">
      <c r="A1436" s="61" t="n"/>
      <c r="B1436" s="16" t="n"/>
      <c r="C1436" s="90" t="n"/>
      <c r="D1436" s="90" t="n"/>
      <c r="E1436" s="90" t="n"/>
      <c r="F1436" s="16" t="n"/>
      <c r="G1436" s="16" t="n"/>
      <c r="H1436" s="63" t="n"/>
      <c r="I1436" s="64" t="n"/>
      <c r="J1436" s="16" t="n"/>
      <c r="K1436" s="16" t="n"/>
      <c r="M1436" s="89" t="n"/>
      <c r="N1436" s="1" t="n"/>
      <c r="O1436" s="1" t="n"/>
      <c r="P1436" s="1" t="n"/>
      <c r="Q1436" s="1" t="n"/>
      <c r="R1436" s="1" t="n"/>
    </row>
    <row r="1437">
      <c r="A1437" s="61" t="n"/>
      <c r="B1437" s="16" t="n"/>
      <c r="C1437" s="90" t="n"/>
      <c r="D1437" s="90" t="n"/>
      <c r="E1437" s="90" t="n"/>
      <c r="F1437" s="16" t="n"/>
      <c r="G1437" s="16" t="n"/>
      <c r="H1437" s="63" t="n"/>
      <c r="I1437" s="64" t="n"/>
      <c r="J1437" s="16" t="n"/>
      <c r="K1437" s="16" t="n"/>
      <c r="M1437" s="89" t="n"/>
      <c r="N1437" s="1" t="n"/>
      <c r="O1437" s="1" t="n"/>
      <c r="P1437" s="1" t="n"/>
      <c r="Q1437" s="1" t="n"/>
      <c r="R1437" s="1" t="n"/>
    </row>
    <row r="1438">
      <c r="A1438" s="61" t="n"/>
      <c r="B1438" s="16" t="n"/>
      <c r="C1438" s="90" t="n"/>
      <c r="D1438" s="90" t="n"/>
      <c r="E1438" s="90" t="n"/>
      <c r="F1438" s="16" t="n"/>
      <c r="G1438" s="16" t="n"/>
      <c r="H1438" s="63" t="n"/>
      <c r="I1438" s="64" t="n"/>
      <c r="J1438" s="16" t="n"/>
      <c r="K1438" s="16" t="n"/>
      <c r="M1438" s="89" t="n"/>
      <c r="N1438" s="1" t="n"/>
      <c r="O1438" s="1" t="n"/>
      <c r="P1438" s="1" t="n"/>
      <c r="Q1438" s="1" t="n"/>
      <c r="R1438" s="1" t="n"/>
    </row>
    <row r="1439">
      <c r="A1439" s="61" t="n"/>
      <c r="B1439" s="16" t="n"/>
      <c r="C1439" s="90" t="n"/>
      <c r="D1439" s="90" t="n"/>
      <c r="E1439" s="90" t="n"/>
      <c r="F1439" s="16" t="n"/>
      <c r="G1439" s="16" t="n"/>
      <c r="H1439" s="63" t="n"/>
      <c r="I1439" s="64" t="n"/>
      <c r="J1439" s="16" t="n"/>
      <c r="K1439" s="16" t="n"/>
      <c r="M1439" s="89" t="n"/>
      <c r="N1439" s="1" t="n"/>
      <c r="O1439" s="1" t="n"/>
      <c r="P1439" s="1" t="n"/>
      <c r="Q1439" s="1" t="n"/>
      <c r="R1439" s="1" t="n"/>
    </row>
    <row r="1440">
      <c r="A1440" s="61" t="n"/>
      <c r="B1440" s="16" t="n"/>
      <c r="C1440" s="90" t="n"/>
      <c r="D1440" s="90" t="n"/>
      <c r="E1440" s="90" t="n"/>
      <c r="F1440" s="16" t="n"/>
      <c r="G1440" s="16" t="n"/>
      <c r="H1440" s="63" t="n"/>
      <c r="I1440" s="64" t="n"/>
      <c r="J1440" s="16" t="n"/>
      <c r="K1440" s="16" t="n"/>
      <c r="M1440" s="89" t="n"/>
      <c r="N1440" s="1" t="n"/>
      <c r="O1440" s="1" t="n"/>
      <c r="P1440" s="1" t="n"/>
      <c r="Q1440" s="1" t="n"/>
      <c r="R1440" s="1" t="n"/>
    </row>
    <row r="1441">
      <c r="A1441" s="61" t="n"/>
      <c r="B1441" s="16" t="n"/>
      <c r="C1441" s="90" t="n"/>
      <c r="D1441" s="90" t="n"/>
      <c r="E1441" s="90" t="n"/>
      <c r="F1441" s="16" t="n"/>
      <c r="G1441" s="16" t="n"/>
      <c r="H1441" s="63" t="n"/>
      <c r="I1441" s="64" t="n"/>
      <c r="J1441" s="16" t="n"/>
      <c r="K1441" s="16" t="n"/>
      <c r="M1441" s="89" t="n"/>
      <c r="N1441" s="1" t="n"/>
      <c r="O1441" s="1" t="n"/>
      <c r="P1441" s="1" t="n"/>
      <c r="Q1441" s="1" t="n"/>
      <c r="R1441" s="1" t="n"/>
    </row>
    <row r="1442">
      <c r="A1442" s="61" t="n"/>
      <c r="B1442" s="16" t="n"/>
      <c r="C1442" s="90" t="n"/>
      <c r="D1442" s="90" t="n"/>
      <c r="E1442" s="90" t="n"/>
      <c r="F1442" s="16" t="n"/>
      <c r="G1442" s="16" t="n"/>
      <c r="H1442" s="63" t="n"/>
      <c r="I1442" s="64" t="n"/>
      <c r="J1442" s="16" t="n"/>
      <c r="K1442" s="16" t="n"/>
      <c r="M1442" s="89" t="n"/>
      <c r="N1442" s="1" t="n"/>
      <c r="O1442" s="1" t="n"/>
      <c r="P1442" s="1" t="n"/>
      <c r="Q1442" s="1" t="n"/>
      <c r="R1442" s="1" t="n"/>
    </row>
    <row r="1443">
      <c r="A1443" s="61" t="n"/>
      <c r="B1443" s="16" t="n"/>
      <c r="C1443" s="90" t="n"/>
      <c r="D1443" s="90" t="n"/>
      <c r="E1443" s="90" t="n"/>
      <c r="F1443" s="16" t="n"/>
      <c r="G1443" s="16" t="n"/>
      <c r="H1443" s="63" t="n"/>
      <c r="I1443" s="64" t="n"/>
      <c r="J1443" s="16" t="n"/>
      <c r="K1443" s="16" t="n"/>
      <c r="M1443" s="89" t="n"/>
      <c r="N1443" s="1" t="n"/>
      <c r="O1443" s="1" t="n"/>
      <c r="P1443" s="1" t="n"/>
      <c r="Q1443" s="1" t="n"/>
      <c r="R1443" s="1" t="n"/>
    </row>
    <row r="1444">
      <c r="A1444" s="61" t="n"/>
      <c r="B1444" s="16" t="n"/>
      <c r="C1444" s="90" t="n"/>
      <c r="D1444" s="90" t="n"/>
      <c r="E1444" s="90" t="n"/>
      <c r="F1444" s="16" t="n"/>
      <c r="G1444" s="16" t="n"/>
      <c r="H1444" s="63" t="n"/>
      <c r="I1444" s="64" t="n"/>
      <c r="J1444" s="16" t="n"/>
      <c r="K1444" s="16" t="n"/>
      <c r="M1444" s="89" t="n"/>
      <c r="N1444" s="1" t="n"/>
      <c r="O1444" s="1" t="n"/>
      <c r="P1444" s="1" t="n"/>
      <c r="Q1444" s="1" t="n"/>
      <c r="R1444" s="1" t="n"/>
    </row>
    <row r="1445">
      <c r="A1445" s="61" t="n"/>
      <c r="B1445" s="16" t="n"/>
      <c r="C1445" s="90" t="n"/>
      <c r="D1445" s="90" t="n"/>
      <c r="E1445" s="90" t="n"/>
      <c r="F1445" s="16" t="n"/>
      <c r="G1445" s="16" t="n"/>
      <c r="H1445" s="63" t="n"/>
      <c r="I1445" s="64" t="n"/>
      <c r="J1445" s="16" t="n"/>
      <c r="K1445" s="16" t="n"/>
      <c r="M1445" s="89" t="n"/>
      <c r="N1445" s="1" t="n"/>
      <c r="O1445" s="1" t="n"/>
      <c r="P1445" s="1" t="n"/>
      <c r="Q1445" s="1" t="n"/>
      <c r="R1445" s="1" t="n"/>
    </row>
    <row r="1446">
      <c r="A1446" s="61" t="n"/>
      <c r="B1446" s="16" t="n"/>
      <c r="C1446" s="90" t="n"/>
      <c r="D1446" s="90" t="n"/>
      <c r="E1446" s="90" t="n"/>
      <c r="F1446" s="16" t="n"/>
      <c r="G1446" s="16" t="n"/>
      <c r="H1446" s="63" t="n"/>
      <c r="I1446" s="64" t="n"/>
      <c r="J1446" s="16" t="n"/>
      <c r="K1446" s="16" t="n"/>
      <c r="M1446" s="89" t="n"/>
      <c r="N1446" s="1" t="n"/>
      <c r="O1446" s="1" t="n"/>
      <c r="P1446" s="1" t="n"/>
      <c r="Q1446" s="1" t="n"/>
      <c r="R1446" s="1" t="n"/>
    </row>
    <row r="1447">
      <c r="A1447" s="61" t="n"/>
      <c r="B1447" s="16" t="n"/>
      <c r="C1447" s="90" t="n"/>
      <c r="D1447" s="90" t="n"/>
      <c r="E1447" s="90" t="n"/>
      <c r="F1447" s="16" t="n"/>
      <c r="G1447" s="16" t="n"/>
      <c r="H1447" s="63" t="n"/>
      <c r="I1447" s="64" t="n"/>
      <c r="J1447" s="16" t="n"/>
      <c r="K1447" s="16" t="n"/>
      <c r="M1447" s="89" t="n"/>
      <c r="N1447" s="1" t="n"/>
      <c r="O1447" s="1" t="n"/>
      <c r="P1447" s="1" t="n"/>
      <c r="Q1447" s="1" t="n"/>
      <c r="R1447" s="1" t="n"/>
    </row>
    <row r="1448">
      <c r="A1448" s="61" t="n"/>
      <c r="B1448" s="16" t="n"/>
      <c r="C1448" s="90" t="n"/>
      <c r="D1448" s="90" t="n"/>
      <c r="E1448" s="90" t="n"/>
      <c r="F1448" s="16" t="n"/>
      <c r="G1448" s="16" t="n"/>
      <c r="H1448" s="63" t="n"/>
      <c r="I1448" s="64" t="n"/>
      <c r="J1448" s="16" t="n"/>
      <c r="K1448" s="16" t="n"/>
      <c r="M1448" s="89" t="n"/>
      <c r="N1448" s="1" t="n"/>
      <c r="O1448" s="1" t="n"/>
      <c r="P1448" s="1" t="n"/>
      <c r="Q1448" s="1" t="n"/>
      <c r="R1448" s="1" t="n"/>
    </row>
    <row r="1449">
      <c r="A1449" s="61" t="n"/>
      <c r="B1449" s="16" t="n"/>
      <c r="C1449" s="90" t="n"/>
      <c r="D1449" s="90" t="n"/>
      <c r="E1449" s="90" t="n"/>
      <c r="F1449" s="16" t="n"/>
      <c r="G1449" s="16" t="n"/>
      <c r="H1449" s="63" t="n"/>
      <c r="I1449" s="64" t="n"/>
      <c r="J1449" s="16" t="n"/>
      <c r="K1449" s="16" t="n"/>
      <c r="M1449" s="89" t="n"/>
      <c r="N1449" s="1" t="n"/>
      <c r="O1449" s="1" t="n"/>
      <c r="P1449" s="1" t="n"/>
      <c r="Q1449" s="1" t="n"/>
      <c r="R1449" s="1" t="n"/>
    </row>
    <row r="1450">
      <c r="A1450" s="61" t="n"/>
      <c r="B1450" s="16" t="n"/>
      <c r="C1450" s="90" t="n"/>
      <c r="D1450" s="90" t="n"/>
      <c r="E1450" s="90" t="n"/>
      <c r="F1450" s="16" t="n"/>
      <c r="G1450" s="16" t="n"/>
      <c r="H1450" s="63" t="n"/>
      <c r="I1450" s="64" t="n"/>
      <c r="J1450" s="16" t="n"/>
      <c r="K1450" s="16" t="n"/>
      <c r="M1450" s="89" t="n"/>
      <c r="N1450" s="1" t="n"/>
      <c r="O1450" s="1" t="n"/>
      <c r="P1450" s="1" t="n"/>
      <c r="Q1450" s="1" t="n"/>
      <c r="R1450" s="1" t="n"/>
    </row>
    <row r="1451">
      <c r="A1451" s="61" t="n"/>
      <c r="B1451" s="16" t="n"/>
      <c r="C1451" s="90" t="n"/>
      <c r="D1451" s="90" t="n"/>
      <c r="E1451" s="90" t="n"/>
      <c r="F1451" s="16" t="n"/>
      <c r="G1451" s="16" t="n"/>
      <c r="H1451" s="63" t="n"/>
      <c r="I1451" s="64" t="n"/>
      <c r="J1451" s="16" t="n"/>
      <c r="K1451" s="16" t="n"/>
      <c r="M1451" s="89" t="n"/>
      <c r="N1451" s="1" t="n"/>
      <c r="O1451" s="1" t="n"/>
      <c r="P1451" s="1" t="n"/>
      <c r="Q1451" s="1" t="n"/>
      <c r="R1451" s="1" t="n"/>
    </row>
    <row r="1452">
      <c r="A1452" s="61" t="n"/>
      <c r="B1452" s="16" t="n"/>
      <c r="C1452" s="90" t="n"/>
      <c r="D1452" s="90" t="n"/>
      <c r="E1452" s="90" t="n"/>
      <c r="F1452" s="16" t="n"/>
      <c r="G1452" s="16" t="n"/>
      <c r="H1452" s="63" t="n"/>
      <c r="I1452" s="64" t="n"/>
      <c r="J1452" s="16" t="n"/>
      <c r="K1452" s="16" t="n"/>
      <c r="M1452" s="89" t="n"/>
      <c r="N1452" s="1" t="n"/>
      <c r="O1452" s="1" t="n"/>
      <c r="P1452" s="1" t="n"/>
      <c r="Q1452" s="1" t="n"/>
      <c r="R1452" s="1" t="n"/>
    </row>
    <row r="1453">
      <c r="A1453" s="61" t="n"/>
      <c r="B1453" s="16" t="n"/>
      <c r="C1453" s="90" t="n"/>
      <c r="D1453" s="90" t="n"/>
      <c r="E1453" s="90" t="n"/>
      <c r="F1453" s="16" t="n"/>
      <c r="G1453" s="16" t="n"/>
      <c r="H1453" s="63" t="n"/>
      <c r="I1453" s="64" t="n"/>
      <c r="J1453" s="16" t="n"/>
      <c r="K1453" s="16" t="n"/>
      <c r="M1453" s="89" t="n"/>
      <c r="N1453" s="1" t="n"/>
      <c r="O1453" s="1" t="n"/>
      <c r="P1453" s="1" t="n"/>
      <c r="Q1453" s="1" t="n"/>
      <c r="R1453" s="1" t="n"/>
    </row>
    <row r="1454">
      <c r="A1454" s="61" t="n"/>
      <c r="B1454" s="16" t="n"/>
      <c r="C1454" s="90" t="n"/>
      <c r="D1454" s="90" t="n"/>
      <c r="E1454" s="90" t="n"/>
      <c r="F1454" s="16" t="n"/>
      <c r="G1454" s="16" t="n"/>
      <c r="H1454" s="63" t="n"/>
      <c r="I1454" s="64" t="n"/>
      <c r="J1454" s="16" t="n"/>
      <c r="K1454" s="16" t="n"/>
      <c r="M1454" s="89" t="n"/>
      <c r="N1454" s="1" t="n"/>
      <c r="O1454" s="1" t="n"/>
      <c r="P1454" s="1" t="n"/>
      <c r="Q1454" s="1" t="n"/>
      <c r="R1454" s="1" t="n"/>
    </row>
    <row r="1455">
      <c r="A1455" s="61" t="n"/>
      <c r="B1455" s="16" t="n"/>
      <c r="C1455" s="90" t="n"/>
      <c r="D1455" s="90" t="n"/>
      <c r="E1455" s="90" t="n"/>
      <c r="F1455" s="16" t="n"/>
      <c r="G1455" s="16" t="n"/>
      <c r="H1455" s="63" t="n"/>
      <c r="I1455" s="64" t="n"/>
      <c r="J1455" s="16" t="n"/>
      <c r="K1455" s="16" t="n"/>
      <c r="M1455" s="89" t="n"/>
      <c r="N1455" s="1" t="n"/>
      <c r="O1455" s="1" t="n"/>
      <c r="P1455" s="1" t="n"/>
      <c r="Q1455" s="1" t="n"/>
      <c r="R1455" s="1" t="n"/>
    </row>
    <row r="1456">
      <c r="A1456" s="61" t="n"/>
      <c r="B1456" s="16" t="n"/>
      <c r="C1456" s="90" t="n"/>
      <c r="D1456" s="90" t="n"/>
      <c r="E1456" s="90" t="n"/>
      <c r="F1456" s="16" t="n"/>
      <c r="G1456" s="16" t="n"/>
      <c r="H1456" s="63" t="n"/>
      <c r="I1456" s="64" t="n"/>
      <c r="J1456" s="16" t="n"/>
      <c r="K1456" s="16" t="n"/>
      <c r="M1456" s="89" t="n"/>
      <c r="N1456" s="1" t="n"/>
      <c r="O1456" s="1" t="n"/>
      <c r="P1456" s="1" t="n"/>
      <c r="Q1456" s="1" t="n"/>
      <c r="R1456" s="1" t="n"/>
    </row>
    <row r="1457">
      <c r="A1457" s="61" t="n"/>
      <c r="B1457" s="16" t="n"/>
      <c r="C1457" s="90" t="n"/>
      <c r="D1457" s="90" t="n"/>
      <c r="E1457" s="90" t="n"/>
      <c r="F1457" s="16" t="n"/>
      <c r="G1457" s="16" t="n"/>
      <c r="H1457" s="63" t="n"/>
      <c r="I1457" s="64" t="n"/>
      <c r="J1457" s="16" t="n"/>
      <c r="K1457" s="16" t="n"/>
      <c r="M1457" s="89" t="n"/>
      <c r="N1457" s="1" t="n"/>
      <c r="O1457" s="1" t="n"/>
      <c r="P1457" s="1" t="n"/>
      <c r="Q1457" s="1" t="n"/>
      <c r="R1457" s="1" t="n"/>
    </row>
    <row r="1458">
      <c r="A1458" s="61" t="n"/>
      <c r="B1458" s="16" t="n"/>
      <c r="C1458" s="90" t="n"/>
      <c r="D1458" s="90" t="n"/>
      <c r="E1458" s="90" t="n"/>
      <c r="F1458" s="16" t="n"/>
      <c r="G1458" s="16" t="n"/>
      <c r="H1458" s="63" t="n"/>
      <c r="I1458" s="64" t="n"/>
      <c r="J1458" s="16" t="n"/>
      <c r="K1458" s="16" t="n"/>
      <c r="M1458" s="89" t="n"/>
      <c r="N1458" s="1" t="n"/>
      <c r="O1458" s="1" t="n"/>
      <c r="P1458" s="1" t="n"/>
      <c r="Q1458" s="1" t="n"/>
      <c r="R1458" s="1" t="n"/>
    </row>
    <row r="1459">
      <c r="A1459" s="61" t="n"/>
      <c r="B1459" s="16" t="n"/>
      <c r="C1459" s="90" t="n"/>
      <c r="D1459" s="90" t="n"/>
      <c r="E1459" s="90" t="n"/>
      <c r="F1459" s="16" t="n"/>
      <c r="G1459" s="16" t="n"/>
      <c r="H1459" s="63" t="n"/>
      <c r="I1459" s="64" t="n"/>
      <c r="J1459" s="16" t="n"/>
      <c r="K1459" s="16" t="n"/>
      <c r="M1459" s="89" t="n"/>
      <c r="N1459" s="1" t="n"/>
      <c r="O1459" s="1" t="n"/>
      <c r="P1459" s="1" t="n"/>
      <c r="Q1459" s="1" t="n"/>
      <c r="R1459" s="1" t="n"/>
    </row>
    <row r="1460">
      <c r="A1460" s="61" t="n"/>
      <c r="B1460" s="16" t="n"/>
      <c r="C1460" s="90" t="n"/>
      <c r="D1460" s="90" t="n"/>
      <c r="E1460" s="90" t="n"/>
      <c r="F1460" s="16" t="n"/>
      <c r="G1460" s="16" t="n"/>
      <c r="H1460" s="63" t="n"/>
      <c r="I1460" s="64" t="n"/>
      <c r="J1460" s="16" t="n"/>
      <c r="K1460" s="16" t="n"/>
      <c r="M1460" s="89" t="n"/>
      <c r="N1460" s="1" t="n"/>
      <c r="O1460" s="1" t="n"/>
      <c r="P1460" s="1" t="n"/>
      <c r="Q1460" s="1" t="n"/>
      <c r="R1460" s="1" t="n"/>
    </row>
    <row r="1461">
      <c r="A1461" s="61" t="n"/>
      <c r="B1461" s="16" t="n"/>
      <c r="C1461" s="90" t="n"/>
      <c r="D1461" s="90" t="n"/>
      <c r="E1461" s="90" t="n"/>
      <c r="F1461" s="16" t="n"/>
      <c r="G1461" s="16" t="n"/>
      <c r="H1461" s="63" t="n"/>
      <c r="I1461" s="64" t="n"/>
      <c r="J1461" s="16" t="n"/>
      <c r="K1461" s="16" t="n"/>
      <c r="M1461" s="89" t="n"/>
      <c r="N1461" s="1" t="n"/>
      <c r="O1461" s="1" t="n"/>
      <c r="P1461" s="1" t="n"/>
      <c r="Q1461" s="1" t="n"/>
      <c r="R1461" s="1" t="n"/>
    </row>
    <row r="1462">
      <c r="A1462" s="61" t="n"/>
      <c r="B1462" s="16" t="n"/>
      <c r="C1462" s="90" t="n"/>
      <c r="D1462" s="90" t="n"/>
      <c r="E1462" s="90" t="n"/>
      <c r="F1462" s="16" t="n"/>
      <c r="G1462" s="16" t="n"/>
      <c r="H1462" s="63" t="n"/>
      <c r="I1462" s="64" t="n"/>
      <c r="J1462" s="16" t="n"/>
      <c r="K1462" s="16" t="n"/>
      <c r="M1462" s="89" t="n"/>
      <c r="N1462" s="1" t="n"/>
      <c r="O1462" s="1" t="n"/>
      <c r="P1462" s="1" t="n"/>
      <c r="Q1462" s="1" t="n"/>
      <c r="R1462" s="1" t="n"/>
    </row>
    <row r="1463">
      <c r="A1463" s="61" t="n"/>
      <c r="B1463" s="16" t="n"/>
      <c r="C1463" s="90" t="n"/>
      <c r="D1463" s="90" t="n"/>
      <c r="E1463" s="90" t="n"/>
      <c r="F1463" s="16" t="n"/>
      <c r="G1463" s="16" t="n"/>
      <c r="H1463" s="63" t="n"/>
      <c r="I1463" s="64" t="n"/>
      <c r="J1463" s="16" t="n"/>
      <c r="K1463" s="16" t="n"/>
      <c r="M1463" s="89" t="n"/>
      <c r="N1463" s="1" t="n"/>
      <c r="O1463" s="1" t="n"/>
      <c r="P1463" s="1" t="n"/>
      <c r="Q1463" s="1" t="n"/>
      <c r="R1463" s="1" t="n"/>
    </row>
    <row r="1464">
      <c r="A1464" s="61" t="n"/>
      <c r="B1464" s="16" t="n"/>
      <c r="C1464" s="90" t="n"/>
      <c r="D1464" s="90" t="n"/>
      <c r="E1464" s="90" t="n"/>
      <c r="F1464" s="16" t="n"/>
      <c r="G1464" s="16" t="n"/>
      <c r="H1464" s="63" t="n"/>
      <c r="I1464" s="64" t="n"/>
      <c r="J1464" s="16" t="n"/>
      <c r="K1464" s="16" t="n"/>
      <c r="M1464" s="89" t="n"/>
      <c r="N1464" s="1" t="n"/>
      <c r="O1464" s="1" t="n"/>
      <c r="P1464" s="1" t="n"/>
      <c r="Q1464" s="1" t="n"/>
      <c r="R1464" s="1" t="n"/>
    </row>
    <row r="1465">
      <c r="A1465" s="61" t="n"/>
      <c r="B1465" s="16" t="n"/>
      <c r="C1465" s="90" t="n"/>
      <c r="D1465" s="90" t="n"/>
      <c r="E1465" s="90" t="n"/>
      <c r="F1465" s="16" t="n"/>
      <c r="G1465" s="16" t="n"/>
      <c r="H1465" s="63" t="n"/>
      <c r="I1465" s="64" t="n"/>
      <c r="J1465" s="16" t="n"/>
      <c r="K1465" s="16" t="n"/>
      <c r="M1465" s="89" t="n"/>
      <c r="N1465" s="1" t="n"/>
      <c r="O1465" s="1" t="n"/>
      <c r="P1465" s="1" t="n"/>
      <c r="Q1465" s="1" t="n"/>
      <c r="R1465" s="1" t="n"/>
    </row>
    <row r="1466">
      <c r="A1466" s="61" t="n"/>
      <c r="B1466" s="16" t="n"/>
      <c r="C1466" s="90" t="n"/>
      <c r="D1466" s="90" t="n"/>
      <c r="E1466" s="90" t="n"/>
      <c r="F1466" s="16" t="n"/>
      <c r="G1466" s="16" t="n"/>
      <c r="H1466" s="63" t="n"/>
      <c r="I1466" s="64" t="n"/>
      <c r="J1466" s="16" t="n"/>
      <c r="K1466" s="16" t="n"/>
      <c r="M1466" s="89" t="n"/>
      <c r="N1466" s="1" t="n"/>
      <c r="O1466" s="1" t="n"/>
      <c r="P1466" s="1" t="n"/>
      <c r="Q1466" s="1" t="n"/>
      <c r="R1466" s="1" t="n"/>
    </row>
    <row r="1467">
      <c r="A1467" s="61" t="n"/>
      <c r="B1467" s="16" t="n"/>
      <c r="C1467" s="90" t="n"/>
      <c r="D1467" s="90" t="n"/>
      <c r="E1467" s="90" t="n"/>
      <c r="F1467" s="16" t="n"/>
      <c r="G1467" s="16" t="n"/>
      <c r="H1467" s="63" t="n"/>
      <c r="I1467" s="64" t="n"/>
      <c r="J1467" s="16" t="n"/>
      <c r="K1467" s="16" t="n"/>
      <c r="M1467" s="89" t="n"/>
      <c r="N1467" s="1" t="n"/>
      <c r="O1467" s="1" t="n"/>
      <c r="P1467" s="1" t="n"/>
      <c r="Q1467" s="1" t="n"/>
      <c r="R1467" s="1" t="n"/>
    </row>
    <row r="1468">
      <c r="A1468" s="61" t="n"/>
      <c r="B1468" s="16" t="n"/>
      <c r="C1468" s="90" t="n"/>
      <c r="D1468" s="90" t="n"/>
      <c r="E1468" s="90" t="n"/>
      <c r="F1468" s="16" t="n"/>
      <c r="G1468" s="16" t="n"/>
      <c r="H1468" s="63" t="n"/>
      <c r="I1468" s="64" t="n"/>
      <c r="J1468" s="16" t="n"/>
      <c r="K1468" s="16" t="n"/>
      <c r="M1468" s="89" t="n"/>
      <c r="N1468" s="1" t="n"/>
      <c r="O1468" s="1" t="n"/>
      <c r="P1468" s="1" t="n"/>
      <c r="Q1468" s="1" t="n"/>
      <c r="R1468" s="1" t="n"/>
    </row>
    <row r="1469">
      <c r="A1469" s="61" t="n"/>
      <c r="B1469" s="16" t="n"/>
      <c r="C1469" s="90" t="n"/>
      <c r="D1469" s="90" t="n"/>
      <c r="E1469" s="90" t="n"/>
      <c r="F1469" s="16" t="n"/>
      <c r="G1469" s="16" t="n"/>
      <c r="H1469" s="63" t="n"/>
      <c r="I1469" s="64" t="n"/>
      <c r="J1469" s="16" t="n"/>
      <c r="K1469" s="16" t="n"/>
      <c r="M1469" s="89" t="n"/>
      <c r="N1469" s="1" t="n"/>
      <c r="O1469" s="1" t="n"/>
      <c r="P1469" s="1" t="n"/>
      <c r="Q1469" s="1" t="n"/>
      <c r="R1469" s="1" t="n"/>
    </row>
    <row r="1470">
      <c r="A1470" s="61" t="n"/>
      <c r="B1470" s="16" t="n"/>
      <c r="C1470" s="90" t="n"/>
      <c r="D1470" s="90" t="n"/>
      <c r="E1470" s="90" t="n"/>
      <c r="F1470" s="16" t="n"/>
      <c r="G1470" s="16" t="n"/>
      <c r="H1470" s="63" t="n"/>
      <c r="I1470" s="64" t="n"/>
      <c r="J1470" s="16" t="n"/>
      <c r="K1470" s="16" t="n"/>
      <c r="M1470" s="89" t="n"/>
      <c r="N1470" s="1" t="n"/>
      <c r="O1470" s="1" t="n"/>
      <c r="P1470" s="1" t="n"/>
      <c r="Q1470" s="1" t="n"/>
      <c r="R1470" s="1" t="n"/>
    </row>
    <row r="1471">
      <c r="A1471" s="61" t="n"/>
      <c r="B1471" s="16" t="n"/>
      <c r="C1471" s="90" t="n"/>
      <c r="D1471" s="90" t="n"/>
      <c r="E1471" s="90" t="n"/>
      <c r="F1471" s="16" t="n"/>
      <c r="G1471" s="16" t="n"/>
      <c r="H1471" s="63" t="n"/>
      <c r="I1471" s="64" t="n"/>
      <c r="J1471" s="16" t="n"/>
      <c r="K1471" s="16" t="n"/>
      <c r="M1471" s="89" t="n"/>
      <c r="N1471" s="1" t="n"/>
      <c r="O1471" s="1" t="n"/>
      <c r="P1471" s="1" t="n"/>
      <c r="Q1471" s="1" t="n"/>
      <c r="R1471" s="1" t="n"/>
    </row>
    <row r="1472">
      <c r="A1472" s="61" t="n"/>
      <c r="B1472" s="16" t="n"/>
      <c r="C1472" s="90" t="n"/>
      <c r="D1472" s="90" t="n"/>
      <c r="E1472" s="90" t="n"/>
      <c r="F1472" s="16" t="n"/>
      <c r="G1472" s="16" t="n"/>
      <c r="H1472" s="63" t="n"/>
      <c r="I1472" s="64" t="n"/>
      <c r="J1472" s="16" t="n"/>
      <c r="K1472" s="16" t="n"/>
      <c r="M1472" s="89" t="n"/>
      <c r="N1472" s="1" t="n"/>
      <c r="O1472" s="1" t="n"/>
      <c r="P1472" s="1" t="n"/>
      <c r="Q1472" s="1" t="n"/>
      <c r="R1472" s="1" t="n"/>
    </row>
    <row r="1473">
      <c r="A1473" s="61" t="n"/>
      <c r="B1473" s="16" t="n"/>
      <c r="C1473" s="90" t="n"/>
      <c r="D1473" s="90" t="n"/>
      <c r="E1473" s="90" t="n"/>
      <c r="F1473" s="16" t="n"/>
      <c r="G1473" s="16" t="n"/>
      <c r="H1473" s="63" t="n"/>
      <c r="I1473" s="64" t="n"/>
      <c r="J1473" s="16" t="n"/>
      <c r="K1473" s="16" t="n"/>
      <c r="M1473" s="89" t="n"/>
      <c r="N1473" s="1" t="n"/>
      <c r="O1473" s="1" t="n"/>
      <c r="P1473" s="1" t="n"/>
      <c r="Q1473" s="1" t="n"/>
      <c r="R1473" s="1" t="n"/>
    </row>
    <row r="1474">
      <c r="A1474" s="61" t="n"/>
      <c r="B1474" s="16" t="n"/>
      <c r="C1474" s="90" t="n"/>
      <c r="D1474" s="90" t="n"/>
      <c r="E1474" s="90" t="n"/>
      <c r="F1474" s="16" t="n"/>
      <c r="G1474" s="16" t="n"/>
      <c r="H1474" s="63" t="n"/>
      <c r="I1474" s="64" t="n"/>
      <c r="J1474" s="16" t="n"/>
      <c r="K1474" s="16" t="n"/>
      <c r="M1474" s="89" t="n"/>
      <c r="N1474" s="1" t="n"/>
      <c r="O1474" s="1" t="n"/>
      <c r="P1474" s="1" t="n"/>
      <c r="Q1474" s="1" t="n"/>
      <c r="R1474" s="1" t="n"/>
    </row>
    <row r="1475">
      <c r="A1475" s="61" t="n"/>
      <c r="B1475" s="16" t="n"/>
      <c r="C1475" s="90" t="n"/>
      <c r="D1475" s="90" t="n"/>
      <c r="E1475" s="90" t="n"/>
      <c r="F1475" s="16" t="n"/>
      <c r="G1475" s="16" t="n"/>
      <c r="H1475" s="63" t="n"/>
      <c r="I1475" s="64" t="n"/>
      <c r="J1475" s="16" t="n"/>
      <c r="K1475" s="16" t="n"/>
      <c r="M1475" s="89" t="n"/>
      <c r="N1475" s="1" t="n"/>
      <c r="O1475" s="1" t="n"/>
      <c r="P1475" s="1" t="n"/>
      <c r="Q1475" s="1" t="n"/>
      <c r="R1475" s="1" t="n"/>
    </row>
    <row r="1476">
      <c r="A1476" s="61" t="n"/>
      <c r="B1476" s="16" t="n"/>
      <c r="C1476" s="90" t="n"/>
      <c r="D1476" s="90" t="n"/>
      <c r="E1476" s="90" t="n"/>
      <c r="F1476" s="16" t="n"/>
      <c r="G1476" s="16" t="n"/>
      <c r="H1476" s="63" t="n"/>
      <c r="I1476" s="64" t="n"/>
      <c r="J1476" s="16" t="n"/>
      <c r="K1476" s="16" t="n"/>
      <c r="M1476" s="89" t="n"/>
      <c r="N1476" s="1" t="n"/>
      <c r="O1476" s="1" t="n"/>
      <c r="P1476" s="1" t="n"/>
      <c r="Q1476" s="1" t="n"/>
      <c r="R1476" s="1" t="n"/>
    </row>
    <row r="1477">
      <c r="A1477" s="61" t="n"/>
      <c r="B1477" s="16" t="n"/>
      <c r="C1477" s="90" t="n"/>
      <c r="D1477" s="90" t="n"/>
      <c r="E1477" s="90" t="n"/>
      <c r="F1477" s="16" t="n"/>
      <c r="G1477" s="16" t="n"/>
      <c r="H1477" s="63" t="n"/>
      <c r="I1477" s="64" t="n"/>
      <c r="J1477" s="16" t="n"/>
      <c r="K1477" s="16" t="n"/>
      <c r="M1477" s="89" t="n"/>
      <c r="N1477" s="1" t="n"/>
      <c r="O1477" s="1" t="n"/>
      <c r="P1477" s="1" t="n"/>
      <c r="Q1477" s="1" t="n"/>
      <c r="R1477" s="1" t="n"/>
    </row>
    <row r="1478">
      <c r="A1478" s="61" t="n"/>
      <c r="B1478" s="16" t="n"/>
      <c r="C1478" s="90" t="n"/>
      <c r="D1478" s="90" t="n"/>
      <c r="E1478" s="90" t="n"/>
      <c r="F1478" s="16" t="n"/>
      <c r="G1478" s="16" t="n"/>
      <c r="H1478" s="63" t="n"/>
      <c r="I1478" s="64" t="n"/>
      <c r="J1478" s="16" t="n"/>
      <c r="K1478" s="16" t="n"/>
      <c r="M1478" s="89" t="n"/>
      <c r="N1478" s="1" t="n"/>
      <c r="O1478" s="1" t="n"/>
      <c r="P1478" s="1" t="n"/>
      <c r="Q1478" s="1" t="n"/>
      <c r="R1478" s="1" t="n"/>
    </row>
    <row r="1479">
      <c r="A1479" s="61" t="n"/>
      <c r="B1479" s="16" t="n"/>
      <c r="C1479" s="90" t="n"/>
      <c r="D1479" s="90" t="n"/>
      <c r="E1479" s="90" t="n"/>
      <c r="F1479" s="16" t="n"/>
      <c r="G1479" s="16" t="n"/>
      <c r="H1479" s="63" t="n"/>
      <c r="I1479" s="64" t="n"/>
      <c r="J1479" s="16" t="n"/>
      <c r="K1479" s="16" t="n"/>
      <c r="M1479" s="89" t="n"/>
      <c r="N1479" s="1" t="n"/>
      <c r="O1479" s="1" t="n"/>
      <c r="P1479" s="1" t="n"/>
      <c r="Q1479" s="1" t="n"/>
      <c r="R1479" s="1" t="n"/>
    </row>
    <row r="1480">
      <c r="A1480" s="61" t="n"/>
      <c r="B1480" s="16" t="n"/>
      <c r="C1480" s="90" t="n"/>
      <c r="D1480" s="90" t="n"/>
      <c r="E1480" s="90" t="n"/>
      <c r="F1480" s="16" t="n"/>
      <c r="G1480" s="16" t="n"/>
      <c r="H1480" s="63" t="n"/>
      <c r="I1480" s="64" t="n"/>
      <c r="J1480" s="16" t="n"/>
      <c r="K1480" s="16" t="n"/>
      <c r="M1480" s="89" t="n"/>
      <c r="N1480" s="1" t="n"/>
      <c r="O1480" s="1" t="n"/>
      <c r="P1480" s="1" t="n"/>
      <c r="Q1480" s="1" t="n"/>
      <c r="R1480" s="1" t="n"/>
    </row>
    <row r="1481">
      <c r="A1481" s="61" t="n"/>
      <c r="B1481" s="16" t="n"/>
      <c r="C1481" s="90" t="n"/>
      <c r="D1481" s="90" t="n"/>
      <c r="E1481" s="90" t="n"/>
      <c r="F1481" s="16" t="n"/>
      <c r="G1481" s="16" t="n"/>
      <c r="H1481" s="63" t="n"/>
      <c r="I1481" s="64" t="n"/>
      <c r="J1481" s="16" t="n"/>
      <c r="K1481" s="16" t="n"/>
      <c r="M1481" s="89" t="n"/>
      <c r="N1481" s="1" t="n"/>
      <c r="O1481" s="1" t="n"/>
      <c r="P1481" s="1" t="n"/>
      <c r="Q1481" s="1" t="n"/>
      <c r="R1481" s="1" t="n"/>
    </row>
    <row r="1482">
      <c r="A1482" s="61" t="n"/>
      <c r="B1482" s="16" t="n"/>
      <c r="C1482" s="90" t="n"/>
      <c r="D1482" s="90" t="n"/>
      <c r="E1482" s="90" t="n"/>
      <c r="F1482" s="16" t="n"/>
      <c r="G1482" s="16" t="n"/>
      <c r="H1482" s="63" t="n"/>
      <c r="I1482" s="64" t="n"/>
      <c r="J1482" s="16" t="n"/>
      <c r="K1482" s="16" t="n"/>
      <c r="M1482" s="89" t="n"/>
      <c r="N1482" s="1" t="n"/>
      <c r="O1482" s="1" t="n"/>
      <c r="P1482" s="1" t="n"/>
      <c r="Q1482" s="1" t="n"/>
      <c r="R1482" s="1" t="n"/>
    </row>
    <row r="1483">
      <c r="A1483" s="61" t="n"/>
      <c r="B1483" s="16" t="n"/>
      <c r="C1483" s="90" t="n"/>
      <c r="D1483" s="90" t="n"/>
      <c r="E1483" s="90" t="n"/>
      <c r="F1483" s="16" t="n"/>
      <c r="G1483" s="16" t="n"/>
      <c r="H1483" s="63" t="n"/>
      <c r="I1483" s="64" t="n"/>
      <c r="J1483" s="16" t="n"/>
      <c r="K1483" s="16" t="n"/>
      <c r="M1483" s="89" t="n"/>
      <c r="N1483" s="1" t="n"/>
      <c r="O1483" s="1" t="n"/>
      <c r="P1483" s="1" t="n"/>
      <c r="Q1483" s="1" t="n"/>
      <c r="R1483" s="1" t="n"/>
    </row>
    <row r="1484">
      <c r="A1484" s="61" t="n"/>
      <c r="B1484" s="16" t="n"/>
      <c r="C1484" s="90" t="n"/>
      <c r="D1484" s="90" t="n"/>
      <c r="E1484" s="90" t="n"/>
      <c r="F1484" s="16" t="n"/>
      <c r="G1484" s="16" t="n"/>
      <c r="H1484" s="63" t="n"/>
      <c r="I1484" s="64" t="n"/>
      <c r="J1484" s="16" t="n"/>
      <c r="K1484" s="16" t="n"/>
      <c r="M1484" s="89" t="n"/>
      <c r="N1484" s="1" t="n"/>
      <c r="O1484" s="1" t="n"/>
      <c r="P1484" s="1" t="n"/>
      <c r="Q1484" s="1" t="n"/>
      <c r="R1484" s="1" t="n"/>
    </row>
    <row r="1485">
      <c r="A1485" s="61" t="n"/>
      <c r="B1485" s="16" t="n"/>
      <c r="C1485" s="90" t="n"/>
      <c r="D1485" s="90" t="n"/>
      <c r="E1485" s="90" t="n"/>
      <c r="F1485" s="16" t="n"/>
      <c r="G1485" s="16" t="n"/>
      <c r="H1485" s="63" t="n"/>
      <c r="I1485" s="64" t="n"/>
      <c r="J1485" s="16" t="n"/>
      <c r="K1485" s="16" t="n"/>
      <c r="M1485" s="89" t="n"/>
      <c r="N1485" s="1" t="n"/>
      <c r="O1485" s="1" t="n"/>
      <c r="P1485" s="1" t="n"/>
      <c r="Q1485" s="1" t="n"/>
      <c r="R1485" s="1" t="n"/>
    </row>
    <row r="1486">
      <c r="A1486" s="61" t="n"/>
      <c r="B1486" s="16" t="n"/>
      <c r="C1486" s="90" t="n"/>
      <c r="D1486" s="90" t="n"/>
      <c r="E1486" s="90" t="n"/>
      <c r="F1486" s="16" t="n"/>
      <c r="G1486" s="16" t="n"/>
      <c r="H1486" s="63" t="n"/>
      <c r="I1486" s="64" t="n"/>
      <c r="J1486" s="16" t="n"/>
      <c r="K1486" s="16" t="n"/>
      <c r="M1486" s="89" t="n"/>
      <c r="N1486" s="1" t="n"/>
      <c r="O1486" s="1" t="n"/>
      <c r="P1486" s="1" t="n"/>
      <c r="Q1486" s="1" t="n"/>
      <c r="R1486" s="1" t="n"/>
    </row>
    <row r="1487">
      <c r="A1487" s="61" t="n"/>
      <c r="B1487" s="16" t="n"/>
      <c r="C1487" s="90" t="n"/>
      <c r="D1487" s="90" t="n"/>
      <c r="E1487" s="90" t="n"/>
      <c r="F1487" s="16" t="n"/>
      <c r="G1487" s="16" t="n"/>
      <c r="H1487" s="63" t="n"/>
      <c r="I1487" s="64" t="n"/>
      <c r="J1487" s="16" t="n"/>
      <c r="K1487" s="16" t="n"/>
      <c r="M1487" s="89" t="n"/>
      <c r="N1487" s="1" t="n"/>
      <c r="O1487" s="1" t="n"/>
      <c r="P1487" s="1" t="n"/>
      <c r="Q1487" s="1" t="n"/>
      <c r="R1487" s="1" t="n"/>
    </row>
    <row r="1488">
      <c r="A1488" s="61" t="n"/>
      <c r="B1488" s="16" t="n"/>
      <c r="C1488" s="90" t="n"/>
      <c r="D1488" s="90" t="n"/>
      <c r="E1488" s="90" t="n"/>
      <c r="F1488" s="16" t="n"/>
      <c r="G1488" s="16" t="n"/>
      <c r="H1488" s="63" t="n"/>
      <c r="I1488" s="64" t="n"/>
      <c r="J1488" s="16" t="n"/>
      <c r="K1488" s="16" t="n"/>
      <c r="M1488" s="89" t="n"/>
      <c r="N1488" s="1" t="n"/>
      <c r="O1488" s="1" t="n"/>
      <c r="P1488" s="1" t="n"/>
      <c r="Q1488" s="1" t="n"/>
      <c r="R1488" s="1" t="n"/>
    </row>
    <row r="1489">
      <c r="A1489" s="61" t="n"/>
      <c r="B1489" s="16" t="n"/>
      <c r="C1489" s="90" t="n"/>
      <c r="D1489" s="90" t="n"/>
      <c r="E1489" s="90" t="n"/>
      <c r="F1489" s="16" t="n"/>
      <c r="G1489" s="16" t="n"/>
      <c r="H1489" s="63" t="n"/>
      <c r="I1489" s="64" t="n"/>
      <c r="J1489" s="16" t="n"/>
      <c r="K1489" s="16" t="n"/>
      <c r="M1489" s="89" t="n"/>
      <c r="N1489" s="1" t="n"/>
      <c r="O1489" s="1" t="n"/>
      <c r="P1489" s="1" t="n"/>
      <c r="Q1489" s="1" t="n"/>
      <c r="R1489" s="1" t="n"/>
    </row>
    <row r="1490">
      <c r="A1490" s="61" t="n"/>
      <c r="B1490" s="16" t="n"/>
      <c r="C1490" s="90" t="n"/>
      <c r="D1490" s="90" t="n"/>
      <c r="E1490" s="90" t="n"/>
      <c r="F1490" s="16" t="n"/>
      <c r="G1490" s="16" t="n"/>
      <c r="H1490" s="63" t="n"/>
      <c r="I1490" s="64" t="n"/>
      <c r="J1490" s="16" t="n"/>
      <c r="K1490" s="16" t="n"/>
      <c r="M1490" s="89" t="n"/>
      <c r="N1490" s="1" t="n"/>
      <c r="O1490" s="1" t="n"/>
      <c r="P1490" s="1" t="n"/>
      <c r="Q1490" s="1" t="n"/>
      <c r="R1490" s="1" t="n"/>
    </row>
    <row r="1491">
      <c r="A1491" s="61" t="n"/>
      <c r="B1491" s="16" t="n"/>
      <c r="C1491" s="90" t="n"/>
      <c r="D1491" s="90" t="n"/>
      <c r="E1491" s="90" t="n"/>
      <c r="F1491" s="16" t="n"/>
      <c r="G1491" s="16" t="n"/>
      <c r="H1491" s="63" t="n"/>
      <c r="I1491" s="64" t="n"/>
      <c r="J1491" s="16" t="n"/>
      <c r="K1491" s="16" t="n"/>
      <c r="M1491" s="89" t="n"/>
      <c r="N1491" s="1" t="n"/>
      <c r="O1491" s="1" t="n"/>
      <c r="P1491" s="1" t="n"/>
      <c r="Q1491" s="1" t="n"/>
      <c r="R1491" s="1" t="n"/>
    </row>
    <row r="1492">
      <c r="A1492" s="61" t="n"/>
      <c r="B1492" s="16" t="n"/>
      <c r="C1492" s="90" t="n"/>
      <c r="D1492" s="90" t="n"/>
      <c r="E1492" s="90" t="n"/>
      <c r="F1492" s="16" t="n"/>
      <c r="G1492" s="16" t="n"/>
      <c r="H1492" s="63" t="n"/>
      <c r="I1492" s="64" t="n"/>
      <c r="J1492" s="16" t="n"/>
      <c r="K1492" s="16" t="n"/>
      <c r="M1492" s="89" t="n"/>
      <c r="N1492" s="1" t="n"/>
      <c r="O1492" s="1" t="n"/>
      <c r="P1492" s="1" t="n"/>
      <c r="Q1492" s="1" t="n"/>
      <c r="R1492" s="1" t="n"/>
    </row>
    <row r="1493">
      <c r="A1493" s="61" t="n"/>
      <c r="B1493" s="16" t="n"/>
      <c r="C1493" s="90" t="n"/>
      <c r="D1493" s="90" t="n"/>
      <c r="E1493" s="90" t="n"/>
      <c r="F1493" s="16" t="n"/>
      <c r="G1493" s="16" t="n"/>
      <c r="H1493" s="63" t="n"/>
      <c r="I1493" s="64" t="n"/>
      <c r="J1493" s="16" t="n"/>
      <c r="K1493" s="16" t="n"/>
      <c r="M1493" s="89" t="n"/>
      <c r="N1493" s="1" t="n"/>
      <c r="O1493" s="1" t="n"/>
      <c r="P1493" s="1" t="n"/>
      <c r="Q1493" s="1" t="n"/>
      <c r="R1493" s="1" t="n"/>
    </row>
    <row r="1494">
      <c r="A1494" s="61" t="n"/>
      <c r="B1494" s="16" t="n"/>
      <c r="C1494" s="90" t="n"/>
      <c r="D1494" s="90" t="n"/>
      <c r="E1494" s="90" t="n"/>
      <c r="F1494" s="16" t="n"/>
      <c r="G1494" s="16" t="n"/>
      <c r="H1494" s="63" t="n"/>
      <c r="I1494" s="64" t="n"/>
      <c r="J1494" s="16" t="n"/>
      <c r="K1494" s="16" t="n"/>
      <c r="M1494" s="89" t="n"/>
      <c r="N1494" s="1" t="n"/>
      <c r="O1494" s="1" t="n"/>
      <c r="P1494" s="1" t="n"/>
      <c r="Q1494" s="1" t="n"/>
      <c r="R1494" s="1" t="n"/>
    </row>
    <row r="1495">
      <c r="A1495" s="61" t="n"/>
      <c r="B1495" s="16" t="n"/>
      <c r="C1495" s="90" t="n"/>
      <c r="D1495" s="90" t="n"/>
      <c r="E1495" s="90" t="n"/>
      <c r="F1495" s="16" t="n"/>
      <c r="G1495" s="16" t="n"/>
      <c r="H1495" s="63" t="n"/>
      <c r="I1495" s="64" t="n"/>
      <c r="J1495" s="16" t="n"/>
      <c r="K1495" s="16" t="n"/>
      <c r="M1495" s="89" t="n"/>
      <c r="N1495" s="1" t="n"/>
      <c r="O1495" s="1" t="n"/>
      <c r="P1495" s="1" t="n"/>
      <c r="Q1495" s="1" t="n"/>
      <c r="R1495" s="1" t="n"/>
    </row>
    <row r="1496">
      <c r="A1496" s="61" t="n"/>
      <c r="B1496" s="16" t="n"/>
      <c r="C1496" s="90" t="n"/>
      <c r="D1496" s="90" t="n"/>
      <c r="E1496" s="90" t="n"/>
      <c r="F1496" s="16" t="n"/>
      <c r="G1496" s="16" t="n"/>
      <c r="H1496" s="63" t="n"/>
      <c r="I1496" s="64" t="n"/>
      <c r="J1496" s="16" t="n"/>
      <c r="K1496" s="16" t="n"/>
      <c r="M1496" s="89" t="n"/>
      <c r="N1496" s="1" t="n"/>
      <c r="O1496" s="1" t="n"/>
      <c r="P1496" s="1" t="n"/>
      <c r="Q1496" s="1" t="n"/>
      <c r="R1496" s="1" t="n"/>
    </row>
    <row r="1497">
      <c r="A1497" s="61" t="n"/>
      <c r="B1497" s="16" t="n"/>
      <c r="C1497" s="90" t="n"/>
      <c r="D1497" s="90" t="n"/>
      <c r="E1497" s="90" t="n"/>
      <c r="F1497" s="16" t="n"/>
      <c r="G1497" s="16" t="n"/>
      <c r="H1497" s="63" t="n"/>
      <c r="I1497" s="64" t="n"/>
      <c r="J1497" s="16" t="n"/>
      <c r="K1497" s="16" t="n"/>
      <c r="M1497" s="89" t="n"/>
      <c r="N1497" s="1" t="n"/>
      <c r="O1497" s="1" t="n"/>
      <c r="P1497" s="1" t="n"/>
      <c r="Q1497" s="1" t="n"/>
      <c r="R1497" s="1" t="n"/>
    </row>
    <row r="1498">
      <c r="A1498" s="61" t="n"/>
      <c r="B1498" s="16" t="n"/>
      <c r="C1498" s="90" t="n"/>
      <c r="D1498" s="90" t="n"/>
      <c r="E1498" s="90" t="n"/>
      <c r="F1498" s="16" t="n"/>
      <c r="G1498" s="16" t="n"/>
      <c r="H1498" s="63" t="n"/>
      <c r="I1498" s="64" t="n"/>
      <c r="J1498" s="16" t="n"/>
      <c r="K1498" s="16" t="n"/>
      <c r="M1498" s="89" t="n"/>
      <c r="N1498" s="1" t="n"/>
      <c r="O1498" s="1" t="n"/>
      <c r="P1498" s="1" t="n"/>
      <c r="Q1498" s="1" t="n"/>
      <c r="R1498" s="1" t="n"/>
    </row>
    <row r="1499">
      <c r="A1499" s="61" t="n"/>
      <c r="B1499" s="16" t="n"/>
      <c r="C1499" s="90" t="n"/>
      <c r="D1499" s="90" t="n"/>
      <c r="E1499" s="90" t="n"/>
      <c r="F1499" s="16" t="n"/>
      <c r="G1499" s="16" t="n"/>
      <c r="H1499" s="63" t="n"/>
      <c r="I1499" s="64" t="n"/>
      <c r="J1499" s="16" t="n"/>
      <c r="K1499" s="16" t="n"/>
      <c r="M1499" s="89" t="n"/>
      <c r="N1499" s="1" t="n"/>
      <c r="O1499" s="1" t="n"/>
      <c r="P1499" s="1" t="n"/>
      <c r="Q1499" s="1" t="n"/>
      <c r="R1499" s="1" t="n"/>
    </row>
    <row r="1500">
      <c r="A1500" s="61" t="n"/>
      <c r="B1500" s="16" t="n"/>
      <c r="C1500" s="90" t="n"/>
      <c r="D1500" s="90" t="n"/>
      <c r="E1500" s="90" t="n"/>
      <c r="F1500" s="16" t="n"/>
      <c r="G1500" s="16" t="n"/>
      <c r="H1500" s="63" t="n"/>
      <c r="I1500" s="64" t="n"/>
      <c r="J1500" s="16" t="n"/>
      <c r="K1500" s="16" t="n"/>
      <c r="M1500" s="89" t="n"/>
      <c r="N1500" s="1" t="n"/>
      <c r="O1500" s="1" t="n"/>
      <c r="P1500" s="1" t="n"/>
      <c r="Q1500" s="1" t="n"/>
      <c r="R1500" s="1" t="n"/>
    </row>
    <row r="1501">
      <c r="A1501" s="61" t="n"/>
      <c r="B1501" s="16" t="n"/>
      <c r="C1501" s="90" t="n"/>
      <c r="D1501" s="90" t="n"/>
      <c r="E1501" s="90" t="n"/>
      <c r="F1501" s="16" t="n"/>
      <c r="G1501" s="16" t="n"/>
      <c r="H1501" s="63" t="n"/>
      <c r="I1501" s="64" t="n"/>
      <c r="J1501" s="16" t="n"/>
      <c r="K1501" s="16" t="n"/>
      <c r="M1501" s="89" t="n"/>
      <c r="N1501" s="1" t="n"/>
      <c r="O1501" s="1" t="n"/>
      <c r="P1501" s="1" t="n"/>
      <c r="Q1501" s="1" t="n"/>
      <c r="R1501" s="1" t="n"/>
    </row>
    <row r="1502">
      <c r="A1502" s="61" t="n"/>
      <c r="B1502" s="16" t="n"/>
      <c r="C1502" s="90" t="n"/>
      <c r="D1502" s="90" t="n"/>
      <c r="E1502" s="90" t="n"/>
      <c r="F1502" s="16" t="n"/>
      <c r="G1502" s="16" t="n"/>
      <c r="H1502" s="63" t="n"/>
      <c r="I1502" s="64" t="n"/>
      <c r="J1502" s="16" t="n"/>
      <c r="K1502" s="16" t="n"/>
      <c r="M1502" s="89" t="n"/>
      <c r="N1502" s="1" t="n"/>
      <c r="O1502" s="1" t="n"/>
      <c r="P1502" s="1" t="n"/>
      <c r="Q1502" s="1" t="n"/>
      <c r="R1502" s="1" t="n"/>
    </row>
    <row r="1503">
      <c r="A1503" s="61" t="n"/>
      <c r="B1503" s="16" t="n"/>
      <c r="C1503" s="90" t="n"/>
      <c r="D1503" s="90" t="n"/>
      <c r="E1503" s="90" t="n"/>
      <c r="F1503" s="16" t="n"/>
      <c r="G1503" s="16" t="n"/>
      <c r="H1503" s="63" t="n"/>
      <c r="I1503" s="64" t="n"/>
      <c r="J1503" s="16" t="n"/>
      <c r="K1503" s="16" t="n"/>
      <c r="M1503" s="89" t="n"/>
      <c r="N1503" s="1" t="n"/>
      <c r="O1503" s="1" t="n"/>
      <c r="P1503" s="1" t="n"/>
      <c r="Q1503" s="1" t="n"/>
      <c r="R1503" s="1" t="n"/>
    </row>
    <row r="1504">
      <c r="A1504" s="61" t="n"/>
      <c r="B1504" s="16" t="n"/>
      <c r="C1504" s="90" t="n"/>
      <c r="D1504" s="90" t="n"/>
      <c r="E1504" s="90" t="n"/>
      <c r="F1504" s="16" t="n"/>
      <c r="G1504" s="16" t="n"/>
      <c r="H1504" s="63" t="n"/>
      <c r="I1504" s="64" t="n"/>
      <c r="J1504" s="16" t="n"/>
      <c r="K1504" s="16" t="n"/>
      <c r="M1504" s="89" t="n"/>
      <c r="N1504" s="1" t="n"/>
      <c r="O1504" s="1" t="n"/>
      <c r="P1504" s="1" t="n"/>
      <c r="Q1504" s="1" t="n"/>
      <c r="R1504" s="1" t="n"/>
    </row>
    <row r="1505">
      <c r="A1505" s="61" t="n"/>
      <c r="B1505" s="16" t="n"/>
      <c r="C1505" s="90" t="n"/>
      <c r="D1505" s="90" t="n"/>
      <c r="E1505" s="90" t="n"/>
      <c r="F1505" s="16" t="n"/>
      <c r="G1505" s="16" t="n"/>
      <c r="H1505" s="63" t="n"/>
      <c r="I1505" s="64" t="n"/>
      <c r="J1505" s="16" t="n"/>
      <c r="K1505" s="16" t="n"/>
      <c r="M1505" s="89" t="n"/>
      <c r="N1505" s="1" t="n"/>
      <c r="O1505" s="1" t="n"/>
      <c r="P1505" s="1" t="n"/>
      <c r="Q1505" s="1" t="n"/>
      <c r="R1505" s="1" t="n"/>
    </row>
    <row r="1506">
      <c r="A1506" s="61" t="n"/>
      <c r="B1506" s="16" t="n"/>
      <c r="C1506" s="90" t="n"/>
      <c r="D1506" s="90" t="n"/>
      <c r="E1506" s="90" t="n"/>
      <c r="F1506" s="16" t="n"/>
      <c r="G1506" s="16" t="n"/>
      <c r="H1506" s="63" t="n"/>
      <c r="I1506" s="64" t="n"/>
      <c r="J1506" s="16" t="n"/>
      <c r="K1506" s="16" t="n"/>
      <c r="M1506" s="89" t="n"/>
      <c r="N1506" s="1" t="n"/>
      <c r="O1506" s="1" t="n"/>
      <c r="P1506" s="1" t="n"/>
      <c r="Q1506" s="1" t="n"/>
      <c r="R1506" s="1" t="n"/>
    </row>
    <row r="1507">
      <c r="A1507" s="61" t="n"/>
      <c r="B1507" s="16" t="n"/>
      <c r="C1507" s="90" t="n"/>
      <c r="D1507" s="90" t="n"/>
      <c r="E1507" s="90" t="n"/>
      <c r="F1507" s="16" t="n"/>
      <c r="G1507" s="16" t="n"/>
      <c r="H1507" s="63" t="n"/>
      <c r="I1507" s="64" t="n"/>
      <c r="J1507" s="16" t="n"/>
      <c r="K1507" s="16" t="n"/>
      <c r="M1507" s="89" t="n"/>
      <c r="N1507" s="1" t="n"/>
      <c r="O1507" s="1" t="n"/>
      <c r="P1507" s="1" t="n"/>
      <c r="Q1507" s="1" t="n"/>
      <c r="R1507" s="1" t="n"/>
    </row>
    <row r="1508">
      <c r="A1508" s="61" t="n"/>
      <c r="B1508" s="16" t="n"/>
      <c r="C1508" s="90" t="n"/>
      <c r="D1508" s="90" t="n"/>
      <c r="E1508" s="90" t="n"/>
      <c r="F1508" s="16" t="n"/>
      <c r="G1508" s="16" t="n"/>
      <c r="H1508" s="63" t="n"/>
      <c r="I1508" s="64" t="n"/>
      <c r="J1508" s="16" t="n"/>
      <c r="K1508" s="16" t="n"/>
      <c r="M1508" s="89" t="n"/>
      <c r="N1508" s="1" t="n"/>
      <c r="O1508" s="1" t="n"/>
      <c r="P1508" s="1" t="n"/>
      <c r="Q1508" s="1" t="n"/>
      <c r="R1508" s="1" t="n"/>
    </row>
    <row r="1509">
      <c r="A1509" s="61" t="n"/>
      <c r="B1509" s="16" t="n"/>
      <c r="C1509" s="90" t="n"/>
      <c r="D1509" s="90" t="n"/>
      <c r="E1509" s="90" t="n"/>
      <c r="F1509" s="16" t="n"/>
      <c r="G1509" s="16" t="n"/>
      <c r="H1509" s="63" t="n"/>
      <c r="I1509" s="64" t="n"/>
      <c r="J1509" s="16" t="n"/>
      <c r="K1509" s="16" t="n"/>
      <c r="M1509" s="89" t="n"/>
      <c r="N1509" s="1" t="n"/>
      <c r="O1509" s="1" t="n"/>
      <c r="P1509" s="1" t="n"/>
      <c r="Q1509" s="1" t="n"/>
      <c r="R1509" s="1" t="n"/>
    </row>
    <row r="1510">
      <c r="A1510" s="61" t="n"/>
      <c r="B1510" s="16" t="n"/>
      <c r="C1510" s="90" t="n"/>
      <c r="D1510" s="90" t="n"/>
      <c r="E1510" s="90" t="n"/>
      <c r="F1510" s="16" t="n"/>
      <c r="G1510" s="16" t="n"/>
      <c r="H1510" s="63" t="n"/>
      <c r="I1510" s="64" t="n"/>
      <c r="J1510" s="16" t="n"/>
      <c r="K1510" s="16" t="n"/>
      <c r="M1510" s="89" t="n"/>
      <c r="N1510" s="1" t="n"/>
      <c r="O1510" s="1" t="n"/>
      <c r="P1510" s="1" t="n"/>
      <c r="Q1510" s="1" t="n"/>
      <c r="R1510" s="1" t="n"/>
    </row>
    <row r="1511">
      <c r="A1511" s="61" t="n"/>
      <c r="B1511" s="16" t="n"/>
      <c r="C1511" s="90" t="n"/>
      <c r="D1511" s="90" t="n"/>
      <c r="E1511" s="90" t="n"/>
      <c r="F1511" s="16" t="n"/>
      <c r="G1511" s="16" t="n"/>
      <c r="H1511" s="63" t="n"/>
      <c r="I1511" s="64" t="n"/>
      <c r="J1511" s="16" t="n"/>
      <c r="K1511" s="16" t="n"/>
      <c r="M1511" s="89" t="n"/>
      <c r="N1511" s="1" t="n"/>
      <c r="O1511" s="1" t="n"/>
      <c r="P1511" s="1" t="n"/>
      <c r="Q1511" s="1" t="n"/>
      <c r="R1511" s="1" t="n"/>
    </row>
    <row r="1512">
      <c r="A1512" s="61" t="n"/>
      <c r="B1512" s="16" t="n"/>
      <c r="C1512" s="90" t="n"/>
      <c r="D1512" s="90" t="n"/>
      <c r="E1512" s="90" t="n"/>
      <c r="F1512" s="16" t="n"/>
      <c r="G1512" s="16" t="n"/>
      <c r="H1512" s="63" t="n"/>
      <c r="I1512" s="64" t="n"/>
      <c r="J1512" s="16" t="n"/>
      <c r="K1512" s="16" t="n"/>
      <c r="M1512" s="89" t="n"/>
      <c r="N1512" s="1" t="n"/>
      <c r="O1512" s="1" t="n"/>
      <c r="P1512" s="1" t="n"/>
      <c r="Q1512" s="1" t="n"/>
      <c r="R1512" s="1" t="n"/>
    </row>
    <row r="1513">
      <c r="A1513" s="61" t="n"/>
      <c r="B1513" s="16" t="n"/>
      <c r="C1513" s="90" t="n"/>
      <c r="D1513" s="90" t="n"/>
      <c r="E1513" s="90" t="n"/>
      <c r="F1513" s="16" t="n"/>
      <c r="G1513" s="16" t="n"/>
      <c r="H1513" s="63" t="n"/>
      <c r="I1513" s="64" t="n"/>
      <c r="J1513" s="16" t="n"/>
      <c r="K1513" s="16" t="n"/>
      <c r="M1513" s="89" t="n"/>
      <c r="N1513" s="1" t="n"/>
      <c r="O1513" s="1" t="n"/>
      <c r="P1513" s="1" t="n"/>
      <c r="Q1513" s="1" t="n"/>
      <c r="R1513" s="1" t="n"/>
    </row>
    <row r="1514">
      <c r="A1514" s="61" t="n"/>
      <c r="B1514" s="16" t="n"/>
      <c r="C1514" s="90" t="n"/>
      <c r="D1514" s="90" t="n"/>
      <c r="E1514" s="90" t="n"/>
      <c r="F1514" s="16" t="n"/>
      <c r="G1514" s="16" t="n"/>
      <c r="H1514" s="63" t="n"/>
      <c r="I1514" s="64" t="n"/>
      <c r="J1514" s="16" t="n"/>
      <c r="K1514" s="16" t="n"/>
      <c r="M1514" s="89" t="n"/>
      <c r="N1514" s="1" t="n"/>
      <c r="O1514" s="1" t="n"/>
      <c r="P1514" s="1" t="n"/>
      <c r="Q1514" s="1" t="n"/>
      <c r="R1514" s="1" t="n"/>
    </row>
    <row r="1515">
      <c r="A1515" s="61" t="n"/>
      <c r="B1515" s="16" t="n"/>
      <c r="C1515" s="90" t="n"/>
      <c r="D1515" s="90" t="n"/>
      <c r="E1515" s="90" t="n"/>
      <c r="F1515" s="16" t="n"/>
      <c r="G1515" s="16" t="n"/>
      <c r="H1515" s="63" t="n"/>
      <c r="I1515" s="64" t="n"/>
      <c r="J1515" s="16" t="n"/>
      <c r="K1515" s="16" t="n"/>
      <c r="M1515" s="89" t="n"/>
      <c r="N1515" s="1" t="n"/>
      <c r="O1515" s="1" t="n"/>
      <c r="P1515" s="1" t="n"/>
      <c r="Q1515" s="1" t="n"/>
      <c r="R1515" s="1" t="n"/>
    </row>
    <row r="1516">
      <c r="A1516" s="61" t="n"/>
      <c r="B1516" s="16" t="n"/>
      <c r="C1516" s="90" t="n"/>
      <c r="D1516" s="90" t="n"/>
      <c r="E1516" s="90" t="n"/>
      <c r="F1516" s="16" t="n"/>
      <c r="G1516" s="16" t="n"/>
      <c r="H1516" s="63" t="n"/>
      <c r="I1516" s="64" t="n"/>
      <c r="J1516" s="16" t="n"/>
      <c r="K1516" s="16" t="n"/>
      <c r="M1516" s="89" t="n"/>
      <c r="N1516" s="1" t="n"/>
      <c r="O1516" s="1" t="n"/>
      <c r="P1516" s="1" t="n"/>
      <c r="Q1516" s="1" t="n"/>
      <c r="R1516" s="1" t="n"/>
    </row>
    <row r="1517">
      <c r="A1517" s="61" t="n"/>
      <c r="B1517" s="16" t="n"/>
      <c r="C1517" s="90" t="n"/>
      <c r="D1517" s="90" t="n"/>
      <c r="E1517" s="90" t="n"/>
      <c r="F1517" s="16" t="n"/>
      <c r="G1517" s="16" t="n"/>
      <c r="H1517" s="63" t="n"/>
      <c r="I1517" s="64" t="n"/>
      <c r="J1517" s="16" t="n"/>
      <c r="K1517" s="16" t="n"/>
      <c r="M1517" s="89" t="n"/>
      <c r="N1517" s="1" t="n"/>
      <c r="O1517" s="1" t="n"/>
      <c r="P1517" s="1" t="n"/>
      <c r="Q1517" s="1" t="n"/>
      <c r="R1517" s="1" t="n"/>
    </row>
    <row r="1518">
      <c r="A1518" s="61" t="n"/>
      <c r="B1518" s="16" t="n"/>
      <c r="C1518" s="90" t="n"/>
      <c r="D1518" s="90" t="n"/>
      <c r="E1518" s="90" t="n"/>
      <c r="F1518" s="16" t="n"/>
      <c r="G1518" s="16" t="n"/>
      <c r="H1518" s="63" t="n"/>
      <c r="I1518" s="64" t="n"/>
      <c r="J1518" s="16" t="n"/>
      <c r="K1518" s="16" t="n"/>
      <c r="M1518" s="89" t="n"/>
      <c r="N1518" s="1" t="n"/>
      <c r="O1518" s="1" t="n"/>
      <c r="P1518" s="1" t="n"/>
      <c r="Q1518" s="1" t="n"/>
      <c r="R1518" s="1" t="n"/>
    </row>
    <row r="1519">
      <c r="A1519" s="61" t="n"/>
      <c r="B1519" s="16" t="n"/>
      <c r="C1519" s="90" t="n"/>
      <c r="D1519" s="90" t="n"/>
      <c r="E1519" s="90" t="n"/>
      <c r="F1519" s="16" t="n"/>
      <c r="G1519" s="16" t="n"/>
      <c r="H1519" s="63" t="n"/>
      <c r="I1519" s="64" t="n"/>
      <c r="J1519" s="16" t="n"/>
      <c r="K1519" s="16" t="n"/>
      <c r="M1519" s="89" t="n"/>
      <c r="N1519" s="1" t="n"/>
      <c r="O1519" s="1" t="n"/>
      <c r="P1519" s="1" t="n"/>
      <c r="Q1519" s="1" t="n"/>
      <c r="R1519" s="1" t="n"/>
    </row>
    <row r="1520">
      <c r="A1520" s="61" t="n"/>
      <c r="B1520" s="16" t="n"/>
      <c r="C1520" s="90" t="n"/>
      <c r="D1520" s="90" t="n"/>
      <c r="E1520" s="90" t="n"/>
      <c r="F1520" s="16" t="n"/>
      <c r="G1520" s="16" t="n"/>
      <c r="H1520" s="63" t="n"/>
      <c r="I1520" s="64" t="n"/>
      <c r="J1520" s="16" t="n"/>
      <c r="K1520" s="16" t="n"/>
      <c r="M1520" s="89" t="n"/>
      <c r="N1520" s="1" t="n"/>
      <c r="O1520" s="1" t="n"/>
      <c r="P1520" s="1" t="n"/>
      <c r="Q1520" s="1" t="n"/>
      <c r="R1520" s="1" t="n"/>
    </row>
    <row r="1521">
      <c r="A1521" s="61" t="n"/>
      <c r="B1521" s="16" t="n"/>
      <c r="C1521" s="90" t="n"/>
      <c r="D1521" s="90" t="n"/>
      <c r="E1521" s="90" t="n"/>
      <c r="F1521" s="16" t="n"/>
      <c r="G1521" s="16" t="n"/>
      <c r="H1521" s="63" t="n"/>
      <c r="I1521" s="64" t="n"/>
      <c r="J1521" s="16" t="n"/>
      <c r="K1521" s="16" t="n"/>
      <c r="M1521" s="89" t="n"/>
      <c r="N1521" s="1" t="n"/>
      <c r="O1521" s="1" t="n"/>
      <c r="P1521" s="1" t="n"/>
      <c r="Q1521" s="1" t="n"/>
      <c r="R1521" s="1" t="n"/>
    </row>
    <row r="1522">
      <c r="A1522" s="61" t="n"/>
      <c r="B1522" s="16" t="n"/>
      <c r="C1522" s="90" t="n"/>
      <c r="D1522" s="90" t="n"/>
      <c r="E1522" s="90" t="n"/>
      <c r="F1522" s="16" t="n"/>
      <c r="G1522" s="16" t="n"/>
      <c r="H1522" s="63" t="n"/>
      <c r="I1522" s="64" t="n"/>
      <c r="J1522" s="16" t="n"/>
      <c r="K1522" s="16" t="n"/>
      <c r="M1522" s="89" t="n"/>
      <c r="N1522" s="1" t="n"/>
      <c r="O1522" s="1" t="n"/>
      <c r="P1522" s="1" t="n"/>
      <c r="Q1522" s="1" t="n"/>
      <c r="R1522" s="1" t="n"/>
    </row>
    <row r="1523">
      <c r="A1523" s="61" t="n"/>
      <c r="B1523" s="16" t="n"/>
      <c r="C1523" s="90" t="n"/>
      <c r="D1523" s="90" t="n"/>
      <c r="E1523" s="90" t="n"/>
      <c r="F1523" s="16" t="n"/>
      <c r="G1523" s="16" t="n"/>
      <c r="H1523" s="63" t="n"/>
      <c r="I1523" s="64" t="n"/>
      <c r="J1523" s="16" t="n"/>
      <c r="K1523" s="16" t="n"/>
      <c r="M1523" s="89" t="n"/>
      <c r="N1523" s="1" t="n"/>
      <c r="O1523" s="1" t="n"/>
      <c r="P1523" s="1" t="n"/>
      <c r="Q1523" s="1" t="n"/>
      <c r="R1523" s="1" t="n"/>
    </row>
    <row r="1524">
      <c r="A1524" s="61" t="n"/>
      <c r="B1524" s="16" t="n"/>
      <c r="C1524" s="90" t="n"/>
      <c r="D1524" s="90" t="n"/>
      <c r="E1524" s="90" t="n"/>
      <c r="F1524" s="16" t="n"/>
      <c r="G1524" s="16" t="n"/>
      <c r="H1524" s="63" t="n"/>
      <c r="I1524" s="64" t="n"/>
      <c r="J1524" s="16" t="n"/>
      <c r="K1524" s="16" t="n"/>
      <c r="M1524" s="89" t="n"/>
      <c r="N1524" s="1" t="n"/>
      <c r="O1524" s="1" t="n"/>
      <c r="P1524" s="1" t="n"/>
      <c r="Q1524" s="1" t="n"/>
      <c r="R1524" s="1" t="n"/>
    </row>
    <row r="1525">
      <c r="A1525" s="61" t="n"/>
      <c r="B1525" s="16" t="n"/>
      <c r="C1525" s="90" t="n"/>
      <c r="D1525" s="90" t="n"/>
      <c r="E1525" s="90" t="n"/>
      <c r="F1525" s="16" t="n"/>
      <c r="G1525" s="16" t="n"/>
      <c r="H1525" s="63" t="n"/>
      <c r="I1525" s="64" t="n"/>
      <c r="J1525" s="16" t="n"/>
      <c r="K1525" s="16" t="n"/>
      <c r="M1525" s="89" t="n"/>
      <c r="N1525" s="1" t="n"/>
      <c r="O1525" s="1" t="n"/>
      <c r="P1525" s="1" t="n"/>
      <c r="Q1525" s="1" t="n"/>
      <c r="R1525" s="1" t="n"/>
    </row>
    <row r="1526">
      <c r="A1526" s="61" t="n"/>
      <c r="B1526" s="16" t="n"/>
      <c r="C1526" s="90" t="n"/>
      <c r="D1526" s="90" t="n"/>
      <c r="E1526" s="90" t="n"/>
      <c r="F1526" s="16" t="n"/>
      <c r="G1526" s="16" t="n"/>
      <c r="H1526" s="63" t="n"/>
      <c r="I1526" s="64" t="n"/>
      <c r="J1526" s="16" t="n"/>
      <c r="K1526" s="16" t="n"/>
      <c r="M1526" s="89" t="n"/>
      <c r="N1526" s="1" t="n"/>
      <c r="O1526" s="1" t="n"/>
      <c r="P1526" s="1" t="n"/>
      <c r="Q1526" s="1" t="n"/>
      <c r="R1526" s="1" t="n"/>
    </row>
    <row r="1527">
      <c r="A1527" s="61" t="n"/>
      <c r="B1527" s="16" t="n"/>
      <c r="C1527" s="90" t="n"/>
      <c r="D1527" s="90" t="n"/>
      <c r="E1527" s="90" t="n"/>
      <c r="F1527" s="16" t="n"/>
      <c r="G1527" s="16" t="n"/>
      <c r="H1527" s="63" t="n"/>
      <c r="I1527" s="64" t="n"/>
      <c r="J1527" s="16" t="n"/>
      <c r="K1527" s="16" t="n"/>
      <c r="M1527" s="89" t="n"/>
      <c r="N1527" s="1" t="n"/>
      <c r="O1527" s="1" t="n"/>
      <c r="P1527" s="1" t="n"/>
      <c r="Q1527" s="1" t="n"/>
      <c r="R1527" s="1" t="n"/>
    </row>
    <row r="1528">
      <c r="A1528" s="61" t="n"/>
      <c r="B1528" s="16" t="n"/>
      <c r="C1528" s="90" t="n"/>
      <c r="D1528" s="90" t="n"/>
      <c r="E1528" s="90" t="n"/>
      <c r="F1528" s="16" t="n"/>
      <c r="G1528" s="16" t="n"/>
      <c r="H1528" s="63" t="n"/>
      <c r="I1528" s="64" t="n"/>
      <c r="J1528" s="16" t="n"/>
      <c r="K1528" s="16" t="n"/>
      <c r="M1528" s="89" t="n"/>
      <c r="N1528" s="1" t="n"/>
      <c r="O1528" s="1" t="n"/>
      <c r="P1528" s="1" t="n"/>
      <c r="Q1528" s="1" t="n"/>
      <c r="R1528" s="1" t="n"/>
    </row>
    <row r="1529">
      <c r="A1529" s="61" t="n"/>
      <c r="B1529" s="16" t="n"/>
      <c r="C1529" s="90" t="n"/>
      <c r="D1529" s="90" t="n"/>
      <c r="E1529" s="90" t="n"/>
      <c r="F1529" s="16" t="n"/>
      <c r="G1529" s="16" t="n"/>
      <c r="H1529" s="63" t="n"/>
      <c r="I1529" s="64" t="n"/>
      <c r="J1529" s="16" t="n"/>
      <c r="K1529" s="16" t="n"/>
      <c r="M1529" s="89" t="n"/>
      <c r="N1529" s="1" t="n"/>
      <c r="O1529" s="1" t="n"/>
      <c r="P1529" s="1" t="n"/>
      <c r="Q1529" s="1" t="n"/>
      <c r="R1529" s="1" t="n"/>
    </row>
    <row r="1530">
      <c r="A1530" s="61" t="n"/>
      <c r="B1530" s="16" t="n"/>
      <c r="C1530" s="90" t="n"/>
      <c r="D1530" s="90" t="n"/>
      <c r="E1530" s="90" t="n"/>
      <c r="F1530" s="16" t="n"/>
      <c r="G1530" s="16" t="n"/>
      <c r="H1530" s="63" t="n"/>
      <c r="I1530" s="64" t="n"/>
      <c r="J1530" s="16" t="n"/>
      <c r="K1530" s="16" t="n"/>
      <c r="M1530" s="89" t="n"/>
      <c r="N1530" s="1" t="n"/>
      <c r="O1530" s="1" t="n"/>
      <c r="P1530" s="1" t="n"/>
      <c r="Q1530" s="1" t="n"/>
      <c r="R1530" s="1" t="n"/>
    </row>
    <row r="1531">
      <c r="A1531" s="61" t="n"/>
      <c r="B1531" s="16" t="n"/>
      <c r="C1531" s="90" t="n"/>
      <c r="D1531" s="90" t="n"/>
      <c r="E1531" s="90" t="n"/>
      <c r="F1531" s="16" t="n"/>
      <c r="G1531" s="16" t="n"/>
      <c r="H1531" s="63" t="n"/>
      <c r="I1531" s="64" t="n"/>
      <c r="J1531" s="16" t="n"/>
      <c r="K1531" s="16" t="n"/>
      <c r="M1531" s="89" t="n"/>
      <c r="N1531" s="1" t="n"/>
      <c r="O1531" s="1" t="n"/>
      <c r="P1531" s="1" t="n"/>
      <c r="Q1531" s="1" t="n"/>
      <c r="R1531" s="1" t="n"/>
    </row>
    <row r="1532">
      <c r="A1532" s="61" t="n"/>
      <c r="B1532" s="16" t="n"/>
      <c r="C1532" s="90" t="n"/>
      <c r="D1532" s="90" t="n"/>
      <c r="E1532" s="90" t="n"/>
      <c r="F1532" s="16" t="n"/>
      <c r="G1532" s="16" t="n"/>
      <c r="H1532" s="63" t="n"/>
      <c r="I1532" s="64" t="n"/>
      <c r="J1532" s="16" t="n"/>
      <c r="K1532" s="16" t="n"/>
      <c r="M1532" s="89" t="n"/>
      <c r="N1532" s="1" t="n"/>
      <c r="O1532" s="1" t="n"/>
      <c r="P1532" s="1" t="n"/>
      <c r="Q1532" s="1" t="n"/>
      <c r="R1532" s="1" t="n"/>
    </row>
    <row r="1533">
      <c r="A1533" s="61" t="n"/>
      <c r="B1533" s="16" t="n"/>
      <c r="C1533" s="90" t="n"/>
      <c r="D1533" s="90" t="n"/>
      <c r="E1533" s="90" t="n"/>
      <c r="F1533" s="16" t="n"/>
      <c r="G1533" s="16" t="n"/>
      <c r="H1533" s="63" t="n"/>
      <c r="I1533" s="64" t="n"/>
      <c r="J1533" s="16" t="n"/>
      <c r="K1533" s="16" t="n"/>
      <c r="M1533" s="89" t="n"/>
      <c r="N1533" s="1" t="n"/>
      <c r="O1533" s="1" t="n"/>
      <c r="P1533" s="1" t="n"/>
      <c r="Q1533" s="1" t="n"/>
      <c r="R1533" s="1" t="n"/>
    </row>
    <row r="1534">
      <c r="A1534" s="61" t="n"/>
      <c r="B1534" s="16" t="n"/>
      <c r="C1534" s="90" t="n"/>
      <c r="D1534" s="90" t="n"/>
      <c r="E1534" s="90" t="n"/>
      <c r="F1534" s="16" t="n"/>
      <c r="G1534" s="16" t="n"/>
      <c r="H1534" s="63" t="n"/>
      <c r="I1534" s="64" t="n"/>
      <c r="J1534" s="16" t="n"/>
      <c r="K1534" s="16" t="n"/>
      <c r="M1534" s="89" t="n"/>
      <c r="N1534" s="1" t="n"/>
      <c r="O1534" s="1" t="n"/>
      <c r="P1534" s="1" t="n"/>
      <c r="Q1534" s="1" t="n"/>
      <c r="R1534" s="1" t="n"/>
    </row>
    <row r="1535">
      <c r="A1535" s="61" t="n"/>
      <c r="B1535" s="16" t="n"/>
      <c r="C1535" s="90" t="n"/>
      <c r="D1535" s="90" t="n"/>
      <c r="E1535" s="90" t="n"/>
      <c r="F1535" s="16" t="n"/>
      <c r="G1535" s="16" t="n"/>
      <c r="H1535" s="63" t="n"/>
      <c r="I1535" s="64" t="n"/>
      <c r="J1535" s="16" t="n"/>
      <c r="K1535" s="16" t="n"/>
      <c r="M1535" s="89" t="n"/>
      <c r="N1535" s="1" t="n"/>
      <c r="O1535" s="1" t="n"/>
      <c r="P1535" s="1" t="n"/>
      <c r="Q1535" s="1" t="n"/>
      <c r="R1535" s="1" t="n"/>
    </row>
    <row r="1536">
      <c r="A1536" s="61" t="n"/>
      <c r="B1536" s="16" t="n"/>
      <c r="C1536" s="90" t="n"/>
      <c r="D1536" s="90" t="n"/>
      <c r="E1536" s="90" t="n"/>
      <c r="F1536" s="16" t="n"/>
      <c r="G1536" s="16" t="n"/>
      <c r="H1536" s="63" t="n"/>
      <c r="I1536" s="64" t="n"/>
      <c r="J1536" s="16" t="n"/>
      <c r="K1536" s="16" t="n"/>
      <c r="M1536" s="89" t="n"/>
      <c r="N1536" s="1" t="n"/>
      <c r="O1536" s="1" t="n"/>
      <c r="P1536" s="1" t="n"/>
      <c r="Q1536" s="1" t="n"/>
      <c r="R1536" s="1" t="n"/>
    </row>
    <row r="1537">
      <c r="A1537" s="61" t="n"/>
      <c r="B1537" s="16" t="n"/>
      <c r="C1537" s="90" t="n"/>
      <c r="D1537" s="90" t="n"/>
      <c r="E1537" s="90" t="n"/>
      <c r="F1537" s="16" t="n"/>
      <c r="G1537" s="16" t="n"/>
      <c r="H1537" s="63" t="n"/>
      <c r="I1537" s="64" t="n"/>
      <c r="J1537" s="16" t="n"/>
      <c r="K1537" s="16" t="n"/>
      <c r="M1537" s="89" t="n"/>
      <c r="N1537" s="1" t="n"/>
      <c r="O1537" s="1" t="n"/>
      <c r="P1537" s="1" t="n"/>
      <c r="Q1537" s="1" t="n"/>
      <c r="R1537" s="1" t="n"/>
    </row>
    <row r="1538">
      <c r="A1538" s="61" t="n"/>
      <c r="B1538" s="16" t="n"/>
      <c r="C1538" s="90" t="n"/>
      <c r="D1538" s="90" t="n"/>
      <c r="E1538" s="90" t="n"/>
      <c r="F1538" s="16" t="n"/>
      <c r="G1538" s="16" t="n"/>
      <c r="H1538" s="63" t="n"/>
      <c r="I1538" s="64" t="n"/>
      <c r="J1538" s="16" t="n"/>
      <c r="K1538" s="16" t="n"/>
      <c r="M1538" s="89" t="n"/>
      <c r="N1538" s="1" t="n"/>
      <c r="O1538" s="1" t="n"/>
      <c r="P1538" s="1" t="n"/>
      <c r="Q1538" s="1" t="n"/>
      <c r="R1538" s="1" t="n"/>
    </row>
    <row r="1539">
      <c r="A1539" s="61" t="n"/>
      <c r="B1539" s="16" t="n"/>
      <c r="C1539" s="90" t="n"/>
      <c r="D1539" s="90" t="n"/>
      <c r="E1539" s="90" t="n"/>
      <c r="F1539" s="16" t="n"/>
      <c r="G1539" s="16" t="n"/>
      <c r="H1539" s="63" t="n"/>
      <c r="I1539" s="64" t="n"/>
      <c r="J1539" s="16" t="n"/>
      <c r="K1539" s="16" t="n"/>
      <c r="M1539" s="89" t="n"/>
      <c r="N1539" s="1" t="n"/>
      <c r="O1539" s="1" t="n"/>
      <c r="P1539" s="1" t="n"/>
      <c r="Q1539" s="1" t="n"/>
      <c r="R1539" s="1" t="n"/>
    </row>
    <row r="1540">
      <c r="A1540" s="61" t="n"/>
      <c r="B1540" s="16" t="n"/>
      <c r="C1540" s="90" t="n"/>
      <c r="D1540" s="90" t="n"/>
      <c r="E1540" s="90" t="n"/>
      <c r="F1540" s="16" t="n"/>
      <c r="G1540" s="16" t="n"/>
      <c r="H1540" s="63" t="n"/>
      <c r="I1540" s="64" t="n"/>
      <c r="J1540" s="16" t="n"/>
      <c r="K1540" s="16" t="n"/>
      <c r="M1540" s="89" t="n"/>
      <c r="N1540" s="1" t="n"/>
      <c r="O1540" s="1" t="n"/>
      <c r="P1540" s="1" t="n"/>
      <c r="Q1540" s="1" t="n"/>
      <c r="R1540" s="1" t="n"/>
    </row>
    <row r="1541">
      <c r="A1541" s="61" t="n"/>
      <c r="B1541" s="16" t="n"/>
      <c r="C1541" s="90" t="n"/>
      <c r="D1541" s="90" t="n"/>
      <c r="E1541" s="90" t="n"/>
      <c r="F1541" s="16" t="n"/>
      <c r="G1541" s="16" t="n"/>
      <c r="H1541" s="63" t="n"/>
      <c r="I1541" s="64" t="n"/>
      <c r="J1541" s="16" t="n"/>
      <c r="K1541" s="16" t="n"/>
      <c r="M1541" s="89" t="n"/>
      <c r="N1541" s="1" t="n"/>
      <c r="O1541" s="1" t="n"/>
      <c r="P1541" s="1" t="n"/>
      <c r="Q1541" s="1" t="n"/>
      <c r="R1541" s="1" t="n"/>
    </row>
    <row r="1542">
      <c r="A1542" s="61" t="n"/>
      <c r="B1542" s="16" t="n"/>
      <c r="C1542" s="90" t="n"/>
      <c r="D1542" s="90" t="n"/>
      <c r="E1542" s="90" t="n"/>
      <c r="F1542" s="16" t="n"/>
      <c r="G1542" s="16" t="n"/>
      <c r="H1542" s="63" t="n"/>
      <c r="I1542" s="64" t="n"/>
      <c r="J1542" s="16" t="n"/>
      <c r="K1542" s="16" t="n"/>
      <c r="M1542" s="89" t="n"/>
      <c r="N1542" s="1" t="n"/>
      <c r="O1542" s="1" t="n"/>
      <c r="P1542" s="1" t="n"/>
      <c r="Q1542" s="1" t="n"/>
      <c r="R1542" s="1" t="n"/>
    </row>
    <row r="1543">
      <c r="A1543" s="61" t="n"/>
      <c r="B1543" s="16" t="n"/>
      <c r="C1543" s="90" t="n"/>
      <c r="D1543" s="90" t="n"/>
      <c r="E1543" s="90" t="n"/>
      <c r="F1543" s="16" t="n"/>
      <c r="G1543" s="16" t="n"/>
      <c r="H1543" s="63" t="n"/>
      <c r="I1543" s="64" t="n"/>
      <c r="J1543" s="16" t="n"/>
      <c r="K1543" s="16" t="n"/>
      <c r="M1543" s="89" t="n"/>
      <c r="N1543" s="1" t="n"/>
      <c r="O1543" s="1" t="n"/>
      <c r="P1543" s="1" t="n"/>
      <c r="Q1543" s="1" t="n"/>
      <c r="R1543" s="1" t="n"/>
    </row>
    <row r="1544">
      <c r="A1544" s="61" t="n"/>
      <c r="B1544" s="16" t="n"/>
      <c r="C1544" s="90" t="n"/>
      <c r="D1544" s="90" t="n"/>
      <c r="E1544" s="90" t="n"/>
      <c r="F1544" s="16" t="n"/>
      <c r="G1544" s="16" t="n"/>
      <c r="H1544" s="63" t="n"/>
      <c r="I1544" s="64" t="n"/>
      <c r="J1544" s="16" t="n"/>
      <c r="K1544" s="16" t="n"/>
      <c r="M1544" s="89" t="n"/>
      <c r="N1544" s="1" t="n"/>
      <c r="O1544" s="1" t="n"/>
      <c r="P1544" s="1" t="n"/>
      <c r="Q1544" s="1" t="n"/>
      <c r="R1544" s="1" t="n"/>
    </row>
    <row r="1545">
      <c r="A1545" s="61" t="n"/>
      <c r="B1545" s="16" t="n"/>
      <c r="C1545" s="90" t="n"/>
      <c r="D1545" s="90" t="n"/>
      <c r="E1545" s="90" t="n"/>
      <c r="F1545" s="16" t="n"/>
      <c r="G1545" s="16" t="n"/>
      <c r="H1545" s="63" t="n"/>
      <c r="I1545" s="64" t="n"/>
      <c r="J1545" s="16" t="n"/>
      <c r="K1545" s="16" t="n"/>
      <c r="M1545" s="89" t="n"/>
      <c r="N1545" s="1" t="n"/>
      <c r="O1545" s="1" t="n"/>
      <c r="P1545" s="1" t="n"/>
      <c r="Q1545" s="1" t="n"/>
      <c r="R1545" s="1" t="n"/>
    </row>
    <row r="1546">
      <c r="A1546" s="61" t="n"/>
      <c r="B1546" s="16" t="n"/>
      <c r="C1546" s="90" t="n"/>
      <c r="D1546" s="90" t="n"/>
      <c r="E1546" s="90" t="n"/>
      <c r="F1546" s="16" t="n"/>
      <c r="G1546" s="16" t="n"/>
      <c r="H1546" s="63" t="n"/>
      <c r="I1546" s="64" t="n"/>
      <c r="J1546" s="16" t="n"/>
      <c r="K1546" s="16" t="n"/>
      <c r="M1546" s="89" t="n"/>
      <c r="N1546" s="1" t="n"/>
      <c r="O1546" s="1" t="n"/>
      <c r="P1546" s="1" t="n"/>
      <c r="Q1546" s="1" t="n"/>
      <c r="R1546" s="1" t="n"/>
    </row>
    <row r="1547">
      <c r="A1547" s="61" t="n"/>
      <c r="B1547" s="16" t="n"/>
      <c r="C1547" s="90" t="n"/>
      <c r="D1547" s="90" t="n"/>
      <c r="E1547" s="90" t="n"/>
      <c r="F1547" s="16" t="n"/>
      <c r="G1547" s="16" t="n"/>
      <c r="H1547" s="63" t="n"/>
      <c r="I1547" s="64" t="n"/>
      <c r="J1547" s="16" t="n"/>
      <c r="K1547" s="16" t="n"/>
      <c r="M1547" s="89" t="n"/>
      <c r="N1547" s="1" t="n"/>
      <c r="O1547" s="1" t="n"/>
      <c r="P1547" s="1" t="n"/>
      <c r="Q1547" s="1" t="n"/>
      <c r="R1547" s="1" t="n"/>
    </row>
    <row r="1548">
      <c r="A1548" s="61" t="n"/>
      <c r="B1548" s="16" t="n"/>
      <c r="C1548" s="90" t="n"/>
      <c r="D1548" s="90" t="n"/>
      <c r="E1548" s="90" t="n"/>
      <c r="F1548" s="16" t="n"/>
      <c r="G1548" s="16" t="n"/>
      <c r="H1548" s="63" t="n"/>
      <c r="I1548" s="64" t="n"/>
      <c r="J1548" s="16" t="n"/>
      <c r="K1548" s="16" t="n"/>
      <c r="M1548" s="89" t="n"/>
      <c r="N1548" s="1" t="n"/>
      <c r="O1548" s="1" t="n"/>
      <c r="P1548" s="1" t="n"/>
      <c r="Q1548" s="1" t="n"/>
      <c r="R1548" s="1" t="n"/>
    </row>
    <row r="1549">
      <c r="A1549" s="61" t="n"/>
      <c r="B1549" s="16" t="n"/>
      <c r="C1549" s="90" t="n"/>
      <c r="D1549" s="90" t="n"/>
      <c r="E1549" s="90" t="n"/>
      <c r="F1549" s="16" t="n"/>
      <c r="G1549" s="16" t="n"/>
      <c r="H1549" s="63" t="n"/>
      <c r="I1549" s="64" t="n"/>
      <c r="J1549" s="16" t="n"/>
      <c r="K1549" s="16" t="n"/>
      <c r="M1549" s="89" t="n"/>
      <c r="N1549" s="1" t="n"/>
      <c r="O1549" s="1" t="n"/>
      <c r="P1549" s="1" t="n"/>
      <c r="Q1549" s="1" t="n"/>
      <c r="R1549" s="1" t="n"/>
    </row>
    <row r="1550">
      <c r="A1550" s="61" t="n"/>
      <c r="B1550" s="16" t="n"/>
      <c r="C1550" s="90" t="n"/>
      <c r="D1550" s="90" t="n"/>
      <c r="E1550" s="90" t="n"/>
      <c r="F1550" s="16" t="n"/>
      <c r="G1550" s="16" t="n"/>
      <c r="H1550" s="63" t="n"/>
      <c r="I1550" s="64" t="n"/>
      <c r="J1550" s="16" t="n"/>
      <c r="K1550" s="16" t="n"/>
      <c r="M1550" s="89" t="n"/>
      <c r="N1550" s="1" t="n"/>
      <c r="O1550" s="1" t="n"/>
      <c r="P1550" s="1" t="n"/>
      <c r="Q1550" s="1" t="n"/>
      <c r="R1550" s="1" t="n"/>
    </row>
    <row r="1551">
      <c r="A1551" s="61" t="n"/>
      <c r="B1551" s="16" t="n"/>
      <c r="C1551" s="90" t="n"/>
      <c r="D1551" s="90" t="n"/>
      <c r="E1551" s="90" t="n"/>
      <c r="F1551" s="16" t="n"/>
      <c r="G1551" s="16" t="n"/>
      <c r="H1551" s="63" t="n"/>
      <c r="I1551" s="64" t="n"/>
      <c r="J1551" s="16" t="n"/>
      <c r="K1551" s="16" t="n"/>
      <c r="M1551" s="89" t="n"/>
      <c r="N1551" s="1" t="n"/>
      <c r="O1551" s="1" t="n"/>
      <c r="P1551" s="1" t="n"/>
      <c r="Q1551" s="1" t="n"/>
      <c r="R1551" s="1" t="n"/>
    </row>
    <row r="1552">
      <c r="A1552" s="61" t="n"/>
      <c r="B1552" s="16" t="n"/>
      <c r="C1552" s="90" t="n"/>
      <c r="D1552" s="90" t="n"/>
      <c r="E1552" s="90" t="n"/>
      <c r="F1552" s="16" t="n"/>
      <c r="G1552" s="16" t="n"/>
      <c r="H1552" s="63" t="n"/>
      <c r="I1552" s="64" t="n"/>
      <c r="J1552" s="16" t="n"/>
      <c r="K1552" s="16" t="n"/>
      <c r="M1552" s="89" t="n"/>
      <c r="N1552" s="1" t="n"/>
      <c r="O1552" s="1" t="n"/>
      <c r="P1552" s="1" t="n"/>
      <c r="Q1552" s="1" t="n"/>
      <c r="R1552" s="1" t="n"/>
    </row>
    <row r="1553">
      <c r="A1553" s="61" t="n"/>
      <c r="B1553" s="16" t="n"/>
      <c r="C1553" s="90" t="n"/>
      <c r="D1553" s="90" t="n"/>
      <c r="E1553" s="90" t="n"/>
      <c r="F1553" s="16" t="n"/>
      <c r="G1553" s="16" t="n"/>
      <c r="H1553" s="63" t="n"/>
      <c r="I1553" s="64" t="n"/>
      <c r="J1553" s="16" t="n"/>
      <c r="K1553" s="16" t="n"/>
      <c r="M1553" s="89" t="n"/>
      <c r="N1553" s="1" t="n"/>
      <c r="O1553" s="1" t="n"/>
      <c r="P1553" s="1" t="n"/>
      <c r="Q1553" s="1" t="n"/>
      <c r="R1553" s="1" t="n"/>
    </row>
    <row r="1554">
      <c r="A1554" s="61" t="n"/>
      <c r="B1554" s="16" t="n"/>
      <c r="C1554" s="90" t="n"/>
      <c r="D1554" s="90" t="n"/>
      <c r="E1554" s="90" t="n"/>
      <c r="F1554" s="16" t="n"/>
      <c r="G1554" s="16" t="n"/>
      <c r="H1554" s="63" t="n"/>
      <c r="I1554" s="64" t="n"/>
      <c r="J1554" s="16" t="n"/>
      <c r="K1554" s="16" t="n"/>
      <c r="M1554" s="89" t="n"/>
      <c r="N1554" s="1" t="n"/>
      <c r="O1554" s="1" t="n"/>
      <c r="P1554" s="1" t="n"/>
      <c r="Q1554" s="1" t="n"/>
      <c r="R1554" s="1" t="n"/>
    </row>
    <row r="1555">
      <c r="A1555" s="61" t="n"/>
      <c r="B1555" s="16" t="n"/>
      <c r="C1555" s="90" t="n"/>
      <c r="D1555" s="90" t="n"/>
      <c r="E1555" s="90" t="n"/>
      <c r="F1555" s="16" t="n"/>
      <c r="G1555" s="16" t="n"/>
      <c r="H1555" s="63" t="n"/>
      <c r="I1555" s="64" t="n"/>
      <c r="J1555" s="16" t="n"/>
      <c r="K1555" s="16" t="n"/>
      <c r="M1555" s="89" t="n"/>
      <c r="N1555" s="1" t="n"/>
      <c r="O1555" s="1" t="n"/>
      <c r="P1555" s="1" t="n"/>
      <c r="Q1555" s="1" t="n"/>
      <c r="R1555" s="1" t="n"/>
    </row>
    <row r="1556">
      <c r="A1556" s="61" t="n"/>
      <c r="B1556" s="16" t="n"/>
      <c r="C1556" s="90" t="n"/>
      <c r="D1556" s="90" t="n"/>
      <c r="E1556" s="90" t="n"/>
      <c r="F1556" s="16" t="n"/>
      <c r="G1556" s="16" t="n"/>
      <c r="H1556" s="63" t="n"/>
      <c r="I1556" s="64" t="n"/>
      <c r="J1556" s="16" t="n"/>
      <c r="K1556" s="16" t="n"/>
      <c r="M1556" s="89" t="n"/>
      <c r="N1556" s="1" t="n"/>
      <c r="O1556" s="1" t="n"/>
      <c r="P1556" s="1" t="n"/>
      <c r="Q1556" s="1" t="n"/>
      <c r="R1556" s="1" t="n"/>
    </row>
    <row r="1557">
      <c r="A1557" s="61" t="n"/>
      <c r="B1557" s="16" t="n"/>
      <c r="C1557" s="90" t="n"/>
      <c r="D1557" s="90" t="n"/>
      <c r="E1557" s="90" t="n"/>
      <c r="F1557" s="16" t="n"/>
      <c r="G1557" s="16" t="n"/>
      <c r="H1557" s="63" t="n"/>
      <c r="I1557" s="64" t="n"/>
      <c r="J1557" s="16" t="n"/>
      <c r="K1557" s="16" t="n"/>
      <c r="M1557" s="89" t="n"/>
      <c r="N1557" s="1" t="n"/>
      <c r="O1557" s="1" t="n"/>
      <c r="P1557" s="1" t="n"/>
      <c r="Q1557" s="1" t="n"/>
      <c r="R1557" s="1" t="n"/>
    </row>
    <row r="1558">
      <c r="A1558" s="61" t="n"/>
      <c r="B1558" s="16" t="n"/>
      <c r="C1558" s="90" t="n"/>
      <c r="D1558" s="90" t="n"/>
      <c r="E1558" s="90" t="n"/>
      <c r="F1558" s="16" t="n"/>
      <c r="G1558" s="16" t="n"/>
      <c r="H1558" s="63" t="n"/>
      <c r="I1558" s="64" t="n"/>
      <c r="J1558" s="16" t="n"/>
      <c r="K1558" s="16" t="n"/>
      <c r="M1558" s="89" t="n"/>
      <c r="N1558" s="1" t="n"/>
      <c r="O1558" s="1" t="n"/>
      <c r="P1558" s="1" t="n"/>
      <c r="Q1558" s="1" t="n"/>
      <c r="R1558" s="1" t="n"/>
    </row>
    <row r="1559">
      <c r="A1559" s="61" t="n"/>
      <c r="B1559" s="16" t="n"/>
      <c r="C1559" s="90" t="n"/>
      <c r="D1559" s="90" t="n"/>
      <c r="E1559" s="90" t="n"/>
      <c r="F1559" s="16" t="n"/>
      <c r="G1559" s="16" t="n"/>
      <c r="H1559" s="63" t="n"/>
      <c r="I1559" s="64" t="n"/>
      <c r="J1559" s="16" t="n"/>
      <c r="K1559" s="16" t="n"/>
      <c r="M1559" s="89" t="n"/>
      <c r="N1559" s="1" t="n"/>
      <c r="O1559" s="1" t="n"/>
      <c r="P1559" s="1" t="n"/>
      <c r="Q1559" s="1" t="n"/>
      <c r="R1559" s="1" t="n"/>
    </row>
    <row r="1560">
      <c r="A1560" s="61" t="n"/>
      <c r="B1560" s="16" t="n"/>
      <c r="C1560" s="90" t="n"/>
      <c r="D1560" s="90" t="n"/>
      <c r="E1560" s="90" t="n"/>
      <c r="F1560" s="16" t="n"/>
      <c r="G1560" s="16" t="n"/>
      <c r="H1560" s="63" t="n"/>
      <c r="I1560" s="64" t="n"/>
      <c r="J1560" s="16" t="n"/>
      <c r="K1560" s="16" t="n"/>
      <c r="M1560" s="89" t="n"/>
      <c r="N1560" s="1" t="n"/>
      <c r="O1560" s="1" t="n"/>
      <c r="P1560" s="1" t="n"/>
      <c r="Q1560" s="1" t="n"/>
      <c r="R1560" s="1" t="n"/>
    </row>
    <row r="1561">
      <c r="A1561" s="61" t="n"/>
      <c r="B1561" s="16" t="n"/>
      <c r="C1561" s="90" t="n"/>
      <c r="D1561" s="90" t="n"/>
      <c r="E1561" s="90" t="n"/>
      <c r="F1561" s="16" t="n"/>
      <c r="G1561" s="16" t="n"/>
      <c r="H1561" s="63" t="n"/>
      <c r="I1561" s="64" t="n"/>
      <c r="J1561" s="16" t="n"/>
      <c r="K1561" s="16" t="n"/>
      <c r="M1561" s="89" t="n"/>
      <c r="N1561" s="1" t="n"/>
      <c r="O1561" s="1" t="n"/>
      <c r="P1561" s="1" t="n"/>
      <c r="Q1561" s="1" t="n"/>
      <c r="R1561" s="1" t="n"/>
    </row>
    <row r="1562">
      <c r="A1562" s="61" t="n"/>
      <c r="B1562" s="16" t="n"/>
      <c r="C1562" s="90" t="n"/>
      <c r="D1562" s="90" t="n"/>
      <c r="E1562" s="90" t="n"/>
      <c r="F1562" s="16" t="n"/>
      <c r="G1562" s="16" t="n"/>
      <c r="H1562" s="63" t="n"/>
      <c r="I1562" s="64" t="n"/>
      <c r="J1562" s="16" t="n"/>
      <c r="K1562" s="16" t="n"/>
      <c r="M1562" s="89" t="n"/>
      <c r="N1562" s="1" t="n"/>
      <c r="O1562" s="1" t="n"/>
      <c r="P1562" s="1" t="n"/>
      <c r="Q1562" s="1" t="n"/>
      <c r="R1562" s="1" t="n"/>
    </row>
    <row r="1563">
      <c r="A1563" s="61" t="n"/>
      <c r="B1563" s="16" t="n"/>
      <c r="C1563" s="90" t="n"/>
      <c r="D1563" s="90" t="n"/>
      <c r="E1563" s="90" t="n"/>
      <c r="F1563" s="16" t="n"/>
      <c r="G1563" s="16" t="n"/>
      <c r="H1563" s="63" t="n"/>
      <c r="I1563" s="64" t="n"/>
      <c r="J1563" s="16" t="n"/>
      <c r="K1563" s="16" t="n"/>
      <c r="M1563" s="89" t="n"/>
      <c r="N1563" s="1" t="n"/>
      <c r="O1563" s="1" t="n"/>
      <c r="P1563" s="1" t="n"/>
      <c r="Q1563" s="1" t="n"/>
      <c r="R1563" s="1" t="n"/>
    </row>
    <row r="1564">
      <c r="A1564" s="61" t="n"/>
      <c r="B1564" s="16" t="n"/>
      <c r="C1564" s="90" t="n"/>
      <c r="D1564" s="90" t="n"/>
      <c r="E1564" s="90" t="n"/>
      <c r="F1564" s="16" t="n"/>
      <c r="G1564" s="16" t="n"/>
      <c r="H1564" s="63" t="n"/>
      <c r="I1564" s="64" t="n"/>
      <c r="J1564" s="16" t="n"/>
      <c r="K1564" s="16" t="n"/>
      <c r="M1564" s="89" t="n"/>
      <c r="N1564" s="1" t="n"/>
      <c r="O1564" s="1" t="n"/>
      <c r="P1564" s="1" t="n"/>
      <c r="Q1564" s="1" t="n"/>
      <c r="R1564" s="1" t="n"/>
    </row>
    <row r="1565">
      <c r="A1565" s="61" t="n"/>
      <c r="B1565" s="16" t="n"/>
      <c r="C1565" s="90" t="n"/>
      <c r="D1565" s="90" t="n"/>
      <c r="E1565" s="90" t="n"/>
      <c r="F1565" s="16" t="n"/>
      <c r="G1565" s="16" t="n"/>
      <c r="H1565" s="63" t="n"/>
      <c r="I1565" s="64" t="n"/>
      <c r="J1565" s="16" t="n"/>
      <c r="K1565" s="16" t="n"/>
      <c r="M1565" s="89" t="n"/>
      <c r="N1565" s="1" t="n"/>
      <c r="O1565" s="1" t="n"/>
      <c r="P1565" s="1" t="n"/>
      <c r="Q1565" s="1" t="n"/>
      <c r="R1565" s="1" t="n"/>
    </row>
    <row r="1566">
      <c r="A1566" s="61" t="n"/>
      <c r="B1566" s="16" t="n"/>
      <c r="C1566" s="90" t="n"/>
      <c r="D1566" s="90" t="n"/>
      <c r="E1566" s="90" t="n"/>
      <c r="F1566" s="16" t="n"/>
      <c r="G1566" s="16" t="n"/>
      <c r="H1566" s="63" t="n"/>
      <c r="I1566" s="64" t="n"/>
      <c r="J1566" s="16" t="n"/>
      <c r="K1566" s="16" t="n"/>
      <c r="M1566" s="89" t="n"/>
      <c r="N1566" s="1" t="n"/>
      <c r="O1566" s="1" t="n"/>
      <c r="P1566" s="1" t="n"/>
      <c r="Q1566" s="1" t="n"/>
      <c r="R1566" s="1" t="n"/>
    </row>
    <row r="1567">
      <c r="A1567" s="61" t="n"/>
      <c r="B1567" s="16" t="n"/>
      <c r="C1567" s="90" t="n"/>
      <c r="D1567" s="90" t="n"/>
      <c r="E1567" s="90" t="n"/>
      <c r="F1567" s="16" t="n"/>
      <c r="G1567" s="16" t="n"/>
      <c r="H1567" s="63" t="n"/>
      <c r="I1567" s="64" t="n"/>
      <c r="J1567" s="16" t="n"/>
      <c r="K1567" s="16" t="n"/>
      <c r="M1567" s="89" t="n"/>
      <c r="N1567" s="1" t="n"/>
      <c r="O1567" s="1" t="n"/>
      <c r="P1567" s="1" t="n"/>
      <c r="Q1567" s="1" t="n"/>
      <c r="R1567" s="1" t="n"/>
    </row>
    <row r="1568">
      <c r="A1568" s="61" t="n"/>
      <c r="B1568" s="16" t="n"/>
      <c r="C1568" s="90" t="n"/>
      <c r="D1568" s="90" t="n"/>
      <c r="E1568" s="90" t="n"/>
      <c r="F1568" s="16" t="n"/>
      <c r="G1568" s="16" t="n"/>
      <c r="H1568" s="63" t="n"/>
      <c r="I1568" s="64" t="n"/>
      <c r="J1568" s="16" t="n"/>
      <c r="K1568" s="16" t="n"/>
      <c r="M1568" s="89" t="n"/>
      <c r="N1568" s="1" t="n"/>
      <c r="O1568" s="1" t="n"/>
      <c r="P1568" s="1" t="n"/>
      <c r="Q1568" s="1" t="n"/>
      <c r="R1568" s="1" t="n"/>
    </row>
    <row r="1569">
      <c r="A1569" s="61" t="n"/>
      <c r="B1569" s="16" t="n"/>
      <c r="C1569" s="90" t="n"/>
      <c r="D1569" s="90" t="n"/>
      <c r="E1569" s="90" t="n"/>
      <c r="F1569" s="16" t="n"/>
      <c r="G1569" s="16" t="n"/>
      <c r="H1569" s="63" t="n"/>
      <c r="I1569" s="64" t="n"/>
      <c r="J1569" s="16" t="n"/>
      <c r="K1569" s="16" t="n"/>
      <c r="M1569" s="89" t="n"/>
      <c r="N1569" s="1" t="n"/>
      <c r="O1569" s="1" t="n"/>
      <c r="P1569" s="1" t="n"/>
      <c r="Q1569" s="1" t="n"/>
      <c r="R1569" s="1" t="n"/>
    </row>
    <row r="1570">
      <c r="A1570" s="61" t="n"/>
      <c r="B1570" s="16" t="n"/>
      <c r="C1570" s="90" t="n"/>
      <c r="D1570" s="90" t="n"/>
      <c r="E1570" s="90" t="n"/>
      <c r="F1570" s="16" t="n"/>
      <c r="G1570" s="16" t="n"/>
      <c r="H1570" s="63" t="n"/>
      <c r="I1570" s="64" t="n"/>
      <c r="J1570" s="16" t="n"/>
      <c r="K1570" s="16" t="n"/>
      <c r="M1570" s="89" t="n"/>
      <c r="N1570" s="1" t="n"/>
      <c r="O1570" s="1" t="n"/>
      <c r="P1570" s="1" t="n"/>
      <c r="Q1570" s="1" t="n"/>
      <c r="R1570" s="1" t="n"/>
    </row>
    <row r="1571">
      <c r="A1571" s="61" t="n"/>
      <c r="B1571" s="16" t="n"/>
      <c r="C1571" s="90" t="n"/>
      <c r="D1571" s="90" t="n"/>
      <c r="E1571" s="90" t="n"/>
      <c r="F1571" s="16" t="n"/>
      <c r="G1571" s="16" t="n"/>
      <c r="H1571" s="63" t="n"/>
      <c r="I1571" s="64" t="n"/>
      <c r="J1571" s="16" t="n"/>
      <c r="K1571" s="16" t="n"/>
      <c r="M1571" s="89" t="n"/>
      <c r="N1571" s="1" t="n"/>
      <c r="O1571" s="1" t="n"/>
      <c r="P1571" s="1" t="n"/>
      <c r="Q1571" s="1" t="n"/>
      <c r="R1571" s="1" t="n"/>
    </row>
    <row r="1572">
      <c r="A1572" s="61" t="n"/>
      <c r="B1572" s="16" t="n"/>
      <c r="C1572" s="90" t="n"/>
      <c r="D1572" s="90" t="n"/>
      <c r="E1572" s="90" t="n"/>
      <c r="F1572" s="16" t="n"/>
      <c r="G1572" s="16" t="n"/>
      <c r="H1572" s="63" t="n"/>
      <c r="I1572" s="64" t="n"/>
      <c r="J1572" s="16" t="n"/>
      <c r="K1572" s="16" t="n"/>
      <c r="M1572" s="89" t="n"/>
      <c r="N1572" s="1" t="n"/>
      <c r="O1572" s="1" t="n"/>
      <c r="P1572" s="1" t="n"/>
      <c r="Q1572" s="1" t="n"/>
      <c r="R1572" s="1" t="n"/>
    </row>
    <row r="1573">
      <c r="A1573" s="61" t="n"/>
      <c r="B1573" s="16" t="n"/>
      <c r="C1573" s="90" t="n"/>
      <c r="D1573" s="90" t="n"/>
      <c r="E1573" s="90" t="n"/>
      <c r="F1573" s="16" t="n"/>
      <c r="G1573" s="16" t="n"/>
      <c r="H1573" s="63" t="n"/>
      <c r="I1573" s="64" t="n"/>
      <c r="J1573" s="16" t="n"/>
      <c r="K1573" s="16" t="n"/>
      <c r="M1573" s="89" t="n"/>
      <c r="N1573" s="1" t="n"/>
      <c r="O1573" s="1" t="n"/>
      <c r="P1573" s="1" t="n"/>
      <c r="Q1573" s="1" t="n"/>
      <c r="R1573" s="1" t="n"/>
    </row>
    <row r="1574">
      <c r="A1574" s="61" t="n"/>
      <c r="B1574" s="16" t="n"/>
      <c r="C1574" s="90" t="n"/>
      <c r="D1574" s="90" t="n"/>
      <c r="E1574" s="90" t="n"/>
      <c r="F1574" s="16" t="n"/>
      <c r="G1574" s="16" t="n"/>
      <c r="H1574" s="63" t="n"/>
      <c r="I1574" s="64" t="n"/>
      <c r="J1574" s="16" t="n"/>
      <c r="K1574" s="16" t="n"/>
      <c r="M1574" s="89" t="n"/>
      <c r="N1574" s="1" t="n"/>
      <c r="O1574" s="1" t="n"/>
      <c r="P1574" s="1" t="n"/>
      <c r="Q1574" s="1" t="n"/>
      <c r="R1574" s="1" t="n"/>
    </row>
    <row r="1575">
      <c r="A1575" s="61" t="n"/>
      <c r="B1575" s="16" t="n"/>
      <c r="C1575" s="90" t="n"/>
      <c r="D1575" s="90" t="n"/>
      <c r="E1575" s="90" t="n"/>
      <c r="F1575" s="16" t="n"/>
      <c r="G1575" s="16" t="n"/>
      <c r="H1575" s="63" t="n"/>
      <c r="I1575" s="64" t="n"/>
      <c r="J1575" s="16" t="n"/>
      <c r="K1575" s="16" t="n"/>
      <c r="M1575" s="89" t="n"/>
      <c r="N1575" s="1" t="n"/>
      <c r="O1575" s="1" t="n"/>
      <c r="P1575" s="1" t="n"/>
      <c r="Q1575" s="1" t="n"/>
      <c r="R1575" s="1" t="n"/>
    </row>
    <row r="1576">
      <c r="A1576" s="61" t="n"/>
      <c r="B1576" s="16" t="n"/>
      <c r="C1576" s="90" t="n"/>
      <c r="D1576" s="90" t="n"/>
      <c r="E1576" s="90" t="n"/>
      <c r="F1576" s="16" t="n"/>
      <c r="G1576" s="16" t="n"/>
      <c r="H1576" s="63" t="n"/>
      <c r="I1576" s="64" t="n"/>
      <c r="J1576" s="16" t="n"/>
      <c r="K1576" s="16" t="n"/>
      <c r="M1576" s="89" t="n"/>
      <c r="N1576" s="1" t="n"/>
      <c r="O1576" s="1" t="n"/>
      <c r="P1576" s="1" t="n"/>
      <c r="Q1576" s="1" t="n"/>
      <c r="R1576" s="1" t="n"/>
    </row>
    <row r="1577">
      <c r="A1577" s="61" t="n"/>
      <c r="B1577" s="16" t="n"/>
      <c r="C1577" s="90" t="n"/>
      <c r="D1577" s="90" t="n"/>
      <c r="E1577" s="90" t="n"/>
      <c r="F1577" s="16" t="n"/>
      <c r="G1577" s="16" t="n"/>
      <c r="H1577" s="63" t="n"/>
      <c r="I1577" s="64" t="n"/>
      <c r="J1577" s="16" t="n"/>
      <c r="K1577" s="16" t="n"/>
      <c r="M1577" s="89" t="n"/>
      <c r="N1577" s="1" t="n"/>
      <c r="O1577" s="1" t="n"/>
      <c r="P1577" s="1" t="n"/>
      <c r="Q1577" s="1" t="n"/>
      <c r="R1577" s="1" t="n"/>
    </row>
    <row r="1578">
      <c r="A1578" s="61" t="n"/>
      <c r="B1578" s="16" t="n"/>
      <c r="C1578" s="90" t="n"/>
      <c r="D1578" s="90" t="n"/>
      <c r="E1578" s="90" t="n"/>
      <c r="F1578" s="16" t="n"/>
      <c r="G1578" s="16" t="n"/>
      <c r="H1578" s="63" t="n"/>
      <c r="I1578" s="64" t="n"/>
      <c r="J1578" s="16" t="n"/>
      <c r="K1578" s="16" t="n"/>
      <c r="M1578" s="89" t="n"/>
      <c r="N1578" s="1" t="n"/>
      <c r="O1578" s="1" t="n"/>
      <c r="P1578" s="1" t="n"/>
      <c r="Q1578" s="1" t="n"/>
      <c r="R1578" s="1" t="n"/>
    </row>
    <row r="1579">
      <c r="A1579" s="61" t="n"/>
      <c r="B1579" s="16" t="n"/>
      <c r="C1579" s="90" t="n"/>
      <c r="D1579" s="90" t="n"/>
      <c r="E1579" s="90" t="n"/>
      <c r="F1579" s="16" t="n"/>
      <c r="G1579" s="16" t="n"/>
      <c r="H1579" s="63" t="n"/>
      <c r="I1579" s="64" t="n"/>
      <c r="J1579" s="16" t="n"/>
      <c r="K1579" s="16" t="n"/>
      <c r="M1579" s="89" t="n"/>
      <c r="N1579" s="1" t="n"/>
      <c r="O1579" s="1" t="n"/>
      <c r="P1579" s="1" t="n"/>
      <c r="Q1579" s="1" t="n"/>
      <c r="R1579" s="1" t="n"/>
    </row>
    <row r="1580">
      <c r="A1580" s="61" t="n"/>
      <c r="B1580" s="16" t="n"/>
      <c r="C1580" s="90" t="n"/>
      <c r="D1580" s="90" t="n"/>
      <c r="E1580" s="90" t="n"/>
      <c r="F1580" s="16" t="n"/>
      <c r="G1580" s="16" t="n"/>
      <c r="H1580" s="63" t="n"/>
      <c r="I1580" s="64" t="n"/>
      <c r="J1580" s="16" t="n"/>
      <c r="K1580" s="16" t="n"/>
      <c r="M1580" s="89" t="n"/>
      <c r="N1580" s="1" t="n"/>
      <c r="O1580" s="1" t="n"/>
      <c r="P1580" s="1" t="n"/>
      <c r="Q1580" s="1" t="n"/>
      <c r="R1580" s="1" t="n"/>
    </row>
    <row r="1581">
      <c r="A1581" s="61" t="n"/>
      <c r="B1581" s="16" t="n"/>
      <c r="C1581" s="90" t="n"/>
      <c r="D1581" s="90" t="n"/>
      <c r="E1581" s="90" t="n"/>
      <c r="F1581" s="16" t="n"/>
      <c r="G1581" s="16" t="n"/>
      <c r="H1581" s="63" t="n"/>
      <c r="I1581" s="64" t="n"/>
      <c r="J1581" s="16" t="n"/>
      <c r="K1581" s="16" t="n"/>
      <c r="M1581" s="89" t="n"/>
      <c r="N1581" s="1" t="n"/>
      <c r="O1581" s="1" t="n"/>
      <c r="P1581" s="1" t="n"/>
      <c r="Q1581" s="1" t="n"/>
      <c r="R1581" s="1" t="n"/>
    </row>
    <row r="1582">
      <c r="A1582" s="61" t="n"/>
      <c r="B1582" s="16" t="n"/>
      <c r="C1582" s="90" t="n"/>
      <c r="D1582" s="90" t="n"/>
      <c r="E1582" s="90" t="n"/>
      <c r="F1582" s="16" t="n"/>
      <c r="G1582" s="16" t="n"/>
      <c r="H1582" s="63" t="n"/>
      <c r="I1582" s="64" t="n"/>
      <c r="J1582" s="16" t="n"/>
      <c r="K1582" s="16" t="n"/>
      <c r="M1582" s="89" t="n"/>
      <c r="N1582" s="1" t="n"/>
      <c r="O1582" s="1" t="n"/>
      <c r="P1582" s="1" t="n"/>
      <c r="Q1582" s="1" t="n"/>
      <c r="R1582" s="1" t="n"/>
    </row>
    <row r="1583">
      <c r="A1583" s="61" t="n"/>
      <c r="B1583" s="16" t="n"/>
      <c r="C1583" s="90" t="n"/>
      <c r="D1583" s="90" t="n"/>
      <c r="E1583" s="90" t="n"/>
      <c r="F1583" s="16" t="n"/>
      <c r="G1583" s="16" t="n"/>
      <c r="H1583" s="63" t="n"/>
      <c r="I1583" s="64" t="n"/>
      <c r="J1583" s="16" t="n"/>
      <c r="K1583" s="16" t="n"/>
      <c r="M1583" s="89" t="n"/>
      <c r="N1583" s="1" t="n"/>
      <c r="O1583" s="1" t="n"/>
      <c r="P1583" s="1" t="n"/>
      <c r="Q1583" s="1" t="n"/>
      <c r="R1583" s="1" t="n"/>
    </row>
    <row r="1584">
      <c r="A1584" s="61" t="n"/>
      <c r="B1584" s="16" t="n"/>
      <c r="C1584" s="90" t="n"/>
      <c r="D1584" s="90" t="n"/>
      <c r="E1584" s="90" t="n"/>
      <c r="F1584" s="16" t="n"/>
      <c r="G1584" s="16" t="n"/>
      <c r="H1584" s="63" t="n"/>
      <c r="I1584" s="64" t="n"/>
      <c r="J1584" s="16" t="n"/>
      <c r="K1584" s="16" t="n"/>
      <c r="M1584" s="89" t="n"/>
      <c r="N1584" s="1" t="n"/>
      <c r="O1584" s="1" t="n"/>
      <c r="P1584" s="1" t="n"/>
      <c r="Q1584" s="1" t="n"/>
      <c r="R1584" s="1" t="n"/>
    </row>
    <row r="1585">
      <c r="A1585" s="61" t="n"/>
      <c r="B1585" s="16" t="n"/>
      <c r="C1585" s="90" t="n"/>
      <c r="D1585" s="90" t="n"/>
      <c r="E1585" s="90" t="n"/>
      <c r="F1585" s="16" t="n"/>
      <c r="G1585" s="16" t="n"/>
      <c r="H1585" s="63" t="n"/>
      <c r="I1585" s="64" t="n"/>
      <c r="J1585" s="16" t="n"/>
      <c r="K1585" s="16" t="n"/>
      <c r="M1585" s="89" t="n"/>
      <c r="N1585" s="1" t="n"/>
      <c r="O1585" s="1" t="n"/>
      <c r="P1585" s="1" t="n"/>
      <c r="Q1585" s="1" t="n"/>
      <c r="R1585" s="1" t="n"/>
    </row>
    <row r="1586">
      <c r="A1586" s="61" t="n"/>
      <c r="B1586" s="16" t="n"/>
      <c r="C1586" s="90" t="n"/>
      <c r="D1586" s="90" t="n"/>
      <c r="E1586" s="90" t="n"/>
      <c r="F1586" s="16" t="n"/>
      <c r="G1586" s="16" t="n"/>
      <c r="H1586" s="63" t="n"/>
      <c r="I1586" s="64" t="n"/>
      <c r="J1586" s="16" t="n"/>
      <c r="K1586" s="16" t="n"/>
      <c r="M1586" s="89" t="n"/>
      <c r="N1586" s="1" t="n"/>
      <c r="O1586" s="1" t="n"/>
      <c r="P1586" s="1" t="n"/>
      <c r="Q1586" s="1" t="n"/>
      <c r="R1586" s="1" t="n"/>
    </row>
    <row r="1587">
      <c r="A1587" s="61" t="n"/>
      <c r="B1587" s="16" t="n"/>
      <c r="C1587" s="90" t="n"/>
      <c r="D1587" s="90" t="n"/>
      <c r="E1587" s="90" t="n"/>
      <c r="F1587" s="16" t="n"/>
      <c r="G1587" s="16" t="n"/>
      <c r="H1587" s="63" t="n"/>
      <c r="I1587" s="64" t="n"/>
      <c r="J1587" s="16" t="n"/>
      <c r="K1587" s="16" t="n"/>
      <c r="M1587" s="89" t="n"/>
      <c r="N1587" s="1" t="n"/>
      <c r="O1587" s="1" t="n"/>
      <c r="P1587" s="1" t="n"/>
      <c r="Q1587" s="1" t="n"/>
      <c r="R1587" s="1" t="n"/>
    </row>
    <row r="1588">
      <c r="A1588" s="61" t="n"/>
      <c r="B1588" s="16" t="n"/>
      <c r="C1588" s="90" t="n"/>
      <c r="D1588" s="90" t="n"/>
      <c r="E1588" s="90" t="n"/>
      <c r="F1588" s="16" t="n"/>
      <c r="G1588" s="16" t="n"/>
      <c r="H1588" s="63" t="n"/>
      <c r="I1588" s="64" t="n"/>
      <c r="J1588" s="16" t="n"/>
      <c r="K1588" s="16" t="n"/>
      <c r="M1588" s="89" t="n"/>
      <c r="N1588" s="1" t="n"/>
      <c r="O1588" s="1" t="n"/>
      <c r="P1588" s="1" t="n"/>
      <c r="Q1588" s="1" t="n"/>
      <c r="R1588" s="1" t="n"/>
    </row>
    <row r="1589">
      <c r="A1589" s="61" t="n"/>
      <c r="B1589" s="16" t="n"/>
      <c r="C1589" s="90" t="n"/>
      <c r="D1589" s="90" t="n"/>
      <c r="E1589" s="90" t="n"/>
      <c r="F1589" s="16" t="n"/>
      <c r="G1589" s="16" t="n"/>
      <c r="H1589" s="63" t="n"/>
      <c r="I1589" s="64" t="n"/>
      <c r="J1589" s="16" t="n"/>
      <c r="K1589" s="16" t="n"/>
      <c r="M1589" s="89" t="n"/>
      <c r="N1589" s="1" t="n"/>
      <c r="O1589" s="1" t="n"/>
      <c r="P1589" s="1" t="n"/>
      <c r="Q1589" s="1" t="n"/>
      <c r="R1589" s="1" t="n"/>
    </row>
    <row r="1590">
      <c r="A1590" s="61" t="n"/>
      <c r="B1590" s="16" t="n"/>
      <c r="C1590" s="90" t="n"/>
      <c r="D1590" s="90" t="n"/>
      <c r="E1590" s="90" t="n"/>
      <c r="F1590" s="16" t="n"/>
      <c r="G1590" s="16" t="n"/>
      <c r="H1590" s="63" t="n"/>
      <c r="I1590" s="64" t="n"/>
      <c r="J1590" s="16" t="n"/>
      <c r="K1590" s="16" t="n"/>
      <c r="M1590" s="89" t="n"/>
      <c r="N1590" s="1" t="n"/>
      <c r="O1590" s="1" t="n"/>
      <c r="P1590" s="1" t="n"/>
      <c r="Q1590" s="1" t="n"/>
      <c r="R1590" s="1" t="n"/>
    </row>
    <row r="1591">
      <c r="A1591" s="61" t="n"/>
      <c r="B1591" s="16" t="n"/>
      <c r="C1591" s="90" t="n"/>
      <c r="D1591" s="90" t="n"/>
      <c r="E1591" s="90" t="n"/>
      <c r="F1591" s="16" t="n"/>
      <c r="G1591" s="16" t="n"/>
      <c r="H1591" s="63" t="n"/>
      <c r="I1591" s="64" t="n"/>
      <c r="J1591" s="16" t="n"/>
      <c r="K1591" s="16" t="n"/>
      <c r="M1591" s="89" t="n"/>
      <c r="N1591" s="1" t="n"/>
      <c r="O1591" s="1" t="n"/>
      <c r="P1591" s="1" t="n"/>
      <c r="Q1591" s="1" t="n"/>
      <c r="R1591" s="1" t="n"/>
    </row>
    <row r="1592">
      <c r="A1592" s="61" t="n"/>
      <c r="B1592" s="16" t="n"/>
      <c r="C1592" s="90" t="n"/>
      <c r="D1592" s="90" t="n"/>
      <c r="E1592" s="90" t="n"/>
      <c r="F1592" s="16" t="n"/>
      <c r="G1592" s="16" t="n"/>
      <c r="H1592" s="63" t="n"/>
      <c r="I1592" s="64" t="n"/>
      <c r="J1592" s="16" t="n"/>
      <c r="K1592" s="16" t="n"/>
      <c r="M1592" s="89" t="n"/>
      <c r="N1592" s="1" t="n"/>
      <c r="O1592" s="1" t="n"/>
      <c r="P1592" s="1" t="n"/>
      <c r="Q1592" s="1" t="n"/>
      <c r="R1592" s="1" t="n"/>
    </row>
    <row r="1593">
      <c r="A1593" s="61" t="n"/>
      <c r="B1593" s="16" t="n"/>
      <c r="C1593" s="90" t="n"/>
      <c r="D1593" s="90" t="n"/>
      <c r="E1593" s="90" t="n"/>
      <c r="F1593" s="16" t="n"/>
      <c r="G1593" s="16" t="n"/>
      <c r="H1593" s="63" t="n"/>
      <c r="I1593" s="64" t="n"/>
      <c r="J1593" s="16" t="n"/>
      <c r="K1593" s="16" t="n"/>
      <c r="M1593" s="89" t="n"/>
      <c r="N1593" s="1" t="n"/>
      <c r="O1593" s="1" t="n"/>
      <c r="P1593" s="1" t="n"/>
      <c r="Q1593" s="1" t="n"/>
      <c r="R1593" s="1" t="n"/>
    </row>
    <row r="1594">
      <c r="A1594" s="61" t="n"/>
      <c r="B1594" s="16" t="n"/>
      <c r="C1594" s="90" t="n"/>
      <c r="D1594" s="90" t="n"/>
      <c r="E1594" s="90" t="n"/>
      <c r="F1594" s="16" t="n"/>
      <c r="G1594" s="16" t="n"/>
      <c r="H1594" s="63" t="n"/>
      <c r="I1594" s="64" t="n"/>
      <c r="J1594" s="16" t="n"/>
      <c r="K1594" s="16" t="n"/>
      <c r="M1594" s="89" t="n"/>
      <c r="N1594" s="1" t="n"/>
      <c r="O1594" s="1" t="n"/>
      <c r="P1594" s="1" t="n"/>
      <c r="Q1594" s="1" t="n"/>
      <c r="R1594" s="1" t="n"/>
    </row>
    <row r="1595">
      <c r="A1595" s="61" t="n"/>
      <c r="B1595" s="16" t="n"/>
      <c r="C1595" s="90" t="n"/>
      <c r="D1595" s="90" t="n"/>
      <c r="E1595" s="90" t="n"/>
      <c r="F1595" s="16" t="n"/>
      <c r="G1595" s="16" t="n"/>
      <c r="H1595" s="63" t="n"/>
      <c r="I1595" s="64" t="n"/>
      <c r="J1595" s="16" t="n"/>
      <c r="K1595" s="16" t="n"/>
      <c r="M1595" s="89" t="n"/>
      <c r="N1595" s="1" t="n"/>
      <c r="O1595" s="1" t="n"/>
      <c r="P1595" s="1" t="n"/>
      <c r="Q1595" s="1" t="n"/>
      <c r="R1595" s="1" t="n"/>
    </row>
    <row r="1596">
      <c r="A1596" s="61" t="n"/>
      <c r="B1596" s="16" t="n"/>
      <c r="C1596" s="90" t="n"/>
      <c r="D1596" s="90" t="n"/>
      <c r="E1596" s="90" t="n"/>
      <c r="F1596" s="16" t="n"/>
      <c r="G1596" s="16" t="n"/>
      <c r="H1596" s="63" t="n"/>
      <c r="I1596" s="64" t="n"/>
      <c r="J1596" s="16" t="n"/>
      <c r="K1596" s="16" t="n"/>
      <c r="M1596" s="89" t="n"/>
      <c r="N1596" s="1" t="n"/>
      <c r="O1596" s="1" t="n"/>
      <c r="P1596" s="1" t="n"/>
      <c r="Q1596" s="1" t="n"/>
      <c r="R1596" s="1" t="n"/>
    </row>
    <row r="1597">
      <c r="A1597" s="61" t="n"/>
      <c r="B1597" s="16" t="n"/>
      <c r="C1597" s="90" t="n"/>
      <c r="D1597" s="90" t="n"/>
      <c r="E1597" s="90" t="n"/>
      <c r="F1597" s="16" t="n"/>
      <c r="G1597" s="16" t="n"/>
      <c r="H1597" s="63" t="n"/>
      <c r="I1597" s="64" t="n"/>
      <c r="J1597" s="16" t="n"/>
      <c r="K1597" s="16" t="n"/>
      <c r="M1597" s="89" t="n"/>
      <c r="N1597" s="1" t="n"/>
      <c r="O1597" s="1" t="n"/>
      <c r="P1597" s="1" t="n"/>
      <c r="Q1597" s="1" t="n"/>
      <c r="R1597" s="1" t="n"/>
    </row>
    <row r="1598">
      <c r="A1598" s="61" t="n"/>
      <c r="B1598" s="16" t="n"/>
      <c r="C1598" s="90" t="n"/>
      <c r="D1598" s="90" t="n"/>
      <c r="E1598" s="90" t="n"/>
      <c r="F1598" s="16" t="n"/>
      <c r="G1598" s="16" t="n"/>
      <c r="H1598" s="63" t="n"/>
      <c r="I1598" s="64" t="n"/>
      <c r="J1598" s="16" t="n"/>
      <c r="K1598" s="16" t="n"/>
      <c r="M1598" s="89" t="n"/>
      <c r="N1598" s="1" t="n"/>
      <c r="O1598" s="1" t="n"/>
      <c r="P1598" s="1" t="n"/>
      <c r="Q1598" s="1" t="n"/>
      <c r="R1598" s="1" t="n"/>
    </row>
    <row r="1599">
      <c r="A1599" s="61" t="n"/>
      <c r="B1599" s="16" t="n"/>
      <c r="C1599" s="90" t="n"/>
      <c r="D1599" s="90" t="n"/>
      <c r="E1599" s="90" t="n"/>
      <c r="F1599" s="16" t="n"/>
      <c r="G1599" s="16" t="n"/>
      <c r="H1599" s="63" t="n"/>
      <c r="I1599" s="64" t="n"/>
      <c r="J1599" s="16" t="n"/>
      <c r="K1599" s="16" t="n"/>
      <c r="M1599" s="89" t="n"/>
      <c r="N1599" s="1" t="n"/>
      <c r="O1599" s="1" t="n"/>
      <c r="P1599" s="1" t="n"/>
      <c r="Q1599" s="1" t="n"/>
      <c r="R1599" s="1" t="n"/>
    </row>
    <row r="1600">
      <c r="A1600" s="61" t="n"/>
      <c r="B1600" s="16" t="n"/>
      <c r="C1600" s="90" t="n"/>
      <c r="D1600" s="90" t="n"/>
      <c r="E1600" s="90" t="n"/>
      <c r="F1600" s="16" t="n"/>
      <c r="G1600" s="16" t="n"/>
      <c r="H1600" s="63" t="n"/>
      <c r="I1600" s="64" t="n"/>
      <c r="J1600" s="16" t="n"/>
      <c r="K1600" s="16" t="n"/>
      <c r="M1600" s="89" t="n"/>
      <c r="N1600" s="1" t="n"/>
      <c r="O1600" s="1" t="n"/>
      <c r="P1600" s="1" t="n"/>
      <c r="Q1600" s="1" t="n"/>
      <c r="R1600" s="1" t="n"/>
    </row>
    <row r="1601">
      <c r="A1601" s="61" t="n"/>
      <c r="B1601" s="16" t="n"/>
      <c r="C1601" s="90" t="n"/>
      <c r="D1601" s="90" t="n"/>
      <c r="E1601" s="90" t="n"/>
      <c r="F1601" s="16" t="n"/>
      <c r="G1601" s="16" t="n"/>
      <c r="H1601" s="63" t="n"/>
      <c r="I1601" s="64" t="n"/>
      <c r="J1601" s="16" t="n"/>
      <c r="K1601" s="16" t="n"/>
      <c r="M1601" s="89" t="n"/>
      <c r="N1601" s="1" t="n"/>
      <c r="O1601" s="1" t="n"/>
      <c r="P1601" s="1" t="n"/>
      <c r="Q1601" s="1" t="n"/>
      <c r="R1601" s="1" t="n"/>
    </row>
    <row r="1602">
      <c r="A1602" s="61" t="n"/>
      <c r="B1602" s="16" t="n"/>
      <c r="C1602" s="90" t="n"/>
      <c r="D1602" s="90" t="n"/>
      <c r="E1602" s="90" t="n"/>
      <c r="F1602" s="16" t="n"/>
      <c r="G1602" s="16" t="n"/>
      <c r="H1602" s="63" t="n"/>
      <c r="I1602" s="64" t="n"/>
      <c r="J1602" s="16" t="n"/>
      <c r="K1602" s="16" t="n"/>
      <c r="M1602" s="89" t="n"/>
      <c r="N1602" s="1" t="n"/>
      <c r="O1602" s="1" t="n"/>
      <c r="P1602" s="1" t="n"/>
      <c r="Q1602" s="1" t="n"/>
      <c r="R1602" s="1" t="n"/>
    </row>
    <row r="1603">
      <c r="A1603" s="61" t="n"/>
      <c r="B1603" s="16" t="n"/>
      <c r="C1603" s="90" t="n"/>
      <c r="D1603" s="90" t="n"/>
      <c r="E1603" s="90" t="n"/>
      <c r="F1603" s="16" t="n"/>
      <c r="G1603" s="16" t="n"/>
      <c r="H1603" s="63" t="n"/>
      <c r="I1603" s="64" t="n"/>
      <c r="J1603" s="16" t="n"/>
      <c r="K1603" s="16" t="n"/>
      <c r="M1603" s="89" t="n"/>
      <c r="N1603" s="1" t="n"/>
      <c r="O1603" s="1" t="n"/>
      <c r="P1603" s="1" t="n"/>
      <c r="Q1603" s="1" t="n"/>
      <c r="R1603" s="1" t="n"/>
    </row>
    <row r="1604">
      <c r="A1604" s="61" t="n"/>
      <c r="B1604" s="16" t="n"/>
      <c r="C1604" s="90" t="n"/>
      <c r="D1604" s="90" t="n"/>
      <c r="E1604" s="90" t="n"/>
      <c r="F1604" s="16" t="n"/>
      <c r="G1604" s="16" t="n"/>
      <c r="H1604" s="63" t="n"/>
      <c r="I1604" s="64" t="n"/>
      <c r="J1604" s="16" t="n"/>
      <c r="K1604" s="16" t="n"/>
      <c r="M1604" s="89" t="n"/>
      <c r="N1604" s="1" t="n"/>
      <c r="O1604" s="1" t="n"/>
      <c r="P1604" s="1" t="n"/>
      <c r="Q1604" s="1" t="n"/>
      <c r="R1604" s="1" t="n"/>
    </row>
    <row r="1605">
      <c r="A1605" s="61" t="n"/>
      <c r="B1605" s="16" t="n"/>
      <c r="C1605" s="90" t="n"/>
      <c r="D1605" s="90" t="n"/>
      <c r="E1605" s="90" t="n"/>
      <c r="F1605" s="16" t="n"/>
      <c r="G1605" s="16" t="n"/>
      <c r="H1605" s="63" t="n"/>
      <c r="I1605" s="64" t="n"/>
      <c r="J1605" s="16" t="n"/>
      <c r="K1605" s="16" t="n"/>
      <c r="M1605" s="89" t="n"/>
      <c r="N1605" s="1" t="n"/>
      <c r="O1605" s="1" t="n"/>
      <c r="P1605" s="1" t="n"/>
      <c r="Q1605" s="1" t="n"/>
      <c r="R1605" s="1" t="n"/>
    </row>
    <row r="1606">
      <c r="A1606" s="61" t="n"/>
      <c r="B1606" s="16" t="n"/>
      <c r="C1606" s="90" t="n"/>
      <c r="D1606" s="90" t="n"/>
      <c r="E1606" s="90" t="n"/>
      <c r="F1606" s="16" t="n"/>
      <c r="G1606" s="16" t="n"/>
      <c r="H1606" s="63" t="n"/>
      <c r="I1606" s="64" t="n"/>
      <c r="J1606" s="16" t="n"/>
      <c r="K1606" s="16" t="n"/>
      <c r="M1606" s="89" t="n"/>
      <c r="N1606" s="1" t="n"/>
      <c r="O1606" s="1" t="n"/>
      <c r="P1606" s="1" t="n"/>
      <c r="Q1606" s="1" t="n"/>
      <c r="R1606" s="1" t="n"/>
    </row>
    <row r="1607">
      <c r="A1607" s="61" t="n"/>
      <c r="B1607" s="16" t="n"/>
      <c r="C1607" s="90" t="n"/>
      <c r="D1607" s="90" t="n"/>
      <c r="E1607" s="90" t="n"/>
      <c r="F1607" s="16" t="n"/>
      <c r="G1607" s="16" t="n"/>
      <c r="H1607" s="63" t="n"/>
      <c r="I1607" s="64" t="n"/>
      <c r="J1607" s="16" t="n"/>
      <c r="K1607" s="16" t="n"/>
      <c r="M1607" s="89" t="n"/>
      <c r="N1607" s="1" t="n"/>
      <c r="O1607" s="1" t="n"/>
      <c r="P1607" s="1" t="n"/>
      <c r="Q1607" s="1" t="n"/>
      <c r="R1607" s="1" t="n"/>
    </row>
    <row r="1608">
      <c r="A1608" s="61" t="n"/>
      <c r="B1608" s="16" t="n"/>
      <c r="C1608" s="90" t="n"/>
      <c r="D1608" s="90" t="n"/>
      <c r="E1608" s="90" t="n"/>
      <c r="F1608" s="16" t="n"/>
      <c r="G1608" s="16" t="n"/>
      <c r="H1608" s="63" t="n"/>
      <c r="I1608" s="64" t="n"/>
      <c r="J1608" s="16" t="n"/>
      <c r="K1608" s="16" t="n"/>
      <c r="M1608" s="89" t="n"/>
      <c r="N1608" s="1" t="n"/>
      <c r="O1608" s="1" t="n"/>
      <c r="P1608" s="1" t="n"/>
      <c r="Q1608" s="1" t="n"/>
      <c r="R1608" s="1" t="n"/>
    </row>
    <row r="1609">
      <c r="A1609" s="61" t="n"/>
      <c r="B1609" s="16" t="n"/>
      <c r="C1609" s="90" t="n"/>
      <c r="D1609" s="90" t="n"/>
      <c r="E1609" s="90" t="n"/>
      <c r="F1609" s="16" t="n"/>
      <c r="G1609" s="16" t="n"/>
      <c r="H1609" s="63" t="n"/>
      <c r="I1609" s="64" t="n"/>
      <c r="J1609" s="16" t="n"/>
      <c r="K1609" s="16" t="n"/>
      <c r="M1609" s="89" t="n"/>
      <c r="N1609" s="1" t="n"/>
      <c r="O1609" s="1" t="n"/>
      <c r="P1609" s="1" t="n"/>
      <c r="Q1609" s="1" t="n"/>
      <c r="R1609" s="1" t="n"/>
    </row>
    <row r="1610">
      <c r="A1610" s="61" t="n"/>
      <c r="B1610" s="16" t="n"/>
      <c r="C1610" s="90" t="n"/>
      <c r="D1610" s="90" t="n"/>
      <c r="E1610" s="90" t="n"/>
      <c r="F1610" s="16" t="n"/>
      <c r="G1610" s="16" t="n"/>
      <c r="H1610" s="63" t="n"/>
      <c r="I1610" s="64" t="n"/>
      <c r="J1610" s="16" t="n"/>
      <c r="K1610" s="16" t="n"/>
      <c r="M1610" s="89" t="n"/>
      <c r="N1610" s="1" t="n"/>
      <c r="O1610" s="1" t="n"/>
      <c r="P1610" s="1" t="n"/>
      <c r="Q1610" s="1" t="n"/>
      <c r="R1610" s="1" t="n"/>
    </row>
    <row r="1611">
      <c r="A1611" s="61" t="n"/>
      <c r="B1611" s="16" t="n"/>
      <c r="C1611" s="90" t="n"/>
      <c r="D1611" s="90" t="n"/>
      <c r="E1611" s="90" t="n"/>
      <c r="F1611" s="16" t="n"/>
      <c r="G1611" s="16" t="n"/>
      <c r="H1611" s="63" t="n"/>
      <c r="I1611" s="64" t="n"/>
      <c r="J1611" s="16" t="n"/>
      <c r="K1611" s="16" t="n"/>
      <c r="M1611" s="89" t="n"/>
      <c r="N1611" s="1" t="n"/>
      <c r="O1611" s="1" t="n"/>
      <c r="P1611" s="1" t="n"/>
      <c r="Q1611" s="1" t="n"/>
      <c r="R1611" s="1" t="n"/>
    </row>
    <row r="1612">
      <c r="A1612" s="61" t="n"/>
      <c r="B1612" s="16" t="n"/>
      <c r="C1612" s="90" t="n"/>
      <c r="D1612" s="90" t="n"/>
      <c r="E1612" s="90" t="n"/>
      <c r="F1612" s="16" t="n"/>
      <c r="G1612" s="16" t="n"/>
      <c r="H1612" s="63" t="n"/>
      <c r="I1612" s="64" t="n"/>
      <c r="J1612" s="16" t="n"/>
      <c r="K1612" s="16" t="n"/>
      <c r="M1612" s="89" t="n"/>
      <c r="N1612" s="1" t="n"/>
      <c r="O1612" s="1" t="n"/>
      <c r="P1612" s="1" t="n"/>
      <c r="Q1612" s="1" t="n"/>
      <c r="R1612" s="1" t="n"/>
    </row>
    <row r="1613">
      <c r="A1613" s="61" t="n"/>
      <c r="B1613" s="16" t="n"/>
      <c r="C1613" s="90" t="n"/>
      <c r="D1613" s="90" t="n"/>
      <c r="E1613" s="90" t="n"/>
      <c r="F1613" s="16" t="n"/>
      <c r="G1613" s="16" t="n"/>
      <c r="H1613" s="63" t="n"/>
      <c r="I1613" s="64" t="n"/>
      <c r="J1613" s="16" t="n"/>
      <c r="K1613" s="16" t="n"/>
      <c r="M1613" s="89" t="n"/>
      <c r="N1613" s="1" t="n"/>
      <c r="O1613" s="1" t="n"/>
      <c r="P1613" s="1" t="n"/>
      <c r="Q1613" s="1" t="n"/>
      <c r="R1613" s="1" t="n"/>
    </row>
    <row r="1614">
      <c r="A1614" s="61" t="n"/>
      <c r="B1614" s="16" t="n"/>
      <c r="C1614" s="90" t="n"/>
      <c r="D1614" s="90" t="n"/>
      <c r="E1614" s="90" t="n"/>
      <c r="F1614" s="16" t="n"/>
      <c r="G1614" s="16" t="n"/>
      <c r="H1614" s="63" t="n"/>
      <c r="I1614" s="64" t="n"/>
      <c r="J1614" s="16" t="n"/>
      <c r="K1614" s="16" t="n"/>
      <c r="M1614" s="89" t="n"/>
      <c r="N1614" s="1" t="n"/>
      <c r="O1614" s="1" t="n"/>
      <c r="P1614" s="1" t="n"/>
      <c r="Q1614" s="1" t="n"/>
      <c r="R1614" s="1" t="n"/>
    </row>
    <row r="1615">
      <c r="A1615" s="61" t="n"/>
      <c r="B1615" s="16" t="n"/>
      <c r="C1615" s="90" t="n"/>
      <c r="D1615" s="90" t="n"/>
      <c r="E1615" s="90" t="n"/>
      <c r="F1615" s="16" t="n"/>
      <c r="G1615" s="16" t="n"/>
      <c r="H1615" s="63" t="n"/>
      <c r="I1615" s="64" t="n"/>
      <c r="J1615" s="16" t="n"/>
      <c r="K1615" s="16" t="n"/>
      <c r="M1615" s="89" t="n"/>
      <c r="N1615" s="1" t="n"/>
      <c r="O1615" s="1" t="n"/>
      <c r="P1615" s="1" t="n"/>
      <c r="Q1615" s="1" t="n"/>
      <c r="R1615" s="1" t="n"/>
    </row>
    <row r="1616">
      <c r="A1616" s="61" t="n"/>
      <c r="B1616" s="16" t="n"/>
      <c r="C1616" s="90" t="n"/>
      <c r="D1616" s="90" t="n"/>
      <c r="E1616" s="90" t="n"/>
      <c r="F1616" s="16" t="n"/>
      <c r="G1616" s="16" t="n"/>
      <c r="H1616" s="63" t="n"/>
      <c r="I1616" s="64" t="n"/>
      <c r="J1616" s="16" t="n"/>
      <c r="K1616" s="16" t="n"/>
      <c r="M1616" s="89" t="n"/>
      <c r="N1616" s="1" t="n"/>
      <c r="O1616" s="1" t="n"/>
      <c r="P1616" s="1" t="n"/>
      <c r="Q1616" s="1" t="n"/>
      <c r="R1616" s="1" t="n"/>
    </row>
    <row r="1617">
      <c r="A1617" s="61" t="n"/>
      <c r="B1617" s="16" t="n"/>
      <c r="C1617" s="90" t="n"/>
      <c r="D1617" s="90" t="n"/>
      <c r="E1617" s="90" t="n"/>
      <c r="F1617" s="16" t="n"/>
      <c r="G1617" s="16" t="n"/>
      <c r="H1617" s="63" t="n"/>
      <c r="I1617" s="64" t="n"/>
      <c r="J1617" s="16" t="n"/>
      <c r="K1617" s="16" t="n"/>
      <c r="M1617" s="89" t="n"/>
      <c r="N1617" s="1" t="n"/>
      <c r="O1617" s="1" t="n"/>
      <c r="P1617" s="1" t="n"/>
      <c r="Q1617" s="1" t="n"/>
      <c r="R1617" s="1" t="n"/>
    </row>
    <row r="1618">
      <c r="A1618" s="61" t="n"/>
      <c r="B1618" s="16" t="n"/>
      <c r="C1618" s="90" t="n"/>
      <c r="D1618" s="90" t="n"/>
      <c r="E1618" s="90" t="n"/>
      <c r="F1618" s="16" t="n"/>
      <c r="G1618" s="16" t="n"/>
      <c r="H1618" s="63" t="n"/>
      <c r="I1618" s="64" t="n"/>
      <c r="J1618" s="16" t="n"/>
      <c r="K1618" s="16" t="n"/>
      <c r="M1618" s="89" t="n"/>
      <c r="N1618" s="1" t="n"/>
      <c r="O1618" s="1" t="n"/>
      <c r="P1618" s="1" t="n"/>
      <c r="Q1618" s="1" t="n"/>
      <c r="R1618" s="1" t="n"/>
    </row>
    <row r="1619">
      <c r="A1619" s="61" t="n"/>
      <c r="B1619" s="16" t="n"/>
      <c r="C1619" s="90" t="n"/>
      <c r="D1619" s="90" t="n"/>
      <c r="E1619" s="90" t="n"/>
      <c r="F1619" s="16" t="n"/>
      <c r="G1619" s="16" t="n"/>
      <c r="H1619" s="63" t="n"/>
      <c r="I1619" s="64" t="n"/>
      <c r="J1619" s="16" t="n"/>
      <c r="K1619" s="16" t="n"/>
      <c r="M1619" s="89" t="n"/>
      <c r="N1619" s="1" t="n"/>
      <c r="O1619" s="1" t="n"/>
      <c r="P1619" s="1" t="n"/>
      <c r="Q1619" s="1" t="n"/>
      <c r="R1619" s="1" t="n"/>
    </row>
    <row r="1620">
      <c r="A1620" s="61" t="n"/>
      <c r="B1620" s="16" t="n"/>
      <c r="C1620" s="90" t="n"/>
      <c r="D1620" s="90" t="n"/>
      <c r="E1620" s="90" t="n"/>
      <c r="F1620" s="16" t="n"/>
      <c r="G1620" s="16" t="n"/>
      <c r="H1620" s="63" t="n"/>
      <c r="I1620" s="64" t="n"/>
      <c r="J1620" s="16" t="n"/>
      <c r="K1620" s="16" t="n"/>
      <c r="M1620" s="89" t="n"/>
      <c r="N1620" s="1" t="n"/>
      <c r="O1620" s="1" t="n"/>
      <c r="P1620" s="1" t="n"/>
      <c r="Q1620" s="1" t="n"/>
      <c r="R1620" s="1" t="n"/>
    </row>
    <row r="1621">
      <c r="A1621" s="61" t="n"/>
      <c r="B1621" s="16" t="n"/>
      <c r="C1621" s="90" t="n"/>
      <c r="D1621" s="90" t="n"/>
      <c r="E1621" s="90" t="n"/>
      <c r="F1621" s="16" t="n"/>
      <c r="G1621" s="16" t="n"/>
      <c r="H1621" s="63" t="n"/>
      <c r="I1621" s="64" t="n"/>
      <c r="J1621" s="16" t="n"/>
      <c r="K1621" s="16" t="n"/>
      <c r="M1621" s="89" t="n"/>
      <c r="N1621" s="1" t="n"/>
      <c r="O1621" s="1" t="n"/>
      <c r="P1621" s="1" t="n"/>
      <c r="Q1621" s="1" t="n"/>
      <c r="R1621" s="1" t="n"/>
    </row>
    <row r="1622">
      <c r="A1622" s="61" t="n"/>
      <c r="B1622" s="16" t="n"/>
      <c r="C1622" s="90" t="n"/>
      <c r="D1622" s="90" t="n"/>
      <c r="E1622" s="90" t="n"/>
      <c r="F1622" s="16" t="n"/>
      <c r="G1622" s="16" t="n"/>
      <c r="H1622" s="63" t="n"/>
      <c r="I1622" s="64" t="n"/>
      <c r="J1622" s="16" t="n"/>
      <c r="K1622" s="16" t="n"/>
      <c r="M1622" s="89" t="n"/>
      <c r="N1622" s="1" t="n"/>
      <c r="O1622" s="1" t="n"/>
      <c r="P1622" s="1" t="n"/>
      <c r="Q1622" s="1" t="n"/>
      <c r="R1622" s="1" t="n"/>
    </row>
    <row r="1623">
      <c r="A1623" s="61" t="n"/>
      <c r="B1623" s="16" t="n"/>
      <c r="C1623" s="90" t="n"/>
      <c r="D1623" s="90" t="n"/>
      <c r="E1623" s="90" t="n"/>
      <c r="F1623" s="16" t="n"/>
      <c r="G1623" s="16" t="n"/>
      <c r="H1623" s="63" t="n"/>
      <c r="I1623" s="64" t="n"/>
      <c r="J1623" s="16" t="n"/>
      <c r="K1623" s="16" t="n"/>
      <c r="M1623" s="89" t="n"/>
      <c r="N1623" s="1" t="n"/>
      <c r="O1623" s="1" t="n"/>
      <c r="P1623" s="1" t="n"/>
      <c r="Q1623" s="1" t="n"/>
      <c r="R1623" s="1" t="n"/>
    </row>
    <row r="1624">
      <c r="A1624" s="61" t="n"/>
      <c r="B1624" s="16" t="n"/>
      <c r="C1624" s="90" t="n"/>
      <c r="D1624" s="90" t="n"/>
      <c r="E1624" s="90" t="n"/>
      <c r="F1624" s="16" t="n"/>
      <c r="G1624" s="16" t="n"/>
      <c r="H1624" s="63" t="n"/>
      <c r="I1624" s="64" t="n"/>
      <c r="J1624" s="16" t="n"/>
      <c r="K1624" s="16" t="n"/>
      <c r="M1624" s="89" t="n"/>
      <c r="N1624" s="1" t="n"/>
      <c r="O1624" s="1" t="n"/>
      <c r="P1624" s="1" t="n"/>
      <c r="Q1624" s="1" t="n"/>
      <c r="R1624" s="1" t="n"/>
    </row>
    <row r="1625">
      <c r="A1625" s="61" t="n"/>
      <c r="B1625" s="16" t="n"/>
      <c r="C1625" s="90" t="n"/>
      <c r="D1625" s="90" t="n"/>
      <c r="E1625" s="90" t="n"/>
      <c r="F1625" s="16" t="n"/>
      <c r="G1625" s="16" t="n"/>
      <c r="H1625" s="63" t="n"/>
      <c r="I1625" s="64" t="n"/>
      <c r="J1625" s="16" t="n"/>
      <c r="K1625" s="16" t="n"/>
      <c r="M1625" s="89" t="n"/>
      <c r="N1625" s="1" t="n"/>
      <c r="O1625" s="1" t="n"/>
      <c r="P1625" s="1" t="n"/>
      <c r="Q1625" s="1" t="n"/>
      <c r="R1625" s="1" t="n"/>
    </row>
    <row r="1626">
      <c r="A1626" s="61" t="n"/>
      <c r="B1626" s="16" t="n"/>
      <c r="C1626" s="90" t="n"/>
      <c r="D1626" s="90" t="n"/>
      <c r="E1626" s="90" t="n"/>
      <c r="F1626" s="16" t="n"/>
      <c r="G1626" s="16" t="n"/>
      <c r="H1626" s="63" t="n"/>
      <c r="I1626" s="64" t="n"/>
      <c r="J1626" s="16" t="n"/>
      <c r="K1626" s="16" t="n"/>
      <c r="M1626" s="89" t="n"/>
      <c r="N1626" s="1" t="n"/>
      <c r="O1626" s="1" t="n"/>
      <c r="P1626" s="1" t="n"/>
      <c r="Q1626" s="1" t="n"/>
      <c r="R1626" s="1" t="n"/>
    </row>
    <row r="1627">
      <c r="A1627" s="61" t="n"/>
      <c r="B1627" s="16" t="n"/>
      <c r="C1627" s="90" t="n"/>
      <c r="D1627" s="90" t="n"/>
      <c r="E1627" s="90" t="n"/>
      <c r="F1627" s="16" t="n"/>
      <c r="G1627" s="16" t="n"/>
      <c r="H1627" s="63" t="n"/>
      <c r="I1627" s="64" t="n"/>
      <c r="J1627" s="16" t="n"/>
      <c r="K1627" s="16" t="n"/>
      <c r="M1627" s="89" t="n"/>
      <c r="N1627" s="1" t="n"/>
      <c r="O1627" s="1" t="n"/>
      <c r="P1627" s="1" t="n"/>
      <c r="Q1627" s="1" t="n"/>
      <c r="R1627" s="1" t="n"/>
    </row>
    <row r="1628">
      <c r="A1628" s="61" t="n"/>
      <c r="B1628" s="16" t="n"/>
      <c r="C1628" s="90" t="n"/>
      <c r="D1628" s="90" t="n"/>
      <c r="E1628" s="90" t="n"/>
      <c r="F1628" s="16" t="n"/>
      <c r="G1628" s="16" t="n"/>
      <c r="H1628" s="63" t="n"/>
      <c r="I1628" s="64" t="n"/>
      <c r="J1628" s="16" t="n"/>
      <c r="K1628" s="16" t="n"/>
      <c r="M1628" s="89" t="n"/>
      <c r="N1628" s="1" t="n"/>
      <c r="O1628" s="1" t="n"/>
      <c r="P1628" s="1" t="n"/>
      <c r="Q1628" s="1" t="n"/>
      <c r="R1628" s="1" t="n"/>
    </row>
    <row r="1629">
      <c r="A1629" s="61" t="n"/>
      <c r="B1629" s="16" t="n"/>
      <c r="C1629" s="90" t="n"/>
      <c r="D1629" s="90" t="n"/>
      <c r="E1629" s="90" t="n"/>
      <c r="F1629" s="16" t="n"/>
      <c r="G1629" s="16" t="n"/>
      <c r="H1629" s="63" t="n"/>
      <c r="I1629" s="64" t="n"/>
      <c r="J1629" s="16" t="n"/>
      <c r="K1629" s="16" t="n"/>
      <c r="M1629" s="89" t="n"/>
      <c r="N1629" s="1" t="n"/>
      <c r="O1629" s="1" t="n"/>
      <c r="P1629" s="1" t="n"/>
      <c r="Q1629" s="1" t="n"/>
      <c r="R1629" s="1" t="n"/>
    </row>
    <row r="1630">
      <c r="A1630" s="61" t="n"/>
      <c r="B1630" s="16" t="n"/>
      <c r="C1630" s="90" t="n"/>
      <c r="D1630" s="90" t="n"/>
      <c r="E1630" s="90" t="n"/>
      <c r="F1630" s="16" t="n"/>
      <c r="G1630" s="16" t="n"/>
      <c r="H1630" s="63" t="n"/>
      <c r="I1630" s="64" t="n"/>
      <c r="J1630" s="16" t="n"/>
      <c r="K1630" s="16" t="n"/>
      <c r="M1630" s="89" t="n"/>
      <c r="N1630" s="1" t="n"/>
      <c r="O1630" s="1" t="n"/>
      <c r="P1630" s="1" t="n"/>
      <c r="Q1630" s="1" t="n"/>
      <c r="R1630" s="1" t="n"/>
    </row>
    <row r="1631">
      <c r="A1631" s="61" t="n"/>
      <c r="B1631" s="16" t="n"/>
      <c r="C1631" s="90" t="n"/>
      <c r="D1631" s="90" t="n"/>
      <c r="E1631" s="90" t="n"/>
      <c r="F1631" s="16" t="n"/>
      <c r="G1631" s="16" t="n"/>
      <c r="H1631" s="63" t="n"/>
      <c r="I1631" s="64" t="n"/>
      <c r="J1631" s="16" t="n"/>
      <c r="K1631" s="16" t="n"/>
      <c r="M1631" s="89" t="n"/>
      <c r="N1631" s="1" t="n"/>
      <c r="O1631" s="1" t="n"/>
      <c r="P1631" s="1" t="n"/>
      <c r="Q1631" s="1" t="n"/>
      <c r="R1631" s="1" t="n"/>
    </row>
    <row r="1632">
      <c r="A1632" s="61" t="n"/>
      <c r="B1632" s="16" t="n"/>
      <c r="C1632" s="90" t="n"/>
      <c r="D1632" s="90" t="n"/>
      <c r="E1632" s="90" t="n"/>
      <c r="F1632" s="16" t="n"/>
      <c r="G1632" s="16" t="n"/>
      <c r="H1632" s="63" t="n"/>
      <c r="I1632" s="64" t="n"/>
      <c r="J1632" s="16" t="n"/>
      <c r="K1632" s="16" t="n"/>
      <c r="M1632" s="89" t="n"/>
      <c r="N1632" s="1" t="n"/>
      <c r="O1632" s="1" t="n"/>
      <c r="P1632" s="1" t="n"/>
      <c r="Q1632" s="1" t="n"/>
      <c r="R1632" s="1" t="n"/>
    </row>
    <row r="1633">
      <c r="A1633" s="61" t="n"/>
      <c r="B1633" s="16" t="n"/>
      <c r="C1633" s="90" t="n"/>
      <c r="D1633" s="90" t="n"/>
      <c r="E1633" s="90" t="n"/>
      <c r="F1633" s="16" t="n"/>
      <c r="G1633" s="16" t="n"/>
      <c r="H1633" s="63" t="n"/>
      <c r="I1633" s="64" t="n"/>
      <c r="J1633" s="16" t="n"/>
      <c r="K1633" s="16" t="n"/>
      <c r="M1633" s="89" t="n"/>
      <c r="N1633" s="1" t="n"/>
      <c r="O1633" s="1" t="n"/>
      <c r="P1633" s="1" t="n"/>
      <c r="Q1633" s="1" t="n"/>
      <c r="R1633" s="1" t="n"/>
    </row>
    <row r="1634">
      <c r="A1634" s="61" t="n"/>
      <c r="B1634" s="16" t="n"/>
      <c r="C1634" s="90" t="n"/>
      <c r="D1634" s="90" t="n"/>
      <c r="E1634" s="90" t="n"/>
      <c r="F1634" s="16" t="n"/>
      <c r="G1634" s="16" t="n"/>
      <c r="H1634" s="63" t="n"/>
      <c r="I1634" s="64" t="n"/>
      <c r="J1634" s="16" t="n"/>
      <c r="K1634" s="16" t="n"/>
      <c r="M1634" s="89" t="n"/>
      <c r="N1634" s="1" t="n"/>
      <c r="O1634" s="1" t="n"/>
      <c r="P1634" s="1" t="n"/>
      <c r="Q1634" s="1" t="n"/>
      <c r="R1634" s="1" t="n"/>
    </row>
    <row r="1635">
      <c r="A1635" s="61" t="n"/>
      <c r="B1635" s="16" t="n"/>
      <c r="C1635" s="90" t="n"/>
      <c r="D1635" s="90" t="n"/>
      <c r="E1635" s="90" t="n"/>
      <c r="F1635" s="16" t="n"/>
      <c r="G1635" s="16" t="n"/>
      <c r="H1635" s="63" t="n"/>
      <c r="I1635" s="64" t="n"/>
      <c r="J1635" s="16" t="n"/>
      <c r="K1635" s="16" t="n"/>
      <c r="M1635" s="89" t="n"/>
      <c r="N1635" s="1" t="n"/>
      <c r="O1635" s="1" t="n"/>
      <c r="P1635" s="1" t="n"/>
      <c r="Q1635" s="1" t="n"/>
      <c r="R1635" s="1" t="n"/>
    </row>
    <row r="1636">
      <c r="A1636" s="61" t="n"/>
      <c r="B1636" s="16" t="n"/>
      <c r="C1636" s="90" t="n"/>
      <c r="D1636" s="90" t="n"/>
      <c r="E1636" s="90" t="n"/>
      <c r="F1636" s="16" t="n"/>
      <c r="G1636" s="16" t="n"/>
      <c r="H1636" s="63" t="n"/>
      <c r="I1636" s="64" t="n"/>
      <c r="J1636" s="16" t="n"/>
      <c r="K1636" s="16" t="n"/>
      <c r="M1636" s="89" t="n"/>
      <c r="N1636" s="1" t="n"/>
      <c r="O1636" s="1" t="n"/>
      <c r="P1636" s="1" t="n"/>
      <c r="Q1636" s="1" t="n"/>
      <c r="R1636" s="1" t="n"/>
    </row>
    <row r="1637">
      <c r="A1637" s="61" t="n"/>
      <c r="B1637" s="16" t="n"/>
      <c r="C1637" s="90" t="n"/>
      <c r="D1637" s="90" t="n"/>
      <c r="E1637" s="90" t="n"/>
      <c r="F1637" s="16" t="n"/>
      <c r="G1637" s="16" t="n"/>
      <c r="H1637" s="63" t="n"/>
      <c r="I1637" s="64" t="n"/>
      <c r="J1637" s="16" t="n"/>
      <c r="K1637" s="16" t="n"/>
      <c r="M1637" s="89" t="n"/>
      <c r="N1637" s="1" t="n"/>
      <c r="O1637" s="1" t="n"/>
      <c r="P1637" s="1" t="n"/>
      <c r="Q1637" s="1" t="n"/>
      <c r="R1637" s="1" t="n"/>
    </row>
    <row r="1638">
      <c r="A1638" s="61" t="n"/>
      <c r="B1638" s="16" t="n"/>
      <c r="C1638" s="90" t="n"/>
      <c r="D1638" s="90" t="n"/>
      <c r="E1638" s="90" t="n"/>
      <c r="F1638" s="16" t="n"/>
      <c r="G1638" s="16" t="n"/>
      <c r="H1638" s="63" t="n"/>
      <c r="I1638" s="64" t="n"/>
      <c r="J1638" s="16" t="n"/>
      <c r="K1638" s="16" t="n"/>
      <c r="M1638" s="89" t="n"/>
      <c r="N1638" s="1" t="n"/>
      <c r="O1638" s="1" t="n"/>
      <c r="P1638" s="1" t="n"/>
      <c r="Q1638" s="1" t="n"/>
      <c r="R1638" s="1" t="n"/>
    </row>
    <row r="1639">
      <c r="A1639" s="61" t="n"/>
      <c r="B1639" s="16" t="n"/>
      <c r="C1639" s="90" t="n"/>
      <c r="D1639" s="90" t="n"/>
      <c r="E1639" s="90" t="n"/>
      <c r="F1639" s="16" t="n"/>
      <c r="G1639" s="16" t="n"/>
      <c r="H1639" s="63" t="n"/>
      <c r="I1639" s="64" t="n"/>
      <c r="J1639" s="16" t="n"/>
      <c r="K1639" s="16" t="n"/>
      <c r="M1639" s="89" t="n"/>
      <c r="N1639" s="1" t="n"/>
      <c r="O1639" s="1" t="n"/>
      <c r="P1639" s="1" t="n"/>
      <c r="Q1639" s="1" t="n"/>
      <c r="R1639" s="1" t="n"/>
    </row>
    <row r="1640">
      <c r="A1640" s="61" t="n"/>
      <c r="B1640" s="16" t="n"/>
      <c r="C1640" s="90" t="n"/>
      <c r="D1640" s="90" t="n"/>
      <c r="E1640" s="90" t="n"/>
      <c r="F1640" s="16" t="n"/>
      <c r="G1640" s="16" t="n"/>
      <c r="H1640" s="63" t="n"/>
      <c r="I1640" s="64" t="n"/>
      <c r="J1640" s="16" t="n"/>
      <c r="K1640" s="16" t="n"/>
      <c r="M1640" s="89" t="n"/>
      <c r="N1640" s="1" t="n"/>
      <c r="O1640" s="1" t="n"/>
      <c r="P1640" s="1" t="n"/>
      <c r="Q1640" s="1" t="n"/>
      <c r="R1640" s="1" t="n"/>
    </row>
    <row r="1641">
      <c r="A1641" s="61" t="n"/>
      <c r="B1641" s="16" t="n"/>
      <c r="C1641" s="90" t="n"/>
      <c r="D1641" s="90" t="n"/>
      <c r="E1641" s="90" t="n"/>
      <c r="F1641" s="16" t="n"/>
      <c r="G1641" s="16" t="n"/>
      <c r="H1641" s="63" t="n"/>
      <c r="I1641" s="64" t="n"/>
      <c r="J1641" s="16" t="n"/>
      <c r="K1641" s="16" t="n"/>
      <c r="M1641" s="89" t="n"/>
      <c r="N1641" s="1" t="n"/>
      <c r="O1641" s="1" t="n"/>
      <c r="P1641" s="1" t="n"/>
      <c r="Q1641" s="1" t="n"/>
      <c r="R1641" s="1" t="n"/>
    </row>
    <row r="1642">
      <c r="A1642" s="61" t="n"/>
      <c r="B1642" s="16" t="n"/>
      <c r="C1642" s="90" t="n"/>
      <c r="D1642" s="90" t="n"/>
      <c r="E1642" s="90" t="n"/>
      <c r="F1642" s="16" t="n"/>
      <c r="G1642" s="16" t="n"/>
      <c r="H1642" s="63" t="n"/>
      <c r="I1642" s="64" t="n"/>
      <c r="J1642" s="16" t="n"/>
      <c r="K1642" s="16" t="n"/>
      <c r="M1642" s="89" t="n"/>
      <c r="N1642" s="1" t="n"/>
      <c r="O1642" s="1" t="n"/>
      <c r="P1642" s="1" t="n"/>
      <c r="Q1642" s="1" t="n"/>
      <c r="R1642" s="1" t="n"/>
    </row>
    <row r="1643">
      <c r="A1643" s="61" t="n"/>
      <c r="B1643" s="16" t="n"/>
      <c r="C1643" s="90" t="n"/>
      <c r="D1643" s="90" t="n"/>
      <c r="E1643" s="90" t="n"/>
      <c r="F1643" s="16" t="n"/>
      <c r="G1643" s="16" t="n"/>
      <c r="H1643" s="63" t="n"/>
      <c r="I1643" s="64" t="n"/>
      <c r="J1643" s="16" t="n"/>
      <c r="K1643" s="16" t="n"/>
      <c r="M1643" s="89" t="n"/>
      <c r="N1643" s="1" t="n"/>
      <c r="O1643" s="1" t="n"/>
      <c r="P1643" s="1" t="n"/>
      <c r="Q1643" s="1" t="n"/>
      <c r="R1643" s="1" t="n"/>
    </row>
    <row r="1644">
      <c r="A1644" s="61" t="n"/>
      <c r="B1644" s="16" t="n"/>
      <c r="C1644" s="90" t="n"/>
      <c r="D1644" s="90" t="n"/>
      <c r="E1644" s="90" t="n"/>
      <c r="G1644" s="16" t="n"/>
      <c r="H1644" s="63" t="n"/>
      <c r="I1644" s="64" t="n"/>
      <c r="J1644" s="16" t="n"/>
      <c r="K1644" s="16" t="n"/>
      <c r="M1644" s="89" t="n"/>
      <c r="N1644" s="1" t="n"/>
      <c r="O1644" s="1" t="n"/>
      <c r="P1644" s="1" t="n"/>
      <c r="Q1644" s="1" t="n"/>
      <c r="R1644" s="1" t="n"/>
    </row>
    <row r="1645">
      <c r="A1645" s="61" t="n"/>
      <c r="B1645" s="16" t="n"/>
      <c r="C1645" s="90" t="n"/>
      <c r="D1645" s="90" t="n"/>
      <c r="E1645" s="90" t="n"/>
      <c r="F1645" s="16" t="n"/>
      <c r="G1645" s="16" t="n"/>
      <c r="H1645" s="63" t="n"/>
      <c r="I1645" s="64" t="n"/>
      <c r="J1645" s="16" t="n"/>
      <c r="K1645" s="16" t="n"/>
      <c r="M1645" s="89" t="n"/>
      <c r="N1645" s="1" t="n"/>
      <c r="O1645" s="1" t="n"/>
      <c r="P1645" s="1" t="n"/>
      <c r="Q1645" s="1" t="n"/>
      <c r="R1645" s="1" t="n"/>
    </row>
    <row r="1646">
      <c r="A1646" s="61" t="n"/>
      <c r="B1646" s="16" t="n"/>
      <c r="C1646" s="90" t="n"/>
      <c r="D1646" s="90" t="n"/>
      <c r="E1646" s="90" t="n"/>
      <c r="F1646" s="16" t="n"/>
      <c r="G1646" s="16" t="n"/>
      <c r="H1646" s="63" t="n"/>
      <c r="I1646" s="64" t="n"/>
      <c r="J1646" s="16" t="n"/>
      <c r="K1646" s="16" t="n"/>
      <c r="M1646" s="89" t="n"/>
      <c r="N1646" s="1" t="n"/>
      <c r="O1646" s="1" t="n"/>
      <c r="P1646" s="1" t="n"/>
      <c r="Q1646" s="1" t="n"/>
      <c r="R1646" s="1" t="n"/>
    </row>
    <row r="1647">
      <c r="A1647" s="61" t="n"/>
      <c r="B1647" s="16" t="n"/>
      <c r="C1647" s="90" t="n"/>
      <c r="D1647" s="90" t="n"/>
      <c r="E1647" s="90" t="n"/>
      <c r="F1647" s="16" t="n"/>
      <c r="G1647" s="16" t="n"/>
      <c r="H1647" s="63" t="n"/>
      <c r="I1647" s="64" t="n"/>
      <c r="J1647" s="16" t="n"/>
      <c r="K1647" s="16" t="n"/>
      <c r="M1647" s="89" t="n"/>
      <c r="N1647" s="1" t="n"/>
      <c r="O1647" s="1" t="n"/>
      <c r="P1647" s="1" t="n"/>
      <c r="Q1647" s="1" t="n"/>
      <c r="R1647" s="1" t="n"/>
    </row>
    <row r="1648">
      <c r="A1648" s="61" t="n"/>
      <c r="B1648" s="16" t="n"/>
      <c r="C1648" s="90" t="n"/>
      <c r="D1648" s="90" t="n"/>
      <c r="E1648" s="90" t="n"/>
      <c r="F1648" s="16" t="n"/>
      <c r="G1648" s="16" t="n"/>
      <c r="H1648" s="63" t="n"/>
      <c r="I1648" s="64" t="n"/>
      <c r="J1648" s="16" t="n"/>
      <c r="K1648" s="16" t="n"/>
      <c r="M1648" s="89" t="n"/>
      <c r="N1648" s="1" t="n"/>
      <c r="O1648" s="1" t="n"/>
      <c r="P1648" s="1" t="n"/>
      <c r="Q1648" s="1" t="n"/>
      <c r="R1648" s="1" t="n"/>
    </row>
    <row r="1649">
      <c r="A1649" s="61" t="n"/>
      <c r="B1649" s="16" t="n"/>
      <c r="C1649" s="90" t="n"/>
      <c r="D1649" s="90" t="n"/>
      <c r="E1649" s="90" t="n"/>
      <c r="F1649" s="16" t="n"/>
      <c r="G1649" s="16" t="n"/>
      <c r="H1649" s="63" t="n"/>
      <c r="I1649" s="64" t="n"/>
      <c r="J1649" s="16" t="n"/>
      <c r="K1649" s="16" t="n"/>
      <c r="M1649" s="89" t="n"/>
      <c r="N1649" s="1" t="n"/>
      <c r="O1649" s="1" t="n"/>
      <c r="P1649" s="1" t="n"/>
      <c r="Q1649" s="1" t="n"/>
      <c r="R1649" s="1" t="n"/>
    </row>
    <row r="1650">
      <c r="A1650" s="61" t="n"/>
      <c r="B1650" s="16" t="n"/>
      <c r="C1650" s="90" t="n"/>
      <c r="D1650" s="90" t="n"/>
      <c r="E1650" s="90" t="n"/>
      <c r="F1650" s="16" t="n"/>
      <c r="G1650" s="16" t="n"/>
      <c r="H1650" s="63" t="n"/>
      <c r="I1650" s="64" t="n"/>
      <c r="J1650" s="16" t="n"/>
      <c r="K1650" s="16" t="n"/>
      <c r="M1650" s="89" t="n"/>
      <c r="N1650" s="1" t="n"/>
      <c r="O1650" s="1" t="n"/>
      <c r="P1650" s="1" t="n"/>
      <c r="Q1650" s="1" t="n"/>
      <c r="R1650" s="1" t="n"/>
    </row>
    <row r="1651">
      <c r="A1651" s="61" t="n"/>
      <c r="B1651" s="16" t="n"/>
      <c r="C1651" s="90" t="n"/>
      <c r="D1651" s="90" t="n"/>
      <c r="E1651" s="90" t="n"/>
      <c r="F1651" s="16" t="n"/>
      <c r="G1651" s="16" t="n"/>
      <c r="H1651" s="63" t="n"/>
      <c r="I1651" s="64" t="n"/>
      <c r="J1651" s="16" t="n"/>
      <c r="K1651" s="16" t="n"/>
      <c r="M1651" s="89" t="n"/>
      <c r="N1651" s="1" t="n"/>
      <c r="O1651" s="1" t="n"/>
      <c r="P1651" s="1" t="n"/>
      <c r="Q1651" s="1" t="n"/>
      <c r="R1651" s="1" t="n"/>
    </row>
    <row r="1652">
      <c r="A1652" s="61" t="n"/>
      <c r="B1652" s="16" t="n"/>
      <c r="C1652" s="90" t="n"/>
      <c r="D1652" s="90" t="n"/>
      <c r="E1652" s="90" t="n"/>
      <c r="F1652" s="16" t="n"/>
      <c r="G1652" s="16" t="n"/>
      <c r="H1652" s="63" t="n"/>
      <c r="I1652" s="64" t="n"/>
      <c r="J1652" s="16" t="n"/>
      <c r="K1652" s="16" t="n"/>
      <c r="M1652" s="89" t="n"/>
      <c r="N1652" s="1" t="n"/>
      <c r="O1652" s="1" t="n"/>
      <c r="P1652" s="1" t="n"/>
      <c r="Q1652" s="1" t="n"/>
      <c r="R1652" s="1" t="n"/>
    </row>
    <row r="1653">
      <c r="A1653" s="61" t="n"/>
      <c r="B1653" s="16" t="n"/>
      <c r="C1653" s="90" t="n"/>
      <c r="D1653" s="90" t="n"/>
      <c r="E1653" s="90" t="n"/>
      <c r="F1653" s="16" t="n"/>
      <c r="G1653" s="16" t="n"/>
      <c r="H1653" s="63" t="n"/>
      <c r="I1653" s="64" t="n"/>
      <c r="J1653" s="16" t="n"/>
      <c r="K1653" s="16" t="n"/>
      <c r="M1653" s="89" t="n"/>
      <c r="N1653" s="1" t="n"/>
      <c r="O1653" s="1" t="n"/>
      <c r="P1653" s="1" t="n"/>
      <c r="Q1653" s="1" t="n"/>
      <c r="R1653" s="1" t="n"/>
    </row>
    <row r="1654">
      <c r="A1654" s="61" t="n"/>
      <c r="B1654" s="16" t="n"/>
      <c r="C1654" s="90" t="n"/>
      <c r="D1654" s="90" t="n"/>
      <c r="E1654" s="90" t="n"/>
      <c r="F1654" s="16" t="n"/>
      <c r="G1654" s="16" t="n"/>
      <c r="H1654" s="63" t="n"/>
      <c r="I1654" s="64" t="n"/>
      <c r="J1654" s="16" t="n"/>
      <c r="K1654" s="16" t="n"/>
      <c r="M1654" s="89" t="n"/>
      <c r="N1654" s="1" t="n"/>
      <c r="O1654" s="1" t="n"/>
      <c r="P1654" s="1" t="n"/>
      <c r="Q1654" s="1" t="n"/>
      <c r="R1654" s="1" t="n"/>
    </row>
    <row r="1655">
      <c r="A1655" s="61" t="n"/>
      <c r="B1655" s="16" t="n"/>
      <c r="C1655" s="90" t="n"/>
      <c r="D1655" s="90" t="n"/>
      <c r="E1655" s="90" t="n"/>
      <c r="F1655" s="16" t="n"/>
      <c r="G1655" s="16" t="n"/>
      <c r="H1655" s="63" t="n"/>
      <c r="I1655" s="64" t="n"/>
      <c r="J1655" s="16" t="n"/>
      <c r="K1655" s="16" t="n"/>
      <c r="M1655" s="89" t="n"/>
      <c r="N1655" s="1" t="n"/>
      <c r="O1655" s="1" t="n"/>
      <c r="P1655" s="1" t="n"/>
      <c r="Q1655" s="1" t="n"/>
      <c r="R1655" s="1" t="n"/>
    </row>
    <row r="1656">
      <c r="A1656" s="61" t="n"/>
      <c r="B1656" s="16" t="n"/>
      <c r="C1656" s="90" t="n"/>
      <c r="D1656" s="90" t="n"/>
      <c r="E1656" s="90" t="n"/>
      <c r="F1656" s="16" t="n"/>
      <c r="G1656" s="16" t="n"/>
      <c r="H1656" s="63" t="n"/>
      <c r="I1656" s="64" t="n"/>
      <c r="J1656" s="16" t="n"/>
      <c r="K1656" s="16" t="n"/>
      <c r="M1656" s="89" t="n"/>
      <c r="N1656" s="1" t="n"/>
      <c r="O1656" s="1" t="n"/>
      <c r="P1656" s="1" t="n"/>
      <c r="Q1656" s="1" t="n"/>
      <c r="R1656" s="1" t="n"/>
    </row>
    <row r="1657">
      <c r="A1657" s="61" t="n"/>
      <c r="B1657" s="16" t="n"/>
      <c r="C1657" s="90" t="n"/>
      <c r="D1657" s="90" t="n"/>
      <c r="E1657" s="90" t="n"/>
      <c r="F1657" s="16" t="n"/>
      <c r="G1657" s="16" t="n"/>
      <c r="H1657" s="63" t="n"/>
      <c r="I1657" s="64" t="n"/>
      <c r="J1657" s="16" t="n"/>
      <c r="K1657" s="16" t="n"/>
      <c r="M1657" s="89" t="n"/>
      <c r="N1657" s="1" t="n"/>
      <c r="O1657" s="1" t="n"/>
      <c r="P1657" s="1" t="n"/>
      <c r="Q1657" s="1" t="n"/>
      <c r="R1657" s="1" t="n"/>
    </row>
    <row r="1658">
      <c r="A1658" s="61" t="n"/>
      <c r="B1658" s="16" t="n"/>
      <c r="C1658" s="90" t="n"/>
      <c r="D1658" s="90" t="n"/>
      <c r="E1658" s="90" t="n"/>
      <c r="F1658" s="16" t="n"/>
      <c r="G1658" s="16" t="n"/>
      <c r="H1658" s="63" t="n"/>
      <c r="I1658" s="64" t="n"/>
      <c r="J1658" s="16" t="n"/>
      <c r="K1658" s="16" t="n"/>
      <c r="M1658" s="89" t="n"/>
      <c r="N1658" s="1" t="n"/>
      <c r="O1658" s="1" t="n"/>
      <c r="P1658" s="1" t="n"/>
      <c r="Q1658" s="1" t="n"/>
      <c r="R1658" s="1" t="n"/>
    </row>
    <row r="1659">
      <c r="A1659" s="61" t="n"/>
      <c r="B1659" s="16" t="n"/>
      <c r="C1659" s="90" t="n"/>
      <c r="D1659" s="90" t="n"/>
      <c r="E1659" s="90" t="n"/>
      <c r="F1659" s="16" t="n"/>
      <c r="G1659" s="16" t="n"/>
      <c r="H1659" s="63" t="n"/>
      <c r="I1659" s="64" t="n"/>
      <c r="J1659" s="16" t="n"/>
      <c r="K1659" s="16" t="n"/>
      <c r="M1659" s="89" t="n"/>
      <c r="N1659" s="1" t="n"/>
      <c r="O1659" s="1" t="n"/>
      <c r="P1659" s="1" t="n"/>
      <c r="Q1659" s="1" t="n"/>
      <c r="R1659" s="1" t="n"/>
    </row>
    <row r="1660">
      <c r="A1660" s="61" t="n"/>
      <c r="B1660" s="16" t="n"/>
      <c r="C1660" s="90" t="n"/>
      <c r="D1660" s="90" t="n"/>
      <c r="E1660" s="90" t="n"/>
      <c r="F1660" s="16" t="n"/>
      <c r="G1660" s="16" t="n"/>
      <c r="H1660" s="63" t="n"/>
      <c r="I1660" s="64" t="n"/>
      <c r="J1660" s="16" t="n"/>
      <c r="K1660" s="16" t="n"/>
      <c r="M1660" s="89" t="n"/>
      <c r="N1660" s="1" t="n"/>
      <c r="O1660" s="1" t="n"/>
      <c r="P1660" s="1" t="n"/>
      <c r="Q1660" s="1" t="n"/>
      <c r="R1660" s="1" t="n"/>
    </row>
    <row r="1661">
      <c r="A1661" s="61" t="n"/>
      <c r="B1661" s="16" t="n"/>
      <c r="C1661" s="90" t="n"/>
      <c r="D1661" s="90" t="n"/>
      <c r="E1661" s="90" t="n"/>
      <c r="F1661" s="16" t="n"/>
      <c r="G1661" s="16" t="n"/>
      <c r="H1661" s="63" t="n"/>
      <c r="I1661" s="64" t="n"/>
      <c r="J1661" s="16" t="n"/>
      <c r="K1661" s="16" t="n"/>
      <c r="M1661" s="89" t="n"/>
      <c r="N1661" s="1" t="n"/>
      <c r="O1661" s="1" t="n"/>
      <c r="P1661" s="1" t="n"/>
      <c r="Q1661" s="1" t="n"/>
      <c r="R1661" s="1" t="n"/>
    </row>
    <row r="1662">
      <c r="A1662" s="61" t="n"/>
      <c r="B1662" s="16" t="n"/>
      <c r="C1662" s="90" t="n"/>
      <c r="D1662" s="90" t="n"/>
      <c r="E1662" s="90" t="n"/>
      <c r="F1662" s="16" t="n"/>
      <c r="G1662" s="16" t="n"/>
      <c r="H1662" s="63" t="n"/>
      <c r="I1662" s="64" t="n"/>
      <c r="J1662" s="16" t="n"/>
      <c r="K1662" s="16" t="n"/>
      <c r="M1662" s="89" t="n"/>
      <c r="N1662" s="1" t="n"/>
      <c r="O1662" s="1" t="n"/>
      <c r="P1662" s="1" t="n"/>
      <c r="Q1662" s="1" t="n"/>
      <c r="R1662" s="1" t="n"/>
    </row>
    <row r="1663">
      <c r="A1663" s="61" t="n"/>
      <c r="B1663" s="16" t="n"/>
      <c r="C1663" s="90" t="n"/>
      <c r="D1663" s="90" t="n"/>
      <c r="E1663" s="90" t="n"/>
      <c r="F1663" s="16" t="n"/>
      <c r="G1663" s="16" t="n"/>
      <c r="H1663" s="63" t="n"/>
      <c r="I1663" s="64" t="n"/>
      <c r="J1663" s="16" t="n"/>
      <c r="K1663" s="16" t="n"/>
      <c r="M1663" s="89" t="n"/>
      <c r="N1663" s="1" t="n"/>
      <c r="O1663" s="1" t="n"/>
      <c r="P1663" s="1" t="n"/>
      <c r="Q1663" s="1" t="n"/>
      <c r="R1663" s="1" t="n"/>
    </row>
    <row r="1664">
      <c r="A1664" s="61" t="n"/>
      <c r="B1664" s="16" t="n"/>
      <c r="C1664" s="90" t="n"/>
      <c r="D1664" s="90" t="n"/>
      <c r="E1664" s="90" t="n"/>
      <c r="F1664" s="16" t="n"/>
      <c r="G1664" s="16" t="n"/>
      <c r="H1664" s="63" t="n"/>
      <c r="I1664" s="64" t="n"/>
      <c r="J1664" s="16" t="n"/>
      <c r="K1664" s="16" t="n"/>
      <c r="M1664" s="89" t="n"/>
      <c r="N1664" s="1" t="n"/>
      <c r="O1664" s="1" t="n"/>
      <c r="P1664" s="1" t="n"/>
      <c r="Q1664" s="1" t="n"/>
      <c r="R1664" s="1" t="n"/>
    </row>
    <row r="1665">
      <c r="A1665" s="61" t="n"/>
      <c r="B1665" s="16" t="n"/>
      <c r="C1665" s="90" t="n"/>
      <c r="D1665" s="90" t="n"/>
      <c r="E1665" s="90" t="n"/>
      <c r="F1665" s="16" t="n"/>
      <c r="G1665" s="16" t="n"/>
      <c r="H1665" s="63" t="n"/>
      <c r="I1665" s="64" t="n"/>
      <c r="J1665" s="16" t="n"/>
      <c r="K1665" s="16" t="n"/>
      <c r="M1665" s="89" t="n"/>
      <c r="N1665" s="1" t="n"/>
      <c r="O1665" s="1" t="n"/>
      <c r="P1665" s="1" t="n"/>
      <c r="Q1665" s="1" t="n"/>
      <c r="R1665" s="1" t="n"/>
    </row>
    <row r="1666">
      <c r="A1666" s="61" t="n"/>
      <c r="B1666" s="16" t="n"/>
      <c r="C1666" s="90" t="n"/>
      <c r="D1666" s="90" t="n"/>
      <c r="E1666" s="90" t="n"/>
      <c r="F1666" s="16" t="n"/>
      <c r="G1666" s="16" t="n"/>
      <c r="H1666" s="63" t="n"/>
      <c r="I1666" s="64" t="n"/>
      <c r="J1666" s="16" t="n"/>
      <c r="K1666" s="16" t="n"/>
      <c r="M1666" s="89" t="n"/>
      <c r="N1666" s="1" t="n"/>
      <c r="O1666" s="1" t="n"/>
      <c r="P1666" s="1" t="n"/>
      <c r="Q1666" s="1" t="n"/>
      <c r="R1666" s="1" t="n"/>
    </row>
    <row r="1667">
      <c r="A1667" s="61" t="n"/>
      <c r="B1667" s="16" t="n"/>
      <c r="C1667" s="90" t="n"/>
      <c r="D1667" s="90" t="n"/>
      <c r="E1667" s="90" t="n"/>
      <c r="F1667" s="16" t="n"/>
      <c r="G1667" s="16" t="n"/>
      <c r="H1667" s="63" t="n"/>
      <c r="I1667" s="64" t="n"/>
      <c r="J1667" s="16" t="n"/>
      <c r="K1667" s="16" t="n"/>
      <c r="M1667" s="89" t="n"/>
      <c r="N1667" s="1" t="n"/>
      <c r="O1667" s="1" t="n"/>
      <c r="P1667" s="1" t="n"/>
      <c r="Q1667" s="1" t="n"/>
      <c r="R1667" s="1" t="n"/>
    </row>
    <row r="1668">
      <c r="A1668" s="61" t="n"/>
      <c r="B1668" s="16" t="n"/>
      <c r="C1668" s="90" t="n"/>
      <c r="D1668" s="90" t="n"/>
      <c r="E1668" s="90" t="n"/>
      <c r="F1668" s="16" t="n"/>
      <c r="G1668" s="16" t="n"/>
      <c r="H1668" s="63" t="n"/>
      <c r="I1668" s="64" t="n"/>
      <c r="J1668" s="16" t="n"/>
      <c r="K1668" s="16" t="n"/>
      <c r="M1668" s="89" t="n"/>
      <c r="N1668" s="1" t="n"/>
      <c r="O1668" s="1" t="n"/>
      <c r="P1668" s="1" t="n"/>
      <c r="Q1668" s="1" t="n"/>
      <c r="R1668" s="1" t="n"/>
    </row>
    <row r="1669">
      <c r="A1669" s="61" t="n"/>
      <c r="B1669" s="16" t="n"/>
      <c r="C1669" s="90" t="n"/>
      <c r="D1669" s="90" t="n"/>
      <c r="E1669" s="90" t="n"/>
      <c r="F1669" s="16" t="n"/>
      <c r="G1669" s="16" t="n"/>
      <c r="H1669" s="63" t="n"/>
      <c r="I1669" s="64" t="n"/>
      <c r="J1669" s="16" t="n"/>
      <c r="K1669" s="16" t="n"/>
      <c r="M1669" s="89" t="n"/>
      <c r="N1669" s="1" t="n"/>
      <c r="O1669" s="1" t="n"/>
      <c r="P1669" s="1" t="n"/>
      <c r="Q1669" s="1" t="n"/>
      <c r="R1669" s="1" t="n"/>
    </row>
    <row r="1670">
      <c r="A1670" s="61" t="n"/>
      <c r="B1670" s="16" t="n"/>
      <c r="C1670" s="90" t="n"/>
      <c r="D1670" s="90" t="n"/>
      <c r="E1670" s="90" t="n"/>
      <c r="F1670" s="16" t="n"/>
      <c r="G1670" s="16" t="n"/>
      <c r="H1670" s="63" t="n"/>
      <c r="I1670" s="64" t="n"/>
      <c r="J1670" s="16" t="n"/>
      <c r="K1670" s="16" t="n"/>
      <c r="M1670" s="89" t="n"/>
      <c r="N1670" s="1" t="n"/>
      <c r="O1670" s="1" t="n"/>
      <c r="P1670" s="1" t="n"/>
      <c r="Q1670" s="1" t="n"/>
      <c r="R1670" s="1" t="n"/>
    </row>
    <row r="1671">
      <c r="A1671" s="61" t="n"/>
      <c r="B1671" s="16" t="n"/>
      <c r="C1671" s="90" t="n"/>
      <c r="D1671" s="90" t="n"/>
      <c r="E1671" s="90" t="n"/>
      <c r="F1671" s="16" t="n"/>
      <c r="G1671" s="16" t="n"/>
      <c r="H1671" s="63" t="n"/>
      <c r="I1671" s="64" t="n"/>
      <c r="J1671" s="16" t="n"/>
      <c r="K1671" s="16" t="n"/>
      <c r="M1671" s="89" t="n"/>
      <c r="N1671" s="1" t="n"/>
      <c r="O1671" s="1" t="n"/>
      <c r="P1671" s="1" t="n"/>
      <c r="Q1671" s="1" t="n"/>
      <c r="R1671" s="1" t="n"/>
    </row>
    <row r="1672">
      <c r="A1672" s="61" t="n"/>
      <c r="B1672" s="16" t="n"/>
      <c r="C1672" s="90" t="n"/>
      <c r="D1672" s="90" t="n"/>
      <c r="E1672" s="90" t="n"/>
      <c r="F1672" s="16" t="n"/>
      <c r="G1672" s="16" t="n"/>
      <c r="H1672" s="63" t="n"/>
      <c r="I1672" s="64" t="n"/>
      <c r="J1672" s="16" t="n"/>
      <c r="K1672" s="16" t="n"/>
      <c r="M1672" s="89" t="n"/>
      <c r="N1672" s="1" t="n"/>
      <c r="O1672" s="1" t="n"/>
      <c r="P1672" s="1" t="n"/>
      <c r="Q1672" s="1" t="n"/>
      <c r="R1672" s="1" t="n"/>
    </row>
    <row r="1673">
      <c r="A1673" s="61" t="n"/>
      <c r="B1673" s="16" t="n"/>
      <c r="C1673" s="90" t="n"/>
      <c r="D1673" s="90" t="n"/>
      <c r="E1673" s="90" t="n"/>
      <c r="F1673" s="16" t="n"/>
      <c r="G1673" s="16" t="n"/>
      <c r="H1673" s="63" t="n"/>
      <c r="I1673" s="64" t="n"/>
      <c r="J1673" s="16" t="n"/>
      <c r="K1673" s="16" t="n"/>
      <c r="M1673" s="89" t="n"/>
      <c r="N1673" s="1" t="n"/>
      <c r="O1673" s="1" t="n"/>
      <c r="P1673" s="1" t="n"/>
      <c r="Q1673" s="1" t="n"/>
      <c r="R1673" s="1" t="n"/>
    </row>
    <row r="1674">
      <c r="A1674" s="61" t="n"/>
      <c r="B1674" s="16" t="n"/>
      <c r="C1674" s="90" t="n"/>
      <c r="D1674" s="90" t="n"/>
      <c r="E1674" s="90" t="n"/>
      <c r="F1674" s="16" t="n"/>
      <c r="G1674" s="16" t="n"/>
      <c r="H1674" s="63" t="n"/>
      <c r="I1674" s="64" t="n"/>
      <c r="J1674" s="16" t="n"/>
      <c r="K1674" s="16" t="n"/>
      <c r="M1674" s="89" t="n"/>
      <c r="N1674" s="1" t="n"/>
      <c r="O1674" s="1" t="n"/>
      <c r="P1674" s="1" t="n"/>
      <c r="Q1674" s="1" t="n"/>
      <c r="R1674" s="1" t="n"/>
    </row>
    <row r="1675">
      <c r="A1675" s="61" t="n"/>
      <c r="B1675" s="16" t="n"/>
      <c r="C1675" s="90" t="n"/>
      <c r="D1675" s="90" t="n"/>
      <c r="E1675" s="90" t="n"/>
      <c r="F1675" s="16" t="n"/>
      <c r="G1675" s="16" t="n"/>
      <c r="H1675" s="63" t="n"/>
      <c r="I1675" s="64" t="n"/>
      <c r="J1675" s="16" t="n"/>
      <c r="K1675" s="16" t="n"/>
      <c r="M1675" s="89" t="n"/>
      <c r="N1675" s="1" t="n"/>
      <c r="O1675" s="1" t="n"/>
      <c r="P1675" s="1" t="n"/>
      <c r="Q1675" s="1" t="n"/>
      <c r="R1675" s="1" t="n"/>
    </row>
    <row r="1676">
      <c r="A1676" s="61" t="n"/>
      <c r="B1676" s="16" t="n"/>
      <c r="C1676" s="90" t="n"/>
      <c r="D1676" s="90" t="n"/>
      <c r="E1676" s="90" t="n"/>
      <c r="F1676" s="16" t="n"/>
      <c r="G1676" s="16" t="n"/>
      <c r="H1676" s="63" t="n"/>
      <c r="I1676" s="64" t="n"/>
      <c r="J1676" s="16" t="n"/>
      <c r="K1676" s="16" t="n"/>
      <c r="M1676" s="89" t="n"/>
      <c r="N1676" s="1" t="n"/>
      <c r="O1676" s="1" t="n"/>
      <c r="P1676" s="1" t="n"/>
      <c r="Q1676" s="1" t="n"/>
      <c r="R1676" s="1" t="n"/>
    </row>
    <row r="1677">
      <c r="A1677" s="61" t="n"/>
      <c r="B1677" s="16" t="n"/>
      <c r="C1677" s="90" t="n"/>
      <c r="D1677" s="90" t="n"/>
      <c r="E1677" s="90" t="n"/>
      <c r="F1677" s="16" t="n"/>
      <c r="G1677" s="16" t="n"/>
      <c r="H1677" s="63" t="n"/>
      <c r="I1677" s="64" t="n"/>
      <c r="J1677" s="16" t="n"/>
      <c r="K1677" s="16" t="n"/>
      <c r="M1677" s="89" t="n"/>
      <c r="N1677" s="1" t="n"/>
      <c r="O1677" s="1" t="n"/>
      <c r="P1677" s="1" t="n"/>
      <c r="Q1677" s="1" t="n"/>
      <c r="R1677" s="1" t="n"/>
    </row>
    <row r="1678">
      <c r="A1678" s="61" t="n"/>
      <c r="B1678" s="16" t="n"/>
      <c r="C1678" s="90" t="n"/>
      <c r="D1678" s="90" t="n"/>
      <c r="E1678" s="90" t="n"/>
      <c r="F1678" s="16" t="n"/>
      <c r="G1678" s="16" t="n"/>
      <c r="H1678" s="63" t="n"/>
      <c r="I1678" s="64" t="n"/>
      <c r="J1678" s="16" t="n"/>
      <c r="K1678" s="16" t="n"/>
      <c r="M1678" s="89" t="n"/>
      <c r="N1678" s="1" t="n"/>
      <c r="O1678" s="1" t="n"/>
      <c r="P1678" s="1" t="n"/>
      <c r="Q1678" s="1" t="n"/>
      <c r="R1678" s="1" t="n"/>
    </row>
    <row r="1679">
      <c r="A1679" s="61" t="n"/>
      <c r="B1679" s="16" t="n"/>
      <c r="C1679" s="90" t="n"/>
      <c r="D1679" s="90" t="n"/>
      <c r="E1679" s="90" t="n"/>
      <c r="F1679" s="16" t="n"/>
      <c r="G1679" s="16" t="n"/>
      <c r="H1679" s="63" t="n"/>
      <c r="I1679" s="64" t="n"/>
      <c r="J1679" s="16" t="n"/>
      <c r="K1679" s="16" t="n"/>
      <c r="M1679" s="89" t="n"/>
      <c r="N1679" s="1" t="n"/>
      <c r="O1679" s="1" t="n"/>
      <c r="P1679" s="1" t="n"/>
      <c r="Q1679" s="1" t="n"/>
      <c r="R1679" s="1" t="n"/>
    </row>
    <row r="1680">
      <c r="A1680" s="61" t="n"/>
      <c r="B1680" s="16" t="n"/>
      <c r="C1680" s="90" t="n"/>
      <c r="D1680" s="90" t="n"/>
      <c r="E1680" s="90" t="n"/>
      <c r="F1680" s="16" t="n"/>
      <c r="G1680" s="16" t="n"/>
      <c r="H1680" s="63" t="n"/>
      <c r="I1680" s="64" t="n"/>
      <c r="J1680" s="16" t="n"/>
      <c r="K1680" s="16" t="n"/>
      <c r="M1680" s="89" t="n"/>
      <c r="N1680" s="1" t="n"/>
      <c r="O1680" s="1" t="n"/>
      <c r="P1680" s="1" t="n"/>
      <c r="Q1680" s="1" t="n"/>
      <c r="R1680" s="1" t="n"/>
    </row>
    <row r="1681">
      <c r="A1681" s="61" t="n"/>
      <c r="B1681" s="16" t="n"/>
      <c r="C1681" s="90" t="n"/>
      <c r="D1681" s="90" t="n"/>
      <c r="E1681" s="90" t="n"/>
      <c r="F1681" s="16" t="n"/>
      <c r="G1681" s="16" t="n"/>
      <c r="H1681" s="63" t="n"/>
      <c r="I1681" s="64" t="n"/>
      <c r="J1681" s="16" t="n"/>
      <c r="K1681" s="16" t="n"/>
      <c r="M1681" s="89" t="n"/>
      <c r="N1681" s="1" t="n"/>
      <c r="O1681" s="1" t="n"/>
      <c r="P1681" s="1" t="n"/>
      <c r="Q1681" s="1" t="n"/>
      <c r="R1681" s="1" t="n"/>
    </row>
    <row r="1682">
      <c r="A1682" s="61" t="n"/>
      <c r="B1682" s="16" t="n"/>
      <c r="C1682" s="90" t="n"/>
      <c r="D1682" s="90" t="n"/>
      <c r="E1682" s="90" t="n"/>
      <c r="F1682" s="16" t="n"/>
      <c r="G1682" s="16" t="n"/>
      <c r="H1682" s="63" t="n"/>
      <c r="I1682" s="64" t="n"/>
      <c r="J1682" s="16" t="n"/>
      <c r="K1682" s="16" t="n"/>
      <c r="M1682" s="89" t="n"/>
      <c r="N1682" s="1" t="n"/>
      <c r="O1682" s="1" t="n"/>
      <c r="P1682" s="1" t="n"/>
      <c r="Q1682" s="1" t="n"/>
      <c r="R1682" s="1" t="n"/>
    </row>
    <row r="1683">
      <c r="A1683" s="61" t="n"/>
      <c r="B1683" s="16" t="n"/>
      <c r="C1683" s="90" t="n"/>
      <c r="D1683" s="90" t="n"/>
      <c r="E1683" s="90" t="n"/>
      <c r="F1683" s="16" t="n"/>
      <c r="G1683" s="16" t="n"/>
      <c r="H1683" s="63" t="n"/>
      <c r="I1683" s="64" t="n"/>
      <c r="J1683" s="16" t="n"/>
      <c r="K1683" s="16" t="n"/>
      <c r="M1683" s="89" t="n"/>
      <c r="N1683" s="1" t="n"/>
      <c r="O1683" s="1" t="n"/>
      <c r="P1683" s="1" t="n"/>
      <c r="Q1683" s="1" t="n"/>
      <c r="R1683" s="1" t="n"/>
    </row>
    <row r="1684">
      <c r="A1684" s="61" t="n"/>
      <c r="B1684" s="16" t="n"/>
      <c r="C1684" s="90" t="n"/>
      <c r="D1684" s="90" t="n"/>
      <c r="E1684" s="90" t="n"/>
      <c r="F1684" s="16" t="n"/>
      <c r="G1684" s="16" t="n"/>
      <c r="H1684" s="63" t="n"/>
      <c r="I1684" s="64" t="n"/>
      <c r="J1684" s="16" t="n"/>
      <c r="K1684" s="16" t="n"/>
      <c r="M1684" s="89" t="n"/>
      <c r="N1684" s="1" t="n"/>
      <c r="O1684" s="1" t="n"/>
      <c r="P1684" s="1" t="n"/>
      <c r="Q1684" s="1" t="n"/>
      <c r="R1684" s="1" t="n"/>
    </row>
    <row r="1685">
      <c r="A1685" s="61" t="n"/>
      <c r="B1685" s="16" t="n"/>
      <c r="C1685" s="90" t="n"/>
      <c r="D1685" s="90" t="n"/>
      <c r="E1685" s="90" t="n"/>
      <c r="F1685" s="16" t="n"/>
      <c r="G1685" s="16" t="n"/>
      <c r="H1685" s="63" t="n"/>
      <c r="I1685" s="64" t="n"/>
      <c r="J1685" s="16" t="n"/>
      <c r="K1685" s="16" t="n"/>
      <c r="M1685" s="89" t="n"/>
      <c r="N1685" s="1" t="n"/>
      <c r="O1685" s="1" t="n"/>
      <c r="P1685" s="1" t="n"/>
      <c r="Q1685" s="1" t="n"/>
      <c r="R1685" s="1" t="n"/>
    </row>
    <row r="1686">
      <c r="A1686" s="61" t="n"/>
      <c r="B1686" s="16" t="n"/>
      <c r="C1686" s="90" t="n"/>
      <c r="D1686" s="90" t="n"/>
      <c r="E1686" s="90" t="n"/>
      <c r="F1686" s="16" t="n"/>
      <c r="G1686" s="16" t="n"/>
      <c r="H1686" s="63" t="n"/>
      <c r="I1686" s="64" t="n"/>
      <c r="J1686" s="16" t="n"/>
      <c r="K1686" s="16" t="n"/>
      <c r="M1686" s="89" t="n"/>
      <c r="N1686" s="1" t="n"/>
      <c r="O1686" s="1" t="n"/>
      <c r="P1686" s="1" t="n"/>
      <c r="Q1686" s="1" t="n"/>
      <c r="R1686" s="1" t="n"/>
    </row>
    <row r="1687">
      <c r="A1687" s="61" t="n"/>
      <c r="B1687" s="16" t="n"/>
      <c r="C1687" s="90" t="n"/>
      <c r="D1687" s="90" t="n"/>
      <c r="E1687" s="90" t="n"/>
      <c r="F1687" s="16" t="n"/>
      <c r="G1687" s="16" t="n"/>
      <c r="H1687" s="63" t="n"/>
      <c r="I1687" s="64" t="n"/>
      <c r="J1687" s="16" t="n"/>
      <c r="K1687" s="16" t="n"/>
      <c r="M1687" s="89" t="n"/>
      <c r="N1687" s="1" t="n"/>
      <c r="O1687" s="1" t="n"/>
      <c r="P1687" s="1" t="n"/>
      <c r="Q1687" s="1" t="n"/>
      <c r="R1687" s="1" t="n"/>
    </row>
    <row r="1688">
      <c r="A1688" s="61" t="n"/>
      <c r="B1688" s="16" t="n"/>
      <c r="C1688" s="90" t="n"/>
      <c r="D1688" s="90" t="n"/>
      <c r="E1688" s="90" t="n"/>
      <c r="F1688" s="16" t="n"/>
      <c r="G1688" s="16" t="n"/>
      <c r="H1688" s="63" t="n"/>
      <c r="I1688" s="64" t="n"/>
      <c r="J1688" s="16" t="n"/>
      <c r="K1688" s="16" t="n"/>
      <c r="M1688" s="89" t="n"/>
      <c r="N1688" s="1" t="n"/>
      <c r="O1688" s="1" t="n"/>
      <c r="P1688" s="1" t="n"/>
      <c r="Q1688" s="1" t="n"/>
      <c r="R1688" s="1" t="n"/>
    </row>
    <row r="1689">
      <c r="A1689" s="61" t="n"/>
      <c r="B1689" s="16" t="n"/>
      <c r="C1689" s="90" t="n"/>
      <c r="D1689" s="90" t="n"/>
      <c r="E1689" s="90" t="n"/>
      <c r="F1689" s="16" t="n"/>
      <c r="G1689" s="16" t="n"/>
      <c r="H1689" s="63" t="n"/>
      <c r="I1689" s="64" t="n"/>
      <c r="J1689" s="16" t="n"/>
      <c r="K1689" s="16" t="n"/>
      <c r="M1689" s="89" t="n"/>
      <c r="N1689" s="1" t="n"/>
      <c r="O1689" s="1" t="n"/>
      <c r="P1689" s="1" t="n"/>
      <c r="Q1689" s="1" t="n"/>
      <c r="R1689" s="1" t="n"/>
    </row>
    <row r="1690">
      <c r="A1690" s="61" t="n"/>
      <c r="B1690" s="16" t="n"/>
      <c r="C1690" s="90" t="n"/>
      <c r="D1690" s="90" t="n"/>
      <c r="E1690" s="90" t="n"/>
      <c r="F1690" s="16" t="n"/>
      <c r="G1690" s="16" t="n"/>
      <c r="H1690" s="63" t="n"/>
      <c r="I1690" s="64" t="n"/>
      <c r="J1690" s="16" t="n"/>
      <c r="K1690" s="16" t="n"/>
      <c r="M1690" s="89" t="n"/>
      <c r="N1690" s="1" t="n"/>
      <c r="O1690" s="1" t="n"/>
      <c r="P1690" s="1" t="n"/>
      <c r="Q1690" s="1" t="n"/>
      <c r="R1690" s="1" t="n"/>
    </row>
    <row r="1691">
      <c r="A1691" s="61" t="n"/>
      <c r="B1691" s="16" t="n"/>
      <c r="C1691" s="90" t="n"/>
      <c r="D1691" s="90" t="n"/>
      <c r="E1691" s="90" t="n"/>
      <c r="F1691" s="16" t="n"/>
      <c r="G1691" s="16" t="n"/>
      <c r="H1691" s="63" t="n"/>
      <c r="I1691" s="64" t="n"/>
      <c r="J1691" s="16" t="n"/>
      <c r="K1691" s="16" t="n"/>
      <c r="M1691" s="89" t="n"/>
      <c r="N1691" s="1" t="n"/>
      <c r="O1691" s="1" t="n"/>
      <c r="P1691" s="1" t="n"/>
      <c r="Q1691" s="1" t="n"/>
      <c r="R1691" s="1" t="n"/>
    </row>
    <row r="1692">
      <c r="A1692" s="61" t="n"/>
      <c r="B1692" s="16" t="n"/>
      <c r="C1692" s="90" t="n"/>
      <c r="D1692" s="90" t="n"/>
      <c r="E1692" s="90" t="n"/>
      <c r="F1692" s="16" t="n"/>
      <c r="G1692" s="16" t="n"/>
      <c r="H1692" s="63" t="n"/>
      <c r="I1692" s="64" t="n"/>
      <c r="J1692" s="16" t="n"/>
      <c r="K1692" s="16" t="n"/>
      <c r="M1692" s="89" t="n"/>
      <c r="N1692" s="1" t="n"/>
      <c r="O1692" s="1" t="n"/>
      <c r="P1692" s="1" t="n"/>
      <c r="Q1692" s="1" t="n"/>
      <c r="R1692" s="1" t="n"/>
    </row>
    <row r="1693">
      <c r="A1693" s="61" t="n"/>
      <c r="B1693" s="16" t="n"/>
      <c r="C1693" s="90" t="n"/>
      <c r="D1693" s="90" t="n"/>
      <c r="E1693" s="90" t="n"/>
      <c r="F1693" s="16" t="n"/>
      <c r="G1693" s="16" t="n"/>
      <c r="H1693" s="63" t="n"/>
      <c r="I1693" s="64" t="n"/>
      <c r="J1693" s="16" t="n"/>
      <c r="K1693" s="16" t="n"/>
      <c r="M1693" s="89" t="n"/>
      <c r="N1693" s="1" t="n"/>
      <c r="O1693" s="1" t="n"/>
      <c r="P1693" s="1" t="n"/>
      <c r="Q1693" s="1" t="n"/>
      <c r="R1693" s="1" t="n"/>
    </row>
    <row r="1694">
      <c r="A1694" s="61" t="n"/>
      <c r="B1694" s="16" t="n"/>
      <c r="C1694" s="90" t="n"/>
      <c r="D1694" s="90" t="n"/>
      <c r="E1694" s="90" t="n"/>
      <c r="F1694" s="16" t="n"/>
      <c r="G1694" s="16" t="n"/>
      <c r="H1694" s="63" t="n"/>
      <c r="I1694" s="64" t="n"/>
      <c r="J1694" s="16" t="n"/>
      <c r="K1694" s="16" t="n"/>
      <c r="M1694" s="89" t="n"/>
      <c r="N1694" s="1" t="n"/>
      <c r="O1694" s="1" t="n"/>
      <c r="P1694" s="1" t="n"/>
      <c r="Q1694" s="1" t="n"/>
      <c r="R1694" s="1" t="n"/>
    </row>
    <row r="1695">
      <c r="A1695" s="61" t="n"/>
      <c r="B1695" s="16" t="n"/>
      <c r="C1695" s="90" t="n"/>
      <c r="D1695" s="90" t="n"/>
      <c r="E1695" s="90" t="n"/>
      <c r="F1695" s="16" t="n"/>
      <c r="G1695" s="16" t="n"/>
      <c r="H1695" s="63" t="n"/>
      <c r="I1695" s="64" t="n"/>
      <c r="J1695" s="16" t="n"/>
      <c r="K1695" s="16" t="n"/>
      <c r="M1695" s="89" t="n"/>
      <c r="N1695" s="1" t="n"/>
      <c r="O1695" s="1" t="n"/>
      <c r="P1695" s="1" t="n"/>
      <c r="Q1695" s="1" t="n"/>
      <c r="R1695" s="1" t="n"/>
    </row>
    <row r="1696">
      <c r="A1696" s="61" t="n"/>
      <c r="B1696" s="16" t="n"/>
      <c r="C1696" s="90" t="n"/>
      <c r="D1696" s="90" t="n"/>
      <c r="E1696" s="90" t="n"/>
      <c r="F1696" s="16" t="n"/>
      <c r="G1696" s="16" t="n"/>
      <c r="H1696" s="63" t="n"/>
      <c r="I1696" s="64" t="n"/>
      <c r="J1696" s="16" t="n"/>
      <c r="K1696" s="16" t="n"/>
      <c r="M1696" s="89" t="n"/>
      <c r="N1696" s="1" t="n"/>
      <c r="O1696" s="1" t="n"/>
      <c r="P1696" s="1" t="n"/>
      <c r="Q1696" s="1" t="n"/>
      <c r="R1696" s="1" t="n"/>
    </row>
    <row r="1697">
      <c r="A1697" s="61" t="n"/>
      <c r="B1697" s="16" t="n"/>
      <c r="C1697" s="90" t="n"/>
      <c r="D1697" s="90" t="n"/>
      <c r="E1697" s="90" t="n"/>
      <c r="F1697" s="16" t="n"/>
      <c r="G1697" s="16" t="n"/>
      <c r="H1697" s="63" t="n"/>
      <c r="I1697" s="64" t="n"/>
      <c r="J1697" s="16" t="n"/>
      <c r="K1697" s="16" t="n"/>
      <c r="M1697" s="89" t="n"/>
      <c r="N1697" s="1" t="n"/>
      <c r="O1697" s="1" t="n"/>
      <c r="P1697" s="1" t="n"/>
      <c r="Q1697" s="1" t="n"/>
      <c r="R1697" s="1" t="n"/>
    </row>
    <row r="1698">
      <c r="A1698" s="61" t="n"/>
      <c r="B1698" s="16" t="n"/>
      <c r="C1698" s="90" t="n"/>
      <c r="D1698" s="90" t="n"/>
      <c r="E1698" s="90" t="n"/>
      <c r="F1698" s="16" t="n"/>
      <c r="G1698" s="16" t="n"/>
      <c r="H1698" s="63" t="n"/>
      <c r="I1698" s="64" t="n"/>
      <c r="J1698" s="16" t="n"/>
      <c r="K1698" s="16" t="n"/>
      <c r="M1698" s="89" t="n"/>
      <c r="N1698" s="1" t="n"/>
      <c r="O1698" s="1" t="n"/>
      <c r="P1698" s="1" t="n"/>
      <c r="Q1698" s="1" t="n"/>
      <c r="R1698" s="1" t="n"/>
    </row>
    <row r="1699">
      <c r="A1699" s="61" t="n"/>
      <c r="B1699" s="16" t="n"/>
      <c r="C1699" s="90" t="n"/>
      <c r="D1699" s="90" t="n"/>
      <c r="E1699" s="90" t="n"/>
      <c r="F1699" s="16" t="n"/>
      <c r="G1699" s="16" t="n"/>
      <c r="H1699" s="63" t="n"/>
      <c r="I1699" s="64" t="n"/>
      <c r="J1699" s="16" t="n"/>
      <c r="K1699" s="16" t="n"/>
      <c r="M1699" s="89" t="n"/>
      <c r="N1699" s="1" t="n"/>
      <c r="O1699" s="1" t="n"/>
      <c r="P1699" s="1" t="n"/>
      <c r="Q1699" s="1" t="n"/>
      <c r="R1699" s="1" t="n"/>
    </row>
    <row r="1700">
      <c r="A1700" s="61" t="n"/>
      <c r="B1700" s="16" t="n"/>
      <c r="C1700" s="90" t="n"/>
      <c r="D1700" s="90" t="n"/>
      <c r="E1700" s="90" t="n"/>
      <c r="F1700" s="16" t="n"/>
      <c r="G1700" s="16" t="n"/>
      <c r="H1700" s="63" t="n"/>
      <c r="I1700" s="64" t="n"/>
      <c r="J1700" s="16" t="n"/>
      <c r="K1700" s="16" t="n"/>
      <c r="M1700" s="89" t="n"/>
      <c r="N1700" s="1" t="n"/>
      <c r="O1700" s="1" t="n"/>
      <c r="P1700" s="1" t="n"/>
      <c r="Q1700" s="1" t="n"/>
      <c r="R1700" s="1" t="n"/>
    </row>
    <row r="1701">
      <c r="A1701" s="61" t="n"/>
      <c r="B1701" s="16" t="n"/>
      <c r="C1701" s="90" t="n"/>
      <c r="D1701" s="90" t="n"/>
      <c r="E1701" s="90" t="n"/>
      <c r="F1701" s="16" t="n"/>
      <c r="G1701" s="16" t="n"/>
      <c r="H1701" s="63" t="n"/>
      <c r="I1701" s="64" t="n"/>
      <c r="J1701" s="16" t="n"/>
      <c r="K1701" s="16" t="n"/>
      <c r="M1701" s="89" t="n"/>
      <c r="N1701" s="1" t="n"/>
      <c r="O1701" s="1" t="n"/>
      <c r="P1701" s="1" t="n"/>
      <c r="Q1701" s="1" t="n"/>
      <c r="R1701" s="1" t="n"/>
    </row>
    <row r="1702">
      <c r="A1702" s="61" t="n"/>
      <c r="B1702" s="16" t="n"/>
      <c r="C1702" s="90" t="n"/>
      <c r="D1702" s="90" t="n"/>
      <c r="E1702" s="90" t="n"/>
      <c r="F1702" s="16" t="n"/>
      <c r="G1702" s="16" t="n"/>
      <c r="H1702" s="63" t="n"/>
      <c r="I1702" s="64" t="n"/>
      <c r="J1702" s="16" t="n"/>
      <c r="K1702" s="16" t="n"/>
      <c r="M1702" s="89" t="n"/>
      <c r="N1702" s="1" t="n"/>
      <c r="O1702" s="1" t="n"/>
      <c r="P1702" s="1" t="n"/>
      <c r="Q1702" s="1" t="n"/>
      <c r="R1702" s="1" t="n"/>
    </row>
    <row r="1703">
      <c r="A1703" s="61" t="n"/>
      <c r="B1703" s="16" t="n"/>
      <c r="C1703" s="90" t="n"/>
      <c r="D1703" s="90" t="n"/>
      <c r="E1703" s="90" t="n"/>
      <c r="F1703" s="16" t="n"/>
      <c r="G1703" s="16" t="n"/>
      <c r="H1703" s="63" t="n"/>
      <c r="I1703" s="64" t="n"/>
      <c r="J1703" s="16" t="n"/>
      <c r="K1703" s="16" t="n"/>
      <c r="M1703" s="89" t="n"/>
      <c r="N1703" s="1" t="n"/>
      <c r="O1703" s="1" t="n"/>
      <c r="P1703" s="1" t="n"/>
      <c r="Q1703" s="1" t="n"/>
      <c r="R1703" s="1" t="n"/>
    </row>
    <row r="1704">
      <c r="A1704" s="61" t="n"/>
      <c r="B1704" s="16" t="n"/>
      <c r="C1704" s="90" t="n"/>
      <c r="D1704" s="90" t="n"/>
      <c r="E1704" s="90" t="n"/>
      <c r="F1704" s="16" t="n"/>
      <c r="G1704" s="16" t="n"/>
      <c r="H1704" s="63" t="n"/>
      <c r="I1704" s="64" t="n"/>
      <c r="J1704" s="16" t="n"/>
      <c r="K1704" s="16" t="n"/>
      <c r="M1704" s="89" t="n"/>
      <c r="N1704" s="1" t="n"/>
      <c r="O1704" s="1" t="n"/>
      <c r="P1704" s="1" t="n"/>
      <c r="Q1704" s="1" t="n"/>
      <c r="R1704" s="1" t="n"/>
    </row>
    <row r="1705">
      <c r="A1705" s="61" t="n"/>
      <c r="B1705" s="16" t="n"/>
      <c r="C1705" s="90" t="n"/>
      <c r="D1705" s="90" t="n"/>
      <c r="E1705" s="90" t="n"/>
      <c r="F1705" s="16" t="n"/>
      <c r="G1705" s="16" t="n"/>
      <c r="H1705" s="63" t="n"/>
      <c r="I1705" s="64" t="n"/>
      <c r="J1705" s="16" t="n"/>
      <c r="K1705" s="16" t="n"/>
      <c r="M1705" s="89" t="n"/>
      <c r="N1705" s="1" t="n"/>
      <c r="O1705" s="1" t="n"/>
      <c r="P1705" s="1" t="n"/>
      <c r="Q1705" s="1" t="n"/>
      <c r="R1705" s="1" t="n"/>
    </row>
    <row r="1706">
      <c r="A1706" s="61" t="n"/>
      <c r="B1706" s="16" t="n"/>
      <c r="C1706" s="90" t="n"/>
      <c r="D1706" s="90" t="n"/>
      <c r="E1706" s="90" t="n"/>
      <c r="F1706" s="16" t="n"/>
      <c r="G1706" s="16" t="n"/>
      <c r="H1706" s="63" t="n"/>
      <c r="I1706" s="64" t="n"/>
      <c r="J1706" s="16" t="n"/>
      <c r="K1706" s="16" t="n"/>
      <c r="M1706" s="89" t="n"/>
      <c r="N1706" s="1" t="n"/>
      <c r="O1706" s="1" t="n"/>
      <c r="P1706" s="1" t="n"/>
      <c r="Q1706" s="1" t="n"/>
      <c r="R1706" s="1" t="n"/>
    </row>
    <row r="1707">
      <c r="A1707" s="61" t="n"/>
      <c r="B1707" s="16" t="n"/>
      <c r="C1707" s="90" t="n"/>
      <c r="D1707" s="90" t="n"/>
      <c r="E1707" s="90" t="n"/>
      <c r="F1707" s="16" t="n"/>
      <c r="G1707" s="16" t="n"/>
      <c r="H1707" s="63" t="n"/>
      <c r="I1707" s="64" t="n"/>
      <c r="J1707" s="16" t="n"/>
      <c r="K1707" s="16" t="n"/>
      <c r="M1707" s="89" t="n"/>
      <c r="N1707" s="1" t="n"/>
      <c r="O1707" s="1" t="n"/>
      <c r="P1707" s="1" t="n"/>
      <c r="Q1707" s="1" t="n"/>
      <c r="R1707" s="1" t="n"/>
    </row>
    <row r="1708">
      <c r="A1708" s="61" t="n"/>
      <c r="B1708" s="16" t="n"/>
      <c r="C1708" s="90" t="n"/>
      <c r="D1708" s="90" t="n"/>
      <c r="E1708" s="90" t="n"/>
      <c r="F1708" s="16" t="n"/>
      <c r="G1708" s="16" t="n"/>
      <c r="H1708" s="63" t="n"/>
      <c r="I1708" s="64" t="n"/>
      <c r="J1708" s="16" t="n"/>
      <c r="K1708" s="16" t="n"/>
      <c r="M1708" s="89" t="n"/>
      <c r="N1708" s="1" t="n"/>
      <c r="O1708" s="1" t="n"/>
      <c r="P1708" s="1" t="n"/>
      <c r="Q1708" s="1" t="n"/>
      <c r="R1708" s="1" t="n"/>
    </row>
    <row r="1709">
      <c r="A1709" s="61" t="n"/>
      <c r="B1709" s="16" t="n"/>
      <c r="C1709" s="90" t="n"/>
      <c r="D1709" s="90" t="n"/>
      <c r="E1709" s="90" t="n"/>
      <c r="F1709" s="16" t="n"/>
      <c r="G1709" s="16" t="n"/>
      <c r="H1709" s="63" t="n"/>
      <c r="I1709" s="64" t="n"/>
      <c r="J1709" s="16" t="n"/>
      <c r="K1709" s="16" t="n"/>
      <c r="M1709" s="89" t="n"/>
      <c r="N1709" s="1" t="n"/>
      <c r="O1709" s="1" t="n"/>
      <c r="P1709" s="1" t="n"/>
      <c r="Q1709" s="1" t="n"/>
      <c r="R1709" s="1" t="n"/>
    </row>
    <row r="1710">
      <c r="A1710" s="61" t="n"/>
      <c r="B1710" s="16" t="n"/>
      <c r="C1710" s="90" t="n"/>
      <c r="D1710" s="90" t="n"/>
      <c r="E1710" s="90" t="n"/>
      <c r="F1710" s="16" t="n"/>
      <c r="G1710" s="16" t="n"/>
      <c r="H1710" s="63" t="n"/>
      <c r="I1710" s="64" t="n"/>
      <c r="J1710" s="16" t="n"/>
      <c r="K1710" s="16" t="n"/>
      <c r="M1710" s="89" t="n"/>
      <c r="N1710" s="1" t="n"/>
      <c r="O1710" s="1" t="n"/>
      <c r="P1710" s="1" t="n"/>
      <c r="Q1710" s="1" t="n"/>
      <c r="R1710" s="1" t="n"/>
    </row>
    <row r="1711">
      <c r="A1711" s="61" t="n"/>
      <c r="B1711" s="16" t="n"/>
      <c r="C1711" s="90" t="n"/>
      <c r="D1711" s="90" t="n"/>
      <c r="E1711" s="90" t="n"/>
      <c r="F1711" s="16" t="n"/>
      <c r="G1711" s="16" t="n"/>
      <c r="H1711" s="63" t="n"/>
      <c r="I1711" s="64" t="n"/>
      <c r="J1711" s="16" t="n"/>
      <c r="K1711" s="16" t="n"/>
      <c r="M1711" s="89" t="n"/>
      <c r="N1711" s="1" t="n"/>
      <c r="O1711" s="1" t="n"/>
      <c r="P1711" s="1" t="n"/>
      <c r="Q1711" s="1" t="n"/>
      <c r="R1711" s="1" t="n"/>
    </row>
    <row r="1712">
      <c r="A1712" s="61" t="n"/>
      <c r="B1712" s="16" t="n"/>
      <c r="C1712" s="90" t="n"/>
      <c r="D1712" s="90" t="n"/>
      <c r="E1712" s="90" t="n"/>
      <c r="F1712" s="16" t="n"/>
      <c r="G1712" s="16" t="n"/>
      <c r="H1712" s="63" t="n"/>
      <c r="I1712" s="64" t="n"/>
      <c r="J1712" s="16" t="n"/>
      <c r="K1712" s="16" t="n"/>
      <c r="M1712" s="89" t="n"/>
      <c r="N1712" s="1" t="n"/>
      <c r="O1712" s="1" t="n"/>
      <c r="P1712" s="1" t="n"/>
      <c r="Q1712" s="1" t="n"/>
      <c r="R1712" s="1" t="n"/>
    </row>
    <row r="1713">
      <c r="A1713" s="61" t="n"/>
      <c r="B1713" s="16" t="n"/>
      <c r="C1713" s="90" t="n"/>
      <c r="D1713" s="90" t="n"/>
      <c r="E1713" s="90" t="n"/>
      <c r="F1713" s="16" t="n"/>
      <c r="G1713" s="16" t="n"/>
      <c r="H1713" s="63" t="n"/>
      <c r="I1713" s="64" t="n"/>
      <c r="J1713" s="16" t="n"/>
      <c r="K1713" s="16" t="n"/>
      <c r="M1713" s="89" t="n"/>
      <c r="N1713" s="1" t="n"/>
      <c r="O1713" s="1" t="n"/>
      <c r="P1713" s="1" t="n"/>
      <c r="Q1713" s="1" t="n"/>
      <c r="R1713" s="1" t="n"/>
    </row>
    <row r="1714">
      <c r="A1714" s="61" t="n"/>
      <c r="B1714" s="16" t="n"/>
      <c r="C1714" s="90" t="n"/>
      <c r="D1714" s="90" t="n"/>
      <c r="E1714" s="90" t="n"/>
      <c r="F1714" s="16" t="n"/>
      <c r="G1714" s="16" t="n"/>
      <c r="H1714" s="63" t="n"/>
      <c r="I1714" s="64" t="n"/>
      <c r="J1714" s="16" t="n"/>
      <c r="K1714" s="16" t="n"/>
      <c r="M1714" s="89" t="n"/>
      <c r="N1714" s="1" t="n"/>
      <c r="O1714" s="1" t="n"/>
      <c r="P1714" s="1" t="n"/>
      <c r="Q1714" s="1" t="n"/>
      <c r="R1714" s="1" t="n"/>
    </row>
    <row r="1715">
      <c r="A1715" s="61" t="n"/>
      <c r="B1715" s="16" t="n"/>
      <c r="C1715" s="90" t="n"/>
      <c r="D1715" s="90" t="n"/>
      <c r="E1715" s="90" t="n"/>
      <c r="F1715" s="16" t="n"/>
      <c r="G1715" s="16" t="n"/>
      <c r="H1715" s="63" t="n"/>
      <c r="I1715" s="64" t="n"/>
      <c r="J1715" s="16" t="n"/>
      <c r="K1715" s="16" t="n"/>
      <c r="M1715" s="89" t="n"/>
      <c r="N1715" s="1" t="n"/>
      <c r="O1715" s="1" t="n"/>
      <c r="P1715" s="1" t="n"/>
      <c r="Q1715" s="1" t="n"/>
      <c r="R1715" s="1" t="n"/>
    </row>
    <row r="1716">
      <c r="A1716" s="61" t="n"/>
      <c r="B1716" s="16" t="n"/>
      <c r="C1716" s="90" t="n"/>
      <c r="D1716" s="90" t="n"/>
      <c r="E1716" s="90" t="n"/>
      <c r="F1716" s="16" t="n"/>
      <c r="G1716" s="16" t="n"/>
      <c r="H1716" s="63" t="n"/>
      <c r="I1716" s="64" t="n"/>
      <c r="J1716" s="16" t="n"/>
      <c r="K1716" s="16" t="n"/>
      <c r="M1716" s="89" t="n"/>
      <c r="N1716" s="1" t="n"/>
      <c r="O1716" s="1" t="n"/>
      <c r="P1716" s="1" t="n"/>
      <c r="Q1716" s="1" t="n"/>
      <c r="R1716" s="1" t="n"/>
    </row>
    <row r="1717">
      <c r="A1717" s="61" t="n"/>
      <c r="B1717" s="16" t="n"/>
      <c r="C1717" s="90" t="n"/>
      <c r="D1717" s="90" t="n"/>
      <c r="E1717" s="90" t="n"/>
      <c r="F1717" s="16" t="n"/>
      <c r="G1717" s="16" t="n"/>
      <c r="H1717" s="63" t="n"/>
      <c r="I1717" s="64" t="n"/>
      <c r="J1717" s="16" t="n"/>
      <c r="K1717" s="16" t="n"/>
      <c r="M1717" s="89" t="n"/>
      <c r="N1717" s="1" t="n"/>
      <c r="O1717" s="1" t="n"/>
      <c r="P1717" s="1" t="n"/>
      <c r="Q1717" s="1" t="n"/>
      <c r="R1717" s="1" t="n"/>
    </row>
    <row r="1718">
      <c r="A1718" s="61" t="n"/>
      <c r="B1718" s="16" t="n"/>
      <c r="C1718" s="90" t="n"/>
      <c r="D1718" s="90" t="n"/>
      <c r="E1718" s="90" t="n"/>
      <c r="F1718" s="16" t="n"/>
      <c r="G1718" s="16" t="n"/>
      <c r="H1718" s="63" t="n"/>
      <c r="I1718" s="64" t="n"/>
      <c r="J1718" s="16" t="n"/>
      <c r="K1718" s="16" t="n"/>
      <c r="M1718" s="89" t="n"/>
      <c r="N1718" s="1" t="n"/>
      <c r="O1718" s="1" t="n"/>
      <c r="P1718" s="1" t="n"/>
      <c r="Q1718" s="1" t="n"/>
      <c r="R1718" s="1" t="n"/>
    </row>
    <row r="1719">
      <c r="A1719" s="61" t="n"/>
      <c r="B1719" s="16" t="n"/>
      <c r="C1719" s="90" t="n"/>
      <c r="D1719" s="90" t="n"/>
      <c r="E1719" s="90" t="n"/>
      <c r="F1719" s="16" t="n"/>
      <c r="G1719" s="16" t="n"/>
      <c r="H1719" s="63" t="n"/>
      <c r="I1719" s="64" t="n"/>
      <c r="J1719" s="16" t="n"/>
      <c r="K1719" s="16" t="n"/>
      <c r="M1719" s="89" t="n"/>
      <c r="N1719" s="1" t="n"/>
      <c r="O1719" s="1" t="n"/>
      <c r="P1719" s="1" t="n"/>
      <c r="Q1719" s="1" t="n"/>
      <c r="R1719" s="1" t="n"/>
    </row>
    <row r="1720">
      <c r="A1720" s="61" t="n"/>
      <c r="B1720" s="16" t="n"/>
      <c r="C1720" s="90" t="n"/>
      <c r="D1720" s="90" t="n"/>
      <c r="E1720" s="90" t="n"/>
      <c r="F1720" s="16" t="n"/>
      <c r="G1720" s="16" t="n"/>
      <c r="H1720" s="63" t="n"/>
      <c r="I1720" s="64" t="n"/>
      <c r="J1720" s="16" t="n"/>
      <c r="K1720" s="16" t="n"/>
      <c r="M1720" s="89" t="n"/>
      <c r="N1720" s="1" t="n"/>
      <c r="O1720" s="1" t="n"/>
      <c r="P1720" s="1" t="n"/>
      <c r="Q1720" s="1" t="n"/>
      <c r="R1720" s="1" t="n"/>
    </row>
    <row r="1721">
      <c r="A1721" s="61" t="n"/>
      <c r="B1721" s="16" t="n"/>
      <c r="C1721" s="90" t="n"/>
      <c r="D1721" s="90" t="n"/>
      <c r="E1721" s="90" t="n"/>
      <c r="F1721" s="16" t="n"/>
      <c r="G1721" s="16" t="n"/>
      <c r="H1721" s="63" t="n"/>
      <c r="I1721" s="64" t="n"/>
      <c r="J1721" s="16" t="n"/>
      <c r="K1721" s="16" t="n"/>
      <c r="M1721" s="89" t="n"/>
      <c r="N1721" s="1" t="n"/>
      <c r="O1721" s="1" t="n"/>
      <c r="P1721" s="1" t="n"/>
      <c r="Q1721" s="1" t="n"/>
      <c r="R1721" s="1" t="n"/>
    </row>
    <row r="1722">
      <c r="A1722" s="61" t="n"/>
      <c r="B1722" s="16" t="n"/>
      <c r="C1722" s="90" t="n"/>
      <c r="D1722" s="90" t="n"/>
      <c r="E1722" s="90" t="n"/>
      <c r="F1722" s="16" t="n"/>
      <c r="G1722" s="16" t="n"/>
      <c r="H1722" s="63" t="n"/>
      <c r="I1722" s="64" t="n"/>
      <c r="J1722" s="16" t="n"/>
      <c r="K1722" s="16" t="n"/>
      <c r="M1722" s="89" t="n"/>
      <c r="N1722" s="1" t="n"/>
      <c r="O1722" s="1" t="n"/>
      <c r="P1722" s="1" t="n"/>
      <c r="Q1722" s="1" t="n"/>
      <c r="R1722" s="1" t="n"/>
    </row>
    <row r="1723">
      <c r="A1723" s="61" t="n"/>
      <c r="B1723" s="16" t="n"/>
      <c r="C1723" s="90" t="n"/>
      <c r="D1723" s="90" t="n"/>
      <c r="E1723" s="90" t="n"/>
      <c r="F1723" s="16" t="n"/>
      <c r="G1723" s="16" t="n"/>
      <c r="H1723" s="63" t="n"/>
      <c r="I1723" s="64" t="n"/>
      <c r="J1723" s="16" t="n"/>
      <c r="K1723" s="16" t="n"/>
      <c r="M1723" s="89" t="n"/>
      <c r="N1723" s="1" t="n"/>
      <c r="O1723" s="1" t="n"/>
      <c r="P1723" s="1" t="n"/>
      <c r="Q1723" s="1" t="n"/>
      <c r="R1723" s="1" t="n"/>
    </row>
    <row r="1724">
      <c r="A1724" s="61" t="n"/>
      <c r="B1724" s="16" t="n"/>
      <c r="C1724" s="90" t="n"/>
      <c r="D1724" s="90" t="n"/>
      <c r="E1724" s="90" t="n"/>
      <c r="F1724" s="16" t="n"/>
      <c r="G1724" s="16" t="n"/>
      <c r="H1724" s="63" t="n"/>
      <c r="I1724" s="64" t="n"/>
      <c r="J1724" s="16" t="n"/>
      <c r="K1724" s="16" t="n"/>
      <c r="M1724" s="89" t="n"/>
      <c r="N1724" s="1" t="n"/>
      <c r="O1724" s="1" t="n"/>
      <c r="P1724" s="1" t="n"/>
      <c r="Q1724" s="1" t="n"/>
      <c r="R1724" s="1" t="n"/>
    </row>
    <row r="1725">
      <c r="A1725" s="61" t="n"/>
      <c r="B1725" s="16" t="n"/>
      <c r="C1725" s="90" t="n"/>
      <c r="D1725" s="90" t="n"/>
      <c r="E1725" s="90" t="n"/>
      <c r="F1725" s="16" t="n"/>
      <c r="G1725" s="16" t="n"/>
      <c r="H1725" s="63" t="n"/>
      <c r="I1725" s="64" t="n"/>
      <c r="J1725" s="16" t="n"/>
      <c r="K1725" s="16" t="n"/>
      <c r="M1725" s="89" t="n"/>
      <c r="N1725" s="1" t="n"/>
      <c r="O1725" s="1" t="n"/>
      <c r="P1725" s="1" t="n"/>
      <c r="Q1725" s="1" t="n"/>
      <c r="R1725" s="1" t="n"/>
    </row>
    <row r="1726">
      <c r="A1726" s="61" t="n"/>
      <c r="B1726" s="16" t="n"/>
      <c r="C1726" s="90" t="n"/>
      <c r="D1726" s="90" t="n"/>
      <c r="E1726" s="90" t="n"/>
      <c r="F1726" s="16" t="n"/>
      <c r="G1726" s="16" t="n"/>
      <c r="H1726" s="63" t="n"/>
      <c r="I1726" s="64" t="n"/>
      <c r="J1726" s="16" t="n"/>
      <c r="K1726" s="16" t="n"/>
      <c r="M1726" s="89" t="n"/>
      <c r="N1726" s="1" t="n"/>
      <c r="O1726" s="1" t="n"/>
      <c r="P1726" s="1" t="n"/>
      <c r="Q1726" s="1" t="n"/>
      <c r="R1726" s="1" t="n"/>
    </row>
    <row r="1727">
      <c r="A1727" s="61" t="n"/>
      <c r="B1727" s="16" t="n"/>
      <c r="C1727" s="90" t="n"/>
      <c r="D1727" s="90" t="n"/>
      <c r="E1727" s="90" t="n"/>
      <c r="F1727" s="16" t="n"/>
      <c r="G1727" s="16" t="n"/>
      <c r="H1727" s="63" t="n"/>
      <c r="I1727" s="64" t="n"/>
      <c r="J1727" s="16" t="n"/>
      <c r="K1727" s="16" t="n"/>
      <c r="M1727" s="89" t="n"/>
      <c r="N1727" s="1" t="n"/>
      <c r="O1727" s="1" t="n"/>
      <c r="P1727" s="1" t="n"/>
      <c r="Q1727" s="1" t="n"/>
      <c r="R1727" s="1" t="n"/>
    </row>
    <row r="1728">
      <c r="A1728" s="61" t="n"/>
      <c r="B1728" s="16" t="n"/>
      <c r="C1728" s="90" t="n"/>
      <c r="D1728" s="90" t="n"/>
      <c r="E1728" s="90" t="n"/>
      <c r="F1728" s="16" t="n"/>
      <c r="G1728" s="16" t="n"/>
      <c r="H1728" s="63" t="n"/>
      <c r="I1728" s="64" t="n"/>
      <c r="J1728" s="16" t="n"/>
      <c r="K1728" s="16" t="n"/>
      <c r="M1728" s="89" t="n"/>
      <c r="N1728" s="1" t="n"/>
      <c r="O1728" s="1" t="n"/>
      <c r="P1728" s="1" t="n"/>
      <c r="Q1728" s="1" t="n"/>
      <c r="R1728" s="1" t="n"/>
    </row>
    <row r="1729">
      <c r="A1729" s="61" t="n"/>
      <c r="B1729" s="16" t="n"/>
      <c r="C1729" s="90" t="n"/>
      <c r="D1729" s="90" t="n"/>
      <c r="E1729" s="90" t="n"/>
      <c r="F1729" s="16" t="n"/>
      <c r="G1729" s="16" t="n"/>
      <c r="H1729" s="63" t="n"/>
      <c r="I1729" s="64" t="n"/>
      <c r="J1729" s="16" t="n"/>
      <c r="K1729" s="16" t="n"/>
      <c r="M1729" s="89" t="n"/>
      <c r="N1729" s="1" t="n"/>
      <c r="O1729" s="1" t="n"/>
      <c r="P1729" s="1" t="n"/>
      <c r="Q1729" s="1" t="n"/>
      <c r="R1729" s="1" t="n"/>
    </row>
    <row r="1730">
      <c r="A1730" s="61" t="n"/>
      <c r="B1730" s="16" t="n"/>
      <c r="C1730" s="90" t="n"/>
      <c r="D1730" s="90" t="n"/>
      <c r="E1730" s="90" t="n"/>
      <c r="F1730" s="16" t="n"/>
      <c r="G1730" s="16" t="n"/>
      <c r="H1730" s="63" t="n"/>
      <c r="I1730" s="64" t="n"/>
      <c r="J1730" s="16" t="n"/>
      <c r="K1730" s="16" t="n"/>
      <c r="M1730" s="89" t="n"/>
      <c r="N1730" s="1" t="n"/>
      <c r="O1730" s="1" t="n"/>
      <c r="P1730" s="1" t="n"/>
      <c r="Q1730" s="1" t="n"/>
      <c r="R1730" s="1" t="n"/>
    </row>
    <row r="1731">
      <c r="A1731" s="61" t="n"/>
      <c r="B1731" s="16" t="n"/>
      <c r="C1731" s="90" t="n"/>
      <c r="D1731" s="90" t="n"/>
      <c r="E1731" s="90" t="n"/>
      <c r="F1731" s="16" t="n"/>
      <c r="G1731" s="16" t="n"/>
      <c r="H1731" s="63" t="n"/>
      <c r="I1731" s="64" t="n"/>
      <c r="J1731" s="16" t="n"/>
      <c r="K1731" s="16" t="n"/>
      <c r="M1731" s="89" t="n"/>
      <c r="N1731" s="1" t="n"/>
      <c r="O1731" s="1" t="n"/>
      <c r="P1731" s="1" t="n"/>
      <c r="Q1731" s="1" t="n"/>
      <c r="R1731" s="1" t="n"/>
    </row>
    <row r="1732">
      <c r="A1732" s="61" t="n"/>
      <c r="B1732" s="16" t="n"/>
      <c r="C1732" s="90" t="n"/>
      <c r="D1732" s="90" t="n"/>
      <c r="E1732" s="90" t="n"/>
      <c r="F1732" s="16" t="n"/>
      <c r="G1732" s="16" t="n"/>
      <c r="H1732" s="63" t="n"/>
      <c r="I1732" s="64" t="n"/>
      <c r="J1732" s="16" t="n"/>
      <c r="K1732" s="16" t="n"/>
      <c r="M1732" s="89" t="n"/>
      <c r="N1732" s="1" t="n"/>
      <c r="O1732" s="1" t="n"/>
      <c r="P1732" s="1" t="n"/>
      <c r="Q1732" s="1" t="n"/>
      <c r="R1732" s="1" t="n"/>
    </row>
    <row r="1733">
      <c r="A1733" s="61" t="n"/>
      <c r="B1733" s="16" t="n"/>
      <c r="C1733" s="90" t="n"/>
      <c r="D1733" s="90" t="n"/>
      <c r="E1733" s="90" t="n"/>
      <c r="F1733" s="16" t="n"/>
      <c r="G1733" s="16" t="n"/>
      <c r="H1733" s="63" t="n"/>
      <c r="I1733" s="64" t="n"/>
      <c r="J1733" s="16" t="n"/>
      <c r="K1733" s="16" t="n"/>
      <c r="M1733" s="89" t="n"/>
      <c r="N1733" s="1" t="n"/>
      <c r="O1733" s="1" t="n"/>
      <c r="P1733" s="1" t="n"/>
      <c r="Q1733" s="1" t="n"/>
      <c r="R1733" s="1" t="n"/>
    </row>
    <row r="1734">
      <c r="A1734" s="61" t="n"/>
      <c r="B1734" s="16" t="n"/>
      <c r="C1734" s="90" t="n"/>
      <c r="D1734" s="90" t="n"/>
      <c r="E1734" s="90" t="n"/>
      <c r="F1734" s="16" t="n"/>
      <c r="G1734" s="16" t="n"/>
      <c r="H1734" s="63" t="n"/>
      <c r="I1734" s="64" t="n"/>
      <c r="J1734" s="16" t="n"/>
      <c r="K1734" s="16" t="n"/>
      <c r="M1734" s="89" t="n"/>
      <c r="N1734" s="1" t="n"/>
      <c r="O1734" s="1" t="n"/>
      <c r="P1734" s="1" t="n"/>
      <c r="Q1734" s="1" t="n"/>
      <c r="R1734" s="1" t="n"/>
    </row>
    <row r="1735">
      <c r="A1735" s="61" t="n"/>
      <c r="B1735" s="16" t="n"/>
      <c r="C1735" s="90" t="n"/>
      <c r="D1735" s="90" t="n"/>
      <c r="E1735" s="90" t="n"/>
      <c r="F1735" s="16" t="n"/>
      <c r="G1735" s="16" t="n"/>
      <c r="H1735" s="63" t="n"/>
      <c r="I1735" s="64" t="n"/>
      <c r="J1735" s="16" t="n"/>
      <c r="K1735" s="16" t="n"/>
      <c r="M1735" s="89" t="n"/>
      <c r="N1735" s="1" t="n"/>
      <c r="O1735" s="1" t="n"/>
      <c r="P1735" s="1" t="n"/>
      <c r="Q1735" s="1" t="n"/>
      <c r="R1735" s="1" t="n"/>
    </row>
    <row r="1736">
      <c r="A1736" s="61" t="n"/>
      <c r="B1736" s="16" t="n"/>
      <c r="C1736" s="90" t="n"/>
      <c r="D1736" s="90" t="n"/>
      <c r="E1736" s="90" t="n"/>
      <c r="F1736" s="16" t="n"/>
      <c r="G1736" s="16" t="n"/>
      <c r="H1736" s="63" t="n"/>
      <c r="I1736" s="64" t="n"/>
      <c r="J1736" s="16" t="n"/>
      <c r="K1736" s="16" t="n"/>
      <c r="M1736" s="89" t="n"/>
      <c r="N1736" s="1" t="n"/>
      <c r="O1736" s="1" t="n"/>
      <c r="P1736" s="1" t="n"/>
      <c r="Q1736" s="1" t="n"/>
      <c r="R1736" s="1" t="n"/>
    </row>
    <row r="1737">
      <c r="A1737" s="61" t="n"/>
      <c r="B1737" s="16" t="n"/>
      <c r="C1737" s="90" t="n"/>
      <c r="D1737" s="90" t="n"/>
      <c r="E1737" s="90" t="n"/>
      <c r="F1737" s="16" t="n"/>
      <c r="G1737" s="16" t="n"/>
      <c r="H1737" s="63" t="n"/>
      <c r="I1737" s="64" t="n"/>
      <c r="J1737" s="16" t="n"/>
      <c r="K1737" s="16" t="n"/>
      <c r="M1737" s="89" t="n"/>
      <c r="N1737" s="1" t="n"/>
      <c r="O1737" s="1" t="n"/>
      <c r="P1737" s="1" t="n"/>
      <c r="Q1737" s="1" t="n"/>
      <c r="R1737" s="1" t="n"/>
    </row>
    <row r="1738">
      <c r="A1738" s="61" t="n"/>
      <c r="B1738" s="16" t="n"/>
      <c r="C1738" s="90" t="n"/>
      <c r="D1738" s="90" t="n"/>
      <c r="E1738" s="90" t="n"/>
      <c r="F1738" s="16" t="n"/>
      <c r="G1738" s="16" t="n"/>
      <c r="H1738" s="63" t="n"/>
      <c r="I1738" s="64" t="n"/>
      <c r="J1738" s="16" t="n"/>
      <c r="K1738" s="16" t="n"/>
      <c r="M1738" s="89" t="n"/>
      <c r="N1738" s="1" t="n"/>
      <c r="O1738" s="1" t="n"/>
      <c r="P1738" s="1" t="n"/>
      <c r="Q1738" s="1" t="n"/>
      <c r="R1738" s="1" t="n"/>
    </row>
    <row r="1739">
      <c r="A1739" s="61" t="n"/>
      <c r="B1739" s="16" t="n"/>
      <c r="C1739" s="90" t="n"/>
      <c r="D1739" s="90" t="n"/>
      <c r="E1739" s="90" t="n"/>
      <c r="F1739" s="16" t="n"/>
      <c r="G1739" s="16" t="n"/>
      <c r="H1739" s="63" t="n"/>
      <c r="I1739" s="64" t="n"/>
      <c r="J1739" s="16" t="n"/>
      <c r="K1739" s="16" t="n"/>
      <c r="M1739" s="89" t="n"/>
      <c r="N1739" s="1" t="n"/>
      <c r="O1739" s="1" t="n"/>
      <c r="P1739" s="1" t="n"/>
      <c r="Q1739" s="1" t="n"/>
      <c r="R1739" s="1" t="n"/>
    </row>
    <row r="1740">
      <c r="A1740" s="61" t="n"/>
      <c r="B1740" s="16" t="n"/>
      <c r="C1740" s="90" t="n"/>
      <c r="D1740" s="90" t="n"/>
      <c r="E1740" s="90" t="n"/>
      <c r="F1740" s="16" t="n"/>
      <c r="G1740" s="16" t="n"/>
      <c r="H1740" s="63" t="n"/>
      <c r="I1740" s="64" t="n"/>
      <c r="J1740" s="16" t="n"/>
      <c r="K1740" s="16" t="n"/>
      <c r="M1740" s="89" t="n"/>
      <c r="N1740" s="1" t="n"/>
      <c r="O1740" s="1" t="n"/>
      <c r="P1740" s="1" t="n"/>
      <c r="Q1740" s="1" t="n"/>
      <c r="R1740" s="1" t="n"/>
    </row>
    <row r="1741">
      <c r="A1741" s="61" t="n"/>
      <c r="B1741" s="16" t="n"/>
      <c r="C1741" s="90" t="n"/>
      <c r="D1741" s="90" t="n"/>
      <c r="E1741" s="90" t="n"/>
      <c r="F1741" s="16" t="n"/>
      <c r="G1741" s="16" t="n"/>
      <c r="H1741" s="63" t="n"/>
      <c r="I1741" s="64" t="n"/>
      <c r="J1741" s="16" t="n"/>
      <c r="K1741" s="16" t="n"/>
      <c r="M1741" s="89" t="n"/>
      <c r="N1741" s="1" t="n"/>
      <c r="O1741" s="1" t="n"/>
      <c r="P1741" s="1" t="n"/>
      <c r="Q1741" s="1" t="n"/>
      <c r="R1741" s="1" t="n"/>
    </row>
    <row r="1742">
      <c r="A1742" s="61" t="n"/>
      <c r="B1742" s="16" t="n"/>
      <c r="C1742" s="90" t="n"/>
      <c r="D1742" s="90" t="n"/>
      <c r="E1742" s="90" t="n"/>
      <c r="F1742" s="16" t="n"/>
      <c r="G1742" s="16" t="n"/>
      <c r="H1742" s="63" t="n"/>
      <c r="I1742" s="64" t="n"/>
      <c r="J1742" s="16" t="n"/>
      <c r="K1742" s="16" t="n"/>
      <c r="M1742" s="89" t="n"/>
      <c r="N1742" s="1" t="n"/>
      <c r="O1742" s="1" t="n"/>
      <c r="P1742" s="1" t="n"/>
      <c r="Q1742" s="1" t="n"/>
      <c r="R1742" s="1" t="n"/>
    </row>
    <row r="1743">
      <c r="A1743" s="61" t="n"/>
      <c r="B1743" s="16" t="n"/>
      <c r="C1743" s="90" t="n"/>
      <c r="D1743" s="90" t="n"/>
      <c r="E1743" s="90" t="n"/>
      <c r="F1743" s="16" t="n"/>
      <c r="G1743" s="16" t="n"/>
      <c r="H1743" s="63" t="n"/>
      <c r="I1743" s="64" t="n"/>
      <c r="J1743" s="16" t="n"/>
      <c r="K1743" s="16" t="n"/>
      <c r="M1743" s="89" t="n"/>
      <c r="N1743" s="1" t="n"/>
      <c r="O1743" s="1" t="n"/>
      <c r="P1743" s="1" t="n"/>
      <c r="Q1743" s="1" t="n"/>
      <c r="R1743" s="1" t="n"/>
    </row>
    <row r="1744">
      <c r="A1744" s="61" t="n"/>
      <c r="B1744" s="16" t="n"/>
      <c r="C1744" s="90" t="n"/>
      <c r="D1744" s="90" t="n"/>
      <c r="E1744" s="90" t="n"/>
      <c r="F1744" s="16" t="n"/>
      <c r="G1744" s="16" t="n"/>
      <c r="H1744" s="63" t="n"/>
      <c r="I1744" s="64" t="n"/>
      <c r="J1744" s="16" t="n"/>
      <c r="K1744" s="16" t="n"/>
      <c r="M1744" s="89" t="n"/>
      <c r="N1744" s="1" t="n"/>
      <c r="O1744" s="1" t="n"/>
      <c r="P1744" s="1" t="n"/>
      <c r="Q1744" s="1" t="n"/>
      <c r="R1744" s="1" t="n"/>
    </row>
    <row r="1745">
      <c r="A1745" s="61" t="n"/>
      <c r="B1745" s="16" t="n"/>
      <c r="C1745" s="90" t="n"/>
      <c r="D1745" s="90" t="n"/>
      <c r="E1745" s="90" t="n"/>
      <c r="F1745" s="16" t="n"/>
      <c r="G1745" s="16" t="n"/>
      <c r="H1745" s="63" t="n"/>
      <c r="I1745" s="64" t="n"/>
      <c r="J1745" s="16" t="n"/>
      <c r="K1745" s="16" t="n"/>
      <c r="M1745" s="89" t="n"/>
      <c r="N1745" s="1" t="n"/>
      <c r="O1745" s="1" t="n"/>
      <c r="P1745" s="1" t="n"/>
      <c r="Q1745" s="1" t="n"/>
      <c r="R1745" s="1" t="n"/>
    </row>
    <row r="1746">
      <c r="A1746" s="61" t="n"/>
      <c r="B1746" s="16" t="n"/>
      <c r="C1746" s="90" t="n"/>
      <c r="D1746" s="90" t="n"/>
      <c r="E1746" s="90" t="n"/>
      <c r="F1746" s="16" t="n"/>
      <c r="G1746" s="16" t="n"/>
      <c r="H1746" s="63" t="n"/>
      <c r="I1746" s="64" t="n"/>
      <c r="J1746" s="16" t="n"/>
      <c r="K1746" s="16" t="n"/>
      <c r="M1746" s="89" t="n"/>
      <c r="N1746" s="1" t="n"/>
      <c r="O1746" s="1" t="n"/>
      <c r="P1746" s="1" t="n"/>
      <c r="Q1746" s="1" t="n"/>
      <c r="R1746" s="1" t="n"/>
    </row>
    <row r="1747">
      <c r="A1747" s="61" t="n"/>
      <c r="B1747" s="16" t="n"/>
      <c r="C1747" s="90" t="n"/>
      <c r="D1747" s="90" t="n"/>
      <c r="E1747" s="90" t="n"/>
      <c r="F1747" s="16" t="n"/>
      <c r="G1747" s="16" t="n"/>
      <c r="H1747" s="63" t="n"/>
      <c r="I1747" s="64" t="n"/>
      <c r="J1747" s="16" t="n"/>
      <c r="K1747" s="16" t="n"/>
      <c r="M1747" s="89" t="n"/>
      <c r="N1747" s="1" t="n"/>
      <c r="O1747" s="1" t="n"/>
      <c r="P1747" s="1" t="n"/>
      <c r="Q1747" s="1" t="n"/>
      <c r="R1747" s="1" t="n"/>
    </row>
    <row r="1748">
      <c r="A1748" s="61" t="n"/>
      <c r="B1748" s="16" t="n"/>
      <c r="C1748" s="90" t="n"/>
      <c r="D1748" s="90" t="n"/>
      <c r="E1748" s="90" t="n"/>
      <c r="F1748" s="16" t="n"/>
      <c r="G1748" s="16" t="n"/>
      <c r="H1748" s="63" t="n"/>
      <c r="I1748" s="64" t="n"/>
      <c r="J1748" s="16" t="n"/>
      <c r="K1748" s="16" t="n"/>
      <c r="M1748" s="89" t="n"/>
      <c r="N1748" s="1" t="n"/>
      <c r="O1748" s="1" t="n"/>
      <c r="P1748" s="1" t="n"/>
      <c r="Q1748" s="1" t="n"/>
      <c r="R1748" s="1" t="n"/>
    </row>
    <row r="1749">
      <c r="A1749" s="61" t="n"/>
      <c r="B1749" s="16" t="n"/>
      <c r="C1749" s="90" t="n"/>
      <c r="D1749" s="90" t="n"/>
      <c r="E1749" s="90" t="n"/>
      <c r="F1749" s="16" t="n"/>
      <c r="G1749" s="16" t="n"/>
      <c r="H1749" s="63" t="n"/>
      <c r="I1749" s="64" t="n"/>
      <c r="J1749" s="16" t="n"/>
      <c r="K1749" s="16" t="n"/>
      <c r="M1749" s="89" t="n"/>
      <c r="N1749" s="1" t="n"/>
      <c r="O1749" s="1" t="n"/>
      <c r="P1749" s="1" t="n"/>
      <c r="Q1749" s="1" t="n"/>
      <c r="R1749" s="1" t="n"/>
    </row>
    <row r="1750">
      <c r="A1750" s="61" t="n"/>
      <c r="B1750" s="16" t="n"/>
      <c r="C1750" s="90" t="n"/>
      <c r="D1750" s="90" t="n"/>
      <c r="E1750" s="90" t="n"/>
      <c r="F1750" s="16" t="n"/>
      <c r="G1750" s="16" t="n"/>
      <c r="H1750" s="63" t="n"/>
      <c r="I1750" s="64" t="n"/>
      <c r="J1750" s="16" t="n"/>
      <c r="K1750" s="16" t="n"/>
      <c r="M1750" s="89" t="n"/>
      <c r="N1750" s="1" t="n"/>
      <c r="O1750" s="1" t="n"/>
      <c r="P1750" s="1" t="n"/>
      <c r="Q1750" s="1" t="n"/>
      <c r="R1750" s="1" t="n"/>
    </row>
    <row r="1751">
      <c r="A1751" s="61" t="n"/>
      <c r="B1751" s="16" t="n"/>
      <c r="C1751" s="90" t="n"/>
      <c r="D1751" s="90" t="n"/>
      <c r="E1751" s="90" t="n"/>
      <c r="F1751" s="16" t="n"/>
      <c r="G1751" s="16" t="n"/>
      <c r="H1751" s="63" t="n"/>
      <c r="I1751" s="64" t="n"/>
      <c r="J1751" s="16" t="n"/>
      <c r="K1751" s="16" t="n"/>
      <c r="M1751" s="89" t="n"/>
      <c r="N1751" s="1" t="n"/>
      <c r="O1751" s="1" t="n"/>
      <c r="P1751" s="1" t="n"/>
      <c r="Q1751" s="1" t="n"/>
      <c r="R1751" s="1" t="n"/>
    </row>
    <row r="1752">
      <c r="A1752" s="61" t="n"/>
      <c r="B1752" s="16" t="n"/>
      <c r="C1752" s="90" t="n"/>
      <c r="D1752" s="90" t="n"/>
      <c r="E1752" s="90" t="n"/>
      <c r="F1752" s="16" t="n"/>
      <c r="G1752" s="16" t="n"/>
      <c r="H1752" s="63" t="n"/>
      <c r="I1752" s="64" t="n"/>
      <c r="J1752" s="16" t="n"/>
      <c r="K1752" s="16" t="n"/>
      <c r="M1752" s="89" t="n"/>
      <c r="N1752" s="1" t="n"/>
      <c r="O1752" s="1" t="n"/>
      <c r="P1752" s="1" t="n"/>
      <c r="Q1752" s="1" t="n"/>
      <c r="R1752" s="1" t="n"/>
    </row>
    <row r="1753">
      <c r="A1753" s="61" t="n"/>
      <c r="B1753" s="16" t="n"/>
      <c r="C1753" s="90" t="n"/>
      <c r="D1753" s="90" t="n"/>
      <c r="E1753" s="90" t="n"/>
      <c r="F1753" s="16" t="n"/>
      <c r="G1753" s="16" t="n"/>
      <c r="H1753" s="63" t="n"/>
      <c r="I1753" s="64" t="n"/>
      <c r="J1753" s="16" t="n"/>
      <c r="K1753" s="16" t="n"/>
      <c r="M1753" s="89" t="n"/>
      <c r="N1753" s="1" t="n"/>
      <c r="O1753" s="1" t="n"/>
      <c r="P1753" s="1" t="n"/>
      <c r="Q1753" s="1" t="n"/>
      <c r="R1753" s="1" t="n"/>
    </row>
    <row r="1754">
      <c r="A1754" s="61" t="n"/>
      <c r="B1754" s="16" t="n"/>
      <c r="C1754" s="90" t="n"/>
      <c r="D1754" s="90" t="n"/>
      <c r="E1754" s="90" t="n"/>
      <c r="F1754" s="16" t="n"/>
      <c r="G1754" s="16" t="n"/>
      <c r="H1754" s="63" t="n"/>
      <c r="I1754" s="64" t="n"/>
      <c r="J1754" s="16" t="n"/>
      <c r="K1754" s="16" t="n"/>
      <c r="M1754" s="89" t="n"/>
      <c r="N1754" s="1" t="n"/>
      <c r="O1754" s="1" t="n"/>
      <c r="P1754" s="1" t="n"/>
      <c r="Q1754" s="1" t="n"/>
      <c r="R1754" s="1" t="n"/>
    </row>
    <row r="1755">
      <c r="A1755" s="61" t="n"/>
      <c r="B1755" s="16" t="n"/>
      <c r="C1755" s="90" t="n"/>
      <c r="D1755" s="90" t="n"/>
      <c r="E1755" s="90" t="n"/>
      <c r="F1755" s="16" t="n"/>
      <c r="G1755" s="16" t="n"/>
      <c r="H1755" s="63" t="n"/>
      <c r="I1755" s="64" t="n"/>
      <c r="J1755" s="16" t="n"/>
      <c r="K1755" s="16" t="n"/>
      <c r="M1755" s="89" t="n"/>
      <c r="N1755" s="1" t="n"/>
      <c r="O1755" s="1" t="n"/>
      <c r="P1755" s="1" t="n"/>
      <c r="Q1755" s="1" t="n"/>
      <c r="R1755" s="1" t="n"/>
    </row>
    <row r="1756">
      <c r="A1756" s="61" t="n"/>
      <c r="B1756" s="16" t="n"/>
      <c r="C1756" s="90" t="n"/>
      <c r="D1756" s="90" t="n"/>
      <c r="E1756" s="90" t="n"/>
      <c r="F1756" s="16" t="n"/>
      <c r="G1756" s="16" t="n"/>
      <c r="H1756" s="63" t="n"/>
      <c r="I1756" s="64" t="n"/>
      <c r="J1756" s="16" t="n"/>
      <c r="K1756" s="16" t="n"/>
      <c r="M1756" s="89" t="n"/>
      <c r="N1756" s="1" t="n"/>
      <c r="O1756" s="1" t="n"/>
      <c r="P1756" s="1" t="n"/>
      <c r="Q1756" s="1" t="n"/>
      <c r="R1756" s="1" t="n"/>
    </row>
    <row r="1757">
      <c r="A1757" s="61" t="n"/>
      <c r="B1757" s="16" t="n"/>
      <c r="C1757" s="90" t="n"/>
      <c r="D1757" s="90" t="n"/>
      <c r="E1757" s="90" t="n"/>
      <c r="F1757" s="16" t="n"/>
      <c r="G1757" s="16" t="n"/>
      <c r="H1757" s="63" t="n"/>
      <c r="I1757" s="64" t="n"/>
      <c r="J1757" s="16" t="n"/>
      <c r="K1757" s="16" t="n"/>
      <c r="M1757" s="89" t="n"/>
      <c r="N1757" s="1" t="n"/>
      <c r="O1757" s="1" t="n"/>
      <c r="P1757" s="1" t="n"/>
      <c r="Q1757" s="1" t="n"/>
      <c r="R1757" s="1" t="n"/>
    </row>
    <row r="1758">
      <c r="A1758" s="61" t="n"/>
      <c r="B1758" s="16" t="n"/>
      <c r="C1758" s="90" t="n"/>
      <c r="D1758" s="90" t="n"/>
      <c r="E1758" s="90" t="n"/>
      <c r="F1758" s="16" t="n"/>
      <c r="G1758" s="16" t="n"/>
      <c r="H1758" s="63" t="n"/>
      <c r="I1758" s="64" t="n"/>
      <c r="J1758" s="16" t="n"/>
      <c r="K1758" s="16" t="n"/>
      <c r="M1758" s="89" t="n"/>
      <c r="N1758" s="1" t="n"/>
      <c r="O1758" s="1" t="n"/>
      <c r="P1758" s="1" t="n"/>
      <c r="Q1758" s="1" t="n"/>
      <c r="R1758" s="1" t="n"/>
    </row>
    <row r="1759">
      <c r="A1759" s="61" t="n"/>
      <c r="B1759" s="16" t="n"/>
      <c r="C1759" s="90" t="n"/>
      <c r="D1759" s="90" t="n"/>
      <c r="E1759" s="90" t="n"/>
      <c r="F1759" s="16" t="n"/>
      <c r="G1759" s="16" t="n"/>
      <c r="H1759" s="63" t="n"/>
      <c r="I1759" s="64" t="n"/>
      <c r="J1759" s="16" t="n"/>
      <c r="K1759" s="16" t="n"/>
      <c r="M1759" s="89" t="n"/>
      <c r="N1759" s="1" t="n"/>
      <c r="O1759" s="1" t="n"/>
      <c r="P1759" s="1" t="n"/>
      <c r="Q1759" s="1" t="n"/>
      <c r="R1759" s="1" t="n"/>
    </row>
    <row r="1760">
      <c r="A1760" s="61" t="n"/>
      <c r="B1760" s="16" t="n"/>
      <c r="C1760" s="90" t="n"/>
      <c r="D1760" s="90" t="n"/>
      <c r="E1760" s="90" t="n"/>
      <c r="F1760" s="16" t="n"/>
      <c r="G1760" s="16" t="n"/>
      <c r="H1760" s="63" t="n"/>
      <c r="I1760" s="64" t="n"/>
      <c r="J1760" s="16" t="n"/>
      <c r="K1760" s="16" t="n"/>
      <c r="M1760" s="89" t="n"/>
      <c r="N1760" s="1" t="n"/>
      <c r="O1760" s="1" t="n"/>
      <c r="P1760" s="1" t="n"/>
      <c r="Q1760" s="1" t="n"/>
      <c r="R1760" s="1" t="n"/>
    </row>
    <row r="1761">
      <c r="A1761" s="61" t="n"/>
      <c r="B1761" s="16" t="n"/>
      <c r="C1761" s="90" t="n"/>
      <c r="D1761" s="90" t="n"/>
      <c r="E1761" s="90" t="n"/>
      <c r="F1761" s="16" t="n"/>
      <c r="G1761" s="16" t="n"/>
      <c r="H1761" s="63" t="n"/>
      <c r="I1761" s="64" t="n"/>
      <c r="J1761" s="16" t="n"/>
      <c r="K1761" s="16" t="n"/>
      <c r="M1761" s="89" t="n"/>
      <c r="N1761" s="1" t="n"/>
      <c r="O1761" s="1" t="n"/>
      <c r="P1761" s="1" t="n"/>
      <c r="Q1761" s="1" t="n"/>
      <c r="R1761" s="1" t="n"/>
    </row>
    <row r="1762">
      <c r="A1762" s="61" t="n"/>
      <c r="B1762" s="16" t="n"/>
      <c r="C1762" s="90" t="n"/>
      <c r="D1762" s="90" t="n"/>
      <c r="E1762" s="90" t="n"/>
      <c r="F1762" s="16" t="n"/>
      <c r="G1762" s="16" t="n"/>
      <c r="H1762" s="63" t="n"/>
      <c r="I1762" s="64" t="n"/>
      <c r="J1762" s="16" t="n"/>
      <c r="K1762" s="16" t="n"/>
      <c r="M1762" s="89" t="n"/>
      <c r="N1762" s="1" t="n"/>
      <c r="O1762" s="1" t="n"/>
      <c r="P1762" s="1" t="n"/>
      <c r="Q1762" s="1" t="n"/>
      <c r="R1762" s="1" t="n"/>
    </row>
    <row r="1763">
      <c r="A1763" s="61" t="n"/>
      <c r="B1763" s="16" t="n"/>
      <c r="C1763" s="90" t="n"/>
      <c r="D1763" s="90" t="n"/>
      <c r="E1763" s="90" t="n"/>
      <c r="F1763" s="16" t="n"/>
      <c r="G1763" s="16" t="n"/>
      <c r="H1763" s="63" t="n"/>
      <c r="I1763" s="64" t="n"/>
      <c r="J1763" s="16" t="n"/>
      <c r="K1763" s="16" t="n"/>
      <c r="M1763" s="89" t="n"/>
      <c r="N1763" s="1" t="n"/>
      <c r="O1763" s="1" t="n"/>
      <c r="P1763" s="1" t="n"/>
      <c r="Q1763" s="1" t="n"/>
      <c r="R1763" s="1" t="n"/>
    </row>
    <row r="1764">
      <c r="A1764" s="61" t="n"/>
      <c r="B1764" s="16" t="n"/>
      <c r="C1764" s="90" t="n"/>
      <c r="D1764" s="90" t="n"/>
      <c r="E1764" s="90" t="n"/>
      <c r="F1764" s="16" t="n"/>
      <c r="G1764" s="16" t="n"/>
      <c r="H1764" s="63" t="n"/>
      <c r="I1764" s="64" t="n"/>
      <c r="J1764" s="16" t="n"/>
      <c r="K1764" s="16" t="n"/>
      <c r="M1764" s="89" t="n"/>
      <c r="N1764" s="1" t="n"/>
      <c r="O1764" s="1" t="n"/>
      <c r="P1764" s="1" t="n"/>
      <c r="Q1764" s="1" t="n"/>
      <c r="R1764" s="1" t="n"/>
    </row>
    <row r="1765">
      <c r="A1765" s="61" t="n"/>
      <c r="B1765" s="16" t="n"/>
      <c r="C1765" s="90" t="n"/>
      <c r="D1765" s="90" t="n"/>
      <c r="E1765" s="90" t="n"/>
      <c r="F1765" s="16" t="n"/>
      <c r="G1765" s="16" t="n"/>
      <c r="H1765" s="63" t="n"/>
      <c r="I1765" s="64" t="n"/>
      <c r="J1765" s="16" t="n"/>
      <c r="K1765" s="16" t="n"/>
      <c r="M1765" s="89" t="n"/>
      <c r="N1765" s="1" t="n"/>
      <c r="O1765" s="1" t="n"/>
      <c r="P1765" s="1" t="n"/>
      <c r="Q1765" s="1" t="n"/>
      <c r="R1765" s="1" t="n"/>
    </row>
    <row r="1766">
      <c r="A1766" s="61" t="n"/>
      <c r="B1766" s="16" t="n"/>
      <c r="C1766" s="90" t="n"/>
      <c r="D1766" s="90" t="n"/>
      <c r="E1766" s="90" t="n"/>
      <c r="F1766" s="16" t="n"/>
      <c r="G1766" s="16" t="n"/>
      <c r="H1766" s="63" t="n"/>
      <c r="I1766" s="64" t="n"/>
      <c r="J1766" s="16" t="n"/>
      <c r="K1766" s="16" t="n"/>
      <c r="M1766" s="89" t="n"/>
      <c r="N1766" s="1" t="n"/>
      <c r="O1766" s="1" t="n"/>
      <c r="P1766" s="1" t="n"/>
      <c r="Q1766" s="1" t="n"/>
      <c r="R1766" s="1" t="n"/>
    </row>
    <row r="1767">
      <c r="A1767" s="61" t="n"/>
      <c r="B1767" s="16" t="n"/>
      <c r="C1767" s="90" t="n"/>
      <c r="D1767" s="90" t="n"/>
      <c r="E1767" s="90" t="n"/>
      <c r="F1767" s="16" t="n"/>
      <c r="G1767" s="16" t="n"/>
      <c r="H1767" s="63" t="n"/>
      <c r="I1767" s="64" t="n"/>
      <c r="J1767" s="16" t="n"/>
      <c r="K1767" s="16" t="n"/>
      <c r="M1767" s="89" t="n"/>
      <c r="N1767" s="1" t="n"/>
      <c r="O1767" s="1" t="n"/>
      <c r="P1767" s="1" t="n"/>
      <c r="Q1767" s="1" t="n"/>
      <c r="R1767" s="1" t="n"/>
    </row>
    <row r="1768">
      <c r="A1768" s="61" t="n"/>
      <c r="B1768" s="16" t="n"/>
      <c r="C1768" s="90" t="n"/>
      <c r="D1768" s="90" t="n"/>
      <c r="E1768" s="90" t="n"/>
      <c r="F1768" s="16" t="n"/>
      <c r="G1768" s="16" t="n"/>
      <c r="H1768" s="63" t="n"/>
      <c r="I1768" s="64" t="n"/>
      <c r="J1768" s="16" t="n"/>
      <c r="K1768" s="16" t="n"/>
      <c r="M1768" s="89" t="n"/>
      <c r="N1768" s="1" t="n"/>
      <c r="O1768" s="1" t="n"/>
      <c r="P1768" s="1" t="n"/>
      <c r="Q1768" s="1" t="n"/>
      <c r="R1768" s="1" t="n"/>
    </row>
    <row r="1769">
      <c r="A1769" s="61" t="n"/>
      <c r="B1769" s="16" t="n"/>
      <c r="C1769" s="90" t="n"/>
      <c r="D1769" s="90" t="n"/>
      <c r="E1769" s="90" t="n"/>
      <c r="F1769" s="16" t="n"/>
      <c r="G1769" s="16" t="n"/>
      <c r="H1769" s="63" t="n"/>
      <c r="I1769" s="64" t="n"/>
      <c r="J1769" s="16" t="n"/>
      <c r="K1769" s="16" t="n"/>
      <c r="M1769" s="89" t="n"/>
      <c r="N1769" s="1" t="n"/>
      <c r="O1769" s="1" t="n"/>
      <c r="P1769" s="1" t="n"/>
      <c r="Q1769" s="1" t="n"/>
      <c r="R1769" s="1" t="n"/>
    </row>
    <row r="1770">
      <c r="A1770" s="61" t="n"/>
      <c r="B1770" s="16" t="n"/>
      <c r="C1770" s="90" t="n"/>
      <c r="D1770" s="90" t="n"/>
      <c r="E1770" s="90" t="n"/>
      <c r="F1770" s="16" t="n"/>
      <c r="G1770" s="16" t="n"/>
      <c r="H1770" s="63" t="n"/>
      <c r="I1770" s="64" t="n"/>
      <c r="J1770" s="16" t="n"/>
      <c r="K1770" s="16" t="n"/>
      <c r="M1770" s="89" t="n"/>
      <c r="N1770" s="1" t="n"/>
      <c r="O1770" s="1" t="n"/>
      <c r="P1770" s="1" t="n"/>
      <c r="Q1770" s="1" t="n"/>
      <c r="R1770" s="1" t="n"/>
    </row>
    <row r="1771">
      <c r="A1771" s="61" t="n"/>
      <c r="B1771" s="16" t="n"/>
      <c r="C1771" s="90" t="n"/>
      <c r="D1771" s="90" t="n"/>
      <c r="E1771" s="90" t="n"/>
      <c r="F1771" s="16" t="n"/>
      <c r="G1771" s="16" t="n"/>
      <c r="H1771" s="63" t="n"/>
      <c r="I1771" s="64" t="n"/>
      <c r="J1771" s="16" t="n"/>
      <c r="K1771" s="16" t="n"/>
      <c r="M1771" s="89" t="n"/>
      <c r="N1771" s="1" t="n"/>
      <c r="O1771" s="1" t="n"/>
      <c r="P1771" s="1" t="n"/>
      <c r="Q1771" s="1" t="n"/>
      <c r="R1771" s="1" t="n"/>
    </row>
    <row r="1772">
      <c r="A1772" s="61" t="n"/>
      <c r="B1772" s="16" t="n"/>
      <c r="C1772" s="90" t="n"/>
      <c r="D1772" s="90" t="n"/>
      <c r="E1772" s="90" t="n"/>
      <c r="F1772" s="16" t="n"/>
      <c r="G1772" s="16" t="n"/>
      <c r="H1772" s="63" t="n"/>
      <c r="I1772" s="64" t="n"/>
      <c r="J1772" s="16" t="n"/>
      <c r="K1772" s="16" t="n"/>
      <c r="M1772" s="89" t="n"/>
      <c r="N1772" s="1" t="n"/>
      <c r="O1772" s="1" t="n"/>
      <c r="P1772" s="1" t="n"/>
      <c r="Q1772" s="1" t="n"/>
      <c r="R1772" s="1" t="n"/>
    </row>
    <row r="1773">
      <c r="A1773" s="61" t="n"/>
      <c r="B1773" s="16" t="n"/>
      <c r="C1773" s="90" t="n"/>
      <c r="D1773" s="90" t="n"/>
      <c r="E1773" s="90" t="n"/>
      <c r="F1773" s="16" t="n"/>
      <c r="G1773" s="16" t="n"/>
      <c r="H1773" s="63" t="n"/>
      <c r="I1773" s="64" t="n"/>
      <c r="J1773" s="16" t="n"/>
      <c r="K1773" s="16" t="n"/>
      <c r="M1773" s="89" t="n"/>
      <c r="N1773" s="1" t="n"/>
      <c r="O1773" s="1" t="n"/>
      <c r="P1773" s="1" t="n"/>
      <c r="Q1773" s="1" t="n"/>
      <c r="R1773" s="1" t="n"/>
    </row>
    <row r="1774">
      <c r="A1774" s="61" t="n"/>
      <c r="B1774" s="16" t="n"/>
      <c r="C1774" s="90" t="n"/>
      <c r="D1774" s="90" t="n"/>
      <c r="E1774" s="90" t="n"/>
      <c r="F1774" s="16" t="n"/>
      <c r="G1774" s="16" t="n"/>
      <c r="H1774" s="63" t="n"/>
      <c r="I1774" s="64" t="n"/>
      <c r="J1774" s="16" t="n"/>
      <c r="K1774" s="16" t="n"/>
      <c r="M1774" s="89" t="n"/>
      <c r="N1774" s="1" t="n"/>
      <c r="O1774" s="1" t="n"/>
      <c r="P1774" s="1" t="n"/>
      <c r="Q1774" s="1" t="n"/>
      <c r="R1774" s="1" t="n"/>
    </row>
    <row r="1775">
      <c r="A1775" s="61" t="n"/>
      <c r="B1775" s="16" t="n"/>
      <c r="C1775" s="90" t="n"/>
      <c r="D1775" s="90" t="n"/>
      <c r="E1775" s="90" t="n"/>
      <c r="F1775" s="16" t="n"/>
      <c r="G1775" s="16" t="n"/>
      <c r="H1775" s="63" t="n"/>
      <c r="I1775" s="64" t="n"/>
      <c r="J1775" s="16" t="n"/>
      <c r="K1775" s="16" t="n"/>
      <c r="M1775" s="89" t="n"/>
      <c r="N1775" s="1" t="n"/>
      <c r="O1775" s="1" t="n"/>
      <c r="P1775" s="1" t="n"/>
      <c r="Q1775" s="1" t="n"/>
      <c r="R1775" s="1" t="n"/>
    </row>
    <row r="1776">
      <c r="A1776" s="61" t="n"/>
      <c r="B1776" s="16" t="n"/>
      <c r="C1776" s="90" t="n"/>
      <c r="D1776" s="90" t="n"/>
      <c r="E1776" s="90" t="n"/>
      <c r="F1776" s="16" t="n"/>
      <c r="G1776" s="16" t="n"/>
      <c r="H1776" s="63" t="n"/>
      <c r="I1776" s="64" t="n"/>
      <c r="J1776" s="16" t="n"/>
      <c r="K1776" s="16" t="n"/>
      <c r="M1776" s="89" t="n"/>
      <c r="N1776" s="1" t="n"/>
      <c r="O1776" s="1" t="n"/>
      <c r="P1776" s="1" t="n"/>
      <c r="Q1776" s="1" t="n"/>
      <c r="R1776" s="1" t="n"/>
    </row>
    <row r="1777">
      <c r="A1777" s="61" t="n"/>
      <c r="B1777" s="16" t="n"/>
      <c r="C1777" s="90" t="n"/>
      <c r="D1777" s="90" t="n"/>
      <c r="E1777" s="90" t="n"/>
      <c r="F1777" s="16" t="n"/>
      <c r="G1777" s="16" t="n"/>
      <c r="H1777" s="63" t="n"/>
      <c r="I1777" s="64" t="n"/>
      <c r="J1777" s="16" t="n"/>
      <c r="K1777" s="16" t="n"/>
      <c r="M1777" s="89" t="n"/>
      <c r="N1777" s="1" t="n"/>
      <c r="O1777" s="1" t="n"/>
      <c r="P1777" s="1" t="n"/>
      <c r="Q1777" s="1" t="n"/>
      <c r="R1777" s="1" t="n"/>
    </row>
    <row r="1778">
      <c r="A1778" s="61" t="n"/>
      <c r="B1778" s="16" t="n"/>
      <c r="C1778" s="90" t="n"/>
      <c r="D1778" s="90" t="n"/>
      <c r="E1778" s="90" t="n"/>
      <c r="F1778" s="16" t="n"/>
      <c r="G1778" s="16" t="n"/>
      <c r="H1778" s="63" t="n"/>
      <c r="I1778" s="64" t="n"/>
      <c r="J1778" s="16" t="n"/>
      <c r="K1778" s="16" t="n"/>
      <c r="M1778" s="89" t="n"/>
      <c r="N1778" s="1" t="n"/>
      <c r="O1778" s="1" t="n"/>
      <c r="P1778" s="1" t="n"/>
      <c r="Q1778" s="1" t="n"/>
      <c r="R1778" s="1" t="n"/>
    </row>
    <row r="1779">
      <c r="A1779" s="61" t="n"/>
      <c r="B1779" s="16" t="n"/>
      <c r="C1779" s="90" t="n"/>
      <c r="D1779" s="90" t="n"/>
      <c r="E1779" s="90" t="n"/>
      <c r="F1779" s="16" t="n"/>
      <c r="G1779" s="16" t="n"/>
      <c r="H1779" s="63" t="n"/>
      <c r="I1779" s="64" t="n"/>
      <c r="J1779" s="16" t="n"/>
      <c r="K1779" s="16" t="n"/>
      <c r="M1779" s="89" t="n"/>
      <c r="N1779" s="1" t="n"/>
      <c r="O1779" s="1" t="n"/>
      <c r="P1779" s="1" t="n"/>
      <c r="Q1779" s="1" t="n"/>
      <c r="R1779" s="1" t="n"/>
    </row>
    <row r="1780">
      <c r="A1780" s="61" t="n"/>
      <c r="B1780" s="16" t="n"/>
      <c r="C1780" s="90" t="n"/>
      <c r="D1780" s="90" t="n"/>
      <c r="E1780" s="90" t="n"/>
      <c r="F1780" s="16" t="n"/>
      <c r="G1780" s="16" t="n"/>
      <c r="H1780" s="63" t="n"/>
      <c r="I1780" s="64" t="n"/>
      <c r="J1780" s="16" t="n"/>
      <c r="K1780" s="16" t="n"/>
      <c r="M1780" s="89" t="n"/>
      <c r="N1780" s="1" t="n"/>
      <c r="O1780" s="1" t="n"/>
      <c r="P1780" s="1" t="n"/>
      <c r="Q1780" s="1" t="n"/>
      <c r="R1780" s="1" t="n"/>
    </row>
    <row r="1781">
      <c r="A1781" s="61" t="n"/>
      <c r="B1781" s="16" t="n"/>
      <c r="C1781" s="90" t="n"/>
      <c r="D1781" s="90" t="n"/>
      <c r="E1781" s="90" t="n"/>
      <c r="F1781" s="16" t="n"/>
      <c r="G1781" s="16" t="n"/>
      <c r="H1781" s="63" t="n"/>
      <c r="I1781" s="64" t="n"/>
      <c r="J1781" s="16" t="n"/>
      <c r="K1781" s="16" t="n"/>
      <c r="M1781" s="89" t="n"/>
      <c r="N1781" s="1" t="n"/>
      <c r="O1781" s="1" t="n"/>
      <c r="P1781" s="1" t="n"/>
      <c r="Q1781" s="1" t="n"/>
      <c r="R1781" s="1" t="n"/>
    </row>
    <row r="1782">
      <c r="A1782" s="61" t="n"/>
      <c r="B1782" s="16" t="n"/>
      <c r="C1782" s="90" t="n"/>
      <c r="D1782" s="90" t="n"/>
      <c r="E1782" s="90" t="n"/>
      <c r="F1782" s="16" t="n"/>
      <c r="G1782" s="16" t="n"/>
      <c r="H1782" s="63" t="n"/>
      <c r="I1782" s="64" t="n"/>
      <c r="J1782" s="16" t="n"/>
      <c r="K1782" s="16" t="n"/>
      <c r="M1782" s="89" t="n"/>
      <c r="N1782" s="1" t="n"/>
      <c r="O1782" s="1" t="n"/>
      <c r="P1782" s="1" t="n"/>
      <c r="Q1782" s="1" t="n"/>
      <c r="R1782" s="1" t="n"/>
    </row>
    <row r="1783">
      <c r="A1783" s="61" t="n"/>
      <c r="B1783" s="16" t="n"/>
      <c r="C1783" s="90" t="n"/>
      <c r="D1783" s="90" t="n"/>
      <c r="E1783" s="90" t="n"/>
      <c r="F1783" s="16" t="n"/>
      <c r="G1783" s="16" t="n"/>
      <c r="H1783" s="63" t="n"/>
      <c r="I1783" s="64" t="n"/>
      <c r="J1783" s="16" t="n"/>
      <c r="K1783" s="16" t="n"/>
      <c r="M1783" s="89" t="n"/>
      <c r="N1783" s="1" t="n"/>
      <c r="O1783" s="1" t="n"/>
      <c r="P1783" s="1" t="n"/>
      <c r="Q1783" s="1" t="n"/>
      <c r="R1783" s="1" t="n"/>
    </row>
    <row r="1784">
      <c r="A1784" s="61" t="n"/>
      <c r="B1784" s="16" t="n"/>
      <c r="C1784" s="90" t="n"/>
      <c r="D1784" s="90" t="n"/>
      <c r="E1784" s="90" t="n"/>
      <c r="F1784" s="16" t="n"/>
      <c r="G1784" s="16" t="n"/>
      <c r="H1784" s="63" t="n"/>
      <c r="I1784" s="64" t="n"/>
      <c r="J1784" s="16" t="n"/>
      <c r="K1784" s="16" t="n"/>
      <c r="M1784" s="89" t="n"/>
      <c r="N1784" s="1" t="n"/>
      <c r="O1784" s="1" t="n"/>
      <c r="P1784" s="1" t="n"/>
      <c r="Q1784" s="1" t="n"/>
      <c r="R1784" s="1" t="n"/>
    </row>
    <row r="1785">
      <c r="A1785" s="61" t="n"/>
      <c r="B1785" s="16" t="n"/>
      <c r="C1785" s="90" t="n"/>
      <c r="D1785" s="90" t="n"/>
      <c r="E1785" s="90" t="n"/>
      <c r="F1785" s="16" t="n"/>
      <c r="G1785" s="16" t="n"/>
      <c r="H1785" s="63" t="n"/>
      <c r="I1785" s="64" t="n"/>
      <c r="J1785" s="16" t="n"/>
      <c r="K1785" s="16" t="n"/>
      <c r="M1785" s="89" t="n"/>
      <c r="N1785" s="1" t="n"/>
      <c r="O1785" s="1" t="n"/>
      <c r="P1785" s="1" t="n"/>
      <c r="Q1785" s="1" t="n"/>
      <c r="R1785" s="1" t="n"/>
    </row>
    <row r="1786">
      <c r="A1786" s="61" t="n"/>
      <c r="B1786" s="16" t="n"/>
      <c r="C1786" s="90" t="n"/>
      <c r="D1786" s="90" t="n"/>
      <c r="E1786" s="90" t="n"/>
      <c r="F1786" s="16" t="n"/>
      <c r="G1786" s="16" t="n"/>
      <c r="H1786" s="63" t="n"/>
      <c r="I1786" s="64" t="n"/>
      <c r="J1786" s="16" t="n"/>
      <c r="K1786" s="16" t="n"/>
      <c r="M1786" s="89" t="n"/>
      <c r="N1786" s="1" t="n"/>
      <c r="O1786" s="1" t="n"/>
      <c r="P1786" s="1" t="n"/>
      <c r="Q1786" s="1" t="n"/>
      <c r="R1786" s="1" t="n"/>
    </row>
    <row r="1787">
      <c r="A1787" s="61" t="n"/>
      <c r="B1787" s="16" t="n"/>
      <c r="C1787" s="90" t="n"/>
      <c r="D1787" s="90" t="n"/>
      <c r="E1787" s="90" t="n"/>
      <c r="F1787" s="16" t="n"/>
      <c r="G1787" s="16" t="n"/>
      <c r="H1787" s="63" t="n"/>
      <c r="I1787" s="64" t="n"/>
      <c r="J1787" s="16" t="n"/>
      <c r="K1787" s="16" t="n"/>
      <c r="M1787" s="89" t="n"/>
      <c r="N1787" s="1" t="n"/>
      <c r="O1787" s="1" t="n"/>
      <c r="P1787" s="1" t="n"/>
      <c r="Q1787" s="1" t="n"/>
      <c r="R1787" s="1" t="n"/>
    </row>
    <row r="1788">
      <c r="A1788" s="61" t="n"/>
      <c r="B1788" s="16" t="n"/>
      <c r="C1788" s="90" t="n"/>
      <c r="D1788" s="90" t="n"/>
      <c r="E1788" s="90" t="n"/>
      <c r="F1788" s="16" t="n"/>
      <c r="G1788" s="16" t="n"/>
      <c r="H1788" s="63" t="n"/>
      <c r="I1788" s="64" t="n"/>
      <c r="J1788" s="16" t="n"/>
      <c r="K1788" s="16" t="n"/>
      <c r="M1788" s="89" t="n"/>
      <c r="N1788" s="1" t="n"/>
      <c r="O1788" s="1" t="n"/>
      <c r="P1788" s="1" t="n"/>
      <c r="Q1788" s="1" t="n"/>
      <c r="R1788" s="1" t="n"/>
    </row>
    <row r="1789">
      <c r="A1789" s="61" t="n"/>
      <c r="B1789" s="16" t="n"/>
      <c r="C1789" s="90" t="n"/>
      <c r="D1789" s="90" t="n"/>
      <c r="E1789" s="90" t="n"/>
      <c r="F1789" s="16" t="n"/>
      <c r="G1789" s="16" t="n"/>
      <c r="H1789" s="63" t="n"/>
      <c r="I1789" s="64" t="n"/>
      <c r="J1789" s="16" t="n"/>
      <c r="K1789" s="16" t="n"/>
      <c r="M1789" s="89" t="n"/>
      <c r="N1789" s="1" t="n"/>
      <c r="O1789" s="1" t="n"/>
      <c r="P1789" s="1" t="n"/>
      <c r="Q1789" s="1" t="n"/>
      <c r="R1789" s="1" t="n"/>
    </row>
    <row r="1790">
      <c r="A1790" s="61" t="n"/>
      <c r="B1790" s="16" t="n"/>
      <c r="C1790" s="90" t="n"/>
      <c r="D1790" s="90" t="n"/>
      <c r="E1790" s="90" t="n"/>
      <c r="F1790" s="16" t="n"/>
      <c r="G1790" s="16" t="n"/>
      <c r="H1790" s="63" t="n"/>
      <c r="I1790" s="64" t="n"/>
      <c r="J1790" s="16" t="n"/>
      <c r="K1790" s="16" t="n"/>
      <c r="M1790" s="89" t="n"/>
      <c r="N1790" s="1" t="n"/>
      <c r="O1790" s="1" t="n"/>
      <c r="P1790" s="1" t="n"/>
      <c r="Q1790" s="1" t="n"/>
      <c r="R1790" s="1" t="n"/>
    </row>
    <row r="1791">
      <c r="A1791" s="61" t="n"/>
      <c r="B1791" s="16" t="n"/>
      <c r="C1791" s="90" t="n"/>
      <c r="D1791" s="90" t="n"/>
      <c r="E1791" s="90" t="n"/>
      <c r="F1791" s="16" t="n"/>
      <c r="G1791" s="16" t="n"/>
      <c r="H1791" s="63" t="n"/>
      <c r="I1791" s="64" t="n"/>
      <c r="J1791" s="16" t="n"/>
      <c r="K1791" s="16" t="n"/>
      <c r="M1791" s="89" t="n"/>
      <c r="N1791" s="1" t="n"/>
      <c r="O1791" s="1" t="n"/>
      <c r="P1791" s="1" t="n"/>
      <c r="Q1791" s="1" t="n"/>
      <c r="R1791" s="1" t="n"/>
    </row>
    <row r="1792">
      <c r="A1792" s="61" t="n"/>
      <c r="B1792" s="16" t="n"/>
      <c r="C1792" s="90" t="n"/>
      <c r="D1792" s="90" t="n"/>
      <c r="E1792" s="90" t="n"/>
      <c r="F1792" s="16" t="n"/>
      <c r="G1792" s="16" t="n"/>
      <c r="H1792" s="63" t="n"/>
      <c r="I1792" s="64" t="n"/>
      <c r="J1792" s="16" t="n"/>
      <c r="K1792" s="16" t="n"/>
      <c r="M1792" s="89" t="n"/>
      <c r="N1792" s="1" t="n"/>
      <c r="O1792" s="1" t="n"/>
      <c r="P1792" s="1" t="n"/>
      <c r="Q1792" s="1" t="n"/>
      <c r="R1792" s="1" t="n"/>
    </row>
    <row r="1793">
      <c r="A1793" s="61" t="n"/>
      <c r="B1793" s="16" t="n"/>
      <c r="C1793" s="90" t="n"/>
      <c r="D1793" s="90" t="n"/>
      <c r="E1793" s="90" t="n"/>
      <c r="F1793" s="16" t="n"/>
      <c r="G1793" s="16" t="n"/>
      <c r="H1793" s="63" t="n"/>
      <c r="I1793" s="64" t="n"/>
      <c r="J1793" s="16" t="n"/>
      <c r="K1793" s="16" t="n"/>
      <c r="M1793" s="89" t="n"/>
      <c r="N1793" s="1" t="n"/>
      <c r="O1793" s="1" t="n"/>
      <c r="P1793" s="1" t="n"/>
      <c r="Q1793" s="1" t="n"/>
      <c r="R1793" s="1" t="n"/>
    </row>
    <row r="1794">
      <c r="A1794" s="61" t="n"/>
      <c r="B1794" s="16" t="n"/>
      <c r="C1794" s="90" t="n"/>
      <c r="D1794" s="90" t="n"/>
      <c r="E1794" s="90" t="n"/>
      <c r="F1794" s="16" t="n"/>
      <c r="G1794" s="16" t="n"/>
      <c r="H1794" s="63" t="n"/>
      <c r="I1794" s="64" t="n"/>
      <c r="J1794" s="16" t="n"/>
      <c r="K1794" s="16" t="n"/>
      <c r="M1794" s="89" t="n"/>
      <c r="N1794" s="1" t="n"/>
      <c r="O1794" s="1" t="n"/>
      <c r="P1794" s="1" t="n"/>
      <c r="Q1794" s="1" t="n"/>
      <c r="R1794" s="1" t="n"/>
    </row>
    <row r="1795">
      <c r="A1795" s="61" t="n"/>
      <c r="B1795" s="16" t="n"/>
      <c r="C1795" s="90" t="n"/>
      <c r="D1795" s="90" t="n"/>
      <c r="E1795" s="90" t="n"/>
      <c r="F1795" s="16" t="n"/>
      <c r="G1795" s="16" t="n"/>
      <c r="H1795" s="63" t="n"/>
      <c r="I1795" s="64" t="n"/>
      <c r="J1795" s="16" t="n"/>
      <c r="K1795" s="16" t="n"/>
      <c r="M1795" s="89" t="n"/>
      <c r="N1795" s="1" t="n"/>
      <c r="O1795" s="1" t="n"/>
      <c r="P1795" s="1" t="n"/>
      <c r="Q1795" s="1" t="n"/>
      <c r="R1795" s="1" t="n"/>
    </row>
    <row r="1796">
      <c r="A1796" s="61" t="n"/>
      <c r="B1796" s="16" t="n"/>
      <c r="C1796" s="90" t="n"/>
      <c r="D1796" s="90" t="n"/>
      <c r="E1796" s="90" t="n"/>
      <c r="F1796" s="16" t="n"/>
      <c r="G1796" s="16" t="n"/>
      <c r="H1796" s="63" t="n"/>
      <c r="I1796" s="64" t="n"/>
      <c r="J1796" s="16" t="n"/>
      <c r="K1796" s="16" t="n"/>
      <c r="M1796" s="89" t="n"/>
      <c r="N1796" s="1" t="n"/>
      <c r="O1796" s="1" t="n"/>
      <c r="P1796" s="1" t="n"/>
      <c r="Q1796" s="1" t="n"/>
      <c r="R1796" s="1" t="n"/>
    </row>
    <row r="1797">
      <c r="A1797" s="61" t="n"/>
      <c r="B1797" s="16" t="n"/>
      <c r="C1797" s="90" t="n"/>
      <c r="D1797" s="90" t="n"/>
      <c r="E1797" s="90" t="n"/>
      <c r="F1797" s="16" t="n"/>
      <c r="G1797" s="16" t="n"/>
      <c r="H1797" s="63" t="n"/>
      <c r="I1797" s="64" t="n"/>
      <c r="J1797" s="16" t="n"/>
      <c r="K1797" s="16" t="n"/>
      <c r="M1797" s="89" t="n"/>
      <c r="N1797" s="1" t="n"/>
      <c r="O1797" s="1" t="n"/>
      <c r="P1797" s="1" t="n"/>
      <c r="Q1797" s="1" t="n"/>
      <c r="R1797" s="1" t="n"/>
    </row>
    <row r="1798">
      <c r="A1798" s="61" t="n"/>
      <c r="B1798" s="16" t="n"/>
      <c r="C1798" s="90" t="n"/>
      <c r="D1798" s="90" t="n"/>
      <c r="E1798" s="90" t="n"/>
      <c r="F1798" s="16" t="n"/>
      <c r="G1798" s="16" t="n"/>
      <c r="H1798" s="63" t="n"/>
      <c r="I1798" s="64" t="n"/>
      <c r="J1798" s="16" t="n"/>
      <c r="K1798" s="16" t="n"/>
      <c r="M1798" s="89" t="n"/>
      <c r="N1798" s="1" t="n"/>
      <c r="O1798" s="1" t="n"/>
      <c r="P1798" s="1" t="n"/>
      <c r="Q1798" s="1" t="n"/>
      <c r="R1798" s="1" t="n"/>
    </row>
    <row r="1799">
      <c r="A1799" s="61" t="n"/>
      <c r="B1799" s="16" t="n"/>
      <c r="C1799" s="90" t="n"/>
      <c r="D1799" s="90" t="n"/>
      <c r="E1799" s="90" t="n"/>
      <c r="F1799" s="16" t="n"/>
      <c r="G1799" s="16" t="n"/>
      <c r="H1799" s="63" t="n"/>
      <c r="I1799" s="64" t="n"/>
      <c r="J1799" s="16" t="n"/>
      <c r="K1799" s="16" t="n"/>
      <c r="M1799" s="89" t="n"/>
      <c r="N1799" s="1" t="n"/>
      <c r="O1799" s="1" t="n"/>
      <c r="P1799" s="1" t="n"/>
      <c r="Q1799" s="1" t="n"/>
      <c r="R1799" s="1" t="n"/>
    </row>
    <row r="1800">
      <c r="A1800" s="61" t="n"/>
      <c r="B1800" s="16" t="n"/>
      <c r="C1800" s="90" t="n"/>
      <c r="D1800" s="90" t="n"/>
      <c r="E1800" s="90" t="n"/>
      <c r="F1800" s="16" t="n"/>
      <c r="G1800" s="16" t="n"/>
      <c r="H1800" s="63" t="n"/>
      <c r="I1800" s="64" t="n"/>
      <c r="J1800" s="16" t="n"/>
      <c r="K1800" s="16" t="n"/>
      <c r="M1800" s="89" t="n"/>
      <c r="N1800" s="1" t="n"/>
      <c r="O1800" s="1" t="n"/>
      <c r="P1800" s="1" t="n"/>
      <c r="Q1800" s="1" t="n"/>
      <c r="R1800" s="1" t="n"/>
    </row>
    <row r="1801">
      <c r="A1801" s="61" t="n"/>
      <c r="B1801" s="16" t="n"/>
      <c r="C1801" s="90" t="n"/>
      <c r="D1801" s="90" t="n"/>
      <c r="E1801" s="90" t="n"/>
      <c r="F1801" s="16" t="n"/>
      <c r="G1801" s="16" t="n"/>
      <c r="H1801" s="63" t="n"/>
      <c r="I1801" s="64" t="n"/>
      <c r="J1801" s="16" t="n"/>
      <c r="K1801" s="16" t="n"/>
      <c r="M1801" s="89" t="n"/>
      <c r="N1801" s="1" t="n"/>
      <c r="O1801" s="1" t="n"/>
      <c r="P1801" s="1" t="n"/>
      <c r="Q1801" s="1" t="n"/>
      <c r="R1801" s="1" t="n"/>
    </row>
    <row r="1802">
      <c r="A1802" s="61" t="n"/>
      <c r="B1802" s="16" t="n"/>
      <c r="C1802" s="90" t="n"/>
      <c r="D1802" s="90" t="n"/>
      <c r="E1802" s="90" t="n"/>
      <c r="F1802" s="16" t="n"/>
      <c r="G1802" s="16" t="n"/>
      <c r="H1802" s="63" t="n"/>
      <c r="I1802" s="64" t="n"/>
      <c r="J1802" s="16" t="n"/>
      <c r="K1802" s="16" t="n"/>
      <c r="M1802" s="89" t="n"/>
      <c r="N1802" s="1" t="n"/>
      <c r="O1802" s="1" t="n"/>
      <c r="P1802" s="1" t="n"/>
      <c r="Q1802" s="1" t="n"/>
      <c r="R1802" s="1" t="n"/>
    </row>
    <row r="1803">
      <c r="A1803" s="61" t="n"/>
      <c r="B1803" s="16" t="n"/>
      <c r="C1803" s="90" t="n"/>
      <c r="D1803" s="90" t="n"/>
      <c r="E1803" s="90" t="n"/>
      <c r="F1803" s="16" t="n"/>
      <c r="G1803" s="16" t="n"/>
      <c r="H1803" s="63" t="n"/>
      <c r="I1803" s="64" t="n"/>
      <c r="J1803" s="16" t="n"/>
      <c r="K1803" s="16" t="n"/>
      <c r="M1803" s="89" t="n"/>
      <c r="N1803" s="1" t="n"/>
      <c r="O1803" s="1" t="n"/>
      <c r="P1803" s="1" t="n"/>
      <c r="Q1803" s="1" t="n"/>
      <c r="R1803" s="1" t="n"/>
    </row>
    <row r="1804">
      <c r="A1804" s="61" t="n"/>
      <c r="B1804" s="16" t="n"/>
      <c r="C1804" s="90" t="n"/>
      <c r="D1804" s="90" t="n"/>
      <c r="E1804" s="90" t="n"/>
      <c r="F1804" s="16" t="n"/>
      <c r="G1804" s="16" t="n"/>
      <c r="H1804" s="63" t="n"/>
      <c r="I1804" s="64" t="n"/>
      <c r="J1804" s="16" t="n"/>
      <c r="K1804" s="16" t="n"/>
      <c r="M1804" s="89" t="n"/>
      <c r="N1804" s="1" t="n"/>
      <c r="O1804" s="1" t="n"/>
      <c r="P1804" s="1" t="n"/>
      <c r="Q1804" s="1" t="n"/>
      <c r="R1804" s="1" t="n"/>
    </row>
    <row r="1805">
      <c r="A1805" s="61" t="n"/>
      <c r="B1805" s="16" t="n"/>
      <c r="C1805" s="90" t="n"/>
      <c r="D1805" s="90" t="n"/>
      <c r="E1805" s="90" t="n"/>
      <c r="F1805" s="16" t="n"/>
      <c r="G1805" s="16" t="n"/>
      <c r="H1805" s="63" t="n"/>
      <c r="I1805" s="64" t="n"/>
      <c r="J1805" s="16" t="n"/>
      <c r="K1805" s="16" t="n"/>
      <c r="M1805" s="89" t="n"/>
      <c r="N1805" s="1" t="n"/>
      <c r="O1805" s="1" t="n"/>
      <c r="P1805" s="1" t="n"/>
      <c r="Q1805" s="1" t="n"/>
      <c r="R1805" s="1" t="n"/>
    </row>
    <row r="1806">
      <c r="A1806" s="61" t="n"/>
      <c r="B1806" s="16" t="n"/>
      <c r="C1806" s="90" t="n"/>
      <c r="D1806" s="90" t="n"/>
      <c r="E1806" s="90" t="n"/>
      <c r="F1806" s="16" t="n"/>
      <c r="G1806" s="16" t="n"/>
      <c r="H1806" s="63" t="n"/>
      <c r="I1806" s="64" t="n"/>
      <c r="J1806" s="16" t="n"/>
      <c r="K1806" s="16" t="n"/>
      <c r="M1806" s="89" t="n"/>
      <c r="N1806" s="1" t="n"/>
      <c r="O1806" s="1" t="n"/>
      <c r="P1806" s="1" t="n"/>
      <c r="Q1806" s="1" t="n"/>
      <c r="R1806" s="1" t="n"/>
    </row>
    <row r="1807">
      <c r="A1807" s="61" t="n"/>
      <c r="B1807" s="16" t="n"/>
      <c r="C1807" s="90" t="n"/>
      <c r="D1807" s="90" t="n"/>
      <c r="E1807" s="90" t="n"/>
      <c r="F1807" s="16" t="n"/>
      <c r="G1807" s="16" t="n"/>
      <c r="H1807" s="63" t="n"/>
      <c r="I1807" s="64" t="n"/>
      <c r="J1807" s="16" t="n"/>
      <c r="K1807" s="16" t="n"/>
      <c r="M1807" s="89" t="n"/>
      <c r="N1807" s="1" t="n"/>
      <c r="O1807" s="1" t="n"/>
      <c r="P1807" s="1" t="n"/>
      <c r="Q1807" s="1" t="n"/>
      <c r="R1807" s="1" t="n"/>
    </row>
    <row r="1808">
      <c r="A1808" s="61" t="n"/>
      <c r="B1808" s="16" t="n"/>
      <c r="C1808" s="90" t="n"/>
      <c r="D1808" s="90" t="n"/>
      <c r="E1808" s="90" t="n"/>
      <c r="F1808" s="16" t="n"/>
      <c r="G1808" s="16" t="n"/>
      <c r="H1808" s="63" t="n"/>
      <c r="I1808" s="64" t="n"/>
      <c r="J1808" s="16" t="n"/>
      <c r="K1808" s="16" t="n"/>
      <c r="M1808" s="89" t="n"/>
      <c r="N1808" s="1" t="n"/>
      <c r="O1808" s="1" t="n"/>
      <c r="P1808" s="1" t="n"/>
      <c r="Q1808" s="1" t="n"/>
      <c r="R1808" s="1" t="n"/>
    </row>
    <row r="1809">
      <c r="A1809" s="61" t="n"/>
      <c r="B1809" s="16" t="n"/>
      <c r="C1809" s="90" t="n"/>
      <c r="D1809" s="90" t="n"/>
      <c r="E1809" s="90" t="n"/>
      <c r="F1809" s="16" t="n"/>
      <c r="G1809" s="16" t="n"/>
      <c r="H1809" s="63" t="n"/>
      <c r="I1809" s="64" t="n"/>
      <c r="J1809" s="16" t="n"/>
      <c r="K1809" s="16" t="n"/>
      <c r="M1809" s="89" t="n"/>
      <c r="N1809" s="1" t="n"/>
      <c r="O1809" s="1" t="n"/>
      <c r="P1809" s="1" t="n"/>
      <c r="Q1809" s="1" t="n"/>
      <c r="R1809" s="1" t="n"/>
    </row>
    <row r="1810">
      <c r="A1810" s="61" t="n"/>
      <c r="B1810" s="16" t="n"/>
      <c r="C1810" s="90" t="n"/>
      <c r="D1810" s="90" t="n"/>
      <c r="E1810" s="90" t="n"/>
      <c r="F1810" s="16" t="n"/>
      <c r="G1810" s="16" t="n"/>
      <c r="H1810" s="63" t="n"/>
      <c r="I1810" s="64" t="n"/>
      <c r="J1810" s="16" t="n"/>
      <c r="K1810" s="16" t="n"/>
      <c r="M1810" s="89" t="n"/>
      <c r="N1810" s="1" t="n"/>
      <c r="O1810" s="1" t="n"/>
      <c r="P1810" s="1" t="n"/>
      <c r="Q1810" s="1" t="n"/>
      <c r="R1810" s="1" t="n"/>
    </row>
    <row r="1811">
      <c r="A1811" s="61" t="n"/>
      <c r="B1811" s="16" t="n"/>
      <c r="C1811" s="90" t="n"/>
      <c r="D1811" s="90" t="n"/>
      <c r="E1811" s="90" t="n"/>
      <c r="F1811" s="16" t="n"/>
      <c r="G1811" s="16" t="n"/>
      <c r="H1811" s="63" t="n"/>
      <c r="I1811" s="64" t="n"/>
      <c r="J1811" s="16" t="n"/>
      <c r="K1811" s="16" t="n"/>
      <c r="M1811" s="89" t="n"/>
      <c r="N1811" s="1" t="n"/>
      <c r="O1811" s="1" t="n"/>
      <c r="P1811" s="1" t="n"/>
      <c r="Q1811" s="1" t="n"/>
      <c r="R1811" s="1" t="n"/>
    </row>
    <row r="1812">
      <c r="A1812" s="61" t="n"/>
      <c r="B1812" s="16" t="n"/>
      <c r="C1812" s="90" t="n"/>
      <c r="D1812" s="90" t="n"/>
      <c r="E1812" s="90" t="n"/>
      <c r="F1812" s="16" t="n"/>
      <c r="G1812" s="16" t="n"/>
      <c r="H1812" s="63" t="n"/>
      <c r="I1812" s="64" t="n"/>
      <c r="J1812" s="16" t="n"/>
      <c r="K1812" s="16" t="n"/>
      <c r="M1812" s="89" t="n"/>
      <c r="N1812" s="1" t="n"/>
      <c r="O1812" s="1" t="n"/>
      <c r="P1812" s="1" t="n"/>
      <c r="Q1812" s="1" t="n"/>
      <c r="R1812" s="1" t="n"/>
    </row>
    <row r="1813">
      <c r="A1813" s="61" t="n"/>
      <c r="B1813" s="16" t="n"/>
      <c r="C1813" s="90" t="n"/>
      <c r="D1813" s="90" t="n"/>
      <c r="E1813" s="90" t="n"/>
      <c r="F1813" s="16" t="n"/>
      <c r="G1813" s="16" t="n"/>
      <c r="H1813" s="63" t="n"/>
      <c r="I1813" s="64" t="n"/>
      <c r="J1813" s="16" t="n"/>
      <c r="K1813" s="16" t="n"/>
      <c r="M1813" s="89" t="n"/>
      <c r="N1813" s="1" t="n"/>
      <c r="O1813" s="1" t="n"/>
      <c r="P1813" s="1" t="n"/>
      <c r="Q1813" s="1" t="n"/>
      <c r="R1813" s="1" t="n"/>
    </row>
    <row r="1814">
      <c r="A1814" s="61" t="n"/>
      <c r="B1814" s="16" t="n"/>
      <c r="C1814" s="90" t="n"/>
      <c r="D1814" s="90" t="n"/>
      <c r="E1814" s="90" t="n"/>
      <c r="F1814" s="16" t="n"/>
      <c r="G1814" s="16" t="n"/>
      <c r="H1814" s="63" t="n"/>
      <c r="I1814" s="64" t="n"/>
      <c r="J1814" s="16" t="n"/>
      <c r="K1814" s="16" t="n"/>
      <c r="M1814" s="89" t="n"/>
      <c r="N1814" s="1" t="n"/>
      <c r="O1814" s="1" t="n"/>
      <c r="P1814" s="1" t="n"/>
      <c r="Q1814" s="1" t="n"/>
      <c r="R1814" s="1" t="n"/>
    </row>
    <row r="1815">
      <c r="A1815" s="61" t="n"/>
      <c r="B1815" s="16" t="n"/>
      <c r="C1815" s="90" t="n"/>
      <c r="D1815" s="90" t="n"/>
      <c r="E1815" s="90" t="n"/>
      <c r="F1815" s="16" t="n"/>
      <c r="G1815" s="16" t="n"/>
      <c r="H1815" s="63" t="n"/>
      <c r="I1815" s="64" t="n"/>
      <c r="J1815" s="16" t="n"/>
      <c r="K1815" s="16" t="n"/>
      <c r="M1815" s="89" t="n"/>
      <c r="N1815" s="1" t="n"/>
      <c r="O1815" s="1" t="n"/>
      <c r="P1815" s="1" t="n"/>
      <c r="Q1815" s="1" t="n"/>
      <c r="R1815" s="1" t="n"/>
    </row>
    <row r="1816">
      <c r="A1816" s="61" t="n"/>
      <c r="B1816" s="16" t="n"/>
      <c r="C1816" s="90" t="n"/>
      <c r="D1816" s="90" t="n"/>
      <c r="E1816" s="90" t="n"/>
      <c r="F1816" s="16" t="n"/>
      <c r="G1816" s="16" t="n"/>
      <c r="H1816" s="63" t="n"/>
      <c r="I1816" s="64" t="n"/>
      <c r="J1816" s="16" t="n"/>
      <c r="K1816" s="16" t="n"/>
      <c r="M1816" s="89" t="n"/>
      <c r="N1816" s="1" t="n"/>
      <c r="O1816" s="1" t="n"/>
      <c r="P1816" s="1" t="n"/>
      <c r="Q1816" s="1" t="n"/>
      <c r="R1816" s="1" t="n"/>
    </row>
    <row r="1817">
      <c r="A1817" s="61" t="n"/>
      <c r="B1817" s="16" t="n"/>
      <c r="C1817" s="90" t="n"/>
      <c r="D1817" s="90" t="n"/>
      <c r="E1817" s="90" t="n"/>
      <c r="F1817" s="16" t="n"/>
      <c r="G1817" s="16" t="n"/>
      <c r="H1817" s="63" t="n"/>
      <c r="I1817" s="64" t="n"/>
      <c r="J1817" s="16" t="n"/>
      <c r="K1817" s="16" t="n"/>
      <c r="M1817" s="89" t="n"/>
      <c r="N1817" s="1" t="n"/>
      <c r="O1817" s="1" t="n"/>
      <c r="P1817" s="1" t="n"/>
      <c r="Q1817" s="1" t="n"/>
      <c r="R1817" s="1" t="n"/>
    </row>
    <row r="1818">
      <c r="A1818" s="61" t="n"/>
      <c r="B1818" s="16" t="n"/>
      <c r="C1818" s="90" t="n"/>
      <c r="D1818" s="90" t="n"/>
      <c r="E1818" s="90" t="n"/>
      <c r="F1818" s="16" t="n"/>
      <c r="G1818" s="16" t="n"/>
      <c r="H1818" s="63" t="n"/>
      <c r="I1818" s="64" t="n"/>
      <c r="J1818" s="16" t="n"/>
      <c r="K1818" s="16" t="n"/>
      <c r="M1818" s="89" t="n"/>
      <c r="N1818" s="1" t="n"/>
      <c r="O1818" s="1" t="n"/>
      <c r="P1818" s="1" t="n"/>
      <c r="Q1818" s="1" t="n"/>
      <c r="R1818" s="1" t="n"/>
    </row>
    <row r="1819">
      <c r="A1819" s="61" t="n"/>
      <c r="B1819" s="16" t="n"/>
      <c r="C1819" s="90" t="n"/>
      <c r="D1819" s="90" t="n"/>
      <c r="E1819" s="90" t="n"/>
      <c r="F1819" s="16" t="n"/>
      <c r="G1819" s="16" t="n"/>
      <c r="H1819" s="63" t="n"/>
      <c r="I1819" s="64" t="n"/>
      <c r="J1819" s="16" t="n"/>
      <c r="K1819" s="16" t="n"/>
      <c r="M1819" s="89" t="n"/>
      <c r="N1819" s="1" t="n"/>
      <c r="O1819" s="1" t="n"/>
      <c r="P1819" s="1" t="n"/>
      <c r="Q1819" s="1" t="n"/>
      <c r="R1819" s="1" t="n"/>
    </row>
    <row r="1820">
      <c r="A1820" s="61" t="n"/>
      <c r="B1820" s="16" t="n"/>
      <c r="C1820" s="90" t="n"/>
      <c r="D1820" s="90" t="n"/>
      <c r="E1820" s="90" t="n"/>
      <c r="F1820" s="16" t="n"/>
      <c r="G1820" s="16" t="n"/>
      <c r="H1820" s="63" t="n"/>
      <c r="I1820" s="64" t="n"/>
      <c r="J1820" s="16" t="n"/>
      <c r="K1820" s="16" t="n"/>
      <c r="M1820" s="89" t="n"/>
      <c r="N1820" s="1" t="n"/>
      <c r="O1820" s="1" t="n"/>
      <c r="P1820" s="1" t="n"/>
      <c r="Q1820" s="1" t="n"/>
      <c r="R1820" s="1" t="n"/>
    </row>
    <row r="1821">
      <c r="A1821" s="61" t="n"/>
      <c r="B1821" s="16" t="n"/>
      <c r="C1821" s="90" t="n"/>
      <c r="D1821" s="90" t="n"/>
      <c r="E1821" s="90" t="n"/>
      <c r="F1821" s="16" t="n"/>
      <c r="G1821" s="16" t="n"/>
      <c r="H1821" s="63" t="n"/>
      <c r="I1821" s="64" t="n"/>
      <c r="J1821" s="16" t="n"/>
      <c r="K1821" s="16" t="n"/>
      <c r="M1821" s="89" t="n"/>
      <c r="N1821" s="1" t="n"/>
      <c r="O1821" s="1" t="n"/>
      <c r="P1821" s="1" t="n"/>
      <c r="Q1821" s="1" t="n"/>
      <c r="R1821" s="1" t="n"/>
    </row>
    <row r="1822">
      <c r="A1822" s="61" t="n"/>
      <c r="B1822" s="16" t="n"/>
      <c r="C1822" s="90" t="n"/>
      <c r="D1822" s="90" t="n"/>
      <c r="E1822" s="90" t="n"/>
      <c r="F1822" s="16" t="n"/>
      <c r="G1822" s="16" t="n"/>
      <c r="H1822" s="63" t="n"/>
      <c r="I1822" s="64" t="n"/>
      <c r="J1822" s="16" t="n"/>
      <c r="K1822" s="16" t="n"/>
      <c r="M1822" s="89" t="n"/>
      <c r="N1822" s="1" t="n"/>
      <c r="O1822" s="1" t="n"/>
      <c r="P1822" s="1" t="n"/>
      <c r="Q1822" s="1" t="n"/>
      <c r="R1822" s="1" t="n"/>
    </row>
    <row r="1823">
      <c r="A1823" s="61" t="n"/>
      <c r="B1823" s="16" t="n"/>
      <c r="C1823" s="90" t="n"/>
      <c r="D1823" s="90" t="n"/>
      <c r="E1823" s="90" t="n"/>
      <c r="F1823" s="16" t="n"/>
      <c r="G1823" s="16" t="n"/>
      <c r="H1823" s="63" t="n"/>
      <c r="I1823" s="64" t="n"/>
      <c r="J1823" s="16" t="n"/>
      <c r="K1823" s="16" t="n"/>
      <c r="M1823" s="89" t="n"/>
      <c r="N1823" s="1" t="n"/>
      <c r="O1823" s="1" t="n"/>
      <c r="P1823" s="1" t="n"/>
      <c r="Q1823" s="1" t="n"/>
      <c r="R1823" s="1" t="n"/>
    </row>
    <row r="1824">
      <c r="A1824" s="61" t="n"/>
      <c r="B1824" s="16" t="n"/>
      <c r="C1824" s="90" t="n"/>
      <c r="D1824" s="90" t="n"/>
      <c r="E1824" s="90" t="n"/>
      <c r="F1824" s="16" t="n"/>
      <c r="G1824" s="16" t="n"/>
      <c r="H1824" s="63" t="n"/>
      <c r="I1824" s="64" t="n"/>
      <c r="J1824" s="16" t="n"/>
      <c r="K1824" s="16" t="n"/>
      <c r="M1824" s="89" t="n"/>
      <c r="N1824" s="1" t="n"/>
      <c r="O1824" s="1" t="n"/>
      <c r="P1824" s="1" t="n"/>
      <c r="Q1824" s="1" t="n"/>
      <c r="R1824" s="1" t="n"/>
    </row>
    <row r="1825">
      <c r="A1825" s="61" t="n"/>
      <c r="B1825" s="16" t="n"/>
      <c r="C1825" s="90" t="n"/>
      <c r="D1825" s="90" t="n"/>
      <c r="E1825" s="90" t="n"/>
      <c r="F1825" s="16" t="n"/>
      <c r="G1825" s="16" t="n"/>
      <c r="H1825" s="63" t="n"/>
      <c r="I1825" s="64" t="n"/>
      <c r="J1825" s="16" t="n"/>
      <c r="K1825" s="16" t="n"/>
      <c r="M1825" s="89" t="n"/>
      <c r="N1825" s="1" t="n"/>
      <c r="O1825" s="1" t="n"/>
      <c r="P1825" s="1" t="n"/>
      <c r="Q1825" s="1" t="n"/>
      <c r="R1825" s="1" t="n"/>
    </row>
    <row r="1826">
      <c r="A1826" s="61" t="n"/>
      <c r="B1826" s="16" t="n"/>
      <c r="C1826" s="90" t="n"/>
      <c r="D1826" s="90" t="n"/>
      <c r="E1826" s="90" t="n"/>
      <c r="F1826" s="16" t="n"/>
      <c r="G1826" s="16" t="n"/>
      <c r="H1826" s="63" t="n"/>
      <c r="I1826" s="64" t="n"/>
      <c r="J1826" s="16" t="n"/>
      <c r="K1826" s="16" t="n"/>
      <c r="M1826" s="89" t="n"/>
      <c r="N1826" s="1" t="n"/>
      <c r="O1826" s="1" t="n"/>
      <c r="P1826" s="1" t="n"/>
      <c r="Q1826" s="1" t="n"/>
      <c r="R1826" s="1" t="n"/>
    </row>
    <row r="1827">
      <c r="A1827" s="61" t="n"/>
      <c r="B1827" s="16" t="n"/>
      <c r="C1827" s="90" t="n"/>
      <c r="D1827" s="90" t="n"/>
      <c r="E1827" s="90" t="n"/>
      <c r="F1827" s="16" t="n"/>
      <c r="G1827" s="16" t="n"/>
      <c r="H1827" s="63" t="n"/>
      <c r="I1827" s="64" t="n"/>
      <c r="J1827" s="16" t="n"/>
      <c r="K1827" s="16" t="n"/>
      <c r="M1827" s="89" t="n"/>
      <c r="N1827" s="1" t="n"/>
      <c r="O1827" s="1" t="n"/>
      <c r="P1827" s="1" t="n"/>
      <c r="Q1827" s="1" t="n"/>
      <c r="R1827" s="1" t="n"/>
    </row>
    <row r="1828">
      <c r="A1828" s="61" t="n"/>
      <c r="B1828" s="16" t="n"/>
      <c r="C1828" s="90" t="n"/>
      <c r="D1828" s="90" t="n"/>
      <c r="E1828" s="90" t="n"/>
      <c r="F1828" s="16" t="n"/>
      <c r="G1828" s="16" t="n"/>
      <c r="H1828" s="63" t="n"/>
      <c r="I1828" s="64" t="n"/>
      <c r="J1828" s="16" t="n"/>
      <c r="K1828" s="16" t="n"/>
      <c r="M1828" s="89" t="n"/>
      <c r="N1828" s="1" t="n"/>
      <c r="O1828" s="1" t="n"/>
      <c r="P1828" s="1" t="n"/>
      <c r="Q1828" s="1" t="n"/>
      <c r="R1828" s="1" t="n"/>
    </row>
    <row r="1829">
      <c r="A1829" s="61" t="n"/>
      <c r="B1829" s="16" t="n"/>
      <c r="C1829" s="90" t="n"/>
      <c r="D1829" s="90" t="n"/>
      <c r="E1829" s="90" t="n"/>
      <c r="F1829" s="16" t="n"/>
      <c r="G1829" s="16" t="n"/>
      <c r="H1829" s="63" t="n"/>
      <c r="I1829" s="64" t="n"/>
      <c r="J1829" s="16" t="n"/>
      <c r="K1829" s="16" t="n"/>
      <c r="M1829" s="89" t="n"/>
      <c r="N1829" s="1" t="n"/>
      <c r="O1829" s="1" t="n"/>
      <c r="P1829" s="1" t="n"/>
      <c r="Q1829" s="1" t="n"/>
      <c r="R1829" s="1" t="n"/>
    </row>
    <row r="1830">
      <c r="A1830" s="61" t="n"/>
      <c r="B1830" s="16" t="n"/>
      <c r="C1830" s="90" t="n"/>
      <c r="D1830" s="90" t="n"/>
      <c r="E1830" s="90" t="n"/>
      <c r="F1830" s="16" t="n"/>
      <c r="G1830" s="16" t="n"/>
      <c r="H1830" s="63" t="n"/>
      <c r="I1830" s="64" t="n"/>
      <c r="J1830" s="16" t="n"/>
      <c r="K1830" s="16" t="n"/>
      <c r="M1830" s="89" t="n"/>
      <c r="N1830" s="1" t="n"/>
      <c r="O1830" s="1" t="n"/>
      <c r="P1830" s="1" t="n"/>
      <c r="Q1830" s="1" t="n"/>
      <c r="R1830" s="1" t="n"/>
    </row>
    <row r="1831">
      <c r="A1831" s="61" t="n"/>
      <c r="B1831" s="16" t="n"/>
      <c r="C1831" s="90" t="n"/>
      <c r="D1831" s="90" t="n"/>
      <c r="E1831" s="90" t="n"/>
      <c r="F1831" s="16" t="n"/>
      <c r="G1831" s="16" t="n"/>
      <c r="H1831" s="63" t="n"/>
      <c r="I1831" s="64" t="n"/>
      <c r="J1831" s="16" t="n"/>
      <c r="K1831" s="16" t="n"/>
      <c r="M1831" s="89" t="n"/>
      <c r="N1831" s="1" t="n"/>
      <c r="O1831" s="1" t="n"/>
      <c r="P1831" s="1" t="n"/>
      <c r="Q1831" s="1" t="n"/>
      <c r="R1831" s="1" t="n"/>
    </row>
    <row r="1832">
      <c r="A1832" s="61" t="n"/>
      <c r="B1832" s="16" t="n"/>
      <c r="C1832" s="90" t="n"/>
      <c r="D1832" s="90" t="n"/>
      <c r="E1832" s="90" t="n"/>
      <c r="F1832" s="16" t="n"/>
      <c r="G1832" s="16" t="n"/>
      <c r="H1832" s="63" t="n"/>
      <c r="I1832" s="64" t="n"/>
      <c r="J1832" s="16" t="n"/>
      <c r="K1832" s="16" t="n"/>
      <c r="M1832" s="89" t="n"/>
      <c r="N1832" s="1" t="n"/>
      <c r="O1832" s="1" t="n"/>
      <c r="P1832" s="1" t="n"/>
      <c r="Q1832" s="1" t="n"/>
      <c r="R1832" s="1" t="n"/>
    </row>
    <row r="1833">
      <c r="A1833" s="61" t="n"/>
      <c r="B1833" s="16" t="n"/>
      <c r="C1833" s="90" t="n"/>
      <c r="D1833" s="90" t="n"/>
      <c r="E1833" s="90" t="n"/>
      <c r="F1833" s="16" t="n"/>
      <c r="G1833" s="16" t="n"/>
      <c r="H1833" s="63" t="n"/>
      <c r="I1833" s="64" t="n"/>
      <c r="J1833" s="16" t="n"/>
      <c r="K1833" s="16" t="n"/>
      <c r="M1833" s="89" t="n"/>
      <c r="N1833" s="1" t="n"/>
      <c r="O1833" s="1" t="n"/>
      <c r="P1833" s="1" t="n"/>
      <c r="Q1833" s="1" t="n"/>
      <c r="R1833" s="1" t="n"/>
    </row>
    <row r="1834">
      <c r="A1834" s="61" t="n"/>
      <c r="B1834" s="16" t="n"/>
      <c r="C1834" s="90" t="n"/>
      <c r="D1834" s="90" t="n"/>
      <c r="E1834" s="90" t="n"/>
      <c r="F1834" s="16" t="n"/>
      <c r="G1834" s="16" t="n"/>
      <c r="H1834" s="63" t="n"/>
      <c r="I1834" s="64" t="n"/>
      <c r="J1834" s="16" t="n"/>
      <c r="K1834" s="16" t="n"/>
      <c r="M1834" s="89" t="n"/>
      <c r="N1834" s="1" t="n"/>
      <c r="O1834" s="1" t="n"/>
      <c r="P1834" s="1" t="n"/>
      <c r="Q1834" s="1" t="n"/>
      <c r="R1834" s="1" t="n"/>
    </row>
    <row r="1835">
      <c r="A1835" s="61" t="n"/>
      <c r="B1835" s="16" t="n"/>
      <c r="C1835" s="90" t="n"/>
      <c r="D1835" s="90" t="n"/>
      <c r="E1835" s="90" t="n"/>
      <c r="F1835" s="16" t="n"/>
      <c r="G1835" s="16" t="n"/>
      <c r="H1835" s="63" t="n"/>
      <c r="I1835" s="64" t="n"/>
      <c r="J1835" s="16" t="n"/>
      <c r="K1835" s="16" t="n"/>
      <c r="M1835" s="89" t="n"/>
      <c r="N1835" s="1" t="n"/>
      <c r="O1835" s="1" t="n"/>
      <c r="P1835" s="1" t="n"/>
      <c r="Q1835" s="1" t="n"/>
      <c r="R1835" s="1" t="n"/>
    </row>
    <row r="1836">
      <c r="A1836" s="61" t="n"/>
      <c r="B1836" s="16" t="n"/>
      <c r="C1836" s="90" t="n"/>
      <c r="D1836" s="90" t="n"/>
      <c r="E1836" s="90" t="n"/>
      <c r="F1836" s="16" t="n"/>
      <c r="G1836" s="16" t="n"/>
      <c r="H1836" s="63" t="n"/>
      <c r="I1836" s="64" t="n"/>
      <c r="J1836" s="16" t="n"/>
      <c r="K1836" s="16" t="n"/>
      <c r="M1836" s="89" t="n"/>
      <c r="N1836" s="1" t="n"/>
      <c r="O1836" s="1" t="n"/>
      <c r="P1836" s="1" t="n"/>
      <c r="Q1836" s="1" t="n"/>
      <c r="R1836" s="1" t="n"/>
    </row>
    <row r="1837">
      <c r="A1837" s="61" t="n"/>
      <c r="B1837" s="16" t="n"/>
      <c r="C1837" s="90" t="n"/>
      <c r="D1837" s="90" t="n"/>
      <c r="E1837" s="90" t="n"/>
      <c r="F1837" s="16" t="n"/>
      <c r="G1837" s="16" t="n"/>
      <c r="H1837" s="63" t="n"/>
      <c r="I1837" s="64" t="n"/>
      <c r="J1837" s="16" t="n"/>
      <c r="K1837" s="16" t="n"/>
      <c r="M1837" s="89" t="n"/>
      <c r="N1837" s="1" t="n"/>
      <c r="O1837" s="1" t="n"/>
      <c r="P1837" s="1" t="n"/>
      <c r="Q1837" s="1" t="n"/>
      <c r="R1837" s="1" t="n"/>
    </row>
    <row r="1838">
      <c r="A1838" s="61" t="n"/>
      <c r="B1838" s="16" t="n"/>
      <c r="C1838" s="90" t="n"/>
      <c r="D1838" s="90" t="n"/>
      <c r="E1838" s="90" t="n"/>
      <c r="F1838" s="16" t="n"/>
      <c r="G1838" s="16" t="n"/>
      <c r="H1838" s="63" t="n"/>
      <c r="I1838" s="64" t="n"/>
      <c r="J1838" s="16" t="n"/>
      <c r="K1838" s="16" t="n"/>
      <c r="M1838" s="89" t="n"/>
      <c r="N1838" s="1" t="n"/>
      <c r="O1838" s="1" t="n"/>
      <c r="P1838" s="1" t="n"/>
      <c r="Q1838" s="1" t="n"/>
      <c r="R1838" s="1" t="n"/>
    </row>
    <row r="1839">
      <c r="A1839" s="61" t="n"/>
      <c r="B1839" s="16" t="n"/>
      <c r="C1839" s="90" t="n"/>
      <c r="D1839" s="90" t="n"/>
      <c r="E1839" s="90" t="n"/>
      <c r="F1839" s="16" t="n"/>
      <c r="G1839" s="16" t="n"/>
      <c r="H1839" s="63" t="n"/>
      <c r="I1839" s="64" t="n"/>
      <c r="J1839" s="16" t="n"/>
      <c r="K1839" s="16" t="n"/>
      <c r="M1839" s="89" t="n"/>
      <c r="N1839" s="1" t="n"/>
      <c r="O1839" s="1" t="n"/>
      <c r="P1839" s="1" t="n"/>
      <c r="Q1839" s="1" t="n"/>
      <c r="R1839" s="1" t="n"/>
    </row>
    <row r="1840">
      <c r="A1840" s="61" t="n"/>
      <c r="B1840" s="16" t="n"/>
      <c r="C1840" s="90" t="n"/>
      <c r="D1840" s="90" t="n"/>
      <c r="E1840" s="90" t="n"/>
      <c r="F1840" s="16" t="n"/>
      <c r="G1840" s="16" t="n"/>
      <c r="H1840" s="63" t="n"/>
      <c r="I1840" s="64" t="n"/>
      <c r="J1840" s="16" t="n"/>
      <c r="K1840" s="16" t="n"/>
      <c r="M1840" s="89" t="n"/>
      <c r="N1840" s="1" t="n"/>
      <c r="O1840" s="1" t="n"/>
      <c r="P1840" s="1" t="n"/>
      <c r="Q1840" s="1" t="n"/>
      <c r="R1840" s="1" t="n"/>
    </row>
    <row r="1841">
      <c r="A1841" s="61" t="n"/>
      <c r="B1841" s="16" t="n"/>
      <c r="C1841" s="90" t="n"/>
      <c r="D1841" s="90" t="n"/>
      <c r="E1841" s="90" t="n"/>
      <c r="F1841" s="16" t="n"/>
      <c r="G1841" s="16" t="n"/>
      <c r="H1841" s="63" t="n"/>
      <c r="I1841" s="64" t="n"/>
      <c r="J1841" s="16" t="n"/>
      <c r="K1841" s="16" t="n"/>
      <c r="M1841" s="89" t="n"/>
      <c r="N1841" s="1" t="n"/>
      <c r="O1841" s="1" t="n"/>
      <c r="P1841" s="1" t="n"/>
      <c r="Q1841" s="1" t="n"/>
      <c r="R1841" s="1" t="n"/>
    </row>
    <row r="1842">
      <c r="A1842" s="61" t="n"/>
      <c r="B1842" s="16" t="n"/>
      <c r="C1842" s="90" t="n"/>
      <c r="D1842" s="90" t="n"/>
      <c r="E1842" s="90" t="n"/>
      <c r="F1842" s="16" t="n"/>
      <c r="G1842" s="16" t="n"/>
      <c r="H1842" s="63" t="n"/>
      <c r="I1842" s="64" t="n"/>
      <c r="J1842" s="16" t="n"/>
      <c r="K1842" s="16" t="n"/>
      <c r="M1842" s="89" t="n"/>
      <c r="N1842" s="1" t="n"/>
      <c r="O1842" s="1" t="n"/>
      <c r="P1842" s="1" t="n"/>
      <c r="Q1842" s="1" t="n"/>
      <c r="R1842" s="1" t="n"/>
    </row>
    <row r="1843">
      <c r="A1843" s="61" t="n"/>
      <c r="B1843" s="16" t="n"/>
      <c r="C1843" s="90" t="n"/>
      <c r="D1843" s="90" t="n"/>
      <c r="E1843" s="90" t="n"/>
      <c r="F1843" s="16" t="n"/>
      <c r="G1843" s="16" t="n"/>
      <c r="H1843" s="63" t="n"/>
      <c r="I1843" s="64" t="n"/>
      <c r="J1843" s="16" t="n"/>
      <c r="K1843" s="16" t="n"/>
      <c r="M1843" s="89" t="n"/>
      <c r="N1843" s="1" t="n"/>
      <c r="O1843" s="1" t="n"/>
      <c r="P1843" s="1" t="n"/>
      <c r="Q1843" s="1" t="n"/>
      <c r="R1843" s="1" t="n"/>
    </row>
    <row r="1844">
      <c r="A1844" s="61" t="n"/>
      <c r="B1844" s="16" t="n"/>
      <c r="C1844" s="90" t="n"/>
      <c r="D1844" s="90" t="n"/>
      <c r="E1844" s="90" t="n"/>
      <c r="F1844" s="16" t="n"/>
      <c r="G1844" s="16" t="n"/>
      <c r="H1844" s="63" t="n"/>
      <c r="I1844" s="64" t="n"/>
      <c r="J1844" s="16" t="n"/>
      <c r="K1844" s="16" t="n"/>
      <c r="M1844" s="89" t="n"/>
      <c r="N1844" s="1" t="n"/>
      <c r="O1844" s="1" t="n"/>
      <c r="P1844" s="1" t="n"/>
      <c r="Q1844" s="1" t="n"/>
      <c r="R1844" s="1" t="n"/>
    </row>
    <row r="1845">
      <c r="A1845" s="61" t="n"/>
      <c r="B1845" s="16" t="n"/>
      <c r="C1845" s="90" t="n"/>
      <c r="D1845" s="90" t="n"/>
      <c r="E1845" s="90" t="n"/>
      <c r="F1845" s="16" t="n"/>
      <c r="G1845" s="16" t="n"/>
      <c r="H1845" s="63" t="n"/>
      <c r="I1845" s="64" t="n"/>
      <c r="J1845" s="16" t="n"/>
      <c r="K1845" s="16" t="n"/>
      <c r="M1845" s="89" t="n"/>
      <c r="N1845" s="1" t="n"/>
      <c r="O1845" s="1" t="n"/>
      <c r="P1845" s="1" t="n"/>
      <c r="Q1845" s="1" t="n"/>
      <c r="R1845" s="1" t="n"/>
    </row>
    <row r="1846">
      <c r="A1846" s="61" t="n"/>
      <c r="B1846" s="16" t="n"/>
      <c r="C1846" s="90" t="n"/>
      <c r="D1846" s="90" t="n"/>
      <c r="E1846" s="90" t="n"/>
      <c r="F1846" s="16" t="n"/>
      <c r="G1846" s="16" t="n"/>
      <c r="H1846" s="63" t="n"/>
      <c r="I1846" s="64" t="n"/>
      <c r="J1846" s="16" t="n"/>
      <c r="K1846" s="16" t="n"/>
      <c r="M1846" s="89" t="n"/>
      <c r="N1846" s="1" t="n"/>
      <c r="O1846" s="1" t="n"/>
      <c r="P1846" s="1" t="n"/>
      <c r="Q1846" s="1" t="n"/>
      <c r="R1846" s="1" t="n"/>
    </row>
    <row r="1847">
      <c r="A1847" s="61" t="n"/>
      <c r="B1847" s="16" t="n"/>
      <c r="C1847" s="90" t="n"/>
      <c r="D1847" s="90" t="n"/>
      <c r="E1847" s="90" t="n"/>
      <c r="F1847" s="16" t="n"/>
      <c r="G1847" s="16" t="n"/>
      <c r="H1847" s="63" t="n"/>
      <c r="I1847" s="64" t="n"/>
      <c r="J1847" s="16" t="n"/>
      <c r="K1847" s="16" t="n"/>
      <c r="M1847" s="89" t="n"/>
      <c r="N1847" s="1" t="n"/>
      <c r="O1847" s="1" t="n"/>
      <c r="P1847" s="1" t="n"/>
      <c r="Q1847" s="1" t="n"/>
      <c r="R1847" s="1" t="n"/>
    </row>
    <row r="1848">
      <c r="A1848" s="61" t="n"/>
      <c r="B1848" s="16" t="n"/>
      <c r="C1848" s="90" t="n"/>
      <c r="D1848" s="90" t="n"/>
      <c r="E1848" s="90" t="n"/>
      <c r="F1848" s="16" t="n"/>
      <c r="G1848" s="16" t="n"/>
      <c r="H1848" s="63" t="n"/>
      <c r="I1848" s="64" t="n"/>
      <c r="J1848" s="16" t="n"/>
      <c r="K1848" s="16" t="n"/>
      <c r="M1848" s="89" t="n"/>
      <c r="N1848" s="1" t="n"/>
      <c r="O1848" s="1" t="n"/>
      <c r="P1848" s="1" t="n"/>
      <c r="Q1848" s="1" t="n"/>
      <c r="R1848" s="1" t="n"/>
    </row>
    <row r="1849">
      <c r="A1849" s="61" t="n"/>
      <c r="B1849" s="16" t="n"/>
      <c r="C1849" s="90" t="n"/>
      <c r="D1849" s="90" t="n"/>
      <c r="E1849" s="90" t="n"/>
      <c r="F1849" s="16" t="n"/>
      <c r="G1849" s="16" t="n"/>
      <c r="H1849" s="63" t="n"/>
      <c r="I1849" s="64" t="n"/>
      <c r="J1849" s="16" t="n"/>
      <c r="K1849" s="16" t="n"/>
      <c r="M1849" s="89" t="n"/>
      <c r="N1849" s="1" t="n"/>
      <c r="O1849" s="1" t="n"/>
      <c r="P1849" s="1" t="n"/>
      <c r="Q1849" s="1" t="n"/>
      <c r="R1849" s="1" t="n"/>
    </row>
    <row r="1850">
      <c r="A1850" s="61" t="n"/>
      <c r="B1850" s="16" t="n"/>
      <c r="C1850" s="90" t="n"/>
      <c r="D1850" s="90" t="n"/>
      <c r="E1850" s="90" t="n"/>
      <c r="F1850" s="16" t="n"/>
      <c r="G1850" s="16" t="n"/>
      <c r="H1850" s="63" t="n"/>
      <c r="I1850" s="64" t="n"/>
      <c r="J1850" s="16" t="n"/>
      <c r="K1850" s="16" t="n"/>
      <c r="M1850" s="89" t="n"/>
      <c r="N1850" s="1" t="n"/>
      <c r="O1850" s="1" t="n"/>
      <c r="P1850" s="1" t="n"/>
      <c r="Q1850" s="1" t="n"/>
      <c r="R1850" s="1" t="n"/>
    </row>
    <row r="1851">
      <c r="A1851" s="61" t="n"/>
      <c r="B1851" s="16" t="n"/>
      <c r="C1851" s="90" t="n"/>
      <c r="D1851" s="90" t="n"/>
      <c r="E1851" s="90" t="n"/>
      <c r="F1851" s="16" t="n"/>
      <c r="G1851" s="16" t="n"/>
      <c r="H1851" s="63" t="n"/>
      <c r="I1851" s="64" t="n"/>
      <c r="J1851" s="16" t="n"/>
      <c r="K1851" s="16" t="n"/>
      <c r="M1851" s="89" t="n"/>
      <c r="N1851" s="1" t="n"/>
      <c r="O1851" s="1" t="n"/>
      <c r="P1851" s="1" t="n"/>
      <c r="Q1851" s="1" t="n"/>
      <c r="R1851" s="1" t="n"/>
    </row>
    <row r="1852">
      <c r="A1852" s="61" t="n"/>
      <c r="B1852" s="16" t="n"/>
      <c r="C1852" s="90" t="n"/>
      <c r="D1852" s="90" t="n"/>
      <c r="E1852" s="90" t="n"/>
      <c r="F1852" s="16" t="n"/>
      <c r="G1852" s="16" t="n"/>
      <c r="H1852" s="63" t="n"/>
      <c r="I1852" s="64" t="n"/>
      <c r="J1852" s="16" t="n"/>
      <c r="K1852" s="16" t="n"/>
      <c r="M1852" s="89" t="n"/>
      <c r="N1852" s="1" t="n"/>
      <c r="O1852" s="1" t="n"/>
      <c r="P1852" s="1" t="n"/>
      <c r="Q1852" s="1" t="n"/>
      <c r="R1852" s="1" t="n"/>
    </row>
    <row r="1853">
      <c r="A1853" s="61" t="n"/>
      <c r="B1853" s="16" t="n"/>
      <c r="C1853" s="90" t="n"/>
      <c r="D1853" s="90" t="n"/>
      <c r="E1853" s="90" t="n"/>
      <c r="F1853" s="16" t="n"/>
      <c r="G1853" s="16" t="n"/>
      <c r="H1853" s="63" t="n"/>
      <c r="I1853" s="64" t="n"/>
      <c r="J1853" s="16" t="n"/>
      <c r="K1853" s="16" t="n"/>
      <c r="M1853" s="89" t="n"/>
      <c r="N1853" s="1" t="n"/>
      <c r="O1853" s="1" t="n"/>
      <c r="P1853" s="1" t="n"/>
      <c r="Q1853" s="1" t="n"/>
      <c r="R1853" s="1" t="n"/>
    </row>
    <row r="1854">
      <c r="A1854" s="61" t="n"/>
      <c r="B1854" s="16" t="n"/>
      <c r="C1854" s="90" t="n"/>
      <c r="D1854" s="90" t="n"/>
      <c r="E1854" s="90" t="n"/>
      <c r="F1854" s="16" t="n"/>
      <c r="G1854" s="16" t="n"/>
      <c r="H1854" s="63" t="n"/>
      <c r="I1854" s="64" t="n"/>
      <c r="J1854" s="16" t="n"/>
      <c r="K1854" s="16" t="n"/>
      <c r="M1854" s="89" t="n"/>
      <c r="N1854" s="1" t="n"/>
      <c r="O1854" s="1" t="n"/>
      <c r="P1854" s="1" t="n"/>
      <c r="Q1854" s="1" t="n"/>
      <c r="R1854" s="1" t="n"/>
    </row>
    <row r="1855">
      <c r="A1855" s="61" t="n"/>
      <c r="B1855" s="16" t="n"/>
      <c r="C1855" s="90" t="n"/>
      <c r="D1855" s="90" t="n"/>
      <c r="E1855" s="90" t="n"/>
      <c r="F1855" s="16" t="n"/>
      <c r="G1855" s="16" t="n"/>
      <c r="H1855" s="63" t="n"/>
      <c r="I1855" s="64" t="n"/>
      <c r="J1855" s="16" t="n"/>
      <c r="K1855" s="16" t="n"/>
      <c r="M1855" s="89" t="n"/>
      <c r="N1855" s="1" t="n"/>
      <c r="O1855" s="1" t="n"/>
      <c r="P1855" s="1" t="n"/>
      <c r="Q1855" s="1" t="n"/>
      <c r="R1855" s="1" t="n"/>
    </row>
    <row r="1856">
      <c r="A1856" s="61" t="n"/>
      <c r="B1856" s="16" t="n"/>
      <c r="C1856" s="90" t="n"/>
      <c r="D1856" s="90" t="n"/>
      <c r="E1856" s="90" t="n"/>
      <c r="F1856" s="16" t="n"/>
      <c r="G1856" s="16" t="n"/>
      <c r="H1856" s="63" t="n"/>
      <c r="I1856" s="64" t="n"/>
      <c r="J1856" s="16" t="n"/>
      <c r="K1856" s="16" t="n"/>
      <c r="M1856" s="89" t="n"/>
      <c r="N1856" s="1" t="n"/>
      <c r="O1856" s="1" t="n"/>
      <c r="P1856" s="1" t="n"/>
      <c r="Q1856" s="1" t="n"/>
      <c r="R1856" s="1" t="n"/>
    </row>
    <row r="1857">
      <c r="A1857" s="61" t="n"/>
      <c r="B1857" s="16" t="n"/>
      <c r="C1857" s="90" t="n"/>
      <c r="D1857" s="90" t="n"/>
      <c r="E1857" s="90" t="n"/>
      <c r="F1857" s="16" t="n"/>
      <c r="G1857" s="16" t="n"/>
      <c r="H1857" s="63" t="n"/>
      <c r="I1857" s="64" t="n"/>
      <c r="J1857" s="16" t="n"/>
      <c r="K1857" s="16" t="n"/>
      <c r="M1857" s="89" t="n"/>
      <c r="N1857" s="1" t="n"/>
      <c r="O1857" s="1" t="n"/>
      <c r="P1857" s="1" t="n"/>
      <c r="Q1857" s="1" t="n"/>
      <c r="R1857" s="1" t="n"/>
    </row>
    <row r="1858">
      <c r="A1858" s="61" t="n"/>
      <c r="B1858" s="16" t="n"/>
      <c r="C1858" s="90" t="n"/>
      <c r="D1858" s="90" t="n"/>
      <c r="E1858" s="90" t="n"/>
      <c r="F1858" s="16" t="n"/>
      <c r="G1858" s="16" t="n"/>
      <c r="H1858" s="63" t="n"/>
      <c r="I1858" s="64" t="n"/>
      <c r="J1858" s="16" t="n"/>
      <c r="K1858" s="16" t="n"/>
      <c r="M1858" s="89" t="n"/>
      <c r="N1858" s="1" t="n"/>
      <c r="O1858" s="1" t="n"/>
      <c r="P1858" s="1" t="n"/>
      <c r="Q1858" s="1" t="n"/>
      <c r="R1858" s="1" t="n"/>
    </row>
    <row r="1859">
      <c r="A1859" s="61" t="n"/>
      <c r="B1859" s="16" t="n"/>
      <c r="C1859" s="90" t="n"/>
      <c r="D1859" s="90" t="n"/>
      <c r="E1859" s="90" t="n"/>
      <c r="F1859" s="16" t="n"/>
      <c r="G1859" s="16" t="n"/>
      <c r="H1859" s="63" t="n"/>
      <c r="I1859" s="64" t="n"/>
      <c r="J1859" s="16" t="n"/>
      <c r="K1859" s="16" t="n"/>
      <c r="M1859" s="89" t="n"/>
      <c r="N1859" s="1" t="n"/>
      <c r="O1859" s="1" t="n"/>
      <c r="P1859" s="1" t="n"/>
      <c r="Q1859" s="1" t="n"/>
      <c r="R1859" s="1" t="n"/>
    </row>
    <row r="1860">
      <c r="A1860" s="61" t="n"/>
      <c r="B1860" s="16" t="n"/>
      <c r="C1860" s="90" t="n"/>
      <c r="D1860" s="90" t="n"/>
      <c r="E1860" s="90" t="n"/>
      <c r="F1860" s="16" t="n"/>
      <c r="G1860" s="16" t="n"/>
      <c r="H1860" s="63" t="n"/>
      <c r="I1860" s="64" t="n"/>
      <c r="J1860" s="16" t="n"/>
      <c r="K1860" s="16" t="n"/>
      <c r="M1860" s="89" t="n"/>
      <c r="N1860" s="1" t="n"/>
      <c r="O1860" s="1" t="n"/>
      <c r="P1860" s="1" t="n"/>
      <c r="Q1860" s="1" t="n"/>
      <c r="R1860" s="1" t="n"/>
    </row>
    <row r="1861">
      <c r="A1861" s="61" t="n"/>
      <c r="B1861" s="16" t="n"/>
      <c r="C1861" s="90" t="n"/>
      <c r="D1861" s="90" t="n"/>
      <c r="E1861" s="90" t="n"/>
      <c r="F1861" s="16" t="n"/>
      <c r="G1861" s="16" t="n"/>
      <c r="H1861" s="63" t="n"/>
      <c r="I1861" s="64" t="n"/>
      <c r="J1861" s="16" t="n"/>
      <c r="K1861" s="16" t="n"/>
      <c r="M1861" s="89" t="n"/>
      <c r="N1861" s="1" t="n"/>
      <c r="O1861" s="1" t="n"/>
      <c r="P1861" s="1" t="n"/>
      <c r="Q1861" s="1" t="n"/>
      <c r="R1861" s="1" t="n"/>
    </row>
    <row r="1862">
      <c r="A1862" s="61" t="n"/>
      <c r="B1862" s="16" t="n"/>
      <c r="C1862" s="90" t="n"/>
      <c r="D1862" s="90" t="n"/>
      <c r="E1862" s="90" t="n"/>
      <c r="F1862" s="16" t="n"/>
      <c r="G1862" s="16" t="n"/>
      <c r="H1862" s="63" t="n"/>
      <c r="I1862" s="64" t="n"/>
      <c r="J1862" s="16" t="n"/>
      <c r="K1862" s="16" t="n"/>
      <c r="M1862" s="89" t="n"/>
      <c r="N1862" s="1" t="n"/>
      <c r="O1862" s="1" t="n"/>
      <c r="P1862" s="1" t="n"/>
      <c r="Q1862" s="1" t="n"/>
      <c r="R1862" s="1" t="n"/>
    </row>
    <row r="1863">
      <c r="A1863" s="61" t="n"/>
      <c r="B1863" s="16" t="n"/>
      <c r="C1863" s="90" t="n"/>
      <c r="D1863" s="90" t="n"/>
      <c r="E1863" s="90" t="n"/>
      <c r="F1863" s="16" t="n"/>
      <c r="G1863" s="16" t="n"/>
      <c r="H1863" s="63" t="n"/>
      <c r="I1863" s="64" t="n"/>
      <c r="J1863" s="16" t="n"/>
      <c r="K1863" s="16" t="n"/>
      <c r="M1863" s="89" t="n"/>
      <c r="N1863" s="1" t="n"/>
      <c r="O1863" s="1" t="n"/>
      <c r="P1863" s="1" t="n"/>
      <c r="Q1863" s="1" t="n"/>
      <c r="R1863" s="1" t="n"/>
    </row>
    <row r="1864">
      <c r="A1864" s="61" t="n"/>
      <c r="B1864" s="16" t="n"/>
      <c r="C1864" s="90" t="n"/>
      <c r="D1864" s="90" t="n"/>
      <c r="E1864" s="90" t="n"/>
      <c r="F1864" s="16" t="n"/>
      <c r="G1864" s="16" t="n"/>
      <c r="H1864" s="63" t="n"/>
      <c r="I1864" s="64" t="n"/>
      <c r="J1864" s="16" t="n"/>
      <c r="K1864" s="16" t="n"/>
      <c r="M1864" s="89" t="n"/>
      <c r="N1864" s="1" t="n"/>
      <c r="O1864" s="1" t="n"/>
      <c r="P1864" s="1" t="n"/>
      <c r="Q1864" s="1" t="n"/>
      <c r="R1864" s="1" t="n"/>
    </row>
    <row r="1865">
      <c r="A1865" s="61" t="n"/>
      <c r="B1865" s="16" t="n"/>
      <c r="C1865" s="90" t="n"/>
      <c r="D1865" s="90" t="n"/>
      <c r="E1865" s="90" t="n"/>
      <c r="F1865" s="16" t="n"/>
      <c r="G1865" s="16" t="n"/>
      <c r="H1865" s="63" t="n"/>
      <c r="I1865" s="64" t="n"/>
      <c r="J1865" s="16" t="n"/>
      <c r="K1865" s="16" t="n"/>
      <c r="M1865" s="89" t="n"/>
      <c r="N1865" s="1" t="n"/>
      <c r="O1865" s="1" t="n"/>
      <c r="P1865" s="1" t="n"/>
      <c r="Q1865" s="1" t="n"/>
      <c r="R1865" s="1" t="n"/>
    </row>
    <row r="1866">
      <c r="A1866" s="61" t="n"/>
      <c r="B1866" s="16" t="n"/>
      <c r="C1866" s="90" t="n"/>
      <c r="D1866" s="90" t="n"/>
      <c r="E1866" s="90" t="n"/>
      <c r="F1866" s="16" t="n"/>
      <c r="G1866" s="16" t="n"/>
      <c r="H1866" s="63" t="n"/>
      <c r="I1866" s="64" t="n"/>
      <c r="J1866" s="16" t="n"/>
      <c r="K1866" s="16" t="n"/>
      <c r="M1866" s="89" t="n"/>
      <c r="N1866" s="1" t="n"/>
      <c r="O1866" s="1" t="n"/>
      <c r="P1866" s="1" t="n"/>
      <c r="Q1866" s="1" t="n"/>
      <c r="R1866" s="1" t="n"/>
    </row>
    <row r="1867">
      <c r="A1867" s="61" t="n"/>
      <c r="B1867" s="16" t="n"/>
      <c r="C1867" s="90" t="n"/>
      <c r="D1867" s="90" t="n"/>
      <c r="E1867" s="90" t="n"/>
      <c r="F1867" s="16" t="n"/>
      <c r="G1867" s="16" t="n"/>
      <c r="H1867" s="63" t="n"/>
      <c r="I1867" s="64" t="n"/>
      <c r="J1867" s="16" t="n"/>
      <c r="K1867" s="16" t="n"/>
      <c r="M1867" s="89" t="n"/>
      <c r="N1867" s="1" t="n"/>
      <c r="O1867" s="1" t="n"/>
      <c r="P1867" s="1" t="n"/>
      <c r="Q1867" s="1" t="n"/>
      <c r="R1867" s="1" t="n"/>
    </row>
    <row r="1868">
      <c r="A1868" s="61" t="n"/>
      <c r="B1868" s="16" t="n"/>
      <c r="C1868" s="90" t="n"/>
      <c r="D1868" s="90" t="n"/>
      <c r="E1868" s="90" t="n"/>
      <c r="F1868" s="16" t="n"/>
      <c r="G1868" s="16" t="n"/>
      <c r="H1868" s="63" t="n"/>
      <c r="I1868" s="64" t="n"/>
      <c r="J1868" s="16" t="n"/>
      <c r="K1868" s="16" t="n"/>
      <c r="M1868" s="89" t="n"/>
      <c r="N1868" s="1" t="n"/>
      <c r="O1868" s="1" t="n"/>
      <c r="P1868" s="1" t="n"/>
      <c r="Q1868" s="1" t="n"/>
      <c r="R1868" s="1" t="n"/>
    </row>
    <row r="1869">
      <c r="A1869" s="61" t="n"/>
      <c r="B1869" s="16" t="n"/>
      <c r="C1869" s="90" t="n"/>
      <c r="D1869" s="90" t="n"/>
      <c r="E1869" s="90" t="n"/>
      <c r="F1869" s="16" t="n"/>
      <c r="G1869" s="16" t="n"/>
      <c r="H1869" s="63" t="n"/>
      <c r="I1869" s="64" t="n"/>
      <c r="J1869" s="16" t="n"/>
      <c r="K1869" s="16" t="n"/>
      <c r="M1869" s="89" t="n"/>
      <c r="N1869" s="1" t="n"/>
      <c r="O1869" s="1" t="n"/>
      <c r="P1869" s="1" t="n"/>
      <c r="Q1869" s="1" t="n"/>
      <c r="R1869" s="1" t="n"/>
    </row>
    <row r="1870">
      <c r="A1870" s="61" t="n"/>
      <c r="B1870" s="16" t="n"/>
      <c r="C1870" s="90" t="n"/>
      <c r="D1870" s="90" t="n"/>
      <c r="E1870" s="90" t="n"/>
      <c r="F1870" s="16" t="n"/>
      <c r="G1870" s="16" t="n"/>
      <c r="H1870" s="63" t="n"/>
      <c r="I1870" s="64" t="n"/>
      <c r="J1870" s="16" t="n"/>
      <c r="K1870" s="16" t="n"/>
      <c r="M1870" s="89" t="n"/>
      <c r="N1870" s="1" t="n"/>
      <c r="O1870" s="1" t="n"/>
      <c r="P1870" s="1" t="n"/>
      <c r="Q1870" s="1" t="n"/>
      <c r="R1870" s="1" t="n"/>
    </row>
    <row r="1871">
      <c r="A1871" s="61" t="n"/>
      <c r="B1871" s="16" t="n"/>
      <c r="C1871" s="90" t="n"/>
      <c r="D1871" s="90" t="n"/>
      <c r="E1871" s="90" t="n"/>
      <c r="F1871" s="16" t="n"/>
      <c r="G1871" s="16" t="n"/>
      <c r="H1871" s="63" t="n"/>
      <c r="I1871" s="64" t="n"/>
      <c r="J1871" s="16" t="n"/>
      <c r="K1871" s="16" t="n"/>
      <c r="M1871" s="89" t="n"/>
      <c r="N1871" s="1" t="n"/>
      <c r="O1871" s="1" t="n"/>
      <c r="P1871" s="1" t="n"/>
      <c r="Q1871" s="1" t="n"/>
      <c r="R1871" s="1" t="n"/>
    </row>
    <row r="1872">
      <c r="A1872" s="61" t="n"/>
      <c r="B1872" s="16" t="n"/>
      <c r="C1872" s="90" t="n"/>
      <c r="D1872" s="90" t="n"/>
      <c r="E1872" s="90" t="n"/>
      <c r="F1872" s="16" t="n"/>
      <c r="G1872" s="16" t="n"/>
      <c r="H1872" s="63" t="n"/>
      <c r="I1872" s="64" t="n"/>
      <c r="J1872" s="16" t="n"/>
      <c r="K1872" s="16" t="n"/>
      <c r="M1872" s="89" t="n"/>
      <c r="N1872" s="1" t="n"/>
      <c r="O1872" s="1" t="n"/>
      <c r="P1872" s="1" t="n"/>
      <c r="Q1872" s="1" t="n"/>
      <c r="R1872" s="1" t="n"/>
    </row>
    <row r="1873">
      <c r="A1873" s="61" t="n"/>
      <c r="B1873" s="16" t="n"/>
      <c r="C1873" s="90" t="n"/>
      <c r="D1873" s="90" t="n"/>
      <c r="E1873" s="90" t="n"/>
      <c r="F1873" s="16" t="n"/>
      <c r="G1873" s="16" t="n"/>
      <c r="H1873" s="63" t="n"/>
      <c r="I1873" s="64" t="n"/>
      <c r="J1873" s="16" t="n"/>
      <c r="K1873" s="16" t="n"/>
      <c r="M1873" s="89" t="n"/>
      <c r="N1873" s="1" t="n"/>
      <c r="O1873" s="1" t="n"/>
      <c r="P1873" s="1" t="n"/>
      <c r="Q1873" s="1" t="n"/>
      <c r="R1873" s="1" t="n"/>
    </row>
    <row r="1874">
      <c r="A1874" s="61" t="n"/>
      <c r="B1874" s="16" t="n"/>
      <c r="C1874" s="90" t="n"/>
      <c r="D1874" s="90" t="n"/>
      <c r="E1874" s="90" t="n"/>
      <c r="F1874" s="16" t="n"/>
      <c r="G1874" s="16" t="n"/>
      <c r="H1874" s="63" t="n"/>
      <c r="I1874" s="64" t="n"/>
      <c r="J1874" s="16" t="n"/>
      <c r="K1874" s="16" t="n"/>
      <c r="M1874" s="89" t="n"/>
      <c r="N1874" s="1" t="n"/>
      <c r="O1874" s="1" t="n"/>
      <c r="P1874" s="1" t="n"/>
      <c r="Q1874" s="1" t="n"/>
      <c r="R1874" s="1" t="n"/>
    </row>
    <row r="1875">
      <c r="A1875" s="61" t="n"/>
      <c r="B1875" s="16" t="n"/>
      <c r="C1875" s="90" t="n"/>
      <c r="D1875" s="90" t="n"/>
      <c r="E1875" s="90" t="n"/>
      <c r="F1875" s="16" t="n"/>
      <c r="G1875" s="16" t="n"/>
      <c r="H1875" s="63" t="n"/>
      <c r="I1875" s="64" t="n"/>
      <c r="J1875" s="16" t="n"/>
      <c r="K1875" s="16" t="n"/>
      <c r="M1875" s="89" t="n"/>
      <c r="N1875" s="1" t="n"/>
      <c r="O1875" s="1" t="n"/>
      <c r="P1875" s="1" t="n"/>
      <c r="Q1875" s="1" t="n"/>
      <c r="R1875" s="1" t="n"/>
    </row>
    <row r="1876">
      <c r="A1876" s="61" t="n"/>
      <c r="B1876" s="16" t="n"/>
      <c r="C1876" s="90" t="n"/>
      <c r="D1876" s="90" t="n"/>
      <c r="E1876" s="90" t="n"/>
      <c r="F1876" s="16" t="n"/>
      <c r="G1876" s="16" t="n"/>
      <c r="H1876" s="63" t="n"/>
      <c r="I1876" s="64" t="n"/>
      <c r="J1876" s="16" t="n"/>
      <c r="K1876" s="16" t="n"/>
      <c r="M1876" s="89" t="n"/>
      <c r="N1876" s="1" t="n"/>
      <c r="O1876" s="1" t="n"/>
      <c r="P1876" s="1" t="n"/>
      <c r="Q1876" s="1" t="n"/>
      <c r="R1876" s="1" t="n"/>
    </row>
    <row r="1877">
      <c r="A1877" s="61" t="n"/>
      <c r="B1877" s="16" t="n"/>
      <c r="C1877" s="90" t="n"/>
      <c r="D1877" s="90" t="n"/>
      <c r="E1877" s="90" t="n"/>
      <c r="F1877" s="16" t="n"/>
      <c r="G1877" s="16" t="n"/>
      <c r="H1877" s="63" t="n"/>
      <c r="I1877" s="64" t="n"/>
      <c r="J1877" s="16" t="n"/>
      <c r="K1877" s="16" t="n"/>
      <c r="M1877" s="89" t="n"/>
      <c r="N1877" s="1" t="n"/>
      <c r="O1877" s="1" t="n"/>
      <c r="P1877" s="1" t="n"/>
      <c r="Q1877" s="1" t="n"/>
      <c r="R1877" s="1" t="n"/>
    </row>
    <row r="1878">
      <c r="A1878" s="61" t="n"/>
      <c r="B1878" s="16" t="n"/>
      <c r="C1878" s="90" t="n"/>
      <c r="D1878" s="90" t="n"/>
      <c r="E1878" s="90" t="n"/>
      <c r="F1878" s="16" t="n"/>
      <c r="G1878" s="16" t="n"/>
      <c r="H1878" s="63" t="n"/>
      <c r="I1878" s="64" t="n"/>
      <c r="J1878" s="16" t="n"/>
      <c r="K1878" s="16" t="n"/>
      <c r="M1878" s="89" t="n"/>
      <c r="N1878" s="1" t="n"/>
      <c r="O1878" s="1" t="n"/>
      <c r="P1878" s="1" t="n"/>
      <c r="Q1878" s="1" t="n"/>
      <c r="R1878" s="1" t="n"/>
    </row>
    <row r="1879">
      <c r="A1879" s="61" t="n"/>
      <c r="B1879" s="16" t="n"/>
      <c r="C1879" s="90" t="n"/>
      <c r="D1879" s="90" t="n"/>
      <c r="E1879" s="90" t="n"/>
      <c r="F1879" s="16" t="n"/>
      <c r="G1879" s="16" t="n"/>
      <c r="H1879" s="63" t="n"/>
      <c r="I1879" s="64" t="n"/>
      <c r="J1879" s="16" t="n"/>
      <c r="K1879" s="16" t="n"/>
      <c r="M1879" s="89" t="n"/>
      <c r="N1879" s="1" t="n"/>
      <c r="O1879" s="1" t="n"/>
      <c r="P1879" s="1" t="n"/>
      <c r="Q1879" s="1" t="n"/>
      <c r="R1879" s="1" t="n"/>
    </row>
    <row r="1880">
      <c r="A1880" s="61" t="n"/>
      <c r="B1880" s="16" t="n"/>
      <c r="C1880" s="90" t="n"/>
      <c r="D1880" s="90" t="n"/>
      <c r="E1880" s="90" t="n"/>
      <c r="F1880" s="16" t="n"/>
      <c r="G1880" s="16" t="n"/>
      <c r="H1880" s="63" t="n"/>
      <c r="I1880" s="64" t="n"/>
      <c r="J1880" s="16" t="n"/>
      <c r="K1880" s="16" t="n"/>
      <c r="M1880" s="89" t="n"/>
      <c r="N1880" s="1" t="n"/>
      <c r="O1880" s="1" t="n"/>
      <c r="P1880" s="1" t="n"/>
      <c r="Q1880" s="1" t="n"/>
      <c r="R1880" s="1" t="n"/>
    </row>
    <row r="1881">
      <c r="A1881" s="61" t="n"/>
      <c r="B1881" s="16" t="n"/>
      <c r="C1881" s="90" t="n"/>
      <c r="D1881" s="90" t="n"/>
      <c r="E1881" s="90" t="n"/>
      <c r="F1881" s="16" t="n"/>
      <c r="G1881" s="16" t="n"/>
      <c r="H1881" s="63" t="n"/>
      <c r="I1881" s="64" t="n"/>
      <c r="J1881" s="16" t="n"/>
      <c r="K1881" s="16" t="n"/>
      <c r="M1881" s="89" t="n"/>
      <c r="N1881" s="1" t="n"/>
      <c r="O1881" s="1" t="n"/>
      <c r="P1881" s="1" t="n"/>
      <c r="Q1881" s="1" t="n"/>
      <c r="R1881" s="1" t="n"/>
    </row>
    <row r="1882">
      <c r="A1882" s="61" t="n"/>
      <c r="B1882" s="16" t="n"/>
      <c r="C1882" s="90" t="n"/>
      <c r="D1882" s="90" t="n"/>
      <c r="E1882" s="90" t="n"/>
      <c r="F1882" s="16" t="n"/>
      <c r="G1882" s="16" t="n"/>
      <c r="H1882" s="63" t="n"/>
      <c r="I1882" s="64" t="n"/>
      <c r="J1882" s="16" t="n"/>
      <c r="K1882" s="16" t="n"/>
      <c r="M1882" s="89" t="n"/>
      <c r="N1882" s="1" t="n"/>
      <c r="O1882" s="1" t="n"/>
      <c r="P1882" s="1" t="n"/>
      <c r="Q1882" s="1" t="n"/>
      <c r="R1882" s="1" t="n"/>
    </row>
    <row r="1883">
      <c r="A1883" s="61" t="n"/>
      <c r="B1883" s="16" t="n"/>
      <c r="C1883" s="90" t="n"/>
      <c r="D1883" s="90" t="n"/>
      <c r="E1883" s="90" t="n"/>
      <c r="F1883" s="16" t="n"/>
      <c r="G1883" s="16" t="n"/>
      <c r="H1883" s="63" t="n"/>
      <c r="I1883" s="64" t="n"/>
      <c r="J1883" s="16" t="n"/>
      <c r="K1883" s="16" t="n"/>
      <c r="M1883" s="89" t="n"/>
      <c r="N1883" s="1" t="n"/>
      <c r="O1883" s="1" t="n"/>
      <c r="P1883" s="1" t="n"/>
      <c r="Q1883" s="1" t="n"/>
      <c r="R1883" s="1" t="n"/>
    </row>
    <row r="1884">
      <c r="A1884" s="61" t="n"/>
      <c r="B1884" s="16" t="n"/>
      <c r="C1884" s="90" t="n"/>
      <c r="D1884" s="90" t="n"/>
      <c r="E1884" s="90" t="n"/>
      <c r="F1884" s="16" t="n"/>
      <c r="G1884" s="16" t="n"/>
      <c r="H1884" s="63" t="n"/>
      <c r="I1884" s="64" t="n"/>
      <c r="J1884" s="16" t="n"/>
      <c r="K1884" s="16" t="n"/>
      <c r="M1884" s="89" t="n"/>
      <c r="N1884" s="1" t="n"/>
      <c r="O1884" s="1" t="n"/>
      <c r="P1884" s="1" t="n"/>
      <c r="Q1884" s="1" t="n"/>
      <c r="R1884" s="1" t="n"/>
    </row>
    <row r="1885">
      <c r="A1885" s="61" t="n"/>
      <c r="B1885" s="16" t="n"/>
      <c r="C1885" s="90" t="n"/>
      <c r="D1885" s="90" t="n"/>
      <c r="E1885" s="90" t="n"/>
      <c r="F1885" s="16" t="n"/>
      <c r="G1885" s="16" t="n"/>
      <c r="H1885" s="63" t="n"/>
      <c r="I1885" s="64" t="n"/>
      <c r="J1885" s="16" t="n"/>
      <c r="K1885" s="16" t="n"/>
      <c r="M1885" s="89" t="n"/>
      <c r="N1885" s="1" t="n"/>
      <c r="O1885" s="1" t="n"/>
      <c r="P1885" s="1" t="n"/>
      <c r="Q1885" s="1" t="n"/>
      <c r="R1885" s="1" t="n"/>
    </row>
    <row r="1886">
      <c r="A1886" s="61" t="n"/>
      <c r="B1886" s="16" t="n"/>
      <c r="C1886" s="90" t="n"/>
      <c r="D1886" s="90" t="n"/>
      <c r="E1886" s="90" t="n"/>
      <c r="F1886" s="16" t="n"/>
      <c r="G1886" s="16" t="n"/>
      <c r="H1886" s="63" t="n"/>
      <c r="I1886" s="64" t="n"/>
      <c r="J1886" s="16" t="n"/>
      <c r="K1886" s="16" t="n"/>
      <c r="M1886" s="89" t="n"/>
      <c r="N1886" s="1" t="n"/>
      <c r="O1886" s="1" t="n"/>
      <c r="P1886" s="1" t="n"/>
      <c r="Q1886" s="1" t="n"/>
      <c r="R1886" s="1" t="n"/>
    </row>
    <row r="1887">
      <c r="A1887" s="61" t="n"/>
      <c r="B1887" s="16" t="n"/>
      <c r="C1887" s="90" t="n"/>
      <c r="D1887" s="90" t="n"/>
      <c r="E1887" s="90" t="n"/>
      <c r="F1887" s="16" t="n"/>
      <c r="G1887" s="16" t="n"/>
      <c r="H1887" s="63" t="n"/>
      <c r="I1887" s="64" t="n"/>
      <c r="J1887" s="16" t="n"/>
      <c r="K1887" s="16" t="n"/>
      <c r="M1887" s="89" t="n"/>
      <c r="N1887" s="1" t="n"/>
      <c r="O1887" s="1" t="n"/>
      <c r="P1887" s="1" t="n"/>
      <c r="Q1887" s="1" t="n"/>
      <c r="R1887" s="1" t="n"/>
    </row>
    <row r="1888">
      <c r="A1888" s="61" t="n"/>
      <c r="B1888" s="16" t="n"/>
      <c r="C1888" s="90" t="n"/>
      <c r="D1888" s="90" t="n"/>
      <c r="E1888" s="90" t="n"/>
      <c r="F1888" s="16" t="n"/>
      <c r="G1888" s="16" t="n"/>
      <c r="H1888" s="63" t="n"/>
      <c r="I1888" s="64" t="n"/>
      <c r="J1888" s="16" t="n"/>
      <c r="K1888" s="16" t="n"/>
      <c r="M1888" s="89" t="n"/>
      <c r="N1888" s="1" t="n"/>
      <c r="O1888" s="1" t="n"/>
      <c r="P1888" s="1" t="n"/>
      <c r="Q1888" s="1" t="n"/>
      <c r="R1888" s="1" t="n"/>
    </row>
    <row r="1889">
      <c r="A1889" s="61" t="n"/>
      <c r="B1889" s="16" t="n"/>
      <c r="C1889" s="90" t="n"/>
      <c r="D1889" s="90" t="n"/>
      <c r="E1889" s="90" t="n"/>
      <c r="F1889" s="16" t="n"/>
      <c r="G1889" s="16" t="n"/>
      <c r="H1889" s="63" t="n"/>
      <c r="I1889" s="64" t="n"/>
      <c r="J1889" s="16" t="n"/>
      <c r="K1889" s="16" t="n"/>
      <c r="M1889" s="89" t="n"/>
      <c r="N1889" s="1" t="n"/>
      <c r="O1889" s="1" t="n"/>
      <c r="P1889" s="1" t="n"/>
      <c r="Q1889" s="1" t="n"/>
      <c r="R1889" s="1" t="n"/>
    </row>
    <row r="1890">
      <c r="A1890" s="61" t="n"/>
      <c r="B1890" s="16" t="n"/>
      <c r="C1890" s="90" t="n"/>
      <c r="D1890" s="90" t="n"/>
      <c r="E1890" s="90" t="n"/>
      <c r="F1890" s="16" t="n"/>
      <c r="G1890" s="16" t="n"/>
      <c r="H1890" s="63" t="n"/>
      <c r="I1890" s="64" t="n"/>
      <c r="J1890" s="16" t="n"/>
      <c r="K1890" s="16" t="n"/>
      <c r="M1890" s="89" t="n"/>
      <c r="N1890" s="1" t="n"/>
      <c r="O1890" s="1" t="n"/>
      <c r="P1890" s="1" t="n"/>
      <c r="Q1890" s="1" t="n"/>
      <c r="R1890" s="1" t="n"/>
    </row>
    <row r="1891">
      <c r="A1891" s="61" t="n"/>
      <c r="B1891" s="16" t="n"/>
      <c r="C1891" s="90" t="n"/>
      <c r="D1891" s="90" t="n"/>
      <c r="E1891" s="90" t="n"/>
      <c r="F1891" s="16" t="n"/>
      <c r="G1891" s="16" t="n"/>
      <c r="H1891" s="63" t="n"/>
      <c r="I1891" s="64" t="n"/>
      <c r="J1891" s="16" t="n"/>
      <c r="K1891" s="16" t="n"/>
      <c r="M1891" s="89" t="n"/>
      <c r="N1891" s="1" t="n"/>
      <c r="O1891" s="1" t="n"/>
      <c r="P1891" s="1" t="n"/>
      <c r="Q1891" s="1" t="n"/>
      <c r="R1891" s="1" t="n"/>
    </row>
    <row r="1892">
      <c r="A1892" s="61" t="n"/>
      <c r="B1892" s="16" t="n"/>
      <c r="C1892" s="90" t="n"/>
      <c r="D1892" s="90" t="n"/>
      <c r="E1892" s="90" t="n"/>
      <c r="F1892" s="16" t="n"/>
      <c r="G1892" s="16" t="n"/>
      <c r="H1892" s="63" t="n"/>
      <c r="I1892" s="64" t="n"/>
      <c r="J1892" s="16" t="n"/>
      <c r="K1892" s="16" t="n"/>
      <c r="M1892" s="89" t="n"/>
      <c r="N1892" s="1" t="n"/>
      <c r="O1892" s="1" t="n"/>
      <c r="P1892" s="1" t="n"/>
      <c r="Q1892" s="1" t="n"/>
      <c r="R1892" s="1" t="n"/>
    </row>
    <row r="1893">
      <c r="A1893" s="61" t="n"/>
      <c r="B1893" s="16" t="n"/>
      <c r="C1893" s="90" t="n"/>
      <c r="D1893" s="90" t="n"/>
      <c r="E1893" s="90" t="n"/>
      <c r="F1893" s="16" t="n"/>
      <c r="G1893" s="16" t="n"/>
      <c r="H1893" s="63" t="n"/>
      <c r="I1893" s="64" t="n"/>
      <c r="J1893" s="16" t="n"/>
      <c r="K1893" s="16" t="n"/>
      <c r="M1893" s="89" t="n"/>
      <c r="N1893" s="1" t="n"/>
      <c r="O1893" s="1" t="n"/>
      <c r="P1893" s="1" t="n"/>
      <c r="Q1893" s="1" t="n"/>
      <c r="R1893" s="1" t="n"/>
    </row>
    <row r="1894">
      <c r="A1894" s="61" t="n"/>
      <c r="B1894" s="16" t="n"/>
      <c r="C1894" s="90" t="n"/>
      <c r="D1894" s="90" t="n"/>
      <c r="E1894" s="90" t="n"/>
      <c r="F1894" s="16" t="n"/>
      <c r="G1894" s="16" t="n"/>
      <c r="H1894" s="63" t="n"/>
      <c r="I1894" s="64" t="n"/>
      <c r="J1894" s="16" t="n"/>
      <c r="K1894" s="16" t="n"/>
      <c r="M1894" s="89" t="n"/>
      <c r="N1894" s="1" t="n"/>
      <c r="O1894" s="1" t="n"/>
      <c r="P1894" s="1" t="n"/>
      <c r="Q1894" s="1" t="n"/>
      <c r="R1894" s="1" t="n"/>
    </row>
    <row r="1895">
      <c r="A1895" s="61" t="n"/>
      <c r="B1895" s="16" t="n"/>
      <c r="C1895" s="90" t="n"/>
      <c r="D1895" s="90" t="n"/>
      <c r="E1895" s="90" t="n"/>
      <c r="F1895" s="16" t="n"/>
      <c r="G1895" s="16" t="n"/>
      <c r="H1895" s="63" t="n"/>
      <c r="I1895" s="64" t="n"/>
      <c r="J1895" s="16" t="n"/>
      <c r="K1895" s="16" t="n"/>
      <c r="M1895" s="89" t="n"/>
      <c r="N1895" s="1" t="n"/>
      <c r="O1895" s="1" t="n"/>
      <c r="P1895" s="1" t="n"/>
      <c r="Q1895" s="1" t="n"/>
      <c r="R1895" s="1" t="n"/>
    </row>
    <row r="1896">
      <c r="A1896" s="61" t="n"/>
      <c r="B1896" s="16" t="n"/>
      <c r="C1896" s="90" t="n"/>
      <c r="D1896" s="90" t="n"/>
      <c r="E1896" s="90" t="n"/>
      <c r="F1896" s="16" t="n"/>
      <c r="G1896" s="16" t="n"/>
      <c r="H1896" s="63" t="n"/>
      <c r="I1896" s="64" t="n"/>
      <c r="J1896" s="16" t="n"/>
      <c r="K1896" s="16" t="n"/>
      <c r="M1896" s="89" t="n"/>
      <c r="N1896" s="1" t="n"/>
      <c r="O1896" s="1" t="n"/>
      <c r="P1896" s="1" t="n"/>
      <c r="Q1896" s="1" t="n"/>
      <c r="R1896" s="1" t="n"/>
    </row>
    <row r="1897">
      <c r="A1897" s="61" t="n"/>
      <c r="B1897" s="16" t="n"/>
      <c r="C1897" s="90" t="n"/>
      <c r="D1897" s="90" t="n"/>
      <c r="E1897" s="90" t="n"/>
      <c r="F1897" s="16" t="n"/>
      <c r="G1897" s="16" t="n"/>
      <c r="H1897" s="63" t="n"/>
      <c r="I1897" s="64" t="n"/>
      <c r="J1897" s="16" t="n"/>
      <c r="K1897" s="16" t="n"/>
      <c r="M1897" s="89" t="n"/>
      <c r="N1897" s="1" t="n"/>
      <c r="O1897" s="1" t="n"/>
      <c r="P1897" s="1" t="n"/>
      <c r="Q1897" s="1" t="n"/>
      <c r="R1897" s="1" t="n"/>
    </row>
    <row r="1898">
      <c r="A1898" s="61" t="n"/>
      <c r="B1898" s="16" t="n"/>
      <c r="C1898" s="90" t="n"/>
      <c r="D1898" s="90" t="n"/>
      <c r="E1898" s="90" t="n"/>
      <c r="F1898" s="16" t="n"/>
      <c r="G1898" s="16" t="n"/>
      <c r="H1898" s="63" t="n"/>
      <c r="I1898" s="64" t="n"/>
      <c r="J1898" s="16" t="n"/>
      <c r="K1898" s="16" t="n"/>
      <c r="M1898" s="89" t="n"/>
      <c r="N1898" s="1" t="n"/>
      <c r="O1898" s="1" t="n"/>
      <c r="P1898" s="1" t="n"/>
      <c r="Q1898" s="1" t="n"/>
      <c r="R1898" s="1" t="n"/>
    </row>
    <row r="1899">
      <c r="A1899" s="61" t="n"/>
      <c r="B1899" s="16" t="n"/>
      <c r="C1899" s="90" t="n"/>
      <c r="D1899" s="90" t="n"/>
      <c r="E1899" s="90" t="n"/>
      <c r="F1899" s="16" t="n"/>
      <c r="G1899" s="16" t="n"/>
      <c r="H1899" s="63" t="n"/>
      <c r="I1899" s="64" t="n"/>
      <c r="J1899" s="16" t="n"/>
      <c r="K1899" s="16" t="n"/>
      <c r="M1899" s="89" t="n"/>
      <c r="N1899" s="1" t="n"/>
      <c r="O1899" s="1" t="n"/>
      <c r="P1899" s="1" t="n"/>
      <c r="Q1899" s="1" t="n"/>
      <c r="R1899" s="1" t="n"/>
    </row>
    <row r="1900">
      <c r="A1900" s="61" t="n"/>
      <c r="B1900" s="16" t="n"/>
      <c r="C1900" s="90" t="n"/>
      <c r="D1900" s="90" t="n"/>
      <c r="E1900" s="90" t="n"/>
      <c r="F1900" s="16" t="n"/>
      <c r="G1900" s="16" t="n"/>
      <c r="H1900" s="63" t="n"/>
      <c r="I1900" s="64" t="n"/>
      <c r="J1900" s="16" t="n"/>
      <c r="K1900" s="16" t="n"/>
      <c r="M1900" s="89" t="n"/>
      <c r="N1900" s="1" t="n"/>
      <c r="O1900" s="1" t="n"/>
      <c r="P1900" s="1" t="n"/>
      <c r="Q1900" s="1" t="n"/>
      <c r="R1900" s="1" t="n"/>
    </row>
    <row r="1901">
      <c r="A1901" s="61" t="n"/>
      <c r="B1901" s="16" t="n"/>
      <c r="C1901" s="90" t="n"/>
      <c r="D1901" s="90" t="n"/>
      <c r="E1901" s="90" t="n"/>
      <c r="F1901" s="16" t="n"/>
      <c r="G1901" s="16" t="n"/>
      <c r="H1901" s="63" t="n"/>
      <c r="I1901" s="64" t="n"/>
      <c r="J1901" s="16" t="n"/>
      <c r="K1901" s="16" t="n"/>
      <c r="M1901" s="89" t="n"/>
      <c r="N1901" s="1" t="n"/>
      <c r="O1901" s="1" t="n"/>
      <c r="P1901" s="1" t="n"/>
      <c r="Q1901" s="1" t="n"/>
      <c r="R1901" s="1" t="n"/>
    </row>
    <row r="1902">
      <c r="A1902" s="61" t="n"/>
      <c r="B1902" s="16" t="n"/>
      <c r="C1902" s="90" t="n"/>
      <c r="D1902" s="90" t="n"/>
      <c r="E1902" s="90" t="n"/>
      <c r="F1902" s="16" t="n"/>
      <c r="G1902" s="16" t="n"/>
      <c r="H1902" s="63" t="n"/>
      <c r="I1902" s="64" t="n"/>
      <c r="J1902" s="16" t="n"/>
      <c r="K1902" s="16" t="n"/>
      <c r="M1902" s="89" t="n"/>
      <c r="N1902" s="1" t="n"/>
      <c r="O1902" s="1" t="n"/>
      <c r="P1902" s="1" t="n"/>
      <c r="Q1902" s="1" t="n"/>
      <c r="R1902" s="1" t="n"/>
    </row>
    <row r="1903">
      <c r="A1903" s="61" t="n"/>
      <c r="B1903" s="16" t="n"/>
      <c r="C1903" s="90" t="n"/>
      <c r="D1903" s="90" t="n"/>
      <c r="E1903" s="90" t="n"/>
      <c r="F1903" s="16" t="n"/>
      <c r="G1903" s="16" t="n"/>
      <c r="H1903" s="63" t="n"/>
      <c r="I1903" s="64" t="n"/>
      <c r="J1903" s="16" t="n"/>
      <c r="K1903" s="16" t="n"/>
      <c r="M1903" s="89" t="n"/>
      <c r="N1903" s="1" t="n"/>
      <c r="O1903" s="1" t="n"/>
      <c r="P1903" s="1" t="n"/>
      <c r="Q1903" s="1" t="n"/>
      <c r="R1903" s="1" t="n"/>
    </row>
    <row r="1904">
      <c r="A1904" s="61" t="n"/>
      <c r="B1904" s="16" t="n"/>
      <c r="C1904" s="90" t="n"/>
      <c r="D1904" s="90" t="n"/>
      <c r="E1904" s="90" t="n"/>
      <c r="F1904" s="16" t="n"/>
      <c r="G1904" s="16" t="n"/>
      <c r="H1904" s="63" t="n"/>
      <c r="I1904" s="64" t="n"/>
      <c r="J1904" s="16" t="n"/>
      <c r="K1904" s="16" t="n"/>
      <c r="M1904" s="89" t="n"/>
      <c r="N1904" s="1" t="n"/>
      <c r="O1904" s="1" t="n"/>
      <c r="P1904" s="1" t="n"/>
      <c r="Q1904" s="1" t="n"/>
      <c r="R1904" s="1" t="n"/>
    </row>
    <row r="1905">
      <c r="A1905" s="61" t="n"/>
      <c r="B1905" s="16" t="n"/>
      <c r="C1905" s="90" t="n"/>
      <c r="D1905" s="90" t="n"/>
      <c r="E1905" s="90" t="n"/>
      <c r="F1905" s="16" t="n"/>
      <c r="G1905" s="16" t="n"/>
      <c r="H1905" s="63" t="n"/>
      <c r="I1905" s="64" t="n"/>
      <c r="J1905" s="16" t="n"/>
      <c r="K1905" s="16" t="n"/>
      <c r="M1905" s="89" t="n"/>
      <c r="N1905" s="1" t="n"/>
      <c r="O1905" s="1" t="n"/>
      <c r="P1905" s="1" t="n"/>
      <c r="Q1905" s="1" t="n"/>
      <c r="R1905" s="1" t="n"/>
    </row>
    <row r="1906">
      <c r="A1906" s="61" t="n"/>
      <c r="B1906" s="16" t="n"/>
      <c r="C1906" s="90" t="n"/>
      <c r="D1906" s="90" t="n"/>
      <c r="E1906" s="90" t="n"/>
      <c r="F1906" s="16" t="n"/>
      <c r="G1906" s="16" t="n"/>
      <c r="H1906" s="63" t="n"/>
      <c r="I1906" s="64" t="n"/>
      <c r="J1906" s="16" t="n"/>
      <c r="K1906" s="16" t="n"/>
      <c r="M1906" s="89" t="n"/>
      <c r="N1906" s="1" t="n"/>
      <c r="O1906" s="1" t="n"/>
      <c r="P1906" s="1" t="n"/>
      <c r="Q1906" s="1" t="n"/>
      <c r="R1906" s="1" t="n"/>
    </row>
    <row r="1907">
      <c r="A1907" s="61" t="n"/>
      <c r="B1907" s="16" t="n"/>
      <c r="C1907" s="90" t="n"/>
      <c r="D1907" s="90" t="n"/>
      <c r="E1907" s="90" t="n"/>
      <c r="F1907" s="16" t="n"/>
      <c r="G1907" s="16" t="n"/>
      <c r="H1907" s="63" t="n"/>
      <c r="I1907" s="64" t="n"/>
      <c r="J1907" s="16" t="n"/>
      <c r="K1907" s="16" t="n"/>
      <c r="M1907" s="89" t="n"/>
      <c r="N1907" s="1" t="n"/>
      <c r="O1907" s="1" t="n"/>
      <c r="P1907" s="1" t="n"/>
      <c r="Q1907" s="1" t="n"/>
      <c r="R1907" s="1" t="n"/>
    </row>
    <row r="1908">
      <c r="A1908" s="61" t="n"/>
      <c r="B1908" s="16" t="n"/>
      <c r="C1908" s="90" t="n"/>
      <c r="D1908" s="90" t="n"/>
      <c r="E1908" s="90" t="n"/>
      <c r="F1908" s="16" t="n"/>
      <c r="G1908" s="16" t="n"/>
      <c r="H1908" s="63" t="n"/>
      <c r="I1908" s="64" t="n"/>
      <c r="J1908" s="16" t="n"/>
      <c r="K1908" s="16" t="n"/>
      <c r="M1908" s="89" t="n"/>
      <c r="N1908" s="1" t="n"/>
      <c r="O1908" s="1" t="n"/>
      <c r="P1908" s="1" t="n"/>
      <c r="Q1908" s="1" t="n"/>
      <c r="R1908" s="1" t="n"/>
    </row>
    <row r="1909">
      <c r="A1909" s="61" t="n"/>
      <c r="B1909" s="16" t="n"/>
      <c r="C1909" s="90" t="n"/>
      <c r="D1909" s="90" t="n"/>
      <c r="E1909" s="90" t="n"/>
      <c r="F1909" s="16" t="n"/>
      <c r="G1909" s="16" t="n"/>
      <c r="H1909" s="63" t="n"/>
      <c r="I1909" s="64" t="n"/>
      <c r="J1909" s="16" t="n"/>
      <c r="K1909" s="16" t="n"/>
      <c r="M1909" s="89" t="n"/>
      <c r="N1909" s="1" t="n"/>
      <c r="O1909" s="1" t="n"/>
      <c r="P1909" s="1" t="n"/>
      <c r="Q1909" s="1" t="n"/>
      <c r="R1909" s="1" t="n"/>
    </row>
    <row r="1910">
      <c r="A1910" s="61" t="n"/>
      <c r="B1910" s="16" t="n"/>
      <c r="C1910" s="90" t="n"/>
      <c r="D1910" s="90" t="n"/>
      <c r="E1910" s="90" t="n"/>
      <c r="F1910" s="16" t="n"/>
      <c r="G1910" s="16" t="n"/>
      <c r="H1910" s="63" t="n"/>
      <c r="I1910" s="64" t="n"/>
      <c r="J1910" s="16" t="n"/>
      <c r="K1910" s="16" t="n"/>
      <c r="M1910" s="89" t="n"/>
      <c r="N1910" s="1" t="n"/>
      <c r="O1910" s="1" t="n"/>
      <c r="P1910" s="1" t="n"/>
      <c r="Q1910" s="1" t="n"/>
      <c r="R1910" s="1" t="n"/>
    </row>
    <row r="1911">
      <c r="A1911" s="61" t="n"/>
      <c r="B1911" s="16" t="n"/>
      <c r="C1911" s="90" t="n"/>
      <c r="D1911" s="90" t="n"/>
      <c r="E1911" s="90" t="n"/>
      <c r="F1911" s="16" t="n"/>
      <c r="G1911" s="16" t="n"/>
      <c r="H1911" s="63" t="n"/>
      <c r="I1911" s="64" t="n"/>
      <c r="J1911" s="16" t="n"/>
      <c r="K1911" s="16" t="n"/>
      <c r="M1911" s="89" t="n"/>
      <c r="N1911" s="1" t="n"/>
      <c r="O1911" s="1" t="n"/>
      <c r="P1911" s="1" t="n"/>
      <c r="Q1911" s="1" t="n"/>
      <c r="R1911" s="1" t="n"/>
    </row>
    <row r="1912">
      <c r="A1912" s="61" t="n"/>
      <c r="B1912" s="16" t="n"/>
      <c r="C1912" s="90" t="n"/>
      <c r="D1912" s="90" t="n"/>
      <c r="E1912" s="90" t="n"/>
      <c r="F1912" s="16" t="n"/>
      <c r="G1912" s="16" t="n"/>
      <c r="H1912" s="63" t="n"/>
      <c r="I1912" s="64" t="n"/>
      <c r="J1912" s="16" t="n"/>
      <c r="K1912" s="16" t="n"/>
      <c r="M1912" s="89" t="n"/>
      <c r="N1912" s="1" t="n"/>
      <c r="O1912" s="1" t="n"/>
      <c r="P1912" s="1" t="n"/>
      <c r="Q1912" s="1" t="n"/>
      <c r="R1912" s="1" t="n"/>
    </row>
    <row r="1913">
      <c r="A1913" s="61" t="n"/>
      <c r="B1913" s="16" t="n"/>
      <c r="C1913" s="90" t="n"/>
      <c r="D1913" s="90" t="n"/>
      <c r="E1913" s="90" t="n"/>
      <c r="F1913" s="16" t="n"/>
      <c r="G1913" s="16" t="n"/>
      <c r="H1913" s="63" t="n"/>
      <c r="I1913" s="64" t="n"/>
      <c r="J1913" s="16" t="n"/>
      <c r="K1913" s="16" t="n"/>
      <c r="M1913" s="89" t="n"/>
      <c r="N1913" s="1" t="n"/>
      <c r="O1913" s="1" t="n"/>
      <c r="P1913" s="1" t="n"/>
      <c r="Q1913" s="1" t="n"/>
      <c r="R1913" s="1" t="n"/>
    </row>
    <row r="1914">
      <c r="A1914" s="61" t="n"/>
      <c r="B1914" s="16" t="n"/>
      <c r="C1914" s="90" t="n"/>
      <c r="D1914" s="90" t="n"/>
      <c r="E1914" s="90" t="n"/>
      <c r="F1914" s="16" t="n"/>
      <c r="G1914" s="16" t="n"/>
      <c r="H1914" s="63" t="n"/>
      <c r="I1914" s="64" t="n"/>
      <c r="J1914" s="16" t="n"/>
      <c r="K1914" s="16" t="n"/>
      <c r="M1914" s="89" t="n"/>
      <c r="N1914" s="1" t="n"/>
      <c r="O1914" s="1" t="n"/>
      <c r="P1914" s="1" t="n"/>
      <c r="Q1914" s="1" t="n"/>
      <c r="R1914" s="1" t="n"/>
    </row>
    <row r="1915">
      <c r="A1915" s="61" t="n"/>
      <c r="B1915" s="16" t="n"/>
      <c r="C1915" s="90" t="n"/>
      <c r="D1915" s="90" t="n"/>
      <c r="E1915" s="90" t="n"/>
      <c r="F1915" s="16" t="n"/>
      <c r="G1915" s="16" t="n"/>
      <c r="H1915" s="63" t="n"/>
      <c r="I1915" s="64" t="n"/>
      <c r="J1915" s="16" t="n"/>
      <c r="K1915" s="16" t="n"/>
      <c r="M1915" s="89" t="n"/>
      <c r="N1915" s="1" t="n"/>
      <c r="O1915" s="1" t="n"/>
      <c r="P1915" s="1" t="n"/>
      <c r="Q1915" s="1" t="n"/>
      <c r="R1915" s="1" t="n"/>
    </row>
    <row r="1916">
      <c r="A1916" s="61" t="n"/>
      <c r="B1916" s="16" t="n"/>
      <c r="C1916" s="90" t="n"/>
      <c r="D1916" s="90" t="n"/>
      <c r="E1916" s="90" t="n"/>
      <c r="F1916" s="16" t="n"/>
      <c r="G1916" s="16" t="n"/>
      <c r="H1916" s="63" t="n"/>
      <c r="I1916" s="64" t="n"/>
      <c r="J1916" s="16" t="n"/>
      <c r="K1916" s="16" t="n"/>
      <c r="M1916" s="89" t="n"/>
      <c r="N1916" s="1" t="n"/>
      <c r="O1916" s="1" t="n"/>
      <c r="P1916" s="1" t="n"/>
      <c r="Q1916" s="1" t="n"/>
      <c r="R1916" s="1" t="n"/>
    </row>
    <row r="1917">
      <c r="A1917" s="61" t="n"/>
      <c r="B1917" s="16" t="n"/>
      <c r="C1917" s="90" t="n"/>
      <c r="D1917" s="90" t="n"/>
      <c r="E1917" s="90" t="n"/>
      <c r="F1917" s="16" t="n"/>
      <c r="G1917" s="16" t="n"/>
      <c r="H1917" s="63" t="n"/>
      <c r="I1917" s="64" t="n"/>
      <c r="J1917" s="16" t="n"/>
      <c r="K1917" s="16" t="n"/>
      <c r="M1917" s="89" t="n"/>
      <c r="N1917" s="1" t="n"/>
      <c r="O1917" s="1" t="n"/>
      <c r="P1917" s="1" t="n"/>
      <c r="Q1917" s="1" t="n"/>
      <c r="R1917" s="1" t="n"/>
    </row>
    <row r="1918">
      <c r="A1918" s="61" t="n"/>
      <c r="B1918" s="16" t="n"/>
      <c r="C1918" s="90" t="n"/>
      <c r="D1918" s="90" t="n"/>
      <c r="E1918" s="90" t="n"/>
      <c r="F1918" s="16" t="n"/>
      <c r="G1918" s="16" t="n"/>
      <c r="H1918" s="63" t="n"/>
      <c r="I1918" s="64" t="n"/>
      <c r="J1918" s="16" t="n"/>
      <c r="K1918" s="16" t="n"/>
      <c r="M1918" s="89" t="n"/>
      <c r="N1918" s="1" t="n"/>
      <c r="O1918" s="1" t="n"/>
      <c r="P1918" s="1" t="n"/>
      <c r="Q1918" s="1" t="n"/>
      <c r="R1918" s="1" t="n"/>
    </row>
    <row r="1919">
      <c r="A1919" s="61" t="n"/>
      <c r="B1919" s="16" t="n"/>
      <c r="C1919" s="90" t="n"/>
      <c r="D1919" s="90" t="n"/>
      <c r="E1919" s="90" t="n"/>
      <c r="F1919" s="16" t="n"/>
      <c r="G1919" s="16" t="n"/>
      <c r="H1919" s="63" t="n"/>
      <c r="I1919" s="64" t="n"/>
      <c r="J1919" s="16" t="n"/>
      <c r="K1919" s="16" t="n"/>
      <c r="M1919" s="89" t="n"/>
      <c r="N1919" s="1" t="n"/>
      <c r="O1919" s="1" t="n"/>
      <c r="P1919" s="1" t="n"/>
      <c r="Q1919" s="1" t="n"/>
      <c r="R1919" s="1" t="n"/>
    </row>
    <row r="1920">
      <c r="A1920" s="61" t="n"/>
      <c r="B1920" s="16" t="n"/>
      <c r="C1920" s="90" t="n"/>
      <c r="D1920" s="90" t="n"/>
      <c r="E1920" s="90" t="n"/>
      <c r="F1920" s="16" t="n"/>
      <c r="G1920" s="16" t="n"/>
      <c r="H1920" s="63" t="n"/>
      <c r="I1920" s="64" t="n"/>
      <c r="J1920" s="16" t="n"/>
      <c r="K1920" s="16" t="n"/>
      <c r="M1920" s="89" t="n"/>
      <c r="N1920" s="1" t="n"/>
      <c r="O1920" s="1" t="n"/>
      <c r="P1920" s="1" t="n"/>
      <c r="Q1920" s="1" t="n"/>
      <c r="R1920" s="1" t="n"/>
    </row>
    <row r="1921">
      <c r="A1921" s="61" t="n"/>
      <c r="B1921" s="16" t="n"/>
      <c r="C1921" s="90" t="n"/>
      <c r="D1921" s="90" t="n"/>
      <c r="E1921" s="90" t="n"/>
      <c r="F1921" s="16" t="n"/>
      <c r="G1921" s="16" t="n"/>
      <c r="H1921" s="63" t="n"/>
      <c r="I1921" s="64" t="n"/>
      <c r="J1921" s="16" t="n"/>
      <c r="K1921" s="16" t="n"/>
      <c r="M1921" s="89" t="n"/>
      <c r="N1921" s="1" t="n"/>
      <c r="O1921" s="1" t="n"/>
      <c r="P1921" s="1" t="n"/>
      <c r="Q1921" s="1" t="n"/>
      <c r="R1921" s="1" t="n"/>
    </row>
    <row r="1922">
      <c r="A1922" s="61" t="n"/>
      <c r="B1922" s="16" t="n"/>
      <c r="C1922" s="90" t="n"/>
      <c r="D1922" s="90" t="n"/>
      <c r="E1922" s="90" t="n"/>
      <c r="F1922" s="16" t="n"/>
      <c r="G1922" s="16" t="n"/>
      <c r="H1922" s="63" t="n"/>
      <c r="I1922" s="64" t="n"/>
      <c r="J1922" s="16" t="n"/>
      <c r="K1922" s="16" t="n"/>
      <c r="M1922" s="89" t="n"/>
      <c r="N1922" s="1" t="n"/>
      <c r="O1922" s="1" t="n"/>
      <c r="P1922" s="1" t="n"/>
      <c r="Q1922" s="1" t="n"/>
      <c r="R1922" s="1" t="n"/>
    </row>
    <row r="1923">
      <c r="A1923" s="61" t="n"/>
      <c r="B1923" s="16" t="n"/>
      <c r="C1923" s="90" t="n"/>
      <c r="D1923" s="90" t="n"/>
      <c r="E1923" s="90" t="n"/>
      <c r="F1923" s="16" t="n"/>
      <c r="G1923" s="16" t="n"/>
      <c r="H1923" s="63" t="n"/>
      <c r="I1923" s="64" t="n"/>
      <c r="J1923" s="16" t="n"/>
      <c r="K1923" s="16" t="n"/>
      <c r="M1923" s="89" t="n"/>
      <c r="N1923" s="1" t="n"/>
      <c r="O1923" s="1" t="n"/>
      <c r="P1923" s="1" t="n"/>
      <c r="Q1923" s="1" t="n"/>
      <c r="R1923" s="1" t="n"/>
    </row>
    <row r="1924">
      <c r="A1924" s="61" t="n"/>
      <c r="B1924" s="16" t="n"/>
      <c r="C1924" s="90" t="n"/>
      <c r="D1924" s="90" t="n"/>
      <c r="E1924" s="90" t="n"/>
      <c r="F1924" s="16" t="n"/>
      <c r="G1924" s="16" t="n"/>
      <c r="H1924" s="63" t="n"/>
      <c r="I1924" s="64" t="n"/>
      <c r="J1924" s="16" t="n"/>
      <c r="K1924" s="16" t="n"/>
      <c r="M1924" s="89" t="n"/>
      <c r="N1924" s="1" t="n"/>
      <c r="O1924" s="1" t="n"/>
      <c r="P1924" s="1" t="n"/>
      <c r="Q1924" s="1" t="n"/>
      <c r="R1924" s="1" t="n"/>
    </row>
    <row r="1925">
      <c r="A1925" s="61" t="n"/>
      <c r="B1925" s="16" t="n"/>
      <c r="C1925" s="90" t="n"/>
      <c r="D1925" s="90" t="n"/>
      <c r="E1925" s="90" t="n"/>
      <c r="F1925" s="16" t="n"/>
      <c r="G1925" s="16" t="n"/>
      <c r="H1925" s="63" t="n"/>
      <c r="I1925" s="64" t="n"/>
      <c r="J1925" s="16" t="n"/>
      <c r="K1925" s="16" t="n"/>
      <c r="M1925" s="89" t="n"/>
      <c r="N1925" s="1" t="n"/>
      <c r="O1925" s="1" t="n"/>
      <c r="P1925" s="1" t="n"/>
      <c r="Q1925" s="1" t="n"/>
      <c r="R1925" s="1" t="n"/>
    </row>
    <row r="1926">
      <c r="A1926" s="61" t="n"/>
      <c r="B1926" s="16" t="n"/>
      <c r="C1926" s="90" t="n"/>
      <c r="D1926" s="90" t="n"/>
      <c r="E1926" s="90" t="n"/>
      <c r="F1926" s="16" t="n"/>
      <c r="G1926" s="16" t="n"/>
      <c r="H1926" s="63" t="n"/>
      <c r="I1926" s="64" t="n"/>
      <c r="J1926" s="16" t="n"/>
      <c r="K1926" s="16" t="n"/>
      <c r="M1926" s="89" t="n"/>
      <c r="N1926" s="1" t="n"/>
      <c r="O1926" s="1" t="n"/>
      <c r="P1926" s="1" t="n"/>
      <c r="Q1926" s="1" t="n"/>
      <c r="R1926" s="1" t="n"/>
    </row>
    <row r="1927">
      <c r="A1927" s="61" t="n"/>
      <c r="B1927" s="16" t="n"/>
      <c r="C1927" s="90" t="n"/>
      <c r="D1927" s="90" t="n"/>
      <c r="E1927" s="90" t="n"/>
      <c r="F1927" s="16" t="n"/>
      <c r="G1927" s="16" t="n"/>
      <c r="H1927" s="63" t="n"/>
      <c r="I1927" s="64" t="n"/>
      <c r="J1927" s="16" t="n"/>
      <c r="K1927" s="16" t="n"/>
      <c r="M1927" s="89" t="n"/>
      <c r="N1927" s="1" t="n"/>
      <c r="O1927" s="1" t="n"/>
      <c r="P1927" s="1" t="n"/>
      <c r="Q1927" s="1" t="n"/>
      <c r="R1927" s="1" t="n"/>
    </row>
    <row r="1928">
      <c r="A1928" s="61" t="n"/>
      <c r="B1928" s="16" t="n"/>
      <c r="C1928" s="90" t="n"/>
      <c r="D1928" s="90" t="n"/>
      <c r="E1928" s="90" t="n"/>
      <c r="F1928" s="16" t="n"/>
      <c r="G1928" s="16" t="n"/>
      <c r="H1928" s="63" t="n"/>
      <c r="I1928" s="64" t="n"/>
      <c r="J1928" s="16" t="n"/>
      <c r="K1928" s="16" t="n"/>
      <c r="M1928" s="89" t="n"/>
      <c r="N1928" s="1" t="n"/>
      <c r="O1928" s="1" t="n"/>
      <c r="P1928" s="1" t="n"/>
      <c r="Q1928" s="1" t="n"/>
      <c r="R1928" s="1" t="n"/>
    </row>
    <row r="1929">
      <c r="A1929" s="61" t="n"/>
      <c r="B1929" s="16" t="n"/>
      <c r="C1929" s="90" t="n"/>
      <c r="D1929" s="90" t="n"/>
      <c r="E1929" s="90" t="n"/>
      <c r="F1929" s="16" t="n"/>
      <c r="G1929" s="16" t="n"/>
      <c r="H1929" s="63" t="n"/>
      <c r="I1929" s="64" t="n"/>
      <c r="J1929" s="16" t="n"/>
      <c r="K1929" s="16" t="n"/>
      <c r="M1929" s="89" t="n"/>
      <c r="N1929" s="1" t="n"/>
      <c r="O1929" s="1" t="n"/>
      <c r="P1929" s="1" t="n"/>
      <c r="Q1929" s="1" t="n"/>
      <c r="R1929" s="1" t="n"/>
    </row>
    <row r="1930">
      <c r="A1930" s="61" t="n"/>
      <c r="B1930" s="16" t="n"/>
      <c r="C1930" s="90" t="n"/>
      <c r="D1930" s="90" t="n"/>
      <c r="E1930" s="90" t="n"/>
      <c r="F1930" s="16" t="n"/>
      <c r="G1930" s="16" t="n"/>
      <c r="H1930" s="63" t="n"/>
      <c r="I1930" s="64" t="n"/>
      <c r="J1930" s="16" t="n"/>
      <c r="K1930" s="16" t="n"/>
      <c r="M1930" s="89" t="n"/>
      <c r="N1930" s="1" t="n"/>
      <c r="O1930" s="1" t="n"/>
      <c r="P1930" s="1" t="n"/>
      <c r="Q1930" s="1" t="n"/>
      <c r="R1930" s="1" t="n"/>
    </row>
    <row r="1931">
      <c r="A1931" s="61" t="n"/>
      <c r="B1931" s="16" t="n"/>
      <c r="C1931" s="90" t="n"/>
      <c r="D1931" s="90" t="n"/>
      <c r="E1931" s="90" t="n"/>
      <c r="F1931" s="16" t="n"/>
      <c r="G1931" s="16" t="n"/>
      <c r="H1931" s="63" t="n"/>
      <c r="I1931" s="64" t="n"/>
      <c r="J1931" s="16" t="n"/>
      <c r="K1931" s="16" t="n"/>
      <c r="M1931" s="89" t="n"/>
      <c r="N1931" s="1" t="n"/>
      <c r="O1931" s="1" t="n"/>
      <c r="P1931" s="1" t="n"/>
      <c r="Q1931" s="1" t="n"/>
      <c r="R1931" s="1" t="n"/>
    </row>
    <row r="1932">
      <c r="A1932" s="61" t="n"/>
      <c r="B1932" s="16" t="n"/>
      <c r="C1932" s="90" t="n"/>
      <c r="D1932" s="90" t="n"/>
      <c r="E1932" s="90" t="n"/>
      <c r="F1932" s="16" t="n"/>
      <c r="G1932" s="16" t="n"/>
      <c r="H1932" s="63" t="n"/>
      <c r="I1932" s="64" t="n"/>
      <c r="J1932" s="16" t="n"/>
      <c r="K1932" s="16" t="n"/>
      <c r="M1932" s="89" t="n"/>
      <c r="N1932" s="1" t="n"/>
      <c r="O1932" s="1" t="n"/>
      <c r="P1932" s="1" t="n"/>
      <c r="Q1932" s="1" t="n"/>
      <c r="R1932" s="1" t="n"/>
    </row>
    <row r="1933">
      <c r="A1933" s="61" t="n"/>
      <c r="B1933" s="16" t="n"/>
      <c r="C1933" s="90" t="n"/>
      <c r="D1933" s="90" t="n"/>
      <c r="E1933" s="90" t="n"/>
      <c r="F1933" s="16" t="n"/>
      <c r="G1933" s="16" t="n"/>
      <c r="H1933" s="63" t="n"/>
      <c r="I1933" s="64" t="n"/>
      <c r="J1933" s="16" t="n"/>
      <c r="K1933" s="16" t="n"/>
      <c r="M1933" s="89" t="n"/>
      <c r="N1933" s="1" t="n"/>
      <c r="O1933" s="1" t="n"/>
      <c r="P1933" s="1" t="n"/>
      <c r="Q1933" s="1" t="n"/>
      <c r="R1933" s="1" t="n"/>
    </row>
    <row r="1934">
      <c r="A1934" s="61" t="n"/>
      <c r="B1934" s="16" t="n"/>
      <c r="C1934" s="90" t="n"/>
      <c r="D1934" s="90" t="n"/>
      <c r="E1934" s="90" t="n"/>
      <c r="F1934" s="16" t="n"/>
      <c r="G1934" s="16" t="n"/>
      <c r="H1934" s="63" t="n"/>
      <c r="I1934" s="64" t="n"/>
      <c r="J1934" s="16" t="n"/>
      <c r="K1934" s="16" t="n"/>
      <c r="M1934" s="89" t="n"/>
      <c r="N1934" s="1" t="n"/>
      <c r="O1934" s="1" t="n"/>
      <c r="P1934" s="1" t="n"/>
      <c r="Q1934" s="1" t="n"/>
      <c r="R1934" s="1" t="n"/>
    </row>
    <row r="1935">
      <c r="A1935" s="61" t="n"/>
      <c r="B1935" s="16" t="n"/>
      <c r="C1935" s="90" t="n"/>
      <c r="D1935" s="90" t="n"/>
      <c r="E1935" s="90" t="n"/>
      <c r="F1935" s="16" t="n"/>
      <c r="G1935" s="16" t="n"/>
      <c r="H1935" s="63" t="n"/>
      <c r="I1935" s="64" t="n"/>
      <c r="J1935" s="16" t="n"/>
      <c r="K1935" s="16" t="n"/>
      <c r="M1935" s="89" t="n"/>
      <c r="N1935" s="1" t="n"/>
      <c r="O1935" s="1" t="n"/>
      <c r="P1935" s="1" t="n"/>
      <c r="Q1935" s="1" t="n"/>
      <c r="R1935" s="1" t="n"/>
    </row>
    <row r="1936">
      <c r="A1936" s="61" t="n"/>
      <c r="B1936" s="16" t="n"/>
      <c r="C1936" s="90" t="n"/>
      <c r="D1936" s="90" t="n"/>
      <c r="E1936" s="90" t="n"/>
      <c r="F1936" s="16" t="n"/>
      <c r="G1936" s="16" t="n"/>
      <c r="H1936" s="63" t="n"/>
      <c r="I1936" s="64" t="n"/>
      <c r="J1936" s="16" t="n"/>
      <c r="K1936" s="16" t="n"/>
      <c r="M1936" s="89" t="n"/>
      <c r="N1936" s="1" t="n"/>
      <c r="O1936" s="1" t="n"/>
      <c r="P1936" s="1" t="n"/>
      <c r="Q1936" s="1" t="n"/>
      <c r="R1936" s="1" t="n"/>
    </row>
    <row r="1937">
      <c r="A1937" s="61" t="n"/>
      <c r="B1937" s="16" t="n"/>
      <c r="C1937" s="90" t="n"/>
      <c r="D1937" s="90" t="n"/>
      <c r="E1937" s="90" t="n"/>
      <c r="F1937" s="16" t="n"/>
      <c r="G1937" s="16" t="n"/>
      <c r="H1937" s="63" t="n"/>
      <c r="I1937" s="64" t="n"/>
      <c r="J1937" s="16" t="n"/>
      <c r="K1937" s="16" t="n"/>
      <c r="M1937" s="89" t="n"/>
      <c r="N1937" s="1" t="n"/>
      <c r="O1937" s="1" t="n"/>
      <c r="P1937" s="1" t="n"/>
      <c r="Q1937" s="1" t="n"/>
      <c r="R1937" s="1" t="n"/>
    </row>
    <row r="1938">
      <c r="A1938" s="61" t="n"/>
      <c r="B1938" s="16" t="n"/>
      <c r="C1938" s="90" t="n"/>
      <c r="D1938" s="90" t="n"/>
      <c r="E1938" s="90" t="n"/>
      <c r="F1938" s="16" t="n"/>
      <c r="G1938" s="16" t="n"/>
      <c r="H1938" s="63" t="n"/>
      <c r="I1938" s="64" t="n"/>
      <c r="J1938" s="16" t="n"/>
      <c r="K1938" s="16" t="n"/>
      <c r="M1938" s="89" t="n"/>
      <c r="N1938" s="1" t="n"/>
      <c r="O1938" s="1" t="n"/>
      <c r="P1938" s="1" t="n"/>
      <c r="Q1938" s="1" t="n"/>
      <c r="R1938" s="1" t="n"/>
    </row>
    <row r="1939">
      <c r="A1939" s="61" t="n"/>
      <c r="B1939" s="16" t="n"/>
      <c r="C1939" s="90" t="n"/>
      <c r="D1939" s="90" t="n"/>
      <c r="E1939" s="90" t="n"/>
      <c r="F1939" s="16" t="n"/>
      <c r="G1939" s="16" t="n"/>
      <c r="H1939" s="63" t="n"/>
      <c r="I1939" s="64" t="n"/>
      <c r="J1939" s="16" t="n"/>
      <c r="K1939" s="16" t="n"/>
      <c r="M1939" s="89" t="n"/>
      <c r="N1939" s="1" t="n"/>
      <c r="O1939" s="1" t="n"/>
      <c r="P1939" s="1" t="n"/>
      <c r="Q1939" s="1" t="n"/>
      <c r="R1939" s="1" t="n"/>
    </row>
    <row r="1940">
      <c r="A1940" s="61" t="n"/>
      <c r="B1940" s="16" t="n"/>
      <c r="C1940" s="90" t="n"/>
      <c r="D1940" s="90" t="n"/>
      <c r="E1940" s="90" t="n"/>
      <c r="F1940" s="16" t="n"/>
      <c r="G1940" s="16" t="n"/>
      <c r="H1940" s="63" t="n"/>
      <c r="I1940" s="64" t="n"/>
      <c r="J1940" s="16" t="n"/>
      <c r="K1940" s="16" t="n"/>
      <c r="M1940" s="89" t="n"/>
      <c r="N1940" s="1" t="n"/>
      <c r="O1940" s="1" t="n"/>
      <c r="P1940" s="1" t="n"/>
      <c r="Q1940" s="1" t="n"/>
      <c r="R1940" s="1" t="n"/>
    </row>
    <row r="1941">
      <c r="A1941" s="61" t="n"/>
      <c r="B1941" s="16" t="n"/>
      <c r="C1941" s="90" t="n"/>
      <c r="D1941" s="90" t="n"/>
      <c r="E1941" s="90" t="n"/>
      <c r="F1941" s="16" t="n"/>
      <c r="G1941" s="16" t="n"/>
      <c r="H1941" s="63" t="n"/>
      <c r="I1941" s="64" t="n"/>
      <c r="J1941" s="16" t="n"/>
      <c r="K1941" s="16" t="n"/>
      <c r="M1941" s="89" t="n"/>
      <c r="N1941" s="1" t="n"/>
      <c r="O1941" s="1" t="n"/>
      <c r="P1941" s="1" t="n"/>
      <c r="Q1941" s="1" t="n"/>
      <c r="R1941" s="1" t="n"/>
    </row>
    <row r="1942">
      <c r="A1942" s="61" t="n"/>
      <c r="B1942" s="16" t="n"/>
      <c r="C1942" s="90" t="n"/>
      <c r="D1942" s="90" t="n"/>
      <c r="E1942" s="90" t="n"/>
      <c r="F1942" s="16" t="n"/>
      <c r="G1942" s="16" t="n"/>
      <c r="H1942" s="63" t="n"/>
      <c r="I1942" s="64" t="n"/>
      <c r="J1942" s="16" t="n"/>
      <c r="K1942" s="16" t="n"/>
      <c r="M1942" s="89" t="n"/>
      <c r="N1942" s="1" t="n"/>
      <c r="O1942" s="1" t="n"/>
      <c r="P1942" s="1" t="n"/>
      <c r="Q1942" s="1" t="n"/>
      <c r="R1942" s="1" t="n"/>
    </row>
    <row r="1943">
      <c r="A1943" s="61" t="n"/>
      <c r="B1943" s="16" t="n"/>
      <c r="C1943" s="90" t="n"/>
      <c r="D1943" s="90" t="n"/>
      <c r="E1943" s="90" t="n"/>
      <c r="F1943" s="16" t="n"/>
      <c r="G1943" s="16" t="n"/>
      <c r="H1943" s="63" t="n"/>
      <c r="I1943" s="64" t="n"/>
      <c r="J1943" s="16" t="n"/>
      <c r="K1943" s="16" t="n"/>
      <c r="M1943" s="89" t="n"/>
      <c r="N1943" s="1" t="n"/>
      <c r="O1943" s="1" t="n"/>
      <c r="P1943" s="1" t="n"/>
      <c r="Q1943" s="1" t="n"/>
      <c r="R1943" s="1" t="n"/>
    </row>
    <row r="1944">
      <c r="A1944" s="61" t="n"/>
      <c r="B1944" s="16" t="n"/>
      <c r="C1944" s="90" t="n"/>
      <c r="D1944" s="90" t="n"/>
      <c r="E1944" s="90" t="n"/>
      <c r="F1944" s="16" t="n"/>
      <c r="G1944" s="16" t="n"/>
      <c r="H1944" s="63" t="n"/>
      <c r="I1944" s="64" t="n"/>
      <c r="J1944" s="16" t="n"/>
      <c r="K1944" s="16" t="n"/>
      <c r="M1944" s="89" t="n"/>
      <c r="N1944" s="1" t="n"/>
      <c r="O1944" s="1" t="n"/>
      <c r="P1944" s="1" t="n"/>
      <c r="Q1944" s="1" t="n"/>
      <c r="R1944" s="1" t="n"/>
    </row>
    <row r="1945">
      <c r="A1945" s="61" t="n"/>
      <c r="B1945" s="16" t="n"/>
      <c r="C1945" s="90" t="n"/>
      <c r="D1945" s="90" t="n"/>
      <c r="E1945" s="90" t="n"/>
      <c r="F1945" s="16" t="n"/>
      <c r="G1945" s="16" t="n"/>
      <c r="H1945" s="63" t="n"/>
      <c r="I1945" s="64" t="n"/>
      <c r="J1945" s="16" t="n"/>
      <c r="K1945" s="16" t="n"/>
      <c r="M1945" s="89" t="n"/>
      <c r="N1945" s="1" t="n"/>
      <c r="O1945" s="1" t="n"/>
      <c r="P1945" s="1" t="n"/>
      <c r="Q1945" s="1" t="n"/>
      <c r="R1945" s="1" t="n"/>
    </row>
    <row r="1946">
      <c r="A1946" s="61" t="n"/>
      <c r="B1946" s="16" t="n"/>
      <c r="C1946" s="90" t="n"/>
      <c r="D1946" s="90" t="n"/>
      <c r="E1946" s="90" t="n"/>
      <c r="F1946" s="16" t="n"/>
      <c r="G1946" s="16" t="n"/>
      <c r="H1946" s="63" t="n"/>
      <c r="I1946" s="64" t="n"/>
      <c r="J1946" s="16" t="n"/>
      <c r="K1946" s="16" t="n"/>
      <c r="M1946" s="89" t="n"/>
      <c r="N1946" s="1" t="n"/>
      <c r="O1946" s="1" t="n"/>
      <c r="P1946" s="1" t="n"/>
      <c r="Q1946" s="1" t="n"/>
      <c r="R1946" s="1" t="n"/>
    </row>
    <row r="1947">
      <c r="A1947" s="61" t="n"/>
      <c r="B1947" s="16" t="n"/>
      <c r="C1947" s="90" t="n"/>
      <c r="D1947" s="90" t="n"/>
      <c r="E1947" s="90" t="n"/>
      <c r="F1947" s="16" t="n"/>
      <c r="G1947" s="16" t="n"/>
      <c r="H1947" s="63" t="n"/>
      <c r="I1947" s="64" t="n"/>
      <c r="J1947" s="16" t="n"/>
      <c r="K1947" s="16" t="n"/>
      <c r="M1947" s="89" t="n"/>
      <c r="N1947" s="1" t="n"/>
      <c r="O1947" s="1" t="n"/>
      <c r="P1947" s="1" t="n"/>
      <c r="Q1947" s="1" t="n"/>
      <c r="R1947" s="1" t="n"/>
    </row>
    <row r="1948">
      <c r="A1948" s="61" t="n"/>
      <c r="B1948" s="16" t="n"/>
      <c r="C1948" s="90" t="n"/>
      <c r="D1948" s="90" t="n"/>
      <c r="E1948" s="90" t="n"/>
      <c r="F1948" s="16" t="n"/>
      <c r="G1948" s="16" t="n"/>
      <c r="H1948" s="63" t="n"/>
      <c r="I1948" s="64" t="n"/>
      <c r="J1948" s="16" t="n"/>
      <c r="K1948" s="16" t="n"/>
      <c r="M1948" s="89" t="n"/>
      <c r="N1948" s="1" t="n"/>
      <c r="O1948" s="1" t="n"/>
      <c r="P1948" s="1" t="n"/>
      <c r="Q1948" s="1" t="n"/>
      <c r="R1948" s="1" t="n"/>
    </row>
    <row r="1949">
      <c r="A1949" s="61" t="n"/>
      <c r="B1949" s="16" t="n"/>
      <c r="C1949" s="90" t="n"/>
      <c r="D1949" s="90" t="n"/>
      <c r="E1949" s="90" t="n"/>
      <c r="F1949" s="16" t="n"/>
      <c r="G1949" s="16" t="n"/>
      <c r="H1949" s="63" t="n"/>
      <c r="I1949" s="64" t="n"/>
      <c r="J1949" s="16" t="n"/>
      <c r="K1949" s="16" t="n"/>
      <c r="M1949" s="89" t="n"/>
      <c r="N1949" s="1" t="n"/>
      <c r="O1949" s="1" t="n"/>
      <c r="P1949" s="1" t="n"/>
      <c r="Q1949" s="1" t="n"/>
      <c r="R1949" s="1" t="n"/>
    </row>
    <row r="1950">
      <c r="A1950" s="61" t="n"/>
      <c r="B1950" s="16" t="n"/>
      <c r="C1950" s="90" t="n"/>
      <c r="D1950" s="90" t="n"/>
      <c r="E1950" s="90" t="n"/>
      <c r="F1950" s="16" t="n"/>
      <c r="G1950" s="16" t="n"/>
      <c r="H1950" s="63" t="n"/>
      <c r="I1950" s="64" t="n"/>
      <c r="J1950" s="16" t="n"/>
      <c r="K1950" s="16" t="n"/>
      <c r="M1950" s="89" t="n"/>
      <c r="N1950" s="1" t="n"/>
      <c r="O1950" s="1" t="n"/>
      <c r="P1950" s="1" t="n"/>
      <c r="Q1950" s="1" t="n"/>
      <c r="R1950" s="1" t="n"/>
    </row>
    <row r="1951">
      <c r="A1951" s="61" t="n"/>
      <c r="B1951" s="16" t="n"/>
      <c r="C1951" s="90" t="n"/>
      <c r="D1951" s="90" t="n"/>
      <c r="E1951" s="90" t="n"/>
      <c r="F1951" s="16" t="n"/>
      <c r="G1951" s="16" t="n"/>
      <c r="H1951" s="63" t="n"/>
      <c r="I1951" s="64" t="n"/>
      <c r="J1951" s="16" t="n"/>
      <c r="K1951" s="16" t="n"/>
      <c r="M1951" s="89" t="n"/>
      <c r="N1951" s="1" t="n"/>
      <c r="O1951" s="1" t="n"/>
      <c r="P1951" s="1" t="n"/>
      <c r="Q1951" s="1" t="n"/>
      <c r="R1951" s="1" t="n"/>
    </row>
    <row r="1952">
      <c r="A1952" s="61" t="n"/>
      <c r="B1952" s="16" t="n"/>
      <c r="C1952" s="90" t="n"/>
      <c r="D1952" s="90" t="n"/>
      <c r="E1952" s="90" t="n"/>
      <c r="F1952" s="16" t="n"/>
      <c r="G1952" s="16" t="n"/>
      <c r="H1952" s="63" t="n"/>
      <c r="I1952" s="64" t="n"/>
      <c r="J1952" s="16" t="n"/>
      <c r="K1952" s="16" t="n"/>
      <c r="M1952" s="89" t="n"/>
      <c r="N1952" s="1" t="n"/>
      <c r="O1952" s="1" t="n"/>
      <c r="P1952" s="1" t="n"/>
      <c r="Q1952" s="1" t="n"/>
      <c r="R1952" s="1" t="n"/>
    </row>
    <row r="1953">
      <c r="A1953" s="61" t="n"/>
      <c r="B1953" s="16" t="n"/>
      <c r="C1953" s="90" t="n"/>
      <c r="D1953" s="90" t="n"/>
      <c r="E1953" s="90" t="n"/>
      <c r="F1953" s="16" t="n"/>
      <c r="G1953" s="16" t="n"/>
      <c r="H1953" s="63" t="n"/>
      <c r="I1953" s="64" t="n"/>
      <c r="J1953" s="16" t="n"/>
      <c r="K1953" s="16" t="n"/>
      <c r="M1953" s="89" t="n"/>
      <c r="N1953" s="1" t="n"/>
      <c r="O1953" s="1" t="n"/>
      <c r="P1953" s="1" t="n"/>
      <c r="Q1953" s="1" t="n"/>
      <c r="R1953" s="1" t="n"/>
    </row>
    <row r="1954">
      <c r="A1954" s="61" t="n"/>
      <c r="B1954" s="16" t="n"/>
      <c r="C1954" s="90" t="n"/>
      <c r="D1954" s="90" t="n"/>
      <c r="E1954" s="90" t="n"/>
      <c r="F1954" s="16" t="n"/>
      <c r="G1954" s="16" t="n"/>
      <c r="H1954" s="63" t="n"/>
      <c r="I1954" s="64" t="n"/>
      <c r="J1954" s="16" t="n"/>
      <c r="K1954" s="16" t="n"/>
      <c r="M1954" s="89" t="n"/>
      <c r="N1954" s="1" t="n"/>
      <c r="O1954" s="1" t="n"/>
      <c r="P1954" s="1" t="n"/>
      <c r="Q1954" s="1" t="n"/>
      <c r="R1954" s="1" t="n"/>
    </row>
    <row r="1955">
      <c r="A1955" s="61" t="n"/>
      <c r="B1955" s="16" t="n"/>
      <c r="C1955" s="90" t="n"/>
      <c r="D1955" s="90" t="n"/>
      <c r="E1955" s="90" t="n"/>
      <c r="F1955" s="16" t="n"/>
      <c r="G1955" s="16" t="n"/>
      <c r="H1955" s="63" t="n"/>
      <c r="I1955" s="64" t="n"/>
      <c r="J1955" s="16" t="n"/>
      <c r="K1955" s="16" t="n"/>
      <c r="M1955" s="89" t="n"/>
      <c r="N1955" s="1" t="n"/>
      <c r="O1955" s="1" t="n"/>
      <c r="P1955" s="1" t="n"/>
      <c r="Q1955" s="1" t="n"/>
      <c r="R1955" s="1" t="n"/>
    </row>
    <row r="1956">
      <c r="A1956" s="61" t="n"/>
      <c r="B1956" s="16" t="n"/>
      <c r="C1956" s="90" t="n"/>
      <c r="D1956" s="90" t="n"/>
      <c r="E1956" s="90" t="n"/>
      <c r="F1956" s="16" t="n"/>
      <c r="G1956" s="16" t="n"/>
      <c r="H1956" s="63" t="n"/>
      <c r="I1956" s="64" t="n"/>
      <c r="J1956" s="16" t="n"/>
      <c r="K1956" s="16" t="n"/>
      <c r="M1956" s="89" t="n"/>
      <c r="N1956" s="1" t="n"/>
      <c r="O1956" s="1" t="n"/>
      <c r="P1956" s="1" t="n"/>
      <c r="Q1956" s="1" t="n"/>
      <c r="R1956" s="1" t="n"/>
    </row>
    <row r="1957">
      <c r="A1957" s="61" t="n"/>
      <c r="B1957" s="16" t="n"/>
      <c r="C1957" s="90" t="n"/>
      <c r="D1957" s="90" t="n"/>
      <c r="E1957" s="90" t="n"/>
      <c r="F1957" s="16" t="n"/>
      <c r="G1957" s="16" t="n"/>
      <c r="H1957" s="63" t="n"/>
      <c r="I1957" s="64" t="n"/>
      <c r="J1957" s="16" t="n"/>
      <c r="K1957" s="16" t="n"/>
      <c r="M1957" s="89" t="n"/>
      <c r="N1957" s="1" t="n"/>
      <c r="O1957" s="1" t="n"/>
      <c r="P1957" s="1" t="n"/>
      <c r="Q1957" s="1" t="n"/>
      <c r="R1957" s="1" t="n"/>
    </row>
    <row r="1958">
      <c r="A1958" s="61" t="n"/>
      <c r="B1958" s="16" t="n"/>
      <c r="C1958" s="90" t="n"/>
      <c r="D1958" s="90" t="n"/>
      <c r="E1958" s="90" t="n"/>
      <c r="F1958" s="16" t="n"/>
      <c r="G1958" s="16" t="n"/>
      <c r="H1958" s="63" t="n"/>
      <c r="I1958" s="64" t="n"/>
      <c r="J1958" s="16" t="n"/>
      <c r="K1958" s="16" t="n"/>
      <c r="M1958" s="89" t="n"/>
      <c r="N1958" s="1" t="n"/>
      <c r="O1958" s="1" t="n"/>
      <c r="P1958" s="1" t="n"/>
      <c r="Q1958" s="1" t="n"/>
      <c r="R1958" s="1" t="n"/>
    </row>
    <row r="1959">
      <c r="A1959" s="61" t="n"/>
      <c r="B1959" s="16" t="n"/>
      <c r="C1959" s="90" t="n"/>
      <c r="D1959" s="90" t="n"/>
      <c r="E1959" s="90" t="n"/>
      <c r="F1959" s="16" t="n"/>
      <c r="G1959" s="16" t="n"/>
      <c r="H1959" s="63" t="n"/>
      <c r="I1959" s="64" t="n"/>
      <c r="J1959" s="16" t="n"/>
      <c r="K1959" s="16" t="n"/>
      <c r="M1959" s="89" t="n"/>
      <c r="N1959" s="1" t="n"/>
      <c r="O1959" s="1" t="n"/>
      <c r="P1959" s="1" t="n"/>
      <c r="Q1959" s="1" t="n"/>
      <c r="R1959" s="1" t="n"/>
    </row>
    <row r="1960">
      <c r="A1960" s="61" t="n"/>
      <c r="B1960" s="16" t="n"/>
      <c r="C1960" s="90" t="n"/>
      <c r="D1960" s="90" t="n"/>
      <c r="E1960" s="90" t="n"/>
      <c r="F1960" s="16" t="n"/>
      <c r="G1960" s="16" t="n"/>
      <c r="H1960" s="63" t="n"/>
      <c r="I1960" s="64" t="n"/>
      <c r="J1960" s="16" t="n"/>
      <c r="K1960" s="16" t="n"/>
      <c r="M1960" s="89" t="n"/>
      <c r="N1960" s="1" t="n"/>
      <c r="O1960" s="1" t="n"/>
      <c r="P1960" s="1" t="n"/>
      <c r="Q1960" s="1" t="n"/>
      <c r="R1960" s="1" t="n"/>
    </row>
    <row r="1961">
      <c r="A1961" s="61" t="n"/>
      <c r="B1961" s="16" t="n"/>
      <c r="C1961" s="90" t="n"/>
      <c r="D1961" s="90" t="n"/>
      <c r="E1961" s="90" t="n"/>
      <c r="F1961" s="16" t="n"/>
      <c r="G1961" s="16" t="n"/>
      <c r="H1961" s="63" t="n"/>
      <c r="I1961" s="64" t="n"/>
      <c r="J1961" s="16" t="n"/>
      <c r="K1961" s="16" t="n"/>
      <c r="M1961" s="89" t="n"/>
      <c r="N1961" s="1" t="n"/>
      <c r="O1961" s="1" t="n"/>
      <c r="P1961" s="1" t="n"/>
      <c r="Q1961" s="1" t="n"/>
      <c r="R1961" s="1" t="n"/>
    </row>
    <row r="1962">
      <c r="A1962" s="61" t="n"/>
      <c r="B1962" s="16" t="n"/>
      <c r="C1962" s="90" t="n"/>
      <c r="D1962" s="90" t="n"/>
      <c r="E1962" s="90" t="n"/>
      <c r="F1962" s="16" t="n"/>
      <c r="G1962" s="16" t="n"/>
      <c r="H1962" s="63" t="n"/>
      <c r="I1962" s="64" t="n"/>
      <c r="J1962" s="16" t="n"/>
      <c r="K1962" s="16" t="n"/>
      <c r="M1962" s="89" t="n"/>
      <c r="N1962" s="1" t="n"/>
      <c r="O1962" s="1" t="n"/>
      <c r="P1962" s="1" t="n"/>
      <c r="Q1962" s="1" t="n"/>
      <c r="R1962" s="1" t="n"/>
    </row>
    <row r="1963">
      <c r="A1963" s="61" t="n"/>
      <c r="B1963" s="16" t="n"/>
      <c r="C1963" s="90" t="n"/>
      <c r="D1963" s="90" t="n"/>
      <c r="E1963" s="90" t="n"/>
      <c r="F1963" s="16" t="n"/>
      <c r="G1963" s="16" t="n"/>
      <c r="H1963" s="63" t="n"/>
      <c r="I1963" s="64" t="n"/>
      <c r="J1963" s="16" t="n"/>
      <c r="K1963" s="16" t="n"/>
      <c r="M1963" s="89" t="n"/>
      <c r="N1963" s="1" t="n"/>
      <c r="O1963" s="1" t="n"/>
      <c r="P1963" s="1" t="n"/>
      <c r="Q1963" s="1" t="n"/>
      <c r="R1963" s="1" t="n"/>
    </row>
    <row r="1964">
      <c r="A1964" s="61" t="n"/>
      <c r="B1964" s="16" t="n"/>
      <c r="C1964" s="90" t="n"/>
      <c r="D1964" s="90" t="n"/>
      <c r="E1964" s="90" t="n"/>
      <c r="F1964" s="16" t="n"/>
      <c r="G1964" s="16" t="n"/>
      <c r="H1964" s="63" t="n"/>
      <c r="I1964" s="64" t="n"/>
      <c r="J1964" s="16" t="n"/>
      <c r="K1964" s="16" t="n"/>
      <c r="M1964" s="89" t="n"/>
      <c r="N1964" s="1" t="n"/>
      <c r="O1964" s="1" t="n"/>
      <c r="P1964" s="1" t="n"/>
      <c r="Q1964" s="1" t="n"/>
      <c r="R1964" s="1" t="n"/>
    </row>
    <row r="1965">
      <c r="A1965" s="61" t="n"/>
      <c r="B1965" s="16" t="n"/>
      <c r="C1965" s="90" t="n"/>
      <c r="D1965" s="90" t="n"/>
      <c r="E1965" s="90" t="n"/>
      <c r="F1965" s="16" t="n"/>
      <c r="G1965" s="16" t="n"/>
      <c r="H1965" s="63" t="n"/>
      <c r="I1965" s="64" t="n"/>
      <c r="J1965" s="16" t="n"/>
      <c r="K1965" s="16" t="n"/>
      <c r="M1965" s="89" t="n"/>
      <c r="N1965" s="1" t="n"/>
      <c r="O1965" s="1" t="n"/>
      <c r="P1965" s="1" t="n"/>
      <c r="Q1965" s="1" t="n"/>
      <c r="R1965" s="1" t="n"/>
    </row>
    <row r="1966">
      <c r="A1966" s="61" t="n"/>
      <c r="B1966" s="16" t="n"/>
      <c r="C1966" s="90" t="n"/>
      <c r="D1966" s="90" t="n"/>
      <c r="E1966" s="90" t="n"/>
      <c r="F1966" s="16" t="n"/>
      <c r="G1966" s="16" t="n"/>
      <c r="H1966" s="63" t="n"/>
      <c r="I1966" s="64" t="n"/>
      <c r="J1966" s="16" t="n"/>
      <c r="K1966" s="16" t="n"/>
      <c r="M1966" s="89" t="n"/>
      <c r="N1966" s="1" t="n"/>
      <c r="O1966" s="1" t="n"/>
      <c r="P1966" s="1" t="n"/>
      <c r="Q1966" s="1" t="n"/>
      <c r="R1966" s="1" t="n"/>
    </row>
    <row r="1967">
      <c r="A1967" s="61" t="n"/>
      <c r="B1967" s="16" t="n"/>
      <c r="C1967" s="90" t="n"/>
      <c r="D1967" s="90" t="n"/>
      <c r="E1967" s="90" t="n"/>
      <c r="F1967" s="16" t="n"/>
      <c r="G1967" s="16" t="n"/>
      <c r="H1967" s="63" t="n"/>
      <c r="I1967" s="64" t="n"/>
      <c r="J1967" s="16" t="n"/>
      <c r="K1967" s="16" t="n"/>
      <c r="M1967" s="89" t="n"/>
      <c r="N1967" s="1" t="n"/>
      <c r="O1967" s="1" t="n"/>
      <c r="P1967" s="1" t="n"/>
      <c r="Q1967" s="1" t="n"/>
      <c r="R1967" s="1" t="n"/>
    </row>
    <row r="1968">
      <c r="A1968" s="61" t="n"/>
      <c r="B1968" s="16" t="n"/>
      <c r="C1968" s="90" t="n"/>
      <c r="D1968" s="90" t="n"/>
      <c r="E1968" s="90" t="n"/>
      <c r="F1968" s="16" t="n"/>
      <c r="G1968" s="16" t="n"/>
      <c r="H1968" s="63" t="n"/>
      <c r="I1968" s="64" t="n"/>
      <c r="J1968" s="16" t="n"/>
      <c r="K1968" s="16" t="n"/>
      <c r="M1968" s="89" t="n"/>
      <c r="N1968" s="1" t="n"/>
      <c r="O1968" s="1" t="n"/>
      <c r="P1968" s="1" t="n"/>
      <c r="Q1968" s="1" t="n"/>
      <c r="R1968" s="1" t="n"/>
    </row>
    <row r="1969">
      <c r="A1969" s="61" t="n"/>
      <c r="B1969" s="16" t="n"/>
      <c r="C1969" s="90" t="n"/>
      <c r="D1969" s="90" t="n"/>
      <c r="E1969" s="90" t="n"/>
      <c r="F1969" s="16" t="n"/>
      <c r="G1969" s="16" t="n"/>
      <c r="H1969" s="63" t="n"/>
      <c r="I1969" s="64" t="n"/>
      <c r="J1969" s="16" t="n"/>
      <c r="K1969" s="16" t="n"/>
      <c r="M1969" s="89" t="n"/>
      <c r="N1969" s="1" t="n"/>
      <c r="O1969" s="1" t="n"/>
      <c r="P1969" s="1" t="n"/>
      <c r="Q1969" s="1" t="n"/>
      <c r="R1969" s="1" t="n"/>
    </row>
    <row r="1970">
      <c r="A1970" s="61" t="n"/>
      <c r="B1970" s="16" t="n"/>
      <c r="C1970" s="90" t="n"/>
      <c r="D1970" s="90" t="n"/>
      <c r="E1970" s="90" t="n"/>
      <c r="F1970" s="16" t="n"/>
      <c r="G1970" s="16" t="n"/>
      <c r="H1970" s="63" t="n"/>
      <c r="I1970" s="64" t="n"/>
      <c r="J1970" s="16" t="n"/>
      <c r="K1970" s="16" t="n"/>
      <c r="M1970" s="89" t="n"/>
      <c r="N1970" s="1" t="n"/>
      <c r="O1970" s="1" t="n"/>
      <c r="P1970" s="1" t="n"/>
      <c r="Q1970" s="1" t="n"/>
      <c r="R1970" s="1" t="n"/>
    </row>
    <row r="1971">
      <c r="A1971" s="61" t="n"/>
      <c r="B1971" s="16" t="n"/>
      <c r="C1971" s="90" t="n"/>
      <c r="D1971" s="90" t="n"/>
      <c r="E1971" s="90" t="n"/>
      <c r="F1971" s="16" t="n"/>
      <c r="G1971" s="16" t="n"/>
      <c r="H1971" s="63" t="n"/>
      <c r="I1971" s="64" t="n"/>
      <c r="J1971" s="16" t="n"/>
      <c r="K1971" s="16" t="n"/>
      <c r="M1971" s="89" t="n"/>
      <c r="N1971" s="1" t="n"/>
      <c r="O1971" s="1" t="n"/>
      <c r="P1971" s="1" t="n"/>
      <c r="Q1971" s="1" t="n"/>
      <c r="R1971" s="1" t="n"/>
    </row>
    <row r="1972">
      <c r="A1972" s="61" t="n"/>
      <c r="B1972" s="16" t="n"/>
      <c r="C1972" s="90" t="n"/>
      <c r="D1972" s="90" t="n"/>
      <c r="E1972" s="90" t="n"/>
      <c r="F1972" s="16" t="n"/>
      <c r="G1972" s="16" t="n"/>
      <c r="H1972" s="63" t="n"/>
      <c r="I1972" s="64" t="n"/>
      <c r="J1972" s="16" t="n"/>
      <c r="K1972" s="16" t="n"/>
      <c r="M1972" s="89" t="n"/>
      <c r="N1972" s="1" t="n"/>
      <c r="O1972" s="1" t="n"/>
      <c r="P1972" s="1" t="n"/>
      <c r="Q1972" s="1" t="n"/>
      <c r="R1972" s="1" t="n"/>
    </row>
    <row r="1973">
      <c r="A1973" s="61" t="n"/>
      <c r="B1973" s="16" t="n"/>
      <c r="C1973" s="90" t="n"/>
      <c r="D1973" s="90" t="n"/>
      <c r="E1973" s="90" t="n"/>
      <c r="F1973" s="16" t="n"/>
      <c r="G1973" s="16" t="n"/>
      <c r="H1973" s="63" t="n"/>
      <c r="I1973" s="64" t="n"/>
      <c r="J1973" s="16" t="n"/>
      <c r="K1973" s="16" t="n"/>
      <c r="M1973" s="89" t="n"/>
      <c r="N1973" s="1" t="n"/>
      <c r="O1973" s="1" t="n"/>
      <c r="P1973" s="1" t="n"/>
      <c r="Q1973" s="1" t="n"/>
      <c r="R1973" s="1" t="n"/>
    </row>
    <row r="1974">
      <c r="A1974" s="61" t="n"/>
      <c r="B1974" s="16" t="n"/>
      <c r="C1974" s="90" t="n"/>
      <c r="D1974" s="90" t="n"/>
      <c r="E1974" s="90" t="n"/>
      <c r="F1974" s="16" t="n"/>
      <c r="G1974" s="16" t="n"/>
      <c r="H1974" s="63" t="n"/>
      <c r="I1974" s="64" t="n"/>
      <c r="J1974" s="16" t="n"/>
      <c r="K1974" s="16" t="n"/>
      <c r="M1974" s="89" t="n"/>
      <c r="N1974" s="1" t="n"/>
      <c r="O1974" s="1" t="n"/>
      <c r="P1974" s="1" t="n"/>
      <c r="Q1974" s="1" t="n"/>
      <c r="R1974" s="1" t="n"/>
    </row>
    <row r="1975">
      <c r="A1975" s="61" t="n"/>
      <c r="B1975" s="16" t="n"/>
      <c r="C1975" s="90" t="n"/>
      <c r="D1975" s="90" t="n"/>
      <c r="E1975" s="90" t="n"/>
      <c r="F1975" s="16" t="n"/>
      <c r="G1975" s="16" t="n"/>
      <c r="H1975" s="63" t="n"/>
      <c r="I1975" s="64" t="n"/>
      <c r="J1975" s="16" t="n"/>
      <c r="K1975" s="16" t="n"/>
      <c r="M1975" s="89" t="n"/>
      <c r="N1975" s="1" t="n"/>
      <c r="O1975" s="1" t="n"/>
      <c r="P1975" s="1" t="n"/>
      <c r="Q1975" s="1" t="n"/>
      <c r="R1975" s="1" t="n"/>
    </row>
    <row r="1976">
      <c r="A1976" s="61" t="n"/>
      <c r="B1976" s="16" t="n"/>
      <c r="C1976" s="90" t="n"/>
      <c r="D1976" s="90" t="n"/>
      <c r="E1976" s="90" t="n"/>
      <c r="F1976" s="16" t="n"/>
      <c r="G1976" s="16" t="n"/>
      <c r="H1976" s="63" t="n"/>
      <c r="I1976" s="64" t="n"/>
      <c r="J1976" s="16" t="n"/>
      <c r="K1976" s="16" t="n"/>
      <c r="M1976" s="89" t="n"/>
      <c r="N1976" s="1" t="n"/>
      <c r="O1976" s="1" t="n"/>
      <c r="P1976" s="1" t="n"/>
      <c r="Q1976" s="1" t="n"/>
      <c r="R1976" s="1" t="n"/>
    </row>
    <row r="1977">
      <c r="A1977" s="61" t="n"/>
      <c r="B1977" s="16" t="n"/>
      <c r="C1977" s="90" t="n"/>
      <c r="D1977" s="90" t="n"/>
      <c r="E1977" s="90" t="n"/>
      <c r="F1977" s="16" t="n"/>
      <c r="G1977" s="16" t="n"/>
      <c r="H1977" s="63" t="n"/>
      <c r="I1977" s="64" t="n"/>
      <c r="J1977" s="16" t="n"/>
      <c r="K1977" s="16" t="n"/>
      <c r="M1977" s="89" t="n"/>
      <c r="N1977" s="1" t="n"/>
      <c r="O1977" s="1" t="n"/>
      <c r="P1977" s="1" t="n"/>
      <c r="Q1977" s="1" t="n"/>
      <c r="R1977" s="1" t="n"/>
    </row>
    <row r="1978">
      <c r="A1978" s="61" t="n"/>
      <c r="B1978" s="16" t="n"/>
      <c r="C1978" s="90" t="n"/>
      <c r="D1978" s="90" t="n"/>
      <c r="E1978" s="90" t="n"/>
      <c r="F1978" s="16" t="n"/>
      <c r="G1978" s="16" t="n"/>
      <c r="H1978" s="63" t="n"/>
      <c r="I1978" s="64" t="n"/>
      <c r="J1978" s="16" t="n"/>
      <c r="K1978" s="16" t="n"/>
      <c r="M1978" s="89" t="n"/>
      <c r="N1978" s="1" t="n"/>
      <c r="O1978" s="1" t="n"/>
      <c r="P1978" s="1" t="n"/>
      <c r="Q1978" s="1" t="n"/>
      <c r="R1978" s="1" t="n"/>
    </row>
    <row r="1979">
      <c r="A1979" s="61" t="n"/>
      <c r="B1979" s="16" t="n"/>
      <c r="C1979" s="90" t="n"/>
      <c r="D1979" s="90" t="n"/>
      <c r="E1979" s="90" t="n"/>
      <c r="F1979" s="16" t="n"/>
      <c r="G1979" s="16" t="n"/>
      <c r="H1979" s="63" t="n"/>
      <c r="I1979" s="64" t="n"/>
      <c r="J1979" s="16" t="n"/>
      <c r="K1979" s="16" t="n"/>
      <c r="M1979" s="89" t="n"/>
      <c r="N1979" s="1" t="n"/>
      <c r="O1979" s="1" t="n"/>
      <c r="P1979" s="1" t="n"/>
      <c r="Q1979" s="1" t="n"/>
      <c r="R1979" s="1" t="n"/>
    </row>
    <row r="1980">
      <c r="A1980" s="61" t="n"/>
      <c r="B1980" s="16" t="n"/>
      <c r="C1980" s="90" t="n"/>
      <c r="D1980" s="90" t="n"/>
      <c r="E1980" s="90" t="n"/>
      <c r="F1980" s="16" t="n"/>
      <c r="G1980" s="16" t="n"/>
      <c r="H1980" s="63" t="n"/>
      <c r="I1980" s="64" t="n"/>
      <c r="J1980" s="16" t="n"/>
      <c r="K1980" s="16" t="n"/>
      <c r="M1980" s="89" t="n"/>
      <c r="N1980" s="1" t="n"/>
      <c r="O1980" s="1" t="n"/>
      <c r="P1980" s="1" t="n"/>
      <c r="Q1980" s="1" t="n"/>
      <c r="R1980" s="1" t="n"/>
    </row>
    <row r="1981">
      <c r="A1981" s="61" t="n"/>
      <c r="B1981" s="16" t="n"/>
      <c r="C1981" s="90" t="n"/>
      <c r="D1981" s="90" t="n"/>
      <c r="E1981" s="90" t="n"/>
      <c r="F1981" s="16" t="n"/>
      <c r="G1981" s="16" t="n"/>
      <c r="H1981" s="63" t="n"/>
      <c r="I1981" s="64" t="n"/>
      <c r="J1981" s="16" t="n"/>
      <c r="K1981" s="16" t="n"/>
      <c r="M1981" s="89" t="n"/>
      <c r="N1981" s="1" t="n"/>
      <c r="O1981" s="1" t="n"/>
      <c r="P1981" s="1" t="n"/>
      <c r="Q1981" s="1" t="n"/>
      <c r="R1981" s="1" t="n"/>
    </row>
    <row r="1982">
      <c r="A1982" s="61" t="n"/>
      <c r="B1982" s="16" t="n"/>
      <c r="C1982" s="90" t="n"/>
      <c r="D1982" s="90" t="n"/>
      <c r="E1982" s="90" t="n"/>
      <c r="F1982" s="16" t="n"/>
      <c r="G1982" s="16" t="n"/>
      <c r="H1982" s="63" t="n"/>
      <c r="I1982" s="64" t="n"/>
      <c r="J1982" s="16" t="n"/>
      <c r="K1982" s="16" t="n"/>
      <c r="M1982" s="89" t="n"/>
      <c r="N1982" s="1" t="n"/>
      <c r="O1982" s="1" t="n"/>
      <c r="P1982" s="1" t="n"/>
      <c r="Q1982" s="1" t="n"/>
      <c r="R1982" s="1" t="n"/>
    </row>
    <row r="1983">
      <c r="A1983" s="61" t="n"/>
      <c r="B1983" s="16" t="n"/>
      <c r="C1983" s="90" t="n"/>
      <c r="D1983" s="90" t="n"/>
      <c r="E1983" s="90" t="n"/>
      <c r="F1983" s="16" t="n"/>
      <c r="G1983" s="16" t="n"/>
      <c r="H1983" s="63" t="n"/>
      <c r="I1983" s="64" t="n"/>
      <c r="J1983" s="16" t="n"/>
      <c r="K1983" s="16" t="n"/>
      <c r="M1983" s="89" t="n"/>
      <c r="N1983" s="1" t="n"/>
      <c r="O1983" s="1" t="n"/>
      <c r="P1983" s="1" t="n"/>
      <c r="Q1983" s="1" t="n"/>
      <c r="R1983" s="1" t="n"/>
    </row>
    <row r="1984">
      <c r="A1984" s="61" t="n"/>
      <c r="B1984" s="16" t="n"/>
      <c r="C1984" s="90" t="n"/>
      <c r="D1984" s="90" t="n"/>
      <c r="E1984" s="90" t="n"/>
      <c r="F1984" s="16" t="n"/>
      <c r="G1984" s="16" t="n"/>
      <c r="H1984" s="63" t="n"/>
      <c r="I1984" s="64" t="n"/>
      <c r="J1984" s="16" t="n"/>
      <c r="K1984" s="16" t="n"/>
      <c r="M1984" s="89" t="n"/>
      <c r="N1984" s="1" t="n"/>
      <c r="O1984" s="1" t="n"/>
      <c r="P1984" s="1" t="n"/>
      <c r="Q1984" s="1" t="n"/>
      <c r="R1984" s="1" t="n"/>
    </row>
    <row r="1985">
      <c r="A1985" s="61" t="n"/>
      <c r="B1985" s="16" t="n"/>
      <c r="C1985" s="90" t="n"/>
      <c r="D1985" s="90" t="n"/>
      <c r="E1985" s="90" t="n"/>
      <c r="F1985" s="16" t="n"/>
      <c r="G1985" s="16" t="n"/>
      <c r="H1985" s="63" t="n"/>
      <c r="I1985" s="64" t="n"/>
      <c r="J1985" s="16" t="n"/>
      <c r="K1985" s="16" t="n"/>
      <c r="M1985" s="89" t="n"/>
      <c r="N1985" s="1" t="n"/>
      <c r="O1985" s="1" t="n"/>
      <c r="P1985" s="1" t="n"/>
      <c r="Q1985" s="1" t="n"/>
      <c r="R1985" s="1" t="n"/>
    </row>
    <row r="1986">
      <c r="A1986" s="61" t="n"/>
      <c r="B1986" s="16" t="n"/>
      <c r="C1986" s="90" t="n"/>
      <c r="D1986" s="90" t="n"/>
      <c r="E1986" s="90" t="n"/>
      <c r="F1986" s="16" t="n"/>
      <c r="G1986" s="16" t="n"/>
      <c r="H1986" s="63" t="n"/>
      <c r="I1986" s="64" t="n"/>
      <c r="J1986" s="16" t="n"/>
      <c r="K1986" s="16" t="n"/>
      <c r="M1986" s="89" t="n"/>
      <c r="N1986" s="1" t="n"/>
      <c r="O1986" s="1" t="n"/>
      <c r="P1986" s="1" t="n"/>
      <c r="Q1986" s="1" t="n"/>
      <c r="R1986" s="1" t="n"/>
    </row>
    <row r="1987">
      <c r="A1987" s="61" t="n"/>
      <c r="B1987" s="16" t="n"/>
      <c r="C1987" s="90" t="n"/>
      <c r="D1987" s="90" t="n"/>
      <c r="E1987" s="90" t="n"/>
      <c r="F1987" s="16" t="n"/>
      <c r="G1987" s="16" t="n"/>
      <c r="H1987" s="63" t="n"/>
      <c r="I1987" s="64" t="n"/>
      <c r="J1987" s="16" t="n"/>
      <c r="K1987" s="16" t="n"/>
      <c r="M1987" s="89" t="n"/>
      <c r="N1987" s="1" t="n"/>
      <c r="O1987" s="1" t="n"/>
      <c r="P1987" s="1" t="n"/>
      <c r="Q1987" s="1" t="n"/>
      <c r="R1987" s="1" t="n"/>
    </row>
    <row r="1988">
      <c r="A1988" s="61" t="n"/>
      <c r="B1988" s="16" t="n"/>
      <c r="C1988" s="90" t="n"/>
      <c r="D1988" s="90" t="n"/>
      <c r="E1988" s="90" t="n"/>
      <c r="F1988" s="16" t="n"/>
      <c r="G1988" s="16" t="n"/>
      <c r="H1988" s="63" t="n"/>
      <c r="I1988" s="64" t="n"/>
      <c r="J1988" s="16" t="n"/>
      <c r="K1988" s="16" t="n"/>
      <c r="M1988" s="89" t="n"/>
      <c r="N1988" s="1" t="n"/>
      <c r="O1988" s="1" t="n"/>
      <c r="P1988" s="1" t="n"/>
      <c r="Q1988" s="1" t="n"/>
      <c r="R1988" s="1" t="n"/>
    </row>
    <row r="1989">
      <c r="A1989" s="61" t="n"/>
      <c r="B1989" s="16" t="n"/>
      <c r="C1989" s="90" t="n"/>
      <c r="D1989" s="90" t="n"/>
      <c r="E1989" s="90" t="n"/>
      <c r="F1989" s="16" t="n"/>
      <c r="G1989" s="16" t="n"/>
      <c r="H1989" s="63" t="n"/>
      <c r="I1989" s="64" t="n"/>
      <c r="J1989" s="16" t="n"/>
      <c r="K1989" s="16" t="n"/>
      <c r="M1989" s="89" t="n"/>
      <c r="N1989" s="1" t="n"/>
      <c r="O1989" s="1" t="n"/>
      <c r="P1989" s="1" t="n"/>
      <c r="Q1989" s="1" t="n"/>
      <c r="R1989" s="1" t="n"/>
    </row>
    <row r="1990">
      <c r="A1990" s="61" t="n"/>
      <c r="B1990" s="16" t="n"/>
      <c r="C1990" s="90" t="n"/>
      <c r="D1990" s="90" t="n"/>
      <c r="E1990" s="90" t="n"/>
      <c r="F1990" s="16" t="n"/>
      <c r="G1990" s="16" t="n"/>
      <c r="H1990" s="63" t="n"/>
      <c r="I1990" s="64" t="n"/>
      <c r="J1990" s="16" t="n"/>
      <c r="K1990" s="16" t="n"/>
      <c r="M1990" s="89" t="n"/>
      <c r="N1990" s="1" t="n"/>
      <c r="O1990" s="1" t="n"/>
      <c r="P1990" s="1" t="n"/>
      <c r="Q1990" s="1" t="n"/>
      <c r="R1990" s="1" t="n"/>
    </row>
    <row r="1991">
      <c r="A1991" s="61" t="n"/>
      <c r="B1991" s="16" t="n"/>
      <c r="C1991" s="90" t="n"/>
      <c r="D1991" s="90" t="n"/>
      <c r="E1991" s="90" t="n"/>
      <c r="F1991" s="16" t="n"/>
      <c r="G1991" s="16" t="n"/>
      <c r="H1991" s="63" t="n"/>
      <c r="I1991" s="64" t="n"/>
      <c r="J1991" s="16" t="n"/>
      <c r="K1991" s="16" t="n"/>
      <c r="M1991" s="89" t="n"/>
      <c r="N1991" s="1" t="n"/>
      <c r="O1991" s="1" t="n"/>
      <c r="P1991" s="1" t="n"/>
      <c r="Q1991" s="1" t="n"/>
      <c r="R1991" s="1" t="n"/>
    </row>
    <row r="1992">
      <c r="A1992" s="61" t="n"/>
      <c r="B1992" s="16" t="n"/>
      <c r="C1992" s="90" t="n"/>
      <c r="D1992" s="90" t="n"/>
      <c r="E1992" s="90" t="n"/>
      <c r="F1992" s="16" t="n"/>
      <c r="G1992" s="16" t="n"/>
      <c r="H1992" s="63" t="n"/>
      <c r="I1992" s="64" t="n"/>
      <c r="J1992" s="16" t="n"/>
      <c r="K1992" s="16" t="n"/>
      <c r="M1992" s="89" t="n"/>
      <c r="N1992" s="1" t="n"/>
      <c r="O1992" s="1" t="n"/>
      <c r="P1992" s="1" t="n"/>
      <c r="Q1992" s="1" t="n"/>
      <c r="R1992" s="1" t="n"/>
    </row>
    <row r="1993">
      <c r="A1993" s="61" t="n"/>
      <c r="B1993" s="16" t="n"/>
      <c r="C1993" s="90" t="n"/>
      <c r="D1993" s="90" t="n"/>
      <c r="E1993" s="90" t="n"/>
      <c r="F1993" s="16" t="n"/>
      <c r="G1993" s="16" t="n"/>
      <c r="H1993" s="63" t="n"/>
      <c r="I1993" s="64" t="n"/>
      <c r="J1993" s="16" t="n"/>
      <c r="K1993" s="16" t="n"/>
      <c r="M1993" s="89" t="n"/>
      <c r="N1993" s="1" t="n"/>
      <c r="O1993" s="1" t="n"/>
      <c r="P1993" s="1" t="n"/>
      <c r="Q1993" s="1" t="n"/>
      <c r="R1993" s="1" t="n"/>
    </row>
    <row r="1994">
      <c r="A1994" s="61" t="n"/>
      <c r="B1994" s="16" t="n"/>
      <c r="C1994" s="90" t="n"/>
      <c r="D1994" s="90" t="n"/>
      <c r="E1994" s="90" t="n"/>
      <c r="F1994" s="16" t="n"/>
      <c r="G1994" s="16" t="n"/>
      <c r="H1994" s="63" t="n"/>
      <c r="I1994" s="64" t="n"/>
      <c r="J1994" s="16" t="n"/>
      <c r="K1994" s="16" t="n"/>
      <c r="M1994" s="89" t="n"/>
      <c r="N1994" s="1" t="n"/>
      <c r="O1994" s="1" t="n"/>
      <c r="P1994" s="1" t="n"/>
      <c r="Q1994" s="1" t="n"/>
      <c r="R1994" s="1" t="n"/>
    </row>
    <row r="1995">
      <c r="A1995" s="61" t="n"/>
      <c r="B1995" s="16" t="n"/>
      <c r="C1995" s="90" t="n"/>
      <c r="D1995" s="90" t="n"/>
      <c r="E1995" s="90" t="n"/>
      <c r="F1995" s="16" t="n"/>
      <c r="G1995" s="16" t="n"/>
      <c r="H1995" s="63" t="n"/>
      <c r="I1995" s="64" t="n"/>
      <c r="J1995" s="16" t="n"/>
      <c r="K1995" s="16" t="n"/>
      <c r="M1995" s="89" t="n"/>
      <c r="N1995" s="1" t="n"/>
      <c r="O1995" s="1" t="n"/>
      <c r="P1995" s="1" t="n"/>
      <c r="Q1995" s="1" t="n"/>
      <c r="R1995" s="1" t="n"/>
    </row>
    <row r="1996">
      <c r="A1996" s="61" t="n"/>
      <c r="B1996" s="16" t="n"/>
      <c r="C1996" s="90" t="n"/>
      <c r="D1996" s="90" t="n"/>
      <c r="E1996" s="90" t="n"/>
      <c r="F1996" s="16" t="n"/>
      <c r="G1996" s="16" t="n"/>
      <c r="H1996" s="63" t="n"/>
      <c r="I1996" s="64" t="n"/>
      <c r="J1996" s="16" t="n"/>
      <c r="K1996" s="16" t="n"/>
      <c r="M1996" s="89" t="n"/>
      <c r="N1996" s="1" t="n"/>
      <c r="O1996" s="1" t="n"/>
      <c r="P1996" s="1" t="n"/>
      <c r="Q1996" s="1" t="n"/>
      <c r="R1996" s="1" t="n"/>
    </row>
    <row r="1997">
      <c r="A1997" s="61" t="n"/>
      <c r="B1997" s="16" t="n"/>
      <c r="C1997" s="90" t="n"/>
      <c r="D1997" s="90" t="n"/>
      <c r="E1997" s="90" t="n"/>
      <c r="F1997" s="16" t="n"/>
      <c r="G1997" s="16" t="n"/>
      <c r="H1997" s="63" t="n"/>
      <c r="I1997" s="64" t="n"/>
      <c r="J1997" s="16" t="n"/>
      <c r="K1997" s="16" t="n"/>
      <c r="M1997" s="89" t="n"/>
      <c r="N1997" s="1" t="n"/>
      <c r="O1997" s="1" t="n"/>
      <c r="P1997" s="1" t="n"/>
      <c r="Q1997" s="1" t="n"/>
      <c r="R1997" s="1" t="n"/>
    </row>
    <row r="1998">
      <c r="A1998" s="61" t="n"/>
      <c r="B1998" s="16" t="n"/>
      <c r="C1998" s="90" t="n"/>
      <c r="D1998" s="90" t="n"/>
      <c r="E1998" s="90" t="n"/>
      <c r="F1998" s="16" t="n"/>
      <c r="G1998" s="16" t="n"/>
      <c r="H1998" s="63" t="n"/>
      <c r="I1998" s="64" t="n"/>
      <c r="J1998" s="16" t="n"/>
      <c r="K1998" s="16" t="n"/>
      <c r="M1998" s="89" t="n"/>
      <c r="N1998" s="1" t="n"/>
      <c r="O1998" s="1" t="n"/>
      <c r="P1998" s="1" t="n"/>
      <c r="Q1998" s="1" t="n"/>
      <c r="R1998" s="1" t="n"/>
    </row>
    <row r="1999">
      <c r="A1999" s="61" t="n"/>
      <c r="B1999" s="16" t="n"/>
      <c r="C1999" s="90" t="n"/>
      <c r="D1999" s="90" t="n"/>
      <c r="E1999" s="90" t="n"/>
      <c r="F1999" s="16" t="n"/>
      <c r="G1999" s="16" t="n"/>
      <c r="H1999" s="63" t="n"/>
      <c r="I1999" s="64" t="n"/>
      <c r="J1999" s="16" t="n"/>
      <c r="K1999" s="16" t="n"/>
      <c r="M1999" s="89" t="n"/>
      <c r="N1999" s="1" t="n"/>
      <c r="O1999" s="1" t="n"/>
      <c r="P1999" s="1" t="n"/>
      <c r="Q1999" s="1" t="n"/>
      <c r="R1999" s="1" t="n"/>
    </row>
    <row r="2000">
      <c r="A2000" s="61" t="n"/>
      <c r="B2000" s="16" t="n"/>
      <c r="C2000" s="90" t="n"/>
      <c r="D2000" s="90" t="n"/>
      <c r="E2000" s="90" t="n"/>
      <c r="F2000" s="16" t="n"/>
      <c r="G2000" s="16" t="n"/>
      <c r="H2000" s="63" t="n"/>
      <c r="I2000" s="64" t="n"/>
      <c r="J2000" s="16" t="n"/>
      <c r="K2000" s="16" t="n"/>
      <c r="M2000" s="89" t="n"/>
      <c r="N2000" s="1" t="n"/>
      <c r="O2000" s="1" t="n"/>
      <c r="P2000" s="1" t="n"/>
      <c r="Q2000" s="1" t="n"/>
      <c r="R2000" s="1" t="n"/>
    </row>
    <row r="2001">
      <c r="A2001" s="61" t="n"/>
      <c r="B2001" s="16" t="n"/>
      <c r="C2001" s="90" t="n"/>
      <c r="D2001" s="90" t="n"/>
      <c r="E2001" s="90" t="n"/>
      <c r="F2001" s="16" t="n"/>
      <c r="G2001" s="16" t="n"/>
      <c r="H2001" s="63" t="n"/>
      <c r="I2001" s="64" t="n"/>
      <c r="J2001" s="16" t="n"/>
      <c r="K2001" s="16" t="n"/>
      <c r="M2001" s="89" t="n"/>
      <c r="N2001" s="1" t="n"/>
      <c r="O2001" s="1" t="n"/>
      <c r="P2001" s="1" t="n"/>
      <c r="Q2001" s="1" t="n"/>
      <c r="R2001" s="1" t="n"/>
    </row>
    <row r="2002">
      <c r="A2002" s="61" t="n"/>
      <c r="B2002" s="16" t="n"/>
      <c r="C2002" s="90" t="n"/>
      <c r="D2002" s="90" t="n"/>
      <c r="E2002" s="90" t="n"/>
      <c r="F2002" s="16" t="n"/>
      <c r="G2002" s="16" t="n"/>
      <c r="H2002" s="63" t="n"/>
      <c r="I2002" s="64" t="n"/>
      <c r="J2002" s="16" t="n"/>
      <c r="K2002" s="16" t="n"/>
      <c r="M2002" s="89" t="n"/>
      <c r="N2002" s="1" t="n"/>
      <c r="O2002" s="1" t="n"/>
      <c r="P2002" s="1" t="n"/>
      <c r="Q2002" s="1" t="n"/>
      <c r="R2002" s="1" t="n"/>
    </row>
    <row r="2003">
      <c r="A2003" s="61" t="n"/>
      <c r="B2003" s="16" t="n"/>
      <c r="C2003" s="90" t="n"/>
      <c r="D2003" s="90" t="n"/>
      <c r="E2003" s="90" t="n"/>
      <c r="F2003" s="16" t="n"/>
      <c r="G2003" s="16" t="n"/>
      <c r="H2003" s="63" t="n"/>
      <c r="I2003" s="64" t="n"/>
      <c r="J2003" s="16" t="n"/>
      <c r="K2003" s="16" t="n"/>
      <c r="M2003" s="89" t="n"/>
      <c r="N2003" s="1" t="n"/>
      <c r="O2003" s="1" t="n"/>
      <c r="P2003" s="1" t="n"/>
      <c r="Q2003" s="1" t="n"/>
      <c r="R2003" s="1" t="n"/>
    </row>
    <row r="2004">
      <c r="A2004" s="61" t="n"/>
      <c r="B2004" s="16" t="n"/>
      <c r="C2004" s="90" t="n"/>
      <c r="D2004" s="90" t="n"/>
      <c r="E2004" s="90" t="n"/>
      <c r="F2004" s="16" t="n"/>
      <c r="G2004" s="16" t="n"/>
      <c r="H2004" s="63" t="n"/>
      <c r="I2004" s="64" t="n"/>
      <c r="J2004" s="16" t="n"/>
      <c r="K2004" s="16" t="n"/>
      <c r="M2004" s="89" t="n"/>
      <c r="N2004" s="1" t="n"/>
      <c r="O2004" s="1" t="n"/>
      <c r="P2004" s="1" t="n"/>
      <c r="Q2004" s="1" t="n"/>
      <c r="R2004" s="1" t="n"/>
    </row>
    <row r="2005">
      <c r="A2005" s="61" t="n"/>
      <c r="B2005" s="16" t="n"/>
      <c r="C2005" s="90" t="n"/>
      <c r="D2005" s="90" t="n"/>
      <c r="E2005" s="90" t="n"/>
      <c r="F2005" s="16" t="n"/>
      <c r="G2005" s="16" t="n"/>
      <c r="H2005" s="63" t="n"/>
      <c r="I2005" s="64" t="n"/>
      <c r="J2005" s="16" t="n"/>
      <c r="K2005" s="16" t="n"/>
      <c r="M2005" s="89" t="n"/>
      <c r="N2005" s="1" t="n"/>
      <c r="O2005" s="1" t="n"/>
      <c r="P2005" s="1" t="n"/>
      <c r="Q2005" s="1" t="n"/>
      <c r="R2005" s="1" t="n"/>
    </row>
    <row r="2006">
      <c r="A2006" s="61" t="n"/>
      <c r="B2006" s="16" t="n"/>
      <c r="C2006" s="90" t="n"/>
      <c r="D2006" s="90" t="n"/>
      <c r="E2006" s="90" t="n"/>
      <c r="F2006" s="16" t="n"/>
      <c r="G2006" s="16" t="n"/>
      <c r="H2006" s="63" t="n"/>
      <c r="I2006" s="64" t="n"/>
      <c r="J2006" s="16" t="n"/>
      <c r="K2006" s="16" t="n"/>
      <c r="M2006" s="89" t="n"/>
      <c r="N2006" s="1" t="n"/>
      <c r="O2006" s="1" t="n"/>
      <c r="P2006" s="1" t="n"/>
      <c r="Q2006" s="1" t="n"/>
      <c r="R2006" s="1" t="n"/>
    </row>
    <row r="2007">
      <c r="A2007" s="61" t="n"/>
      <c r="B2007" s="16" t="n"/>
      <c r="C2007" s="90" t="n"/>
      <c r="D2007" s="90" t="n"/>
      <c r="E2007" s="90" t="n"/>
      <c r="F2007" s="16" t="n"/>
      <c r="G2007" s="16" t="n"/>
      <c r="H2007" s="63" t="n"/>
      <c r="I2007" s="64" t="n"/>
      <c r="J2007" s="16" t="n"/>
      <c r="K2007" s="16" t="n"/>
      <c r="M2007" s="89" t="n"/>
      <c r="N2007" s="1" t="n"/>
      <c r="O2007" s="1" t="n"/>
      <c r="P2007" s="1" t="n"/>
      <c r="Q2007" s="1" t="n"/>
      <c r="R2007" s="1" t="n"/>
    </row>
    <row r="2008">
      <c r="A2008" s="61" t="n"/>
      <c r="B2008" s="16" t="n"/>
      <c r="C2008" s="90" t="n"/>
      <c r="D2008" s="90" t="n"/>
      <c r="E2008" s="90" t="n"/>
      <c r="F2008" s="16" t="n"/>
      <c r="G2008" s="16" t="n"/>
      <c r="H2008" s="63" t="n"/>
      <c r="I2008" s="64" t="n"/>
      <c r="J2008" s="16" t="n"/>
      <c r="K2008" s="16" t="n"/>
      <c r="M2008" s="89" t="n"/>
      <c r="N2008" s="1" t="n"/>
      <c r="O2008" s="1" t="n"/>
      <c r="P2008" s="1" t="n"/>
      <c r="Q2008" s="1" t="n"/>
      <c r="R2008" s="1" t="n"/>
    </row>
    <row r="2009">
      <c r="A2009" s="61" t="n"/>
      <c r="B2009" s="16" t="n"/>
      <c r="C2009" s="90" t="n"/>
      <c r="D2009" s="90" t="n"/>
      <c r="E2009" s="90" t="n"/>
      <c r="F2009" s="16" t="n"/>
      <c r="G2009" s="16" t="n"/>
      <c r="H2009" s="63" t="n"/>
      <c r="I2009" s="64" t="n"/>
      <c r="J2009" s="16" t="n"/>
      <c r="K2009" s="16" t="n"/>
      <c r="M2009" s="89" t="n"/>
      <c r="N2009" s="1" t="n"/>
      <c r="O2009" s="1" t="n"/>
      <c r="P2009" s="1" t="n"/>
      <c r="Q2009" s="1" t="n"/>
      <c r="R2009" s="1" t="n"/>
    </row>
    <row r="2010">
      <c r="A2010" s="61" t="n"/>
      <c r="B2010" s="16" t="n"/>
      <c r="C2010" s="90" t="n"/>
      <c r="D2010" s="90" t="n"/>
      <c r="E2010" s="90" t="n"/>
      <c r="F2010" s="16" t="n"/>
      <c r="G2010" s="16" t="n"/>
      <c r="H2010" s="63" t="n"/>
      <c r="I2010" s="64" t="n"/>
      <c r="J2010" s="16" t="n"/>
      <c r="K2010" s="16" t="n"/>
      <c r="M2010" s="89" t="n"/>
      <c r="N2010" s="1" t="n"/>
      <c r="O2010" s="1" t="n"/>
      <c r="P2010" s="1" t="n"/>
      <c r="Q2010" s="1" t="n"/>
      <c r="R2010" s="1" t="n"/>
    </row>
    <row r="2011">
      <c r="A2011" s="61" t="n"/>
      <c r="B2011" s="16" t="n"/>
      <c r="C2011" s="90" t="n"/>
      <c r="D2011" s="90" t="n"/>
      <c r="E2011" s="90" t="n"/>
      <c r="F2011" s="16" t="n"/>
      <c r="G2011" s="16" t="n"/>
      <c r="H2011" s="63" t="n"/>
      <c r="I2011" s="64" t="n"/>
      <c r="J2011" s="16" t="n"/>
      <c r="K2011" s="16" t="n"/>
      <c r="M2011" s="89" t="n"/>
      <c r="N2011" s="1" t="n"/>
      <c r="O2011" s="1" t="n"/>
      <c r="P2011" s="1" t="n"/>
      <c r="Q2011" s="1" t="n"/>
      <c r="R2011" s="1" t="n"/>
    </row>
    <row r="2012">
      <c r="A2012" s="61" t="n"/>
      <c r="B2012" s="16" t="n"/>
      <c r="C2012" s="90" t="n"/>
      <c r="D2012" s="90" t="n"/>
      <c r="E2012" s="90" t="n"/>
      <c r="F2012" s="16" t="n"/>
      <c r="G2012" s="16" t="n"/>
      <c r="H2012" s="63" t="n"/>
      <c r="I2012" s="64" t="n"/>
      <c r="J2012" s="16" t="n"/>
      <c r="K2012" s="16" t="n"/>
      <c r="M2012" s="89" t="n"/>
      <c r="N2012" s="1" t="n"/>
      <c r="O2012" s="1" t="n"/>
      <c r="P2012" s="1" t="n"/>
      <c r="Q2012" s="1" t="n"/>
      <c r="R2012" s="1" t="n"/>
    </row>
    <row r="2013">
      <c r="A2013" s="61" t="n"/>
      <c r="B2013" s="16" t="n"/>
      <c r="C2013" s="90" t="n"/>
      <c r="D2013" s="90" t="n"/>
      <c r="E2013" s="90" t="n"/>
      <c r="F2013" s="16" t="n"/>
      <c r="G2013" s="16" t="n"/>
      <c r="H2013" s="63" t="n"/>
      <c r="I2013" s="64" t="n"/>
      <c r="J2013" s="16" t="n"/>
      <c r="K2013" s="16" t="n"/>
      <c r="M2013" s="89" t="n"/>
      <c r="N2013" s="1" t="n"/>
      <c r="O2013" s="1" t="n"/>
      <c r="P2013" s="1" t="n"/>
      <c r="Q2013" s="1" t="n"/>
      <c r="R2013" s="1" t="n"/>
    </row>
    <row r="2014">
      <c r="A2014" s="61" t="n"/>
      <c r="B2014" s="16" t="n"/>
      <c r="C2014" s="90" t="n"/>
      <c r="D2014" s="90" t="n"/>
      <c r="E2014" s="90" t="n"/>
      <c r="F2014" s="16" t="n"/>
      <c r="G2014" s="16" t="n"/>
      <c r="H2014" s="63" t="n"/>
      <c r="I2014" s="64" t="n"/>
      <c r="J2014" s="16" t="n"/>
      <c r="K2014" s="16" t="n"/>
      <c r="M2014" s="89" t="n"/>
      <c r="N2014" s="1" t="n"/>
      <c r="O2014" s="1" t="n"/>
      <c r="P2014" s="1" t="n"/>
      <c r="Q2014" s="1" t="n"/>
      <c r="R2014" s="1" t="n"/>
    </row>
    <row r="2015">
      <c r="A2015" s="61" t="n"/>
      <c r="B2015" s="16" t="n"/>
      <c r="C2015" s="90" t="n"/>
      <c r="D2015" s="90" t="n"/>
      <c r="E2015" s="90" t="n"/>
      <c r="F2015" s="16" t="n"/>
      <c r="G2015" s="16" t="n"/>
      <c r="H2015" s="63" t="n"/>
      <c r="I2015" s="64" t="n"/>
      <c r="J2015" s="16" t="n"/>
      <c r="K2015" s="16" t="n"/>
      <c r="M2015" s="89" t="n"/>
      <c r="N2015" s="1" t="n"/>
      <c r="O2015" s="1" t="n"/>
      <c r="P2015" s="1" t="n"/>
      <c r="Q2015" s="1" t="n"/>
      <c r="R2015" s="1" t="n"/>
    </row>
    <row r="2016">
      <c r="A2016" s="61" t="n"/>
      <c r="B2016" s="16" t="n"/>
      <c r="C2016" s="90" t="n"/>
      <c r="D2016" s="90" t="n"/>
      <c r="E2016" s="90" t="n"/>
      <c r="F2016" s="16" t="n"/>
      <c r="G2016" s="16" t="n"/>
      <c r="H2016" s="63" t="n"/>
      <c r="I2016" s="64" t="n"/>
      <c r="J2016" s="16" t="n"/>
      <c r="K2016" s="16" t="n"/>
      <c r="M2016" s="89" t="n"/>
      <c r="N2016" s="1" t="n"/>
      <c r="O2016" s="1" t="n"/>
      <c r="P2016" s="1" t="n"/>
      <c r="Q2016" s="1" t="n"/>
      <c r="R2016" s="1" t="n"/>
    </row>
    <row r="2017">
      <c r="A2017" s="61" t="n"/>
      <c r="B2017" s="16" t="n"/>
      <c r="C2017" s="90" t="n"/>
      <c r="D2017" s="90" t="n"/>
      <c r="E2017" s="90" t="n"/>
      <c r="F2017" s="16" t="n"/>
      <c r="G2017" s="16" t="n"/>
      <c r="H2017" s="63" t="n"/>
      <c r="I2017" s="64" t="n"/>
      <c r="J2017" s="16" t="n"/>
      <c r="K2017" s="16" t="n"/>
      <c r="M2017" s="89" t="n"/>
      <c r="N2017" s="1" t="n"/>
      <c r="O2017" s="1" t="n"/>
      <c r="P2017" s="1" t="n"/>
      <c r="Q2017" s="1" t="n"/>
      <c r="R2017" s="1" t="n"/>
    </row>
    <row r="2018">
      <c r="A2018" s="61" t="n"/>
      <c r="B2018" s="16" t="n"/>
      <c r="C2018" s="90" t="n"/>
      <c r="D2018" s="90" t="n"/>
      <c r="E2018" s="90" t="n"/>
      <c r="F2018" s="16" t="n"/>
      <c r="G2018" s="16" t="n"/>
      <c r="H2018" s="63" t="n"/>
      <c r="I2018" s="64" t="n"/>
      <c r="J2018" s="16" t="n"/>
      <c r="K2018" s="16" t="n"/>
      <c r="M2018" s="89" t="n"/>
      <c r="N2018" s="1" t="n"/>
      <c r="O2018" s="1" t="n"/>
      <c r="P2018" s="1" t="n"/>
      <c r="Q2018" s="1" t="n"/>
      <c r="R2018" s="1" t="n"/>
    </row>
    <row r="2019">
      <c r="A2019" s="61" t="n"/>
      <c r="B2019" s="16" t="n"/>
      <c r="C2019" s="90" t="n"/>
      <c r="D2019" s="90" t="n"/>
      <c r="E2019" s="90" t="n"/>
      <c r="F2019" s="16" t="n"/>
      <c r="G2019" s="16" t="n"/>
      <c r="H2019" s="63" t="n"/>
      <c r="I2019" s="64" t="n"/>
      <c r="J2019" s="16" t="n"/>
      <c r="K2019" s="16" t="n"/>
      <c r="M2019" s="89" t="n"/>
      <c r="N2019" s="1" t="n"/>
      <c r="O2019" s="1" t="n"/>
      <c r="P2019" s="1" t="n"/>
      <c r="Q2019" s="1" t="n"/>
      <c r="R2019" s="1" t="n"/>
    </row>
    <row r="2020">
      <c r="A2020" s="61" t="n"/>
      <c r="B2020" s="16" t="n"/>
      <c r="C2020" s="90" t="n"/>
      <c r="D2020" s="90" t="n"/>
      <c r="E2020" s="90" t="n"/>
      <c r="F2020" s="16" t="n"/>
      <c r="G2020" s="16" t="n"/>
      <c r="H2020" s="63" t="n"/>
      <c r="I2020" s="64" t="n"/>
      <c r="J2020" s="16" t="n"/>
      <c r="K2020" s="16" t="n"/>
      <c r="M2020" s="89" t="n"/>
      <c r="N2020" s="1" t="n"/>
      <c r="O2020" s="1" t="n"/>
      <c r="P2020" s="1" t="n"/>
      <c r="Q2020" s="1" t="n"/>
      <c r="R2020" s="1" t="n"/>
    </row>
    <row r="2021">
      <c r="A2021" s="61" t="n"/>
      <c r="B2021" s="16" t="n"/>
      <c r="C2021" s="90" t="n"/>
      <c r="D2021" s="90" t="n"/>
      <c r="E2021" s="90" t="n"/>
      <c r="F2021" s="16" t="n"/>
      <c r="G2021" s="16" t="n"/>
      <c r="H2021" s="63" t="n"/>
      <c r="I2021" s="64" t="n"/>
      <c r="J2021" s="16" t="n"/>
      <c r="K2021" s="16" t="n"/>
      <c r="M2021" s="89" t="n"/>
      <c r="N2021" s="1" t="n"/>
      <c r="O2021" s="1" t="n"/>
      <c r="P2021" s="1" t="n"/>
      <c r="Q2021" s="1" t="n"/>
      <c r="R2021" s="1" t="n"/>
    </row>
    <row r="2022">
      <c r="A2022" s="61" t="n"/>
      <c r="B2022" s="16" t="n"/>
      <c r="C2022" s="90" t="n"/>
      <c r="D2022" s="90" t="n"/>
      <c r="E2022" s="90" t="n"/>
      <c r="F2022" s="16" t="n"/>
      <c r="G2022" s="16" t="n"/>
      <c r="H2022" s="63" t="n"/>
      <c r="I2022" s="64" t="n"/>
      <c r="J2022" s="16" t="n"/>
      <c r="K2022" s="16" t="n"/>
      <c r="M2022" s="89" t="n"/>
      <c r="N2022" s="1" t="n"/>
      <c r="O2022" s="1" t="n"/>
      <c r="P2022" s="1" t="n"/>
      <c r="Q2022" s="1" t="n"/>
      <c r="R2022" s="1" t="n"/>
    </row>
    <row r="2023">
      <c r="A2023" s="61" t="n"/>
      <c r="B2023" s="16" t="n"/>
      <c r="C2023" s="90" t="n"/>
      <c r="D2023" s="90" t="n"/>
      <c r="E2023" s="90" t="n"/>
      <c r="F2023" s="16" t="n"/>
      <c r="G2023" s="16" t="n"/>
      <c r="H2023" s="63" t="n"/>
      <c r="I2023" s="64" t="n"/>
      <c r="J2023" s="16" t="n"/>
      <c r="K2023" s="16" t="n"/>
      <c r="M2023" s="89" t="n"/>
      <c r="N2023" s="1" t="n"/>
      <c r="O2023" s="1" t="n"/>
      <c r="P2023" s="1" t="n"/>
      <c r="Q2023" s="1" t="n"/>
      <c r="R2023" s="1" t="n"/>
    </row>
    <row r="2024">
      <c r="A2024" s="61" t="n"/>
      <c r="B2024" s="16" t="n"/>
      <c r="C2024" s="90" t="n"/>
      <c r="D2024" s="90" t="n"/>
      <c r="E2024" s="90" t="n"/>
      <c r="F2024" s="16" t="n"/>
      <c r="G2024" s="16" t="n"/>
      <c r="H2024" s="63" t="n"/>
      <c r="I2024" s="64" t="n"/>
      <c r="J2024" s="16" t="n"/>
      <c r="K2024" s="16" t="n"/>
      <c r="M2024" s="89" t="n"/>
      <c r="N2024" s="1" t="n"/>
      <c r="O2024" s="1" t="n"/>
      <c r="P2024" s="1" t="n"/>
      <c r="Q2024" s="1" t="n"/>
      <c r="R2024" s="1" t="n"/>
    </row>
    <row r="2025">
      <c r="A2025" s="61" t="n"/>
      <c r="B2025" s="16" t="n"/>
      <c r="C2025" s="90" t="n"/>
      <c r="D2025" s="90" t="n"/>
      <c r="E2025" s="90" t="n"/>
      <c r="F2025" s="16" t="n"/>
      <c r="G2025" s="16" t="n"/>
      <c r="H2025" s="63" t="n"/>
      <c r="I2025" s="64" t="n"/>
      <c r="J2025" s="16" t="n"/>
      <c r="K2025" s="16" t="n"/>
      <c r="M2025" s="89" t="n"/>
      <c r="N2025" s="1" t="n"/>
      <c r="O2025" s="1" t="n"/>
      <c r="P2025" s="1" t="n"/>
      <c r="Q2025" s="1" t="n"/>
      <c r="R2025" s="1" t="n"/>
    </row>
    <row r="2026">
      <c r="A2026" s="61" t="n"/>
      <c r="B2026" s="16" t="n"/>
      <c r="C2026" s="90" t="n"/>
      <c r="D2026" s="90" t="n"/>
      <c r="E2026" s="90" t="n"/>
      <c r="F2026" s="16" t="n"/>
      <c r="G2026" s="16" t="n"/>
      <c r="H2026" s="63" t="n"/>
      <c r="I2026" s="64" t="n"/>
      <c r="J2026" s="16" t="n"/>
      <c r="K2026" s="16" t="n"/>
      <c r="M2026" s="89" t="n"/>
      <c r="N2026" s="1" t="n"/>
      <c r="O2026" s="1" t="n"/>
      <c r="P2026" s="1" t="n"/>
      <c r="Q2026" s="1" t="n"/>
      <c r="R2026" s="1" t="n"/>
    </row>
    <row r="2027">
      <c r="A2027" s="61" t="n"/>
      <c r="B2027" s="16" t="n"/>
      <c r="C2027" s="90" t="n"/>
      <c r="D2027" s="90" t="n"/>
      <c r="E2027" s="90" t="n"/>
      <c r="F2027" s="16" t="n"/>
      <c r="G2027" s="16" t="n"/>
      <c r="H2027" s="63" t="n"/>
      <c r="I2027" s="64" t="n"/>
      <c r="J2027" s="16" t="n"/>
      <c r="K2027" s="16" t="n"/>
      <c r="M2027" s="89" t="n"/>
      <c r="N2027" s="1" t="n"/>
      <c r="O2027" s="1" t="n"/>
      <c r="P2027" s="1" t="n"/>
      <c r="Q2027" s="1" t="n"/>
      <c r="R2027" s="1" t="n"/>
    </row>
    <row r="2028">
      <c r="A2028" s="61" t="n"/>
      <c r="B2028" s="16" t="n"/>
      <c r="C2028" s="90" t="n"/>
      <c r="D2028" s="90" t="n"/>
      <c r="E2028" s="90" t="n"/>
      <c r="F2028" s="16" t="n"/>
      <c r="G2028" s="16" t="n"/>
      <c r="H2028" s="63" t="n"/>
      <c r="I2028" s="64" t="n"/>
      <c r="J2028" s="16" t="n"/>
      <c r="K2028" s="16" t="n"/>
      <c r="M2028" s="89" t="n"/>
      <c r="N2028" s="1" t="n"/>
      <c r="O2028" s="1" t="n"/>
      <c r="P2028" s="1" t="n"/>
      <c r="Q2028" s="1" t="n"/>
      <c r="R2028" s="1" t="n"/>
    </row>
    <row r="2029">
      <c r="A2029" s="61" t="n"/>
      <c r="B2029" s="16" t="n"/>
      <c r="C2029" s="90" t="n"/>
      <c r="D2029" s="90" t="n"/>
      <c r="E2029" s="90" t="n"/>
      <c r="F2029" s="16" t="n"/>
      <c r="G2029" s="16" t="n"/>
      <c r="H2029" s="63" t="n"/>
      <c r="I2029" s="64" t="n"/>
      <c r="J2029" s="16" t="n"/>
      <c r="K2029" s="16" t="n"/>
      <c r="M2029" s="89" t="n"/>
      <c r="N2029" s="1" t="n"/>
      <c r="O2029" s="1" t="n"/>
      <c r="P2029" s="1" t="n"/>
      <c r="Q2029" s="1" t="n"/>
      <c r="R2029" s="1" t="n"/>
    </row>
    <row r="2030">
      <c r="A2030" s="61" t="n"/>
      <c r="B2030" s="16" t="n"/>
      <c r="C2030" s="90" t="n"/>
      <c r="D2030" s="90" t="n"/>
      <c r="E2030" s="90" t="n"/>
      <c r="F2030" s="16" t="n"/>
      <c r="G2030" s="16" t="n"/>
      <c r="H2030" s="63" t="n"/>
      <c r="I2030" s="64" t="n"/>
      <c r="J2030" s="16" t="n"/>
      <c r="K2030" s="16" t="n"/>
      <c r="M2030" s="89" t="n"/>
      <c r="N2030" s="1" t="n"/>
      <c r="O2030" s="1" t="n"/>
      <c r="P2030" s="1" t="n"/>
      <c r="Q2030" s="1" t="n"/>
      <c r="R2030" s="1" t="n"/>
    </row>
    <row r="2031">
      <c r="A2031" s="61" t="n"/>
      <c r="B2031" s="16" t="n"/>
      <c r="C2031" s="90" t="n"/>
      <c r="D2031" s="90" t="n"/>
      <c r="E2031" s="90" t="n"/>
      <c r="F2031" s="16" t="n"/>
      <c r="G2031" s="16" t="n"/>
      <c r="H2031" s="63" t="n"/>
      <c r="I2031" s="64" t="n"/>
      <c r="J2031" s="16" t="n"/>
      <c r="K2031" s="16" t="n"/>
      <c r="M2031" s="89" t="n"/>
      <c r="N2031" s="1" t="n"/>
      <c r="O2031" s="1" t="n"/>
      <c r="P2031" s="1" t="n"/>
      <c r="Q2031" s="1" t="n"/>
      <c r="R2031" s="1" t="n"/>
    </row>
    <row r="2032">
      <c r="A2032" s="61" t="n"/>
      <c r="B2032" s="16" t="n"/>
      <c r="C2032" s="90" t="n"/>
      <c r="D2032" s="90" t="n"/>
      <c r="E2032" s="90" t="n"/>
      <c r="F2032" s="16" t="n"/>
      <c r="G2032" s="16" t="n"/>
      <c r="H2032" s="63" t="n"/>
      <c r="I2032" s="64" t="n"/>
      <c r="J2032" s="16" t="n"/>
      <c r="K2032" s="16" t="n"/>
      <c r="M2032" s="89" t="n"/>
      <c r="N2032" s="1" t="n"/>
      <c r="O2032" s="1" t="n"/>
      <c r="P2032" s="1" t="n"/>
      <c r="Q2032" s="1" t="n"/>
      <c r="R2032" s="1" t="n"/>
    </row>
    <row r="2033">
      <c r="A2033" s="61" t="n"/>
      <c r="B2033" s="16" t="n"/>
      <c r="C2033" s="90" t="n"/>
      <c r="D2033" s="90" t="n"/>
      <c r="E2033" s="90" t="n"/>
      <c r="F2033" s="16" t="n"/>
      <c r="G2033" s="16" t="n"/>
      <c r="H2033" s="63" t="n"/>
      <c r="I2033" s="64" t="n"/>
      <c r="J2033" s="16" t="n"/>
      <c r="K2033" s="16" t="n"/>
      <c r="M2033" s="89" t="n"/>
      <c r="N2033" s="1" t="n"/>
      <c r="O2033" s="1" t="n"/>
      <c r="P2033" s="1" t="n"/>
      <c r="Q2033" s="1" t="n"/>
      <c r="R2033" s="1" t="n"/>
    </row>
    <row r="2034">
      <c r="A2034" s="61" t="n"/>
      <c r="B2034" s="16" t="n"/>
      <c r="C2034" s="90" t="n"/>
      <c r="D2034" s="90" t="n"/>
      <c r="E2034" s="90" t="n"/>
      <c r="F2034" s="16" t="n"/>
      <c r="G2034" s="16" t="n"/>
      <c r="H2034" s="63" t="n"/>
      <c r="I2034" s="64" t="n"/>
      <c r="J2034" s="16" t="n"/>
      <c r="K2034" s="16" t="n"/>
      <c r="M2034" s="89" t="n"/>
      <c r="N2034" s="1" t="n"/>
      <c r="O2034" s="1" t="n"/>
      <c r="P2034" s="1" t="n"/>
      <c r="Q2034" s="1" t="n"/>
      <c r="R2034" s="1" t="n"/>
    </row>
    <row r="2035">
      <c r="A2035" s="61" t="n"/>
      <c r="B2035" s="16" t="n"/>
      <c r="C2035" s="90" t="n"/>
      <c r="D2035" s="90" t="n"/>
      <c r="E2035" s="90" t="n"/>
      <c r="F2035" s="16" t="n"/>
      <c r="G2035" s="16" t="n"/>
      <c r="H2035" s="63" t="n"/>
      <c r="I2035" s="64" t="n"/>
      <c r="J2035" s="16" t="n"/>
      <c r="K2035" s="16" t="n"/>
      <c r="M2035" s="89" t="n"/>
      <c r="N2035" s="1" t="n"/>
      <c r="O2035" s="1" t="n"/>
      <c r="P2035" s="1" t="n"/>
      <c r="Q2035" s="1" t="n"/>
      <c r="R2035" s="1" t="n"/>
    </row>
    <row r="2036">
      <c r="A2036" s="61" t="n"/>
      <c r="B2036" s="16" t="n"/>
      <c r="C2036" s="90" t="n"/>
      <c r="D2036" s="90" t="n"/>
      <c r="E2036" s="90" t="n"/>
      <c r="F2036" s="16" t="n"/>
      <c r="G2036" s="16" t="n"/>
      <c r="H2036" s="63" t="n"/>
      <c r="I2036" s="64" t="n"/>
      <c r="J2036" s="16" t="n"/>
      <c r="K2036" s="16" t="n"/>
      <c r="M2036" s="89" t="n"/>
      <c r="N2036" s="1" t="n"/>
      <c r="O2036" s="1" t="n"/>
      <c r="P2036" s="1" t="n"/>
      <c r="Q2036" s="1" t="n"/>
      <c r="R2036" s="1" t="n"/>
    </row>
    <row r="2037">
      <c r="A2037" s="61" t="n"/>
      <c r="B2037" s="16" t="n"/>
      <c r="C2037" s="90" t="n"/>
      <c r="D2037" s="90" t="n"/>
      <c r="E2037" s="90" t="n"/>
      <c r="F2037" s="16" t="n"/>
      <c r="G2037" s="16" t="n"/>
      <c r="H2037" s="63" t="n"/>
      <c r="I2037" s="64" t="n"/>
      <c r="J2037" s="16" t="n"/>
      <c r="K2037" s="16" t="n"/>
      <c r="M2037" s="89" t="n"/>
      <c r="N2037" s="1" t="n"/>
      <c r="O2037" s="1" t="n"/>
      <c r="P2037" s="1" t="n"/>
      <c r="Q2037" s="1" t="n"/>
      <c r="R2037" s="1" t="n"/>
    </row>
    <row r="2038">
      <c r="A2038" s="61" t="n"/>
      <c r="B2038" s="16" t="n"/>
      <c r="C2038" s="90" t="n"/>
      <c r="D2038" s="90" t="n"/>
      <c r="E2038" s="90" t="n"/>
      <c r="F2038" s="16" t="n"/>
      <c r="G2038" s="16" t="n"/>
      <c r="H2038" s="63" t="n"/>
      <c r="I2038" s="64" t="n"/>
      <c r="J2038" s="16" t="n"/>
      <c r="K2038" s="16" t="n"/>
      <c r="M2038" s="89" t="n"/>
      <c r="N2038" s="1" t="n"/>
      <c r="O2038" s="1" t="n"/>
      <c r="P2038" s="1" t="n"/>
      <c r="Q2038" s="1" t="n"/>
      <c r="R2038" s="1" t="n"/>
    </row>
    <row r="2039">
      <c r="A2039" s="61" t="n"/>
      <c r="B2039" s="16" t="n"/>
      <c r="C2039" s="90" t="n"/>
      <c r="D2039" s="90" t="n"/>
      <c r="E2039" s="90" t="n"/>
      <c r="F2039" s="16" t="n"/>
      <c r="G2039" s="16" t="n"/>
      <c r="H2039" s="63" t="n"/>
      <c r="I2039" s="64" t="n"/>
      <c r="J2039" s="16" t="n"/>
      <c r="K2039" s="16" t="n"/>
      <c r="M2039" s="89" t="n"/>
      <c r="N2039" s="1" t="n"/>
      <c r="O2039" s="1" t="n"/>
      <c r="P2039" s="1" t="n"/>
      <c r="Q2039" s="1" t="n"/>
      <c r="R2039" s="1" t="n"/>
    </row>
    <row r="2040">
      <c r="A2040" s="61" t="n"/>
      <c r="B2040" s="16" t="n"/>
      <c r="C2040" s="90" t="n"/>
      <c r="D2040" s="90" t="n"/>
      <c r="E2040" s="90" t="n"/>
      <c r="F2040" s="16" t="n"/>
      <c r="G2040" s="16" t="n"/>
      <c r="H2040" s="63" t="n"/>
      <c r="I2040" s="64" t="n"/>
      <c r="J2040" s="16" t="n"/>
      <c r="K2040" s="16" t="n"/>
      <c r="M2040" s="89" t="n"/>
      <c r="N2040" s="1" t="n"/>
      <c r="O2040" s="1" t="n"/>
      <c r="P2040" s="1" t="n"/>
      <c r="Q2040" s="1" t="n"/>
      <c r="R2040" s="1" t="n"/>
    </row>
    <row r="2041">
      <c r="A2041" s="61" t="n"/>
      <c r="B2041" s="16" t="n"/>
      <c r="C2041" s="90" t="n"/>
      <c r="D2041" s="90" t="n"/>
      <c r="E2041" s="90" t="n"/>
      <c r="F2041" s="16" t="n"/>
      <c r="G2041" s="16" t="n"/>
      <c r="H2041" s="63" t="n"/>
      <c r="I2041" s="64" t="n"/>
      <c r="J2041" s="16" t="n"/>
      <c r="K2041" s="16" t="n"/>
      <c r="M2041" s="89" t="n"/>
      <c r="N2041" s="1" t="n"/>
      <c r="O2041" s="1" t="n"/>
      <c r="P2041" s="1" t="n"/>
      <c r="Q2041" s="1" t="n"/>
      <c r="R2041" s="1" t="n"/>
    </row>
    <row r="2042">
      <c r="A2042" s="61" t="n"/>
      <c r="B2042" s="16" t="n"/>
      <c r="C2042" s="90" t="n"/>
      <c r="D2042" s="90" t="n"/>
      <c r="E2042" s="90" t="n"/>
      <c r="F2042" s="16" t="n"/>
      <c r="G2042" s="16" t="n"/>
      <c r="H2042" s="63" t="n"/>
      <c r="I2042" s="64" t="n"/>
      <c r="J2042" s="16" t="n"/>
      <c r="K2042" s="16" t="n"/>
      <c r="M2042" s="89" t="n"/>
      <c r="N2042" s="1" t="n"/>
      <c r="O2042" s="1" t="n"/>
      <c r="P2042" s="1" t="n"/>
      <c r="Q2042" s="1" t="n"/>
      <c r="R2042" s="1" t="n"/>
    </row>
    <row r="2043">
      <c r="A2043" s="61" t="n"/>
      <c r="B2043" s="16" t="n"/>
      <c r="C2043" s="90" t="n"/>
      <c r="D2043" s="90" t="n"/>
      <c r="E2043" s="90" t="n"/>
      <c r="F2043" s="16" t="n"/>
      <c r="G2043" s="16" t="n"/>
      <c r="H2043" s="63" t="n"/>
      <c r="I2043" s="64" t="n"/>
      <c r="J2043" s="16" t="n"/>
      <c r="K2043" s="16" t="n"/>
      <c r="M2043" s="89" t="n"/>
      <c r="N2043" s="1" t="n"/>
      <c r="O2043" s="1" t="n"/>
      <c r="P2043" s="1" t="n"/>
      <c r="Q2043" s="1" t="n"/>
      <c r="R2043" s="1" t="n"/>
    </row>
    <row r="2044">
      <c r="A2044" s="61" t="n"/>
      <c r="B2044" s="16" t="n"/>
      <c r="C2044" s="90" t="n"/>
      <c r="D2044" s="90" t="n"/>
      <c r="E2044" s="90" t="n"/>
      <c r="F2044" s="16" t="n"/>
      <c r="G2044" s="16" t="n"/>
      <c r="H2044" s="63" t="n"/>
      <c r="I2044" s="64" t="n"/>
      <c r="J2044" s="16" t="n"/>
      <c r="K2044" s="16" t="n"/>
      <c r="M2044" s="89" t="n"/>
      <c r="N2044" s="1" t="n"/>
      <c r="O2044" s="1" t="n"/>
      <c r="P2044" s="1" t="n"/>
      <c r="Q2044" s="1" t="n"/>
      <c r="R2044" s="1" t="n"/>
    </row>
    <row r="2045">
      <c r="A2045" s="61" t="n"/>
      <c r="B2045" s="16" t="n"/>
      <c r="C2045" s="90" t="n"/>
      <c r="D2045" s="90" t="n"/>
      <c r="E2045" s="90" t="n"/>
      <c r="F2045" s="16" t="n"/>
      <c r="G2045" s="16" t="n"/>
      <c r="H2045" s="63" t="n"/>
      <c r="I2045" s="64" t="n"/>
      <c r="J2045" s="16" t="n"/>
      <c r="K2045" s="16" t="n"/>
      <c r="M2045" s="89" t="n"/>
      <c r="N2045" s="1" t="n"/>
      <c r="O2045" s="1" t="n"/>
      <c r="P2045" s="1" t="n"/>
      <c r="Q2045" s="1" t="n"/>
      <c r="R2045" s="1" t="n"/>
    </row>
    <row r="2046">
      <c r="A2046" s="61" t="n"/>
      <c r="B2046" s="16" t="n"/>
      <c r="C2046" s="90" t="n"/>
      <c r="D2046" s="90" t="n"/>
      <c r="E2046" s="90" t="n"/>
      <c r="F2046" s="16" t="n"/>
      <c r="G2046" s="16" t="n"/>
      <c r="H2046" s="63" t="n"/>
      <c r="I2046" s="64" t="n"/>
      <c r="J2046" s="16" t="n"/>
      <c r="K2046" s="16" t="n"/>
      <c r="M2046" s="89" t="n"/>
      <c r="N2046" s="1" t="n"/>
      <c r="O2046" s="1" t="n"/>
      <c r="P2046" s="1" t="n"/>
      <c r="Q2046" s="1" t="n"/>
      <c r="R2046" s="1" t="n"/>
    </row>
    <row r="2047">
      <c r="A2047" s="61" t="n"/>
      <c r="B2047" s="16" t="n"/>
      <c r="C2047" s="90" t="n"/>
      <c r="D2047" s="90" t="n"/>
      <c r="E2047" s="90" t="n"/>
      <c r="F2047" s="16" t="n"/>
      <c r="G2047" s="16" t="n"/>
      <c r="H2047" s="63" t="n"/>
      <c r="I2047" s="64" t="n"/>
      <c r="J2047" s="16" t="n"/>
      <c r="K2047" s="16" t="n"/>
      <c r="M2047" s="89" t="n"/>
      <c r="N2047" s="1" t="n"/>
      <c r="O2047" s="1" t="n"/>
      <c r="P2047" s="1" t="n"/>
      <c r="Q2047" s="1" t="n"/>
      <c r="R2047" s="1" t="n"/>
    </row>
    <row r="2048">
      <c r="A2048" s="61" t="n"/>
      <c r="B2048" s="16" t="n"/>
      <c r="C2048" s="90" t="n"/>
      <c r="D2048" s="90" t="n"/>
      <c r="E2048" s="90" t="n"/>
      <c r="F2048" s="16" t="n"/>
      <c r="G2048" s="16" t="n"/>
      <c r="H2048" s="63" t="n"/>
      <c r="I2048" s="64" t="n"/>
      <c r="J2048" s="16" t="n"/>
      <c r="K2048" s="16" t="n"/>
      <c r="M2048" s="89" t="n"/>
      <c r="N2048" s="1" t="n"/>
      <c r="O2048" s="1" t="n"/>
      <c r="P2048" s="1" t="n"/>
      <c r="Q2048" s="1" t="n"/>
      <c r="R2048" s="1" t="n"/>
    </row>
    <row r="2049">
      <c r="A2049" s="61" t="n"/>
      <c r="B2049" s="16" t="n"/>
      <c r="C2049" s="90" t="n"/>
      <c r="D2049" s="90" t="n"/>
      <c r="E2049" s="90" t="n"/>
      <c r="F2049" s="16" t="n"/>
      <c r="G2049" s="16" t="n"/>
      <c r="H2049" s="63" t="n"/>
      <c r="I2049" s="64" t="n"/>
      <c r="J2049" s="16" t="n"/>
      <c r="K2049" s="16" t="n"/>
      <c r="M2049" s="89" t="n"/>
      <c r="N2049" s="1" t="n"/>
      <c r="O2049" s="1" t="n"/>
      <c r="P2049" s="1" t="n"/>
      <c r="Q2049" s="1" t="n"/>
      <c r="R2049" s="1" t="n"/>
    </row>
    <row r="2050">
      <c r="A2050" s="61" t="n"/>
      <c r="B2050" s="16" t="n"/>
      <c r="C2050" s="90" t="n"/>
      <c r="D2050" s="90" t="n"/>
      <c r="E2050" s="90" t="n"/>
      <c r="F2050" s="16" t="n"/>
      <c r="G2050" s="16" t="n"/>
      <c r="H2050" s="63" t="n"/>
      <c r="I2050" s="64" t="n"/>
      <c r="J2050" s="16" t="n"/>
      <c r="K2050" s="16" t="n"/>
      <c r="M2050" s="89" t="n"/>
      <c r="N2050" s="1" t="n"/>
      <c r="O2050" s="1" t="n"/>
      <c r="P2050" s="1" t="n"/>
      <c r="Q2050" s="1" t="n"/>
      <c r="R2050" s="1" t="n"/>
    </row>
    <row r="2051">
      <c r="A2051" s="61" t="n"/>
      <c r="B2051" s="16" t="n"/>
      <c r="C2051" s="90" t="n"/>
      <c r="D2051" s="90" t="n"/>
      <c r="E2051" s="90" t="n"/>
      <c r="F2051" s="16" t="n"/>
      <c r="G2051" s="16" t="n"/>
      <c r="H2051" s="63" t="n"/>
      <c r="I2051" s="64" t="n"/>
      <c r="J2051" s="16" t="n"/>
      <c r="K2051" s="16" t="n"/>
      <c r="M2051" s="89" t="n"/>
      <c r="N2051" s="1" t="n"/>
      <c r="O2051" s="1" t="n"/>
      <c r="P2051" s="1" t="n"/>
      <c r="Q2051" s="1" t="n"/>
      <c r="R2051" s="1" t="n"/>
    </row>
    <row r="2052">
      <c r="A2052" s="61" t="n"/>
      <c r="B2052" s="16" t="n"/>
      <c r="C2052" s="90" t="n"/>
      <c r="D2052" s="90" t="n"/>
      <c r="E2052" s="90" t="n"/>
      <c r="F2052" s="16" t="n"/>
      <c r="G2052" s="16" t="n"/>
      <c r="H2052" s="63" t="n"/>
      <c r="I2052" s="64" t="n"/>
      <c r="J2052" s="16" t="n"/>
      <c r="K2052" s="16" t="n"/>
      <c r="M2052" s="89" t="n"/>
      <c r="N2052" s="1" t="n"/>
      <c r="O2052" s="1" t="n"/>
      <c r="P2052" s="1" t="n"/>
      <c r="Q2052" s="1" t="n"/>
      <c r="R2052" s="1" t="n"/>
    </row>
    <row r="2053">
      <c r="A2053" s="61" t="n"/>
      <c r="B2053" s="16" t="n"/>
      <c r="C2053" s="90" t="n"/>
      <c r="D2053" s="90" t="n"/>
      <c r="E2053" s="90" t="n"/>
      <c r="F2053" s="16" t="n"/>
      <c r="G2053" s="16" t="n"/>
      <c r="H2053" s="63" t="n"/>
      <c r="I2053" s="64" t="n"/>
      <c r="J2053" s="16" t="n"/>
      <c r="K2053" s="16" t="n"/>
      <c r="M2053" s="89" t="n"/>
      <c r="N2053" s="1" t="n"/>
      <c r="O2053" s="1" t="n"/>
      <c r="P2053" s="1" t="n"/>
      <c r="Q2053" s="1" t="n"/>
      <c r="R2053" s="1" t="n"/>
    </row>
    <row r="2054">
      <c r="A2054" s="61" t="n"/>
      <c r="B2054" s="16" t="n"/>
      <c r="C2054" s="90" t="n"/>
      <c r="D2054" s="90" t="n"/>
      <c r="E2054" s="90" t="n"/>
      <c r="F2054" s="16" t="n"/>
      <c r="G2054" s="16" t="n"/>
      <c r="H2054" s="63" t="n"/>
      <c r="I2054" s="64" t="n"/>
      <c r="J2054" s="16" t="n"/>
      <c r="K2054" s="16" t="n"/>
      <c r="M2054" s="89" t="n"/>
      <c r="N2054" s="1" t="n"/>
      <c r="O2054" s="1" t="n"/>
      <c r="P2054" s="1" t="n"/>
      <c r="Q2054" s="1" t="n"/>
      <c r="R2054" s="1" t="n"/>
    </row>
    <row r="2055">
      <c r="A2055" s="61" t="n"/>
      <c r="B2055" s="16" t="n"/>
      <c r="C2055" s="90" t="n"/>
      <c r="D2055" s="90" t="n"/>
      <c r="E2055" s="90" t="n"/>
      <c r="F2055" s="16" t="n"/>
      <c r="G2055" s="16" t="n"/>
      <c r="H2055" s="63" t="n"/>
      <c r="I2055" s="64" t="n"/>
      <c r="J2055" s="16" t="n"/>
      <c r="K2055" s="16" t="n"/>
      <c r="M2055" s="89" t="n"/>
      <c r="N2055" s="1" t="n"/>
      <c r="O2055" s="1" t="n"/>
      <c r="P2055" s="1" t="n"/>
      <c r="Q2055" s="1" t="n"/>
      <c r="R2055" s="1" t="n"/>
    </row>
    <row r="2056">
      <c r="A2056" s="61" t="n"/>
      <c r="B2056" s="16" t="n"/>
      <c r="C2056" s="90" t="n"/>
      <c r="D2056" s="90" t="n"/>
      <c r="E2056" s="90" t="n"/>
      <c r="F2056" s="16" t="n"/>
      <c r="G2056" s="16" t="n"/>
      <c r="H2056" s="63" t="n"/>
      <c r="I2056" s="64" t="n"/>
      <c r="J2056" s="16" t="n"/>
      <c r="K2056" s="16" t="n"/>
      <c r="M2056" s="89" t="n"/>
      <c r="N2056" s="1" t="n"/>
      <c r="O2056" s="1" t="n"/>
      <c r="P2056" s="1" t="n"/>
      <c r="Q2056" s="1" t="n"/>
      <c r="R2056" s="1" t="n"/>
    </row>
    <row r="2057">
      <c r="A2057" s="61" t="n"/>
      <c r="B2057" s="16" t="n"/>
      <c r="C2057" s="90" t="n"/>
      <c r="D2057" s="90" t="n"/>
      <c r="E2057" s="90" t="n"/>
      <c r="F2057" s="16" t="n"/>
      <c r="G2057" s="16" t="n"/>
      <c r="H2057" s="63" t="n"/>
      <c r="I2057" s="64" t="n"/>
      <c r="J2057" s="16" t="n"/>
      <c r="K2057" s="16" t="n"/>
      <c r="M2057" s="89" t="n"/>
      <c r="N2057" s="1" t="n"/>
      <c r="O2057" s="1" t="n"/>
      <c r="P2057" s="1" t="n"/>
      <c r="Q2057" s="1" t="n"/>
      <c r="R2057" s="1" t="n"/>
    </row>
    <row r="2058">
      <c r="A2058" s="61" t="n"/>
      <c r="B2058" s="16" t="n"/>
      <c r="C2058" s="90" t="n"/>
      <c r="D2058" s="90" t="n"/>
      <c r="E2058" s="90" t="n"/>
      <c r="F2058" s="16" t="n"/>
      <c r="G2058" s="16" t="n"/>
      <c r="H2058" s="63" t="n"/>
      <c r="I2058" s="64" t="n"/>
      <c r="J2058" s="16" t="n"/>
      <c r="K2058" s="16" t="n"/>
      <c r="M2058" s="89" t="n"/>
      <c r="N2058" s="1" t="n"/>
      <c r="O2058" s="1" t="n"/>
      <c r="P2058" s="1" t="n"/>
      <c r="Q2058" s="1" t="n"/>
      <c r="R2058" s="1" t="n"/>
    </row>
    <row r="2059">
      <c r="A2059" s="61" t="n"/>
      <c r="B2059" s="16" t="n"/>
      <c r="C2059" s="90" t="n"/>
      <c r="D2059" s="90" t="n"/>
      <c r="E2059" s="90" t="n"/>
      <c r="F2059" s="16" t="n"/>
      <c r="G2059" s="16" t="n"/>
      <c r="H2059" s="63" t="n"/>
      <c r="I2059" s="64" t="n"/>
      <c r="J2059" s="16" t="n"/>
      <c r="K2059" s="16" t="n"/>
      <c r="M2059" s="89" t="n"/>
      <c r="N2059" s="1" t="n"/>
      <c r="O2059" s="1" t="n"/>
      <c r="P2059" s="1" t="n"/>
      <c r="Q2059" s="1" t="n"/>
      <c r="R2059" s="1" t="n"/>
    </row>
    <row r="2060">
      <c r="A2060" s="61" t="n"/>
      <c r="B2060" s="16" t="n"/>
      <c r="C2060" s="90" t="n"/>
      <c r="D2060" s="90" t="n"/>
      <c r="E2060" s="90" t="n"/>
      <c r="F2060" s="16" t="n"/>
      <c r="G2060" s="16" t="n"/>
      <c r="H2060" s="63" t="n"/>
      <c r="I2060" s="64" t="n"/>
      <c r="J2060" s="16" t="n"/>
      <c r="K2060" s="16" t="n"/>
      <c r="M2060" s="89" t="n"/>
      <c r="N2060" s="1" t="n"/>
      <c r="O2060" s="1" t="n"/>
      <c r="P2060" s="1" t="n"/>
      <c r="Q2060" s="1" t="n"/>
      <c r="R2060" s="1" t="n"/>
    </row>
    <row r="2061">
      <c r="A2061" s="61" t="n"/>
      <c r="B2061" s="16" t="n"/>
      <c r="C2061" s="90" t="n"/>
      <c r="D2061" s="90" t="n"/>
      <c r="E2061" s="90" t="n"/>
      <c r="F2061" s="16" t="n"/>
      <c r="G2061" s="16" t="n"/>
      <c r="H2061" s="63" t="n"/>
      <c r="I2061" s="64" t="n"/>
      <c r="J2061" s="16" t="n"/>
      <c r="K2061" s="16" t="n"/>
      <c r="M2061" s="89" t="n"/>
      <c r="N2061" s="1" t="n"/>
      <c r="O2061" s="1" t="n"/>
      <c r="P2061" s="1" t="n"/>
      <c r="Q2061" s="1" t="n"/>
      <c r="R2061" s="1" t="n"/>
    </row>
    <row r="2062">
      <c r="A2062" s="61" t="n"/>
      <c r="B2062" s="16" t="n"/>
      <c r="C2062" s="90" t="n"/>
      <c r="D2062" s="90" t="n"/>
      <c r="E2062" s="90" t="n"/>
      <c r="F2062" s="16" t="n"/>
      <c r="G2062" s="16" t="n"/>
      <c r="H2062" s="63" t="n"/>
      <c r="I2062" s="64" t="n"/>
      <c r="J2062" s="16" t="n"/>
      <c r="K2062" s="16" t="n"/>
      <c r="M2062" s="89" t="n"/>
      <c r="N2062" s="1" t="n"/>
      <c r="O2062" s="1" t="n"/>
      <c r="P2062" s="1" t="n"/>
      <c r="Q2062" s="1" t="n"/>
      <c r="R2062" s="1" t="n"/>
    </row>
    <row r="2063">
      <c r="A2063" s="61" t="n"/>
      <c r="B2063" s="16" t="n"/>
      <c r="C2063" s="90" t="n"/>
      <c r="D2063" s="90" t="n"/>
      <c r="E2063" s="90" t="n"/>
      <c r="F2063" s="16" t="n"/>
      <c r="G2063" s="16" t="n"/>
      <c r="H2063" s="63" t="n"/>
      <c r="I2063" s="64" t="n"/>
      <c r="J2063" s="16" t="n"/>
      <c r="K2063" s="16" t="n"/>
      <c r="M2063" s="89" t="n"/>
      <c r="N2063" s="1" t="n"/>
      <c r="O2063" s="1" t="n"/>
      <c r="P2063" s="1" t="n"/>
      <c r="Q2063" s="1" t="n"/>
      <c r="R2063" s="1" t="n"/>
    </row>
    <row r="2064">
      <c r="A2064" s="61" t="n"/>
      <c r="B2064" s="16" t="n"/>
      <c r="C2064" s="90" t="n"/>
      <c r="D2064" s="90" t="n"/>
      <c r="E2064" s="90" t="n"/>
      <c r="F2064" s="16" t="n"/>
      <c r="G2064" s="16" t="n"/>
      <c r="H2064" s="63" t="n"/>
      <c r="I2064" s="64" t="n"/>
      <c r="J2064" s="16" t="n"/>
      <c r="K2064" s="16" t="n"/>
      <c r="M2064" s="89" t="n"/>
      <c r="N2064" s="1" t="n"/>
      <c r="O2064" s="1" t="n"/>
      <c r="P2064" s="1" t="n"/>
      <c r="Q2064" s="1" t="n"/>
      <c r="R2064" s="1" t="n"/>
    </row>
    <row r="2065">
      <c r="A2065" s="61" t="n"/>
      <c r="B2065" s="16" t="n"/>
      <c r="C2065" s="90" t="n"/>
      <c r="D2065" s="90" t="n"/>
      <c r="E2065" s="90" t="n"/>
      <c r="F2065" s="16" t="n"/>
      <c r="G2065" s="16" t="n"/>
      <c r="H2065" s="63" t="n"/>
      <c r="I2065" s="64" t="n"/>
      <c r="J2065" s="16" t="n"/>
      <c r="K2065" s="16" t="n"/>
      <c r="M2065" s="89" t="n"/>
      <c r="N2065" s="1" t="n"/>
      <c r="O2065" s="1" t="n"/>
      <c r="P2065" s="1" t="n"/>
      <c r="Q2065" s="1" t="n"/>
      <c r="R2065" s="1" t="n"/>
    </row>
    <row r="2066">
      <c r="A2066" s="61" t="n"/>
      <c r="B2066" s="16" t="n"/>
      <c r="C2066" s="90" t="n"/>
      <c r="D2066" s="90" t="n"/>
      <c r="E2066" s="90" t="n"/>
      <c r="F2066" s="16" t="n"/>
      <c r="G2066" s="16" t="n"/>
      <c r="H2066" s="63" t="n"/>
      <c r="I2066" s="64" t="n"/>
      <c r="J2066" s="16" t="n"/>
      <c r="K2066" s="16" t="n"/>
      <c r="M2066" s="89" t="n"/>
      <c r="N2066" s="1" t="n"/>
      <c r="O2066" s="1" t="n"/>
      <c r="P2066" s="1" t="n"/>
      <c r="Q2066" s="1" t="n"/>
      <c r="R2066" s="1" t="n"/>
    </row>
    <row r="2067">
      <c r="A2067" s="61" t="n"/>
      <c r="B2067" s="16" t="n"/>
      <c r="C2067" s="90" t="n"/>
      <c r="D2067" s="90" t="n"/>
      <c r="E2067" s="90" t="n"/>
      <c r="F2067" s="16" t="n"/>
      <c r="G2067" s="16" t="n"/>
      <c r="H2067" s="63" t="n"/>
      <c r="I2067" s="64" t="n"/>
      <c r="J2067" s="16" t="n"/>
      <c r="K2067" s="16" t="n"/>
      <c r="M2067" s="89" t="n"/>
      <c r="N2067" s="1" t="n"/>
      <c r="O2067" s="1" t="n"/>
      <c r="P2067" s="1" t="n"/>
      <c r="Q2067" s="1" t="n"/>
      <c r="R2067" s="1" t="n"/>
    </row>
    <row r="2068">
      <c r="A2068" s="61" t="n"/>
      <c r="B2068" s="16" t="n"/>
      <c r="C2068" s="90" t="n"/>
      <c r="D2068" s="90" t="n"/>
      <c r="E2068" s="90" t="n"/>
      <c r="F2068" s="16" t="n"/>
      <c r="G2068" s="16" t="n"/>
      <c r="H2068" s="63" t="n"/>
      <c r="I2068" s="64" t="n"/>
      <c r="J2068" s="16" t="n"/>
      <c r="K2068" s="16" t="n"/>
      <c r="M2068" s="89" t="n"/>
      <c r="N2068" s="1" t="n"/>
      <c r="O2068" s="1" t="n"/>
      <c r="P2068" s="1" t="n"/>
      <c r="Q2068" s="1" t="n"/>
      <c r="R2068" s="1" t="n"/>
    </row>
    <row r="2069">
      <c r="A2069" s="61" t="n"/>
      <c r="B2069" s="16" t="n"/>
      <c r="C2069" s="90" t="n"/>
      <c r="D2069" s="90" t="n"/>
      <c r="E2069" s="90" t="n"/>
      <c r="F2069" s="16" t="n"/>
      <c r="G2069" s="16" t="n"/>
      <c r="H2069" s="63" t="n"/>
      <c r="I2069" s="64" t="n"/>
      <c r="J2069" s="16" t="n"/>
      <c r="K2069" s="16" t="n"/>
      <c r="M2069" s="89" t="n"/>
      <c r="N2069" s="1" t="n"/>
      <c r="O2069" s="1" t="n"/>
      <c r="P2069" s="1" t="n"/>
      <c r="Q2069" s="1" t="n"/>
      <c r="R2069" s="1" t="n"/>
    </row>
    <row r="2070">
      <c r="A2070" s="61" t="n"/>
      <c r="B2070" s="16" t="n"/>
      <c r="C2070" s="90" t="n"/>
      <c r="D2070" s="90" t="n"/>
      <c r="E2070" s="90" t="n"/>
      <c r="F2070" s="16" t="n"/>
      <c r="G2070" s="16" t="n"/>
      <c r="H2070" s="63" t="n"/>
      <c r="I2070" s="64" t="n"/>
      <c r="J2070" s="16" t="n"/>
      <c r="K2070" s="16" t="n"/>
      <c r="M2070" s="89" t="n"/>
      <c r="N2070" s="1" t="n"/>
      <c r="O2070" s="1" t="n"/>
      <c r="P2070" s="1" t="n"/>
      <c r="Q2070" s="1" t="n"/>
      <c r="R2070" s="1" t="n"/>
    </row>
    <row r="2071">
      <c r="A2071" s="61" t="n"/>
      <c r="B2071" s="16" t="n"/>
      <c r="C2071" s="90" t="n"/>
      <c r="D2071" s="90" t="n"/>
      <c r="E2071" s="90" t="n"/>
      <c r="F2071" s="16" t="n"/>
      <c r="G2071" s="16" t="n"/>
      <c r="H2071" s="63" t="n"/>
      <c r="I2071" s="64" t="n"/>
      <c r="J2071" s="16" t="n"/>
      <c r="K2071" s="16" t="n"/>
      <c r="M2071" s="89" t="n"/>
      <c r="N2071" s="1" t="n"/>
      <c r="O2071" s="1" t="n"/>
      <c r="P2071" s="1" t="n"/>
      <c r="Q2071" s="1" t="n"/>
      <c r="R2071" s="1" t="n"/>
    </row>
    <row r="2072">
      <c r="A2072" s="61" t="n"/>
      <c r="B2072" s="16" t="n"/>
      <c r="C2072" s="90" t="n"/>
      <c r="D2072" s="90" t="n"/>
      <c r="E2072" s="90" t="n"/>
      <c r="F2072" s="16" t="n"/>
      <c r="G2072" s="16" t="n"/>
      <c r="H2072" s="63" t="n"/>
      <c r="I2072" s="64" t="n"/>
      <c r="J2072" s="16" t="n"/>
      <c r="K2072" s="16" t="n"/>
      <c r="M2072" s="89" t="n"/>
      <c r="N2072" s="1" t="n"/>
      <c r="O2072" s="1" t="n"/>
      <c r="P2072" s="1" t="n"/>
      <c r="Q2072" s="1" t="n"/>
      <c r="R2072" s="1" t="n"/>
    </row>
    <row r="2073">
      <c r="A2073" s="61" t="n"/>
      <c r="B2073" s="16" t="n"/>
      <c r="C2073" s="90" t="n"/>
      <c r="D2073" s="90" t="n"/>
      <c r="E2073" s="90" t="n"/>
      <c r="F2073" s="16" t="n"/>
      <c r="G2073" s="16" t="n"/>
      <c r="H2073" s="63" t="n"/>
      <c r="I2073" s="64" t="n"/>
      <c r="J2073" s="16" t="n"/>
      <c r="K2073" s="16" t="n"/>
      <c r="M2073" s="89" t="n"/>
      <c r="N2073" s="1" t="n"/>
      <c r="O2073" s="1" t="n"/>
      <c r="P2073" s="1" t="n"/>
      <c r="Q2073" s="1" t="n"/>
      <c r="R2073" s="1" t="n"/>
    </row>
    <row r="2074">
      <c r="A2074" s="61" t="n"/>
      <c r="B2074" s="16" t="n"/>
      <c r="C2074" s="90" t="n"/>
      <c r="D2074" s="90" t="n"/>
      <c r="E2074" s="90" t="n"/>
      <c r="F2074" s="16" t="n"/>
      <c r="G2074" s="16" t="n"/>
      <c r="H2074" s="63" t="n"/>
      <c r="I2074" s="64" t="n"/>
      <c r="J2074" s="16" t="n"/>
      <c r="K2074" s="16" t="n"/>
      <c r="M2074" s="89" t="n"/>
      <c r="N2074" s="1" t="n"/>
      <c r="O2074" s="1" t="n"/>
      <c r="P2074" s="1" t="n"/>
      <c r="Q2074" s="1" t="n"/>
      <c r="R2074" s="1" t="n"/>
    </row>
    <row r="2075">
      <c r="A2075" s="61" t="n"/>
      <c r="B2075" s="16" t="n"/>
      <c r="C2075" s="90" t="n"/>
      <c r="D2075" s="90" t="n"/>
      <c r="E2075" s="90" t="n"/>
      <c r="F2075" s="16" t="n"/>
      <c r="G2075" s="16" t="n"/>
      <c r="H2075" s="63" t="n"/>
      <c r="I2075" s="64" t="n"/>
      <c r="J2075" s="16" t="n"/>
      <c r="K2075" s="16" t="n"/>
      <c r="M2075" s="89" t="n"/>
      <c r="N2075" s="1" t="n"/>
      <c r="O2075" s="1" t="n"/>
      <c r="P2075" s="1" t="n"/>
      <c r="Q2075" s="1" t="n"/>
      <c r="R2075" s="1" t="n"/>
    </row>
    <row r="2076">
      <c r="A2076" s="61" t="n"/>
      <c r="B2076" s="16" t="n"/>
      <c r="C2076" s="90" t="n"/>
      <c r="D2076" s="90" t="n"/>
      <c r="E2076" s="90" t="n"/>
      <c r="F2076" s="16" t="n"/>
      <c r="G2076" s="16" t="n"/>
      <c r="H2076" s="63" t="n"/>
      <c r="I2076" s="64" t="n"/>
      <c r="J2076" s="16" t="n"/>
      <c r="K2076" s="16" t="n"/>
      <c r="M2076" s="89" t="n"/>
      <c r="N2076" s="1" t="n"/>
      <c r="O2076" s="1" t="n"/>
      <c r="P2076" s="1" t="n"/>
      <c r="Q2076" s="1" t="n"/>
      <c r="R2076" s="1" t="n"/>
    </row>
    <row r="2077">
      <c r="A2077" s="61" t="n"/>
      <c r="B2077" s="16" t="n"/>
      <c r="C2077" s="90" t="n"/>
      <c r="D2077" s="90" t="n"/>
      <c r="E2077" s="90" t="n"/>
      <c r="F2077" s="16" t="n"/>
      <c r="G2077" s="16" t="n"/>
      <c r="H2077" s="63" t="n"/>
      <c r="I2077" s="64" t="n"/>
      <c r="J2077" s="16" t="n"/>
      <c r="K2077" s="16" t="n"/>
      <c r="M2077" s="89" t="n"/>
      <c r="N2077" s="1" t="n"/>
      <c r="O2077" s="1" t="n"/>
      <c r="P2077" s="1" t="n"/>
      <c r="Q2077" s="1" t="n"/>
      <c r="R2077" s="1" t="n"/>
    </row>
    <row r="2078">
      <c r="A2078" s="61" t="n"/>
      <c r="B2078" s="16" t="n"/>
      <c r="C2078" s="90" t="n"/>
      <c r="D2078" s="90" t="n"/>
      <c r="E2078" s="90" t="n"/>
      <c r="F2078" s="16" t="n"/>
      <c r="G2078" s="16" t="n"/>
      <c r="H2078" s="63" t="n"/>
      <c r="I2078" s="64" t="n"/>
      <c r="J2078" s="16" t="n"/>
      <c r="K2078" s="16" t="n"/>
      <c r="M2078" s="89" t="n"/>
      <c r="N2078" s="1" t="n"/>
      <c r="O2078" s="1" t="n"/>
      <c r="P2078" s="1" t="n"/>
      <c r="Q2078" s="1" t="n"/>
      <c r="R2078" s="1" t="n"/>
    </row>
    <row r="2079">
      <c r="A2079" s="61" t="n"/>
      <c r="B2079" s="16" t="n"/>
      <c r="C2079" s="90" t="n"/>
      <c r="D2079" s="90" t="n"/>
      <c r="E2079" s="90" t="n"/>
      <c r="F2079" s="16" t="n"/>
      <c r="G2079" s="16" t="n"/>
      <c r="H2079" s="63" t="n"/>
      <c r="I2079" s="64" t="n"/>
      <c r="J2079" s="16" t="n"/>
      <c r="K2079" s="16" t="n"/>
      <c r="M2079" s="89" t="n"/>
      <c r="N2079" s="1" t="n"/>
      <c r="O2079" s="1" t="n"/>
      <c r="P2079" s="1" t="n"/>
      <c r="Q2079" s="1" t="n"/>
      <c r="R2079" s="1" t="n"/>
    </row>
    <row r="2080">
      <c r="A2080" s="61" t="n"/>
      <c r="B2080" s="16" t="n"/>
      <c r="C2080" s="90" t="n"/>
      <c r="D2080" s="90" t="n"/>
      <c r="E2080" s="90" t="n"/>
      <c r="F2080" s="16" t="n"/>
      <c r="G2080" s="16" t="n"/>
      <c r="H2080" s="63" t="n"/>
      <c r="I2080" s="64" t="n"/>
      <c r="J2080" s="16" t="n"/>
      <c r="K2080" s="16" t="n"/>
      <c r="M2080" s="89" t="n"/>
      <c r="N2080" s="1" t="n"/>
      <c r="O2080" s="1" t="n"/>
      <c r="P2080" s="1" t="n"/>
      <c r="Q2080" s="1" t="n"/>
      <c r="R2080" s="1" t="n"/>
    </row>
    <row r="2081">
      <c r="A2081" s="61" t="n"/>
      <c r="B2081" s="16" t="n"/>
      <c r="C2081" s="90" t="n"/>
      <c r="D2081" s="90" t="n"/>
      <c r="E2081" s="90" t="n"/>
      <c r="F2081" s="16" t="n"/>
      <c r="G2081" s="16" t="n"/>
      <c r="H2081" s="63" t="n"/>
      <c r="I2081" s="64" t="n"/>
      <c r="J2081" s="16" t="n"/>
      <c r="K2081" s="16" t="n"/>
      <c r="M2081" s="89" t="n"/>
      <c r="N2081" s="1" t="n"/>
      <c r="O2081" s="1" t="n"/>
      <c r="P2081" s="1" t="n"/>
      <c r="Q2081" s="1" t="n"/>
      <c r="R2081" s="1" t="n"/>
    </row>
    <row r="2082">
      <c r="A2082" s="61" t="n"/>
      <c r="B2082" s="16" t="n"/>
      <c r="C2082" s="90" t="n"/>
      <c r="D2082" s="90" t="n"/>
      <c r="E2082" s="90" t="n"/>
      <c r="F2082" s="16" t="n"/>
      <c r="G2082" s="16" t="n"/>
      <c r="H2082" s="63" t="n"/>
      <c r="I2082" s="64" t="n"/>
      <c r="J2082" s="16" t="n"/>
      <c r="K2082" s="16" t="n"/>
      <c r="M2082" s="89" t="n"/>
      <c r="N2082" s="1" t="n"/>
      <c r="O2082" s="1" t="n"/>
      <c r="P2082" s="1" t="n"/>
      <c r="Q2082" s="1" t="n"/>
      <c r="R2082" s="1" t="n"/>
    </row>
    <row r="2083">
      <c r="A2083" s="61" t="n"/>
      <c r="B2083" s="16" t="n"/>
      <c r="C2083" s="90" t="n"/>
      <c r="D2083" s="90" t="n"/>
      <c r="E2083" s="90" t="n"/>
      <c r="F2083" s="16" t="n"/>
      <c r="G2083" s="16" t="n"/>
      <c r="H2083" s="63" t="n"/>
      <c r="I2083" s="64" t="n"/>
      <c r="J2083" s="16" t="n"/>
      <c r="K2083" s="16" t="n"/>
      <c r="M2083" s="89" t="n"/>
      <c r="N2083" s="1" t="n"/>
      <c r="O2083" s="1" t="n"/>
      <c r="P2083" s="1" t="n"/>
      <c r="Q2083" s="1" t="n"/>
      <c r="R2083" s="1" t="n"/>
    </row>
    <row r="2084">
      <c r="A2084" s="61" t="n"/>
      <c r="B2084" s="16" t="n"/>
      <c r="C2084" s="90" t="n"/>
      <c r="D2084" s="90" t="n"/>
      <c r="E2084" s="90" t="n"/>
      <c r="F2084" s="16" t="n"/>
      <c r="G2084" s="16" t="n"/>
      <c r="H2084" s="63" t="n"/>
      <c r="I2084" s="64" t="n"/>
      <c r="J2084" s="16" t="n"/>
      <c r="K2084" s="16" t="n"/>
      <c r="M2084" s="89" t="n"/>
      <c r="N2084" s="1" t="n"/>
      <c r="O2084" s="1" t="n"/>
      <c r="P2084" s="1" t="n"/>
      <c r="Q2084" s="1" t="n"/>
      <c r="R2084" s="1" t="n"/>
    </row>
    <row r="2085">
      <c r="A2085" s="61" t="n"/>
      <c r="B2085" s="16" t="n"/>
      <c r="C2085" s="90" t="n"/>
      <c r="D2085" s="90" t="n"/>
      <c r="E2085" s="90" t="n"/>
      <c r="F2085" s="16" t="n"/>
      <c r="G2085" s="16" t="n"/>
      <c r="H2085" s="63" t="n"/>
      <c r="I2085" s="64" t="n"/>
      <c r="J2085" s="16" t="n"/>
      <c r="K2085" s="16" t="n"/>
      <c r="M2085" s="89" t="n"/>
      <c r="N2085" s="1" t="n"/>
      <c r="O2085" s="1" t="n"/>
      <c r="P2085" s="1" t="n"/>
      <c r="Q2085" s="1" t="n"/>
      <c r="R2085" s="1" t="n"/>
    </row>
    <row r="2086">
      <c r="A2086" s="61" t="n"/>
      <c r="B2086" s="16" t="n"/>
      <c r="C2086" s="90" t="n"/>
      <c r="D2086" s="90" t="n"/>
      <c r="E2086" s="90" t="n"/>
      <c r="F2086" s="16" t="n"/>
      <c r="G2086" s="16" t="n"/>
      <c r="H2086" s="63" t="n"/>
      <c r="I2086" s="64" t="n"/>
      <c r="J2086" s="16" t="n"/>
      <c r="K2086" s="16" t="n"/>
      <c r="M2086" s="89" t="n"/>
      <c r="N2086" s="1" t="n"/>
      <c r="O2086" s="1" t="n"/>
      <c r="P2086" s="1" t="n"/>
      <c r="Q2086" s="1" t="n"/>
      <c r="R2086" s="1" t="n"/>
    </row>
    <row r="2087">
      <c r="A2087" s="61" t="n"/>
      <c r="B2087" s="16" t="n"/>
      <c r="C2087" s="90" t="n"/>
      <c r="D2087" s="90" t="n"/>
      <c r="E2087" s="90" t="n"/>
      <c r="F2087" s="16" t="n"/>
      <c r="G2087" s="16" t="n"/>
      <c r="H2087" s="63" t="n"/>
      <c r="I2087" s="64" t="n"/>
      <c r="J2087" s="16" t="n"/>
      <c r="K2087" s="16" t="n"/>
      <c r="M2087" s="89" t="n"/>
      <c r="N2087" s="1" t="n"/>
      <c r="O2087" s="1" t="n"/>
      <c r="P2087" s="1" t="n"/>
      <c r="Q2087" s="1" t="n"/>
      <c r="R2087" s="1" t="n"/>
    </row>
    <row r="2088">
      <c r="A2088" s="61" t="n"/>
      <c r="B2088" s="16" t="n"/>
      <c r="C2088" s="90" t="n"/>
      <c r="D2088" s="90" t="n"/>
      <c r="E2088" s="90" t="n"/>
      <c r="F2088" s="16" t="n"/>
      <c r="G2088" s="16" t="n"/>
      <c r="H2088" s="63" t="n"/>
      <c r="I2088" s="64" t="n"/>
      <c r="J2088" s="16" t="n"/>
      <c r="K2088" s="16" t="n"/>
      <c r="M2088" s="89" t="n"/>
      <c r="N2088" s="1" t="n"/>
      <c r="O2088" s="1" t="n"/>
      <c r="P2088" s="1" t="n"/>
      <c r="Q2088" s="1" t="n"/>
      <c r="R2088" s="1" t="n"/>
    </row>
    <row r="2089">
      <c r="A2089" s="61" t="n"/>
      <c r="B2089" s="16" t="n"/>
      <c r="C2089" s="90" t="n"/>
      <c r="D2089" s="90" t="n"/>
      <c r="E2089" s="90" t="n"/>
      <c r="F2089" s="16" t="n"/>
      <c r="G2089" s="16" t="n"/>
      <c r="H2089" s="63" t="n"/>
      <c r="I2089" s="64" t="n"/>
      <c r="J2089" s="16" t="n"/>
      <c r="K2089" s="16" t="n"/>
      <c r="M2089" s="89" t="n"/>
      <c r="N2089" s="1" t="n"/>
      <c r="O2089" s="1" t="n"/>
      <c r="P2089" s="1" t="n"/>
      <c r="Q2089" s="1" t="n"/>
      <c r="R2089" s="1" t="n"/>
    </row>
    <row r="2090">
      <c r="A2090" s="61" t="n"/>
      <c r="B2090" s="16" t="n"/>
      <c r="C2090" s="90" t="n"/>
      <c r="D2090" s="90" t="n"/>
      <c r="E2090" s="90" t="n"/>
      <c r="F2090" s="16" t="n"/>
      <c r="G2090" s="16" t="n"/>
      <c r="H2090" s="63" t="n"/>
      <c r="I2090" s="64" t="n"/>
      <c r="J2090" s="16" t="n"/>
      <c r="K2090" s="16" t="n"/>
      <c r="M2090" s="89" t="n"/>
      <c r="N2090" s="1" t="n"/>
      <c r="O2090" s="1" t="n"/>
      <c r="P2090" s="1" t="n"/>
      <c r="Q2090" s="1" t="n"/>
      <c r="R2090" s="1" t="n"/>
    </row>
    <row r="2091">
      <c r="A2091" s="61" t="n"/>
      <c r="B2091" s="16" t="n"/>
      <c r="C2091" s="90" t="n"/>
      <c r="D2091" s="90" t="n"/>
      <c r="E2091" s="90" t="n"/>
      <c r="F2091" s="16" t="n"/>
      <c r="G2091" s="16" t="n"/>
      <c r="H2091" s="63" t="n"/>
      <c r="I2091" s="64" t="n"/>
      <c r="J2091" s="16" t="n"/>
      <c r="K2091" s="16" t="n"/>
      <c r="M2091" s="89" t="n"/>
      <c r="N2091" s="1" t="n"/>
      <c r="O2091" s="1" t="n"/>
      <c r="P2091" s="1" t="n"/>
      <c r="Q2091" s="1" t="n"/>
      <c r="R2091" s="1" t="n"/>
    </row>
    <row r="2092">
      <c r="A2092" s="61" t="n"/>
      <c r="B2092" s="16" t="n"/>
      <c r="C2092" s="90" t="n"/>
      <c r="D2092" s="90" t="n"/>
      <c r="E2092" s="90" t="n"/>
      <c r="F2092" s="16" t="n"/>
      <c r="G2092" s="16" t="n"/>
      <c r="H2092" s="63" t="n"/>
      <c r="I2092" s="64" t="n"/>
      <c r="J2092" s="16" t="n"/>
      <c r="K2092" s="16" t="n"/>
      <c r="M2092" s="89" t="n"/>
      <c r="N2092" s="1" t="n"/>
      <c r="O2092" s="1" t="n"/>
      <c r="P2092" s="1" t="n"/>
      <c r="Q2092" s="1" t="n"/>
      <c r="R2092" s="1" t="n"/>
    </row>
    <row r="2093">
      <c r="A2093" s="61" t="n"/>
      <c r="B2093" s="16" t="n"/>
      <c r="C2093" s="90" t="n"/>
      <c r="D2093" s="90" t="n"/>
      <c r="E2093" s="90" t="n"/>
      <c r="F2093" s="16" t="n"/>
      <c r="G2093" s="16" t="n"/>
      <c r="H2093" s="63" t="n"/>
      <c r="I2093" s="64" t="n"/>
      <c r="J2093" s="16" t="n"/>
      <c r="K2093" s="16" t="n"/>
      <c r="M2093" s="89" t="n"/>
      <c r="N2093" s="1" t="n"/>
      <c r="O2093" s="1" t="n"/>
      <c r="P2093" s="1" t="n"/>
      <c r="Q2093" s="1" t="n"/>
      <c r="R2093" s="1" t="n"/>
    </row>
    <row r="2094">
      <c r="A2094" s="61" t="n"/>
      <c r="B2094" s="16" t="n"/>
      <c r="C2094" s="90" t="n"/>
      <c r="D2094" s="90" t="n"/>
      <c r="E2094" s="90" t="n"/>
      <c r="F2094" s="16" t="n"/>
      <c r="G2094" s="16" t="n"/>
      <c r="H2094" s="63" t="n"/>
      <c r="I2094" s="64" t="n"/>
      <c r="J2094" s="16" t="n"/>
      <c r="K2094" s="16" t="n"/>
      <c r="M2094" s="89" t="n"/>
      <c r="N2094" s="1" t="n"/>
      <c r="O2094" s="1" t="n"/>
      <c r="P2094" s="1" t="n"/>
      <c r="Q2094" s="1" t="n"/>
      <c r="R2094" s="1" t="n"/>
    </row>
    <row r="2095">
      <c r="A2095" s="61" t="n"/>
      <c r="B2095" s="16" t="n"/>
      <c r="C2095" s="90" t="n"/>
      <c r="D2095" s="90" t="n"/>
      <c r="E2095" s="90" t="n"/>
      <c r="F2095" s="16" t="n"/>
      <c r="G2095" s="16" t="n"/>
      <c r="H2095" s="63" t="n"/>
      <c r="I2095" s="64" t="n"/>
      <c r="J2095" s="16" t="n"/>
      <c r="K2095" s="16" t="n"/>
      <c r="M2095" s="89" t="n"/>
      <c r="N2095" s="1" t="n"/>
      <c r="O2095" s="1" t="n"/>
      <c r="P2095" s="1" t="n"/>
      <c r="Q2095" s="1" t="n"/>
      <c r="R2095" s="1" t="n"/>
    </row>
    <row r="2096">
      <c r="A2096" s="61" t="n"/>
      <c r="B2096" s="16" t="n"/>
      <c r="C2096" s="90" t="n"/>
      <c r="D2096" s="90" t="n"/>
      <c r="E2096" s="90" t="n"/>
      <c r="F2096" s="16" t="n"/>
      <c r="G2096" s="16" t="n"/>
      <c r="H2096" s="63" t="n"/>
      <c r="I2096" s="64" t="n"/>
      <c r="J2096" s="16" t="n"/>
      <c r="K2096" s="16" t="n"/>
      <c r="M2096" s="89" t="n"/>
      <c r="N2096" s="1" t="n"/>
      <c r="O2096" s="1" t="n"/>
      <c r="P2096" s="1" t="n"/>
      <c r="Q2096" s="1" t="n"/>
      <c r="R2096" s="1" t="n"/>
    </row>
    <row r="2097">
      <c r="A2097" s="61" t="n"/>
      <c r="B2097" s="16" t="n"/>
      <c r="C2097" s="90" t="n"/>
      <c r="D2097" s="90" t="n"/>
      <c r="E2097" s="90" t="n"/>
      <c r="F2097" s="16" t="n"/>
      <c r="G2097" s="16" t="n"/>
      <c r="H2097" s="63" t="n"/>
      <c r="I2097" s="64" t="n"/>
      <c r="J2097" s="16" t="n"/>
      <c r="K2097" s="16" t="n"/>
      <c r="M2097" s="89" t="n"/>
      <c r="N2097" s="1" t="n"/>
      <c r="O2097" s="1" t="n"/>
      <c r="P2097" s="1" t="n"/>
      <c r="Q2097" s="1" t="n"/>
      <c r="R2097" s="1" t="n"/>
    </row>
    <row r="2098">
      <c r="A2098" s="61" t="n"/>
      <c r="B2098" s="16" t="n"/>
      <c r="C2098" s="90" t="n"/>
      <c r="D2098" s="90" t="n"/>
      <c r="E2098" s="90" t="n"/>
      <c r="F2098" s="16" t="n"/>
      <c r="G2098" s="16" t="n"/>
      <c r="H2098" s="63" t="n"/>
      <c r="I2098" s="64" t="n"/>
      <c r="J2098" s="16" t="n"/>
      <c r="K2098" s="16" t="n"/>
      <c r="M2098" s="89" t="n"/>
      <c r="N2098" s="1" t="n"/>
      <c r="O2098" s="1" t="n"/>
      <c r="P2098" s="1" t="n"/>
      <c r="Q2098" s="1" t="n"/>
      <c r="R2098" s="1" t="n"/>
    </row>
    <row r="2099">
      <c r="A2099" s="61" t="n"/>
      <c r="B2099" s="16" t="n"/>
      <c r="C2099" s="90" t="n"/>
      <c r="D2099" s="90" t="n"/>
      <c r="E2099" s="90" t="n"/>
      <c r="F2099" s="16" t="n"/>
      <c r="G2099" s="16" t="n"/>
      <c r="H2099" s="63" t="n"/>
      <c r="I2099" s="64" t="n"/>
      <c r="J2099" s="16" t="n"/>
      <c r="K2099" s="16" t="n"/>
      <c r="M2099" s="89" t="n"/>
      <c r="N2099" s="1" t="n"/>
      <c r="O2099" s="1" t="n"/>
      <c r="P2099" s="1" t="n"/>
      <c r="Q2099" s="1" t="n"/>
      <c r="R2099" s="1" t="n"/>
    </row>
    <row r="2100">
      <c r="A2100" s="61" t="n"/>
      <c r="B2100" s="16" t="n"/>
      <c r="C2100" s="90" t="n"/>
      <c r="D2100" s="90" t="n"/>
      <c r="E2100" s="90" t="n"/>
      <c r="F2100" s="16" t="n"/>
      <c r="G2100" s="16" t="n"/>
      <c r="H2100" s="63" t="n"/>
      <c r="I2100" s="64" t="n"/>
      <c r="J2100" s="16" t="n"/>
      <c r="K2100" s="16" t="n"/>
      <c r="M2100" s="89" t="n"/>
      <c r="N2100" s="1" t="n"/>
      <c r="O2100" s="1" t="n"/>
      <c r="P2100" s="1" t="n"/>
      <c r="Q2100" s="1" t="n"/>
      <c r="R2100" s="1" t="n"/>
    </row>
    <row r="2101">
      <c r="A2101" s="61" t="n"/>
      <c r="B2101" s="16" t="n"/>
      <c r="C2101" s="90" t="n"/>
      <c r="D2101" s="90" t="n"/>
      <c r="E2101" s="90" t="n"/>
      <c r="F2101" s="16" t="n"/>
      <c r="G2101" s="16" t="n"/>
      <c r="H2101" s="63" t="n"/>
      <c r="I2101" s="64" t="n"/>
      <c r="J2101" s="16" t="n"/>
      <c r="K2101" s="16" t="n"/>
      <c r="M2101" s="89" t="n"/>
      <c r="N2101" s="1" t="n"/>
      <c r="O2101" s="1" t="n"/>
      <c r="P2101" s="1" t="n"/>
      <c r="Q2101" s="1" t="n"/>
      <c r="R2101" s="1" t="n"/>
    </row>
    <row r="2102">
      <c r="A2102" s="61" t="n"/>
      <c r="B2102" s="16" t="n"/>
      <c r="C2102" s="90" t="n"/>
      <c r="D2102" s="90" t="n"/>
      <c r="E2102" s="90" t="n"/>
      <c r="F2102" s="16" t="n"/>
      <c r="G2102" s="16" t="n"/>
      <c r="H2102" s="63" t="n"/>
      <c r="I2102" s="64" t="n"/>
      <c r="J2102" s="16" t="n"/>
      <c r="K2102" s="16" t="n"/>
      <c r="M2102" s="89" t="n"/>
      <c r="N2102" s="1" t="n"/>
      <c r="O2102" s="1" t="n"/>
      <c r="P2102" s="1" t="n"/>
      <c r="Q2102" s="1" t="n"/>
      <c r="R2102" s="1" t="n"/>
    </row>
    <row r="2103">
      <c r="A2103" s="61" t="n"/>
      <c r="B2103" s="16" t="n"/>
      <c r="C2103" s="90" t="n"/>
      <c r="D2103" s="90" t="n"/>
      <c r="E2103" s="90" t="n"/>
      <c r="F2103" s="16" t="n"/>
      <c r="G2103" s="16" t="n"/>
      <c r="H2103" s="63" t="n"/>
      <c r="I2103" s="64" t="n"/>
      <c r="J2103" s="16" t="n"/>
      <c r="K2103" s="16" t="n"/>
      <c r="M2103" s="89" t="n"/>
      <c r="N2103" s="1" t="n"/>
      <c r="O2103" s="1" t="n"/>
      <c r="P2103" s="1" t="n"/>
      <c r="Q2103" s="1" t="n"/>
      <c r="R2103" s="1" t="n"/>
    </row>
    <row r="2104">
      <c r="A2104" s="61" t="n"/>
      <c r="B2104" s="16" t="n"/>
      <c r="C2104" s="90" t="n"/>
      <c r="D2104" s="90" t="n"/>
      <c r="E2104" s="90" t="n"/>
      <c r="F2104" s="16" t="n"/>
      <c r="G2104" s="16" t="n"/>
      <c r="H2104" s="63" t="n"/>
      <c r="I2104" s="64" t="n"/>
      <c r="J2104" s="16" t="n"/>
      <c r="K2104" s="16" t="n"/>
      <c r="M2104" s="89" t="n"/>
      <c r="N2104" s="1" t="n"/>
      <c r="O2104" s="1" t="n"/>
      <c r="P2104" s="1" t="n"/>
      <c r="Q2104" s="1" t="n"/>
      <c r="R2104" s="1" t="n"/>
    </row>
    <row r="2105">
      <c r="A2105" s="61" t="n"/>
      <c r="B2105" s="16" t="n"/>
      <c r="C2105" s="90" t="n"/>
      <c r="D2105" s="90" t="n"/>
      <c r="E2105" s="90" t="n"/>
      <c r="F2105" s="16" t="n"/>
      <c r="G2105" s="16" t="n"/>
      <c r="H2105" s="63" t="n"/>
      <c r="I2105" s="64" t="n"/>
      <c r="J2105" s="16" t="n"/>
      <c r="K2105" s="16" t="n"/>
      <c r="M2105" s="89" t="n"/>
      <c r="N2105" s="1" t="n"/>
      <c r="O2105" s="1" t="n"/>
      <c r="P2105" s="1" t="n"/>
      <c r="Q2105" s="1" t="n"/>
      <c r="R2105" s="1" t="n"/>
    </row>
    <row r="2106">
      <c r="A2106" s="61" t="n"/>
      <c r="B2106" s="16" t="n"/>
      <c r="C2106" s="90" t="n"/>
      <c r="D2106" s="90" t="n"/>
      <c r="E2106" s="90" t="n"/>
      <c r="F2106" s="16" t="n"/>
      <c r="G2106" s="16" t="n"/>
      <c r="H2106" s="63" t="n"/>
      <c r="I2106" s="64" t="n"/>
      <c r="J2106" s="16" t="n"/>
      <c r="K2106" s="16" t="n"/>
      <c r="M2106" s="89" t="n"/>
      <c r="N2106" s="1" t="n"/>
      <c r="O2106" s="1" t="n"/>
      <c r="P2106" s="1" t="n"/>
      <c r="Q2106" s="1" t="n"/>
      <c r="R2106" s="1" t="n"/>
    </row>
    <row r="2107">
      <c r="A2107" s="61" t="n"/>
      <c r="B2107" s="16" t="n"/>
      <c r="C2107" s="90" t="n"/>
      <c r="D2107" s="90" t="n"/>
      <c r="E2107" s="90" t="n"/>
      <c r="F2107" s="16" t="n"/>
      <c r="G2107" s="16" t="n"/>
      <c r="H2107" s="63" t="n"/>
      <c r="I2107" s="64" t="n"/>
      <c r="J2107" s="16" t="n"/>
      <c r="K2107" s="16" t="n"/>
      <c r="M2107" s="89" t="n"/>
      <c r="N2107" s="1" t="n"/>
      <c r="O2107" s="1" t="n"/>
      <c r="P2107" s="1" t="n"/>
      <c r="Q2107" s="1" t="n"/>
      <c r="R2107" s="1" t="n"/>
    </row>
    <row r="2108">
      <c r="A2108" s="61" t="n"/>
      <c r="B2108" s="16" t="n"/>
      <c r="C2108" s="90" t="n"/>
      <c r="D2108" s="90" t="n"/>
      <c r="E2108" s="90" t="n"/>
      <c r="F2108" s="16" t="n"/>
      <c r="G2108" s="16" t="n"/>
      <c r="H2108" s="63" t="n"/>
      <c r="I2108" s="64" t="n"/>
      <c r="J2108" s="16" t="n"/>
      <c r="K2108" s="16" t="n"/>
      <c r="M2108" s="89" t="n"/>
      <c r="N2108" s="1" t="n"/>
      <c r="O2108" s="1" t="n"/>
      <c r="P2108" s="1" t="n"/>
      <c r="Q2108" s="1" t="n"/>
      <c r="R2108" s="1" t="n"/>
    </row>
    <row r="2109">
      <c r="A2109" s="61" t="n"/>
      <c r="B2109" s="16" t="n"/>
      <c r="C2109" s="90" t="n"/>
      <c r="D2109" s="90" t="n"/>
      <c r="E2109" s="90" t="n"/>
      <c r="F2109" s="16" t="n"/>
      <c r="G2109" s="16" t="n"/>
      <c r="H2109" s="63" t="n"/>
      <c r="I2109" s="64" t="n"/>
      <c r="J2109" s="16" t="n"/>
      <c r="K2109" s="16" t="n"/>
      <c r="M2109" s="89" t="n"/>
      <c r="N2109" s="1" t="n"/>
      <c r="O2109" s="1" t="n"/>
      <c r="P2109" s="1" t="n"/>
      <c r="Q2109" s="1" t="n"/>
      <c r="R2109" s="1" t="n"/>
    </row>
    <row r="2110">
      <c r="A2110" s="61" t="n"/>
      <c r="B2110" s="16" t="n"/>
      <c r="C2110" s="90" t="n"/>
      <c r="D2110" s="90" t="n"/>
      <c r="E2110" s="90" t="n"/>
      <c r="F2110" s="16" t="n"/>
      <c r="G2110" s="16" t="n"/>
      <c r="H2110" s="63" t="n"/>
      <c r="I2110" s="64" t="n"/>
      <c r="J2110" s="16" t="n"/>
      <c r="K2110" s="16" t="n"/>
      <c r="M2110" s="89" t="n"/>
      <c r="N2110" s="1" t="n"/>
      <c r="O2110" s="1" t="n"/>
      <c r="P2110" s="1" t="n"/>
      <c r="Q2110" s="1" t="n"/>
      <c r="R2110" s="1" t="n"/>
    </row>
    <row r="2111">
      <c r="A2111" s="61" t="n"/>
      <c r="B2111" s="16" t="n"/>
      <c r="C2111" s="90" t="n"/>
      <c r="D2111" s="90" t="n"/>
      <c r="E2111" s="90" t="n"/>
      <c r="F2111" s="16" t="n"/>
      <c r="G2111" s="16" t="n"/>
      <c r="H2111" s="63" t="n"/>
      <c r="I2111" s="64" t="n"/>
      <c r="J2111" s="16" t="n"/>
      <c r="K2111" s="16" t="n"/>
      <c r="M2111" s="89" t="n"/>
      <c r="N2111" s="1" t="n"/>
      <c r="O2111" s="1" t="n"/>
      <c r="P2111" s="1" t="n"/>
      <c r="Q2111" s="1" t="n"/>
      <c r="R2111" s="1" t="n"/>
    </row>
    <row r="2112">
      <c r="A2112" s="61" t="n"/>
      <c r="B2112" s="16" t="n"/>
      <c r="C2112" s="90" t="n"/>
      <c r="D2112" s="90" t="n"/>
      <c r="E2112" s="90" t="n"/>
      <c r="F2112" s="16" t="n"/>
      <c r="G2112" s="16" t="n"/>
      <c r="H2112" s="63" t="n"/>
      <c r="I2112" s="64" t="n"/>
      <c r="J2112" s="16" t="n"/>
      <c r="K2112" s="16" t="n"/>
      <c r="M2112" s="89" t="n"/>
      <c r="N2112" s="1" t="n"/>
      <c r="O2112" s="1" t="n"/>
      <c r="P2112" s="1" t="n"/>
      <c r="Q2112" s="1" t="n"/>
      <c r="R2112" s="1" t="n"/>
    </row>
    <row r="2113">
      <c r="A2113" s="61" t="n"/>
      <c r="B2113" s="16" t="n"/>
      <c r="C2113" s="90" t="n"/>
      <c r="D2113" s="90" t="n"/>
      <c r="E2113" s="90" t="n"/>
      <c r="F2113" s="16" t="n"/>
      <c r="G2113" s="16" t="n"/>
      <c r="H2113" s="63" t="n"/>
      <c r="I2113" s="64" t="n"/>
      <c r="J2113" s="16" t="n"/>
      <c r="K2113" s="16" t="n"/>
      <c r="M2113" s="89" t="n"/>
      <c r="N2113" s="1" t="n"/>
      <c r="O2113" s="1" t="n"/>
      <c r="P2113" s="1" t="n"/>
      <c r="Q2113" s="1" t="n"/>
      <c r="R2113" s="1" t="n"/>
    </row>
    <row r="2114">
      <c r="A2114" s="61" t="n"/>
      <c r="B2114" s="16" t="n"/>
      <c r="C2114" s="90" t="n"/>
      <c r="D2114" s="90" t="n"/>
      <c r="E2114" s="90" t="n"/>
      <c r="F2114" s="16" t="n"/>
      <c r="G2114" s="16" t="n"/>
      <c r="H2114" s="63" t="n"/>
      <c r="I2114" s="64" t="n"/>
      <c r="J2114" s="16" t="n"/>
      <c r="K2114" s="16" t="n"/>
      <c r="M2114" s="89" t="n"/>
      <c r="N2114" s="1" t="n"/>
      <c r="O2114" s="1" t="n"/>
      <c r="P2114" s="1" t="n"/>
      <c r="Q2114" s="1" t="n"/>
      <c r="R2114" s="1" t="n"/>
    </row>
    <row r="2115">
      <c r="A2115" s="61" t="n"/>
      <c r="B2115" s="16" t="n"/>
      <c r="C2115" s="90" t="n"/>
      <c r="D2115" s="90" t="n"/>
      <c r="E2115" s="90" t="n"/>
      <c r="F2115" s="16" t="n"/>
      <c r="G2115" s="16" t="n"/>
      <c r="H2115" s="63" t="n"/>
      <c r="I2115" s="64" t="n"/>
      <c r="J2115" s="16" t="n"/>
      <c r="K2115" s="16" t="n"/>
      <c r="M2115" s="89" t="n"/>
      <c r="N2115" s="1" t="n"/>
      <c r="O2115" s="1" t="n"/>
      <c r="P2115" s="1" t="n"/>
      <c r="Q2115" s="1" t="n"/>
      <c r="R2115" s="1" t="n"/>
    </row>
    <row r="2116">
      <c r="A2116" s="61" t="n"/>
      <c r="B2116" s="16" t="n"/>
      <c r="C2116" s="90" t="n"/>
      <c r="D2116" s="90" t="n"/>
      <c r="E2116" s="90" t="n"/>
      <c r="F2116" s="16" t="n"/>
      <c r="G2116" s="16" t="n"/>
      <c r="H2116" s="63" t="n"/>
      <c r="I2116" s="64" t="n"/>
      <c r="J2116" s="16" t="n"/>
      <c r="K2116" s="16" t="n"/>
      <c r="M2116" s="89" t="n"/>
      <c r="N2116" s="1" t="n"/>
      <c r="O2116" s="1" t="n"/>
      <c r="P2116" s="1" t="n"/>
      <c r="Q2116" s="1" t="n"/>
      <c r="R2116" s="1" t="n"/>
    </row>
    <row r="2117">
      <c r="A2117" s="61" t="n"/>
      <c r="B2117" s="16" t="n"/>
      <c r="C2117" s="90" t="n"/>
      <c r="D2117" s="90" t="n"/>
      <c r="E2117" s="90" t="n"/>
      <c r="F2117" s="16" t="n"/>
      <c r="G2117" s="16" t="n"/>
      <c r="H2117" s="63" t="n"/>
      <c r="I2117" s="64" t="n"/>
      <c r="J2117" s="16" t="n"/>
      <c r="K2117" s="16" t="n"/>
      <c r="M2117" s="89" t="n"/>
      <c r="N2117" s="1" t="n"/>
      <c r="O2117" s="1" t="n"/>
      <c r="P2117" s="1" t="n"/>
      <c r="Q2117" s="1" t="n"/>
      <c r="R2117" s="1" t="n"/>
    </row>
    <row r="2118">
      <c r="A2118" s="61" t="n"/>
      <c r="B2118" s="16" t="n"/>
      <c r="C2118" s="90" t="n"/>
      <c r="D2118" s="90" t="n"/>
      <c r="E2118" s="90" t="n"/>
      <c r="F2118" s="16" t="n"/>
      <c r="G2118" s="16" t="n"/>
      <c r="H2118" s="63" t="n"/>
      <c r="I2118" s="64" t="n"/>
      <c r="J2118" s="16" t="n"/>
      <c r="K2118" s="16" t="n"/>
      <c r="M2118" s="89" t="n"/>
      <c r="N2118" s="1" t="n"/>
      <c r="O2118" s="1" t="n"/>
      <c r="P2118" s="1" t="n"/>
      <c r="Q2118" s="1" t="n"/>
      <c r="R2118" s="1" t="n"/>
    </row>
    <row r="2119">
      <c r="A2119" s="61" t="n"/>
      <c r="B2119" s="16" t="n"/>
      <c r="C2119" s="90" t="n"/>
      <c r="D2119" s="90" t="n"/>
      <c r="E2119" s="90" t="n"/>
      <c r="F2119" s="16" t="n"/>
      <c r="G2119" s="16" t="n"/>
      <c r="H2119" s="63" t="n"/>
      <c r="I2119" s="64" t="n"/>
      <c r="J2119" s="16" t="n"/>
      <c r="K2119" s="16" t="n"/>
      <c r="M2119" s="89" t="n"/>
      <c r="N2119" s="1" t="n"/>
      <c r="O2119" s="1" t="n"/>
      <c r="P2119" s="1" t="n"/>
      <c r="Q2119" s="1" t="n"/>
      <c r="R2119" s="1" t="n"/>
    </row>
    <row r="2120">
      <c r="A2120" s="61" t="n"/>
      <c r="B2120" s="16" t="n"/>
      <c r="C2120" s="90" t="n"/>
      <c r="D2120" s="90" t="n"/>
      <c r="E2120" s="90" t="n"/>
      <c r="F2120" s="16" t="n"/>
      <c r="G2120" s="16" t="n"/>
      <c r="H2120" s="63" t="n"/>
      <c r="I2120" s="64" t="n"/>
      <c r="J2120" s="16" t="n"/>
      <c r="K2120" s="16" t="n"/>
      <c r="M2120" s="89" t="n"/>
      <c r="N2120" s="1" t="n"/>
      <c r="O2120" s="1" t="n"/>
      <c r="P2120" s="1" t="n"/>
      <c r="Q2120" s="1" t="n"/>
      <c r="R2120" s="1" t="n"/>
    </row>
    <row r="2121">
      <c r="A2121" s="61" t="n"/>
      <c r="B2121" s="16" t="n"/>
      <c r="C2121" s="90" t="n"/>
      <c r="D2121" s="90" t="n"/>
      <c r="E2121" s="90" t="n"/>
      <c r="F2121" s="16" t="n"/>
      <c r="G2121" s="16" t="n"/>
      <c r="H2121" s="63" t="n"/>
      <c r="I2121" s="64" t="n"/>
      <c r="J2121" s="16" t="n"/>
      <c r="K2121" s="16" t="n"/>
      <c r="M2121" s="89" t="n"/>
      <c r="N2121" s="1" t="n"/>
      <c r="O2121" s="1" t="n"/>
      <c r="P2121" s="1" t="n"/>
      <c r="Q2121" s="1" t="n"/>
      <c r="R2121" s="1" t="n"/>
    </row>
    <row r="2122">
      <c r="A2122" s="61" t="n"/>
      <c r="B2122" s="16" t="n"/>
      <c r="C2122" s="90" t="n"/>
      <c r="D2122" s="90" t="n"/>
      <c r="E2122" s="90" t="n"/>
      <c r="F2122" s="16" t="n"/>
      <c r="G2122" s="16" t="n"/>
      <c r="H2122" s="63" t="n"/>
      <c r="I2122" s="64" t="n"/>
      <c r="J2122" s="16" t="n"/>
      <c r="K2122" s="16" t="n"/>
      <c r="M2122" s="89" t="n"/>
      <c r="N2122" s="1" t="n"/>
      <c r="O2122" s="1" t="n"/>
      <c r="P2122" s="1" t="n"/>
      <c r="Q2122" s="1" t="n"/>
      <c r="R2122" s="1" t="n"/>
    </row>
    <row r="2123">
      <c r="A2123" s="61" t="n"/>
      <c r="B2123" s="16" t="n"/>
      <c r="C2123" s="90" t="n"/>
      <c r="D2123" s="90" t="n"/>
      <c r="E2123" s="90" t="n"/>
      <c r="F2123" s="16" t="n"/>
      <c r="G2123" s="16" t="n"/>
      <c r="H2123" s="63" t="n"/>
      <c r="I2123" s="64" t="n"/>
      <c r="J2123" s="16" t="n"/>
      <c r="K2123" s="16" t="n"/>
      <c r="M2123" s="89" t="n"/>
      <c r="N2123" s="1" t="n"/>
      <c r="O2123" s="1" t="n"/>
      <c r="P2123" s="1" t="n"/>
      <c r="Q2123" s="1" t="n"/>
      <c r="R2123" s="1" t="n"/>
    </row>
    <row r="2124">
      <c r="A2124" s="61" t="n"/>
      <c r="B2124" s="16" t="n"/>
      <c r="C2124" s="90" t="n"/>
      <c r="D2124" s="90" t="n"/>
      <c r="E2124" s="90" t="n"/>
      <c r="F2124" s="16" t="n"/>
      <c r="G2124" s="16" t="n"/>
      <c r="H2124" s="63" t="n"/>
      <c r="I2124" s="64" t="n"/>
      <c r="J2124" s="16" t="n"/>
      <c r="K2124" s="16" t="n"/>
      <c r="M2124" s="89" t="n"/>
      <c r="N2124" s="1" t="n"/>
      <c r="O2124" s="1" t="n"/>
      <c r="P2124" s="1" t="n"/>
      <c r="Q2124" s="1" t="n"/>
      <c r="R2124" s="1" t="n"/>
    </row>
    <row r="2125">
      <c r="A2125" s="61" t="n"/>
      <c r="B2125" s="16" t="n"/>
      <c r="C2125" s="90" t="n"/>
      <c r="D2125" s="90" t="n"/>
      <c r="E2125" s="90" t="n"/>
      <c r="F2125" s="16" t="n"/>
      <c r="G2125" s="16" t="n"/>
      <c r="H2125" s="63" t="n"/>
      <c r="I2125" s="64" t="n"/>
      <c r="J2125" s="16" t="n"/>
      <c r="K2125" s="16" t="n"/>
      <c r="M2125" s="89" t="n"/>
      <c r="N2125" s="1" t="n"/>
      <c r="O2125" s="1" t="n"/>
      <c r="P2125" s="1" t="n"/>
      <c r="Q2125" s="1" t="n"/>
      <c r="R2125" s="1" t="n"/>
    </row>
    <row r="2126">
      <c r="A2126" s="61" t="n"/>
      <c r="B2126" s="16" t="n"/>
      <c r="C2126" s="90" t="n"/>
      <c r="D2126" s="90" t="n"/>
      <c r="E2126" s="90" t="n"/>
      <c r="F2126" s="16" t="n"/>
      <c r="G2126" s="16" t="n"/>
      <c r="H2126" s="63" t="n"/>
      <c r="I2126" s="64" t="n"/>
      <c r="J2126" s="16" t="n"/>
      <c r="K2126" s="16" t="n"/>
      <c r="M2126" s="89" t="n"/>
      <c r="N2126" s="1" t="n"/>
      <c r="O2126" s="1" t="n"/>
      <c r="P2126" s="1" t="n"/>
      <c r="Q2126" s="1" t="n"/>
      <c r="R2126" s="1" t="n"/>
    </row>
    <row r="2127">
      <c r="A2127" s="61" t="n"/>
      <c r="B2127" s="16" t="n"/>
      <c r="C2127" s="90" t="n"/>
      <c r="D2127" s="90" t="n"/>
      <c r="E2127" s="90" t="n"/>
      <c r="F2127" s="16" t="n"/>
      <c r="G2127" s="16" t="n"/>
      <c r="H2127" s="63" t="n"/>
      <c r="I2127" s="64" t="n"/>
      <c r="J2127" s="16" t="n"/>
      <c r="K2127" s="16" t="n"/>
      <c r="M2127" s="89" t="n"/>
      <c r="N2127" s="1" t="n"/>
      <c r="O2127" s="1" t="n"/>
      <c r="P2127" s="1" t="n"/>
      <c r="Q2127" s="1" t="n"/>
      <c r="R2127" s="1" t="n"/>
    </row>
    <row r="2128">
      <c r="A2128" s="61" t="n"/>
      <c r="B2128" s="16" t="n"/>
      <c r="C2128" s="90" t="n"/>
      <c r="D2128" s="90" t="n"/>
      <c r="E2128" s="90" t="n"/>
      <c r="F2128" s="16" t="n"/>
      <c r="G2128" s="16" t="n"/>
      <c r="H2128" s="63" t="n"/>
      <c r="I2128" s="64" t="n"/>
      <c r="J2128" s="16" t="n"/>
      <c r="K2128" s="16" t="n"/>
      <c r="M2128" s="89" t="n"/>
      <c r="N2128" s="1" t="n"/>
      <c r="O2128" s="1" t="n"/>
      <c r="P2128" s="1" t="n"/>
      <c r="Q2128" s="1" t="n"/>
      <c r="R2128" s="1" t="n"/>
    </row>
    <row r="2129">
      <c r="A2129" s="61" t="n"/>
      <c r="B2129" s="16" t="n"/>
      <c r="C2129" s="90" t="n"/>
      <c r="D2129" s="90" t="n"/>
      <c r="E2129" s="90" t="n"/>
      <c r="F2129" s="16" t="n"/>
      <c r="G2129" s="16" t="n"/>
      <c r="H2129" s="63" t="n"/>
      <c r="I2129" s="64" t="n"/>
      <c r="J2129" s="16" t="n"/>
      <c r="K2129" s="16" t="n"/>
      <c r="M2129" s="89" t="n"/>
      <c r="N2129" s="1" t="n"/>
      <c r="O2129" s="1" t="n"/>
      <c r="P2129" s="1" t="n"/>
      <c r="Q2129" s="1" t="n"/>
      <c r="R2129" s="1" t="n"/>
    </row>
    <row r="2130">
      <c r="A2130" s="61" t="n"/>
      <c r="B2130" s="16" t="n"/>
      <c r="C2130" s="90" t="n"/>
      <c r="D2130" s="90" t="n"/>
      <c r="E2130" s="90" t="n"/>
      <c r="F2130" s="16" t="n"/>
      <c r="G2130" s="16" t="n"/>
      <c r="H2130" s="63" t="n"/>
      <c r="I2130" s="64" t="n"/>
      <c r="J2130" s="16" t="n"/>
      <c r="K2130" s="16" t="n"/>
      <c r="M2130" s="89" t="n"/>
      <c r="N2130" s="1" t="n"/>
      <c r="O2130" s="1" t="n"/>
      <c r="P2130" s="1" t="n"/>
      <c r="Q2130" s="1" t="n"/>
      <c r="R2130" s="1" t="n"/>
    </row>
    <row r="2131">
      <c r="A2131" s="61" t="n"/>
      <c r="B2131" s="16" t="n"/>
      <c r="C2131" s="90" t="n"/>
      <c r="D2131" s="90" t="n"/>
      <c r="E2131" s="90" t="n"/>
      <c r="F2131" s="16" t="n"/>
      <c r="G2131" s="16" t="n"/>
      <c r="H2131" s="63" t="n"/>
      <c r="I2131" s="64" t="n"/>
      <c r="J2131" s="16" t="n"/>
      <c r="K2131" s="16" t="n"/>
      <c r="M2131" s="89" t="n"/>
      <c r="N2131" s="1" t="n"/>
      <c r="O2131" s="1" t="n"/>
      <c r="P2131" s="1" t="n"/>
      <c r="Q2131" s="1" t="n"/>
      <c r="R2131" s="1" t="n"/>
    </row>
    <row r="2132">
      <c r="A2132" s="61" t="n"/>
      <c r="B2132" s="16" t="n"/>
      <c r="C2132" s="90" t="n"/>
      <c r="D2132" s="90" t="n"/>
      <c r="E2132" s="90" t="n"/>
      <c r="F2132" s="16" t="n"/>
      <c r="G2132" s="16" t="n"/>
      <c r="H2132" s="63" t="n"/>
      <c r="I2132" s="64" t="n"/>
      <c r="J2132" s="16" t="n"/>
      <c r="K2132" s="16" t="n"/>
      <c r="M2132" s="89" t="n"/>
      <c r="N2132" s="1" t="n"/>
      <c r="O2132" s="1" t="n"/>
      <c r="P2132" s="1" t="n"/>
      <c r="Q2132" s="1" t="n"/>
      <c r="R2132" s="1" t="n"/>
    </row>
    <row r="2133">
      <c r="A2133" s="61" t="n"/>
      <c r="B2133" s="16" t="n"/>
      <c r="C2133" s="90" t="n"/>
      <c r="D2133" s="90" t="n"/>
      <c r="E2133" s="90" t="n"/>
      <c r="F2133" s="16" t="n"/>
      <c r="G2133" s="16" t="n"/>
      <c r="H2133" s="63" t="n"/>
      <c r="I2133" s="64" t="n"/>
      <c r="J2133" s="16" t="n"/>
      <c r="K2133" s="16" t="n"/>
      <c r="M2133" s="89" t="n"/>
      <c r="N2133" s="1" t="n"/>
      <c r="O2133" s="1" t="n"/>
      <c r="P2133" s="1" t="n"/>
      <c r="Q2133" s="1" t="n"/>
      <c r="R2133" s="1" t="n"/>
    </row>
    <row r="2134">
      <c r="A2134" s="61" t="n"/>
      <c r="B2134" s="16" t="n"/>
      <c r="C2134" s="90" t="n"/>
      <c r="D2134" s="90" t="n"/>
      <c r="E2134" s="90" t="n"/>
      <c r="F2134" s="16" t="n"/>
      <c r="G2134" s="16" t="n"/>
      <c r="H2134" s="63" t="n"/>
      <c r="I2134" s="64" t="n"/>
      <c r="J2134" s="16" t="n"/>
      <c r="K2134" s="16" t="n"/>
      <c r="M2134" s="89" t="n"/>
      <c r="N2134" s="1" t="n"/>
      <c r="O2134" s="1" t="n"/>
      <c r="P2134" s="1" t="n"/>
      <c r="Q2134" s="1" t="n"/>
      <c r="R2134" s="1" t="n"/>
    </row>
    <row r="2135">
      <c r="A2135" s="61" t="n"/>
      <c r="B2135" s="16" t="n"/>
      <c r="C2135" s="90" t="n"/>
      <c r="D2135" s="90" t="n"/>
      <c r="E2135" s="90" t="n"/>
      <c r="F2135" s="16" t="n"/>
      <c r="G2135" s="16" t="n"/>
      <c r="H2135" s="63" t="n"/>
      <c r="I2135" s="64" t="n"/>
      <c r="J2135" s="16" t="n"/>
      <c r="K2135" s="16" t="n"/>
      <c r="M2135" s="89" t="n"/>
      <c r="N2135" s="1" t="n"/>
      <c r="O2135" s="1" t="n"/>
      <c r="P2135" s="1" t="n"/>
      <c r="Q2135" s="1" t="n"/>
      <c r="R2135" s="1" t="n"/>
    </row>
    <row r="2136">
      <c r="A2136" s="61" t="n"/>
      <c r="B2136" s="16" t="n"/>
      <c r="C2136" s="90" t="n"/>
      <c r="D2136" s="90" t="n"/>
      <c r="E2136" s="90" t="n"/>
      <c r="F2136" s="16" t="n"/>
      <c r="G2136" s="16" t="n"/>
      <c r="H2136" s="63" t="n"/>
      <c r="I2136" s="64" t="n"/>
      <c r="J2136" s="16" t="n"/>
      <c r="K2136" s="16" t="n"/>
      <c r="M2136" s="89" t="n"/>
      <c r="N2136" s="1" t="n"/>
      <c r="O2136" s="1" t="n"/>
      <c r="P2136" s="1" t="n"/>
      <c r="Q2136" s="1" t="n"/>
      <c r="R2136" s="1" t="n"/>
    </row>
    <row r="2137">
      <c r="A2137" s="61" t="n"/>
      <c r="B2137" s="16" t="n"/>
      <c r="C2137" s="90" t="n"/>
      <c r="D2137" s="90" t="n"/>
      <c r="E2137" s="90" t="n"/>
      <c r="F2137" s="16" t="n"/>
      <c r="G2137" s="16" t="n"/>
      <c r="H2137" s="63" t="n"/>
      <c r="I2137" s="64" t="n"/>
      <c r="J2137" s="16" t="n"/>
      <c r="K2137" s="16" t="n"/>
      <c r="M2137" s="89" t="n"/>
      <c r="N2137" s="1" t="n"/>
      <c r="O2137" s="1" t="n"/>
      <c r="P2137" s="1" t="n"/>
      <c r="Q2137" s="1" t="n"/>
      <c r="R2137" s="1" t="n"/>
    </row>
    <row r="2138">
      <c r="A2138" s="61" t="n"/>
      <c r="B2138" s="16" t="n"/>
      <c r="C2138" s="90" t="n"/>
      <c r="D2138" s="90" t="n"/>
      <c r="E2138" s="90" t="n"/>
      <c r="F2138" s="16" t="n"/>
      <c r="G2138" s="16" t="n"/>
      <c r="H2138" s="63" t="n"/>
      <c r="I2138" s="64" t="n"/>
      <c r="J2138" s="16" t="n"/>
      <c r="K2138" s="16" t="n"/>
      <c r="M2138" s="89" t="n"/>
      <c r="N2138" s="1" t="n"/>
      <c r="O2138" s="1" t="n"/>
      <c r="P2138" s="1" t="n"/>
      <c r="Q2138" s="1" t="n"/>
      <c r="R2138" s="1" t="n"/>
    </row>
    <row r="2139">
      <c r="A2139" s="61" t="n"/>
      <c r="B2139" s="16" t="n"/>
      <c r="C2139" s="90" t="n"/>
      <c r="D2139" s="90" t="n"/>
      <c r="E2139" s="90" t="n"/>
      <c r="F2139" s="16" t="n"/>
      <c r="G2139" s="16" t="n"/>
      <c r="H2139" s="63" t="n"/>
      <c r="I2139" s="64" t="n"/>
      <c r="J2139" s="16" t="n"/>
      <c r="K2139" s="16" t="n"/>
      <c r="M2139" s="89" t="n"/>
      <c r="N2139" s="1" t="n"/>
      <c r="O2139" s="1" t="n"/>
      <c r="P2139" s="1" t="n"/>
      <c r="Q2139" s="1" t="n"/>
      <c r="R2139" s="1" t="n"/>
    </row>
    <row r="2140">
      <c r="A2140" s="61" t="n"/>
      <c r="B2140" s="16" t="n"/>
      <c r="C2140" s="90" t="n"/>
      <c r="D2140" s="90" t="n"/>
      <c r="E2140" s="90" t="n"/>
      <c r="F2140" s="16" t="n"/>
      <c r="G2140" s="16" t="n"/>
      <c r="H2140" s="63" t="n"/>
      <c r="I2140" s="64" t="n"/>
      <c r="J2140" s="16" t="n"/>
      <c r="K2140" s="16" t="n"/>
      <c r="M2140" s="89" t="n"/>
      <c r="N2140" s="1" t="n"/>
      <c r="O2140" s="1" t="n"/>
      <c r="P2140" s="1" t="n"/>
      <c r="Q2140" s="1" t="n"/>
      <c r="R2140" s="1" t="n"/>
    </row>
    <row r="2141">
      <c r="A2141" s="61" t="n"/>
      <c r="B2141" s="16" t="n"/>
      <c r="C2141" s="90" t="n"/>
      <c r="D2141" s="90" t="n"/>
      <c r="E2141" s="90" t="n"/>
      <c r="F2141" s="16" t="n"/>
      <c r="G2141" s="16" t="n"/>
      <c r="H2141" s="63" t="n"/>
      <c r="I2141" s="64" t="n"/>
      <c r="J2141" s="16" t="n"/>
      <c r="K2141" s="16" t="n"/>
      <c r="M2141" s="89" t="n"/>
      <c r="N2141" s="1" t="n"/>
      <c r="O2141" s="1" t="n"/>
      <c r="P2141" s="1" t="n"/>
      <c r="Q2141" s="1" t="n"/>
      <c r="R2141" s="1" t="n"/>
    </row>
    <row r="2142">
      <c r="A2142" s="61" t="n"/>
      <c r="B2142" s="16" t="n"/>
      <c r="C2142" s="90" t="n"/>
      <c r="D2142" s="90" t="n"/>
      <c r="E2142" s="90" t="n"/>
      <c r="F2142" s="16" t="n"/>
      <c r="G2142" s="16" t="n"/>
      <c r="H2142" s="63" t="n"/>
      <c r="I2142" s="64" t="n"/>
      <c r="J2142" s="16" t="n"/>
      <c r="K2142" s="16" t="n"/>
      <c r="M2142" s="89" t="n"/>
      <c r="N2142" s="1" t="n"/>
      <c r="O2142" s="1" t="n"/>
      <c r="P2142" s="1" t="n"/>
      <c r="Q2142" s="1" t="n"/>
      <c r="R2142" s="1" t="n"/>
    </row>
    <row r="2143">
      <c r="A2143" s="61" t="n"/>
      <c r="B2143" s="16" t="n"/>
      <c r="C2143" s="90" t="n"/>
      <c r="D2143" s="90" t="n"/>
      <c r="E2143" s="90" t="n"/>
      <c r="F2143" s="16" t="n"/>
      <c r="G2143" s="16" t="n"/>
      <c r="H2143" s="63" t="n"/>
      <c r="I2143" s="64" t="n"/>
      <c r="J2143" s="16" t="n"/>
      <c r="K2143" s="16" t="n"/>
      <c r="M2143" s="89" t="n"/>
      <c r="N2143" s="1" t="n"/>
      <c r="O2143" s="1" t="n"/>
      <c r="P2143" s="1" t="n"/>
      <c r="Q2143" s="1" t="n"/>
      <c r="R2143" s="1" t="n"/>
    </row>
    <row r="2144">
      <c r="A2144" s="61" t="n"/>
      <c r="B2144" s="16" t="n"/>
      <c r="C2144" s="90" t="n"/>
      <c r="D2144" s="90" t="n"/>
      <c r="E2144" s="90" t="n"/>
      <c r="F2144" s="16" t="n"/>
      <c r="G2144" s="16" t="n"/>
      <c r="H2144" s="63" t="n"/>
      <c r="I2144" s="64" t="n"/>
      <c r="J2144" s="16" t="n"/>
      <c r="K2144" s="16" t="n"/>
      <c r="M2144" s="89" t="n"/>
      <c r="N2144" s="1" t="n"/>
      <c r="O2144" s="1" t="n"/>
      <c r="P2144" s="1" t="n"/>
      <c r="Q2144" s="1" t="n"/>
      <c r="R2144" s="1" t="n"/>
    </row>
    <row r="2145">
      <c r="A2145" s="61" t="n"/>
      <c r="B2145" s="16" t="n"/>
      <c r="C2145" s="90" t="n"/>
      <c r="D2145" s="90" t="n"/>
      <c r="E2145" s="90" t="n"/>
      <c r="F2145" s="16" t="n"/>
      <c r="G2145" s="16" t="n"/>
      <c r="H2145" s="63" t="n"/>
      <c r="I2145" s="64" t="n"/>
      <c r="J2145" s="16" t="n"/>
      <c r="K2145" s="16" t="n"/>
      <c r="M2145" s="89" t="n"/>
      <c r="N2145" s="1" t="n"/>
      <c r="O2145" s="1" t="n"/>
      <c r="P2145" s="1" t="n"/>
      <c r="Q2145" s="1" t="n"/>
      <c r="R2145" s="1" t="n"/>
    </row>
    <row r="2146">
      <c r="A2146" s="61" t="n"/>
      <c r="B2146" s="16" t="n"/>
      <c r="C2146" s="90" t="n"/>
      <c r="D2146" s="90" t="n"/>
      <c r="E2146" s="90" t="n"/>
      <c r="F2146" s="16" t="n"/>
      <c r="G2146" s="16" t="n"/>
      <c r="H2146" s="63" t="n"/>
      <c r="I2146" s="64" t="n"/>
      <c r="J2146" s="16" t="n"/>
      <c r="K2146" s="16" t="n"/>
      <c r="M2146" s="89" t="n"/>
      <c r="N2146" s="1" t="n"/>
      <c r="O2146" s="1" t="n"/>
      <c r="P2146" s="1" t="n"/>
      <c r="Q2146" s="1" t="n"/>
      <c r="R2146" s="1" t="n"/>
    </row>
    <row r="2147">
      <c r="A2147" s="61" t="n"/>
      <c r="B2147" s="16" t="n"/>
      <c r="C2147" s="90" t="n"/>
      <c r="D2147" s="90" t="n"/>
      <c r="E2147" s="90" t="n"/>
      <c r="F2147" s="16" t="n"/>
      <c r="G2147" s="16" t="n"/>
      <c r="H2147" s="63" t="n"/>
      <c r="I2147" s="64" t="n"/>
      <c r="J2147" s="16" t="n"/>
      <c r="K2147" s="16" t="n"/>
      <c r="M2147" s="89" t="n"/>
      <c r="N2147" s="1" t="n"/>
      <c r="O2147" s="1" t="n"/>
      <c r="P2147" s="1" t="n"/>
      <c r="Q2147" s="1" t="n"/>
      <c r="R2147" s="1" t="n"/>
    </row>
    <row r="2148">
      <c r="A2148" s="61" t="n"/>
      <c r="B2148" s="16" t="n"/>
      <c r="C2148" s="90" t="n"/>
      <c r="D2148" s="90" t="n"/>
      <c r="E2148" s="90" t="n"/>
      <c r="F2148" s="16" t="n"/>
      <c r="G2148" s="16" t="n"/>
      <c r="H2148" s="63" t="n"/>
      <c r="I2148" s="64" t="n"/>
      <c r="J2148" s="16" t="n"/>
      <c r="K2148" s="16" t="n"/>
      <c r="M2148" s="89" t="n"/>
      <c r="N2148" s="1" t="n"/>
      <c r="O2148" s="1" t="n"/>
      <c r="P2148" s="1" t="n"/>
      <c r="Q2148" s="1" t="n"/>
      <c r="R2148" s="1" t="n"/>
    </row>
    <row r="2149">
      <c r="A2149" s="61" t="n"/>
      <c r="B2149" s="16" t="n"/>
      <c r="C2149" s="90" t="n"/>
      <c r="D2149" s="90" t="n"/>
      <c r="E2149" s="90" t="n"/>
      <c r="F2149" s="16" t="n"/>
      <c r="G2149" s="16" t="n"/>
      <c r="H2149" s="63" t="n"/>
      <c r="I2149" s="64" t="n"/>
      <c r="J2149" s="16" t="n"/>
      <c r="K2149" s="16" t="n"/>
      <c r="M2149" s="89" t="n"/>
      <c r="N2149" s="1" t="n"/>
      <c r="O2149" s="1" t="n"/>
      <c r="P2149" s="1" t="n"/>
      <c r="Q2149" s="1" t="n"/>
      <c r="R2149" s="1" t="n"/>
    </row>
    <row r="2150">
      <c r="A2150" s="61" t="n"/>
      <c r="B2150" s="16" t="n"/>
      <c r="C2150" s="90" t="n"/>
      <c r="D2150" s="90" t="n"/>
      <c r="E2150" s="90" t="n"/>
      <c r="F2150" s="16" t="n"/>
      <c r="G2150" s="16" t="n"/>
      <c r="H2150" s="63" t="n"/>
      <c r="I2150" s="64" t="n"/>
      <c r="J2150" s="16" t="n"/>
      <c r="K2150" s="16" t="n"/>
      <c r="M2150" s="89" t="n"/>
      <c r="N2150" s="1" t="n"/>
      <c r="O2150" s="1" t="n"/>
      <c r="P2150" s="1" t="n"/>
      <c r="Q2150" s="1" t="n"/>
      <c r="R2150" s="1" t="n"/>
    </row>
    <row r="2151">
      <c r="A2151" s="61" t="n"/>
      <c r="B2151" s="16" t="n"/>
      <c r="C2151" s="90" t="n"/>
      <c r="D2151" s="90" t="n"/>
      <c r="E2151" s="90" t="n"/>
      <c r="F2151" s="16" t="n"/>
      <c r="G2151" s="16" t="n"/>
      <c r="H2151" s="63" t="n"/>
      <c r="I2151" s="64" t="n"/>
      <c r="J2151" s="16" t="n"/>
      <c r="K2151" s="16" t="n"/>
      <c r="M2151" s="89" t="n"/>
      <c r="N2151" s="1" t="n"/>
      <c r="O2151" s="1" t="n"/>
      <c r="P2151" s="1" t="n"/>
      <c r="Q2151" s="1" t="n"/>
      <c r="R2151" s="1" t="n"/>
    </row>
    <row r="2152">
      <c r="A2152" s="61" t="n"/>
      <c r="B2152" s="16" t="n"/>
      <c r="C2152" s="90" t="n"/>
      <c r="D2152" s="90" t="n"/>
      <c r="E2152" s="90" t="n"/>
      <c r="F2152" s="16" t="n"/>
      <c r="G2152" s="16" t="n"/>
      <c r="H2152" s="63" t="n"/>
      <c r="I2152" s="64" t="n"/>
      <c r="J2152" s="16" t="n"/>
      <c r="K2152" s="16" t="n"/>
      <c r="M2152" s="89" t="n"/>
      <c r="N2152" s="1" t="n"/>
      <c r="O2152" s="1" t="n"/>
      <c r="P2152" s="1" t="n"/>
      <c r="Q2152" s="1" t="n"/>
      <c r="R2152" s="1" t="n"/>
    </row>
    <row r="2153">
      <c r="A2153" s="61" t="n"/>
      <c r="B2153" s="16" t="n"/>
      <c r="C2153" s="90" t="n"/>
      <c r="D2153" s="90" t="n"/>
      <c r="E2153" s="90" t="n"/>
      <c r="F2153" s="16" t="n"/>
      <c r="G2153" s="16" t="n"/>
      <c r="H2153" s="63" t="n"/>
      <c r="I2153" s="64" t="n"/>
      <c r="J2153" s="16" t="n"/>
      <c r="K2153" s="16" t="n"/>
      <c r="M2153" s="89" t="n"/>
      <c r="N2153" s="1" t="n"/>
      <c r="O2153" s="1" t="n"/>
      <c r="P2153" s="1" t="n"/>
      <c r="Q2153" s="1" t="n"/>
      <c r="R2153" s="1" t="n"/>
    </row>
    <row r="2154">
      <c r="A2154" s="61" t="n"/>
      <c r="B2154" s="16" t="n"/>
      <c r="C2154" s="90" t="n"/>
      <c r="D2154" s="90" t="n"/>
      <c r="E2154" s="90" t="n"/>
      <c r="F2154" s="16" t="n"/>
      <c r="G2154" s="16" t="n"/>
      <c r="H2154" s="63" t="n"/>
      <c r="I2154" s="64" t="n"/>
      <c r="J2154" s="16" t="n"/>
      <c r="K2154" s="16" t="n"/>
      <c r="M2154" s="89" t="n"/>
      <c r="N2154" s="1" t="n"/>
      <c r="O2154" s="1" t="n"/>
      <c r="P2154" s="1" t="n"/>
      <c r="Q2154" s="1" t="n"/>
      <c r="R2154" s="1" t="n"/>
    </row>
    <row r="2155">
      <c r="A2155" s="61" t="n"/>
      <c r="B2155" s="16" t="n"/>
      <c r="C2155" s="90" t="n"/>
      <c r="D2155" s="90" t="n"/>
      <c r="E2155" s="90" t="n"/>
      <c r="F2155" s="16" t="n"/>
      <c r="G2155" s="16" t="n"/>
      <c r="H2155" s="63" t="n"/>
      <c r="I2155" s="64" t="n"/>
      <c r="J2155" s="16" t="n"/>
      <c r="K2155" s="16" t="n"/>
      <c r="M2155" s="89" t="n"/>
      <c r="N2155" s="1" t="n"/>
      <c r="O2155" s="1" t="n"/>
      <c r="P2155" s="1" t="n"/>
      <c r="Q2155" s="1" t="n"/>
      <c r="R2155" s="1" t="n"/>
    </row>
    <row r="2156">
      <c r="A2156" s="61" t="n"/>
      <c r="B2156" s="16" t="n"/>
      <c r="C2156" s="90" t="n"/>
      <c r="D2156" s="90" t="n"/>
      <c r="E2156" s="90" t="n"/>
      <c r="F2156" s="16" t="n"/>
      <c r="G2156" s="16" t="n"/>
      <c r="H2156" s="63" t="n"/>
      <c r="I2156" s="64" t="n"/>
      <c r="J2156" s="16" t="n"/>
      <c r="K2156" s="16" t="n"/>
      <c r="M2156" s="89" t="n"/>
      <c r="N2156" s="1" t="n"/>
      <c r="O2156" s="1" t="n"/>
      <c r="P2156" s="1" t="n"/>
      <c r="Q2156" s="1" t="n"/>
      <c r="R2156" s="1" t="n"/>
    </row>
    <row r="2157">
      <c r="A2157" s="61" t="n"/>
      <c r="B2157" s="16" t="n"/>
      <c r="C2157" s="90" t="n"/>
      <c r="D2157" s="90" t="n"/>
      <c r="E2157" s="90" t="n"/>
      <c r="F2157" s="16" t="n"/>
      <c r="G2157" s="16" t="n"/>
      <c r="H2157" s="63" t="n"/>
      <c r="I2157" s="64" t="n"/>
      <c r="J2157" s="16" t="n"/>
      <c r="K2157" s="16" t="n"/>
      <c r="M2157" s="89" t="n"/>
      <c r="N2157" s="1" t="n"/>
      <c r="O2157" s="1" t="n"/>
      <c r="P2157" s="1" t="n"/>
      <c r="Q2157" s="1" t="n"/>
      <c r="R2157" s="1" t="n"/>
    </row>
    <row r="2158">
      <c r="A2158" s="61" t="n"/>
      <c r="B2158" s="16" t="n"/>
      <c r="C2158" s="90" t="n"/>
      <c r="D2158" s="90" t="n"/>
      <c r="E2158" s="90" t="n"/>
      <c r="F2158" s="16" t="n"/>
      <c r="G2158" s="16" t="n"/>
      <c r="H2158" s="63" t="n"/>
      <c r="I2158" s="64" t="n"/>
      <c r="J2158" s="16" t="n"/>
      <c r="K2158" s="16" t="n"/>
      <c r="M2158" s="89" t="n"/>
      <c r="N2158" s="1" t="n"/>
      <c r="O2158" s="1" t="n"/>
      <c r="P2158" s="1" t="n"/>
      <c r="Q2158" s="1" t="n"/>
      <c r="R2158" s="1" t="n"/>
    </row>
    <row r="2159">
      <c r="A2159" s="61" t="n"/>
      <c r="B2159" s="16" t="n"/>
      <c r="C2159" s="90" t="n"/>
      <c r="D2159" s="90" t="n"/>
      <c r="E2159" s="90" t="n"/>
      <c r="F2159" s="16" t="n"/>
      <c r="G2159" s="16" t="n"/>
      <c r="H2159" s="63" t="n"/>
      <c r="I2159" s="64" t="n"/>
      <c r="J2159" s="16" t="n"/>
      <c r="K2159" s="16" t="n"/>
      <c r="M2159" s="89" t="n"/>
      <c r="N2159" s="1" t="n"/>
      <c r="O2159" s="1" t="n"/>
      <c r="P2159" s="1" t="n"/>
      <c r="Q2159" s="1" t="n"/>
      <c r="R2159" s="1" t="n"/>
    </row>
    <row r="2160">
      <c r="A2160" s="61" t="n"/>
      <c r="B2160" s="16" t="n"/>
      <c r="C2160" s="90" t="n"/>
      <c r="D2160" s="90" t="n"/>
      <c r="E2160" s="90" t="n"/>
      <c r="F2160" s="16" t="n"/>
      <c r="G2160" s="16" t="n"/>
      <c r="H2160" s="63" t="n"/>
      <c r="I2160" s="64" t="n"/>
      <c r="J2160" s="16" t="n"/>
      <c r="K2160" s="16" t="n"/>
      <c r="M2160" s="89" t="n"/>
      <c r="N2160" s="1" t="n"/>
      <c r="O2160" s="1" t="n"/>
      <c r="P2160" s="1" t="n"/>
      <c r="Q2160" s="1" t="n"/>
      <c r="R2160" s="1" t="n"/>
    </row>
    <row r="2161">
      <c r="A2161" s="61" t="n"/>
      <c r="B2161" s="16" t="n"/>
      <c r="C2161" s="90" t="n"/>
      <c r="D2161" s="90" t="n"/>
      <c r="E2161" s="90" t="n"/>
      <c r="F2161" s="16" t="n"/>
      <c r="G2161" s="16" t="n"/>
      <c r="H2161" s="63" t="n"/>
      <c r="I2161" s="64" t="n"/>
      <c r="J2161" s="16" t="n"/>
      <c r="K2161" s="16" t="n"/>
      <c r="M2161" s="89" t="n"/>
      <c r="N2161" s="1" t="n"/>
      <c r="O2161" s="1" t="n"/>
      <c r="P2161" s="1" t="n"/>
      <c r="Q2161" s="1" t="n"/>
      <c r="R2161" s="1" t="n"/>
    </row>
    <row r="2162">
      <c r="A2162" s="61" t="n"/>
      <c r="B2162" s="16" t="n"/>
      <c r="C2162" s="90" t="n"/>
      <c r="D2162" s="90" t="n"/>
      <c r="E2162" s="90" t="n"/>
      <c r="F2162" s="16" t="n"/>
      <c r="G2162" s="16" t="n"/>
      <c r="H2162" s="63" t="n"/>
      <c r="I2162" s="64" t="n"/>
      <c r="J2162" s="16" t="n"/>
      <c r="K2162" s="16" t="n"/>
      <c r="M2162" s="89" t="n"/>
      <c r="N2162" s="1" t="n"/>
      <c r="O2162" s="1" t="n"/>
      <c r="P2162" s="1" t="n"/>
      <c r="Q2162" s="1" t="n"/>
      <c r="R2162" s="1" t="n"/>
    </row>
    <row r="2163">
      <c r="A2163" s="61" t="n"/>
      <c r="B2163" s="16" t="n"/>
      <c r="C2163" s="90" t="n"/>
      <c r="D2163" s="90" t="n"/>
      <c r="E2163" s="90" t="n"/>
      <c r="F2163" s="16" t="n"/>
      <c r="G2163" s="16" t="n"/>
      <c r="H2163" s="63" t="n"/>
      <c r="I2163" s="64" t="n"/>
      <c r="J2163" s="16" t="n"/>
      <c r="K2163" s="16" t="n"/>
      <c r="M2163" s="89" t="n"/>
      <c r="N2163" s="1" t="n"/>
      <c r="O2163" s="1" t="n"/>
      <c r="P2163" s="1" t="n"/>
      <c r="Q2163" s="1" t="n"/>
      <c r="R2163" s="1" t="n"/>
    </row>
    <row r="2164">
      <c r="A2164" s="61" t="n"/>
      <c r="B2164" s="16" t="n"/>
      <c r="C2164" s="90" t="n"/>
      <c r="D2164" s="90" t="n"/>
      <c r="E2164" s="90" t="n"/>
      <c r="F2164" s="16" t="n"/>
      <c r="G2164" s="16" t="n"/>
      <c r="H2164" s="63" t="n"/>
      <c r="I2164" s="64" t="n"/>
      <c r="J2164" s="16" t="n"/>
      <c r="K2164" s="16" t="n"/>
      <c r="M2164" s="89" t="n"/>
      <c r="N2164" s="1" t="n"/>
      <c r="O2164" s="1" t="n"/>
      <c r="P2164" s="1" t="n"/>
      <c r="Q2164" s="1" t="n"/>
      <c r="R2164" s="1" t="n"/>
    </row>
    <row r="2165">
      <c r="A2165" s="61" t="n"/>
      <c r="B2165" s="16" t="n"/>
      <c r="C2165" s="90" t="n"/>
      <c r="D2165" s="90" t="n"/>
      <c r="E2165" s="90" t="n"/>
      <c r="F2165" s="16" t="n"/>
      <c r="G2165" s="16" t="n"/>
      <c r="H2165" s="63" t="n"/>
      <c r="I2165" s="64" t="n"/>
      <c r="J2165" s="16" t="n"/>
      <c r="K2165" s="16" t="n"/>
      <c r="M2165" s="89" t="n"/>
      <c r="N2165" s="1" t="n"/>
      <c r="O2165" s="1" t="n"/>
      <c r="P2165" s="1" t="n"/>
      <c r="Q2165" s="1" t="n"/>
      <c r="R2165" s="1" t="n"/>
    </row>
    <row r="2166">
      <c r="A2166" s="61" t="n"/>
      <c r="B2166" s="16" t="n"/>
      <c r="C2166" s="90" t="n"/>
      <c r="D2166" s="90" t="n"/>
      <c r="E2166" s="90" t="n"/>
      <c r="F2166" s="16" t="n"/>
      <c r="G2166" s="16" t="n"/>
      <c r="H2166" s="63" t="n"/>
      <c r="I2166" s="64" t="n"/>
      <c r="J2166" s="16" t="n"/>
      <c r="K2166" s="16" t="n"/>
      <c r="M2166" s="89" t="n"/>
      <c r="N2166" s="1" t="n"/>
      <c r="O2166" s="1" t="n"/>
      <c r="P2166" s="1" t="n"/>
      <c r="Q2166" s="1" t="n"/>
      <c r="R2166" s="1" t="n"/>
    </row>
    <row r="2167">
      <c r="A2167" s="61" t="n"/>
      <c r="B2167" s="16" t="n"/>
      <c r="C2167" s="90" t="n"/>
      <c r="D2167" s="90" t="n"/>
      <c r="E2167" s="90" t="n"/>
      <c r="F2167" s="16" t="n"/>
      <c r="G2167" s="16" t="n"/>
      <c r="H2167" s="63" t="n"/>
      <c r="I2167" s="64" t="n"/>
      <c r="J2167" s="16" t="n"/>
      <c r="K2167" s="16" t="n"/>
      <c r="M2167" s="89" t="n"/>
      <c r="N2167" s="1" t="n"/>
      <c r="O2167" s="1" t="n"/>
      <c r="P2167" s="1" t="n"/>
      <c r="Q2167" s="1" t="n"/>
      <c r="R2167" s="1" t="n"/>
    </row>
    <row r="2168">
      <c r="A2168" s="61" t="n"/>
      <c r="B2168" s="16" t="n"/>
      <c r="C2168" s="90" t="n"/>
      <c r="D2168" s="90" t="n"/>
      <c r="E2168" s="90" t="n"/>
      <c r="F2168" s="16" t="n"/>
      <c r="G2168" s="16" t="n"/>
      <c r="H2168" s="63" t="n"/>
      <c r="I2168" s="64" t="n"/>
      <c r="J2168" s="16" t="n"/>
      <c r="K2168" s="16" t="n"/>
      <c r="M2168" s="89" t="n"/>
      <c r="N2168" s="1" t="n"/>
      <c r="O2168" s="1" t="n"/>
      <c r="P2168" s="1" t="n"/>
      <c r="Q2168" s="1" t="n"/>
      <c r="R2168" s="1" t="n"/>
    </row>
    <row r="2169">
      <c r="A2169" s="61" t="n"/>
      <c r="B2169" s="16" t="n"/>
      <c r="C2169" s="90" t="n"/>
      <c r="D2169" s="90" t="n"/>
      <c r="E2169" s="90" t="n"/>
      <c r="F2169" s="16" t="n"/>
      <c r="G2169" s="16" t="n"/>
      <c r="H2169" s="63" t="n"/>
      <c r="I2169" s="64" t="n"/>
      <c r="J2169" s="16" t="n"/>
      <c r="K2169" s="16" t="n"/>
      <c r="M2169" s="89" t="n"/>
      <c r="N2169" s="1" t="n"/>
      <c r="O2169" s="1" t="n"/>
      <c r="P2169" s="1" t="n"/>
      <c r="Q2169" s="1" t="n"/>
      <c r="R2169" s="1" t="n"/>
    </row>
    <row r="2170">
      <c r="A2170" s="61" t="n"/>
      <c r="B2170" s="16" t="n"/>
      <c r="C2170" s="90" t="n"/>
      <c r="D2170" s="90" t="n"/>
      <c r="E2170" s="90" t="n"/>
      <c r="F2170" s="16" t="n"/>
      <c r="G2170" s="16" t="n"/>
      <c r="H2170" s="63" t="n"/>
      <c r="I2170" s="64" t="n"/>
      <c r="J2170" s="16" t="n"/>
      <c r="K2170" s="16" t="n"/>
      <c r="M2170" s="89" t="n"/>
      <c r="N2170" s="1" t="n"/>
      <c r="O2170" s="1" t="n"/>
      <c r="P2170" s="1" t="n"/>
      <c r="Q2170" s="1" t="n"/>
      <c r="R2170" s="1" t="n"/>
    </row>
    <row r="2171">
      <c r="A2171" s="61" t="n"/>
      <c r="B2171" s="16" t="n"/>
      <c r="C2171" s="90" t="n"/>
      <c r="D2171" s="90" t="n"/>
      <c r="E2171" s="90" t="n"/>
      <c r="F2171" s="16" t="n"/>
      <c r="G2171" s="16" t="n"/>
      <c r="H2171" s="63" t="n"/>
      <c r="I2171" s="64" t="n"/>
      <c r="J2171" s="16" t="n"/>
      <c r="K2171" s="16" t="n"/>
      <c r="M2171" s="89" t="n"/>
      <c r="N2171" s="1" t="n"/>
      <c r="O2171" s="1" t="n"/>
      <c r="P2171" s="1" t="n"/>
      <c r="Q2171" s="1" t="n"/>
      <c r="R2171" s="1" t="n"/>
    </row>
    <row r="2172">
      <c r="A2172" s="61" t="n"/>
      <c r="B2172" s="16" t="n"/>
      <c r="C2172" s="90" t="n"/>
      <c r="D2172" s="90" t="n"/>
      <c r="E2172" s="90" t="n"/>
      <c r="F2172" s="16" t="n"/>
      <c r="G2172" s="16" t="n"/>
      <c r="H2172" s="63" t="n"/>
      <c r="I2172" s="64" t="n"/>
      <c r="J2172" s="16" t="n"/>
      <c r="K2172" s="16" t="n"/>
      <c r="M2172" s="89" t="n"/>
      <c r="N2172" s="1" t="n"/>
      <c r="O2172" s="1" t="n"/>
      <c r="P2172" s="1" t="n"/>
      <c r="Q2172" s="1" t="n"/>
      <c r="R2172" s="1" t="n"/>
    </row>
    <row r="2173">
      <c r="A2173" s="61" t="n"/>
      <c r="B2173" s="16" t="n"/>
      <c r="C2173" s="90" t="n"/>
      <c r="D2173" s="90" t="n"/>
      <c r="E2173" s="90" t="n"/>
      <c r="F2173" s="16" t="n"/>
      <c r="G2173" s="16" t="n"/>
      <c r="H2173" s="63" t="n"/>
      <c r="I2173" s="64" t="n"/>
      <c r="J2173" s="16" t="n"/>
      <c r="K2173" s="16" t="n"/>
      <c r="M2173" s="89" t="n"/>
      <c r="N2173" s="1" t="n"/>
      <c r="O2173" s="1" t="n"/>
      <c r="P2173" s="1" t="n"/>
      <c r="Q2173" s="1" t="n"/>
      <c r="R2173" s="1" t="n"/>
    </row>
    <row r="2174">
      <c r="A2174" s="61" t="n"/>
      <c r="B2174" s="16" t="n"/>
      <c r="C2174" s="90" t="n"/>
      <c r="D2174" s="90" t="n"/>
      <c r="E2174" s="90" t="n"/>
      <c r="F2174" s="16" t="n"/>
      <c r="G2174" s="16" t="n"/>
      <c r="H2174" s="63" t="n"/>
      <c r="I2174" s="64" t="n"/>
      <c r="J2174" s="16" t="n"/>
      <c r="K2174" s="16" t="n"/>
      <c r="M2174" s="89" t="n"/>
      <c r="N2174" s="1" t="n"/>
      <c r="O2174" s="1" t="n"/>
      <c r="P2174" s="1" t="n"/>
      <c r="Q2174" s="1" t="n"/>
      <c r="R2174" s="1" t="n"/>
    </row>
    <row r="2175">
      <c r="A2175" s="61" t="n"/>
      <c r="B2175" s="16" t="n"/>
      <c r="C2175" s="90" t="n"/>
      <c r="D2175" s="90" t="n"/>
      <c r="E2175" s="90" t="n"/>
      <c r="F2175" s="16" t="n"/>
      <c r="G2175" s="16" t="n"/>
      <c r="H2175" s="63" t="n"/>
      <c r="I2175" s="64" t="n"/>
      <c r="J2175" s="16" t="n"/>
      <c r="K2175" s="16" t="n"/>
      <c r="M2175" s="89" t="n"/>
      <c r="N2175" s="1" t="n"/>
      <c r="O2175" s="1" t="n"/>
      <c r="P2175" s="1" t="n"/>
      <c r="Q2175" s="1" t="n"/>
      <c r="R2175" s="1" t="n"/>
    </row>
    <row r="2176">
      <c r="A2176" s="61" t="n"/>
      <c r="B2176" s="16" t="n"/>
      <c r="C2176" s="90" t="n"/>
      <c r="D2176" s="90" t="n"/>
      <c r="E2176" s="90" t="n"/>
      <c r="F2176" s="16" t="n"/>
      <c r="G2176" s="16" t="n"/>
      <c r="H2176" s="63" t="n"/>
      <c r="I2176" s="64" t="n"/>
      <c r="J2176" s="16" t="n"/>
      <c r="K2176" s="16" t="n"/>
      <c r="M2176" s="89" t="n"/>
      <c r="N2176" s="1" t="n"/>
      <c r="O2176" s="1" t="n"/>
      <c r="P2176" s="1" t="n"/>
      <c r="Q2176" s="1" t="n"/>
      <c r="R2176" s="1" t="n"/>
    </row>
    <row r="2177">
      <c r="A2177" s="61" t="n"/>
      <c r="B2177" s="16" t="n"/>
      <c r="C2177" s="90" t="n"/>
      <c r="D2177" s="90" t="n"/>
      <c r="E2177" s="90" t="n"/>
      <c r="F2177" s="16" t="n"/>
      <c r="G2177" s="16" t="n"/>
      <c r="H2177" s="63" t="n"/>
      <c r="I2177" s="64" t="n"/>
      <c r="J2177" s="16" t="n"/>
      <c r="K2177" s="16" t="n"/>
      <c r="M2177" s="89" t="n"/>
      <c r="N2177" s="1" t="n"/>
      <c r="O2177" s="1" t="n"/>
      <c r="P2177" s="1" t="n"/>
      <c r="Q2177" s="1" t="n"/>
      <c r="R2177" s="1" t="n"/>
    </row>
    <row r="2178">
      <c r="A2178" s="61" t="n"/>
      <c r="B2178" s="16" t="n"/>
      <c r="C2178" s="90" t="n"/>
      <c r="D2178" s="90" t="n"/>
      <c r="E2178" s="90" t="n"/>
      <c r="F2178" s="16" t="n"/>
      <c r="G2178" s="16" t="n"/>
      <c r="H2178" s="63" t="n"/>
      <c r="I2178" s="64" t="n"/>
      <c r="J2178" s="16" t="n"/>
      <c r="K2178" s="16" t="n"/>
      <c r="M2178" s="89" t="n"/>
      <c r="N2178" s="1" t="n"/>
      <c r="O2178" s="1" t="n"/>
      <c r="P2178" s="1" t="n"/>
      <c r="Q2178" s="1" t="n"/>
      <c r="R2178" s="1" t="n"/>
    </row>
    <row r="2179">
      <c r="A2179" s="61" t="n"/>
      <c r="B2179" s="16" t="n"/>
      <c r="C2179" s="90" t="n"/>
      <c r="D2179" s="90" t="n"/>
      <c r="E2179" s="90" t="n"/>
      <c r="F2179" s="16" t="n"/>
      <c r="G2179" s="16" t="n"/>
      <c r="H2179" s="63" t="n"/>
      <c r="I2179" s="64" t="n"/>
      <c r="J2179" s="16" t="n"/>
      <c r="K2179" s="16" t="n"/>
      <c r="M2179" s="89" t="n"/>
      <c r="N2179" s="1" t="n"/>
      <c r="O2179" s="1" t="n"/>
      <c r="P2179" s="1" t="n"/>
      <c r="Q2179" s="1" t="n"/>
      <c r="R2179" s="1" t="n"/>
    </row>
    <row r="2180">
      <c r="A2180" s="61" t="n"/>
      <c r="B2180" s="16" t="n"/>
      <c r="C2180" s="90" t="n"/>
      <c r="D2180" s="90" t="n"/>
      <c r="E2180" s="90" t="n"/>
      <c r="F2180" s="16" t="n"/>
      <c r="G2180" s="16" t="n"/>
      <c r="H2180" s="63" t="n"/>
      <c r="I2180" s="64" t="n"/>
      <c r="J2180" s="16" t="n"/>
      <c r="K2180" s="16" t="n"/>
      <c r="M2180" s="89" t="n"/>
      <c r="N2180" s="1" t="n"/>
      <c r="O2180" s="1" t="n"/>
      <c r="P2180" s="1" t="n"/>
      <c r="Q2180" s="1" t="n"/>
      <c r="R2180" s="1" t="n"/>
    </row>
    <row r="2181">
      <c r="A2181" s="61" t="n"/>
      <c r="B2181" s="16" t="n"/>
      <c r="C2181" s="90" t="n"/>
      <c r="D2181" s="90" t="n"/>
      <c r="E2181" s="90" t="n"/>
      <c r="F2181" s="16" t="n"/>
      <c r="G2181" s="16" t="n"/>
      <c r="H2181" s="63" t="n"/>
      <c r="I2181" s="64" t="n"/>
      <c r="J2181" s="16" t="n"/>
      <c r="K2181" s="16" t="n"/>
      <c r="M2181" s="89" t="n"/>
      <c r="N2181" s="1" t="n"/>
      <c r="O2181" s="1" t="n"/>
      <c r="P2181" s="1" t="n"/>
      <c r="Q2181" s="1" t="n"/>
      <c r="R2181" s="1" t="n"/>
    </row>
    <row r="2182">
      <c r="A2182" s="61" t="n"/>
      <c r="B2182" s="16" t="n"/>
      <c r="C2182" s="90" t="n"/>
      <c r="D2182" s="90" t="n"/>
      <c r="E2182" s="90" t="n"/>
      <c r="F2182" s="16" t="n"/>
      <c r="G2182" s="16" t="n"/>
      <c r="H2182" s="63" t="n"/>
      <c r="I2182" s="64" t="n"/>
      <c r="J2182" s="16" t="n"/>
      <c r="K2182" s="16" t="n"/>
      <c r="M2182" s="89" t="n"/>
      <c r="N2182" s="1" t="n"/>
      <c r="O2182" s="1" t="n"/>
      <c r="P2182" s="1" t="n"/>
      <c r="Q2182" s="1" t="n"/>
      <c r="R2182" s="1" t="n"/>
    </row>
    <row r="2183">
      <c r="A2183" s="61" t="n"/>
      <c r="B2183" s="16" t="n"/>
      <c r="C2183" s="90" t="n"/>
      <c r="D2183" s="90" t="n"/>
      <c r="E2183" s="90" t="n"/>
      <c r="F2183" s="16" t="n"/>
      <c r="G2183" s="16" t="n"/>
      <c r="H2183" s="63" t="n"/>
      <c r="I2183" s="64" t="n"/>
      <c r="J2183" s="16" t="n"/>
      <c r="K2183" s="16" t="n"/>
      <c r="M2183" s="89" t="n"/>
      <c r="N2183" s="1" t="n"/>
      <c r="O2183" s="1" t="n"/>
      <c r="P2183" s="1" t="n"/>
      <c r="Q2183" s="1" t="n"/>
      <c r="R2183" s="1" t="n"/>
    </row>
    <row r="2184">
      <c r="A2184" s="61" t="n"/>
      <c r="B2184" s="16" t="n"/>
      <c r="C2184" s="90" t="n"/>
      <c r="D2184" s="90" t="n"/>
      <c r="E2184" s="90" t="n"/>
      <c r="F2184" s="16" t="n"/>
      <c r="G2184" s="16" t="n"/>
      <c r="H2184" s="63" t="n"/>
      <c r="I2184" s="64" t="n"/>
      <c r="J2184" s="16" t="n"/>
      <c r="K2184" s="16" t="n"/>
      <c r="M2184" s="89" t="n"/>
      <c r="N2184" s="1" t="n"/>
      <c r="O2184" s="1" t="n"/>
      <c r="P2184" s="1" t="n"/>
      <c r="Q2184" s="1" t="n"/>
      <c r="R2184" s="1" t="n"/>
    </row>
    <row r="2185">
      <c r="A2185" s="61" t="n"/>
      <c r="B2185" s="16" t="n"/>
      <c r="C2185" s="90" t="n"/>
      <c r="D2185" s="90" t="n"/>
      <c r="E2185" s="90" t="n"/>
      <c r="F2185" s="16" t="n"/>
      <c r="G2185" s="16" t="n"/>
      <c r="H2185" s="63" t="n"/>
      <c r="I2185" s="64" t="n"/>
      <c r="J2185" s="16" t="n"/>
      <c r="K2185" s="16" t="n"/>
      <c r="M2185" s="89" t="n"/>
      <c r="N2185" s="1" t="n"/>
      <c r="O2185" s="1" t="n"/>
      <c r="P2185" s="1" t="n"/>
      <c r="Q2185" s="1" t="n"/>
      <c r="R2185" s="1" t="n"/>
    </row>
    <row r="2186">
      <c r="A2186" s="61" t="n"/>
      <c r="B2186" s="16" t="n"/>
      <c r="C2186" s="90" t="n"/>
      <c r="D2186" s="90" t="n"/>
      <c r="E2186" s="90" t="n"/>
      <c r="F2186" s="16" t="n"/>
      <c r="G2186" s="16" t="n"/>
      <c r="H2186" s="63" t="n"/>
      <c r="I2186" s="64" t="n"/>
      <c r="J2186" s="16" t="n"/>
      <c r="K2186" s="16" t="n"/>
      <c r="M2186" s="89" t="n"/>
      <c r="N2186" s="1" t="n"/>
      <c r="O2186" s="1" t="n"/>
      <c r="P2186" s="1" t="n"/>
      <c r="Q2186" s="1" t="n"/>
      <c r="R2186" s="1" t="n"/>
    </row>
    <row r="2187">
      <c r="A2187" s="61" t="n"/>
      <c r="B2187" s="16" t="n"/>
      <c r="C2187" s="90" t="n"/>
      <c r="D2187" s="90" t="n"/>
      <c r="E2187" s="90" t="n"/>
      <c r="F2187" s="16" t="n"/>
      <c r="G2187" s="16" t="n"/>
      <c r="H2187" s="63" t="n"/>
      <c r="I2187" s="64" t="n"/>
      <c r="J2187" s="16" t="n"/>
      <c r="K2187" s="16" t="n"/>
      <c r="M2187" s="89" t="n"/>
      <c r="N2187" s="1" t="n"/>
      <c r="O2187" s="1" t="n"/>
      <c r="P2187" s="1" t="n"/>
      <c r="Q2187" s="1" t="n"/>
      <c r="R2187" s="1" t="n"/>
    </row>
    <row r="2188">
      <c r="A2188" s="61" t="n"/>
      <c r="B2188" s="16" t="n"/>
      <c r="C2188" s="90" t="n"/>
      <c r="D2188" s="90" t="n"/>
      <c r="E2188" s="90" t="n"/>
      <c r="F2188" s="16" t="n"/>
      <c r="G2188" s="16" t="n"/>
      <c r="H2188" s="63" t="n"/>
      <c r="I2188" s="64" t="n"/>
      <c r="J2188" s="16" t="n"/>
      <c r="K2188" s="16" t="n"/>
      <c r="M2188" s="89" t="n"/>
      <c r="N2188" s="1" t="n"/>
      <c r="O2188" s="1" t="n"/>
      <c r="P2188" s="1" t="n"/>
      <c r="Q2188" s="1" t="n"/>
      <c r="R2188" s="1" t="n"/>
    </row>
    <row r="2189">
      <c r="A2189" s="61" t="n"/>
      <c r="B2189" s="16" t="n"/>
      <c r="C2189" s="90" t="n"/>
      <c r="D2189" s="90" t="n"/>
      <c r="E2189" s="90" t="n"/>
      <c r="F2189" s="16" t="n"/>
      <c r="G2189" s="16" t="n"/>
      <c r="H2189" s="63" t="n"/>
      <c r="I2189" s="64" t="n"/>
      <c r="J2189" s="16" t="n"/>
      <c r="K2189" s="16" t="n"/>
      <c r="M2189" s="89" t="n"/>
      <c r="N2189" s="1" t="n"/>
      <c r="O2189" s="1" t="n"/>
      <c r="P2189" s="1" t="n"/>
      <c r="Q2189" s="1" t="n"/>
      <c r="R2189" s="1" t="n"/>
    </row>
    <row r="2190">
      <c r="A2190" s="61" t="n"/>
      <c r="B2190" s="16" t="n"/>
      <c r="C2190" s="90" t="n"/>
      <c r="D2190" s="90" t="n"/>
      <c r="E2190" s="90" t="n"/>
      <c r="F2190" s="16" t="n"/>
      <c r="G2190" s="16" t="n"/>
      <c r="H2190" s="63" t="n"/>
      <c r="I2190" s="64" t="n"/>
      <c r="J2190" s="16" t="n"/>
      <c r="K2190" s="16" t="n"/>
      <c r="M2190" s="89" t="n"/>
      <c r="N2190" s="1" t="n"/>
      <c r="O2190" s="1" t="n"/>
      <c r="P2190" s="1" t="n"/>
      <c r="Q2190" s="1" t="n"/>
      <c r="R2190" s="1" t="n"/>
    </row>
    <row r="2191">
      <c r="A2191" s="61" t="n"/>
      <c r="B2191" s="16" t="n"/>
      <c r="C2191" s="90" t="n"/>
      <c r="D2191" s="90" t="n"/>
      <c r="E2191" s="90" t="n"/>
      <c r="F2191" s="16" t="n"/>
      <c r="G2191" s="16" t="n"/>
      <c r="H2191" s="63" t="n"/>
      <c r="I2191" s="64" t="n"/>
      <c r="J2191" s="16" t="n"/>
      <c r="K2191" s="16" t="n"/>
      <c r="M2191" s="89" t="n"/>
      <c r="N2191" s="1" t="n"/>
      <c r="O2191" s="1" t="n"/>
      <c r="P2191" s="1" t="n"/>
      <c r="Q2191" s="1" t="n"/>
      <c r="R2191" s="1" t="n"/>
    </row>
    <row r="2192">
      <c r="A2192" s="61" t="n"/>
      <c r="B2192" s="16" t="n"/>
      <c r="C2192" s="90" t="n"/>
      <c r="D2192" s="90" t="n"/>
      <c r="E2192" s="90" t="n"/>
      <c r="F2192" s="16" t="n"/>
      <c r="G2192" s="16" t="n"/>
      <c r="H2192" s="63" t="n"/>
      <c r="I2192" s="64" t="n"/>
      <c r="J2192" s="16" t="n"/>
      <c r="K2192" s="16" t="n"/>
      <c r="M2192" s="89" t="n"/>
      <c r="N2192" s="1" t="n"/>
      <c r="O2192" s="1" t="n"/>
      <c r="P2192" s="1" t="n"/>
      <c r="Q2192" s="1" t="n"/>
      <c r="R2192" s="1" t="n"/>
    </row>
    <row r="2193">
      <c r="A2193" s="61" t="n"/>
      <c r="B2193" s="16" t="n"/>
      <c r="C2193" s="90" t="n"/>
      <c r="D2193" s="90" t="n"/>
      <c r="E2193" s="90" t="n"/>
      <c r="F2193" s="16" t="n"/>
      <c r="G2193" s="16" t="n"/>
      <c r="H2193" s="63" t="n"/>
      <c r="I2193" s="64" t="n"/>
      <c r="J2193" s="16" t="n"/>
      <c r="K2193" s="16" t="n"/>
      <c r="M2193" s="89" t="n"/>
      <c r="N2193" s="1" t="n"/>
      <c r="O2193" s="1" t="n"/>
      <c r="P2193" s="1" t="n"/>
      <c r="Q2193" s="1" t="n"/>
      <c r="R2193" s="1" t="n"/>
    </row>
    <row r="2194">
      <c r="A2194" s="61" t="n"/>
      <c r="B2194" s="16" t="n"/>
      <c r="C2194" s="90" t="n"/>
      <c r="D2194" s="90" t="n"/>
      <c r="E2194" s="90" t="n"/>
      <c r="F2194" s="16" t="n"/>
      <c r="G2194" s="16" t="n"/>
      <c r="H2194" s="63" t="n"/>
      <c r="I2194" s="64" t="n"/>
      <c r="J2194" s="16" t="n"/>
      <c r="K2194" s="16" t="n"/>
      <c r="M2194" s="89" t="n"/>
      <c r="N2194" s="1" t="n"/>
      <c r="O2194" s="1" t="n"/>
      <c r="P2194" s="1" t="n"/>
      <c r="Q2194" s="1" t="n"/>
      <c r="R2194" s="1" t="n"/>
    </row>
    <row r="2195">
      <c r="A2195" s="61" t="n"/>
      <c r="B2195" s="16" t="n"/>
      <c r="C2195" s="90" t="n"/>
      <c r="D2195" s="90" t="n"/>
      <c r="E2195" s="90" t="n"/>
      <c r="F2195" s="16" t="n"/>
      <c r="G2195" s="16" t="n"/>
      <c r="H2195" s="63" t="n"/>
      <c r="I2195" s="64" t="n"/>
      <c r="J2195" s="16" t="n"/>
      <c r="K2195" s="16" t="n"/>
      <c r="M2195" s="89" t="n"/>
      <c r="N2195" s="1" t="n"/>
      <c r="O2195" s="1" t="n"/>
      <c r="P2195" s="1" t="n"/>
      <c r="Q2195" s="1" t="n"/>
      <c r="R2195" s="1" t="n"/>
    </row>
    <row r="2196">
      <c r="A2196" s="61" t="n"/>
      <c r="B2196" s="16" t="n"/>
      <c r="C2196" s="90" t="n"/>
      <c r="D2196" s="90" t="n"/>
      <c r="E2196" s="90" t="n"/>
      <c r="F2196" s="16" t="n"/>
      <c r="G2196" s="16" t="n"/>
      <c r="H2196" s="63" t="n"/>
      <c r="I2196" s="64" t="n"/>
      <c r="J2196" s="16" t="n"/>
      <c r="K2196" s="16" t="n"/>
      <c r="M2196" s="89" t="n"/>
      <c r="N2196" s="1" t="n"/>
      <c r="O2196" s="1" t="n"/>
      <c r="P2196" s="1" t="n"/>
      <c r="Q2196" s="1" t="n"/>
      <c r="R2196" s="1" t="n"/>
    </row>
    <row r="2197">
      <c r="A2197" s="61" t="n"/>
      <c r="B2197" s="16" t="n"/>
      <c r="C2197" s="90" t="n"/>
      <c r="D2197" s="90" t="n"/>
      <c r="E2197" s="90" t="n"/>
      <c r="F2197" s="16" t="n"/>
      <c r="G2197" s="16" t="n"/>
      <c r="H2197" s="63" t="n"/>
      <c r="I2197" s="64" t="n"/>
      <c r="J2197" s="16" t="n"/>
      <c r="K2197" s="16" t="n"/>
      <c r="M2197" s="89" t="n"/>
      <c r="N2197" s="1" t="n"/>
      <c r="O2197" s="1" t="n"/>
      <c r="P2197" s="1" t="n"/>
      <c r="Q2197" s="1" t="n"/>
      <c r="R2197" s="1" t="n"/>
    </row>
    <row r="2198">
      <c r="A2198" s="61" t="n"/>
      <c r="B2198" s="16" t="n"/>
      <c r="C2198" s="90" t="n"/>
      <c r="D2198" s="90" t="n"/>
      <c r="E2198" s="90" t="n"/>
      <c r="F2198" s="16" t="n"/>
      <c r="G2198" s="16" t="n"/>
      <c r="H2198" s="63" t="n"/>
      <c r="I2198" s="64" t="n"/>
      <c r="J2198" s="16" t="n"/>
      <c r="K2198" s="16" t="n"/>
      <c r="M2198" s="89" t="n"/>
      <c r="N2198" s="1" t="n"/>
      <c r="O2198" s="1" t="n"/>
      <c r="P2198" s="1" t="n"/>
      <c r="Q2198" s="1" t="n"/>
      <c r="R2198" s="1" t="n"/>
    </row>
    <row r="2199">
      <c r="A2199" s="61" t="n"/>
      <c r="B2199" s="16" t="n"/>
      <c r="C2199" s="90" t="n"/>
      <c r="D2199" s="90" t="n"/>
      <c r="E2199" s="90" t="n"/>
      <c r="F2199" s="16" t="n"/>
      <c r="G2199" s="16" t="n"/>
      <c r="H2199" s="63" t="n"/>
      <c r="I2199" s="64" t="n"/>
      <c r="J2199" s="16" t="n"/>
      <c r="K2199" s="16" t="n"/>
      <c r="M2199" s="89" t="n"/>
      <c r="N2199" s="1" t="n"/>
      <c r="O2199" s="1" t="n"/>
      <c r="P2199" s="1" t="n"/>
      <c r="Q2199" s="1" t="n"/>
      <c r="R2199" s="1" t="n"/>
    </row>
    <row r="2200">
      <c r="A2200" s="61" t="n"/>
      <c r="B2200" s="16" t="n"/>
      <c r="C2200" s="90" t="n"/>
      <c r="D2200" s="90" t="n"/>
      <c r="E2200" s="90" t="n"/>
      <c r="F2200" s="16" t="n"/>
      <c r="G2200" s="16" t="n"/>
      <c r="H2200" s="63" t="n"/>
      <c r="I2200" s="64" t="n"/>
      <c r="J2200" s="16" t="n"/>
      <c r="K2200" s="16" t="n"/>
      <c r="M2200" s="89" t="n"/>
      <c r="N2200" s="1" t="n"/>
      <c r="O2200" s="1" t="n"/>
      <c r="P2200" s="1" t="n"/>
      <c r="Q2200" s="1" t="n"/>
      <c r="R2200" s="1" t="n"/>
    </row>
    <row r="2201">
      <c r="A2201" s="61" t="n"/>
      <c r="B2201" s="16" t="n"/>
      <c r="C2201" s="90" t="n"/>
      <c r="D2201" s="90" t="n"/>
      <c r="E2201" s="90" t="n"/>
      <c r="F2201" s="16" t="n"/>
      <c r="G2201" s="16" t="n"/>
      <c r="H2201" s="63" t="n"/>
      <c r="I2201" s="64" t="n"/>
      <c r="J2201" s="16" t="n"/>
      <c r="K2201" s="16" t="n"/>
      <c r="M2201" s="89" t="n"/>
      <c r="N2201" s="1" t="n"/>
      <c r="O2201" s="1" t="n"/>
      <c r="P2201" s="1" t="n"/>
      <c r="Q2201" s="1" t="n"/>
      <c r="R2201" s="1" t="n"/>
    </row>
    <row r="2202">
      <c r="A2202" s="61" t="n"/>
      <c r="B2202" s="16" t="n"/>
      <c r="C2202" s="90" t="n"/>
      <c r="D2202" s="90" t="n"/>
      <c r="E2202" s="90" t="n"/>
      <c r="F2202" s="16" t="n"/>
      <c r="G2202" s="16" t="n"/>
      <c r="H2202" s="63" t="n"/>
      <c r="I2202" s="64" t="n"/>
      <c r="J2202" s="16" t="n"/>
      <c r="K2202" s="16" t="n"/>
      <c r="M2202" s="89" t="n"/>
      <c r="N2202" s="1" t="n"/>
      <c r="O2202" s="1" t="n"/>
      <c r="P2202" s="1" t="n"/>
      <c r="Q2202" s="1" t="n"/>
      <c r="R2202" s="1" t="n"/>
    </row>
    <row r="2203">
      <c r="A2203" s="61" t="n"/>
      <c r="B2203" s="16" t="n"/>
      <c r="C2203" s="90" t="n"/>
      <c r="D2203" s="90" t="n"/>
      <c r="E2203" s="90" t="n"/>
      <c r="F2203" s="16" t="n"/>
      <c r="G2203" s="16" t="n"/>
      <c r="H2203" s="63" t="n"/>
      <c r="I2203" s="64" t="n"/>
      <c r="J2203" s="16" t="n"/>
      <c r="K2203" s="16" t="n"/>
      <c r="M2203" s="89" t="n"/>
      <c r="N2203" s="1" t="n"/>
      <c r="O2203" s="1" t="n"/>
      <c r="P2203" s="1" t="n"/>
      <c r="Q2203" s="1" t="n"/>
      <c r="R2203" s="1" t="n"/>
    </row>
    <row r="2204">
      <c r="A2204" s="61" t="n"/>
      <c r="B2204" s="16" t="n"/>
      <c r="C2204" s="90" t="n"/>
      <c r="D2204" s="90" t="n"/>
      <c r="E2204" s="90" t="n"/>
      <c r="F2204" s="16" t="n"/>
      <c r="G2204" s="16" t="n"/>
      <c r="H2204" s="63" t="n"/>
      <c r="I2204" s="64" t="n"/>
      <c r="J2204" s="16" t="n"/>
      <c r="K2204" s="16" t="n"/>
      <c r="M2204" s="89" t="n"/>
      <c r="N2204" s="1" t="n"/>
      <c r="O2204" s="1" t="n"/>
      <c r="P2204" s="1" t="n"/>
      <c r="Q2204" s="1" t="n"/>
      <c r="R2204" s="1" t="n"/>
    </row>
    <row r="2205">
      <c r="A2205" s="61" t="n"/>
      <c r="B2205" s="16" t="n"/>
      <c r="C2205" s="90" t="n"/>
      <c r="D2205" s="90" t="n"/>
      <c r="E2205" s="90" t="n"/>
      <c r="F2205" s="16" t="n"/>
      <c r="G2205" s="16" t="n"/>
      <c r="H2205" s="63" t="n"/>
      <c r="I2205" s="64" t="n"/>
      <c r="J2205" s="16" t="n"/>
      <c r="K2205" s="16" t="n"/>
      <c r="M2205" s="89" t="n"/>
      <c r="N2205" s="1" t="n"/>
      <c r="O2205" s="1" t="n"/>
      <c r="P2205" s="1" t="n"/>
      <c r="Q2205" s="1" t="n"/>
      <c r="R2205" s="1" t="n"/>
    </row>
    <row r="2206">
      <c r="A2206" s="61" t="n"/>
      <c r="B2206" s="16" t="n"/>
      <c r="C2206" s="90" t="n"/>
      <c r="D2206" s="90" t="n"/>
      <c r="E2206" s="90" t="n"/>
      <c r="F2206" s="16" t="n"/>
      <c r="G2206" s="16" t="n"/>
      <c r="H2206" s="63" t="n"/>
      <c r="I2206" s="64" t="n"/>
      <c r="J2206" s="16" t="n"/>
      <c r="K2206" s="16" t="n"/>
      <c r="M2206" s="89" t="n"/>
      <c r="N2206" s="1" t="n"/>
      <c r="O2206" s="1" t="n"/>
      <c r="P2206" s="1" t="n"/>
      <c r="Q2206" s="1" t="n"/>
      <c r="R2206" s="1" t="n"/>
    </row>
    <row r="2207">
      <c r="A2207" s="61" t="n"/>
      <c r="B2207" s="16" t="n"/>
      <c r="C2207" s="90" t="n"/>
      <c r="D2207" s="90" t="n"/>
      <c r="E2207" s="90" t="n"/>
      <c r="F2207" s="16" t="n"/>
      <c r="G2207" s="16" t="n"/>
      <c r="H2207" s="63" t="n"/>
      <c r="I2207" s="64" t="n"/>
      <c r="J2207" s="16" t="n"/>
      <c r="K2207" s="16" t="n"/>
      <c r="M2207" s="89" t="n"/>
      <c r="N2207" s="1" t="n"/>
      <c r="O2207" s="1" t="n"/>
      <c r="P2207" s="1" t="n"/>
      <c r="Q2207" s="1" t="n"/>
      <c r="R2207" s="1" t="n"/>
    </row>
    <row r="2208">
      <c r="A2208" s="61" t="n"/>
      <c r="B2208" s="16" t="n"/>
      <c r="C2208" s="90" t="n"/>
      <c r="D2208" s="90" t="n"/>
      <c r="E2208" s="90" t="n"/>
      <c r="F2208" s="16" t="n"/>
      <c r="G2208" s="16" t="n"/>
      <c r="H2208" s="63" t="n"/>
      <c r="I2208" s="64" t="n"/>
      <c r="J2208" s="16" t="n"/>
      <c r="K2208" s="16" t="n"/>
      <c r="M2208" s="89" t="n"/>
      <c r="N2208" s="1" t="n"/>
      <c r="O2208" s="1" t="n"/>
      <c r="P2208" s="1" t="n"/>
      <c r="Q2208" s="1" t="n"/>
      <c r="R2208" s="1" t="n"/>
    </row>
    <row r="2209">
      <c r="A2209" s="61" t="n"/>
      <c r="B2209" s="16" t="n"/>
      <c r="C2209" s="90" t="n"/>
      <c r="D2209" s="90" t="n"/>
      <c r="E2209" s="90" t="n"/>
      <c r="F2209" s="16" t="n"/>
      <c r="G2209" s="16" t="n"/>
      <c r="H2209" s="63" t="n"/>
      <c r="I2209" s="64" t="n"/>
      <c r="J2209" s="16" t="n"/>
      <c r="K2209" s="16" t="n"/>
      <c r="M2209" s="89" t="n"/>
      <c r="N2209" s="1" t="n"/>
      <c r="O2209" s="1" t="n"/>
      <c r="P2209" s="1" t="n"/>
      <c r="Q2209" s="1" t="n"/>
      <c r="R2209" s="1" t="n"/>
    </row>
    <row r="2210">
      <c r="A2210" s="61" t="n"/>
      <c r="B2210" s="16" t="n"/>
      <c r="C2210" s="90" t="n"/>
      <c r="D2210" s="90" t="n"/>
      <c r="E2210" s="90" t="n"/>
      <c r="F2210" s="16" t="n"/>
      <c r="G2210" s="16" t="n"/>
      <c r="H2210" s="63" t="n"/>
      <c r="I2210" s="64" t="n"/>
      <c r="J2210" s="16" t="n"/>
      <c r="K2210" s="16" t="n"/>
      <c r="M2210" s="89" t="n"/>
      <c r="N2210" s="1" t="n"/>
      <c r="O2210" s="1" t="n"/>
      <c r="P2210" s="1" t="n"/>
      <c r="Q2210" s="1" t="n"/>
      <c r="R2210" s="1" t="n"/>
    </row>
    <row r="2211">
      <c r="A2211" s="61" t="n"/>
      <c r="B2211" s="16" t="n"/>
      <c r="C2211" s="90" t="n"/>
      <c r="D2211" s="90" t="n"/>
      <c r="E2211" s="90" t="n"/>
      <c r="F2211" s="16" t="n"/>
      <c r="G2211" s="16" t="n"/>
      <c r="H2211" s="63" t="n"/>
      <c r="I2211" s="64" t="n"/>
      <c r="J2211" s="16" t="n"/>
      <c r="K2211" s="16" t="n"/>
      <c r="M2211" s="89" t="n"/>
      <c r="N2211" s="1" t="n"/>
      <c r="O2211" s="1" t="n"/>
      <c r="P2211" s="1" t="n"/>
      <c r="Q2211" s="1" t="n"/>
      <c r="R2211" s="1" t="n"/>
    </row>
    <row r="2212">
      <c r="A2212" s="61" t="n"/>
      <c r="B2212" s="16" t="n"/>
      <c r="C2212" s="90" t="n"/>
      <c r="D2212" s="90" t="n"/>
      <c r="E2212" s="90" t="n"/>
      <c r="F2212" s="16" t="n"/>
      <c r="G2212" s="16" t="n"/>
      <c r="H2212" s="63" t="n"/>
      <c r="I2212" s="64" t="n"/>
      <c r="J2212" s="16" t="n"/>
      <c r="K2212" s="16" t="n"/>
      <c r="M2212" s="89" t="n"/>
      <c r="N2212" s="1" t="n"/>
      <c r="O2212" s="1" t="n"/>
      <c r="P2212" s="1" t="n"/>
      <c r="Q2212" s="1" t="n"/>
      <c r="R2212" s="1" t="n"/>
    </row>
    <row r="2213">
      <c r="A2213" s="61" t="n"/>
      <c r="B2213" s="16" t="n"/>
      <c r="C2213" s="90" t="n"/>
      <c r="D2213" s="90" t="n"/>
      <c r="E2213" s="90" t="n"/>
      <c r="F2213" s="16" t="n"/>
      <c r="G2213" s="16" t="n"/>
      <c r="H2213" s="63" t="n"/>
      <c r="I2213" s="64" t="n"/>
      <c r="J2213" s="16" t="n"/>
      <c r="K2213" s="16" t="n"/>
      <c r="M2213" s="89" t="n"/>
      <c r="N2213" s="1" t="n"/>
      <c r="O2213" s="1" t="n"/>
      <c r="P2213" s="1" t="n"/>
      <c r="Q2213" s="1" t="n"/>
      <c r="R2213" s="1" t="n"/>
    </row>
    <row r="2214">
      <c r="A2214" s="61" t="n"/>
      <c r="B2214" s="16" t="n"/>
      <c r="C2214" s="90" t="n"/>
      <c r="D2214" s="90" t="n"/>
      <c r="E2214" s="90" t="n"/>
      <c r="F2214" s="16" t="n"/>
      <c r="G2214" s="16" t="n"/>
      <c r="H2214" s="63" t="n"/>
      <c r="I2214" s="64" t="n"/>
      <c r="J2214" s="16" t="n"/>
      <c r="K2214" s="16" t="n"/>
      <c r="M2214" s="89" t="n"/>
      <c r="N2214" s="1" t="n"/>
      <c r="O2214" s="1" t="n"/>
      <c r="P2214" s="1" t="n"/>
      <c r="Q2214" s="1" t="n"/>
      <c r="R2214" s="1" t="n"/>
    </row>
    <row r="2215">
      <c r="A2215" s="61" t="n"/>
      <c r="B2215" s="16" t="n"/>
      <c r="C2215" s="90" t="n"/>
      <c r="D2215" s="90" t="n"/>
      <c r="E2215" s="90" t="n"/>
      <c r="F2215" s="16" t="n"/>
      <c r="G2215" s="16" t="n"/>
      <c r="H2215" s="63" t="n"/>
      <c r="I2215" s="64" t="n"/>
      <c r="J2215" s="16" t="n"/>
      <c r="K2215" s="16" t="n"/>
      <c r="M2215" s="89" t="n"/>
      <c r="N2215" s="1" t="n"/>
      <c r="O2215" s="1" t="n"/>
      <c r="P2215" s="1" t="n"/>
      <c r="Q2215" s="1" t="n"/>
      <c r="R2215" s="1" t="n"/>
    </row>
    <row r="2216">
      <c r="A2216" s="61" t="n"/>
      <c r="B2216" s="16" t="n"/>
      <c r="C2216" s="90" t="n"/>
      <c r="D2216" s="90" t="n"/>
      <c r="E2216" s="90" t="n"/>
      <c r="F2216" s="16" t="n"/>
      <c r="G2216" s="16" t="n"/>
      <c r="H2216" s="63" t="n"/>
      <c r="I2216" s="64" t="n"/>
      <c r="J2216" s="16" t="n"/>
      <c r="K2216" s="16" t="n"/>
      <c r="M2216" s="89" t="n"/>
      <c r="N2216" s="1" t="n"/>
      <c r="O2216" s="1" t="n"/>
      <c r="P2216" s="1" t="n"/>
      <c r="Q2216" s="1" t="n"/>
      <c r="R2216" s="1" t="n"/>
    </row>
    <row r="2217">
      <c r="A2217" s="61" t="n"/>
      <c r="B2217" s="16" t="n"/>
      <c r="C2217" s="90" t="n"/>
      <c r="D2217" s="90" t="n"/>
      <c r="E2217" s="90" t="n"/>
      <c r="F2217" s="16" t="n"/>
      <c r="G2217" s="16" t="n"/>
      <c r="H2217" s="63" t="n"/>
      <c r="I2217" s="64" t="n"/>
      <c r="J2217" s="16" t="n"/>
      <c r="K2217" s="16" t="n"/>
      <c r="M2217" s="89" t="n"/>
      <c r="N2217" s="1" t="n"/>
      <c r="O2217" s="1" t="n"/>
      <c r="P2217" s="1" t="n"/>
      <c r="Q2217" s="1" t="n"/>
      <c r="R2217" s="1" t="n"/>
    </row>
    <row r="2218">
      <c r="A2218" s="61" t="n"/>
      <c r="B2218" s="16" t="n"/>
      <c r="C2218" s="90" t="n"/>
      <c r="D2218" s="90" t="n"/>
      <c r="E2218" s="90" t="n"/>
      <c r="F2218" s="16" t="n"/>
      <c r="G2218" s="16" t="n"/>
      <c r="H2218" s="63" t="n"/>
      <c r="I2218" s="64" t="n"/>
      <c r="J2218" s="16" t="n"/>
      <c r="K2218" s="16" t="n"/>
      <c r="M2218" s="89" t="n"/>
      <c r="N2218" s="1" t="n"/>
      <c r="O2218" s="1" t="n"/>
      <c r="P2218" s="1" t="n"/>
      <c r="Q2218" s="1" t="n"/>
      <c r="R2218" s="1" t="n"/>
    </row>
    <row r="2219">
      <c r="A2219" s="61" t="n"/>
      <c r="B2219" s="16" t="n"/>
      <c r="C2219" s="90" t="n"/>
      <c r="D2219" s="90" t="n"/>
      <c r="E2219" s="90" t="n"/>
      <c r="F2219" s="16" t="n"/>
      <c r="G2219" s="16" t="n"/>
      <c r="H2219" s="63" t="n"/>
      <c r="I2219" s="64" t="n"/>
      <c r="J2219" s="16" t="n"/>
      <c r="K2219" s="16" t="n"/>
      <c r="M2219" s="89" t="n"/>
      <c r="N2219" s="1" t="n"/>
      <c r="O2219" s="1" t="n"/>
      <c r="P2219" s="1" t="n"/>
      <c r="Q2219" s="1" t="n"/>
      <c r="R2219" s="1" t="n"/>
    </row>
    <row r="2220">
      <c r="A2220" s="61" t="n"/>
      <c r="B2220" s="16" t="n"/>
      <c r="C2220" s="90" t="n"/>
      <c r="D2220" s="90" t="n"/>
      <c r="E2220" s="90" t="n"/>
      <c r="F2220" s="16" t="n"/>
      <c r="G2220" s="16" t="n"/>
      <c r="H2220" s="63" t="n"/>
      <c r="I2220" s="64" t="n"/>
      <c r="J2220" s="16" t="n"/>
      <c r="K2220" s="16" t="n"/>
      <c r="M2220" s="89" t="n"/>
      <c r="N2220" s="1" t="n"/>
      <c r="O2220" s="1" t="n"/>
      <c r="P2220" s="1" t="n"/>
      <c r="Q2220" s="1" t="n"/>
      <c r="R2220" s="1" t="n"/>
    </row>
    <row r="2221">
      <c r="A2221" s="61" t="n"/>
      <c r="B2221" s="16" t="n"/>
      <c r="C2221" s="90" t="n"/>
      <c r="D2221" s="90" t="n"/>
      <c r="E2221" s="90" t="n"/>
      <c r="F2221" s="16" t="n"/>
      <c r="G2221" s="16" t="n"/>
      <c r="H2221" s="63" t="n"/>
      <c r="I2221" s="64" t="n"/>
      <c r="J2221" s="16" t="n"/>
      <c r="K2221" s="16" t="n"/>
      <c r="M2221" s="89" t="n"/>
      <c r="N2221" s="1" t="n"/>
      <c r="O2221" s="1" t="n"/>
      <c r="P2221" s="1" t="n"/>
      <c r="Q2221" s="1" t="n"/>
      <c r="R2221" s="1" t="n"/>
    </row>
    <row r="2222">
      <c r="A2222" s="61" t="n"/>
      <c r="B2222" s="16" t="n"/>
      <c r="C2222" s="90" t="n"/>
      <c r="D2222" s="90" t="n"/>
      <c r="E2222" s="90" t="n"/>
      <c r="F2222" s="16" t="n"/>
      <c r="G2222" s="16" t="n"/>
      <c r="H2222" s="63" t="n"/>
      <c r="I2222" s="64" t="n"/>
      <c r="J2222" s="16" t="n"/>
      <c r="K2222" s="16" t="n"/>
      <c r="M2222" s="89" t="n"/>
      <c r="N2222" s="1" t="n"/>
      <c r="O2222" s="1" t="n"/>
      <c r="P2222" s="1" t="n"/>
      <c r="Q2222" s="1" t="n"/>
      <c r="R2222" s="1" t="n"/>
    </row>
    <row r="2223">
      <c r="A2223" s="61" t="n"/>
      <c r="B2223" s="16" t="n"/>
      <c r="C2223" s="90" t="n"/>
      <c r="D2223" s="90" t="n"/>
      <c r="E2223" s="90" t="n"/>
      <c r="F2223" s="16" t="n"/>
      <c r="G2223" s="16" t="n"/>
      <c r="H2223" s="63" t="n"/>
      <c r="I2223" s="64" t="n"/>
      <c r="J2223" s="16" t="n"/>
      <c r="K2223" s="16" t="n"/>
      <c r="M2223" s="89" t="n"/>
      <c r="N2223" s="1" t="n"/>
      <c r="O2223" s="1" t="n"/>
      <c r="P2223" s="1" t="n"/>
      <c r="Q2223" s="1" t="n"/>
      <c r="R2223" s="1" t="n"/>
    </row>
    <row r="2224">
      <c r="A2224" s="61" t="n"/>
      <c r="B2224" s="16" t="n"/>
      <c r="C2224" s="90" t="n"/>
      <c r="D2224" s="90" t="n"/>
      <c r="E2224" s="90" t="n"/>
      <c r="F2224" s="16" t="n"/>
      <c r="G2224" s="16" t="n"/>
      <c r="H2224" s="63" t="n"/>
      <c r="I2224" s="64" t="n"/>
      <c r="J2224" s="16" t="n"/>
      <c r="K2224" s="16" t="n"/>
      <c r="M2224" s="89" t="n"/>
      <c r="N2224" s="1" t="n"/>
      <c r="O2224" s="1" t="n"/>
      <c r="P2224" s="1" t="n"/>
      <c r="Q2224" s="1" t="n"/>
      <c r="R2224" s="1" t="n"/>
    </row>
    <row r="2225">
      <c r="A2225" s="61" t="n"/>
      <c r="B2225" s="16" t="n"/>
      <c r="C2225" s="90" t="n"/>
      <c r="D2225" s="90" t="n"/>
      <c r="E2225" s="90" t="n"/>
      <c r="F2225" s="16" t="n"/>
      <c r="G2225" s="16" t="n"/>
      <c r="H2225" s="63" t="n"/>
      <c r="I2225" s="64" t="n"/>
      <c r="J2225" s="16" t="n"/>
      <c r="K2225" s="16" t="n"/>
      <c r="M2225" s="89" t="n"/>
      <c r="N2225" s="1" t="n"/>
      <c r="O2225" s="1" t="n"/>
      <c r="P2225" s="1" t="n"/>
      <c r="Q2225" s="1" t="n"/>
      <c r="R2225" s="1" t="n"/>
    </row>
    <row r="2226">
      <c r="A2226" s="61" t="n"/>
      <c r="B2226" s="16" t="n"/>
      <c r="C2226" s="90" t="n"/>
      <c r="D2226" s="90" t="n"/>
      <c r="E2226" s="90" t="n"/>
      <c r="F2226" s="16" t="n"/>
      <c r="G2226" s="16" t="n"/>
      <c r="H2226" s="63" t="n"/>
      <c r="I2226" s="64" t="n"/>
      <c r="J2226" s="16" t="n"/>
      <c r="K2226" s="16" t="n"/>
      <c r="M2226" s="89" t="n"/>
      <c r="N2226" s="1" t="n"/>
      <c r="O2226" s="1" t="n"/>
      <c r="P2226" s="1" t="n"/>
      <c r="Q2226" s="1" t="n"/>
      <c r="R2226" s="1" t="n"/>
    </row>
    <row r="2227">
      <c r="A2227" s="61" t="n"/>
      <c r="B2227" s="16" t="n"/>
      <c r="C2227" s="90" t="n"/>
      <c r="D2227" s="90" t="n"/>
      <c r="E2227" s="90" t="n"/>
      <c r="F2227" s="16" t="n"/>
      <c r="G2227" s="16" t="n"/>
      <c r="H2227" s="63" t="n"/>
      <c r="I2227" s="64" t="n"/>
      <c r="J2227" s="16" t="n"/>
      <c r="K2227" s="16" t="n"/>
      <c r="M2227" s="89" t="n"/>
      <c r="N2227" s="1" t="n"/>
      <c r="O2227" s="1" t="n"/>
      <c r="P2227" s="1" t="n"/>
      <c r="Q2227" s="1" t="n"/>
      <c r="R2227" s="1" t="n"/>
    </row>
    <row r="2228">
      <c r="A2228" s="61" t="n"/>
      <c r="B2228" s="16" t="n"/>
      <c r="C2228" s="90" t="n"/>
      <c r="D2228" s="90" t="n"/>
      <c r="E2228" s="90" t="n"/>
      <c r="F2228" s="16" t="n"/>
      <c r="G2228" s="16" t="n"/>
      <c r="H2228" s="63" t="n"/>
      <c r="I2228" s="64" t="n"/>
      <c r="J2228" s="16" t="n"/>
      <c r="K2228" s="16" t="n"/>
      <c r="M2228" s="89" t="n"/>
      <c r="N2228" s="1" t="n"/>
      <c r="O2228" s="1" t="n"/>
      <c r="P2228" s="1" t="n"/>
      <c r="Q2228" s="1" t="n"/>
      <c r="R2228" s="1" t="n"/>
    </row>
    <row r="2229">
      <c r="A2229" s="61" t="n"/>
      <c r="B2229" s="16" t="n"/>
      <c r="C2229" s="90" t="n"/>
      <c r="D2229" s="90" t="n"/>
      <c r="E2229" s="90" t="n"/>
      <c r="F2229" s="16" t="n"/>
      <c r="G2229" s="16" t="n"/>
      <c r="H2229" s="63" t="n"/>
      <c r="I2229" s="64" t="n"/>
      <c r="J2229" s="16" t="n"/>
      <c r="K2229" s="16" t="n"/>
      <c r="M2229" s="89" t="n"/>
      <c r="N2229" s="1" t="n"/>
      <c r="O2229" s="1" t="n"/>
      <c r="P2229" s="1" t="n"/>
      <c r="Q2229" s="1" t="n"/>
      <c r="R2229" s="1" t="n"/>
    </row>
    <row r="2230">
      <c r="A2230" s="61" t="n"/>
      <c r="B2230" s="16" t="n"/>
      <c r="C2230" s="90" t="n"/>
      <c r="D2230" s="90" t="n"/>
      <c r="E2230" s="90" t="n"/>
      <c r="F2230" s="16" t="n"/>
      <c r="G2230" s="16" t="n"/>
      <c r="H2230" s="63" t="n"/>
      <c r="I2230" s="64" t="n"/>
      <c r="J2230" s="16" t="n"/>
      <c r="K2230" s="16" t="n"/>
      <c r="M2230" s="89" t="n"/>
      <c r="N2230" s="1" t="n"/>
      <c r="O2230" s="1" t="n"/>
      <c r="P2230" s="1" t="n"/>
      <c r="Q2230" s="1" t="n"/>
      <c r="R2230" s="1" t="n"/>
    </row>
    <row r="2231">
      <c r="A2231" s="61" t="n"/>
      <c r="B2231" s="16" t="n"/>
      <c r="C2231" s="90" t="n"/>
      <c r="D2231" s="90" t="n"/>
      <c r="E2231" s="90" t="n"/>
      <c r="F2231" s="16" t="n"/>
      <c r="G2231" s="16" t="n"/>
      <c r="H2231" s="63" t="n"/>
      <c r="I2231" s="64" t="n"/>
      <c r="J2231" s="16" t="n"/>
      <c r="K2231" s="16" t="n"/>
      <c r="M2231" s="89" t="n"/>
      <c r="N2231" s="1" t="n"/>
      <c r="O2231" s="1" t="n"/>
      <c r="P2231" s="1" t="n"/>
      <c r="Q2231" s="1" t="n"/>
      <c r="R2231" s="1" t="n"/>
    </row>
    <row r="2232">
      <c r="A2232" s="61" t="n"/>
      <c r="B2232" s="16" t="n"/>
      <c r="C2232" s="90" t="n"/>
      <c r="D2232" s="90" t="n"/>
      <c r="E2232" s="90" t="n"/>
      <c r="F2232" s="16" t="n"/>
      <c r="G2232" s="16" t="n"/>
      <c r="H2232" s="63" t="n"/>
      <c r="I2232" s="64" t="n"/>
      <c r="J2232" s="16" t="n"/>
      <c r="K2232" s="16" t="n"/>
      <c r="M2232" s="89" t="n"/>
      <c r="N2232" s="1" t="n"/>
      <c r="O2232" s="1" t="n"/>
      <c r="P2232" s="1" t="n"/>
      <c r="Q2232" s="1" t="n"/>
      <c r="R2232" s="1" t="n"/>
    </row>
    <row r="2233">
      <c r="A2233" s="61" t="n"/>
      <c r="B2233" s="16" t="n"/>
      <c r="C2233" s="90" t="n"/>
      <c r="D2233" s="90" t="n"/>
      <c r="E2233" s="90" t="n"/>
      <c r="F2233" s="16" t="n"/>
      <c r="G2233" s="16" t="n"/>
      <c r="H2233" s="63" t="n"/>
      <c r="I2233" s="64" t="n"/>
      <c r="J2233" s="16" t="n"/>
      <c r="K2233" s="16" t="n"/>
      <c r="M2233" s="89" t="n"/>
      <c r="N2233" s="1" t="n"/>
      <c r="O2233" s="1" t="n"/>
      <c r="P2233" s="1" t="n"/>
      <c r="Q2233" s="1" t="n"/>
      <c r="R2233" s="1" t="n"/>
    </row>
    <row r="2234">
      <c r="A2234" s="61" t="n"/>
      <c r="B2234" s="16" t="n"/>
      <c r="C2234" s="90" t="n"/>
      <c r="D2234" s="90" t="n"/>
      <c r="E2234" s="90" t="n"/>
      <c r="F2234" s="16" t="n"/>
      <c r="G2234" s="16" t="n"/>
      <c r="H2234" s="63" t="n"/>
      <c r="I2234" s="64" t="n"/>
      <c r="J2234" s="16" t="n"/>
      <c r="K2234" s="16" t="n"/>
      <c r="M2234" s="89" t="n"/>
      <c r="N2234" s="1" t="n"/>
      <c r="O2234" s="1" t="n"/>
      <c r="P2234" s="1" t="n"/>
      <c r="Q2234" s="1" t="n"/>
      <c r="R2234" s="1" t="n"/>
    </row>
    <row r="2235">
      <c r="A2235" s="61" t="n"/>
      <c r="B2235" s="16" t="n"/>
      <c r="C2235" s="90" t="n"/>
      <c r="D2235" s="90" t="n"/>
      <c r="E2235" s="90" t="n"/>
      <c r="F2235" s="16" t="n"/>
      <c r="G2235" s="16" t="n"/>
      <c r="H2235" s="63" t="n"/>
      <c r="I2235" s="64" t="n"/>
      <c r="J2235" s="16" t="n"/>
      <c r="K2235" s="16" t="n"/>
      <c r="M2235" s="89" t="n"/>
      <c r="N2235" s="1" t="n"/>
      <c r="O2235" s="1" t="n"/>
      <c r="P2235" s="1" t="n"/>
      <c r="Q2235" s="1" t="n"/>
      <c r="R2235" s="1" t="n"/>
    </row>
    <row r="2236">
      <c r="A2236" s="61" t="n"/>
      <c r="B2236" s="16" t="n"/>
      <c r="C2236" s="90" t="n"/>
      <c r="D2236" s="90" t="n"/>
      <c r="E2236" s="90" t="n"/>
      <c r="F2236" s="16" t="n"/>
      <c r="G2236" s="16" t="n"/>
      <c r="H2236" s="63" t="n"/>
      <c r="I2236" s="64" t="n"/>
      <c r="J2236" s="16" t="n"/>
      <c r="K2236" s="16" t="n"/>
      <c r="M2236" s="89" t="n"/>
      <c r="N2236" s="1" t="n"/>
      <c r="O2236" s="1" t="n"/>
      <c r="P2236" s="1" t="n"/>
      <c r="Q2236" s="1" t="n"/>
      <c r="R2236" s="1" t="n"/>
    </row>
    <row r="2237">
      <c r="A2237" s="61" t="n"/>
      <c r="B2237" s="16" t="n"/>
      <c r="C2237" s="90" t="n"/>
      <c r="D2237" s="90" t="n"/>
      <c r="E2237" s="90" t="n"/>
      <c r="F2237" s="16" t="n"/>
      <c r="G2237" s="16" t="n"/>
      <c r="H2237" s="63" t="n"/>
      <c r="I2237" s="64" t="n"/>
      <c r="J2237" s="16" t="n"/>
      <c r="K2237" s="16" t="n"/>
      <c r="M2237" s="89" t="n"/>
      <c r="N2237" s="1" t="n"/>
      <c r="O2237" s="1" t="n"/>
      <c r="P2237" s="1" t="n"/>
      <c r="Q2237" s="1" t="n"/>
      <c r="R2237" s="1" t="n"/>
    </row>
    <row r="2238">
      <c r="A2238" s="61" t="n"/>
      <c r="B2238" s="16" t="n"/>
      <c r="C2238" s="90" t="n"/>
      <c r="D2238" s="90" t="n"/>
      <c r="E2238" s="90" t="n"/>
      <c r="F2238" s="16" t="n"/>
      <c r="G2238" s="16" t="n"/>
      <c r="H2238" s="63" t="n"/>
      <c r="I2238" s="64" t="n"/>
      <c r="J2238" s="16" t="n"/>
      <c r="K2238" s="16" t="n"/>
      <c r="M2238" s="89" t="n"/>
      <c r="N2238" s="1" t="n"/>
      <c r="O2238" s="1" t="n"/>
      <c r="P2238" s="1" t="n"/>
      <c r="Q2238" s="1" t="n"/>
      <c r="R2238" s="1" t="n"/>
    </row>
    <row r="2239">
      <c r="A2239" s="61" t="n"/>
      <c r="B2239" s="16" t="n"/>
      <c r="C2239" s="90" t="n"/>
      <c r="D2239" s="90" t="n"/>
      <c r="E2239" s="90" t="n"/>
      <c r="F2239" s="16" t="n"/>
      <c r="G2239" s="16" t="n"/>
      <c r="H2239" s="63" t="n"/>
      <c r="I2239" s="64" t="n"/>
      <c r="J2239" s="16" t="n"/>
      <c r="K2239" s="16" t="n"/>
      <c r="M2239" s="89" t="n"/>
      <c r="N2239" s="1" t="n"/>
      <c r="O2239" s="1" t="n"/>
      <c r="P2239" s="1" t="n"/>
      <c r="Q2239" s="1" t="n"/>
      <c r="R2239" s="1" t="n"/>
    </row>
    <row r="2240">
      <c r="A2240" s="61" t="n"/>
      <c r="B2240" s="16" t="n"/>
      <c r="C2240" s="90" t="n"/>
      <c r="D2240" s="90" t="n"/>
      <c r="E2240" s="90" t="n"/>
      <c r="F2240" s="16" t="n"/>
      <c r="G2240" s="16" t="n"/>
      <c r="H2240" s="63" t="n"/>
      <c r="I2240" s="64" t="n"/>
      <c r="J2240" s="16" t="n"/>
      <c r="K2240" s="16" t="n"/>
      <c r="M2240" s="89" t="n"/>
      <c r="N2240" s="1" t="n"/>
      <c r="O2240" s="1" t="n"/>
      <c r="P2240" s="1" t="n"/>
      <c r="Q2240" s="1" t="n"/>
      <c r="R2240" s="1" t="n"/>
    </row>
    <row r="2241">
      <c r="A2241" s="61" t="n"/>
      <c r="B2241" s="16" t="n"/>
      <c r="C2241" s="90" t="n"/>
      <c r="D2241" s="90" t="n"/>
      <c r="E2241" s="90" t="n"/>
      <c r="F2241" s="16" t="n"/>
      <c r="G2241" s="16" t="n"/>
      <c r="H2241" s="63" t="n"/>
      <c r="I2241" s="64" t="n"/>
      <c r="J2241" s="16" t="n"/>
      <c r="K2241" s="16" t="n"/>
      <c r="M2241" s="89" t="n"/>
      <c r="N2241" s="1" t="n"/>
      <c r="O2241" s="1" t="n"/>
      <c r="P2241" s="1" t="n"/>
      <c r="Q2241" s="1" t="n"/>
      <c r="R2241" s="1" t="n"/>
    </row>
    <row r="2242">
      <c r="A2242" s="61" t="n"/>
      <c r="B2242" s="16" t="n"/>
      <c r="C2242" s="90" t="n"/>
      <c r="D2242" s="90" t="n"/>
      <c r="E2242" s="90" t="n"/>
      <c r="F2242" s="16" t="n"/>
      <c r="G2242" s="16" t="n"/>
      <c r="H2242" s="63" t="n"/>
      <c r="I2242" s="64" t="n"/>
      <c r="J2242" s="16" t="n"/>
      <c r="K2242" s="16" t="n"/>
      <c r="M2242" s="89" t="n"/>
      <c r="N2242" s="1" t="n"/>
      <c r="O2242" s="1" t="n"/>
      <c r="P2242" s="1" t="n"/>
      <c r="Q2242" s="1" t="n"/>
      <c r="R2242" s="1" t="n"/>
    </row>
    <row r="2243">
      <c r="A2243" s="61" t="n"/>
      <c r="B2243" s="16" t="n"/>
      <c r="C2243" s="90" t="n"/>
      <c r="D2243" s="90" t="n"/>
      <c r="E2243" s="90" t="n"/>
      <c r="F2243" s="16" t="n"/>
      <c r="G2243" s="16" t="n"/>
      <c r="H2243" s="63" t="n"/>
      <c r="I2243" s="64" t="n"/>
      <c r="J2243" s="16" t="n"/>
      <c r="K2243" s="16" t="n"/>
      <c r="M2243" s="89" t="n"/>
      <c r="N2243" s="1" t="n"/>
      <c r="O2243" s="1" t="n"/>
      <c r="P2243" s="1" t="n"/>
      <c r="Q2243" s="1" t="n"/>
      <c r="R2243" s="1" t="n"/>
    </row>
    <row r="2244">
      <c r="A2244" s="61" t="n"/>
      <c r="B2244" s="16" t="n"/>
      <c r="C2244" s="90" t="n"/>
      <c r="D2244" s="90" t="n"/>
      <c r="E2244" s="90" t="n"/>
      <c r="F2244" s="16" t="n"/>
      <c r="G2244" s="16" t="n"/>
      <c r="H2244" s="63" t="n"/>
      <c r="I2244" s="64" t="n"/>
      <c r="J2244" s="16" t="n"/>
      <c r="K2244" s="16" t="n"/>
      <c r="M2244" s="89" t="n"/>
      <c r="N2244" s="1" t="n"/>
      <c r="O2244" s="1" t="n"/>
      <c r="P2244" s="1" t="n"/>
      <c r="Q2244" s="1" t="n"/>
      <c r="R2244" s="1" t="n"/>
    </row>
    <row r="2245">
      <c r="A2245" s="61" t="n"/>
      <c r="B2245" s="16" t="n"/>
      <c r="C2245" s="90" t="n"/>
      <c r="D2245" s="90" t="n"/>
      <c r="E2245" s="90" t="n"/>
      <c r="F2245" s="16" t="n"/>
      <c r="G2245" s="16" t="n"/>
      <c r="H2245" s="63" t="n"/>
      <c r="I2245" s="64" t="n"/>
      <c r="J2245" s="16" t="n"/>
      <c r="K2245" s="16" t="n"/>
      <c r="M2245" s="89" t="n"/>
      <c r="N2245" s="1" t="n"/>
      <c r="O2245" s="1" t="n"/>
      <c r="P2245" s="1" t="n"/>
      <c r="Q2245" s="1" t="n"/>
      <c r="R2245" s="1" t="n"/>
    </row>
    <row r="2246">
      <c r="A2246" s="61" t="n"/>
      <c r="B2246" s="16" t="n"/>
      <c r="C2246" s="90" t="n"/>
      <c r="D2246" s="90" t="n"/>
      <c r="E2246" s="90" t="n"/>
      <c r="F2246" s="16" t="n"/>
      <c r="G2246" s="16" t="n"/>
      <c r="H2246" s="63" t="n"/>
      <c r="I2246" s="64" t="n"/>
      <c r="J2246" s="16" t="n"/>
      <c r="K2246" s="16" t="n"/>
      <c r="M2246" s="89" t="n"/>
      <c r="N2246" s="1" t="n"/>
      <c r="O2246" s="1" t="n"/>
      <c r="P2246" s="1" t="n"/>
      <c r="Q2246" s="1" t="n"/>
      <c r="R2246" s="1" t="n"/>
    </row>
    <row r="2247">
      <c r="A2247" s="61" t="n"/>
      <c r="B2247" s="16" t="n"/>
      <c r="C2247" s="90" t="n"/>
      <c r="D2247" s="90" t="n"/>
      <c r="E2247" s="90" t="n"/>
      <c r="F2247" s="16" t="n"/>
      <c r="G2247" s="16" t="n"/>
      <c r="H2247" s="63" t="n"/>
      <c r="I2247" s="64" t="n"/>
      <c r="J2247" s="16" t="n"/>
      <c r="K2247" s="16" t="n"/>
      <c r="M2247" s="89" t="n"/>
      <c r="N2247" s="1" t="n"/>
      <c r="O2247" s="1" t="n"/>
      <c r="P2247" s="1" t="n"/>
      <c r="Q2247" s="1" t="n"/>
      <c r="R2247" s="1" t="n"/>
    </row>
    <row r="2248">
      <c r="A2248" s="61" t="n"/>
      <c r="B2248" s="16" t="n"/>
      <c r="C2248" s="90" t="n"/>
      <c r="D2248" s="90" t="n"/>
      <c r="E2248" s="90" t="n"/>
      <c r="F2248" s="16" t="n"/>
      <c r="G2248" s="16" t="n"/>
      <c r="H2248" s="63" t="n"/>
      <c r="I2248" s="64" t="n"/>
      <c r="J2248" s="16" t="n"/>
      <c r="K2248" s="16" t="n"/>
      <c r="M2248" s="89" t="n"/>
      <c r="N2248" s="1" t="n"/>
      <c r="O2248" s="1" t="n"/>
      <c r="P2248" s="1" t="n"/>
      <c r="Q2248" s="1" t="n"/>
      <c r="R2248" s="1" t="n"/>
    </row>
    <row r="2249">
      <c r="A2249" s="61" t="n"/>
      <c r="B2249" s="16" t="n"/>
      <c r="C2249" s="90" t="n"/>
      <c r="D2249" s="90" t="n"/>
      <c r="E2249" s="90" t="n"/>
      <c r="F2249" s="16" t="n"/>
      <c r="G2249" s="16" t="n"/>
      <c r="H2249" s="63" t="n"/>
      <c r="I2249" s="64" t="n"/>
      <c r="J2249" s="16" t="n"/>
      <c r="K2249" s="16" t="n"/>
      <c r="M2249" s="89" t="n"/>
      <c r="N2249" s="1" t="n"/>
      <c r="O2249" s="1" t="n"/>
      <c r="P2249" s="1" t="n"/>
      <c r="Q2249" s="1" t="n"/>
      <c r="R2249" s="1" t="n"/>
    </row>
    <row r="2250">
      <c r="A2250" s="61" t="n"/>
      <c r="B2250" s="16" t="n"/>
      <c r="C2250" s="90" t="n"/>
      <c r="D2250" s="90" t="n"/>
      <c r="E2250" s="90" t="n"/>
      <c r="F2250" s="16" t="n"/>
      <c r="G2250" s="16" t="n"/>
      <c r="H2250" s="63" t="n"/>
      <c r="I2250" s="64" t="n"/>
      <c r="J2250" s="16" t="n"/>
      <c r="K2250" s="16" t="n"/>
      <c r="M2250" s="89" t="n"/>
      <c r="N2250" s="1" t="n"/>
      <c r="O2250" s="1" t="n"/>
      <c r="P2250" s="1" t="n"/>
      <c r="Q2250" s="1" t="n"/>
      <c r="R2250" s="1" t="n"/>
    </row>
    <row r="2251">
      <c r="A2251" s="61" t="n"/>
      <c r="B2251" s="16" t="n"/>
      <c r="C2251" s="90" t="n"/>
      <c r="D2251" s="90" t="n"/>
      <c r="E2251" s="90" t="n"/>
      <c r="F2251" s="16" t="n"/>
      <c r="G2251" s="16" t="n"/>
      <c r="H2251" s="63" t="n"/>
      <c r="I2251" s="64" t="n"/>
      <c r="J2251" s="16" t="n"/>
      <c r="K2251" s="16" t="n"/>
      <c r="M2251" s="89" t="n"/>
      <c r="N2251" s="1" t="n"/>
      <c r="O2251" s="1" t="n"/>
      <c r="P2251" s="1" t="n"/>
      <c r="Q2251" s="1" t="n"/>
      <c r="R2251" s="1" t="n"/>
    </row>
    <row r="2252">
      <c r="A2252" s="61" t="n"/>
      <c r="B2252" s="16" t="n"/>
      <c r="C2252" s="90" t="n"/>
      <c r="D2252" s="90" t="n"/>
      <c r="E2252" s="90" t="n"/>
      <c r="F2252" s="16" t="n"/>
      <c r="G2252" s="16" t="n"/>
      <c r="H2252" s="63" t="n"/>
      <c r="I2252" s="64" t="n"/>
      <c r="J2252" s="16" t="n"/>
      <c r="K2252" s="16" t="n"/>
      <c r="M2252" s="89" t="n"/>
      <c r="N2252" s="1" t="n"/>
      <c r="O2252" s="1" t="n"/>
      <c r="P2252" s="1" t="n"/>
      <c r="Q2252" s="1" t="n"/>
      <c r="R2252" s="1" t="n"/>
    </row>
    <row r="2253">
      <c r="A2253" s="61" t="n"/>
      <c r="B2253" s="16" t="n"/>
      <c r="C2253" s="90" t="n"/>
      <c r="D2253" s="90" t="n"/>
      <c r="E2253" s="90" t="n"/>
      <c r="F2253" s="16" t="n"/>
      <c r="G2253" s="16" t="n"/>
      <c r="H2253" s="63" t="n"/>
      <c r="I2253" s="64" t="n"/>
      <c r="J2253" s="16" t="n"/>
      <c r="K2253" s="16" t="n"/>
      <c r="M2253" s="89" t="n"/>
      <c r="N2253" s="1" t="n"/>
      <c r="O2253" s="1" t="n"/>
      <c r="P2253" s="1" t="n"/>
      <c r="Q2253" s="1" t="n"/>
      <c r="R2253" s="1" t="n"/>
    </row>
    <row r="2254">
      <c r="A2254" s="61" t="n"/>
      <c r="B2254" s="16" t="n"/>
      <c r="C2254" s="90" t="n"/>
      <c r="D2254" s="90" t="n"/>
      <c r="E2254" s="90" t="n"/>
      <c r="F2254" s="16" t="n"/>
      <c r="G2254" s="16" t="n"/>
      <c r="H2254" s="63" t="n"/>
      <c r="I2254" s="64" t="n"/>
      <c r="J2254" s="16" t="n"/>
      <c r="K2254" s="16" t="n"/>
      <c r="M2254" s="89" t="n"/>
      <c r="N2254" s="1" t="n"/>
      <c r="O2254" s="1" t="n"/>
      <c r="P2254" s="1" t="n"/>
      <c r="Q2254" s="1" t="n"/>
      <c r="R2254" s="1" t="n"/>
    </row>
    <row r="2255">
      <c r="A2255" s="61" t="n"/>
      <c r="B2255" s="16" t="n"/>
      <c r="C2255" s="90" t="n"/>
      <c r="D2255" s="90" t="n"/>
      <c r="E2255" s="90" t="n"/>
      <c r="F2255" s="16" t="n"/>
      <c r="G2255" s="16" t="n"/>
      <c r="H2255" s="63" t="n"/>
      <c r="I2255" s="64" t="n"/>
      <c r="J2255" s="16" t="n"/>
      <c r="K2255" s="16" t="n"/>
      <c r="M2255" s="89" t="n"/>
      <c r="N2255" s="1" t="n"/>
      <c r="O2255" s="1" t="n"/>
      <c r="P2255" s="1" t="n"/>
      <c r="Q2255" s="1" t="n"/>
      <c r="R2255" s="1" t="n"/>
    </row>
    <row r="2256">
      <c r="A2256" s="61" t="n"/>
      <c r="B2256" s="16" t="n"/>
      <c r="C2256" s="90" t="n"/>
      <c r="D2256" s="90" t="n"/>
      <c r="E2256" s="90" t="n"/>
      <c r="F2256" s="16" t="n"/>
      <c r="G2256" s="16" t="n"/>
      <c r="H2256" s="63" t="n"/>
      <c r="I2256" s="64" t="n"/>
      <c r="J2256" s="16" t="n"/>
      <c r="K2256" s="16" t="n"/>
      <c r="M2256" s="89" t="n"/>
      <c r="N2256" s="1" t="n"/>
      <c r="O2256" s="1" t="n"/>
      <c r="P2256" s="1" t="n"/>
      <c r="Q2256" s="1" t="n"/>
      <c r="R2256" s="1" t="n"/>
    </row>
    <row r="2257">
      <c r="A2257" s="61" t="n"/>
      <c r="B2257" s="16" t="n"/>
      <c r="C2257" s="90" t="n"/>
      <c r="D2257" s="90" t="n"/>
      <c r="E2257" s="90" t="n"/>
      <c r="F2257" s="16" t="n"/>
      <c r="G2257" s="16" t="n"/>
      <c r="H2257" s="63" t="n"/>
      <c r="I2257" s="64" t="n"/>
      <c r="J2257" s="16" t="n"/>
      <c r="K2257" s="16" t="n"/>
      <c r="M2257" s="89" t="n"/>
      <c r="N2257" s="1" t="n"/>
      <c r="O2257" s="1" t="n"/>
      <c r="P2257" s="1" t="n"/>
      <c r="Q2257" s="1" t="n"/>
      <c r="R2257" s="1" t="n"/>
    </row>
    <row r="2258">
      <c r="A2258" s="61" t="n"/>
      <c r="B2258" s="16" t="n"/>
      <c r="C2258" s="90" t="n"/>
      <c r="D2258" s="90" t="n"/>
      <c r="E2258" s="90" t="n"/>
      <c r="F2258" s="16" t="n"/>
      <c r="G2258" s="16" t="n"/>
      <c r="H2258" s="63" t="n"/>
      <c r="I2258" s="64" t="n"/>
      <c r="J2258" s="16" t="n"/>
      <c r="K2258" s="16" t="n"/>
      <c r="M2258" s="89" t="n"/>
      <c r="N2258" s="1" t="n"/>
      <c r="O2258" s="1" t="n"/>
      <c r="P2258" s="1" t="n"/>
      <c r="Q2258" s="1" t="n"/>
      <c r="R2258" s="1" t="n"/>
    </row>
    <row r="2259">
      <c r="A2259" s="61" t="n"/>
      <c r="B2259" s="16" t="n"/>
      <c r="C2259" s="90" t="n"/>
      <c r="D2259" s="90" t="n"/>
      <c r="E2259" s="90" t="n"/>
      <c r="F2259" s="16" t="n"/>
      <c r="G2259" s="16" t="n"/>
      <c r="H2259" s="63" t="n"/>
      <c r="I2259" s="64" t="n"/>
      <c r="J2259" s="16" t="n"/>
      <c r="K2259" s="16" t="n"/>
      <c r="M2259" s="89" t="n"/>
      <c r="N2259" s="1" t="n"/>
      <c r="O2259" s="1" t="n"/>
      <c r="P2259" s="1" t="n"/>
      <c r="Q2259" s="1" t="n"/>
      <c r="R2259" s="1" t="n"/>
    </row>
    <row r="2260">
      <c r="A2260" s="61" t="n"/>
      <c r="B2260" s="16" t="n"/>
      <c r="C2260" s="90" t="n"/>
      <c r="D2260" s="90" t="n"/>
      <c r="E2260" s="90" t="n"/>
      <c r="F2260" s="16" t="n"/>
      <c r="G2260" s="16" t="n"/>
      <c r="H2260" s="63" t="n"/>
      <c r="I2260" s="64" t="n"/>
      <c r="J2260" s="16" t="n"/>
      <c r="K2260" s="16" t="n"/>
      <c r="M2260" s="89" t="n"/>
      <c r="N2260" s="1" t="n"/>
      <c r="O2260" s="1" t="n"/>
      <c r="P2260" s="1" t="n"/>
      <c r="Q2260" s="1" t="n"/>
      <c r="R2260" s="1" t="n"/>
    </row>
    <row r="2261">
      <c r="A2261" s="61" t="n"/>
      <c r="B2261" s="16" t="n"/>
      <c r="C2261" s="90" t="n"/>
      <c r="D2261" s="90" t="n"/>
      <c r="E2261" s="90" t="n"/>
      <c r="F2261" s="16" t="n"/>
      <c r="G2261" s="16" t="n"/>
      <c r="H2261" s="63" t="n"/>
      <c r="I2261" s="64" t="n"/>
      <c r="J2261" s="16" t="n"/>
      <c r="K2261" s="16" t="n"/>
      <c r="M2261" s="89" t="n"/>
      <c r="N2261" s="1" t="n"/>
      <c r="O2261" s="1" t="n"/>
      <c r="P2261" s="1" t="n"/>
      <c r="Q2261" s="1" t="n"/>
      <c r="R2261" s="1" t="n"/>
    </row>
    <row r="2262">
      <c r="A2262" s="61" t="n"/>
      <c r="B2262" s="16" t="n"/>
      <c r="C2262" s="90" t="n"/>
      <c r="D2262" s="90" t="n"/>
      <c r="E2262" s="90" t="n"/>
      <c r="F2262" s="16" t="n"/>
      <c r="G2262" s="16" t="n"/>
      <c r="H2262" s="63" t="n"/>
      <c r="I2262" s="64" t="n"/>
      <c r="J2262" s="16" t="n"/>
      <c r="K2262" s="16" t="n"/>
      <c r="M2262" s="89" t="n"/>
      <c r="N2262" s="1" t="n"/>
      <c r="O2262" s="1" t="n"/>
      <c r="P2262" s="1" t="n"/>
      <c r="Q2262" s="1" t="n"/>
      <c r="R2262" s="1" t="n"/>
    </row>
    <row r="2263">
      <c r="A2263" s="61" t="n"/>
      <c r="B2263" s="16" t="n"/>
      <c r="C2263" s="90" t="n"/>
      <c r="D2263" s="90" t="n"/>
      <c r="E2263" s="90" t="n"/>
      <c r="F2263" s="16" t="n"/>
      <c r="G2263" s="16" t="n"/>
      <c r="H2263" s="63" t="n"/>
      <c r="I2263" s="64" t="n"/>
      <c r="J2263" s="16" t="n"/>
      <c r="K2263" s="16" t="n"/>
      <c r="M2263" s="89" t="n"/>
      <c r="N2263" s="1" t="n"/>
      <c r="O2263" s="1" t="n"/>
      <c r="P2263" s="1" t="n"/>
      <c r="Q2263" s="1" t="n"/>
      <c r="R2263" s="1" t="n"/>
    </row>
    <row r="2264">
      <c r="A2264" s="61" t="n"/>
      <c r="B2264" s="16" t="n"/>
      <c r="C2264" s="90" t="n"/>
      <c r="D2264" s="90" t="n"/>
      <c r="E2264" s="90" t="n"/>
      <c r="F2264" s="16" t="n"/>
      <c r="G2264" s="16" t="n"/>
      <c r="H2264" s="63" t="n"/>
      <c r="I2264" s="64" t="n"/>
      <c r="J2264" s="16" t="n"/>
      <c r="K2264" s="16" t="n"/>
      <c r="M2264" s="89" t="n"/>
      <c r="N2264" s="1" t="n"/>
      <c r="O2264" s="1" t="n"/>
      <c r="P2264" s="1" t="n"/>
      <c r="Q2264" s="1" t="n"/>
      <c r="R2264" s="1" t="n"/>
    </row>
    <row r="2265">
      <c r="A2265" s="61" t="n"/>
      <c r="B2265" s="16" t="n"/>
      <c r="C2265" s="90" t="n"/>
      <c r="D2265" s="90" t="n"/>
      <c r="E2265" s="90" t="n"/>
      <c r="F2265" s="16" t="n"/>
      <c r="G2265" s="16" t="n"/>
      <c r="H2265" s="63" t="n"/>
      <c r="I2265" s="64" t="n"/>
      <c r="J2265" s="16" t="n"/>
      <c r="K2265" s="16" t="n"/>
      <c r="M2265" s="89" t="n"/>
      <c r="N2265" s="1" t="n"/>
      <c r="O2265" s="1" t="n"/>
      <c r="P2265" s="1" t="n"/>
      <c r="Q2265" s="1" t="n"/>
      <c r="R2265" s="1" t="n"/>
    </row>
    <row r="2266">
      <c r="A2266" s="61" t="n"/>
      <c r="B2266" s="16" t="n"/>
      <c r="C2266" s="90" t="n"/>
      <c r="D2266" s="90" t="n"/>
      <c r="E2266" s="90" t="n"/>
      <c r="F2266" s="16" t="n"/>
      <c r="G2266" s="16" t="n"/>
      <c r="H2266" s="63" t="n"/>
      <c r="I2266" s="64" t="n"/>
      <c r="J2266" s="16" t="n"/>
      <c r="K2266" s="16" t="n"/>
      <c r="M2266" s="89" t="n"/>
      <c r="N2266" s="1" t="n"/>
      <c r="O2266" s="1" t="n"/>
      <c r="P2266" s="1" t="n"/>
      <c r="Q2266" s="1" t="n"/>
      <c r="R2266" s="1" t="n"/>
    </row>
    <row r="2267">
      <c r="A2267" s="61" t="n"/>
      <c r="B2267" s="16" t="n"/>
      <c r="C2267" s="90" t="n"/>
      <c r="D2267" s="90" t="n"/>
      <c r="E2267" s="90" t="n"/>
      <c r="F2267" s="16" t="n"/>
      <c r="G2267" s="16" t="n"/>
      <c r="H2267" s="63" t="n"/>
      <c r="I2267" s="64" t="n"/>
      <c r="J2267" s="16" t="n"/>
      <c r="K2267" s="16" t="n"/>
      <c r="M2267" s="89" t="n"/>
      <c r="N2267" s="1" t="n"/>
      <c r="O2267" s="1" t="n"/>
      <c r="P2267" s="1" t="n"/>
      <c r="Q2267" s="1" t="n"/>
      <c r="R2267" s="1" t="n"/>
    </row>
    <row r="2268">
      <c r="A2268" s="61" t="n"/>
      <c r="B2268" s="16" t="n"/>
      <c r="C2268" s="90" t="n"/>
      <c r="D2268" s="90" t="n"/>
      <c r="E2268" s="90" t="n"/>
      <c r="F2268" s="16" t="n"/>
      <c r="G2268" s="16" t="n"/>
      <c r="H2268" s="63" t="n"/>
      <c r="I2268" s="64" t="n"/>
      <c r="J2268" s="16" t="n"/>
      <c r="K2268" s="16" t="n"/>
      <c r="M2268" s="89" t="n"/>
      <c r="N2268" s="1" t="n"/>
      <c r="O2268" s="1" t="n"/>
      <c r="P2268" s="1" t="n"/>
      <c r="Q2268" s="1" t="n"/>
      <c r="R2268" s="1" t="n"/>
    </row>
    <row r="2269">
      <c r="A2269" s="61" t="n"/>
      <c r="B2269" s="16" t="n"/>
      <c r="C2269" s="90" t="n"/>
      <c r="D2269" s="90" t="n"/>
      <c r="E2269" s="90" t="n"/>
      <c r="F2269" s="16" t="n"/>
      <c r="G2269" s="16" t="n"/>
      <c r="H2269" s="63" t="n"/>
      <c r="I2269" s="64" t="n"/>
      <c r="J2269" s="16" t="n"/>
      <c r="K2269" s="16" t="n"/>
      <c r="M2269" s="89" t="n"/>
      <c r="N2269" s="1" t="n"/>
      <c r="O2269" s="1" t="n"/>
      <c r="P2269" s="1" t="n"/>
      <c r="Q2269" s="1" t="n"/>
      <c r="R2269" s="1" t="n"/>
    </row>
    <row r="2270">
      <c r="A2270" s="61" t="n"/>
      <c r="B2270" s="16" t="n"/>
      <c r="C2270" s="90" t="n"/>
      <c r="D2270" s="90" t="n"/>
      <c r="E2270" s="90" t="n"/>
      <c r="F2270" s="16" t="n"/>
      <c r="G2270" s="16" t="n"/>
      <c r="H2270" s="63" t="n"/>
      <c r="I2270" s="64" t="n"/>
      <c r="J2270" s="16" t="n"/>
      <c r="K2270" s="16" t="n"/>
      <c r="M2270" s="89" t="n"/>
      <c r="N2270" s="1" t="n"/>
      <c r="O2270" s="1" t="n"/>
      <c r="P2270" s="1" t="n"/>
      <c r="Q2270" s="1" t="n"/>
      <c r="R2270" s="1" t="n"/>
    </row>
    <row r="2271">
      <c r="A2271" s="61" t="n"/>
      <c r="B2271" s="16" t="n"/>
      <c r="C2271" s="90" t="n"/>
      <c r="D2271" s="90" t="n"/>
      <c r="E2271" s="90" t="n"/>
      <c r="F2271" s="16" t="n"/>
      <c r="G2271" s="16" t="n"/>
      <c r="H2271" s="63" t="n"/>
      <c r="I2271" s="64" t="n"/>
      <c r="J2271" s="16" t="n"/>
      <c r="K2271" s="16" t="n"/>
      <c r="M2271" s="89" t="n"/>
      <c r="N2271" s="1" t="n"/>
      <c r="O2271" s="1" t="n"/>
      <c r="P2271" s="1" t="n"/>
      <c r="Q2271" s="1" t="n"/>
      <c r="R2271" s="1" t="n"/>
    </row>
    <row r="2272">
      <c r="A2272" s="61" t="n"/>
      <c r="B2272" s="16" t="n"/>
      <c r="C2272" s="90" t="n"/>
      <c r="D2272" s="90" t="n"/>
      <c r="E2272" s="90" t="n"/>
      <c r="F2272" s="16" t="n"/>
      <c r="G2272" s="16" t="n"/>
      <c r="H2272" s="63" t="n"/>
      <c r="I2272" s="64" t="n"/>
      <c r="J2272" s="16" t="n"/>
      <c r="K2272" s="16" t="n"/>
      <c r="M2272" s="89" t="n"/>
      <c r="N2272" s="1" t="n"/>
      <c r="O2272" s="1" t="n"/>
      <c r="P2272" s="1" t="n"/>
      <c r="Q2272" s="1" t="n"/>
      <c r="R2272" s="1" t="n"/>
    </row>
    <row r="2273">
      <c r="A2273" s="61" t="n"/>
      <c r="B2273" s="16" t="n"/>
      <c r="C2273" s="90" t="n"/>
      <c r="D2273" s="90" t="n"/>
      <c r="E2273" s="90" t="n"/>
      <c r="F2273" s="16" t="n"/>
      <c r="G2273" s="16" t="n"/>
      <c r="H2273" s="63" t="n"/>
      <c r="I2273" s="64" t="n"/>
      <c r="J2273" s="16" t="n"/>
      <c r="K2273" s="16" t="n"/>
      <c r="M2273" s="89" t="n"/>
      <c r="N2273" s="1" t="n"/>
      <c r="O2273" s="1" t="n"/>
      <c r="P2273" s="1" t="n"/>
      <c r="Q2273" s="1" t="n"/>
      <c r="R2273" s="1" t="n"/>
    </row>
    <row r="2274">
      <c r="A2274" s="61" t="n"/>
      <c r="B2274" s="16" t="n"/>
      <c r="C2274" s="90" t="n"/>
      <c r="D2274" s="90" t="n"/>
      <c r="E2274" s="90" t="n"/>
      <c r="F2274" s="16" t="n"/>
      <c r="G2274" s="16" t="n"/>
      <c r="H2274" s="63" t="n"/>
      <c r="I2274" s="64" t="n"/>
      <c r="J2274" s="16" t="n"/>
      <c r="K2274" s="16" t="n"/>
      <c r="M2274" s="89" t="n"/>
      <c r="N2274" s="1" t="n"/>
      <c r="O2274" s="1" t="n"/>
      <c r="P2274" s="1" t="n"/>
      <c r="Q2274" s="1" t="n"/>
      <c r="R2274" s="1" t="n"/>
    </row>
    <row r="2275">
      <c r="A2275" s="61" t="n"/>
      <c r="B2275" s="16" t="n"/>
      <c r="C2275" s="90" t="n"/>
      <c r="D2275" s="90" t="n"/>
      <c r="E2275" s="90" t="n"/>
      <c r="F2275" s="16" t="n"/>
      <c r="G2275" s="16" t="n"/>
      <c r="H2275" s="63" t="n"/>
      <c r="I2275" s="64" t="n"/>
      <c r="J2275" s="16" t="n"/>
      <c r="K2275" s="16" t="n"/>
      <c r="M2275" s="89" t="n"/>
      <c r="N2275" s="1" t="n"/>
      <c r="O2275" s="1" t="n"/>
      <c r="P2275" s="1" t="n"/>
      <c r="Q2275" s="1" t="n"/>
      <c r="R2275" s="1" t="n"/>
    </row>
    <row r="2276">
      <c r="A2276" s="61" t="n"/>
      <c r="B2276" s="16" t="n"/>
      <c r="C2276" s="90" t="n"/>
      <c r="D2276" s="90" t="n"/>
      <c r="E2276" s="90" t="n"/>
      <c r="F2276" s="16" t="n"/>
      <c r="G2276" s="16" t="n"/>
      <c r="H2276" s="63" t="n"/>
      <c r="I2276" s="64" t="n"/>
      <c r="J2276" s="16" t="n"/>
      <c r="K2276" s="16" t="n"/>
      <c r="M2276" s="89" t="n"/>
      <c r="N2276" s="1" t="n"/>
      <c r="O2276" s="1" t="n"/>
      <c r="P2276" s="1" t="n"/>
      <c r="Q2276" s="1" t="n"/>
      <c r="R2276" s="1" t="n"/>
    </row>
    <row r="2277">
      <c r="A2277" s="61" t="n"/>
      <c r="B2277" s="16" t="n"/>
      <c r="C2277" s="90" t="n"/>
      <c r="D2277" s="90" t="n"/>
      <c r="E2277" s="90" t="n"/>
      <c r="F2277" s="16" t="n"/>
      <c r="G2277" s="16" t="n"/>
      <c r="H2277" s="63" t="n"/>
      <c r="I2277" s="64" t="n"/>
      <c r="J2277" s="16" t="n"/>
      <c r="K2277" s="16" t="n"/>
      <c r="M2277" s="89" t="n"/>
      <c r="N2277" s="1" t="n"/>
      <c r="O2277" s="1" t="n"/>
      <c r="P2277" s="1" t="n"/>
      <c r="Q2277" s="1" t="n"/>
      <c r="R2277" s="1" t="n"/>
    </row>
    <row r="2278">
      <c r="A2278" s="61" t="n"/>
      <c r="B2278" s="16" t="n"/>
      <c r="C2278" s="90" t="n"/>
      <c r="D2278" s="90" t="n"/>
      <c r="E2278" s="90" t="n"/>
      <c r="F2278" s="16" t="n"/>
      <c r="G2278" s="16" t="n"/>
      <c r="H2278" s="63" t="n"/>
      <c r="I2278" s="64" t="n"/>
      <c r="J2278" s="16" t="n"/>
      <c r="K2278" s="16" t="n"/>
      <c r="M2278" s="89" t="n"/>
      <c r="N2278" s="1" t="n"/>
      <c r="O2278" s="1" t="n"/>
      <c r="P2278" s="1" t="n"/>
      <c r="Q2278" s="1" t="n"/>
      <c r="R2278" s="1" t="n"/>
    </row>
    <row r="2279">
      <c r="A2279" s="61" t="n"/>
      <c r="B2279" s="16" t="n"/>
      <c r="C2279" s="90" t="n"/>
      <c r="D2279" s="90" t="n"/>
      <c r="E2279" s="90" t="n"/>
      <c r="F2279" s="16" t="n"/>
      <c r="G2279" s="16" t="n"/>
      <c r="H2279" s="63" t="n"/>
      <c r="I2279" s="64" t="n"/>
      <c r="J2279" s="16" t="n"/>
      <c r="K2279" s="16" t="n"/>
      <c r="M2279" s="89" t="n"/>
      <c r="N2279" s="1" t="n"/>
      <c r="O2279" s="1" t="n"/>
      <c r="P2279" s="1" t="n"/>
      <c r="Q2279" s="1" t="n"/>
      <c r="R2279" s="1" t="n"/>
    </row>
    <row r="2280">
      <c r="A2280" s="61" t="n"/>
      <c r="B2280" s="16" t="n"/>
      <c r="C2280" s="90" t="n"/>
      <c r="D2280" s="90" t="n"/>
      <c r="E2280" s="90" t="n"/>
      <c r="F2280" s="16" t="n"/>
      <c r="G2280" s="16" t="n"/>
      <c r="H2280" s="63" t="n"/>
      <c r="I2280" s="64" t="n"/>
      <c r="J2280" s="16" t="n"/>
      <c r="K2280" s="16" t="n"/>
      <c r="M2280" s="89" t="n"/>
      <c r="N2280" s="1" t="n"/>
      <c r="O2280" s="1" t="n"/>
      <c r="P2280" s="1" t="n"/>
      <c r="Q2280" s="1" t="n"/>
      <c r="R2280" s="1" t="n"/>
    </row>
    <row r="2281">
      <c r="A2281" s="61" t="n"/>
      <c r="B2281" s="16" t="n"/>
      <c r="C2281" s="90" t="n"/>
      <c r="D2281" s="90" t="n"/>
      <c r="E2281" s="90" t="n"/>
      <c r="F2281" s="16" t="n"/>
      <c r="G2281" s="16" t="n"/>
      <c r="H2281" s="63" t="n"/>
      <c r="I2281" s="64" t="n"/>
      <c r="J2281" s="16" t="n"/>
      <c r="K2281" s="16" t="n"/>
      <c r="M2281" s="89" t="n"/>
      <c r="N2281" s="1" t="n"/>
      <c r="O2281" s="1" t="n"/>
      <c r="P2281" s="1" t="n"/>
      <c r="Q2281" s="1" t="n"/>
      <c r="R2281" s="1" t="n"/>
    </row>
    <row r="2282">
      <c r="A2282" s="61" t="n"/>
      <c r="B2282" s="16" t="n"/>
      <c r="C2282" s="90" t="n"/>
      <c r="D2282" s="90" t="n"/>
      <c r="E2282" s="90" t="n"/>
      <c r="F2282" s="16" t="n"/>
      <c r="G2282" s="16" t="n"/>
      <c r="H2282" s="63" t="n"/>
      <c r="I2282" s="64" t="n"/>
      <c r="J2282" s="16" t="n"/>
      <c r="K2282" s="16" t="n"/>
      <c r="M2282" s="89" t="n"/>
      <c r="N2282" s="1" t="n"/>
      <c r="O2282" s="1" t="n"/>
      <c r="P2282" s="1" t="n"/>
      <c r="Q2282" s="1" t="n"/>
      <c r="R2282" s="1" t="n"/>
    </row>
    <row r="2283">
      <c r="A2283" s="61" t="n"/>
      <c r="B2283" s="16" t="n"/>
      <c r="C2283" s="90" t="n"/>
      <c r="D2283" s="90" t="n"/>
      <c r="E2283" s="90" t="n"/>
      <c r="F2283" s="16" t="n"/>
      <c r="G2283" s="16" t="n"/>
      <c r="H2283" s="63" t="n"/>
      <c r="I2283" s="64" t="n"/>
      <c r="J2283" s="16" t="n"/>
      <c r="K2283" s="16" t="n"/>
      <c r="M2283" s="89" t="n"/>
      <c r="N2283" s="1" t="n"/>
      <c r="O2283" s="1" t="n"/>
      <c r="P2283" s="1" t="n"/>
      <c r="Q2283" s="1" t="n"/>
      <c r="R2283" s="1" t="n"/>
    </row>
    <row r="2284">
      <c r="A2284" s="61" t="n"/>
      <c r="B2284" s="16" t="n"/>
      <c r="C2284" s="90" t="n"/>
      <c r="D2284" s="90" t="n"/>
      <c r="E2284" s="90" t="n"/>
      <c r="F2284" s="16" t="n"/>
      <c r="G2284" s="16" t="n"/>
      <c r="H2284" s="63" t="n"/>
      <c r="I2284" s="64" t="n"/>
      <c r="J2284" s="16" t="n"/>
      <c r="K2284" s="16" t="n"/>
      <c r="M2284" s="89" t="n"/>
      <c r="N2284" s="1" t="n"/>
      <c r="O2284" s="1" t="n"/>
      <c r="P2284" s="1" t="n"/>
      <c r="Q2284" s="1" t="n"/>
      <c r="R2284" s="1" t="n"/>
    </row>
    <row r="2285">
      <c r="A2285" s="61" t="n"/>
      <c r="B2285" s="16" t="n"/>
      <c r="C2285" s="90" t="n"/>
      <c r="D2285" s="90" t="n"/>
      <c r="E2285" s="90" t="n"/>
      <c r="F2285" s="16" t="n"/>
      <c r="G2285" s="16" t="n"/>
      <c r="H2285" s="63" t="n"/>
      <c r="I2285" s="64" t="n"/>
      <c r="J2285" s="16" t="n"/>
      <c r="K2285" s="16" t="n"/>
      <c r="M2285" s="89" t="n"/>
      <c r="N2285" s="1" t="n"/>
      <c r="O2285" s="1" t="n"/>
      <c r="P2285" s="1" t="n"/>
      <c r="Q2285" s="1" t="n"/>
      <c r="R2285" s="1" t="n"/>
    </row>
    <row r="2286">
      <c r="A2286" s="61" t="n"/>
      <c r="B2286" s="16" t="n"/>
      <c r="C2286" s="90" t="n"/>
      <c r="D2286" s="90" t="n"/>
      <c r="E2286" s="90" t="n"/>
      <c r="F2286" s="16" t="n"/>
      <c r="G2286" s="16" t="n"/>
      <c r="H2286" s="63" t="n"/>
      <c r="I2286" s="64" t="n"/>
      <c r="J2286" s="16" t="n"/>
      <c r="K2286" s="16" t="n"/>
      <c r="M2286" s="89" t="n"/>
      <c r="N2286" s="1" t="n"/>
      <c r="O2286" s="1" t="n"/>
      <c r="P2286" s="1" t="n"/>
      <c r="Q2286" s="1" t="n"/>
      <c r="R2286" s="1" t="n"/>
    </row>
    <row r="2287">
      <c r="A2287" s="61" t="n"/>
      <c r="B2287" s="16" t="n"/>
      <c r="C2287" s="90" t="n"/>
      <c r="D2287" s="90" t="n"/>
      <c r="E2287" s="90" t="n"/>
      <c r="F2287" s="16" t="n"/>
      <c r="G2287" s="16" t="n"/>
      <c r="H2287" s="63" t="n"/>
      <c r="I2287" s="64" t="n"/>
      <c r="J2287" s="16" t="n"/>
      <c r="K2287" s="16" t="n"/>
      <c r="M2287" s="89" t="n"/>
      <c r="N2287" s="1" t="n"/>
      <c r="O2287" s="1" t="n"/>
      <c r="P2287" s="1" t="n"/>
      <c r="Q2287" s="1" t="n"/>
      <c r="R2287" s="1" t="n"/>
    </row>
    <row r="2288">
      <c r="A2288" s="61" t="n"/>
      <c r="B2288" s="16" t="n"/>
      <c r="C2288" s="90" t="n"/>
      <c r="D2288" s="90" t="n"/>
      <c r="E2288" s="90" t="n"/>
      <c r="F2288" s="16" t="n"/>
      <c r="G2288" s="16" t="n"/>
      <c r="H2288" s="63" t="n"/>
      <c r="I2288" s="64" t="n"/>
      <c r="J2288" s="16" t="n"/>
      <c r="K2288" s="16" t="n"/>
      <c r="M2288" s="89" t="n"/>
      <c r="N2288" s="1" t="n"/>
      <c r="O2288" s="1" t="n"/>
      <c r="P2288" s="1" t="n"/>
      <c r="Q2288" s="1" t="n"/>
      <c r="R2288" s="1" t="n"/>
    </row>
    <row r="2289">
      <c r="A2289" s="61" t="n"/>
      <c r="B2289" s="16" t="n"/>
      <c r="C2289" s="90" t="n"/>
      <c r="D2289" s="90" t="n"/>
      <c r="E2289" s="90" t="n"/>
      <c r="F2289" s="16" t="n"/>
      <c r="G2289" s="16" t="n"/>
      <c r="H2289" s="63" t="n"/>
      <c r="I2289" s="64" t="n"/>
      <c r="J2289" s="16" t="n"/>
      <c r="K2289" s="16" t="n"/>
      <c r="M2289" s="89" t="n"/>
      <c r="N2289" s="1" t="n"/>
      <c r="O2289" s="1" t="n"/>
      <c r="P2289" s="1" t="n"/>
      <c r="Q2289" s="1" t="n"/>
      <c r="R2289" s="1" t="n"/>
    </row>
    <row r="2290">
      <c r="A2290" s="61" t="n"/>
      <c r="B2290" s="16" t="n"/>
      <c r="C2290" s="90" t="n"/>
      <c r="D2290" s="90" t="n"/>
      <c r="E2290" s="90" t="n"/>
      <c r="F2290" s="16" t="n"/>
      <c r="G2290" s="16" t="n"/>
      <c r="H2290" s="63" t="n"/>
      <c r="I2290" s="64" t="n"/>
      <c r="J2290" s="16" t="n"/>
      <c r="K2290" s="16" t="n"/>
      <c r="M2290" s="89" t="n"/>
      <c r="N2290" s="1" t="n"/>
      <c r="O2290" s="1" t="n"/>
      <c r="P2290" s="1" t="n"/>
      <c r="Q2290" s="1" t="n"/>
      <c r="R2290" s="1" t="n"/>
    </row>
    <row r="2291">
      <c r="A2291" s="61" t="n"/>
      <c r="B2291" s="16" t="n"/>
      <c r="C2291" s="90" t="n"/>
      <c r="D2291" s="90" t="n"/>
      <c r="E2291" s="90" t="n"/>
      <c r="F2291" s="16" t="n"/>
      <c r="G2291" s="16" t="n"/>
      <c r="H2291" s="63" t="n"/>
      <c r="I2291" s="64" t="n"/>
      <c r="J2291" s="16" t="n"/>
      <c r="K2291" s="16" t="n"/>
      <c r="M2291" s="89" t="n"/>
      <c r="N2291" s="1" t="n"/>
      <c r="O2291" s="1" t="n"/>
      <c r="P2291" s="1" t="n"/>
      <c r="Q2291" s="1" t="n"/>
      <c r="R2291" s="1" t="n"/>
    </row>
    <row r="2292">
      <c r="A2292" s="61" t="n"/>
      <c r="B2292" s="16" t="n"/>
      <c r="C2292" s="90" t="n"/>
      <c r="D2292" s="90" t="n"/>
      <c r="E2292" s="90" t="n"/>
      <c r="F2292" s="16" t="n"/>
      <c r="G2292" s="16" t="n"/>
      <c r="H2292" s="63" t="n"/>
      <c r="I2292" s="64" t="n"/>
      <c r="J2292" s="16" t="n"/>
      <c r="K2292" s="16" t="n"/>
      <c r="M2292" s="89" t="n"/>
      <c r="N2292" s="1" t="n"/>
      <c r="O2292" s="1" t="n"/>
      <c r="P2292" s="1" t="n"/>
      <c r="Q2292" s="1" t="n"/>
      <c r="R2292" s="1" t="n"/>
    </row>
    <row r="2293">
      <c r="A2293" s="61" t="n"/>
      <c r="B2293" s="16" t="n"/>
      <c r="C2293" s="90" t="n"/>
      <c r="D2293" s="90" t="n"/>
      <c r="E2293" s="90" t="n"/>
      <c r="F2293" s="16" t="n"/>
      <c r="G2293" s="16" t="n"/>
      <c r="H2293" s="63" t="n"/>
      <c r="I2293" s="64" t="n"/>
      <c r="J2293" s="16" t="n"/>
      <c r="K2293" s="16" t="n"/>
      <c r="M2293" s="89" t="n"/>
      <c r="N2293" s="1" t="n"/>
      <c r="O2293" s="1" t="n"/>
      <c r="P2293" s="1" t="n"/>
      <c r="Q2293" s="1" t="n"/>
      <c r="R2293" s="1" t="n"/>
    </row>
    <row r="2294">
      <c r="A2294" s="61" t="n"/>
      <c r="B2294" s="16" t="n"/>
      <c r="C2294" s="90" t="n"/>
      <c r="D2294" s="90" t="n"/>
      <c r="E2294" s="90" t="n"/>
      <c r="F2294" s="16" t="n"/>
      <c r="G2294" s="16" t="n"/>
      <c r="H2294" s="63" t="n"/>
      <c r="I2294" s="64" t="n"/>
      <c r="J2294" s="16" t="n"/>
      <c r="K2294" s="16" t="n"/>
      <c r="M2294" s="89" t="n"/>
      <c r="N2294" s="1" t="n"/>
      <c r="O2294" s="1" t="n"/>
      <c r="P2294" s="1" t="n"/>
      <c r="Q2294" s="1" t="n"/>
      <c r="R2294" s="1" t="n"/>
    </row>
    <row r="2295">
      <c r="A2295" s="61" t="n"/>
      <c r="B2295" s="16" t="n"/>
      <c r="C2295" s="90" t="n"/>
      <c r="D2295" s="90" t="n"/>
      <c r="E2295" s="90" t="n"/>
      <c r="F2295" s="16" t="n"/>
      <c r="G2295" s="16" t="n"/>
      <c r="H2295" s="63" t="n"/>
      <c r="I2295" s="64" t="n"/>
      <c r="J2295" s="16" t="n"/>
      <c r="K2295" s="16" t="n"/>
      <c r="M2295" s="89" t="n"/>
      <c r="N2295" s="1" t="n"/>
      <c r="O2295" s="1" t="n"/>
      <c r="P2295" s="1" t="n"/>
      <c r="Q2295" s="1" t="n"/>
      <c r="R2295" s="1" t="n"/>
    </row>
    <row r="2296">
      <c r="A2296" s="61" t="n"/>
      <c r="B2296" s="16" t="n"/>
      <c r="C2296" s="90" t="n"/>
      <c r="D2296" s="90" t="n"/>
      <c r="E2296" s="90" t="n"/>
      <c r="F2296" s="16" t="n"/>
      <c r="G2296" s="16" t="n"/>
      <c r="H2296" s="63" t="n"/>
      <c r="I2296" s="64" t="n"/>
      <c r="J2296" s="16" t="n"/>
      <c r="K2296" s="16" t="n"/>
      <c r="M2296" s="89" t="n"/>
      <c r="N2296" s="1" t="n"/>
      <c r="O2296" s="1" t="n"/>
      <c r="P2296" s="1" t="n"/>
      <c r="Q2296" s="1" t="n"/>
      <c r="R2296" s="1" t="n"/>
    </row>
    <row r="2297">
      <c r="A2297" s="61" t="n"/>
      <c r="B2297" s="16" t="n"/>
      <c r="C2297" s="90" t="n"/>
      <c r="D2297" s="90" t="n"/>
      <c r="E2297" s="90" t="n"/>
      <c r="F2297" s="16" t="n"/>
      <c r="G2297" s="16" t="n"/>
      <c r="H2297" s="63" t="n"/>
      <c r="I2297" s="64" t="n"/>
      <c r="J2297" s="16" t="n"/>
      <c r="K2297" s="16" t="n"/>
      <c r="M2297" s="89" t="n"/>
      <c r="N2297" s="1" t="n"/>
      <c r="O2297" s="1" t="n"/>
      <c r="P2297" s="1" t="n"/>
      <c r="Q2297" s="1" t="n"/>
      <c r="R2297" s="1" t="n"/>
    </row>
    <row r="2298">
      <c r="A2298" s="61" t="n"/>
      <c r="B2298" s="16" t="n"/>
      <c r="C2298" s="90" t="n"/>
      <c r="D2298" s="90" t="n"/>
      <c r="E2298" s="90" t="n"/>
      <c r="F2298" s="16" t="n"/>
      <c r="G2298" s="16" t="n"/>
      <c r="H2298" s="63" t="n"/>
      <c r="I2298" s="64" t="n"/>
      <c r="J2298" s="16" t="n"/>
      <c r="K2298" s="16" t="n"/>
      <c r="M2298" s="89" t="n"/>
      <c r="N2298" s="1" t="n"/>
      <c r="O2298" s="1" t="n"/>
      <c r="P2298" s="1" t="n"/>
      <c r="Q2298" s="1" t="n"/>
      <c r="R2298" s="1" t="n"/>
    </row>
    <row r="2299">
      <c r="A2299" s="61" t="n"/>
      <c r="B2299" s="16" t="n"/>
      <c r="C2299" s="90" t="n"/>
      <c r="D2299" s="90" t="n"/>
      <c r="E2299" s="90" t="n"/>
      <c r="F2299" s="16" t="n"/>
      <c r="G2299" s="16" t="n"/>
      <c r="H2299" s="63" t="n"/>
      <c r="I2299" s="64" t="n"/>
      <c r="J2299" s="16" t="n"/>
      <c r="K2299" s="16" t="n"/>
      <c r="M2299" s="89" t="n"/>
      <c r="N2299" s="1" t="n"/>
      <c r="O2299" s="1" t="n"/>
      <c r="P2299" s="1" t="n"/>
      <c r="Q2299" s="1" t="n"/>
      <c r="R2299" s="1" t="n"/>
    </row>
    <row r="2300">
      <c r="A2300" s="61" t="n"/>
      <c r="B2300" s="16" t="n"/>
      <c r="C2300" s="90" t="n"/>
      <c r="D2300" s="90" t="n"/>
      <c r="E2300" s="90" t="n"/>
      <c r="F2300" s="16" t="n"/>
      <c r="G2300" s="16" t="n"/>
      <c r="H2300" s="63" t="n"/>
      <c r="I2300" s="64" t="n"/>
      <c r="J2300" s="16" t="n"/>
      <c r="K2300" s="16" t="n"/>
      <c r="M2300" s="89" t="n"/>
      <c r="N2300" s="1" t="n"/>
      <c r="O2300" s="1" t="n"/>
      <c r="P2300" s="1" t="n"/>
      <c r="Q2300" s="1" t="n"/>
      <c r="R2300" s="1" t="n"/>
    </row>
    <row r="2301">
      <c r="A2301" s="61" t="n"/>
      <c r="B2301" s="16" t="n"/>
      <c r="C2301" s="90" t="n"/>
      <c r="D2301" s="90" t="n"/>
      <c r="E2301" s="90" t="n"/>
      <c r="F2301" s="16" t="n"/>
      <c r="G2301" s="16" t="n"/>
      <c r="H2301" s="63" t="n"/>
      <c r="I2301" s="64" t="n"/>
      <c r="J2301" s="16" t="n"/>
      <c r="K2301" s="16" t="n"/>
      <c r="M2301" s="89" t="n"/>
      <c r="N2301" s="1" t="n"/>
      <c r="O2301" s="1" t="n"/>
      <c r="P2301" s="1" t="n"/>
      <c r="Q2301" s="1" t="n"/>
      <c r="R2301" s="1" t="n"/>
    </row>
    <row r="2302">
      <c r="A2302" s="61" t="n"/>
      <c r="B2302" s="16" t="n"/>
      <c r="C2302" s="90" t="n"/>
      <c r="D2302" s="90" t="n"/>
      <c r="E2302" s="90" t="n"/>
      <c r="F2302" s="16" t="n"/>
      <c r="G2302" s="16" t="n"/>
      <c r="H2302" s="63" t="n"/>
      <c r="I2302" s="64" t="n"/>
      <c r="J2302" s="16" t="n"/>
      <c r="K2302" s="16" t="n"/>
      <c r="M2302" s="89" t="n"/>
      <c r="N2302" s="1" t="n"/>
      <c r="O2302" s="1" t="n"/>
      <c r="P2302" s="1" t="n"/>
      <c r="Q2302" s="1" t="n"/>
      <c r="R2302" s="1" t="n"/>
    </row>
    <row r="2303">
      <c r="A2303" s="61" t="n"/>
      <c r="B2303" s="16" t="n"/>
      <c r="C2303" s="90" t="n"/>
      <c r="D2303" s="90" t="n"/>
      <c r="E2303" s="90" t="n"/>
      <c r="F2303" s="16" t="n"/>
      <c r="G2303" s="16" t="n"/>
      <c r="H2303" s="63" t="n"/>
      <c r="I2303" s="64" t="n"/>
      <c r="J2303" s="16" t="n"/>
      <c r="K2303" s="16" t="n"/>
      <c r="M2303" s="89" t="n"/>
      <c r="N2303" s="1" t="n"/>
      <c r="O2303" s="1" t="n"/>
      <c r="P2303" s="1" t="n"/>
      <c r="Q2303" s="1" t="n"/>
      <c r="R2303" s="1" t="n"/>
    </row>
    <row r="2304">
      <c r="A2304" s="61" t="n"/>
      <c r="B2304" s="16" t="n"/>
      <c r="C2304" s="90" t="n"/>
      <c r="D2304" s="90" t="n"/>
      <c r="E2304" s="90" t="n"/>
      <c r="F2304" s="16" t="n"/>
      <c r="G2304" s="16" t="n"/>
      <c r="H2304" s="63" t="n"/>
      <c r="I2304" s="64" t="n"/>
      <c r="J2304" s="16" t="n"/>
      <c r="K2304" s="16" t="n"/>
      <c r="M2304" s="89" t="n"/>
      <c r="N2304" s="1" t="n"/>
      <c r="O2304" s="1" t="n"/>
      <c r="P2304" s="1" t="n"/>
      <c r="Q2304" s="1" t="n"/>
      <c r="R2304" s="1" t="n"/>
    </row>
    <row r="2305">
      <c r="A2305" s="61" t="n"/>
      <c r="B2305" s="16" t="n"/>
      <c r="C2305" s="90" t="n"/>
      <c r="D2305" s="90" t="n"/>
      <c r="E2305" s="90" t="n"/>
      <c r="F2305" s="16" t="n"/>
      <c r="G2305" s="16" t="n"/>
      <c r="H2305" s="63" t="n"/>
      <c r="I2305" s="64" t="n"/>
      <c r="J2305" s="16" t="n"/>
      <c r="K2305" s="16" t="n"/>
      <c r="M2305" s="89" t="n"/>
      <c r="N2305" s="1" t="n"/>
      <c r="O2305" s="1" t="n"/>
      <c r="P2305" s="1" t="n"/>
      <c r="Q2305" s="1" t="n"/>
      <c r="R2305" s="1" t="n"/>
    </row>
    <row r="2306">
      <c r="A2306" s="61" t="n"/>
      <c r="B2306" s="16" t="n"/>
      <c r="C2306" s="90" t="n"/>
      <c r="D2306" s="90" t="n"/>
      <c r="E2306" s="90" t="n"/>
      <c r="F2306" s="16" t="n"/>
      <c r="G2306" s="16" t="n"/>
      <c r="H2306" s="63" t="n"/>
      <c r="I2306" s="64" t="n"/>
      <c r="J2306" s="16" t="n"/>
      <c r="K2306" s="16" t="n"/>
      <c r="M2306" s="89" t="n"/>
      <c r="N2306" s="1" t="n"/>
      <c r="O2306" s="1" t="n"/>
      <c r="P2306" s="1" t="n"/>
      <c r="Q2306" s="1" t="n"/>
      <c r="R2306" s="1" t="n"/>
    </row>
    <row r="2307">
      <c r="A2307" s="61" t="n"/>
      <c r="B2307" s="16" t="n"/>
      <c r="C2307" s="90" t="n"/>
      <c r="D2307" s="90" t="n"/>
      <c r="E2307" s="90" t="n"/>
      <c r="F2307" s="16" t="n"/>
      <c r="G2307" s="16" t="n"/>
      <c r="H2307" s="63" t="n"/>
      <c r="I2307" s="64" t="n"/>
      <c r="J2307" s="16" t="n"/>
      <c r="K2307" s="16" t="n"/>
      <c r="M2307" s="89" t="n"/>
      <c r="N2307" s="1" t="n"/>
      <c r="O2307" s="1" t="n"/>
      <c r="P2307" s="1" t="n"/>
      <c r="Q2307" s="1" t="n"/>
      <c r="R2307" s="1" t="n"/>
    </row>
    <row r="2308">
      <c r="A2308" s="61" t="n"/>
      <c r="B2308" s="16" t="n"/>
      <c r="C2308" s="90" t="n"/>
      <c r="D2308" s="90" t="n"/>
      <c r="E2308" s="90" t="n"/>
      <c r="F2308" s="16" t="n"/>
      <c r="G2308" s="16" t="n"/>
      <c r="H2308" s="63" t="n"/>
      <c r="I2308" s="64" t="n"/>
      <c r="J2308" s="16" t="n"/>
      <c r="K2308" s="16" t="n"/>
      <c r="M2308" s="89" t="n"/>
      <c r="N2308" s="1" t="n"/>
      <c r="O2308" s="1" t="n"/>
      <c r="P2308" s="1" t="n"/>
      <c r="Q2308" s="1" t="n"/>
      <c r="R2308" s="1" t="n"/>
    </row>
    <row r="2309">
      <c r="A2309" s="61" t="n"/>
      <c r="B2309" s="16" t="n"/>
      <c r="C2309" s="90" t="n"/>
      <c r="D2309" s="90" t="n"/>
      <c r="E2309" s="90" t="n"/>
      <c r="F2309" s="16" t="n"/>
      <c r="G2309" s="16" t="n"/>
      <c r="H2309" s="63" t="n"/>
      <c r="I2309" s="64" t="n"/>
      <c r="J2309" s="16" t="n"/>
      <c r="K2309" s="16" t="n"/>
      <c r="M2309" s="89" t="n"/>
      <c r="N2309" s="1" t="n"/>
      <c r="O2309" s="1" t="n"/>
      <c r="P2309" s="1" t="n"/>
      <c r="Q2309" s="1" t="n"/>
      <c r="R2309" s="1" t="n"/>
    </row>
    <row r="2310">
      <c r="A2310" s="61" t="n"/>
      <c r="B2310" s="16" t="n"/>
      <c r="C2310" s="90" t="n"/>
      <c r="D2310" s="90" t="n"/>
      <c r="E2310" s="90" t="n"/>
      <c r="F2310" s="16" t="n"/>
      <c r="G2310" s="16" t="n"/>
      <c r="H2310" s="63" t="n"/>
      <c r="I2310" s="64" t="n"/>
      <c r="J2310" s="16" t="n"/>
      <c r="K2310" s="16" t="n"/>
      <c r="M2310" s="89" t="n"/>
      <c r="N2310" s="1" t="n"/>
      <c r="O2310" s="1" t="n"/>
      <c r="P2310" s="1" t="n"/>
      <c r="Q2310" s="1" t="n"/>
      <c r="R2310" s="1" t="n"/>
    </row>
    <row r="2311">
      <c r="A2311" s="61" t="n"/>
      <c r="B2311" s="16" t="n"/>
      <c r="C2311" s="90" t="n"/>
      <c r="D2311" s="90" t="n"/>
      <c r="E2311" s="90" t="n"/>
      <c r="F2311" s="16" t="n"/>
      <c r="G2311" s="16" t="n"/>
      <c r="H2311" s="63" t="n"/>
      <c r="I2311" s="64" t="n"/>
      <c r="J2311" s="16" t="n"/>
      <c r="K2311" s="16" t="n"/>
      <c r="M2311" s="89" t="n"/>
      <c r="N2311" s="1" t="n"/>
      <c r="O2311" s="1" t="n"/>
      <c r="P2311" s="1" t="n"/>
      <c r="Q2311" s="1" t="n"/>
      <c r="R2311" s="1" t="n"/>
    </row>
    <row r="2312">
      <c r="A2312" s="61" t="n"/>
      <c r="B2312" s="16" t="n"/>
      <c r="C2312" s="90" t="n"/>
      <c r="D2312" s="90" t="n"/>
      <c r="E2312" s="90" t="n"/>
      <c r="F2312" s="16" t="n"/>
      <c r="G2312" s="16" t="n"/>
      <c r="H2312" s="63" t="n"/>
      <c r="I2312" s="64" t="n"/>
      <c r="J2312" s="16" t="n"/>
      <c r="K2312" s="16" t="n"/>
      <c r="M2312" s="89" t="n"/>
      <c r="N2312" s="1" t="n"/>
      <c r="O2312" s="1" t="n"/>
      <c r="P2312" s="1" t="n"/>
      <c r="Q2312" s="1" t="n"/>
      <c r="R2312" s="1" t="n"/>
    </row>
    <row r="2313">
      <c r="A2313" s="61" t="n"/>
      <c r="B2313" s="16" t="n"/>
      <c r="C2313" s="90" t="n"/>
      <c r="D2313" s="90" t="n"/>
      <c r="E2313" s="90" t="n"/>
      <c r="F2313" s="16" t="n"/>
      <c r="G2313" s="16" t="n"/>
      <c r="H2313" s="63" t="n"/>
      <c r="I2313" s="64" t="n"/>
      <c r="J2313" s="16" t="n"/>
      <c r="K2313" s="16" t="n"/>
      <c r="M2313" s="89" t="n"/>
      <c r="N2313" s="1" t="n"/>
      <c r="O2313" s="1" t="n"/>
      <c r="P2313" s="1" t="n"/>
      <c r="Q2313" s="1" t="n"/>
      <c r="R2313" s="1" t="n"/>
    </row>
    <row r="2314">
      <c r="A2314" s="61" t="n"/>
      <c r="B2314" s="16" t="n"/>
      <c r="C2314" s="90" t="n"/>
      <c r="D2314" s="90" t="n"/>
      <c r="E2314" s="90" t="n"/>
      <c r="F2314" s="16" t="n"/>
      <c r="G2314" s="16" t="n"/>
      <c r="H2314" s="63" t="n"/>
      <c r="I2314" s="64" t="n"/>
      <c r="J2314" s="16" t="n"/>
      <c r="K2314" s="16" t="n"/>
      <c r="M2314" s="89" t="n"/>
      <c r="N2314" s="1" t="n"/>
      <c r="O2314" s="1" t="n"/>
      <c r="P2314" s="1" t="n"/>
      <c r="Q2314" s="1" t="n"/>
      <c r="R2314" s="1" t="n"/>
    </row>
    <row r="2315">
      <c r="A2315" s="61" t="n"/>
      <c r="B2315" s="16" t="n"/>
      <c r="C2315" s="90" t="n"/>
      <c r="D2315" s="90" t="n"/>
      <c r="E2315" s="90" t="n"/>
      <c r="F2315" s="16" t="n"/>
      <c r="G2315" s="16" t="n"/>
      <c r="H2315" s="63" t="n"/>
      <c r="I2315" s="64" t="n"/>
      <c r="J2315" s="16" t="n"/>
      <c r="K2315" s="16" t="n"/>
      <c r="M2315" s="89" t="n"/>
      <c r="N2315" s="1" t="n"/>
      <c r="O2315" s="1" t="n"/>
      <c r="P2315" s="1" t="n"/>
      <c r="Q2315" s="1" t="n"/>
      <c r="R2315" s="1" t="n"/>
    </row>
    <row r="2316">
      <c r="A2316" s="61" t="n"/>
      <c r="B2316" s="16" t="n"/>
      <c r="C2316" s="90" t="n"/>
      <c r="D2316" s="90" t="n"/>
      <c r="E2316" s="90" t="n"/>
      <c r="F2316" s="16" t="n"/>
      <c r="G2316" s="16" t="n"/>
      <c r="H2316" s="63" t="n"/>
      <c r="I2316" s="64" t="n"/>
      <c r="J2316" s="16" t="n"/>
      <c r="K2316" s="16" t="n"/>
      <c r="M2316" s="89" t="n"/>
      <c r="N2316" s="1" t="n"/>
      <c r="O2316" s="1" t="n"/>
      <c r="P2316" s="1" t="n"/>
      <c r="Q2316" s="1" t="n"/>
      <c r="R2316" s="1" t="n"/>
    </row>
    <row r="2317">
      <c r="A2317" s="61" t="n"/>
      <c r="B2317" s="16" t="n"/>
      <c r="C2317" s="90" t="n"/>
      <c r="D2317" s="90" t="n"/>
      <c r="E2317" s="90" t="n"/>
      <c r="F2317" s="16" t="n"/>
      <c r="G2317" s="16" t="n"/>
      <c r="H2317" s="63" t="n"/>
      <c r="I2317" s="64" t="n"/>
      <c r="J2317" s="16" t="n"/>
      <c r="K2317" s="16" t="n"/>
      <c r="M2317" s="89" t="n"/>
      <c r="N2317" s="1" t="n"/>
      <c r="O2317" s="1" t="n"/>
      <c r="P2317" s="1" t="n"/>
      <c r="Q2317" s="1" t="n"/>
      <c r="R2317" s="1" t="n"/>
    </row>
    <row r="2318">
      <c r="A2318" s="61" t="n"/>
      <c r="B2318" s="16" t="n"/>
      <c r="C2318" s="90" t="n"/>
      <c r="D2318" s="90" t="n"/>
      <c r="E2318" s="90" t="n"/>
      <c r="F2318" s="16" t="n"/>
      <c r="G2318" s="16" t="n"/>
      <c r="H2318" s="63" t="n"/>
      <c r="I2318" s="64" t="n"/>
      <c r="J2318" s="16" t="n"/>
      <c r="K2318" s="16" t="n"/>
      <c r="M2318" s="89" t="n"/>
      <c r="N2318" s="1" t="n"/>
      <c r="O2318" s="1" t="n"/>
      <c r="P2318" s="1" t="n"/>
      <c r="Q2318" s="1" t="n"/>
      <c r="R2318" s="1" t="n"/>
    </row>
    <row r="2319">
      <c r="A2319" s="61" t="n"/>
      <c r="B2319" s="16" t="n"/>
      <c r="C2319" s="90" t="n"/>
      <c r="D2319" s="90" t="n"/>
      <c r="E2319" s="90" t="n"/>
      <c r="F2319" s="16" t="n"/>
      <c r="G2319" s="16" t="n"/>
      <c r="H2319" s="63" t="n"/>
      <c r="I2319" s="64" t="n"/>
      <c r="J2319" s="16" t="n"/>
      <c r="K2319" s="16" t="n"/>
      <c r="M2319" s="89" t="n"/>
      <c r="N2319" s="1" t="n"/>
      <c r="O2319" s="1" t="n"/>
      <c r="P2319" s="1" t="n"/>
      <c r="Q2319" s="1" t="n"/>
      <c r="R2319" s="1" t="n"/>
    </row>
    <row r="2320">
      <c r="A2320" s="61" t="n"/>
      <c r="B2320" s="16" t="n"/>
      <c r="C2320" s="90" t="n"/>
      <c r="D2320" s="90" t="n"/>
      <c r="E2320" s="90" t="n"/>
      <c r="F2320" s="16" t="n"/>
      <c r="G2320" s="16" t="n"/>
      <c r="H2320" s="63" t="n"/>
      <c r="I2320" s="64" t="n"/>
      <c r="J2320" s="16" t="n"/>
      <c r="K2320" s="16" t="n"/>
      <c r="M2320" s="89" t="n"/>
      <c r="N2320" s="1" t="n"/>
      <c r="O2320" s="1" t="n"/>
      <c r="P2320" s="1" t="n"/>
      <c r="Q2320" s="1" t="n"/>
      <c r="R2320" s="1" t="n"/>
    </row>
    <row r="2321">
      <c r="A2321" s="61" t="n"/>
      <c r="B2321" s="16" t="n"/>
      <c r="C2321" s="90" t="n"/>
      <c r="D2321" s="90" t="n"/>
      <c r="E2321" s="90" t="n"/>
      <c r="F2321" s="16" t="n"/>
      <c r="G2321" s="16" t="n"/>
      <c r="H2321" s="63" t="n"/>
      <c r="I2321" s="64" t="n"/>
      <c r="J2321" s="16" t="n"/>
      <c r="K2321" s="16" t="n"/>
      <c r="M2321" s="89" t="n"/>
      <c r="N2321" s="1" t="n"/>
      <c r="O2321" s="1" t="n"/>
      <c r="P2321" s="1" t="n"/>
      <c r="Q2321" s="1" t="n"/>
      <c r="R2321" s="1" t="n"/>
    </row>
    <row r="2322">
      <c r="A2322" s="61" t="n"/>
      <c r="B2322" s="16" t="n"/>
      <c r="C2322" s="90" t="n"/>
      <c r="D2322" s="90" t="n"/>
      <c r="E2322" s="90" t="n"/>
      <c r="F2322" s="16" t="n"/>
      <c r="G2322" s="16" t="n"/>
      <c r="H2322" s="63" t="n"/>
      <c r="I2322" s="64" t="n"/>
      <c r="J2322" s="16" t="n"/>
      <c r="K2322" s="16" t="n"/>
      <c r="M2322" s="89" t="n"/>
      <c r="N2322" s="1" t="n"/>
      <c r="O2322" s="1" t="n"/>
      <c r="P2322" s="1" t="n"/>
      <c r="Q2322" s="1" t="n"/>
      <c r="R2322" s="1" t="n"/>
    </row>
    <row r="2323">
      <c r="A2323" s="61" t="n"/>
      <c r="B2323" s="16" t="n"/>
      <c r="C2323" s="90" t="n"/>
      <c r="D2323" s="90" t="n"/>
      <c r="E2323" s="90" t="n"/>
      <c r="F2323" s="16" t="n"/>
      <c r="G2323" s="16" t="n"/>
      <c r="H2323" s="63" t="n"/>
      <c r="I2323" s="64" t="n"/>
      <c r="J2323" s="16" t="n"/>
      <c r="K2323" s="16" t="n"/>
      <c r="M2323" s="89" t="n"/>
      <c r="N2323" s="1" t="n"/>
      <c r="O2323" s="1" t="n"/>
      <c r="P2323" s="1" t="n"/>
      <c r="Q2323" s="1" t="n"/>
      <c r="R2323" s="1" t="n"/>
    </row>
    <row r="2324">
      <c r="A2324" s="61" t="n"/>
      <c r="B2324" s="16" t="n"/>
      <c r="C2324" s="90" t="n"/>
      <c r="D2324" s="90" t="n"/>
      <c r="E2324" s="90" t="n"/>
      <c r="F2324" s="16" t="n"/>
      <c r="G2324" s="16" t="n"/>
      <c r="H2324" s="63" t="n"/>
      <c r="I2324" s="64" t="n"/>
      <c r="J2324" s="16" t="n"/>
      <c r="K2324" s="16" t="n"/>
      <c r="M2324" s="89" t="n"/>
      <c r="N2324" s="1" t="n"/>
      <c r="O2324" s="1" t="n"/>
      <c r="P2324" s="1" t="n"/>
      <c r="Q2324" s="1" t="n"/>
      <c r="R2324" s="1" t="n"/>
    </row>
    <row r="2325">
      <c r="A2325" s="61" t="n"/>
      <c r="B2325" s="16" t="n"/>
      <c r="C2325" s="90" t="n"/>
      <c r="D2325" s="90" t="n"/>
      <c r="E2325" s="90" t="n"/>
      <c r="F2325" s="16" t="n"/>
      <c r="G2325" s="16" t="n"/>
      <c r="H2325" s="63" t="n"/>
      <c r="I2325" s="64" t="n"/>
      <c r="J2325" s="16" t="n"/>
      <c r="K2325" s="16" t="n"/>
      <c r="M2325" s="89" t="n"/>
      <c r="N2325" s="1" t="n"/>
      <c r="O2325" s="1" t="n"/>
      <c r="P2325" s="1" t="n"/>
      <c r="Q2325" s="1" t="n"/>
      <c r="R2325" s="1" t="n"/>
    </row>
    <row r="2326">
      <c r="A2326" s="61" t="n"/>
      <c r="B2326" s="16" t="n"/>
      <c r="C2326" s="90" t="n"/>
      <c r="D2326" s="90" t="n"/>
      <c r="E2326" s="90" t="n"/>
      <c r="F2326" s="16" t="n"/>
      <c r="G2326" s="16" t="n"/>
      <c r="H2326" s="63" t="n"/>
      <c r="I2326" s="64" t="n"/>
      <c r="J2326" s="16" t="n"/>
      <c r="K2326" s="16" t="n"/>
      <c r="M2326" s="89" t="n"/>
      <c r="N2326" s="1" t="n"/>
      <c r="O2326" s="1" t="n"/>
      <c r="P2326" s="1" t="n"/>
      <c r="Q2326" s="1" t="n"/>
      <c r="R2326" s="1" t="n"/>
    </row>
    <row r="2327">
      <c r="A2327" s="61" t="n"/>
      <c r="B2327" s="16" t="n"/>
      <c r="C2327" s="90" t="n"/>
      <c r="D2327" s="90" t="n"/>
      <c r="E2327" s="90" t="n"/>
      <c r="F2327" s="16" t="n"/>
      <c r="G2327" s="16" t="n"/>
      <c r="H2327" s="63" t="n"/>
      <c r="I2327" s="64" t="n"/>
      <c r="J2327" s="16" t="n"/>
      <c r="K2327" s="16" t="n"/>
      <c r="M2327" s="89" t="n"/>
      <c r="N2327" s="1" t="n"/>
      <c r="O2327" s="1" t="n"/>
      <c r="P2327" s="1" t="n"/>
      <c r="Q2327" s="1" t="n"/>
      <c r="R2327" s="1" t="n"/>
    </row>
    <row r="2328">
      <c r="A2328" s="61" t="n"/>
      <c r="B2328" s="16" t="n"/>
      <c r="C2328" s="90" t="n"/>
      <c r="D2328" s="90" t="n"/>
      <c r="E2328" s="90" t="n"/>
      <c r="F2328" s="16" t="n"/>
      <c r="G2328" s="16" t="n"/>
      <c r="H2328" s="63" t="n"/>
      <c r="I2328" s="64" t="n"/>
      <c r="J2328" s="16" t="n"/>
      <c r="K2328" s="16" t="n"/>
      <c r="M2328" s="89" t="n"/>
      <c r="N2328" s="1" t="n"/>
      <c r="O2328" s="1" t="n"/>
      <c r="P2328" s="1" t="n"/>
      <c r="Q2328" s="1" t="n"/>
      <c r="R2328" s="1" t="n"/>
    </row>
    <row r="2329">
      <c r="A2329" s="61" t="n"/>
      <c r="B2329" s="16" t="n"/>
      <c r="C2329" s="90" t="n"/>
      <c r="D2329" s="90" t="n"/>
      <c r="E2329" s="90" t="n"/>
      <c r="F2329" s="16" t="n"/>
      <c r="G2329" s="16" t="n"/>
      <c r="H2329" s="63" t="n"/>
      <c r="I2329" s="64" t="n"/>
      <c r="J2329" s="16" t="n"/>
      <c r="K2329" s="16" t="n"/>
      <c r="M2329" s="89" t="n"/>
      <c r="N2329" s="1" t="n"/>
      <c r="O2329" s="1" t="n"/>
      <c r="P2329" s="1" t="n"/>
      <c r="Q2329" s="1" t="n"/>
      <c r="R2329" s="1" t="n"/>
    </row>
    <row r="2330">
      <c r="A2330" s="61" t="n"/>
      <c r="B2330" s="16" t="n"/>
      <c r="C2330" s="90" t="n"/>
      <c r="D2330" s="90" t="n"/>
      <c r="E2330" s="90" t="n"/>
      <c r="F2330" s="16" t="n"/>
      <c r="G2330" s="16" t="n"/>
      <c r="H2330" s="63" t="n"/>
      <c r="I2330" s="64" t="n"/>
      <c r="J2330" s="16" t="n"/>
      <c r="K2330" s="16" t="n"/>
      <c r="M2330" s="89" t="n"/>
      <c r="N2330" s="1" t="n"/>
      <c r="O2330" s="1" t="n"/>
      <c r="P2330" s="1" t="n"/>
      <c r="Q2330" s="1" t="n"/>
      <c r="R2330" s="1" t="n"/>
    </row>
    <row r="2331">
      <c r="A2331" s="61" t="n"/>
      <c r="B2331" s="16" t="n"/>
      <c r="C2331" s="90" t="n"/>
      <c r="D2331" s="90" t="n"/>
      <c r="E2331" s="90" t="n"/>
      <c r="F2331" s="16" t="n"/>
      <c r="G2331" s="16" t="n"/>
      <c r="H2331" s="63" t="n"/>
      <c r="I2331" s="64" t="n"/>
      <c r="J2331" s="16" t="n"/>
      <c r="K2331" s="16" t="n"/>
      <c r="M2331" s="89" t="n"/>
      <c r="N2331" s="1" t="n"/>
      <c r="O2331" s="1" t="n"/>
      <c r="P2331" s="1" t="n"/>
      <c r="Q2331" s="1" t="n"/>
      <c r="R2331" s="1" t="n"/>
    </row>
    <row r="2332">
      <c r="A2332" s="61" t="n"/>
      <c r="B2332" s="16" t="n"/>
      <c r="C2332" s="90" t="n"/>
      <c r="D2332" s="90" t="n"/>
      <c r="E2332" s="90" t="n"/>
      <c r="F2332" s="16" t="n"/>
      <c r="G2332" s="16" t="n"/>
      <c r="H2332" s="63" t="n"/>
      <c r="I2332" s="64" t="n"/>
      <c r="J2332" s="16" t="n"/>
      <c r="K2332" s="16" t="n"/>
      <c r="M2332" s="89" t="n"/>
      <c r="N2332" s="1" t="n"/>
      <c r="O2332" s="1" t="n"/>
      <c r="P2332" s="1" t="n"/>
      <c r="Q2332" s="1" t="n"/>
      <c r="R2332" s="1" t="n"/>
    </row>
    <row r="2333">
      <c r="A2333" s="61" t="n"/>
      <c r="B2333" s="16" t="n"/>
      <c r="C2333" s="90" t="n"/>
      <c r="D2333" s="90" t="n"/>
      <c r="E2333" s="90" t="n"/>
      <c r="F2333" s="16" t="n"/>
      <c r="G2333" s="16" t="n"/>
      <c r="H2333" s="63" t="n"/>
      <c r="I2333" s="64" t="n"/>
      <c r="J2333" s="16" t="n"/>
      <c r="K2333" s="16" t="n"/>
      <c r="M2333" s="89" t="n"/>
      <c r="N2333" s="1" t="n"/>
      <c r="O2333" s="1" t="n"/>
      <c r="P2333" s="1" t="n"/>
      <c r="Q2333" s="1" t="n"/>
      <c r="R2333" s="1" t="n"/>
    </row>
    <row r="2334">
      <c r="A2334" s="61" t="n"/>
      <c r="B2334" s="16" t="n"/>
      <c r="C2334" s="90" t="n"/>
      <c r="D2334" s="90" t="n"/>
      <c r="E2334" s="90" t="n"/>
      <c r="F2334" s="16" t="n"/>
      <c r="G2334" s="16" t="n"/>
      <c r="H2334" s="63" t="n"/>
      <c r="I2334" s="64" t="n"/>
      <c r="J2334" s="16" t="n"/>
      <c r="K2334" s="16" t="n"/>
      <c r="M2334" s="89" t="n"/>
      <c r="N2334" s="1" t="n"/>
      <c r="O2334" s="1" t="n"/>
      <c r="P2334" s="1" t="n"/>
      <c r="Q2334" s="1" t="n"/>
      <c r="R2334" s="1" t="n"/>
    </row>
    <row r="2335">
      <c r="A2335" s="61" t="n"/>
      <c r="B2335" s="16" t="n"/>
      <c r="C2335" s="90" t="n"/>
      <c r="D2335" s="90" t="n"/>
      <c r="E2335" s="90" t="n"/>
      <c r="F2335" s="16" t="n"/>
      <c r="G2335" s="16" t="n"/>
      <c r="H2335" s="63" t="n"/>
      <c r="I2335" s="64" t="n"/>
      <c r="J2335" s="16" t="n"/>
      <c r="K2335" s="16" t="n"/>
      <c r="M2335" s="89" t="n"/>
      <c r="N2335" s="1" t="n"/>
      <c r="O2335" s="1" t="n"/>
      <c r="P2335" s="1" t="n"/>
      <c r="Q2335" s="1" t="n"/>
      <c r="R2335" s="1" t="n"/>
    </row>
    <row r="2336">
      <c r="A2336" s="61" t="n"/>
      <c r="B2336" s="16" t="n"/>
      <c r="C2336" s="90" t="n"/>
      <c r="D2336" s="90" t="n"/>
      <c r="E2336" s="90" t="n"/>
      <c r="F2336" s="16" t="n"/>
      <c r="G2336" s="16" t="n"/>
      <c r="H2336" s="63" t="n"/>
      <c r="I2336" s="64" t="n"/>
      <c r="J2336" s="16" t="n"/>
      <c r="K2336" s="16" t="n"/>
      <c r="M2336" s="89" t="n"/>
      <c r="N2336" s="1" t="n"/>
      <c r="O2336" s="1" t="n"/>
      <c r="P2336" s="1" t="n"/>
      <c r="Q2336" s="1" t="n"/>
      <c r="R2336" s="1" t="n"/>
    </row>
    <row r="2337">
      <c r="A2337" s="61" t="n"/>
      <c r="B2337" s="16" t="n"/>
      <c r="C2337" s="90" t="n"/>
      <c r="D2337" s="90" t="n"/>
      <c r="E2337" s="90" t="n"/>
      <c r="F2337" s="16" t="n"/>
      <c r="G2337" s="16" t="n"/>
      <c r="H2337" s="63" t="n"/>
      <c r="I2337" s="64" t="n"/>
      <c r="J2337" s="16" t="n"/>
      <c r="K2337" s="16" t="n"/>
      <c r="M2337" s="89" t="n"/>
      <c r="N2337" s="1" t="n"/>
      <c r="O2337" s="1" t="n"/>
      <c r="P2337" s="1" t="n"/>
      <c r="Q2337" s="1" t="n"/>
      <c r="R2337" s="1" t="n"/>
    </row>
    <row r="2338">
      <c r="A2338" s="61" t="n"/>
      <c r="B2338" s="16" t="n"/>
      <c r="C2338" s="90" t="n"/>
      <c r="D2338" s="90" t="n"/>
      <c r="E2338" s="90" t="n"/>
      <c r="F2338" s="16" t="n"/>
      <c r="G2338" s="16" t="n"/>
      <c r="H2338" s="63" t="n"/>
      <c r="I2338" s="64" t="n"/>
      <c r="J2338" s="16" t="n"/>
      <c r="K2338" s="16" t="n"/>
      <c r="M2338" s="89" t="n"/>
      <c r="N2338" s="1" t="n"/>
      <c r="O2338" s="1" t="n"/>
      <c r="P2338" s="1" t="n"/>
      <c r="Q2338" s="1" t="n"/>
      <c r="R2338" s="1" t="n"/>
    </row>
    <row r="2339">
      <c r="A2339" s="61" t="n"/>
      <c r="B2339" s="16" t="n"/>
      <c r="C2339" s="90" t="n"/>
      <c r="D2339" s="90" t="n"/>
      <c r="E2339" s="90" t="n"/>
      <c r="F2339" s="16" t="n"/>
      <c r="G2339" s="16" t="n"/>
      <c r="H2339" s="63" t="n"/>
      <c r="I2339" s="64" t="n"/>
      <c r="J2339" s="16" t="n"/>
      <c r="K2339" s="16" t="n"/>
      <c r="M2339" s="89" t="n"/>
      <c r="N2339" s="1" t="n"/>
      <c r="O2339" s="1" t="n"/>
      <c r="P2339" s="1" t="n"/>
      <c r="Q2339" s="1" t="n"/>
      <c r="R2339" s="1" t="n"/>
    </row>
    <row r="2340">
      <c r="A2340" s="61" t="n"/>
      <c r="B2340" s="16" t="n"/>
      <c r="C2340" s="90" t="n"/>
      <c r="D2340" s="90" t="n"/>
      <c r="E2340" s="90" t="n"/>
      <c r="F2340" s="16" t="n"/>
      <c r="G2340" s="16" t="n"/>
      <c r="H2340" s="63" t="n"/>
      <c r="I2340" s="64" t="n"/>
      <c r="J2340" s="16" t="n"/>
      <c r="K2340" s="16" t="n"/>
      <c r="M2340" s="89" t="n"/>
      <c r="N2340" s="1" t="n"/>
      <c r="O2340" s="1" t="n"/>
      <c r="P2340" s="1" t="n"/>
      <c r="Q2340" s="1" t="n"/>
      <c r="R2340" s="1" t="n"/>
    </row>
    <row r="2341">
      <c r="A2341" s="61" t="n"/>
      <c r="B2341" s="16" t="n"/>
      <c r="C2341" s="90" t="n"/>
      <c r="D2341" s="90" t="n"/>
      <c r="E2341" s="90" t="n"/>
      <c r="F2341" s="16" t="n"/>
      <c r="G2341" s="16" t="n"/>
      <c r="H2341" s="63" t="n"/>
      <c r="I2341" s="64" t="n"/>
      <c r="J2341" s="16" t="n"/>
      <c r="K2341" s="16" t="n"/>
      <c r="M2341" s="89" t="n"/>
      <c r="N2341" s="1" t="n"/>
      <c r="O2341" s="1" t="n"/>
      <c r="P2341" s="1" t="n"/>
      <c r="Q2341" s="1" t="n"/>
      <c r="R2341" s="1" t="n"/>
    </row>
    <row r="2342">
      <c r="A2342" s="61" t="n"/>
      <c r="B2342" s="16" t="n"/>
      <c r="C2342" s="90" t="n"/>
      <c r="D2342" s="90" t="n"/>
      <c r="E2342" s="90" t="n"/>
      <c r="F2342" s="16" t="n"/>
      <c r="G2342" s="16" t="n"/>
      <c r="H2342" s="63" t="n"/>
      <c r="I2342" s="64" t="n"/>
      <c r="J2342" s="16" t="n"/>
      <c r="K2342" s="16" t="n"/>
      <c r="M2342" s="89" t="n"/>
      <c r="N2342" s="1" t="n"/>
      <c r="O2342" s="1" t="n"/>
      <c r="P2342" s="1" t="n"/>
      <c r="Q2342" s="1" t="n"/>
      <c r="R2342" s="1" t="n"/>
    </row>
    <row r="2343">
      <c r="A2343" s="61" t="n"/>
      <c r="B2343" s="16" t="n"/>
      <c r="C2343" s="90" t="n"/>
      <c r="D2343" s="90" t="n"/>
      <c r="E2343" s="90" t="n"/>
      <c r="F2343" s="16" t="n"/>
      <c r="G2343" s="16" t="n"/>
      <c r="H2343" s="63" t="n"/>
      <c r="I2343" s="64" t="n"/>
      <c r="J2343" s="16" t="n"/>
      <c r="K2343" s="16" t="n"/>
      <c r="M2343" s="89" t="n"/>
      <c r="N2343" s="1" t="n"/>
      <c r="O2343" s="1" t="n"/>
      <c r="P2343" s="1" t="n"/>
      <c r="Q2343" s="1" t="n"/>
      <c r="R2343" s="1" t="n"/>
    </row>
    <row r="2344">
      <c r="A2344" s="61" t="n"/>
      <c r="B2344" s="16" t="n"/>
      <c r="C2344" s="90" t="n"/>
      <c r="D2344" s="90" t="n"/>
      <c r="E2344" s="90" t="n"/>
      <c r="F2344" s="16" t="n"/>
      <c r="G2344" s="16" t="n"/>
      <c r="H2344" s="63" t="n"/>
      <c r="I2344" s="64" t="n"/>
      <c r="J2344" s="16" t="n"/>
      <c r="K2344" s="16" t="n"/>
      <c r="M2344" s="89" t="n"/>
      <c r="N2344" s="1" t="n"/>
      <c r="O2344" s="1" t="n"/>
      <c r="P2344" s="1" t="n"/>
      <c r="Q2344" s="1" t="n"/>
      <c r="R2344" s="1" t="n"/>
    </row>
    <row r="2345">
      <c r="A2345" s="61" t="n"/>
      <c r="B2345" s="16" t="n"/>
      <c r="C2345" s="90" t="n"/>
      <c r="D2345" s="90" t="n"/>
      <c r="E2345" s="90" t="n"/>
      <c r="F2345" s="16" t="n"/>
      <c r="G2345" s="16" t="n"/>
      <c r="H2345" s="63" t="n"/>
      <c r="I2345" s="64" t="n"/>
      <c r="J2345" s="16" t="n"/>
      <c r="K2345" s="16" t="n"/>
      <c r="M2345" s="89" t="n"/>
      <c r="N2345" s="1" t="n"/>
      <c r="O2345" s="1" t="n"/>
      <c r="P2345" s="1" t="n"/>
      <c r="Q2345" s="1" t="n"/>
      <c r="R2345" s="1" t="n"/>
    </row>
    <row r="2346">
      <c r="A2346" s="61" t="n"/>
      <c r="B2346" s="16" t="n"/>
      <c r="C2346" s="90" t="n"/>
      <c r="D2346" s="90" t="n"/>
      <c r="E2346" s="90" t="n"/>
      <c r="F2346" s="16" t="n"/>
      <c r="G2346" s="16" t="n"/>
      <c r="H2346" s="63" t="n"/>
      <c r="I2346" s="64" t="n"/>
      <c r="J2346" s="16" t="n"/>
      <c r="K2346" s="16" t="n"/>
      <c r="M2346" s="89" t="n"/>
      <c r="N2346" s="1" t="n"/>
      <c r="O2346" s="1" t="n"/>
      <c r="P2346" s="1" t="n"/>
      <c r="Q2346" s="1" t="n"/>
      <c r="R2346" s="1" t="n"/>
    </row>
    <row r="2347">
      <c r="A2347" s="61" t="n"/>
      <c r="B2347" s="16" t="n"/>
      <c r="C2347" s="90" t="n"/>
      <c r="D2347" s="90" t="n"/>
      <c r="E2347" s="90" t="n"/>
      <c r="F2347" s="16" t="n"/>
      <c r="G2347" s="16" t="n"/>
      <c r="H2347" s="63" t="n"/>
      <c r="I2347" s="64" t="n"/>
      <c r="J2347" s="16" t="n"/>
      <c r="K2347" s="16" t="n"/>
      <c r="M2347" s="89" t="n"/>
      <c r="N2347" s="1" t="n"/>
      <c r="O2347" s="1" t="n"/>
      <c r="P2347" s="1" t="n"/>
      <c r="Q2347" s="1" t="n"/>
      <c r="R2347" s="1" t="n"/>
    </row>
    <row r="2348">
      <c r="A2348" s="61" t="n"/>
      <c r="B2348" s="16" t="n"/>
      <c r="C2348" s="90" t="n"/>
      <c r="D2348" s="90" t="n"/>
      <c r="E2348" s="90" t="n"/>
      <c r="F2348" s="16" t="n"/>
      <c r="G2348" s="16" t="n"/>
      <c r="H2348" s="63" t="n"/>
      <c r="I2348" s="64" t="n"/>
      <c r="J2348" s="16" t="n"/>
      <c r="K2348" s="16" t="n"/>
      <c r="M2348" s="89" t="n"/>
      <c r="N2348" s="1" t="n"/>
      <c r="O2348" s="1" t="n"/>
      <c r="P2348" s="1" t="n"/>
      <c r="Q2348" s="1" t="n"/>
      <c r="R2348" s="1" t="n"/>
    </row>
    <row r="2349">
      <c r="A2349" s="61" t="n"/>
      <c r="B2349" s="16" t="n"/>
      <c r="C2349" s="90" t="n"/>
      <c r="D2349" s="90" t="n"/>
      <c r="E2349" s="90" t="n"/>
      <c r="F2349" s="16" t="n"/>
      <c r="G2349" s="16" t="n"/>
      <c r="H2349" s="63" t="n"/>
      <c r="I2349" s="64" t="n"/>
      <c r="J2349" s="16" t="n"/>
      <c r="K2349" s="16" t="n"/>
      <c r="M2349" s="89" t="n"/>
      <c r="N2349" s="1" t="n"/>
      <c r="O2349" s="1" t="n"/>
      <c r="P2349" s="1" t="n"/>
      <c r="Q2349" s="1" t="n"/>
      <c r="R2349" s="1" t="n"/>
    </row>
    <row r="2350">
      <c r="A2350" s="61" t="n"/>
      <c r="B2350" s="16" t="n"/>
      <c r="C2350" s="90" t="n"/>
      <c r="D2350" s="90" t="n"/>
      <c r="E2350" s="90" t="n"/>
      <c r="F2350" s="16" t="n"/>
      <c r="G2350" s="16" t="n"/>
      <c r="H2350" s="63" t="n"/>
      <c r="I2350" s="64" t="n"/>
      <c r="J2350" s="16" t="n"/>
      <c r="K2350" s="16" t="n"/>
      <c r="M2350" s="89" t="n"/>
      <c r="N2350" s="1" t="n"/>
      <c r="O2350" s="1" t="n"/>
      <c r="P2350" s="1" t="n"/>
      <c r="Q2350" s="1" t="n"/>
      <c r="R2350" s="1" t="n"/>
    </row>
    <row r="2351">
      <c r="A2351" s="61" t="n"/>
      <c r="B2351" s="16" t="n"/>
      <c r="C2351" s="90" t="n"/>
      <c r="D2351" s="90" t="n"/>
      <c r="E2351" s="90" t="n"/>
      <c r="F2351" s="16" t="n"/>
      <c r="G2351" s="16" t="n"/>
      <c r="H2351" s="63" t="n"/>
      <c r="I2351" s="64" t="n"/>
      <c r="J2351" s="16" t="n"/>
      <c r="K2351" s="16" t="n"/>
      <c r="M2351" s="89" t="n"/>
      <c r="N2351" s="1" t="n"/>
      <c r="O2351" s="1" t="n"/>
      <c r="P2351" s="1" t="n"/>
      <c r="Q2351" s="1" t="n"/>
      <c r="R2351" s="1" t="n"/>
    </row>
    <row r="2352">
      <c r="A2352" s="61" t="n"/>
      <c r="B2352" s="16" t="n"/>
      <c r="C2352" s="90" t="n"/>
      <c r="D2352" s="90" t="n"/>
      <c r="E2352" s="90" t="n"/>
      <c r="F2352" s="16" t="n"/>
      <c r="G2352" s="16" t="n"/>
      <c r="H2352" s="63" t="n"/>
      <c r="I2352" s="64" t="n"/>
      <c r="J2352" s="16" t="n"/>
      <c r="K2352" s="16" t="n"/>
      <c r="M2352" s="89" t="n"/>
      <c r="N2352" s="1" t="n"/>
      <c r="O2352" s="1" t="n"/>
      <c r="P2352" s="1" t="n"/>
      <c r="Q2352" s="1" t="n"/>
      <c r="R2352" s="1" t="n"/>
    </row>
    <row r="2353">
      <c r="A2353" s="61" t="n"/>
      <c r="B2353" s="16" t="n"/>
      <c r="C2353" s="90" t="n"/>
      <c r="D2353" s="90" t="n"/>
      <c r="E2353" s="90" t="n"/>
      <c r="F2353" s="16" t="n"/>
      <c r="G2353" s="16" t="n"/>
      <c r="H2353" s="63" t="n"/>
      <c r="I2353" s="64" t="n"/>
      <c r="J2353" s="16" t="n"/>
      <c r="K2353" s="16" t="n"/>
      <c r="M2353" s="89" t="n"/>
      <c r="N2353" s="1" t="n"/>
      <c r="O2353" s="1" t="n"/>
      <c r="P2353" s="1" t="n"/>
      <c r="Q2353" s="1" t="n"/>
      <c r="R2353" s="1" t="n"/>
    </row>
    <row r="2354">
      <c r="A2354" s="61" t="n"/>
      <c r="B2354" s="16" t="n"/>
      <c r="C2354" s="90" t="n"/>
      <c r="D2354" s="90" t="n"/>
      <c r="E2354" s="90" t="n"/>
      <c r="F2354" s="16" t="n"/>
      <c r="G2354" s="16" t="n"/>
      <c r="H2354" s="63" t="n"/>
      <c r="I2354" s="64" t="n"/>
      <c r="J2354" s="16" t="n"/>
      <c r="K2354" s="16" t="n"/>
      <c r="M2354" s="89" t="n"/>
      <c r="N2354" s="1" t="n"/>
      <c r="O2354" s="1" t="n"/>
      <c r="P2354" s="1" t="n"/>
      <c r="Q2354" s="1" t="n"/>
      <c r="R2354" s="1" t="n"/>
    </row>
    <row r="2355">
      <c r="A2355" s="61" t="n"/>
      <c r="B2355" s="16" t="n"/>
      <c r="C2355" s="90" t="n"/>
      <c r="D2355" s="90" t="n"/>
      <c r="E2355" s="90" t="n"/>
      <c r="F2355" s="16" t="n"/>
      <c r="G2355" s="16" t="n"/>
      <c r="H2355" s="63" t="n"/>
      <c r="I2355" s="64" t="n"/>
      <c r="J2355" s="16" t="n"/>
      <c r="K2355" s="16" t="n"/>
      <c r="M2355" s="89" t="n"/>
      <c r="N2355" s="1" t="n"/>
      <c r="O2355" s="1" t="n"/>
      <c r="P2355" s="1" t="n"/>
      <c r="Q2355" s="1" t="n"/>
      <c r="R2355" s="1" t="n"/>
    </row>
    <row r="2356">
      <c r="A2356" s="61" t="n"/>
      <c r="B2356" s="16" t="n"/>
      <c r="C2356" s="90" t="n"/>
      <c r="D2356" s="90" t="n"/>
      <c r="E2356" s="90" t="n"/>
      <c r="F2356" s="16" t="n"/>
      <c r="G2356" s="16" t="n"/>
      <c r="H2356" s="63" t="n"/>
      <c r="I2356" s="64" t="n"/>
      <c r="J2356" s="16" t="n"/>
      <c r="K2356" s="16" t="n"/>
      <c r="M2356" s="89" t="n"/>
      <c r="N2356" s="1" t="n"/>
      <c r="O2356" s="1" t="n"/>
      <c r="P2356" s="1" t="n"/>
      <c r="Q2356" s="1" t="n"/>
      <c r="R2356" s="1" t="n"/>
    </row>
    <row r="2357">
      <c r="A2357" s="61" t="n"/>
      <c r="B2357" s="16" t="n"/>
      <c r="C2357" s="90" t="n"/>
      <c r="D2357" s="90" t="n"/>
      <c r="E2357" s="90" t="n"/>
      <c r="F2357" s="16" t="n"/>
      <c r="G2357" s="16" t="n"/>
      <c r="H2357" s="63" t="n"/>
      <c r="I2357" s="64" t="n"/>
      <c r="J2357" s="16" t="n"/>
      <c r="K2357" s="16" t="n"/>
      <c r="M2357" s="89" t="n"/>
      <c r="N2357" s="1" t="n"/>
      <c r="O2357" s="1" t="n"/>
      <c r="P2357" s="1" t="n"/>
      <c r="Q2357" s="1" t="n"/>
      <c r="R2357" s="1" t="n"/>
    </row>
    <row r="2358">
      <c r="A2358" s="61" t="n"/>
      <c r="B2358" s="16" t="n"/>
      <c r="C2358" s="90" t="n"/>
      <c r="D2358" s="90" t="n"/>
      <c r="E2358" s="90" t="n"/>
      <c r="F2358" s="16" t="n"/>
      <c r="G2358" s="16" t="n"/>
      <c r="H2358" s="63" t="n"/>
      <c r="I2358" s="64" t="n"/>
      <c r="J2358" s="16" t="n"/>
      <c r="K2358" s="16" t="n"/>
      <c r="M2358" s="89" t="n"/>
      <c r="N2358" s="1" t="n"/>
      <c r="O2358" s="1" t="n"/>
      <c r="P2358" s="1" t="n"/>
      <c r="Q2358" s="1" t="n"/>
      <c r="R2358" s="1" t="n"/>
    </row>
    <row r="2359">
      <c r="A2359" s="61" t="n"/>
      <c r="B2359" s="16" t="n"/>
      <c r="C2359" s="90" t="n"/>
      <c r="D2359" s="90" t="n"/>
      <c r="E2359" s="90" t="n"/>
      <c r="F2359" s="16" t="n"/>
      <c r="G2359" s="16" t="n"/>
      <c r="H2359" s="63" t="n"/>
      <c r="I2359" s="64" t="n"/>
      <c r="J2359" s="16" t="n"/>
      <c r="K2359" s="16" t="n"/>
      <c r="M2359" s="89" t="n"/>
      <c r="N2359" s="1" t="n"/>
      <c r="O2359" s="1" t="n"/>
      <c r="P2359" s="1" t="n"/>
      <c r="Q2359" s="1" t="n"/>
      <c r="R2359" s="1" t="n"/>
    </row>
    <row r="2360">
      <c r="A2360" s="61" t="n"/>
      <c r="B2360" s="16" t="n"/>
      <c r="C2360" s="90" t="n"/>
      <c r="D2360" s="90" t="n"/>
      <c r="E2360" s="90" t="n"/>
      <c r="F2360" s="16" t="n"/>
      <c r="G2360" s="16" t="n"/>
      <c r="H2360" s="63" t="n"/>
      <c r="I2360" s="64" t="n"/>
      <c r="J2360" s="16" t="n"/>
      <c r="K2360" s="16" t="n"/>
      <c r="M2360" s="89" t="n"/>
      <c r="N2360" s="1" t="n"/>
      <c r="O2360" s="1" t="n"/>
      <c r="P2360" s="1" t="n"/>
      <c r="Q2360" s="1" t="n"/>
      <c r="R2360" s="1" t="n"/>
    </row>
    <row r="2361">
      <c r="A2361" s="61" t="n"/>
      <c r="B2361" s="16" t="n"/>
      <c r="C2361" s="90" t="n"/>
      <c r="D2361" s="90" t="n"/>
      <c r="E2361" s="90" t="n"/>
      <c r="F2361" s="16" t="n"/>
      <c r="G2361" s="16" t="n"/>
      <c r="H2361" s="63" t="n"/>
      <c r="I2361" s="64" t="n"/>
      <c r="J2361" s="16" t="n"/>
      <c r="K2361" s="16" t="n"/>
      <c r="M2361" s="89" t="n"/>
      <c r="N2361" s="1" t="n"/>
      <c r="O2361" s="1" t="n"/>
      <c r="P2361" s="1" t="n"/>
      <c r="Q2361" s="1" t="n"/>
      <c r="R2361" s="1" t="n"/>
    </row>
    <row r="2362">
      <c r="A2362" s="61" t="n"/>
      <c r="B2362" s="16" t="n"/>
      <c r="C2362" s="90" t="n"/>
      <c r="D2362" s="90" t="n"/>
      <c r="E2362" s="90" t="n"/>
      <c r="F2362" s="16" t="n"/>
      <c r="G2362" s="16" t="n"/>
      <c r="H2362" s="63" t="n"/>
      <c r="I2362" s="64" t="n"/>
      <c r="J2362" s="16" t="n"/>
      <c r="K2362" s="16" t="n"/>
      <c r="M2362" s="89" t="n"/>
      <c r="N2362" s="1" t="n"/>
      <c r="O2362" s="1" t="n"/>
      <c r="P2362" s="1" t="n"/>
      <c r="Q2362" s="1" t="n"/>
      <c r="R2362" s="1" t="n"/>
    </row>
    <row r="2363">
      <c r="A2363" s="61" t="n"/>
      <c r="B2363" s="16" t="n"/>
      <c r="C2363" s="90" t="n"/>
      <c r="D2363" s="90" t="n"/>
      <c r="E2363" s="90" t="n"/>
      <c r="F2363" s="16" t="n"/>
      <c r="G2363" s="16" t="n"/>
      <c r="H2363" s="63" t="n"/>
      <c r="I2363" s="64" t="n"/>
      <c r="J2363" s="16" t="n"/>
      <c r="K2363" s="16" t="n"/>
      <c r="M2363" s="89" t="n"/>
      <c r="N2363" s="1" t="n"/>
      <c r="O2363" s="1" t="n"/>
      <c r="P2363" s="1" t="n"/>
      <c r="Q2363" s="1" t="n"/>
      <c r="R2363" s="1" t="n"/>
    </row>
    <row r="2364">
      <c r="A2364" s="61" t="n"/>
      <c r="B2364" s="16" t="n"/>
      <c r="C2364" s="90" t="n"/>
      <c r="D2364" s="90" t="n"/>
      <c r="E2364" s="90" t="n"/>
      <c r="F2364" s="16" t="n"/>
      <c r="G2364" s="16" t="n"/>
      <c r="H2364" s="63" t="n"/>
      <c r="I2364" s="64" t="n"/>
      <c r="J2364" s="16" t="n"/>
      <c r="K2364" s="16" t="n"/>
      <c r="M2364" s="89" t="n"/>
      <c r="N2364" s="1" t="n"/>
      <c r="O2364" s="1" t="n"/>
      <c r="P2364" s="1" t="n"/>
      <c r="Q2364" s="1" t="n"/>
      <c r="R2364" s="1" t="n"/>
    </row>
    <row r="2365">
      <c r="A2365" s="61" t="n"/>
      <c r="B2365" s="16" t="n"/>
      <c r="C2365" s="90" t="n"/>
      <c r="D2365" s="90" t="n"/>
      <c r="E2365" s="90" t="n"/>
      <c r="F2365" s="16" t="n"/>
      <c r="G2365" s="16" t="n"/>
      <c r="H2365" s="63" t="n"/>
      <c r="I2365" s="64" t="n"/>
      <c r="J2365" s="16" t="n"/>
      <c r="K2365" s="16" t="n"/>
      <c r="M2365" s="89" t="n"/>
      <c r="N2365" s="1" t="n"/>
      <c r="O2365" s="1" t="n"/>
      <c r="P2365" s="1" t="n"/>
      <c r="Q2365" s="1" t="n"/>
      <c r="R2365" s="1" t="n"/>
    </row>
    <row r="2366">
      <c r="A2366" s="61" t="n"/>
      <c r="B2366" s="16" t="n"/>
      <c r="C2366" s="90" t="n"/>
      <c r="D2366" s="90" t="n"/>
      <c r="E2366" s="90" t="n"/>
      <c r="F2366" s="16" t="n"/>
      <c r="G2366" s="16" t="n"/>
      <c r="H2366" s="63" t="n"/>
      <c r="I2366" s="64" t="n"/>
      <c r="J2366" s="16" t="n"/>
      <c r="K2366" s="16" t="n"/>
      <c r="M2366" s="89" t="n"/>
      <c r="N2366" s="1" t="n"/>
      <c r="O2366" s="1" t="n"/>
      <c r="P2366" s="1" t="n"/>
      <c r="Q2366" s="1" t="n"/>
      <c r="R2366" s="1" t="n"/>
    </row>
    <row r="2367">
      <c r="A2367" s="61" t="n"/>
      <c r="B2367" s="16" t="n"/>
      <c r="C2367" s="90" t="n"/>
      <c r="D2367" s="90" t="n"/>
      <c r="E2367" s="90" t="n"/>
      <c r="F2367" s="16" t="n"/>
      <c r="G2367" s="16" t="n"/>
      <c r="H2367" s="63" t="n"/>
      <c r="I2367" s="64" t="n"/>
      <c r="J2367" s="16" t="n"/>
      <c r="K2367" s="16" t="n"/>
      <c r="M2367" s="89" t="n"/>
      <c r="N2367" s="1" t="n"/>
      <c r="O2367" s="1" t="n"/>
      <c r="P2367" s="1" t="n"/>
      <c r="Q2367" s="1" t="n"/>
      <c r="R2367" s="1" t="n"/>
    </row>
    <row r="2368">
      <c r="A2368" s="61" t="n"/>
      <c r="B2368" s="16" t="n"/>
      <c r="C2368" s="90" t="n"/>
      <c r="D2368" s="90" t="n"/>
      <c r="E2368" s="90" t="n"/>
      <c r="F2368" s="16" t="n"/>
      <c r="G2368" s="16" t="n"/>
      <c r="H2368" s="63" t="n"/>
      <c r="I2368" s="64" t="n"/>
      <c r="J2368" s="16" t="n"/>
      <c r="K2368" s="16" t="n"/>
      <c r="M2368" s="89" t="n"/>
      <c r="N2368" s="1" t="n"/>
      <c r="O2368" s="1" t="n"/>
      <c r="P2368" s="1" t="n"/>
      <c r="Q2368" s="1" t="n"/>
      <c r="R2368" s="1" t="n"/>
    </row>
    <row r="2369">
      <c r="A2369" s="61" t="n"/>
      <c r="B2369" s="16" t="n"/>
      <c r="C2369" s="90" t="n"/>
      <c r="D2369" s="90" t="n"/>
      <c r="E2369" s="90" t="n"/>
      <c r="F2369" s="16" t="n"/>
      <c r="G2369" s="16" t="n"/>
      <c r="H2369" s="63" t="n"/>
      <c r="I2369" s="64" t="n"/>
      <c r="J2369" s="16" t="n"/>
      <c r="K2369" s="16" t="n"/>
      <c r="M2369" s="89" t="n"/>
      <c r="N2369" s="1" t="n"/>
      <c r="O2369" s="1" t="n"/>
      <c r="P2369" s="1" t="n"/>
      <c r="Q2369" s="1" t="n"/>
      <c r="R2369" s="1" t="n"/>
    </row>
    <row r="2370">
      <c r="A2370" s="61" t="n"/>
      <c r="B2370" s="16" t="n"/>
      <c r="C2370" s="90" t="n"/>
      <c r="D2370" s="90" t="n"/>
      <c r="E2370" s="90" t="n"/>
      <c r="F2370" s="16" t="n"/>
      <c r="G2370" s="16" t="n"/>
      <c r="H2370" s="63" t="n"/>
      <c r="I2370" s="64" t="n"/>
      <c r="J2370" s="16" t="n"/>
      <c r="K2370" s="16" t="n"/>
      <c r="M2370" s="89" t="n"/>
      <c r="N2370" s="1" t="n"/>
      <c r="O2370" s="1" t="n"/>
      <c r="P2370" s="1" t="n"/>
      <c r="Q2370" s="1" t="n"/>
      <c r="R2370" s="1" t="n"/>
    </row>
    <row r="2371">
      <c r="A2371" s="61" t="n"/>
      <c r="B2371" s="16" t="n"/>
      <c r="C2371" s="90" t="n"/>
      <c r="D2371" s="90" t="n"/>
      <c r="E2371" s="90" t="n"/>
      <c r="F2371" s="16" t="n"/>
      <c r="G2371" s="16" t="n"/>
      <c r="H2371" s="63" t="n"/>
      <c r="I2371" s="64" t="n"/>
      <c r="J2371" s="16" t="n"/>
      <c r="K2371" s="16" t="n"/>
      <c r="M2371" s="89" t="n"/>
      <c r="N2371" s="1" t="n"/>
      <c r="O2371" s="1" t="n"/>
      <c r="P2371" s="1" t="n"/>
      <c r="Q2371" s="1" t="n"/>
      <c r="R2371" s="1" t="n"/>
    </row>
    <row r="2372">
      <c r="A2372" s="61" t="n"/>
      <c r="B2372" s="16" t="n"/>
      <c r="C2372" s="90" t="n"/>
      <c r="D2372" s="90" t="n"/>
      <c r="E2372" s="90" t="n"/>
      <c r="F2372" s="16" t="n"/>
      <c r="G2372" s="16" t="n"/>
      <c r="H2372" s="63" t="n"/>
      <c r="I2372" s="64" t="n"/>
      <c r="J2372" s="16" t="n"/>
      <c r="K2372" s="16" t="n"/>
      <c r="M2372" s="89" t="n"/>
      <c r="N2372" s="1" t="n"/>
      <c r="O2372" s="1" t="n"/>
      <c r="P2372" s="1" t="n"/>
      <c r="Q2372" s="1" t="n"/>
      <c r="R2372" s="1" t="n"/>
    </row>
    <row r="2373">
      <c r="A2373" s="61" t="n"/>
      <c r="B2373" s="16" t="n"/>
      <c r="C2373" s="90" t="n"/>
      <c r="D2373" s="90" t="n"/>
      <c r="E2373" s="90" t="n"/>
      <c r="F2373" s="16" t="n"/>
      <c r="G2373" s="16" t="n"/>
      <c r="H2373" s="63" t="n"/>
      <c r="I2373" s="64" t="n"/>
      <c r="J2373" s="16" t="n"/>
      <c r="K2373" s="16" t="n"/>
      <c r="M2373" s="89" t="n"/>
      <c r="N2373" s="1" t="n"/>
      <c r="O2373" s="1" t="n"/>
      <c r="P2373" s="1" t="n"/>
      <c r="Q2373" s="1" t="n"/>
      <c r="R2373" s="1" t="n"/>
    </row>
    <row r="2374">
      <c r="A2374" s="61" t="n"/>
      <c r="B2374" s="16" t="n"/>
      <c r="C2374" s="90" t="n"/>
      <c r="D2374" s="90" t="n"/>
      <c r="E2374" s="90" t="n"/>
      <c r="F2374" s="16" t="n"/>
      <c r="G2374" s="16" t="n"/>
      <c r="H2374" s="63" t="n"/>
      <c r="I2374" s="64" t="n"/>
      <c r="J2374" s="16" t="n"/>
      <c r="K2374" s="16" t="n"/>
      <c r="M2374" s="89" t="n"/>
      <c r="N2374" s="1" t="n"/>
      <c r="O2374" s="1" t="n"/>
      <c r="P2374" s="1" t="n"/>
      <c r="Q2374" s="1" t="n"/>
      <c r="R2374" s="1" t="n"/>
    </row>
    <row r="2375">
      <c r="A2375" s="61" t="n"/>
      <c r="B2375" s="16" t="n"/>
      <c r="C2375" s="90" t="n"/>
      <c r="D2375" s="90" t="n"/>
      <c r="E2375" s="90" t="n"/>
      <c r="F2375" s="16" t="n"/>
      <c r="G2375" s="16" t="n"/>
      <c r="H2375" s="63" t="n"/>
      <c r="I2375" s="64" t="n"/>
      <c r="J2375" s="16" t="n"/>
      <c r="K2375" s="16" t="n"/>
      <c r="M2375" s="89" t="n"/>
      <c r="N2375" s="1" t="n"/>
      <c r="O2375" s="1" t="n"/>
      <c r="P2375" s="1" t="n"/>
      <c r="Q2375" s="1" t="n"/>
      <c r="R2375" s="1" t="n"/>
    </row>
    <row r="2376">
      <c r="A2376" s="61" t="n"/>
      <c r="B2376" s="16" t="n"/>
      <c r="C2376" s="90" t="n"/>
      <c r="D2376" s="90" t="n"/>
      <c r="E2376" s="90" t="n"/>
      <c r="F2376" s="16" t="n"/>
      <c r="G2376" s="16" t="n"/>
      <c r="H2376" s="63" t="n"/>
      <c r="I2376" s="64" t="n"/>
      <c r="J2376" s="16" t="n"/>
      <c r="K2376" s="16" t="n"/>
      <c r="M2376" s="89" t="n"/>
      <c r="N2376" s="1" t="n"/>
      <c r="O2376" s="1" t="n"/>
      <c r="P2376" s="1" t="n"/>
      <c r="Q2376" s="1" t="n"/>
      <c r="R2376" s="1" t="n"/>
    </row>
    <row r="2377">
      <c r="A2377" s="61" t="n"/>
      <c r="B2377" s="16" t="n"/>
      <c r="C2377" s="90" t="n"/>
      <c r="D2377" s="90" t="n"/>
      <c r="E2377" s="90" t="n"/>
      <c r="F2377" s="16" t="n"/>
      <c r="G2377" s="16" t="n"/>
      <c r="H2377" s="63" t="n"/>
      <c r="I2377" s="64" t="n"/>
      <c r="J2377" s="16" t="n"/>
      <c r="K2377" s="16" t="n"/>
      <c r="M2377" s="89" t="n"/>
      <c r="N2377" s="1" t="n"/>
      <c r="O2377" s="1" t="n"/>
      <c r="P2377" s="1" t="n"/>
      <c r="Q2377" s="1" t="n"/>
      <c r="R2377" s="1" t="n"/>
    </row>
    <row r="2378">
      <c r="A2378" s="61" t="n"/>
      <c r="B2378" s="16" t="n"/>
      <c r="C2378" s="90" t="n"/>
      <c r="D2378" s="90" t="n"/>
      <c r="E2378" s="90" t="n"/>
      <c r="F2378" s="16" t="n"/>
      <c r="G2378" s="16" t="n"/>
      <c r="H2378" s="63" t="n"/>
      <c r="I2378" s="64" t="n"/>
      <c r="J2378" s="16" t="n"/>
      <c r="K2378" s="16" t="n"/>
      <c r="M2378" s="89" t="n"/>
      <c r="N2378" s="1" t="n"/>
      <c r="O2378" s="1" t="n"/>
      <c r="P2378" s="1" t="n"/>
      <c r="Q2378" s="1" t="n"/>
      <c r="R2378" s="1" t="n"/>
    </row>
    <row r="2379">
      <c r="A2379" s="61" t="n"/>
      <c r="B2379" s="16" t="n"/>
      <c r="C2379" s="90" t="n"/>
      <c r="D2379" s="90" t="n"/>
      <c r="E2379" s="90" t="n"/>
      <c r="F2379" s="16" t="n"/>
      <c r="G2379" s="16" t="n"/>
      <c r="H2379" s="63" t="n"/>
      <c r="I2379" s="64" t="n"/>
      <c r="J2379" s="16" t="n"/>
      <c r="K2379" s="16" t="n"/>
      <c r="M2379" s="89" t="n"/>
      <c r="N2379" s="1" t="n"/>
      <c r="O2379" s="1" t="n"/>
      <c r="P2379" s="1" t="n"/>
      <c r="Q2379" s="1" t="n"/>
      <c r="R2379" s="1" t="n"/>
    </row>
    <row r="2380">
      <c r="A2380" s="61" t="n"/>
      <c r="B2380" s="16" t="n"/>
      <c r="C2380" s="90" t="n"/>
      <c r="D2380" s="90" t="n"/>
      <c r="E2380" s="90" t="n"/>
      <c r="F2380" s="16" t="n"/>
      <c r="G2380" s="16" t="n"/>
      <c r="H2380" s="63" t="n"/>
      <c r="I2380" s="64" t="n"/>
      <c r="J2380" s="16" t="n"/>
      <c r="K2380" s="16" t="n"/>
      <c r="M2380" s="89" t="n"/>
      <c r="N2380" s="1" t="n"/>
      <c r="O2380" s="1" t="n"/>
      <c r="P2380" s="1" t="n"/>
      <c r="Q2380" s="1" t="n"/>
      <c r="R2380" s="1" t="n"/>
    </row>
    <row r="2381">
      <c r="A2381" s="61" t="n"/>
      <c r="B2381" s="16" t="n"/>
      <c r="C2381" s="90" t="n"/>
      <c r="D2381" s="90" t="n"/>
      <c r="E2381" s="90" t="n"/>
      <c r="F2381" s="16" t="n"/>
      <c r="G2381" s="16" t="n"/>
      <c r="H2381" s="63" t="n"/>
      <c r="I2381" s="64" t="n"/>
      <c r="J2381" s="16" t="n"/>
      <c r="K2381" s="16" t="n"/>
      <c r="M2381" s="89" t="n"/>
      <c r="N2381" s="1" t="n"/>
      <c r="O2381" s="1" t="n"/>
      <c r="P2381" s="1" t="n"/>
      <c r="Q2381" s="1" t="n"/>
      <c r="R2381" s="1" t="n"/>
    </row>
    <row r="2382">
      <c r="A2382" s="61" t="n"/>
      <c r="B2382" s="16" t="n"/>
      <c r="C2382" s="90" t="n"/>
      <c r="D2382" s="90" t="n"/>
      <c r="E2382" s="90" t="n"/>
      <c r="F2382" s="16" t="n"/>
      <c r="G2382" s="16" t="n"/>
      <c r="H2382" s="63" t="n"/>
      <c r="I2382" s="64" t="n"/>
      <c r="J2382" s="16" t="n"/>
      <c r="K2382" s="16" t="n"/>
      <c r="M2382" s="89" t="n"/>
      <c r="N2382" s="1" t="n"/>
      <c r="O2382" s="1" t="n"/>
      <c r="P2382" s="1" t="n"/>
      <c r="Q2382" s="1" t="n"/>
      <c r="R2382" s="1" t="n"/>
    </row>
    <row r="2383">
      <c r="A2383" s="61" t="n"/>
      <c r="B2383" s="16" t="n"/>
      <c r="C2383" s="90" t="n"/>
      <c r="D2383" s="90" t="n"/>
      <c r="E2383" s="90" t="n"/>
      <c r="F2383" s="16" t="n"/>
      <c r="G2383" s="16" t="n"/>
      <c r="H2383" s="63" t="n"/>
      <c r="I2383" s="64" t="n"/>
      <c r="J2383" s="16" t="n"/>
      <c r="K2383" s="16" t="n"/>
      <c r="M2383" s="89" t="n"/>
      <c r="N2383" s="1" t="n"/>
      <c r="O2383" s="1" t="n"/>
      <c r="P2383" s="1" t="n"/>
      <c r="Q2383" s="1" t="n"/>
      <c r="R2383" s="1" t="n"/>
    </row>
    <row r="2384">
      <c r="A2384" s="61" t="n"/>
      <c r="B2384" s="16" t="n"/>
      <c r="C2384" s="90" t="n"/>
      <c r="D2384" s="90" t="n"/>
      <c r="E2384" s="90" t="n"/>
      <c r="F2384" s="16" t="n"/>
      <c r="G2384" s="16" t="n"/>
      <c r="H2384" s="63" t="n"/>
      <c r="I2384" s="64" t="n"/>
      <c r="J2384" s="16" t="n"/>
      <c r="K2384" s="16" t="n"/>
      <c r="M2384" s="89" t="n"/>
      <c r="N2384" s="1" t="n"/>
      <c r="O2384" s="1" t="n"/>
      <c r="P2384" s="1" t="n"/>
      <c r="Q2384" s="1" t="n"/>
      <c r="R2384" s="1" t="n"/>
    </row>
    <row r="2385">
      <c r="A2385" s="61" t="n"/>
      <c r="B2385" s="16" t="n"/>
      <c r="C2385" s="90" t="n"/>
      <c r="D2385" s="90" t="n"/>
      <c r="E2385" s="90" t="n"/>
      <c r="F2385" s="16" t="n"/>
      <c r="G2385" s="16" t="n"/>
      <c r="H2385" s="63" t="n"/>
      <c r="I2385" s="64" t="n"/>
      <c r="J2385" s="16" t="n"/>
      <c r="K2385" s="16" t="n"/>
      <c r="M2385" s="89" t="n"/>
      <c r="N2385" s="1" t="n"/>
      <c r="O2385" s="1" t="n"/>
      <c r="P2385" s="1" t="n"/>
      <c r="Q2385" s="1" t="n"/>
      <c r="R2385" s="1" t="n"/>
    </row>
    <row r="2386">
      <c r="A2386" s="61" t="n"/>
      <c r="B2386" s="16" t="n"/>
      <c r="C2386" s="90" t="n"/>
      <c r="D2386" s="90" t="n"/>
      <c r="E2386" s="90" t="n"/>
      <c r="F2386" s="16" t="n"/>
      <c r="G2386" s="16" t="n"/>
      <c r="H2386" s="63" t="n"/>
      <c r="I2386" s="64" t="n"/>
      <c r="J2386" s="16" t="n"/>
      <c r="K2386" s="16" t="n"/>
      <c r="M2386" s="89" t="n"/>
      <c r="N2386" s="1" t="n"/>
      <c r="O2386" s="1" t="n"/>
      <c r="P2386" s="1" t="n"/>
      <c r="Q2386" s="1" t="n"/>
      <c r="R2386" s="1" t="n"/>
    </row>
    <row r="2387">
      <c r="A2387" s="61" t="n"/>
      <c r="B2387" s="16" t="n"/>
      <c r="C2387" s="90" t="n"/>
      <c r="D2387" s="90" t="n"/>
      <c r="E2387" s="90" t="n"/>
      <c r="F2387" s="16" t="n"/>
      <c r="G2387" s="16" t="n"/>
      <c r="H2387" s="63" t="n"/>
      <c r="I2387" s="64" t="n"/>
      <c r="J2387" s="16" t="n"/>
      <c r="K2387" s="16" t="n"/>
      <c r="M2387" s="89" t="n"/>
      <c r="N2387" s="1" t="n"/>
      <c r="O2387" s="1" t="n"/>
      <c r="P2387" s="1" t="n"/>
      <c r="Q2387" s="1" t="n"/>
      <c r="R2387" s="1" t="n"/>
    </row>
    <row r="2388">
      <c r="A2388" s="61" t="n"/>
      <c r="B2388" s="16" t="n"/>
      <c r="C2388" s="90" t="n"/>
      <c r="D2388" s="90" t="n"/>
      <c r="E2388" s="90" t="n"/>
      <c r="F2388" s="16" t="n"/>
      <c r="G2388" s="16" t="n"/>
      <c r="H2388" s="63" t="n"/>
      <c r="I2388" s="64" t="n"/>
      <c r="J2388" s="16" t="n"/>
      <c r="K2388" s="16" t="n"/>
      <c r="M2388" s="89" t="n"/>
      <c r="N2388" s="1" t="n"/>
      <c r="O2388" s="1" t="n"/>
      <c r="P2388" s="1" t="n"/>
      <c r="Q2388" s="1" t="n"/>
      <c r="R2388" s="1" t="n"/>
    </row>
    <row r="2389">
      <c r="A2389" s="61" t="n"/>
      <c r="B2389" s="16" t="n"/>
      <c r="C2389" s="90" t="n"/>
      <c r="D2389" s="90" t="n"/>
      <c r="E2389" s="90" t="n"/>
      <c r="F2389" s="16" t="n"/>
      <c r="G2389" s="16" t="n"/>
      <c r="H2389" s="63" t="n"/>
      <c r="I2389" s="64" t="n"/>
      <c r="J2389" s="16" t="n"/>
      <c r="K2389" s="16" t="n"/>
      <c r="M2389" s="89" t="n"/>
      <c r="N2389" s="1" t="n"/>
      <c r="O2389" s="1" t="n"/>
      <c r="P2389" s="1" t="n"/>
      <c r="Q2389" s="1" t="n"/>
      <c r="R2389" s="1" t="n"/>
    </row>
    <row r="2390">
      <c r="A2390" s="61" t="n"/>
      <c r="B2390" s="16" t="n"/>
      <c r="C2390" s="90" t="n"/>
      <c r="D2390" s="90" t="n"/>
      <c r="E2390" s="90" t="n"/>
      <c r="F2390" s="16" t="n"/>
      <c r="G2390" s="16" t="n"/>
      <c r="H2390" s="63" t="n"/>
      <c r="I2390" s="64" t="n"/>
      <c r="J2390" s="16" t="n"/>
      <c r="K2390" s="16" t="n"/>
      <c r="M2390" s="89" t="n"/>
      <c r="N2390" s="1" t="n"/>
      <c r="O2390" s="1" t="n"/>
      <c r="P2390" s="1" t="n"/>
      <c r="Q2390" s="1" t="n"/>
      <c r="R2390" s="1" t="n"/>
    </row>
    <row r="2391">
      <c r="A2391" s="61" t="n"/>
      <c r="B2391" s="16" t="n"/>
      <c r="C2391" s="90" t="n"/>
      <c r="D2391" s="90" t="n"/>
      <c r="E2391" s="90" t="n"/>
      <c r="F2391" s="16" t="n"/>
      <c r="G2391" s="16" t="n"/>
      <c r="H2391" s="63" t="n"/>
      <c r="I2391" s="64" t="n"/>
      <c r="J2391" s="16" t="n"/>
      <c r="K2391" s="16" t="n"/>
      <c r="M2391" s="89" t="n"/>
      <c r="N2391" s="1" t="n"/>
      <c r="O2391" s="1" t="n"/>
      <c r="P2391" s="1" t="n"/>
      <c r="Q2391" s="1" t="n"/>
      <c r="R2391" s="1" t="n"/>
    </row>
    <row r="2392">
      <c r="A2392" s="61" t="n"/>
      <c r="B2392" s="16" t="n"/>
      <c r="C2392" s="90" t="n"/>
      <c r="D2392" s="90" t="n"/>
      <c r="E2392" s="90" t="n"/>
      <c r="F2392" s="16" t="n"/>
      <c r="G2392" s="16" t="n"/>
      <c r="H2392" s="63" t="n"/>
      <c r="I2392" s="64" t="n"/>
      <c r="J2392" s="16" t="n"/>
      <c r="K2392" s="16" t="n"/>
      <c r="M2392" s="89" t="n"/>
      <c r="N2392" s="1" t="n"/>
      <c r="O2392" s="1" t="n"/>
      <c r="P2392" s="1" t="n"/>
      <c r="Q2392" s="1" t="n"/>
      <c r="R2392" s="1" t="n"/>
    </row>
    <row r="2393">
      <c r="A2393" s="61" t="n"/>
      <c r="B2393" s="16" t="n"/>
      <c r="C2393" s="90" t="n"/>
      <c r="D2393" s="90" t="n"/>
      <c r="E2393" s="90" t="n"/>
      <c r="F2393" s="16" t="n"/>
      <c r="G2393" s="16" t="n"/>
      <c r="H2393" s="63" t="n"/>
      <c r="I2393" s="64" t="n"/>
      <c r="J2393" s="16" t="n"/>
      <c r="K2393" s="16" t="n"/>
      <c r="M2393" s="89" t="n"/>
      <c r="N2393" s="1" t="n"/>
      <c r="O2393" s="1" t="n"/>
      <c r="P2393" s="1" t="n"/>
      <c r="Q2393" s="1" t="n"/>
      <c r="R2393" s="1" t="n"/>
    </row>
    <row r="2394">
      <c r="A2394" s="61" t="n"/>
      <c r="B2394" s="16" t="n"/>
      <c r="C2394" s="90" t="n"/>
      <c r="D2394" s="90" t="n"/>
      <c r="E2394" s="90" t="n"/>
      <c r="F2394" s="16" t="n"/>
      <c r="G2394" s="16" t="n"/>
      <c r="H2394" s="63" t="n"/>
      <c r="I2394" s="64" t="n"/>
      <c r="J2394" s="16" t="n"/>
      <c r="K2394" s="16" t="n"/>
      <c r="M2394" s="89" t="n"/>
      <c r="N2394" s="1" t="n"/>
      <c r="O2394" s="1" t="n"/>
      <c r="P2394" s="1" t="n"/>
      <c r="Q2394" s="1" t="n"/>
      <c r="R2394" s="1" t="n"/>
    </row>
    <row r="2395">
      <c r="A2395" s="61" t="n"/>
      <c r="B2395" s="16" t="n"/>
      <c r="C2395" s="90" t="n"/>
      <c r="D2395" s="90" t="n"/>
      <c r="E2395" s="90" t="n"/>
      <c r="F2395" s="16" t="n"/>
      <c r="G2395" s="16" t="n"/>
      <c r="H2395" s="63" t="n"/>
      <c r="I2395" s="64" t="n"/>
      <c r="J2395" s="16" t="n"/>
      <c r="K2395" s="16" t="n"/>
      <c r="M2395" s="89" t="n"/>
      <c r="N2395" s="1" t="n"/>
      <c r="O2395" s="1" t="n"/>
      <c r="P2395" s="1" t="n"/>
      <c r="Q2395" s="1" t="n"/>
      <c r="R2395" s="1" t="n"/>
    </row>
    <row r="2396">
      <c r="A2396" s="61" t="n"/>
      <c r="B2396" s="16" t="n"/>
      <c r="C2396" s="90" t="n"/>
      <c r="D2396" s="90" t="n"/>
      <c r="E2396" s="90" t="n"/>
      <c r="F2396" s="16" t="n"/>
      <c r="G2396" s="16" t="n"/>
      <c r="H2396" s="63" t="n"/>
      <c r="I2396" s="64" t="n"/>
      <c r="J2396" s="16" t="n"/>
      <c r="K2396" s="16" t="n"/>
      <c r="M2396" s="89" t="n"/>
      <c r="N2396" s="1" t="n"/>
      <c r="O2396" s="1" t="n"/>
      <c r="P2396" s="1" t="n"/>
      <c r="Q2396" s="1" t="n"/>
      <c r="R2396" s="1" t="n"/>
    </row>
    <row r="2397">
      <c r="A2397" s="61" t="n"/>
      <c r="B2397" s="16" t="n"/>
      <c r="C2397" s="90" t="n"/>
      <c r="D2397" s="90" t="n"/>
      <c r="E2397" s="90" t="n"/>
      <c r="F2397" s="16" t="n"/>
      <c r="G2397" s="16" t="n"/>
      <c r="H2397" s="63" t="n"/>
      <c r="I2397" s="64" t="n"/>
      <c r="J2397" s="16" t="n"/>
      <c r="K2397" s="16" t="n"/>
      <c r="M2397" s="89" t="n"/>
      <c r="N2397" s="1" t="n"/>
      <c r="O2397" s="1" t="n"/>
      <c r="P2397" s="1" t="n"/>
      <c r="Q2397" s="1" t="n"/>
      <c r="R2397" s="1" t="n"/>
    </row>
    <row r="2398">
      <c r="A2398" s="61" t="n"/>
      <c r="B2398" s="16" t="n"/>
      <c r="C2398" s="90" t="n"/>
      <c r="D2398" s="90" t="n"/>
      <c r="E2398" s="90" t="n"/>
      <c r="F2398" s="16" t="n"/>
      <c r="G2398" s="16" t="n"/>
      <c r="H2398" s="63" t="n"/>
      <c r="I2398" s="64" t="n"/>
      <c r="J2398" s="16" t="n"/>
      <c r="K2398" s="16" t="n"/>
      <c r="M2398" s="89" t="n"/>
      <c r="N2398" s="1" t="n"/>
      <c r="O2398" s="1" t="n"/>
      <c r="P2398" s="1" t="n"/>
      <c r="Q2398" s="1" t="n"/>
      <c r="R2398" s="1" t="n"/>
    </row>
    <row r="2399">
      <c r="A2399" s="61" t="n"/>
      <c r="B2399" s="16" t="n"/>
      <c r="C2399" s="90" t="n"/>
      <c r="D2399" s="90" t="n"/>
      <c r="E2399" s="90" t="n"/>
      <c r="F2399" s="16" t="n"/>
      <c r="G2399" s="16" t="n"/>
      <c r="H2399" s="63" t="n"/>
      <c r="I2399" s="64" t="n"/>
      <c r="J2399" s="16" t="n"/>
      <c r="K2399" s="16" t="n"/>
      <c r="M2399" s="89" t="n"/>
      <c r="N2399" s="1" t="n"/>
      <c r="O2399" s="1" t="n"/>
      <c r="P2399" s="1" t="n"/>
      <c r="Q2399" s="1" t="n"/>
      <c r="R2399" s="1" t="n"/>
    </row>
    <row r="2400">
      <c r="A2400" s="61" t="n"/>
      <c r="B2400" s="16" t="n"/>
      <c r="C2400" s="90" t="n"/>
      <c r="D2400" s="90" t="n"/>
      <c r="E2400" s="90" t="n"/>
      <c r="F2400" s="16" t="n"/>
      <c r="G2400" s="16" t="n"/>
      <c r="H2400" s="63" t="n"/>
      <c r="I2400" s="64" t="n"/>
      <c r="J2400" s="16" t="n"/>
      <c r="K2400" s="16" t="n"/>
      <c r="M2400" s="89" t="n"/>
      <c r="N2400" s="1" t="n"/>
      <c r="O2400" s="1" t="n"/>
      <c r="P2400" s="1" t="n"/>
      <c r="Q2400" s="1" t="n"/>
      <c r="R2400" s="1" t="n"/>
    </row>
    <row r="2401">
      <c r="A2401" s="61" t="n"/>
      <c r="B2401" s="16" t="n"/>
      <c r="C2401" s="90" t="n"/>
      <c r="D2401" s="90" t="n"/>
      <c r="E2401" s="90" t="n"/>
      <c r="F2401" s="16" t="n"/>
      <c r="G2401" s="16" t="n"/>
      <c r="H2401" s="63" t="n"/>
      <c r="I2401" s="64" t="n"/>
      <c r="J2401" s="16" t="n"/>
      <c r="K2401" s="16" t="n"/>
      <c r="M2401" s="89" t="n"/>
      <c r="N2401" s="1" t="n"/>
      <c r="O2401" s="1" t="n"/>
      <c r="P2401" s="1" t="n"/>
      <c r="Q2401" s="1" t="n"/>
      <c r="R2401" s="1" t="n"/>
    </row>
    <row r="2402">
      <c r="A2402" s="61" t="n"/>
      <c r="B2402" s="16" t="n"/>
      <c r="C2402" s="90" t="n"/>
      <c r="D2402" s="90" t="n"/>
      <c r="E2402" s="90" t="n"/>
      <c r="F2402" s="16" t="n"/>
      <c r="G2402" s="16" t="n"/>
      <c r="H2402" s="63" t="n"/>
      <c r="I2402" s="64" t="n"/>
      <c r="J2402" s="16" t="n"/>
      <c r="K2402" s="16" t="n"/>
      <c r="M2402" s="89" t="n"/>
      <c r="N2402" s="1" t="n"/>
      <c r="O2402" s="1" t="n"/>
      <c r="P2402" s="1" t="n"/>
      <c r="Q2402" s="1" t="n"/>
      <c r="R2402" s="1" t="n"/>
    </row>
    <row r="2403">
      <c r="A2403" s="61" t="n"/>
      <c r="B2403" s="16" t="n"/>
      <c r="C2403" s="90" t="n"/>
      <c r="D2403" s="90" t="n"/>
      <c r="E2403" s="90" t="n"/>
      <c r="F2403" s="16" t="n"/>
      <c r="G2403" s="16" t="n"/>
      <c r="H2403" s="63" t="n"/>
      <c r="I2403" s="64" t="n"/>
      <c r="J2403" s="16" t="n"/>
      <c r="K2403" s="16" t="n"/>
      <c r="M2403" s="89" t="n"/>
      <c r="N2403" s="1" t="n"/>
      <c r="O2403" s="1" t="n"/>
      <c r="P2403" s="1" t="n"/>
      <c r="Q2403" s="1" t="n"/>
      <c r="R2403" s="1" t="n"/>
    </row>
    <row r="2404">
      <c r="A2404" s="61" t="n"/>
      <c r="B2404" s="16" t="n"/>
      <c r="C2404" s="90" t="n"/>
      <c r="D2404" s="90" t="n"/>
      <c r="E2404" s="90" t="n"/>
      <c r="F2404" s="16" t="n"/>
      <c r="G2404" s="16" t="n"/>
      <c r="H2404" s="63" t="n"/>
      <c r="I2404" s="64" t="n"/>
      <c r="J2404" s="16" t="n"/>
      <c r="K2404" s="16" t="n"/>
      <c r="M2404" s="89" t="n"/>
      <c r="N2404" s="1" t="n"/>
      <c r="O2404" s="1" t="n"/>
      <c r="P2404" s="1" t="n"/>
      <c r="Q2404" s="1" t="n"/>
      <c r="R2404" s="1" t="n"/>
    </row>
    <row r="2405">
      <c r="A2405" s="61" t="n"/>
      <c r="B2405" s="16" t="n"/>
      <c r="C2405" s="90" t="n"/>
      <c r="D2405" s="90" t="n"/>
      <c r="E2405" s="90" t="n"/>
      <c r="F2405" s="16" t="n"/>
      <c r="G2405" s="16" t="n"/>
      <c r="H2405" s="63" t="n"/>
      <c r="I2405" s="64" t="n"/>
      <c r="J2405" s="16" t="n"/>
      <c r="K2405" s="16" t="n"/>
      <c r="M2405" s="89" t="n"/>
      <c r="N2405" s="1" t="n"/>
      <c r="O2405" s="1" t="n"/>
      <c r="P2405" s="1" t="n"/>
      <c r="Q2405" s="1" t="n"/>
      <c r="R2405" s="1" t="n"/>
    </row>
    <row r="2406">
      <c r="A2406" s="61" t="n"/>
      <c r="B2406" s="16" t="n"/>
      <c r="C2406" s="90" t="n"/>
      <c r="D2406" s="90" t="n"/>
      <c r="E2406" s="90" t="n"/>
      <c r="F2406" s="16" t="n"/>
      <c r="G2406" s="16" t="n"/>
      <c r="H2406" s="63" t="n"/>
      <c r="I2406" s="64" t="n"/>
      <c r="J2406" s="16" t="n"/>
      <c r="K2406" s="16" t="n"/>
      <c r="M2406" s="89" t="n"/>
      <c r="N2406" s="1" t="n"/>
      <c r="O2406" s="1" t="n"/>
      <c r="P2406" s="1" t="n"/>
      <c r="Q2406" s="1" t="n"/>
      <c r="R2406" s="1" t="n"/>
    </row>
    <row r="2407">
      <c r="A2407" s="61" t="n"/>
      <c r="B2407" s="16" t="n"/>
      <c r="C2407" s="90" t="n"/>
      <c r="D2407" s="90" t="n"/>
      <c r="E2407" s="90" t="n"/>
      <c r="F2407" s="16" t="n"/>
      <c r="G2407" s="16" t="n"/>
      <c r="H2407" s="63" t="n"/>
      <c r="I2407" s="64" t="n"/>
      <c r="J2407" s="16" t="n"/>
      <c r="K2407" s="16" t="n"/>
      <c r="M2407" s="89" t="n"/>
      <c r="N2407" s="1" t="n"/>
      <c r="O2407" s="1" t="n"/>
      <c r="P2407" s="1" t="n"/>
      <c r="Q2407" s="1" t="n"/>
      <c r="R2407" s="1" t="n"/>
    </row>
    <row r="2408">
      <c r="A2408" s="61" t="n"/>
      <c r="B2408" s="16" t="n"/>
      <c r="C2408" s="90" t="n"/>
      <c r="D2408" s="90" t="n"/>
      <c r="E2408" s="90" t="n"/>
      <c r="F2408" s="16" t="n"/>
      <c r="G2408" s="16" t="n"/>
      <c r="H2408" s="63" t="n"/>
      <c r="I2408" s="64" t="n"/>
      <c r="J2408" s="16" t="n"/>
      <c r="K2408" s="16" t="n"/>
      <c r="M2408" s="89" t="n"/>
      <c r="N2408" s="1" t="n"/>
      <c r="O2408" s="1" t="n"/>
      <c r="P2408" s="1" t="n"/>
      <c r="Q2408" s="1" t="n"/>
      <c r="R2408" s="1" t="n"/>
    </row>
    <row r="2409">
      <c r="A2409" s="61" t="n"/>
      <c r="B2409" s="16" t="n"/>
      <c r="C2409" s="90" t="n"/>
      <c r="D2409" s="90" t="n"/>
      <c r="E2409" s="90" t="n"/>
      <c r="F2409" s="16" t="n"/>
      <c r="G2409" s="16" t="n"/>
      <c r="H2409" s="63" t="n"/>
      <c r="I2409" s="64" t="n"/>
      <c r="J2409" s="16" t="n"/>
      <c r="K2409" s="16" t="n"/>
      <c r="M2409" s="89" t="n"/>
      <c r="N2409" s="1" t="n"/>
      <c r="O2409" s="1" t="n"/>
      <c r="P2409" s="1" t="n"/>
      <c r="Q2409" s="1" t="n"/>
      <c r="R2409" s="1" t="n"/>
    </row>
    <row r="2410">
      <c r="A2410" s="61" t="n"/>
      <c r="B2410" s="16" t="n"/>
      <c r="C2410" s="90" t="n"/>
      <c r="D2410" s="90" t="n"/>
      <c r="E2410" s="90" t="n"/>
      <c r="F2410" s="16" t="n"/>
      <c r="G2410" s="16" t="n"/>
      <c r="H2410" s="63" t="n"/>
      <c r="I2410" s="64" t="n"/>
      <c r="J2410" s="16" t="n"/>
      <c r="K2410" s="16" t="n"/>
      <c r="M2410" s="89" t="n"/>
      <c r="N2410" s="1" t="n"/>
      <c r="O2410" s="1" t="n"/>
      <c r="P2410" s="1" t="n"/>
      <c r="Q2410" s="1" t="n"/>
      <c r="R2410" s="1" t="n"/>
    </row>
    <row r="2411">
      <c r="A2411" s="61" t="n"/>
      <c r="B2411" s="16" t="n"/>
      <c r="C2411" s="90" t="n"/>
      <c r="D2411" s="90" t="n"/>
      <c r="E2411" s="90" t="n"/>
      <c r="F2411" s="16" t="n"/>
      <c r="G2411" s="16" t="n"/>
      <c r="H2411" s="63" t="n"/>
      <c r="I2411" s="64" t="n"/>
      <c r="J2411" s="16" t="n"/>
      <c r="K2411" s="16" t="n"/>
      <c r="M2411" s="89" t="n"/>
      <c r="N2411" s="1" t="n"/>
      <c r="O2411" s="1" t="n"/>
      <c r="P2411" s="1" t="n"/>
      <c r="Q2411" s="1" t="n"/>
      <c r="R2411" s="1" t="n"/>
    </row>
    <row r="2412">
      <c r="A2412" s="61" t="n"/>
      <c r="B2412" s="16" t="n"/>
      <c r="C2412" s="90" t="n"/>
      <c r="D2412" s="90" t="n"/>
      <c r="E2412" s="90" t="n"/>
      <c r="F2412" s="16" t="n"/>
      <c r="G2412" s="16" t="n"/>
      <c r="H2412" s="63" t="n"/>
      <c r="I2412" s="64" t="n"/>
      <c r="J2412" s="16" t="n"/>
      <c r="K2412" s="16" t="n"/>
      <c r="M2412" s="89" t="n"/>
      <c r="N2412" s="1" t="n"/>
      <c r="O2412" s="1" t="n"/>
      <c r="P2412" s="1" t="n"/>
      <c r="Q2412" s="1" t="n"/>
      <c r="R2412" s="1" t="n"/>
    </row>
    <row r="2413">
      <c r="A2413" s="61" t="n"/>
      <c r="B2413" s="16" t="n"/>
      <c r="C2413" s="90" t="n"/>
      <c r="D2413" s="90" t="n"/>
      <c r="E2413" s="90" t="n"/>
      <c r="F2413" s="16" t="n"/>
      <c r="G2413" s="16" t="n"/>
      <c r="H2413" s="63" t="n"/>
      <c r="I2413" s="64" t="n"/>
      <c r="J2413" s="16" t="n"/>
      <c r="K2413" s="16" t="n"/>
      <c r="M2413" s="89" t="n"/>
      <c r="N2413" s="1" t="n"/>
      <c r="O2413" s="1" t="n"/>
      <c r="P2413" s="1" t="n"/>
      <c r="Q2413" s="1" t="n"/>
      <c r="R2413" s="1" t="n"/>
    </row>
    <row r="2414">
      <c r="A2414" s="61" t="n"/>
      <c r="B2414" s="16" t="n"/>
      <c r="C2414" s="90" t="n"/>
      <c r="D2414" s="90" t="n"/>
      <c r="E2414" s="90" t="n"/>
      <c r="F2414" s="16" t="n"/>
      <c r="G2414" s="16" t="n"/>
      <c r="H2414" s="63" t="n"/>
      <c r="I2414" s="64" t="n"/>
      <c r="J2414" s="16" t="n"/>
      <c r="K2414" s="16" t="n"/>
      <c r="M2414" s="89" t="n"/>
      <c r="N2414" s="1" t="n"/>
      <c r="O2414" s="1" t="n"/>
      <c r="P2414" s="1" t="n"/>
      <c r="Q2414" s="1" t="n"/>
      <c r="R2414" s="1" t="n"/>
    </row>
    <row r="2415">
      <c r="A2415" s="61" t="n"/>
      <c r="B2415" s="16" t="n"/>
      <c r="C2415" s="90" t="n"/>
      <c r="D2415" s="90" t="n"/>
      <c r="E2415" s="90" t="n"/>
      <c r="F2415" s="16" t="n"/>
      <c r="G2415" s="16" t="n"/>
      <c r="H2415" s="63" t="n"/>
      <c r="I2415" s="64" t="n"/>
      <c r="J2415" s="16" t="n"/>
      <c r="K2415" s="16" t="n"/>
      <c r="M2415" s="89" t="n"/>
      <c r="N2415" s="1" t="n"/>
      <c r="O2415" s="1" t="n"/>
      <c r="P2415" s="1" t="n"/>
      <c r="Q2415" s="1" t="n"/>
      <c r="R2415" s="1" t="n"/>
    </row>
    <row r="2416">
      <c r="A2416" s="61" t="n"/>
      <c r="B2416" s="16" t="n"/>
      <c r="C2416" s="90" t="n"/>
      <c r="D2416" s="90" t="n"/>
      <c r="E2416" s="90" t="n"/>
      <c r="F2416" s="16" t="n"/>
      <c r="G2416" s="16" t="n"/>
      <c r="H2416" s="63" t="n"/>
      <c r="I2416" s="64" t="n"/>
      <c r="J2416" s="16" t="n"/>
      <c r="K2416" s="16" t="n"/>
      <c r="M2416" s="89" t="n"/>
      <c r="N2416" s="1" t="n"/>
      <c r="O2416" s="1" t="n"/>
      <c r="P2416" s="1" t="n"/>
      <c r="Q2416" s="1" t="n"/>
      <c r="R2416" s="1" t="n"/>
    </row>
    <row r="2417">
      <c r="A2417" s="61" t="n"/>
      <c r="B2417" s="16" t="n"/>
      <c r="C2417" s="90" t="n"/>
      <c r="D2417" s="90" t="n"/>
      <c r="E2417" s="90" t="n"/>
      <c r="F2417" s="16" t="n"/>
      <c r="G2417" s="16" t="n"/>
      <c r="H2417" s="63" t="n"/>
      <c r="I2417" s="64" t="n"/>
      <c r="J2417" s="16" t="n"/>
      <c r="K2417" s="16" t="n"/>
      <c r="M2417" s="89" t="n"/>
      <c r="N2417" s="1" t="n"/>
      <c r="O2417" s="1" t="n"/>
      <c r="P2417" s="1" t="n"/>
      <c r="Q2417" s="1" t="n"/>
      <c r="R2417" s="1" t="n"/>
    </row>
    <row r="2418">
      <c r="A2418" s="61" t="n"/>
      <c r="B2418" s="16" t="n"/>
      <c r="C2418" s="90" t="n"/>
      <c r="D2418" s="90" t="n"/>
      <c r="E2418" s="90" t="n"/>
      <c r="F2418" s="16" t="n"/>
      <c r="G2418" s="16" t="n"/>
      <c r="H2418" s="63" t="n"/>
      <c r="I2418" s="64" t="n"/>
      <c r="J2418" s="16" t="n"/>
      <c r="K2418" s="16" t="n"/>
      <c r="M2418" s="89" t="n"/>
      <c r="N2418" s="1" t="n"/>
      <c r="O2418" s="1" t="n"/>
      <c r="P2418" s="1" t="n"/>
      <c r="Q2418" s="1" t="n"/>
      <c r="R2418" s="1" t="n"/>
    </row>
    <row r="2419">
      <c r="A2419" s="61" t="n"/>
      <c r="B2419" s="16" t="n"/>
      <c r="C2419" s="90" t="n"/>
      <c r="D2419" s="90" t="n"/>
      <c r="E2419" s="90" t="n"/>
      <c r="F2419" s="16" t="n"/>
      <c r="G2419" s="16" t="n"/>
      <c r="H2419" s="63" t="n"/>
      <c r="I2419" s="64" t="n"/>
      <c r="J2419" s="16" t="n"/>
      <c r="K2419" s="16" t="n"/>
      <c r="M2419" s="89" t="n"/>
      <c r="N2419" s="1" t="n"/>
      <c r="O2419" s="1" t="n"/>
      <c r="P2419" s="1" t="n"/>
      <c r="Q2419" s="1" t="n"/>
      <c r="R2419" s="1" t="n"/>
    </row>
    <row r="2420">
      <c r="A2420" s="61" t="n"/>
      <c r="B2420" s="16" t="n"/>
      <c r="C2420" s="90" t="n"/>
      <c r="D2420" s="90" t="n"/>
      <c r="E2420" s="90" t="n"/>
      <c r="F2420" s="16" t="n"/>
      <c r="G2420" s="16" t="n"/>
      <c r="H2420" s="63" t="n"/>
      <c r="I2420" s="64" t="n"/>
      <c r="J2420" s="16" t="n"/>
      <c r="K2420" s="16" t="n"/>
      <c r="M2420" s="89" t="n"/>
      <c r="N2420" s="1" t="n"/>
      <c r="O2420" s="1" t="n"/>
      <c r="P2420" s="1" t="n"/>
      <c r="Q2420" s="1" t="n"/>
      <c r="R2420" s="1" t="n"/>
    </row>
    <row r="2421">
      <c r="A2421" s="61" t="n"/>
      <c r="B2421" s="16" t="n"/>
      <c r="C2421" s="90" t="n"/>
      <c r="D2421" s="90" t="n"/>
      <c r="E2421" s="90" t="n"/>
      <c r="F2421" s="16" t="n"/>
      <c r="G2421" s="16" t="n"/>
      <c r="H2421" s="63" t="n"/>
      <c r="I2421" s="64" t="n"/>
      <c r="J2421" s="16" t="n"/>
      <c r="K2421" s="16" t="n"/>
      <c r="M2421" s="89" t="n"/>
      <c r="N2421" s="1" t="n"/>
      <c r="O2421" s="1" t="n"/>
      <c r="P2421" s="1" t="n"/>
      <c r="Q2421" s="1" t="n"/>
      <c r="R2421" s="1" t="n"/>
    </row>
    <row r="2422">
      <c r="A2422" s="61" t="n"/>
      <c r="B2422" s="16" t="n"/>
      <c r="C2422" s="90" t="n"/>
      <c r="D2422" s="90" t="n"/>
      <c r="E2422" s="90" t="n"/>
      <c r="F2422" s="16" t="n"/>
      <c r="G2422" s="16" t="n"/>
      <c r="H2422" s="63" t="n"/>
      <c r="I2422" s="64" t="n"/>
      <c r="J2422" s="16" t="n"/>
      <c r="K2422" s="16" t="n"/>
      <c r="M2422" s="89" t="n"/>
      <c r="N2422" s="1" t="n"/>
      <c r="O2422" s="1" t="n"/>
      <c r="P2422" s="1" t="n"/>
      <c r="Q2422" s="1" t="n"/>
      <c r="R2422" s="1" t="n"/>
    </row>
    <row r="2423">
      <c r="A2423" s="61" t="n"/>
      <c r="B2423" s="16" t="n"/>
      <c r="C2423" s="90" t="n"/>
      <c r="D2423" s="90" t="n"/>
      <c r="E2423" s="90" t="n"/>
      <c r="F2423" s="16" t="n"/>
      <c r="G2423" s="16" t="n"/>
      <c r="H2423" s="63" t="n"/>
      <c r="I2423" s="64" t="n"/>
      <c r="J2423" s="16" t="n"/>
      <c r="K2423" s="16" t="n"/>
      <c r="M2423" s="89" t="n"/>
      <c r="N2423" s="1" t="n"/>
      <c r="O2423" s="1" t="n"/>
      <c r="P2423" s="1" t="n"/>
      <c r="Q2423" s="1" t="n"/>
      <c r="R2423" s="1" t="n"/>
    </row>
    <row r="2424">
      <c r="A2424" s="61" t="n"/>
      <c r="B2424" s="16" t="n"/>
      <c r="C2424" s="90" t="n"/>
      <c r="D2424" s="90" t="n"/>
      <c r="E2424" s="90" t="n"/>
      <c r="F2424" s="16" t="n"/>
      <c r="G2424" s="16" t="n"/>
      <c r="H2424" s="63" t="n"/>
      <c r="I2424" s="64" t="n"/>
      <c r="J2424" s="16" t="n"/>
      <c r="K2424" s="16" t="n"/>
      <c r="M2424" s="89" t="n"/>
      <c r="N2424" s="1" t="n"/>
      <c r="O2424" s="1" t="n"/>
      <c r="P2424" s="1" t="n"/>
      <c r="Q2424" s="1" t="n"/>
      <c r="R2424" s="1" t="n"/>
    </row>
    <row r="2425">
      <c r="A2425" s="61" t="n"/>
      <c r="B2425" s="16" t="n"/>
      <c r="C2425" s="90" t="n"/>
      <c r="D2425" s="90" t="n"/>
      <c r="E2425" s="90" t="n"/>
      <c r="F2425" s="16" t="n"/>
      <c r="G2425" s="16" t="n"/>
      <c r="H2425" s="63" t="n"/>
      <c r="I2425" s="64" t="n"/>
      <c r="J2425" s="16" t="n"/>
      <c r="K2425" s="16" t="n"/>
      <c r="M2425" s="89" t="n"/>
      <c r="N2425" s="1" t="n"/>
      <c r="O2425" s="1" t="n"/>
      <c r="P2425" s="1" t="n"/>
      <c r="Q2425" s="1" t="n"/>
      <c r="R2425" s="1" t="n"/>
    </row>
    <row r="2426">
      <c r="A2426" s="61" t="n"/>
      <c r="B2426" s="16" t="n"/>
      <c r="C2426" s="90" t="n"/>
      <c r="D2426" s="90" t="n"/>
      <c r="E2426" s="90" t="n"/>
      <c r="F2426" s="16" t="n"/>
      <c r="G2426" s="16" t="n"/>
      <c r="H2426" s="63" t="n"/>
      <c r="I2426" s="64" t="n"/>
      <c r="J2426" s="16" t="n"/>
      <c r="K2426" s="16" t="n"/>
      <c r="M2426" s="89" t="n"/>
      <c r="N2426" s="1" t="n"/>
      <c r="O2426" s="1" t="n"/>
      <c r="P2426" s="1" t="n"/>
      <c r="Q2426" s="1" t="n"/>
      <c r="R2426" s="1" t="n"/>
    </row>
    <row r="2427">
      <c r="A2427" s="61" t="n"/>
      <c r="B2427" s="16" t="n"/>
      <c r="C2427" s="90" t="n"/>
      <c r="D2427" s="90" t="n"/>
      <c r="E2427" s="90" t="n"/>
      <c r="F2427" s="16" t="n"/>
      <c r="G2427" s="16" t="n"/>
      <c r="H2427" s="63" t="n"/>
      <c r="I2427" s="64" t="n"/>
      <c r="J2427" s="16" t="n"/>
      <c r="K2427" s="16" t="n"/>
      <c r="M2427" s="89" t="n"/>
      <c r="N2427" s="1" t="n"/>
      <c r="O2427" s="1" t="n"/>
      <c r="P2427" s="1" t="n"/>
      <c r="Q2427" s="1" t="n"/>
      <c r="R2427" s="1" t="n"/>
    </row>
    <row r="2428">
      <c r="A2428" s="61" t="n"/>
      <c r="B2428" s="16" t="n"/>
      <c r="C2428" s="90" t="n"/>
      <c r="D2428" s="90" t="n"/>
      <c r="E2428" s="90" t="n"/>
      <c r="F2428" s="16" t="n"/>
      <c r="G2428" s="16" t="n"/>
      <c r="H2428" s="63" t="n"/>
      <c r="I2428" s="64" t="n"/>
      <c r="J2428" s="16" t="n"/>
      <c r="K2428" s="16" t="n"/>
      <c r="M2428" s="89" t="n"/>
      <c r="N2428" s="1" t="n"/>
      <c r="O2428" s="1" t="n"/>
      <c r="P2428" s="1" t="n"/>
      <c r="Q2428" s="1" t="n"/>
      <c r="R2428" s="1" t="n"/>
    </row>
    <row r="2429">
      <c r="A2429" s="61" t="n"/>
      <c r="B2429" s="16" t="n"/>
      <c r="C2429" s="90" t="n"/>
      <c r="D2429" s="90" t="n"/>
      <c r="E2429" s="90" t="n"/>
      <c r="F2429" s="16" t="n"/>
      <c r="G2429" s="16" t="n"/>
      <c r="H2429" s="63" t="n"/>
      <c r="I2429" s="64" t="n"/>
      <c r="J2429" s="16" t="n"/>
      <c r="K2429" s="16" t="n"/>
      <c r="M2429" s="89" t="n"/>
      <c r="N2429" s="1" t="n"/>
      <c r="O2429" s="1" t="n"/>
      <c r="P2429" s="1" t="n"/>
      <c r="Q2429" s="1" t="n"/>
      <c r="R2429" s="1" t="n"/>
    </row>
    <row r="2430">
      <c r="A2430" s="61" t="n"/>
      <c r="B2430" s="16" t="n"/>
      <c r="C2430" s="90" t="n"/>
      <c r="D2430" s="90" t="n"/>
      <c r="E2430" s="90" t="n"/>
      <c r="F2430" s="16" t="n"/>
      <c r="G2430" s="16" t="n"/>
      <c r="H2430" s="63" t="n"/>
      <c r="I2430" s="64" t="n"/>
      <c r="J2430" s="16" t="n"/>
      <c r="K2430" s="16" t="n"/>
      <c r="M2430" s="89" t="n"/>
      <c r="N2430" s="1" t="n"/>
      <c r="O2430" s="1" t="n"/>
      <c r="P2430" s="1" t="n"/>
      <c r="Q2430" s="1" t="n"/>
      <c r="R2430" s="1" t="n"/>
    </row>
    <row r="2431">
      <c r="A2431" s="61" t="n"/>
      <c r="B2431" s="16" t="n"/>
      <c r="C2431" s="90" t="n"/>
      <c r="D2431" s="90" t="n"/>
      <c r="E2431" s="90" t="n"/>
      <c r="F2431" s="16" t="n"/>
      <c r="G2431" s="16" t="n"/>
      <c r="H2431" s="63" t="n"/>
      <c r="I2431" s="64" t="n"/>
      <c r="J2431" s="16" t="n"/>
      <c r="K2431" s="16" t="n"/>
      <c r="M2431" s="89" t="n"/>
      <c r="N2431" s="1" t="n"/>
      <c r="O2431" s="1" t="n"/>
      <c r="P2431" s="1" t="n"/>
      <c r="Q2431" s="1" t="n"/>
      <c r="R2431" s="1" t="n"/>
    </row>
    <row r="2432">
      <c r="A2432" s="61" t="n"/>
      <c r="B2432" s="16" t="n"/>
      <c r="C2432" s="90" t="n"/>
      <c r="D2432" s="90" t="n"/>
      <c r="E2432" s="90" t="n"/>
      <c r="F2432" s="16" t="n"/>
      <c r="G2432" s="16" t="n"/>
      <c r="H2432" s="63" t="n"/>
      <c r="I2432" s="64" t="n"/>
      <c r="J2432" s="16" t="n"/>
      <c r="K2432" s="16" t="n"/>
      <c r="M2432" s="89" t="n"/>
      <c r="N2432" s="1" t="n"/>
      <c r="O2432" s="1" t="n"/>
      <c r="P2432" s="1" t="n"/>
      <c r="Q2432" s="1" t="n"/>
      <c r="R2432" s="1" t="n"/>
    </row>
    <row r="2433">
      <c r="A2433" s="61" t="n"/>
      <c r="B2433" s="16" t="n"/>
      <c r="C2433" s="90" t="n"/>
      <c r="D2433" s="90" t="n"/>
      <c r="E2433" s="90" t="n"/>
      <c r="F2433" s="16" t="n"/>
      <c r="G2433" s="16" t="n"/>
      <c r="H2433" s="63" t="n"/>
      <c r="I2433" s="64" t="n"/>
      <c r="J2433" s="16" t="n"/>
      <c r="K2433" s="16" t="n"/>
      <c r="M2433" s="89" t="n"/>
      <c r="N2433" s="1" t="n"/>
      <c r="O2433" s="1" t="n"/>
      <c r="P2433" s="1" t="n"/>
      <c r="Q2433" s="1" t="n"/>
      <c r="R2433" s="1" t="n"/>
    </row>
    <row r="2434">
      <c r="A2434" s="61" t="n"/>
      <c r="B2434" s="16" t="n"/>
      <c r="C2434" s="90" t="n"/>
      <c r="D2434" s="90" t="n"/>
      <c r="E2434" s="90" t="n"/>
      <c r="F2434" s="16" t="n"/>
      <c r="G2434" s="16" t="n"/>
      <c r="H2434" s="63" t="n"/>
      <c r="I2434" s="64" t="n"/>
      <c r="J2434" s="16" t="n"/>
      <c r="K2434" s="16" t="n"/>
      <c r="M2434" s="89" t="n"/>
      <c r="N2434" s="1" t="n"/>
      <c r="O2434" s="1" t="n"/>
      <c r="P2434" s="1" t="n"/>
      <c r="Q2434" s="1" t="n"/>
      <c r="R2434" s="1" t="n"/>
    </row>
    <row r="2435">
      <c r="A2435" s="61" t="n"/>
      <c r="B2435" s="16" t="n"/>
      <c r="C2435" s="90" t="n"/>
      <c r="D2435" s="90" t="n"/>
      <c r="E2435" s="90" t="n"/>
      <c r="F2435" s="16" t="n"/>
      <c r="G2435" s="16" t="n"/>
      <c r="H2435" s="63" t="n"/>
      <c r="I2435" s="64" t="n"/>
      <c r="J2435" s="16" t="n"/>
      <c r="K2435" s="16" t="n"/>
      <c r="M2435" s="89" t="n"/>
      <c r="N2435" s="1" t="n"/>
      <c r="O2435" s="1" t="n"/>
      <c r="P2435" s="1" t="n"/>
      <c r="Q2435" s="1" t="n"/>
      <c r="R2435" s="1" t="n"/>
    </row>
    <row r="2436">
      <c r="A2436" s="61" t="n"/>
      <c r="B2436" s="16" t="n"/>
      <c r="C2436" s="90" t="n"/>
      <c r="D2436" s="90" t="n"/>
      <c r="E2436" s="90" t="n"/>
      <c r="F2436" s="16" t="n"/>
      <c r="G2436" s="16" t="n"/>
      <c r="H2436" s="63" t="n"/>
      <c r="I2436" s="64" t="n"/>
      <c r="J2436" s="16" t="n"/>
      <c r="K2436" s="16" t="n"/>
      <c r="M2436" s="89" t="n"/>
      <c r="N2436" s="1" t="n"/>
      <c r="O2436" s="1" t="n"/>
      <c r="P2436" s="1" t="n"/>
      <c r="Q2436" s="1" t="n"/>
      <c r="R2436" s="1" t="n"/>
    </row>
    <row r="2437">
      <c r="A2437" s="61" t="n"/>
      <c r="B2437" s="16" t="n"/>
      <c r="C2437" s="90" t="n"/>
      <c r="D2437" s="90" t="n"/>
      <c r="E2437" s="90" t="n"/>
      <c r="F2437" s="16" t="n"/>
      <c r="G2437" s="16" t="n"/>
      <c r="H2437" s="63" t="n"/>
      <c r="I2437" s="64" t="n"/>
      <c r="J2437" s="16" t="n"/>
      <c r="K2437" s="16" t="n"/>
      <c r="M2437" s="89" t="n"/>
      <c r="N2437" s="1" t="n"/>
      <c r="O2437" s="1" t="n"/>
      <c r="P2437" s="1" t="n"/>
      <c r="Q2437" s="1" t="n"/>
      <c r="R2437" s="1" t="n"/>
    </row>
    <row r="2438">
      <c r="A2438" s="61" t="n"/>
      <c r="B2438" s="16" t="n"/>
      <c r="C2438" s="90" t="n"/>
      <c r="D2438" s="90" t="n"/>
      <c r="E2438" s="90" t="n"/>
      <c r="F2438" s="16" t="n"/>
      <c r="G2438" s="16" t="n"/>
      <c r="H2438" s="63" t="n"/>
      <c r="I2438" s="64" t="n"/>
      <c r="J2438" s="16" t="n"/>
      <c r="K2438" s="16" t="n"/>
      <c r="M2438" s="89" t="n"/>
      <c r="N2438" s="1" t="n"/>
      <c r="O2438" s="1" t="n"/>
      <c r="P2438" s="1" t="n"/>
      <c r="Q2438" s="1" t="n"/>
      <c r="R2438" s="1" t="n"/>
    </row>
    <row r="2439">
      <c r="A2439" s="61" t="n"/>
      <c r="B2439" s="16" t="n"/>
      <c r="C2439" s="90" t="n"/>
      <c r="D2439" s="90" t="n"/>
      <c r="E2439" s="90" t="n"/>
      <c r="F2439" s="16" t="n"/>
      <c r="G2439" s="16" t="n"/>
      <c r="H2439" s="63" t="n"/>
      <c r="I2439" s="64" t="n"/>
      <c r="J2439" s="16" t="n"/>
      <c r="K2439" s="16" t="n"/>
      <c r="M2439" s="89" t="n"/>
      <c r="N2439" s="1" t="n"/>
      <c r="O2439" s="1" t="n"/>
      <c r="P2439" s="1" t="n"/>
      <c r="Q2439" s="1" t="n"/>
      <c r="R2439" s="1" t="n"/>
    </row>
    <row r="2440">
      <c r="A2440" s="61" t="n"/>
      <c r="B2440" s="16" t="n"/>
      <c r="C2440" s="90" t="n"/>
      <c r="D2440" s="90" t="n"/>
      <c r="E2440" s="90" t="n"/>
      <c r="F2440" s="16" t="n"/>
      <c r="G2440" s="16" t="n"/>
      <c r="H2440" s="63" t="n"/>
      <c r="I2440" s="64" t="n"/>
      <c r="J2440" s="16" t="n"/>
      <c r="K2440" s="16" t="n"/>
      <c r="M2440" s="89" t="n"/>
      <c r="N2440" s="1" t="n"/>
      <c r="O2440" s="1" t="n"/>
      <c r="P2440" s="1" t="n"/>
      <c r="Q2440" s="1" t="n"/>
      <c r="R2440" s="1" t="n"/>
    </row>
    <row r="2441">
      <c r="A2441" s="61" t="n"/>
      <c r="B2441" s="16" t="n"/>
      <c r="C2441" s="90" t="n"/>
      <c r="D2441" s="90" t="n"/>
      <c r="E2441" s="90" t="n"/>
      <c r="F2441" s="16" t="n"/>
      <c r="G2441" s="16" t="n"/>
      <c r="H2441" s="63" t="n"/>
      <c r="I2441" s="64" t="n"/>
      <c r="J2441" s="16" t="n"/>
      <c r="K2441" s="16" t="n"/>
      <c r="M2441" s="89" t="n"/>
      <c r="N2441" s="1" t="n"/>
      <c r="O2441" s="1" t="n"/>
      <c r="P2441" s="1" t="n"/>
      <c r="Q2441" s="1" t="n"/>
      <c r="R2441" s="1" t="n"/>
    </row>
    <row r="2442">
      <c r="A2442" s="61" t="n"/>
      <c r="B2442" s="16" t="n"/>
      <c r="C2442" s="90" t="n"/>
      <c r="D2442" s="90" t="n"/>
      <c r="E2442" s="90" t="n"/>
      <c r="F2442" s="16" t="n"/>
      <c r="G2442" s="16" t="n"/>
      <c r="H2442" s="63" t="n"/>
      <c r="I2442" s="64" t="n"/>
      <c r="J2442" s="16" t="n"/>
      <c r="K2442" s="16" t="n"/>
      <c r="M2442" s="89" t="n"/>
      <c r="N2442" s="1" t="n"/>
      <c r="O2442" s="1" t="n"/>
      <c r="P2442" s="1" t="n"/>
      <c r="Q2442" s="1" t="n"/>
      <c r="R2442" s="1" t="n"/>
    </row>
    <row r="2443">
      <c r="A2443" s="61" t="n"/>
      <c r="B2443" s="16" t="n"/>
      <c r="C2443" s="90" t="n"/>
      <c r="D2443" s="90" t="n"/>
      <c r="E2443" s="90" t="n"/>
      <c r="F2443" s="16" t="n"/>
      <c r="G2443" s="16" t="n"/>
      <c r="H2443" s="63" t="n"/>
      <c r="I2443" s="64" t="n"/>
      <c r="J2443" s="16" t="n"/>
      <c r="K2443" s="16" t="n"/>
      <c r="M2443" s="89" t="n"/>
      <c r="N2443" s="1" t="n"/>
      <c r="O2443" s="1" t="n"/>
      <c r="P2443" s="1" t="n"/>
      <c r="Q2443" s="1" t="n"/>
      <c r="R2443" s="1" t="n"/>
    </row>
    <row r="2444">
      <c r="A2444" s="61" t="n"/>
      <c r="B2444" s="16" t="n"/>
      <c r="C2444" s="90" t="n"/>
      <c r="D2444" s="90" t="n"/>
      <c r="E2444" s="90" t="n"/>
      <c r="F2444" s="16" t="n"/>
      <c r="G2444" s="16" t="n"/>
      <c r="H2444" s="63" t="n"/>
      <c r="I2444" s="64" t="n"/>
      <c r="J2444" s="16" t="n"/>
      <c r="K2444" s="16" t="n"/>
      <c r="M2444" s="89" t="n"/>
      <c r="N2444" s="1" t="n"/>
      <c r="O2444" s="1" t="n"/>
      <c r="P2444" s="1" t="n"/>
      <c r="Q2444" s="1" t="n"/>
      <c r="R2444" s="1" t="n"/>
    </row>
    <row r="2445">
      <c r="A2445" s="61" t="n"/>
      <c r="B2445" s="16" t="n"/>
      <c r="C2445" s="90" t="n"/>
      <c r="D2445" s="90" t="n"/>
      <c r="E2445" s="90" t="n"/>
      <c r="F2445" s="16" t="n"/>
      <c r="G2445" s="16" t="n"/>
      <c r="H2445" s="63" t="n"/>
      <c r="I2445" s="64" t="n"/>
      <c r="J2445" s="16" t="n"/>
      <c r="K2445" s="16" t="n"/>
      <c r="M2445" s="89" t="n"/>
      <c r="N2445" s="1" t="n"/>
      <c r="O2445" s="1" t="n"/>
      <c r="P2445" s="1" t="n"/>
      <c r="Q2445" s="1" t="n"/>
      <c r="R2445" s="1" t="n"/>
    </row>
    <row r="2446">
      <c r="A2446" s="61" t="n"/>
      <c r="B2446" s="16" t="n"/>
      <c r="C2446" s="90" t="n"/>
      <c r="D2446" s="90" t="n"/>
      <c r="E2446" s="90" t="n"/>
      <c r="F2446" s="16" t="n"/>
      <c r="G2446" s="16" t="n"/>
      <c r="H2446" s="63" t="n"/>
      <c r="I2446" s="64" t="n"/>
      <c r="J2446" s="16" t="n"/>
      <c r="K2446" s="16" t="n"/>
      <c r="M2446" s="89" t="n"/>
      <c r="N2446" s="1" t="n"/>
      <c r="O2446" s="1" t="n"/>
      <c r="P2446" s="1" t="n"/>
      <c r="Q2446" s="1" t="n"/>
      <c r="R2446" s="1" t="n"/>
    </row>
    <row r="2447">
      <c r="A2447" s="61" t="n"/>
      <c r="B2447" s="16" t="n"/>
      <c r="C2447" s="90" t="n"/>
      <c r="D2447" s="90" t="n"/>
      <c r="E2447" s="90" t="n"/>
      <c r="F2447" s="16" t="n"/>
      <c r="G2447" s="16" t="n"/>
      <c r="H2447" s="63" t="n"/>
      <c r="I2447" s="64" t="n"/>
      <c r="J2447" s="16" t="n"/>
      <c r="K2447" s="16" t="n"/>
      <c r="M2447" s="89" t="n"/>
      <c r="N2447" s="1" t="n"/>
      <c r="O2447" s="1" t="n"/>
      <c r="P2447" s="1" t="n"/>
      <c r="Q2447" s="1" t="n"/>
      <c r="R2447" s="1" t="n"/>
    </row>
    <row r="2448">
      <c r="A2448" s="61" t="n"/>
      <c r="B2448" s="16" t="n"/>
      <c r="C2448" s="90" t="n"/>
      <c r="D2448" s="90" t="n"/>
      <c r="E2448" s="90" t="n"/>
      <c r="F2448" s="16" t="n"/>
      <c r="G2448" s="16" t="n"/>
      <c r="H2448" s="63" t="n"/>
      <c r="I2448" s="64" t="n"/>
      <c r="J2448" s="16" t="n"/>
      <c r="K2448" s="16" t="n"/>
      <c r="M2448" s="89" t="n"/>
      <c r="N2448" s="1" t="n"/>
      <c r="O2448" s="1" t="n"/>
      <c r="P2448" s="1" t="n"/>
      <c r="Q2448" s="1" t="n"/>
      <c r="R2448" s="1" t="n"/>
    </row>
    <row r="2449">
      <c r="A2449" s="61" t="n"/>
      <c r="B2449" s="16" t="n"/>
      <c r="C2449" s="90" t="n"/>
      <c r="D2449" s="90" t="n"/>
      <c r="E2449" s="90" t="n"/>
      <c r="F2449" s="16" t="n"/>
      <c r="G2449" s="16" t="n"/>
      <c r="H2449" s="63" t="n"/>
      <c r="I2449" s="64" t="n"/>
      <c r="J2449" s="16" t="n"/>
      <c r="K2449" s="16" t="n"/>
      <c r="M2449" s="89" t="n"/>
      <c r="N2449" s="1" t="n"/>
      <c r="O2449" s="1" t="n"/>
      <c r="P2449" s="1" t="n"/>
      <c r="Q2449" s="1" t="n"/>
      <c r="R2449" s="1" t="n"/>
    </row>
    <row r="2450">
      <c r="A2450" s="61" t="n"/>
      <c r="B2450" s="16" t="n"/>
      <c r="C2450" s="90" t="n"/>
      <c r="D2450" s="90" t="n"/>
      <c r="E2450" s="90" t="n"/>
      <c r="F2450" s="16" t="n"/>
      <c r="G2450" s="16" t="n"/>
      <c r="H2450" s="63" t="n"/>
      <c r="I2450" s="64" t="n"/>
      <c r="J2450" s="16" t="n"/>
      <c r="K2450" s="16" t="n"/>
      <c r="M2450" s="89" t="n"/>
      <c r="N2450" s="1" t="n"/>
      <c r="O2450" s="1" t="n"/>
      <c r="P2450" s="1" t="n"/>
      <c r="Q2450" s="1" t="n"/>
      <c r="R2450" s="1" t="n"/>
    </row>
    <row r="2451">
      <c r="A2451" s="61" t="n"/>
      <c r="B2451" s="16" t="n"/>
      <c r="C2451" s="90" t="n"/>
      <c r="D2451" s="90" t="n"/>
      <c r="E2451" s="90" t="n"/>
      <c r="F2451" s="16" t="n"/>
      <c r="G2451" s="16" t="n"/>
      <c r="H2451" s="63" t="n"/>
      <c r="I2451" s="64" t="n"/>
      <c r="J2451" s="16" t="n"/>
      <c r="K2451" s="16" t="n"/>
      <c r="M2451" s="89" t="n"/>
      <c r="N2451" s="1" t="n"/>
      <c r="O2451" s="1" t="n"/>
      <c r="P2451" s="1" t="n"/>
      <c r="Q2451" s="1" t="n"/>
      <c r="R2451" s="1" t="n"/>
    </row>
    <row r="2452">
      <c r="A2452" s="61" t="n"/>
      <c r="B2452" s="16" t="n"/>
      <c r="C2452" s="90" t="n"/>
      <c r="D2452" s="90" t="n"/>
      <c r="E2452" s="90" t="n"/>
      <c r="F2452" s="16" t="n"/>
      <c r="G2452" s="16" t="n"/>
      <c r="H2452" s="63" t="n"/>
      <c r="I2452" s="64" t="n"/>
      <c r="J2452" s="16" t="n"/>
      <c r="K2452" s="16" t="n"/>
      <c r="M2452" s="89" t="n"/>
      <c r="N2452" s="1" t="n"/>
      <c r="O2452" s="1" t="n"/>
      <c r="P2452" s="1" t="n"/>
      <c r="Q2452" s="1" t="n"/>
      <c r="R2452" s="1" t="n"/>
    </row>
    <row r="2453">
      <c r="A2453" s="61" t="n"/>
      <c r="B2453" s="16" t="n"/>
      <c r="C2453" s="90" t="n"/>
      <c r="D2453" s="90" t="n"/>
      <c r="E2453" s="90" t="n"/>
      <c r="F2453" s="16" t="n"/>
      <c r="G2453" s="16" t="n"/>
      <c r="H2453" s="63" t="n"/>
      <c r="I2453" s="64" t="n"/>
      <c r="J2453" s="16" t="n"/>
      <c r="K2453" s="16" t="n"/>
      <c r="M2453" s="89" t="n"/>
      <c r="N2453" s="1" t="n"/>
      <c r="O2453" s="1" t="n"/>
      <c r="P2453" s="1" t="n"/>
      <c r="Q2453" s="1" t="n"/>
      <c r="R2453" s="1" t="n"/>
    </row>
    <row r="2454">
      <c r="A2454" s="61" t="n"/>
      <c r="B2454" s="16" t="n"/>
      <c r="C2454" s="90" t="n"/>
      <c r="D2454" s="90" t="n"/>
      <c r="E2454" s="90" t="n"/>
      <c r="F2454" s="16" t="n"/>
      <c r="G2454" s="16" t="n"/>
      <c r="H2454" s="63" t="n"/>
      <c r="I2454" s="64" t="n"/>
      <c r="J2454" s="16" t="n"/>
      <c r="K2454" s="16" t="n"/>
      <c r="M2454" s="89" t="n"/>
      <c r="N2454" s="1" t="n"/>
      <c r="O2454" s="1" t="n"/>
      <c r="P2454" s="1" t="n"/>
      <c r="Q2454" s="1" t="n"/>
      <c r="R2454" s="1" t="n"/>
    </row>
    <row r="2455">
      <c r="A2455" s="61" t="n"/>
      <c r="B2455" s="16" t="n"/>
      <c r="C2455" s="90" t="n"/>
      <c r="D2455" s="90" t="n"/>
      <c r="E2455" s="90" t="n"/>
      <c r="F2455" s="16" t="n"/>
      <c r="G2455" s="16" t="n"/>
      <c r="H2455" s="63" t="n"/>
      <c r="I2455" s="64" t="n"/>
      <c r="J2455" s="16" t="n"/>
      <c r="K2455" s="16" t="n"/>
      <c r="M2455" s="89" t="n"/>
      <c r="N2455" s="1" t="n"/>
      <c r="O2455" s="1" t="n"/>
      <c r="P2455" s="1" t="n"/>
      <c r="Q2455" s="1" t="n"/>
      <c r="R2455" s="1" t="n"/>
    </row>
    <row r="2456">
      <c r="A2456" s="61" t="n"/>
      <c r="B2456" s="16" t="n"/>
      <c r="C2456" s="90" t="n"/>
      <c r="D2456" s="90" t="n"/>
      <c r="E2456" s="90" t="n"/>
      <c r="F2456" s="16" t="n"/>
      <c r="G2456" s="16" t="n"/>
      <c r="H2456" s="63" t="n"/>
      <c r="I2456" s="64" t="n"/>
      <c r="J2456" s="16" t="n"/>
      <c r="K2456" s="16" t="n"/>
      <c r="M2456" s="89" t="n"/>
      <c r="N2456" s="1" t="n"/>
      <c r="O2456" s="1" t="n"/>
      <c r="P2456" s="1" t="n"/>
      <c r="Q2456" s="1" t="n"/>
      <c r="R2456" s="1" t="n"/>
    </row>
    <row r="2457">
      <c r="A2457" s="61" t="n"/>
      <c r="B2457" s="16" t="n"/>
      <c r="C2457" s="90" t="n"/>
      <c r="D2457" s="90" t="n"/>
      <c r="E2457" s="90" t="n"/>
      <c r="F2457" s="16" t="n"/>
      <c r="G2457" s="16" t="n"/>
      <c r="H2457" s="63" t="n"/>
      <c r="I2457" s="64" t="n"/>
      <c r="J2457" s="16" t="n"/>
      <c r="K2457" s="16" t="n"/>
      <c r="M2457" s="89" t="n"/>
      <c r="N2457" s="1" t="n"/>
      <c r="O2457" s="1" t="n"/>
      <c r="P2457" s="1" t="n"/>
      <c r="Q2457" s="1" t="n"/>
      <c r="R2457" s="1" t="n"/>
    </row>
    <row r="2458">
      <c r="A2458" s="61" t="n"/>
      <c r="B2458" s="16" t="n"/>
      <c r="C2458" s="90" t="n"/>
      <c r="D2458" s="90" t="n"/>
      <c r="E2458" s="90" t="n"/>
      <c r="F2458" s="16" t="n"/>
      <c r="G2458" s="16" t="n"/>
      <c r="H2458" s="63" t="n"/>
      <c r="I2458" s="64" t="n"/>
      <c r="J2458" s="16" t="n"/>
      <c r="K2458" s="16" t="n"/>
      <c r="M2458" s="89" t="n"/>
      <c r="N2458" s="1" t="n"/>
      <c r="O2458" s="1" t="n"/>
      <c r="P2458" s="1" t="n"/>
      <c r="Q2458" s="1" t="n"/>
      <c r="R2458" s="1" t="n"/>
    </row>
    <row r="2459">
      <c r="A2459" s="61" t="n"/>
      <c r="B2459" s="16" t="n"/>
      <c r="C2459" s="90" t="n"/>
      <c r="D2459" s="90" t="n"/>
      <c r="E2459" s="90" t="n"/>
      <c r="F2459" s="16" t="n"/>
      <c r="G2459" s="16" t="n"/>
      <c r="H2459" s="63" t="n"/>
      <c r="I2459" s="64" t="n"/>
      <c r="J2459" s="16" t="n"/>
      <c r="K2459" s="16" t="n"/>
      <c r="M2459" s="89" t="n"/>
      <c r="N2459" s="1" t="n"/>
      <c r="O2459" s="1" t="n"/>
      <c r="P2459" s="1" t="n"/>
      <c r="Q2459" s="1" t="n"/>
      <c r="R2459" s="1" t="n"/>
    </row>
    <row r="2460">
      <c r="A2460" s="61" t="n"/>
      <c r="B2460" s="16" t="n"/>
      <c r="C2460" s="90" t="n"/>
      <c r="D2460" s="90" t="n"/>
      <c r="E2460" s="90" t="n"/>
      <c r="F2460" s="16" t="n"/>
      <c r="G2460" s="16" t="n"/>
      <c r="H2460" s="63" t="n"/>
      <c r="I2460" s="64" t="n"/>
      <c r="J2460" s="16" t="n"/>
      <c r="K2460" s="16" t="n"/>
      <c r="M2460" s="89" t="n"/>
      <c r="N2460" s="1" t="n"/>
      <c r="O2460" s="1" t="n"/>
      <c r="P2460" s="1" t="n"/>
      <c r="Q2460" s="1" t="n"/>
      <c r="R2460" s="1" t="n"/>
    </row>
    <row r="2461">
      <c r="A2461" s="61" t="n"/>
      <c r="B2461" s="16" t="n"/>
      <c r="C2461" s="90" t="n"/>
      <c r="D2461" s="90" t="n"/>
      <c r="E2461" s="90" t="n"/>
      <c r="F2461" s="16" t="n"/>
      <c r="G2461" s="16" t="n"/>
      <c r="H2461" s="63" t="n"/>
      <c r="I2461" s="64" t="n"/>
      <c r="J2461" s="16" t="n"/>
      <c r="K2461" s="16" t="n"/>
      <c r="M2461" s="89" t="n"/>
      <c r="N2461" s="1" t="n"/>
      <c r="O2461" s="1" t="n"/>
      <c r="P2461" s="1" t="n"/>
      <c r="Q2461" s="1" t="n"/>
      <c r="R2461" s="1" t="n"/>
    </row>
    <row r="2462">
      <c r="A2462" s="61" t="n"/>
      <c r="B2462" s="16" t="n"/>
      <c r="C2462" s="90" t="n"/>
      <c r="D2462" s="90" t="n"/>
      <c r="E2462" s="90" t="n"/>
      <c r="F2462" s="16" t="n"/>
      <c r="G2462" s="16" t="n"/>
      <c r="H2462" s="63" t="n"/>
      <c r="I2462" s="64" t="n"/>
      <c r="J2462" s="16" t="n"/>
      <c r="K2462" s="16" t="n"/>
      <c r="M2462" s="89" t="n"/>
      <c r="N2462" s="1" t="n"/>
      <c r="O2462" s="1" t="n"/>
      <c r="P2462" s="1" t="n"/>
      <c r="Q2462" s="1" t="n"/>
      <c r="R2462" s="1" t="n"/>
    </row>
    <row r="2463">
      <c r="A2463" s="61" t="n"/>
      <c r="B2463" s="16" t="n"/>
      <c r="C2463" s="90" t="n"/>
      <c r="D2463" s="90" t="n"/>
      <c r="E2463" s="90" t="n"/>
      <c r="F2463" s="16" t="n"/>
      <c r="G2463" s="16" t="n"/>
      <c r="H2463" s="63" t="n"/>
      <c r="I2463" s="64" t="n"/>
      <c r="J2463" s="16" t="n"/>
      <c r="K2463" s="16" t="n"/>
      <c r="M2463" s="89" t="n"/>
      <c r="N2463" s="1" t="n"/>
      <c r="O2463" s="1" t="n"/>
      <c r="P2463" s="1" t="n"/>
      <c r="Q2463" s="1" t="n"/>
      <c r="R2463" s="1" t="n"/>
    </row>
    <row r="2464">
      <c r="A2464" s="61" t="n"/>
      <c r="B2464" s="16" t="n"/>
      <c r="C2464" s="90" t="n"/>
      <c r="D2464" s="90" t="n"/>
      <c r="E2464" s="90" t="n"/>
      <c r="F2464" s="16" t="n"/>
      <c r="G2464" s="16" t="n"/>
      <c r="H2464" s="63" t="n"/>
      <c r="I2464" s="64" t="n"/>
      <c r="J2464" s="16" t="n"/>
      <c r="K2464" s="16" t="n"/>
      <c r="M2464" s="89" t="n"/>
      <c r="N2464" s="1" t="n"/>
      <c r="O2464" s="1" t="n"/>
      <c r="P2464" s="1" t="n"/>
      <c r="Q2464" s="1" t="n"/>
      <c r="R2464" s="1" t="n"/>
    </row>
    <row r="2465">
      <c r="A2465" s="61" t="n"/>
      <c r="B2465" s="16" t="n"/>
      <c r="C2465" s="90" t="n"/>
      <c r="D2465" s="90" t="n"/>
      <c r="E2465" s="90" t="n"/>
      <c r="F2465" s="16" t="n"/>
      <c r="G2465" s="16" t="n"/>
      <c r="H2465" s="63" t="n"/>
      <c r="I2465" s="64" t="n"/>
      <c r="J2465" s="16" t="n"/>
      <c r="K2465" s="16" t="n"/>
      <c r="M2465" s="89" t="n"/>
      <c r="N2465" s="1" t="n"/>
      <c r="O2465" s="1" t="n"/>
      <c r="P2465" s="1" t="n"/>
      <c r="Q2465" s="1" t="n"/>
      <c r="R2465" s="1" t="n"/>
    </row>
    <row r="2466">
      <c r="A2466" s="61" t="n"/>
      <c r="B2466" s="16" t="n"/>
      <c r="C2466" s="90" t="n"/>
      <c r="D2466" s="90" t="n"/>
      <c r="E2466" s="90" t="n"/>
      <c r="F2466" s="16" t="n"/>
      <c r="G2466" s="16" t="n"/>
      <c r="H2466" s="63" t="n"/>
      <c r="I2466" s="64" t="n"/>
      <c r="J2466" s="16" t="n"/>
      <c r="K2466" s="16" t="n"/>
      <c r="M2466" s="89" t="n"/>
      <c r="N2466" s="1" t="n"/>
      <c r="O2466" s="1" t="n"/>
      <c r="P2466" s="1" t="n"/>
      <c r="Q2466" s="1" t="n"/>
      <c r="R2466" s="1" t="n"/>
    </row>
    <row r="2467">
      <c r="A2467" s="61" t="n"/>
      <c r="B2467" s="16" t="n"/>
      <c r="C2467" s="90" t="n"/>
      <c r="D2467" s="90" t="n"/>
      <c r="E2467" s="90" t="n"/>
      <c r="F2467" s="16" t="n"/>
      <c r="G2467" s="16" t="n"/>
      <c r="H2467" s="63" t="n"/>
      <c r="I2467" s="64" t="n"/>
      <c r="J2467" s="16" t="n"/>
      <c r="K2467" s="16" t="n"/>
      <c r="M2467" s="89" t="n"/>
      <c r="N2467" s="1" t="n"/>
      <c r="O2467" s="1" t="n"/>
      <c r="P2467" s="1" t="n"/>
      <c r="Q2467" s="1" t="n"/>
      <c r="R2467" s="1" t="n"/>
    </row>
    <row r="2468">
      <c r="A2468" s="61" t="n"/>
      <c r="B2468" s="16" t="n"/>
      <c r="C2468" s="90" t="n"/>
      <c r="D2468" s="90" t="n"/>
      <c r="E2468" s="90" t="n"/>
      <c r="F2468" s="16" t="n"/>
      <c r="G2468" s="16" t="n"/>
      <c r="H2468" s="63" t="n"/>
      <c r="I2468" s="64" t="n"/>
      <c r="J2468" s="16" t="n"/>
      <c r="K2468" s="16" t="n"/>
      <c r="M2468" s="89" t="n"/>
      <c r="N2468" s="1" t="n"/>
      <c r="O2468" s="1" t="n"/>
      <c r="P2468" s="1" t="n"/>
      <c r="Q2468" s="1" t="n"/>
      <c r="R2468" s="1" t="n"/>
    </row>
    <row r="2469">
      <c r="A2469" s="61" t="n"/>
      <c r="B2469" s="16" t="n"/>
      <c r="C2469" s="90" t="n"/>
      <c r="D2469" s="90" t="n"/>
      <c r="E2469" s="90" t="n"/>
      <c r="F2469" s="16" t="n"/>
      <c r="G2469" s="16" t="n"/>
      <c r="H2469" s="63" t="n"/>
      <c r="I2469" s="64" t="n"/>
      <c r="J2469" s="16" t="n"/>
      <c r="K2469" s="16" t="n"/>
      <c r="M2469" s="89" t="n"/>
      <c r="N2469" s="1" t="n"/>
      <c r="O2469" s="1" t="n"/>
      <c r="P2469" s="1" t="n"/>
      <c r="Q2469" s="1" t="n"/>
      <c r="R2469" s="1" t="n"/>
    </row>
    <row r="2470">
      <c r="A2470" s="61" t="n"/>
      <c r="B2470" s="16" t="n"/>
      <c r="C2470" s="90" t="n"/>
      <c r="D2470" s="90" t="n"/>
      <c r="E2470" s="90" t="n"/>
      <c r="F2470" s="16" t="n"/>
      <c r="G2470" s="16" t="n"/>
      <c r="H2470" s="63" t="n"/>
      <c r="I2470" s="64" t="n"/>
      <c r="J2470" s="16" t="n"/>
      <c r="K2470" s="16" t="n"/>
      <c r="M2470" s="89" t="n"/>
      <c r="N2470" s="1" t="n"/>
      <c r="O2470" s="1" t="n"/>
      <c r="P2470" s="1" t="n"/>
      <c r="Q2470" s="1" t="n"/>
      <c r="R2470" s="1" t="n"/>
    </row>
    <row r="2471">
      <c r="A2471" s="61" t="n"/>
      <c r="B2471" s="16" t="n"/>
      <c r="C2471" s="90" t="n"/>
      <c r="D2471" s="90" t="n"/>
      <c r="E2471" s="90" t="n"/>
      <c r="F2471" s="16" t="n"/>
      <c r="G2471" s="16" t="n"/>
      <c r="H2471" s="63" t="n"/>
      <c r="I2471" s="64" t="n"/>
      <c r="J2471" s="16" t="n"/>
      <c r="K2471" s="16" t="n"/>
      <c r="M2471" s="89" t="n"/>
      <c r="N2471" s="1" t="n"/>
      <c r="O2471" s="1" t="n"/>
      <c r="P2471" s="1" t="n"/>
      <c r="Q2471" s="1" t="n"/>
      <c r="R2471" s="1" t="n"/>
    </row>
    <row r="2472">
      <c r="A2472" s="61" t="n"/>
      <c r="B2472" s="16" t="n"/>
      <c r="C2472" s="90" t="n"/>
      <c r="D2472" s="90" t="n"/>
      <c r="E2472" s="90" t="n"/>
      <c r="F2472" s="16" t="n"/>
      <c r="G2472" s="16" t="n"/>
      <c r="H2472" s="63" t="n"/>
      <c r="I2472" s="64" t="n"/>
      <c r="J2472" s="16" t="n"/>
      <c r="K2472" s="16" t="n"/>
      <c r="M2472" s="89" t="n"/>
      <c r="N2472" s="1" t="n"/>
      <c r="O2472" s="1" t="n"/>
      <c r="P2472" s="1" t="n"/>
      <c r="Q2472" s="1" t="n"/>
      <c r="R2472" s="1" t="n"/>
    </row>
    <row r="2473">
      <c r="A2473" s="61" t="n"/>
      <c r="B2473" s="16" t="n"/>
      <c r="C2473" s="90" t="n"/>
      <c r="D2473" s="90" t="n"/>
      <c r="E2473" s="90" t="n"/>
      <c r="F2473" s="16" t="n"/>
      <c r="G2473" s="16" t="n"/>
      <c r="H2473" s="63" t="n"/>
      <c r="I2473" s="64" t="n"/>
      <c r="J2473" s="16" t="n"/>
      <c r="K2473" s="16" t="n"/>
      <c r="M2473" s="89" t="n"/>
      <c r="N2473" s="1" t="n"/>
      <c r="O2473" s="1" t="n"/>
      <c r="P2473" s="1" t="n"/>
      <c r="Q2473" s="1" t="n"/>
      <c r="R2473" s="1" t="n"/>
    </row>
    <row r="2474">
      <c r="A2474" s="61" t="n"/>
      <c r="B2474" s="16" t="n"/>
      <c r="C2474" s="90" t="n"/>
      <c r="D2474" s="90" t="n"/>
      <c r="E2474" s="90" t="n"/>
      <c r="F2474" s="16" t="n"/>
      <c r="G2474" s="16" t="n"/>
      <c r="H2474" s="63" t="n"/>
      <c r="I2474" s="64" t="n"/>
      <c r="J2474" s="16" t="n"/>
      <c r="K2474" s="16" t="n"/>
      <c r="M2474" s="89" t="n"/>
      <c r="N2474" s="1" t="n"/>
      <c r="O2474" s="1" t="n"/>
      <c r="P2474" s="1" t="n"/>
      <c r="Q2474" s="1" t="n"/>
      <c r="R2474" s="1" t="n"/>
    </row>
    <row r="2475">
      <c r="A2475" s="61" t="n"/>
      <c r="B2475" s="16" t="n"/>
      <c r="C2475" s="90" t="n"/>
      <c r="D2475" s="90" t="n"/>
      <c r="E2475" s="90" t="n"/>
      <c r="F2475" s="16" t="n"/>
      <c r="G2475" s="16" t="n"/>
      <c r="H2475" s="63" t="n"/>
      <c r="I2475" s="64" t="n"/>
      <c r="J2475" s="16" t="n"/>
      <c r="K2475" s="16" t="n"/>
      <c r="M2475" s="89" t="n"/>
      <c r="N2475" s="1" t="n"/>
      <c r="O2475" s="1" t="n"/>
      <c r="P2475" s="1" t="n"/>
      <c r="Q2475" s="1" t="n"/>
      <c r="R2475" s="1" t="n"/>
    </row>
    <row r="2476">
      <c r="A2476" s="61" t="n"/>
      <c r="B2476" s="16" t="n"/>
      <c r="C2476" s="90" t="n"/>
      <c r="D2476" s="90" t="n"/>
      <c r="E2476" s="90" t="n"/>
      <c r="F2476" s="16" t="n"/>
      <c r="G2476" s="16" t="n"/>
      <c r="H2476" s="63" t="n"/>
      <c r="I2476" s="64" t="n"/>
      <c r="J2476" s="16" t="n"/>
      <c r="K2476" s="16" t="n"/>
      <c r="M2476" s="89" t="n"/>
      <c r="N2476" s="1" t="n"/>
      <c r="O2476" s="1" t="n"/>
      <c r="P2476" s="1" t="n"/>
      <c r="Q2476" s="1" t="n"/>
      <c r="R2476" s="1" t="n"/>
    </row>
    <row r="2477">
      <c r="A2477" s="61" t="n"/>
      <c r="B2477" s="16" t="n"/>
      <c r="C2477" s="90" t="n"/>
      <c r="D2477" s="90" t="n"/>
      <c r="E2477" s="90" t="n"/>
      <c r="F2477" s="16" t="n"/>
      <c r="G2477" s="16" t="n"/>
      <c r="H2477" s="63" t="n"/>
      <c r="I2477" s="64" t="n"/>
      <c r="J2477" s="16" t="n"/>
      <c r="K2477" s="16" t="n"/>
      <c r="M2477" s="89" t="n"/>
      <c r="N2477" s="1" t="n"/>
      <c r="O2477" s="1" t="n"/>
      <c r="P2477" s="1" t="n"/>
      <c r="Q2477" s="1" t="n"/>
      <c r="R2477" s="1" t="n"/>
    </row>
    <row r="2478">
      <c r="A2478" s="61" t="n"/>
      <c r="B2478" s="16" t="n"/>
      <c r="C2478" s="90" t="n"/>
      <c r="D2478" s="90" t="n"/>
      <c r="E2478" s="90" t="n"/>
      <c r="F2478" s="16" t="n"/>
      <c r="G2478" s="16" t="n"/>
      <c r="H2478" s="63" t="n"/>
      <c r="I2478" s="64" t="n"/>
      <c r="J2478" s="16" t="n"/>
      <c r="K2478" s="16" t="n"/>
      <c r="M2478" s="89" t="n"/>
      <c r="N2478" s="1" t="n"/>
      <c r="O2478" s="1" t="n"/>
      <c r="P2478" s="1" t="n"/>
      <c r="Q2478" s="1" t="n"/>
      <c r="R2478" s="1" t="n"/>
    </row>
    <row r="2479">
      <c r="A2479" s="61" t="n"/>
      <c r="B2479" s="16" t="n"/>
      <c r="C2479" s="90" t="n"/>
      <c r="D2479" s="90" t="n"/>
      <c r="E2479" s="90" t="n"/>
      <c r="F2479" s="16" t="n"/>
      <c r="G2479" s="16" t="n"/>
      <c r="H2479" s="63" t="n"/>
      <c r="I2479" s="64" t="n"/>
      <c r="J2479" s="16" t="n"/>
      <c r="K2479" s="16" t="n"/>
      <c r="M2479" s="89" t="n"/>
      <c r="N2479" s="1" t="n"/>
      <c r="O2479" s="1" t="n"/>
      <c r="P2479" s="1" t="n"/>
      <c r="Q2479" s="1" t="n"/>
      <c r="R2479" s="1" t="n"/>
    </row>
    <row r="2480">
      <c r="A2480" s="61" t="n"/>
      <c r="B2480" s="16" t="n"/>
      <c r="C2480" s="90" t="n"/>
      <c r="D2480" s="90" t="n"/>
      <c r="E2480" s="90" t="n"/>
      <c r="F2480" s="16" t="n"/>
      <c r="G2480" s="16" t="n"/>
      <c r="H2480" s="63" t="n"/>
      <c r="I2480" s="64" t="n"/>
      <c r="J2480" s="16" t="n"/>
      <c r="K2480" s="16" t="n"/>
      <c r="M2480" s="89" t="n"/>
      <c r="N2480" s="1" t="n"/>
      <c r="O2480" s="1" t="n"/>
      <c r="P2480" s="1" t="n"/>
      <c r="Q2480" s="1" t="n"/>
      <c r="R2480" s="1" t="n"/>
    </row>
    <row r="2481">
      <c r="A2481" s="61" t="n"/>
      <c r="B2481" s="16" t="n"/>
      <c r="C2481" s="90" t="n"/>
      <c r="D2481" s="90" t="n"/>
      <c r="E2481" s="90" t="n"/>
      <c r="F2481" s="16" t="n"/>
      <c r="G2481" s="16" t="n"/>
      <c r="H2481" s="63" t="n"/>
      <c r="I2481" s="64" t="n"/>
      <c r="J2481" s="16" t="n"/>
      <c r="K2481" s="16" t="n"/>
      <c r="M2481" s="89" t="n"/>
      <c r="N2481" s="1" t="n"/>
      <c r="O2481" s="1" t="n"/>
      <c r="P2481" s="1" t="n"/>
      <c r="Q2481" s="1" t="n"/>
      <c r="R2481" s="1" t="n"/>
    </row>
    <row r="2482">
      <c r="A2482" s="61" t="n"/>
      <c r="B2482" s="16" t="n"/>
      <c r="C2482" s="90" t="n"/>
      <c r="D2482" s="90" t="n"/>
      <c r="E2482" s="90" t="n"/>
      <c r="F2482" s="16" t="n"/>
      <c r="G2482" s="16" t="n"/>
      <c r="H2482" s="63" t="n"/>
      <c r="I2482" s="64" t="n"/>
      <c r="J2482" s="16" t="n"/>
      <c r="K2482" s="16" t="n"/>
      <c r="M2482" s="89" t="n"/>
      <c r="N2482" s="1" t="n"/>
      <c r="O2482" s="1" t="n"/>
      <c r="P2482" s="1" t="n"/>
      <c r="Q2482" s="1" t="n"/>
      <c r="R2482" s="1" t="n"/>
    </row>
    <row r="2483">
      <c r="A2483" s="61" t="n"/>
      <c r="B2483" s="16" t="n"/>
      <c r="C2483" s="90" t="n"/>
      <c r="D2483" s="90" t="n"/>
      <c r="E2483" s="90" t="n"/>
      <c r="F2483" s="16" t="n"/>
      <c r="G2483" s="16" t="n"/>
      <c r="H2483" s="63" t="n"/>
      <c r="I2483" s="64" t="n"/>
      <c r="J2483" s="16" t="n"/>
      <c r="K2483" s="16" t="n"/>
      <c r="M2483" s="89" t="n"/>
      <c r="N2483" s="1" t="n"/>
      <c r="O2483" s="1" t="n"/>
      <c r="P2483" s="1" t="n"/>
      <c r="Q2483" s="1" t="n"/>
      <c r="R2483" s="1" t="n"/>
    </row>
    <row r="2484">
      <c r="A2484" s="61" t="n"/>
      <c r="B2484" s="16" t="n"/>
      <c r="C2484" s="90" t="n"/>
      <c r="D2484" s="90" t="n"/>
      <c r="E2484" s="90" t="n"/>
      <c r="F2484" s="16" t="n"/>
      <c r="G2484" s="16" t="n"/>
      <c r="H2484" s="63" t="n"/>
      <c r="I2484" s="64" t="n"/>
      <c r="J2484" s="16" t="n"/>
      <c r="K2484" s="16" t="n"/>
      <c r="M2484" s="89" t="n"/>
      <c r="N2484" s="1" t="n"/>
      <c r="O2484" s="1" t="n"/>
      <c r="P2484" s="1" t="n"/>
      <c r="Q2484" s="1" t="n"/>
      <c r="R2484" s="1" t="n"/>
    </row>
    <row r="2485">
      <c r="A2485" s="61" t="n"/>
      <c r="B2485" s="16" t="n"/>
      <c r="C2485" s="90" t="n"/>
      <c r="D2485" s="90" t="n"/>
      <c r="E2485" s="90" t="n"/>
      <c r="F2485" s="16" t="n"/>
      <c r="G2485" s="16" t="n"/>
      <c r="H2485" s="63" t="n"/>
      <c r="I2485" s="64" t="n"/>
      <c r="J2485" s="16" t="n"/>
      <c r="K2485" s="16" t="n"/>
      <c r="M2485" s="89" t="n"/>
      <c r="N2485" s="1" t="n"/>
      <c r="O2485" s="1" t="n"/>
      <c r="P2485" s="1" t="n"/>
      <c r="Q2485" s="1" t="n"/>
      <c r="R2485" s="1" t="n"/>
    </row>
    <row r="2486">
      <c r="A2486" s="61" t="n"/>
      <c r="B2486" s="16" t="n"/>
      <c r="C2486" s="90" t="n"/>
      <c r="D2486" s="90" t="n"/>
      <c r="E2486" s="90" t="n"/>
      <c r="F2486" s="16" t="n"/>
      <c r="G2486" s="16" t="n"/>
      <c r="H2486" s="63" t="n"/>
      <c r="I2486" s="64" t="n"/>
      <c r="J2486" s="16" t="n"/>
      <c r="K2486" s="16" t="n"/>
      <c r="M2486" s="89" t="n"/>
      <c r="N2486" s="1" t="n"/>
      <c r="O2486" s="1" t="n"/>
      <c r="P2486" s="1" t="n"/>
      <c r="Q2486" s="1" t="n"/>
      <c r="R2486" s="1" t="n"/>
    </row>
    <row r="2487">
      <c r="A2487" s="61" t="n"/>
      <c r="B2487" s="16" t="n"/>
      <c r="C2487" s="90" t="n"/>
      <c r="D2487" s="90" t="n"/>
      <c r="E2487" s="90" t="n"/>
      <c r="F2487" s="16" t="n"/>
      <c r="G2487" s="16" t="n"/>
      <c r="H2487" s="63" t="n"/>
      <c r="I2487" s="64" t="n"/>
      <c r="J2487" s="16" t="n"/>
      <c r="K2487" s="16" t="n"/>
      <c r="M2487" s="89" t="n"/>
      <c r="N2487" s="1" t="n"/>
      <c r="O2487" s="1" t="n"/>
      <c r="P2487" s="1" t="n"/>
      <c r="Q2487" s="1" t="n"/>
      <c r="R2487" s="1" t="n"/>
    </row>
    <row r="2488">
      <c r="A2488" s="61" t="n"/>
      <c r="B2488" s="16" t="n"/>
      <c r="C2488" s="90" t="n"/>
      <c r="D2488" s="90" t="n"/>
      <c r="E2488" s="90" t="n"/>
      <c r="F2488" s="16" t="n"/>
      <c r="G2488" s="16" t="n"/>
      <c r="H2488" s="63" t="n"/>
      <c r="I2488" s="64" t="n"/>
      <c r="J2488" s="16" t="n"/>
      <c r="K2488" s="16" t="n"/>
      <c r="M2488" s="89" t="n"/>
      <c r="N2488" s="1" t="n"/>
      <c r="O2488" s="1" t="n"/>
      <c r="P2488" s="1" t="n"/>
      <c r="Q2488" s="1" t="n"/>
      <c r="R2488" s="1" t="n"/>
    </row>
    <row r="2489">
      <c r="A2489" s="61" t="n"/>
      <c r="B2489" s="16" t="n"/>
      <c r="C2489" s="90" t="n"/>
      <c r="D2489" s="90" t="n"/>
      <c r="E2489" s="90" t="n"/>
      <c r="F2489" s="16" t="n"/>
      <c r="G2489" s="16" t="n"/>
      <c r="H2489" s="63" t="n"/>
      <c r="I2489" s="64" t="n"/>
      <c r="J2489" s="16" t="n"/>
      <c r="K2489" s="16" t="n"/>
      <c r="M2489" s="89" t="n"/>
      <c r="N2489" s="1" t="n"/>
      <c r="O2489" s="1" t="n"/>
      <c r="P2489" s="1" t="n"/>
      <c r="Q2489" s="1" t="n"/>
      <c r="R2489" s="1" t="n"/>
    </row>
    <row r="2490">
      <c r="A2490" s="61" t="n"/>
      <c r="B2490" s="16" t="n"/>
      <c r="C2490" s="90" t="n"/>
      <c r="D2490" s="90" t="n"/>
      <c r="E2490" s="90" t="n"/>
      <c r="F2490" s="16" t="n"/>
      <c r="G2490" s="16" t="n"/>
      <c r="H2490" s="63" t="n"/>
      <c r="I2490" s="64" t="n"/>
      <c r="J2490" s="16" t="n"/>
      <c r="K2490" s="16" t="n"/>
      <c r="M2490" s="89" t="n"/>
      <c r="N2490" s="1" t="n"/>
      <c r="O2490" s="1" t="n"/>
      <c r="P2490" s="1" t="n"/>
      <c r="Q2490" s="1" t="n"/>
      <c r="R2490" s="1" t="n"/>
    </row>
    <row r="2491">
      <c r="A2491" s="61" t="n"/>
      <c r="B2491" s="16" t="n"/>
      <c r="C2491" s="90" t="n"/>
      <c r="D2491" s="90" t="n"/>
      <c r="E2491" s="90" t="n"/>
      <c r="F2491" s="16" t="n"/>
      <c r="G2491" s="16" t="n"/>
      <c r="H2491" s="63" t="n"/>
      <c r="I2491" s="64" t="n"/>
      <c r="J2491" s="16" t="n"/>
      <c r="K2491" s="16" t="n"/>
      <c r="M2491" s="89" t="n"/>
      <c r="N2491" s="1" t="n"/>
      <c r="O2491" s="1" t="n"/>
      <c r="P2491" s="1" t="n"/>
      <c r="Q2491" s="1" t="n"/>
      <c r="R2491" s="1" t="n"/>
    </row>
    <row r="2492">
      <c r="A2492" s="61" t="n"/>
      <c r="B2492" s="16" t="n"/>
      <c r="C2492" s="90" t="n"/>
      <c r="D2492" s="90" t="n"/>
      <c r="E2492" s="90" t="n"/>
      <c r="F2492" s="16" t="n"/>
      <c r="G2492" s="16" t="n"/>
      <c r="H2492" s="63" t="n"/>
      <c r="I2492" s="64" t="n"/>
      <c r="J2492" s="16" t="n"/>
      <c r="K2492" s="16" t="n"/>
      <c r="M2492" s="89" t="n"/>
      <c r="N2492" s="1" t="n"/>
      <c r="O2492" s="1" t="n"/>
      <c r="P2492" s="1" t="n"/>
      <c r="Q2492" s="1" t="n"/>
      <c r="R2492" s="1" t="n"/>
    </row>
    <row r="2493">
      <c r="A2493" s="61" t="n"/>
      <c r="B2493" s="16" t="n"/>
      <c r="C2493" s="90" t="n"/>
      <c r="D2493" s="90" t="n"/>
      <c r="E2493" s="90" t="n"/>
      <c r="F2493" s="16" t="n"/>
      <c r="G2493" s="16" t="n"/>
      <c r="H2493" s="63" t="n"/>
      <c r="I2493" s="64" t="n"/>
      <c r="J2493" s="16" t="n"/>
      <c r="K2493" s="16" t="n"/>
      <c r="M2493" s="89" t="n"/>
      <c r="N2493" s="1" t="n"/>
      <c r="O2493" s="1" t="n"/>
      <c r="P2493" s="1" t="n"/>
      <c r="Q2493" s="1" t="n"/>
      <c r="R2493" s="1" t="n"/>
    </row>
    <row r="2494">
      <c r="A2494" s="61" t="n"/>
      <c r="B2494" s="16" t="n"/>
      <c r="C2494" s="90" t="n"/>
      <c r="D2494" s="90" t="n"/>
      <c r="E2494" s="90" t="n"/>
      <c r="F2494" s="16" t="n"/>
      <c r="G2494" s="16" t="n"/>
      <c r="H2494" s="63" t="n"/>
      <c r="I2494" s="64" t="n"/>
      <c r="J2494" s="16" t="n"/>
      <c r="K2494" s="16" t="n"/>
      <c r="M2494" s="89" t="n"/>
      <c r="N2494" s="1" t="n"/>
      <c r="O2494" s="1" t="n"/>
      <c r="P2494" s="1" t="n"/>
      <c r="Q2494" s="1" t="n"/>
      <c r="R2494" s="1" t="n"/>
    </row>
    <row r="2495">
      <c r="A2495" s="61" t="n"/>
      <c r="B2495" s="16" t="n"/>
      <c r="C2495" s="90" t="n"/>
      <c r="D2495" s="90" t="n"/>
      <c r="E2495" s="90" t="n"/>
      <c r="F2495" s="16" t="n"/>
      <c r="G2495" s="16" t="n"/>
      <c r="H2495" s="63" t="n"/>
      <c r="I2495" s="64" t="n"/>
      <c r="J2495" s="16" t="n"/>
      <c r="K2495" s="16" t="n"/>
      <c r="M2495" s="89" t="n"/>
      <c r="N2495" s="1" t="n"/>
      <c r="O2495" s="1" t="n"/>
      <c r="P2495" s="1" t="n"/>
      <c r="Q2495" s="1" t="n"/>
      <c r="R2495" s="1" t="n"/>
    </row>
    <row r="2496">
      <c r="A2496" s="61" t="n"/>
      <c r="B2496" s="16" t="n"/>
      <c r="C2496" s="90" t="n"/>
      <c r="D2496" s="90" t="n"/>
      <c r="E2496" s="90" t="n"/>
      <c r="F2496" s="16" t="n"/>
      <c r="G2496" s="16" t="n"/>
      <c r="H2496" s="63" t="n"/>
      <c r="I2496" s="64" t="n"/>
      <c r="J2496" s="16" t="n"/>
      <c r="K2496" s="16" t="n"/>
      <c r="M2496" s="89" t="n"/>
      <c r="N2496" s="1" t="n"/>
      <c r="O2496" s="1" t="n"/>
      <c r="P2496" s="1" t="n"/>
      <c r="Q2496" s="1" t="n"/>
      <c r="R2496" s="1" t="n"/>
    </row>
    <row r="2497">
      <c r="A2497" s="61" t="n"/>
      <c r="B2497" s="16" t="n"/>
      <c r="C2497" s="90" t="n"/>
      <c r="D2497" s="90" t="n"/>
      <c r="E2497" s="90" t="n"/>
      <c r="F2497" s="16" t="n"/>
      <c r="G2497" s="16" t="n"/>
      <c r="H2497" s="63" t="n"/>
      <c r="I2497" s="64" t="n"/>
      <c r="J2497" s="16" t="n"/>
      <c r="K2497" s="16" t="n"/>
      <c r="M2497" s="89" t="n"/>
      <c r="N2497" s="1" t="n"/>
      <c r="O2497" s="1" t="n"/>
      <c r="P2497" s="1" t="n"/>
      <c r="Q2497" s="1" t="n"/>
      <c r="R2497" s="1" t="n"/>
    </row>
    <row r="2498">
      <c r="A2498" s="61" t="n"/>
      <c r="B2498" s="16" t="n"/>
      <c r="C2498" s="90" t="n"/>
      <c r="D2498" s="90" t="n"/>
      <c r="E2498" s="90" t="n"/>
      <c r="F2498" s="16" t="n"/>
      <c r="G2498" s="16" t="n"/>
      <c r="H2498" s="63" t="n"/>
      <c r="I2498" s="64" t="n"/>
      <c r="J2498" s="16" t="n"/>
      <c r="K2498" s="16" t="n"/>
      <c r="M2498" s="89" t="n"/>
      <c r="N2498" s="1" t="n"/>
      <c r="O2498" s="1" t="n"/>
      <c r="P2498" s="1" t="n"/>
      <c r="Q2498" s="1" t="n"/>
      <c r="R2498" s="1" t="n"/>
    </row>
    <row r="2499">
      <c r="A2499" s="61" t="n"/>
      <c r="B2499" s="16" t="n"/>
      <c r="C2499" s="90" t="n"/>
      <c r="D2499" s="90" t="n"/>
      <c r="E2499" s="90" t="n"/>
      <c r="F2499" s="16" t="n"/>
      <c r="G2499" s="16" t="n"/>
      <c r="H2499" s="63" t="n"/>
      <c r="I2499" s="64" t="n"/>
      <c r="J2499" s="16" t="n"/>
      <c r="K2499" s="16" t="n"/>
      <c r="M2499" s="89" t="n"/>
      <c r="N2499" s="1" t="n"/>
      <c r="O2499" s="1" t="n"/>
      <c r="P2499" s="1" t="n"/>
      <c r="Q2499" s="1" t="n"/>
      <c r="R2499" s="1" t="n"/>
    </row>
    <row r="2500">
      <c r="A2500" s="61" t="n"/>
      <c r="B2500" s="16" t="n"/>
      <c r="C2500" s="90" t="n"/>
      <c r="D2500" s="90" t="n"/>
      <c r="E2500" s="90" t="n"/>
      <c r="F2500" s="16" t="n"/>
      <c r="G2500" s="16" t="n"/>
      <c r="H2500" s="63" t="n"/>
      <c r="I2500" s="64" t="n"/>
      <c r="J2500" s="16" t="n"/>
      <c r="K2500" s="16" t="n"/>
      <c r="M2500" s="89" t="n"/>
      <c r="N2500" s="1" t="n"/>
      <c r="O2500" s="1" t="n"/>
      <c r="P2500" s="1" t="n"/>
      <c r="Q2500" s="1" t="n"/>
      <c r="R2500" s="1" t="n"/>
    </row>
    <row r="2501">
      <c r="A2501" s="61" t="n"/>
      <c r="B2501" s="16" t="n"/>
      <c r="C2501" s="90" t="n"/>
      <c r="D2501" s="90" t="n"/>
      <c r="E2501" s="90" t="n"/>
      <c r="F2501" s="16" t="n"/>
      <c r="G2501" s="16" t="n"/>
      <c r="H2501" s="63" t="n"/>
      <c r="I2501" s="64" t="n"/>
      <c r="J2501" s="16" t="n"/>
      <c r="K2501" s="16" t="n"/>
      <c r="M2501" s="89" t="n"/>
      <c r="N2501" s="1" t="n"/>
      <c r="O2501" s="1" t="n"/>
      <c r="P2501" s="1" t="n"/>
      <c r="Q2501" s="1" t="n"/>
      <c r="R2501" s="1" t="n"/>
    </row>
    <row r="2502">
      <c r="A2502" s="61" t="n"/>
      <c r="B2502" s="16" t="n"/>
      <c r="C2502" s="90" t="n"/>
      <c r="D2502" s="90" t="n"/>
      <c r="E2502" s="90" t="n"/>
      <c r="F2502" s="16" t="n"/>
      <c r="G2502" s="16" t="n"/>
      <c r="H2502" s="63" t="n"/>
      <c r="I2502" s="64" t="n"/>
      <c r="J2502" s="16" t="n"/>
      <c r="K2502" s="16" t="n"/>
      <c r="M2502" s="89" t="n"/>
      <c r="N2502" s="1" t="n"/>
      <c r="O2502" s="1" t="n"/>
      <c r="P2502" s="1" t="n"/>
      <c r="Q2502" s="1" t="n"/>
      <c r="R2502" s="1" t="n"/>
    </row>
    <row r="2503">
      <c r="A2503" s="61" t="n"/>
      <c r="B2503" s="16" t="n"/>
      <c r="C2503" s="90" t="n"/>
      <c r="D2503" s="90" t="n"/>
      <c r="E2503" s="90" t="n"/>
      <c r="F2503" s="16" t="n"/>
      <c r="G2503" s="16" t="n"/>
      <c r="H2503" s="63" t="n"/>
      <c r="I2503" s="64" t="n"/>
      <c r="J2503" s="16" t="n"/>
      <c r="K2503" s="16" t="n"/>
      <c r="M2503" s="89" t="n"/>
      <c r="N2503" s="1" t="n"/>
      <c r="O2503" s="1" t="n"/>
      <c r="P2503" s="1" t="n"/>
      <c r="Q2503" s="1" t="n"/>
      <c r="R2503" s="1" t="n"/>
    </row>
    <row r="2504">
      <c r="A2504" s="61" t="n"/>
      <c r="B2504" s="16" t="n"/>
      <c r="C2504" s="90" t="n"/>
      <c r="D2504" s="90" t="n"/>
      <c r="E2504" s="90" t="n"/>
      <c r="F2504" s="16" t="n"/>
      <c r="G2504" s="16" t="n"/>
      <c r="H2504" s="63" t="n"/>
      <c r="I2504" s="64" t="n"/>
      <c r="J2504" s="16" t="n"/>
      <c r="K2504" s="16" t="n"/>
      <c r="M2504" s="89" t="n"/>
      <c r="N2504" s="1" t="n"/>
      <c r="O2504" s="1" t="n"/>
      <c r="P2504" s="1" t="n"/>
      <c r="Q2504" s="1" t="n"/>
      <c r="R2504" s="1" t="n"/>
    </row>
    <row r="2505">
      <c r="A2505" s="61" t="n"/>
      <c r="B2505" s="16" t="n"/>
      <c r="C2505" s="90" t="n"/>
      <c r="D2505" s="90" t="n"/>
      <c r="E2505" s="90" t="n"/>
      <c r="F2505" s="16" t="n"/>
      <c r="G2505" s="16" t="n"/>
      <c r="H2505" s="63" t="n"/>
      <c r="I2505" s="64" t="n"/>
      <c r="J2505" s="16" t="n"/>
      <c r="K2505" s="16" t="n"/>
      <c r="M2505" s="89" t="n"/>
      <c r="N2505" s="1" t="n"/>
      <c r="O2505" s="1" t="n"/>
      <c r="P2505" s="1" t="n"/>
      <c r="Q2505" s="1" t="n"/>
      <c r="R2505" s="1" t="n"/>
    </row>
    <row r="2506">
      <c r="A2506" s="61" t="n"/>
      <c r="B2506" s="16" t="n"/>
      <c r="C2506" s="90" t="n"/>
      <c r="D2506" s="90" t="n"/>
      <c r="E2506" s="90" t="n"/>
      <c r="F2506" s="16" t="n"/>
      <c r="G2506" s="16" t="n"/>
      <c r="H2506" s="63" t="n"/>
      <c r="I2506" s="64" t="n"/>
      <c r="J2506" s="16" t="n"/>
      <c r="K2506" s="16" t="n"/>
      <c r="M2506" s="89" t="n"/>
      <c r="N2506" s="1" t="n"/>
      <c r="O2506" s="1" t="n"/>
      <c r="P2506" s="1" t="n"/>
      <c r="Q2506" s="1" t="n"/>
      <c r="R2506" s="1" t="n"/>
    </row>
    <row r="2507">
      <c r="A2507" s="61" t="n"/>
      <c r="B2507" s="16" t="n"/>
      <c r="C2507" s="90" t="n"/>
      <c r="D2507" s="90" t="n"/>
      <c r="E2507" s="90" t="n"/>
      <c r="F2507" s="16" t="n"/>
      <c r="G2507" s="16" t="n"/>
      <c r="H2507" s="63" t="n"/>
      <c r="I2507" s="64" t="n"/>
      <c r="J2507" s="16" t="n"/>
      <c r="K2507" s="16" t="n"/>
      <c r="M2507" s="89" t="n"/>
      <c r="N2507" s="1" t="n"/>
      <c r="O2507" s="1" t="n"/>
      <c r="P2507" s="1" t="n"/>
      <c r="Q2507" s="1" t="n"/>
      <c r="R2507" s="1" t="n"/>
    </row>
    <row r="2508">
      <c r="A2508" s="61" t="n"/>
      <c r="B2508" s="16" t="n"/>
      <c r="C2508" s="90" t="n"/>
      <c r="D2508" s="90" t="n"/>
      <c r="E2508" s="90" t="n"/>
      <c r="F2508" s="16" t="n"/>
      <c r="G2508" s="16" t="n"/>
      <c r="H2508" s="63" t="n"/>
      <c r="I2508" s="64" t="n"/>
      <c r="J2508" s="16" t="n"/>
      <c r="K2508" s="16" t="n"/>
      <c r="M2508" s="89" t="n"/>
      <c r="N2508" s="1" t="n"/>
      <c r="O2508" s="1" t="n"/>
      <c r="P2508" s="1" t="n"/>
      <c r="Q2508" s="1" t="n"/>
      <c r="R2508" s="1" t="n"/>
    </row>
    <row r="2509">
      <c r="A2509" s="61" t="n"/>
      <c r="B2509" s="16" t="n"/>
      <c r="C2509" s="90" t="n"/>
      <c r="D2509" s="90" t="n"/>
      <c r="E2509" s="90" t="n"/>
      <c r="F2509" s="16" t="n"/>
      <c r="G2509" s="16" t="n"/>
      <c r="H2509" s="63" t="n"/>
      <c r="I2509" s="64" t="n"/>
      <c r="J2509" s="16" t="n"/>
      <c r="K2509" s="16" t="n"/>
      <c r="M2509" s="89" t="n"/>
      <c r="N2509" s="1" t="n"/>
      <c r="O2509" s="1" t="n"/>
      <c r="P2509" s="1" t="n"/>
      <c r="Q2509" s="1" t="n"/>
      <c r="R2509" s="1" t="n"/>
    </row>
    <row r="2510">
      <c r="A2510" s="61" t="n"/>
      <c r="B2510" s="16" t="n"/>
      <c r="C2510" s="90" t="n"/>
      <c r="D2510" s="90" t="n"/>
      <c r="E2510" s="90" t="n"/>
      <c r="F2510" s="16" t="n"/>
      <c r="G2510" s="16" t="n"/>
      <c r="H2510" s="63" t="n"/>
      <c r="I2510" s="64" t="n"/>
      <c r="J2510" s="16" t="n"/>
      <c r="K2510" s="16" t="n"/>
      <c r="M2510" s="89" t="n"/>
      <c r="N2510" s="1" t="n"/>
      <c r="O2510" s="1" t="n"/>
      <c r="P2510" s="1" t="n"/>
      <c r="Q2510" s="1" t="n"/>
      <c r="R2510" s="1" t="n"/>
    </row>
    <row r="2511">
      <c r="A2511" s="61" t="n"/>
      <c r="B2511" s="16" t="n"/>
      <c r="C2511" s="90" t="n"/>
      <c r="D2511" s="90" t="n"/>
      <c r="E2511" s="90" t="n"/>
      <c r="F2511" s="16" t="n"/>
      <c r="G2511" s="16" t="n"/>
      <c r="H2511" s="63" t="n"/>
      <c r="I2511" s="64" t="n"/>
      <c r="J2511" s="16" t="n"/>
      <c r="K2511" s="16" t="n"/>
      <c r="M2511" s="89" t="n"/>
      <c r="N2511" s="1" t="n"/>
      <c r="O2511" s="1" t="n"/>
      <c r="P2511" s="1" t="n"/>
      <c r="Q2511" s="1" t="n"/>
      <c r="R2511" s="1" t="n"/>
    </row>
    <row r="2512">
      <c r="A2512" s="61" t="n"/>
      <c r="B2512" s="16" t="n"/>
      <c r="C2512" s="90" t="n"/>
      <c r="D2512" s="90" t="n"/>
      <c r="E2512" s="90" t="n"/>
      <c r="F2512" s="16" t="n"/>
      <c r="G2512" s="16" t="n"/>
      <c r="H2512" s="63" t="n"/>
      <c r="I2512" s="64" t="n"/>
      <c r="J2512" s="16" t="n"/>
      <c r="K2512" s="16" t="n"/>
      <c r="M2512" s="89" t="n"/>
      <c r="N2512" s="1" t="n"/>
      <c r="O2512" s="1" t="n"/>
      <c r="P2512" s="1" t="n"/>
      <c r="Q2512" s="1" t="n"/>
      <c r="R2512" s="1" t="n"/>
    </row>
    <row r="2513">
      <c r="A2513" s="61" t="n"/>
      <c r="B2513" s="16" t="n"/>
      <c r="C2513" s="90" t="n"/>
      <c r="D2513" s="90" t="n"/>
      <c r="E2513" s="90" t="n"/>
      <c r="F2513" s="16" t="n"/>
      <c r="G2513" s="16" t="n"/>
      <c r="H2513" s="63" t="n"/>
      <c r="I2513" s="64" t="n"/>
      <c r="J2513" s="16" t="n"/>
      <c r="K2513" s="16" t="n"/>
      <c r="M2513" s="89" t="n"/>
      <c r="N2513" s="1" t="n"/>
      <c r="O2513" s="1" t="n"/>
      <c r="P2513" s="1" t="n"/>
      <c r="Q2513" s="1" t="n"/>
      <c r="R2513" s="1" t="n"/>
    </row>
    <row r="2514">
      <c r="A2514" s="61" t="n"/>
      <c r="B2514" s="16" t="n"/>
      <c r="C2514" s="90" t="n"/>
      <c r="D2514" s="90" t="n"/>
      <c r="E2514" s="90" t="n"/>
      <c r="F2514" s="16" t="n"/>
      <c r="G2514" s="16" t="n"/>
      <c r="H2514" s="63" t="n"/>
      <c r="I2514" s="64" t="n"/>
      <c r="J2514" s="16" t="n"/>
      <c r="K2514" s="16" t="n"/>
      <c r="M2514" s="89" t="n"/>
      <c r="N2514" s="1" t="n"/>
      <c r="O2514" s="1" t="n"/>
      <c r="P2514" s="1" t="n"/>
      <c r="Q2514" s="1" t="n"/>
      <c r="R2514" s="1" t="n"/>
    </row>
    <row r="2515">
      <c r="A2515" s="61" t="n"/>
      <c r="B2515" s="16" t="n"/>
      <c r="C2515" s="90" t="n"/>
      <c r="D2515" s="90" t="n"/>
      <c r="E2515" s="90" t="n"/>
      <c r="F2515" s="16" t="n"/>
      <c r="G2515" s="16" t="n"/>
      <c r="H2515" s="63" t="n"/>
      <c r="I2515" s="64" t="n"/>
      <c r="J2515" s="16" t="n"/>
      <c r="K2515" s="16" t="n"/>
      <c r="M2515" s="89" t="n"/>
      <c r="N2515" s="1" t="n"/>
      <c r="O2515" s="1" t="n"/>
      <c r="P2515" s="1" t="n"/>
      <c r="Q2515" s="1" t="n"/>
      <c r="R2515" s="1" t="n"/>
    </row>
    <row r="2516">
      <c r="A2516" s="61" t="n"/>
      <c r="B2516" s="16" t="n"/>
      <c r="C2516" s="90" t="n"/>
      <c r="D2516" s="90" t="n"/>
      <c r="E2516" s="90" t="n"/>
      <c r="F2516" s="16" t="n"/>
      <c r="G2516" s="16" t="n"/>
      <c r="H2516" s="63" t="n"/>
      <c r="I2516" s="64" t="n"/>
      <c r="J2516" s="16" t="n"/>
      <c r="K2516" s="16" t="n"/>
      <c r="M2516" s="89" t="n"/>
      <c r="N2516" s="1" t="n"/>
      <c r="O2516" s="1" t="n"/>
      <c r="P2516" s="1" t="n"/>
      <c r="Q2516" s="1" t="n"/>
      <c r="R2516" s="1" t="n"/>
    </row>
    <row r="2517">
      <c r="A2517" s="61" t="n"/>
      <c r="B2517" s="16" t="n"/>
      <c r="C2517" s="90" t="n"/>
      <c r="D2517" s="90" t="n"/>
      <c r="E2517" s="90" t="n"/>
      <c r="F2517" s="16" t="n"/>
      <c r="G2517" s="16" t="n"/>
      <c r="H2517" s="63" t="n"/>
      <c r="I2517" s="64" t="n"/>
      <c r="J2517" s="16" t="n"/>
      <c r="K2517" s="16" t="n"/>
      <c r="M2517" s="89" t="n"/>
      <c r="N2517" s="1" t="n"/>
      <c r="O2517" s="1" t="n"/>
      <c r="P2517" s="1" t="n"/>
      <c r="Q2517" s="1" t="n"/>
      <c r="R2517" s="1" t="n"/>
    </row>
    <row r="2518">
      <c r="A2518" s="61" t="n"/>
      <c r="B2518" s="16" t="n"/>
      <c r="C2518" s="90" t="n"/>
      <c r="D2518" s="90" t="n"/>
      <c r="E2518" s="90" t="n"/>
      <c r="F2518" s="16" t="n"/>
      <c r="G2518" s="16" t="n"/>
      <c r="H2518" s="63" t="n"/>
      <c r="I2518" s="64" t="n"/>
      <c r="J2518" s="16" t="n"/>
      <c r="K2518" s="16" t="n"/>
      <c r="M2518" s="89" t="n"/>
      <c r="N2518" s="1" t="n"/>
      <c r="O2518" s="1" t="n"/>
      <c r="P2518" s="1" t="n"/>
      <c r="Q2518" s="1" t="n"/>
      <c r="R2518" s="1" t="n"/>
    </row>
    <row r="2519">
      <c r="A2519" s="61" t="n"/>
      <c r="B2519" s="16" t="n"/>
      <c r="C2519" s="90" t="n"/>
      <c r="D2519" s="90" t="n"/>
      <c r="E2519" s="90" t="n"/>
      <c r="F2519" s="16" t="n"/>
      <c r="G2519" s="16" t="n"/>
      <c r="H2519" s="63" t="n"/>
      <c r="I2519" s="64" t="n"/>
      <c r="J2519" s="16" t="n"/>
      <c r="K2519" s="16" t="n"/>
      <c r="M2519" s="89" t="n"/>
      <c r="N2519" s="1" t="n"/>
      <c r="O2519" s="1" t="n"/>
      <c r="P2519" s="1" t="n"/>
      <c r="Q2519" s="1" t="n"/>
      <c r="R2519" s="1" t="n"/>
    </row>
    <row r="2520">
      <c r="A2520" s="61" t="n"/>
      <c r="B2520" s="16" t="n"/>
      <c r="C2520" s="90" t="n"/>
      <c r="D2520" s="90" t="n"/>
      <c r="E2520" s="90" t="n"/>
      <c r="F2520" s="16" t="n"/>
      <c r="G2520" s="16" t="n"/>
      <c r="H2520" s="63" t="n"/>
      <c r="I2520" s="64" t="n"/>
      <c r="J2520" s="16" t="n"/>
      <c r="K2520" s="16" t="n"/>
      <c r="M2520" s="89" t="n"/>
      <c r="N2520" s="1" t="n"/>
      <c r="O2520" s="1" t="n"/>
      <c r="P2520" s="1" t="n"/>
      <c r="Q2520" s="1" t="n"/>
      <c r="R2520" s="1" t="n"/>
    </row>
    <row r="2521">
      <c r="A2521" s="61" t="n"/>
      <c r="B2521" s="16" t="n"/>
      <c r="C2521" s="90" t="n"/>
      <c r="D2521" s="90" t="n"/>
      <c r="E2521" s="90" t="n"/>
      <c r="F2521" s="16" t="n"/>
      <c r="G2521" s="16" t="n"/>
      <c r="H2521" s="63" t="n"/>
      <c r="I2521" s="64" t="n"/>
      <c r="J2521" s="16" t="n"/>
      <c r="K2521" s="16" t="n"/>
      <c r="M2521" s="89" t="n"/>
      <c r="N2521" s="1" t="n"/>
      <c r="O2521" s="1" t="n"/>
      <c r="P2521" s="1" t="n"/>
      <c r="Q2521" s="1" t="n"/>
      <c r="R2521" s="1" t="n"/>
    </row>
    <row r="2522">
      <c r="A2522" s="61" t="n"/>
      <c r="B2522" s="16" t="n"/>
      <c r="C2522" s="90" t="n"/>
      <c r="D2522" s="90" t="n"/>
      <c r="E2522" s="90" t="n"/>
      <c r="F2522" s="16" t="n"/>
      <c r="G2522" s="16" t="n"/>
      <c r="H2522" s="63" t="n"/>
      <c r="I2522" s="64" t="n"/>
      <c r="J2522" s="16" t="n"/>
      <c r="K2522" s="16" t="n"/>
      <c r="M2522" s="89" t="n"/>
      <c r="N2522" s="1" t="n"/>
      <c r="O2522" s="1" t="n"/>
      <c r="P2522" s="1" t="n"/>
      <c r="Q2522" s="1" t="n"/>
      <c r="R2522" s="1" t="n"/>
    </row>
    <row r="2523">
      <c r="A2523" s="61" t="n"/>
      <c r="B2523" s="16" t="n"/>
      <c r="C2523" s="90" t="n"/>
      <c r="D2523" s="90" t="n"/>
      <c r="E2523" s="90" t="n"/>
      <c r="F2523" s="16" t="n"/>
      <c r="G2523" s="16" t="n"/>
      <c r="H2523" s="63" t="n"/>
      <c r="I2523" s="64" t="n"/>
      <c r="J2523" s="16" t="n"/>
      <c r="K2523" s="16" t="n"/>
      <c r="M2523" s="89" t="n"/>
      <c r="N2523" s="1" t="n"/>
      <c r="O2523" s="1" t="n"/>
      <c r="P2523" s="1" t="n"/>
      <c r="Q2523" s="1" t="n"/>
      <c r="R2523" s="1" t="n"/>
    </row>
    <row r="2524">
      <c r="A2524" s="61" t="n"/>
      <c r="B2524" s="16" t="n"/>
      <c r="C2524" s="90" t="n"/>
      <c r="D2524" s="90" t="n"/>
      <c r="E2524" s="90" t="n"/>
      <c r="F2524" s="16" t="n"/>
      <c r="G2524" s="16" t="n"/>
      <c r="H2524" s="63" t="n"/>
      <c r="I2524" s="64" t="n"/>
      <c r="J2524" s="16" t="n"/>
      <c r="K2524" s="16" t="n"/>
      <c r="M2524" s="89" t="n"/>
      <c r="N2524" s="1" t="n"/>
      <c r="O2524" s="1" t="n"/>
      <c r="P2524" s="1" t="n"/>
      <c r="Q2524" s="1" t="n"/>
      <c r="R2524" s="1" t="n"/>
    </row>
    <row r="2525">
      <c r="A2525" s="61" t="n"/>
      <c r="B2525" s="16" t="n"/>
      <c r="C2525" s="90" t="n"/>
      <c r="D2525" s="90" t="n"/>
      <c r="E2525" s="90" t="n"/>
      <c r="F2525" s="16" t="n"/>
      <c r="G2525" s="16" t="n"/>
      <c r="H2525" s="63" t="n"/>
      <c r="I2525" s="64" t="n"/>
      <c r="J2525" s="16" t="n"/>
      <c r="K2525" s="16" t="n"/>
      <c r="M2525" s="89" t="n"/>
      <c r="N2525" s="1" t="n"/>
      <c r="O2525" s="1" t="n"/>
      <c r="P2525" s="1" t="n"/>
      <c r="Q2525" s="1" t="n"/>
      <c r="R2525" s="1" t="n"/>
    </row>
    <row r="2526">
      <c r="A2526" s="61" t="n"/>
      <c r="B2526" s="16" t="n"/>
      <c r="C2526" s="90" t="n"/>
      <c r="D2526" s="90" t="n"/>
      <c r="E2526" s="90" t="n"/>
      <c r="F2526" s="16" t="n"/>
      <c r="G2526" s="16" t="n"/>
      <c r="H2526" s="63" t="n"/>
      <c r="I2526" s="64" t="n"/>
      <c r="J2526" s="16" t="n"/>
      <c r="K2526" s="16" t="n"/>
      <c r="M2526" s="89" t="n"/>
      <c r="N2526" s="1" t="n"/>
      <c r="O2526" s="1" t="n"/>
      <c r="P2526" s="1" t="n"/>
      <c r="Q2526" s="1" t="n"/>
      <c r="R2526" s="1" t="n"/>
    </row>
    <row r="2527">
      <c r="A2527" s="61" t="n"/>
      <c r="B2527" s="16" t="n"/>
      <c r="C2527" s="90" t="n"/>
      <c r="D2527" s="90" t="n"/>
      <c r="E2527" s="90" t="n"/>
      <c r="F2527" s="16" t="n"/>
      <c r="G2527" s="16" t="n"/>
      <c r="H2527" s="63" t="n"/>
      <c r="I2527" s="64" t="n"/>
      <c r="J2527" s="16" t="n"/>
      <c r="K2527" s="16" t="n"/>
      <c r="M2527" s="89" t="n"/>
      <c r="N2527" s="1" t="n"/>
      <c r="O2527" s="1" t="n"/>
      <c r="P2527" s="1" t="n"/>
      <c r="Q2527" s="1" t="n"/>
      <c r="R2527" s="1" t="n"/>
    </row>
    <row r="2528">
      <c r="A2528" s="61" t="n"/>
      <c r="B2528" s="16" t="n"/>
      <c r="C2528" s="90" t="n"/>
      <c r="D2528" s="90" t="n"/>
      <c r="E2528" s="90" t="n"/>
      <c r="F2528" s="16" t="n"/>
      <c r="G2528" s="16" t="n"/>
      <c r="H2528" s="63" t="n"/>
      <c r="I2528" s="64" t="n"/>
      <c r="J2528" s="16" t="n"/>
      <c r="K2528" s="16" t="n"/>
      <c r="M2528" s="89" t="n"/>
      <c r="N2528" s="1" t="n"/>
      <c r="O2528" s="1" t="n"/>
      <c r="P2528" s="1" t="n"/>
      <c r="Q2528" s="1" t="n"/>
      <c r="R2528" s="1" t="n"/>
    </row>
    <row r="2529">
      <c r="A2529" s="61" t="n"/>
      <c r="B2529" s="16" t="n"/>
      <c r="C2529" s="90" t="n"/>
      <c r="D2529" s="90" t="n"/>
      <c r="E2529" s="90" t="n"/>
      <c r="F2529" s="16" t="n"/>
      <c r="G2529" s="16" t="n"/>
      <c r="H2529" s="63" t="n"/>
      <c r="I2529" s="64" t="n"/>
      <c r="J2529" s="16" t="n"/>
      <c r="K2529" s="16" t="n"/>
      <c r="M2529" s="89" t="n"/>
      <c r="N2529" s="1" t="n"/>
      <c r="O2529" s="1" t="n"/>
      <c r="P2529" s="1" t="n"/>
      <c r="Q2529" s="1" t="n"/>
      <c r="R2529" s="1" t="n"/>
    </row>
    <row r="2530">
      <c r="A2530" s="61" t="n"/>
      <c r="B2530" s="16" t="n"/>
      <c r="C2530" s="90" t="n"/>
      <c r="D2530" s="90" t="n"/>
      <c r="E2530" s="90" t="n"/>
      <c r="F2530" s="16" t="n"/>
      <c r="G2530" s="16" t="n"/>
      <c r="H2530" s="63" t="n"/>
      <c r="I2530" s="64" t="n"/>
      <c r="J2530" s="16" t="n"/>
      <c r="K2530" s="16" t="n"/>
      <c r="M2530" s="89" t="n"/>
      <c r="N2530" s="1" t="n"/>
      <c r="O2530" s="1" t="n"/>
      <c r="P2530" s="1" t="n"/>
      <c r="Q2530" s="1" t="n"/>
      <c r="R2530" s="1" t="n"/>
    </row>
    <row r="2531">
      <c r="A2531" s="61" t="n"/>
      <c r="B2531" s="16" t="n"/>
      <c r="C2531" s="90" t="n"/>
      <c r="D2531" s="90" t="n"/>
      <c r="E2531" s="90" t="n"/>
      <c r="F2531" s="16" t="n"/>
      <c r="G2531" s="16" t="n"/>
      <c r="H2531" s="63" t="n"/>
      <c r="I2531" s="64" t="n"/>
      <c r="J2531" s="16" t="n"/>
      <c r="K2531" s="16" t="n"/>
      <c r="M2531" s="89" t="n"/>
      <c r="N2531" s="1" t="n"/>
      <c r="O2531" s="1" t="n"/>
      <c r="P2531" s="1" t="n"/>
      <c r="Q2531" s="1" t="n"/>
      <c r="R2531" s="1" t="n"/>
    </row>
    <row r="2532">
      <c r="A2532" s="61" t="n"/>
      <c r="B2532" s="16" t="n"/>
      <c r="C2532" s="90" t="n"/>
      <c r="D2532" s="90" t="n"/>
      <c r="E2532" s="90" t="n"/>
      <c r="F2532" s="16" t="n"/>
      <c r="G2532" s="16" t="n"/>
      <c r="H2532" s="63" t="n"/>
      <c r="I2532" s="64" t="n"/>
      <c r="J2532" s="16" t="n"/>
      <c r="K2532" s="16" t="n"/>
      <c r="M2532" s="89" t="n"/>
      <c r="N2532" s="1" t="n"/>
      <c r="O2532" s="1" t="n"/>
      <c r="P2532" s="1" t="n"/>
      <c r="Q2532" s="1" t="n"/>
      <c r="R2532" s="1" t="n"/>
    </row>
    <row r="2533">
      <c r="A2533" s="61" t="n"/>
      <c r="B2533" s="16" t="n"/>
      <c r="C2533" s="90" t="n"/>
      <c r="D2533" s="90" t="n"/>
      <c r="E2533" s="90" t="n"/>
      <c r="F2533" s="16" t="n"/>
      <c r="G2533" s="16" t="n"/>
      <c r="H2533" s="63" t="n"/>
      <c r="I2533" s="64" t="n"/>
      <c r="J2533" s="16" t="n"/>
      <c r="K2533" s="16" t="n"/>
      <c r="M2533" s="89" t="n"/>
      <c r="N2533" s="1" t="n"/>
      <c r="O2533" s="1" t="n"/>
      <c r="P2533" s="1" t="n"/>
      <c r="Q2533" s="1" t="n"/>
      <c r="R2533" s="1" t="n"/>
    </row>
    <row r="2534">
      <c r="A2534" s="61" t="n"/>
      <c r="B2534" s="16" t="n"/>
      <c r="C2534" s="90" t="n"/>
      <c r="D2534" s="90" t="n"/>
      <c r="E2534" s="90" t="n"/>
      <c r="F2534" s="16" t="n"/>
      <c r="G2534" s="16" t="n"/>
      <c r="H2534" s="63" t="n"/>
      <c r="I2534" s="64" t="n"/>
      <c r="J2534" s="16" t="n"/>
      <c r="K2534" s="16" t="n"/>
      <c r="M2534" s="89" t="n"/>
      <c r="N2534" s="1" t="n"/>
      <c r="O2534" s="1" t="n"/>
      <c r="P2534" s="1" t="n"/>
      <c r="Q2534" s="1" t="n"/>
      <c r="R2534" s="1" t="n"/>
    </row>
    <row r="2535">
      <c r="A2535" s="61" t="n"/>
      <c r="B2535" s="16" t="n"/>
      <c r="C2535" s="90" t="n"/>
      <c r="D2535" s="90" t="n"/>
      <c r="E2535" s="90" t="n"/>
      <c r="F2535" s="16" t="n"/>
      <c r="G2535" s="16" t="n"/>
      <c r="H2535" s="63" t="n"/>
      <c r="I2535" s="64" t="n"/>
      <c r="J2535" s="16" t="n"/>
      <c r="K2535" s="16" t="n"/>
      <c r="M2535" s="89" t="n"/>
      <c r="N2535" s="1" t="n"/>
      <c r="O2535" s="1" t="n"/>
      <c r="P2535" s="1" t="n"/>
      <c r="Q2535" s="1" t="n"/>
      <c r="R2535" s="1" t="n"/>
    </row>
    <row r="2536">
      <c r="A2536" s="61" t="n"/>
      <c r="B2536" s="16" t="n"/>
      <c r="C2536" s="90" t="n"/>
      <c r="D2536" s="90" t="n"/>
      <c r="E2536" s="90" t="n"/>
      <c r="F2536" s="16" t="n"/>
      <c r="G2536" s="16" t="n"/>
      <c r="H2536" s="63" t="n"/>
      <c r="I2536" s="64" t="n"/>
      <c r="J2536" s="16" t="n"/>
      <c r="K2536" s="16" t="n"/>
      <c r="M2536" s="89" t="n"/>
      <c r="N2536" s="1" t="n"/>
      <c r="O2536" s="1" t="n"/>
      <c r="P2536" s="1" t="n"/>
      <c r="Q2536" s="1" t="n"/>
      <c r="R2536" s="1" t="n"/>
    </row>
    <row r="2537">
      <c r="A2537" s="61" t="n"/>
      <c r="B2537" s="16" t="n"/>
      <c r="C2537" s="90" t="n"/>
      <c r="D2537" s="90" t="n"/>
      <c r="E2537" s="90" t="n"/>
      <c r="F2537" s="16" t="n"/>
      <c r="G2537" s="16" t="n"/>
      <c r="H2537" s="63" t="n"/>
      <c r="I2537" s="64" t="n"/>
      <c r="J2537" s="16" t="n"/>
      <c r="K2537" s="16" t="n"/>
      <c r="M2537" s="89" t="n"/>
      <c r="N2537" s="1" t="n"/>
      <c r="O2537" s="1" t="n"/>
      <c r="P2537" s="1" t="n"/>
      <c r="Q2537" s="1" t="n"/>
      <c r="R2537" s="1" t="n"/>
    </row>
    <row r="2538">
      <c r="A2538" s="61" t="n"/>
      <c r="B2538" s="16" t="n"/>
      <c r="C2538" s="90" t="n"/>
      <c r="D2538" s="90" t="n"/>
      <c r="E2538" s="90" t="n"/>
      <c r="F2538" s="16" t="n"/>
      <c r="G2538" s="16" t="n"/>
      <c r="H2538" s="63" t="n"/>
      <c r="I2538" s="64" t="n"/>
      <c r="J2538" s="16" t="n"/>
      <c r="K2538" s="16" t="n"/>
      <c r="M2538" s="89" t="n"/>
      <c r="N2538" s="1" t="n"/>
      <c r="O2538" s="1" t="n"/>
      <c r="P2538" s="1" t="n"/>
      <c r="Q2538" s="1" t="n"/>
      <c r="R2538" s="1" t="n"/>
    </row>
    <row r="2539">
      <c r="A2539" s="61" t="n"/>
      <c r="B2539" s="16" t="n"/>
      <c r="C2539" s="90" t="n"/>
      <c r="D2539" s="90" t="n"/>
      <c r="E2539" s="90" t="n"/>
      <c r="F2539" s="16" t="n"/>
      <c r="G2539" s="16" t="n"/>
      <c r="H2539" s="63" t="n"/>
      <c r="I2539" s="64" t="n"/>
      <c r="J2539" s="16" t="n"/>
      <c r="K2539" s="16" t="n"/>
      <c r="M2539" s="89" t="n"/>
      <c r="N2539" s="1" t="n"/>
      <c r="O2539" s="1" t="n"/>
      <c r="P2539" s="1" t="n"/>
      <c r="Q2539" s="1" t="n"/>
      <c r="R2539" s="1" t="n"/>
    </row>
    <row r="2540">
      <c r="A2540" s="61" t="n"/>
      <c r="B2540" s="16" t="n"/>
      <c r="C2540" s="90" t="n"/>
      <c r="D2540" s="90" t="n"/>
      <c r="E2540" s="90" t="n"/>
      <c r="F2540" s="16" t="n"/>
      <c r="G2540" s="16" t="n"/>
      <c r="H2540" s="63" t="n"/>
      <c r="I2540" s="64" t="n"/>
      <c r="J2540" s="16" t="n"/>
      <c r="K2540" s="16" t="n"/>
      <c r="M2540" s="89" t="n"/>
      <c r="N2540" s="1" t="n"/>
      <c r="O2540" s="1" t="n"/>
      <c r="P2540" s="1" t="n"/>
      <c r="Q2540" s="1" t="n"/>
      <c r="R2540" s="1" t="n"/>
    </row>
    <row r="2541">
      <c r="A2541" s="61" t="n"/>
      <c r="B2541" s="16" t="n"/>
      <c r="C2541" s="90" t="n"/>
      <c r="D2541" s="90" t="n"/>
      <c r="E2541" s="90" t="n"/>
      <c r="F2541" s="16" t="n"/>
      <c r="G2541" s="16" t="n"/>
      <c r="H2541" s="63" t="n"/>
      <c r="I2541" s="64" t="n"/>
      <c r="J2541" s="16" t="n"/>
      <c r="K2541" s="16" t="n"/>
      <c r="M2541" s="89" t="n"/>
      <c r="N2541" s="1" t="n"/>
      <c r="O2541" s="1" t="n"/>
      <c r="P2541" s="1" t="n"/>
      <c r="Q2541" s="1" t="n"/>
      <c r="R2541" s="1" t="n"/>
    </row>
    <row r="2542">
      <c r="A2542" s="61" t="n"/>
      <c r="B2542" s="16" t="n"/>
      <c r="C2542" s="90" t="n"/>
      <c r="D2542" s="90" t="n"/>
      <c r="E2542" s="90" t="n"/>
      <c r="F2542" s="16" t="n"/>
      <c r="G2542" s="16" t="n"/>
      <c r="H2542" s="63" t="n"/>
      <c r="I2542" s="64" t="n"/>
      <c r="J2542" s="16" t="n"/>
      <c r="K2542" s="16" t="n"/>
      <c r="M2542" s="89" t="n"/>
      <c r="N2542" s="1" t="n"/>
      <c r="O2542" s="1" t="n"/>
      <c r="P2542" s="1" t="n"/>
      <c r="Q2542" s="1" t="n"/>
      <c r="R2542" s="1" t="n"/>
    </row>
    <row r="2543">
      <c r="A2543" s="61" t="n"/>
      <c r="B2543" s="16" t="n"/>
      <c r="C2543" s="90" t="n"/>
      <c r="D2543" s="90" t="n"/>
      <c r="E2543" s="90" t="n"/>
      <c r="F2543" s="16" t="n"/>
      <c r="G2543" s="16" t="n"/>
      <c r="H2543" s="63" t="n"/>
      <c r="I2543" s="64" t="n"/>
      <c r="J2543" s="16" t="n"/>
      <c r="K2543" s="16" t="n"/>
      <c r="M2543" s="89" t="n"/>
      <c r="N2543" s="1" t="n"/>
      <c r="O2543" s="1" t="n"/>
      <c r="P2543" s="1" t="n"/>
      <c r="Q2543" s="1" t="n"/>
      <c r="R2543" s="1" t="n"/>
    </row>
    <row r="2544">
      <c r="A2544" s="61" t="n"/>
      <c r="B2544" s="16" t="n"/>
      <c r="C2544" s="90" t="n"/>
      <c r="D2544" s="90" t="n"/>
      <c r="E2544" s="90" t="n"/>
      <c r="F2544" s="16" t="n"/>
      <c r="G2544" s="16" t="n"/>
      <c r="H2544" s="63" t="n"/>
      <c r="I2544" s="64" t="n"/>
      <c r="J2544" s="16" t="n"/>
      <c r="K2544" s="16" t="n"/>
      <c r="M2544" s="89" t="n"/>
      <c r="N2544" s="1" t="n"/>
      <c r="O2544" s="1" t="n"/>
      <c r="P2544" s="1" t="n"/>
      <c r="Q2544" s="1" t="n"/>
      <c r="R2544" s="1" t="n"/>
    </row>
    <row r="2545">
      <c r="A2545" s="61" t="n"/>
      <c r="B2545" s="16" t="n"/>
      <c r="C2545" s="90" t="n"/>
      <c r="D2545" s="90" t="n"/>
      <c r="E2545" s="90" t="n"/>
      <c r="F2545" s="16" t="n"/>
      <c r="G2545" s="16" t="n"/>
      <c r="H2545" s="63" t="n"/>
      <c r="I2545" s="64" t="n"/>
      <c r="J2545" s="16" t="n"/>
      <c r="K2545" s="16" t="n"/>
      <c r="M2545" s="89" t="n"/>
      <c r="N2545" s="1" t="n"/>
      <c r="O2545" s="1" t="n"/>
      <c r="P2545" s="1" t="n"/>
      <c r="Q2545" s="1" t="n"/>
      <c r="R2545" s="1" t="n"/>
    </row>
    <row r="2546">
      <c r="A2546" s="61" t="n"/>
      <c r="B2546" s="16" t="n"/>
      <c r="C2546" s="90" t="n"/>
      <c r="D2546" s="90" t="n"/>
      <c r="E2546" s="90" t="n"/>
      <c r="F2546" s="16" t="n"/>
      <c r="G2546" s="16" t="n"/>
      <c r="H2546" s="63" t="n"/>
      <c r="I2546" s="64" t="n"/>
      <c r="J2546" s="16" t="n"/>
      <c r="K2546" s="16" t="n"/>
      <c r="M2546" s="89" t="n"/>
      <c r="N2546" s="1" t="n"/>
      <c r="O2546" s="1" t="n"/>
      <c r="P2546" s="1" t="n"/>
      <c r="Q2546" s="1" t="n"/>
      <c r="R2546" s="1" t="n"/>
    </row>
    <row r="2547">
      <c r="A2547" s="61" t="n"/>
      <c r="B2547" s="16" t="n"/>
      <c r="C2547" s="90" t="n"/>
      <c r="D2547" s="90" t="n"/>
      <c r="E2547" s="90" t="n"/>
      <c r="F2547" s="16" t="n"/>
      <c r="G2547" s="16" t="n"/>
      <c r="H2547" s="63" t="n"/>
      <c r="I2547" s="64" t="n"/>
      <c r="J2547" s="16" t="n"/>
      <c r="K2547" s="16" t="n"/>
      <c r="M2547" s="89" t="n"/>
      <c r="N2547" s="1" t="n"/>
      <c r="O2547" s="1" t="n"/>
      <c r="P2547" s="1" t="n"/>
      <c r="Q2547" s="1" t="n"/>
      <c r="R2547" s="1" t="n"/>
    </row>
    <row r="2548">
      <c r="A2548" s="61" t="n"/>
      <c r="B2548" s="16" t="n"/>
      <c r="C2548" s="90" t="n"/>
      <c r="D2548" s="90" t="n"/>
      <c r="E2548" s="90" t="n"/>
      <c r="F2548" s="16" t="n"/>
      <c r="G2548" s="16" t="n"/>
      <c r="H2548" s="63" t="n"/>
      <c r="I2548" s="64" t="n"/>
      <c r="J2548" s="16" t="n"/>
      <c r="K2548" s="16" t="n"/>
      <c r="M2548" s="89" t="n"/>
      <c r="N2548" s="1" t="n"/>
      <c r="O2548" s="1" t="n"/>
      <c r="P2548" s="1" t="n"/>
      <c r="Q2548" s="1" t="n"/>
      <c r="R2548" s="1" t="n"/>
    </row>
    <row r="2549">
      <c r="A2549" s="61" t="n"/>
      <c r="B2549" s="16" t="n"/>
      <c r="C2549" s="90" t="n"/>
      <c r="D2549" s="90" t="n"/>
      <c r="E2549" s="90" t="n"/>
      <c r="F2549" s="16" t="n"/>
      <c r="G2549" s="16" t="n"/>
      <c r="H2549" s="63" t="n"/>
      <c r="I2549" s="64" t="n"/>
      <c r="J2549" s="16" t="n"/>
      <c r="K2549" s="16" t="n"/>
      <c r="M2549" s="89" t="n"/>
      <c r="N2549" s="1" t="n"/>
      <c r="O2549" s="1" t="n"/>
      <c r="P2549" s="1" t="n"/>
      <c r="Q2549" s="1" t="n"/>
      <c r="R2549" s="1" t="n"/>
    </row>
    <row r="2550">
      <c r="A2550" s="61" t="n"/>
      <c r="B2550" s="16" t="n"/>
      <c r="C2550" s="90" t="n"/>
      <c r="D2550" s="90" t="n"/>
      <c r="E2550" s="90" t="n"/>
      <c r="F2550" s="16" t="n"/>
      <c r="G2550" s="16" t="n"/>
      <c r="H2550" s="63" t="n"/>
      <c r="I2550" s="64" t="n"/>
      <c r="J2550" s="16" t="n"/>
      <c r="K2550" s="16" t="n"/>
      <c r="M2550" s="89" t="n"/>
      <c r="N2550" s="1" t="n"/>
      <c r="O2550" s="1" t="n"/>
      <c r="P2550" s="1" t="n"/>
      <c r="Q2550" s="1" t="n"/>
      <c r="R2550" s="1" t="n"/>
    </row>
    <row r="2551">
      <c r="A2551" s="61" t="n"/>
      <c r="B2551" s="16" t="n"/>
      <c r="C2551" s="90" t="n"/>
      <c r="D2551" s="90" t="n"/>
      <c r="E2551" s="90" t="n"/>
      <c r="F2551" s="16" t="n"/>
      <c r="G2551" s="16" t="n"/>
      <c r="H2551" s="63" t="n"/>
      <c r="I2551" s="64" t="n"/>
      <c r="J2551" s="16" t="n"/>
      <c r="K2551" s="16" t="n"/>
      <c r="M2551" s="89" t="n"/>
      <c r="N2551" s="1" t="n"/>
      <c r="O2551" s="1" t="n"/>
      <c r="P2551" s="1" t="n"/>
      <c r="Q2551" s="1" t="n"/>
      <c r="R2551" s="1" t="n"/>
    </row>
    <row r="2552">
      <c r="A2552" s="61" t="n"/>
      <c r="B2552" s="16" t="n"/>
      <c r="C2552" s="90" t="n"/>
      <c r="D2552" s="90" t="n"/>
      <c r="E2552" s="90" t="n"/>
      <c r="F2552" s="16" t="n"/>
      <c r="G2552" s="16" t="n"/>
      <c r="H2552" s="63" t="n"/>
      <c r="I2552" s="64" t="n"/>
      <c r="J2552" s="16" t="n"/>
      <c r="K2552" s="16" t="n"/>
      <c r="M2552" s="89" t="n"/>
      <c r="N2552" s="1" t="n"/>
      <c r="O2552" s="1" t="n"/>
      <c r="P2552" s="1" t="n"/>
      <c r="Q2552" s="1" t="n"/>
      <c r="R2552" s="1" t="n"/>
    </row>
    <row r="2553">
      <c r="A2553" s="61" t="n"/>
      <c r="B2553" s="16" t="n"/>
      <c r="C2553" s="90" t="n"/>
      <c r="D2553" s="90" t="n"/>
      <c r="E2553" s="90" t="n"/>
      <c r="F2553" s="16" t="n"/>
      <c r="G2553" s="16" t="n"/>
      <c r="H2553" s="63" t="n"/>
      <c r="I2553" s="64" t="n"/>
      <c r="J2553" s="16" t="n"/>
      <c r="K2553" s="16" t="n"/>
      <c r="M2553" s="89" t="n"/>
      <c r="N2553" s="1" t="n"/>
      <c r="O2553" s="1" t="n"/>
      <c r="P2553" s="1" t="n"/>
      <c r="Q2553" s="1" t="n"/>
      <c r="R2553" s="1" t="n"/>
    </row>
    <row r="2554">
      <c r="A2554" s="61" t="n"/>
      <c r="B2554" s="16" t="n"/>
      <c r="C2554" s="90" t="n"/>
      <c r="D2554" s="90" t="n"/>
      <c r="E2554" s="90" t="n"/>
      <c r="F2554" s="16" t="n"/>
      <c r="G2554" s="16" t="n"/>
      <c r="H2554" s="63" t="n"/>
      <c r="I2554" s="64" t="n"/>
      <c r="J2554" s="16" t="n"/>
      <c r="K2554" s="16" t="n"/>
      <c r="M2554" s="89" t="n"/>
      <c r="N2554" s="1" t="n"/>
      <c r="O2554" s="1" t="n"/>
      <c r="P2554" s="1" t="n"/>
      <c r="Q2554" s="1" t="n"/>
      <c r="R2554" s="1" t="n"/>
    </row>
    <row r="2555">
      <c r="A2555" s="61" t="n"/>
      <c r="B2555" s="16" t="n"/>
      <c r="C2555" s="90" t="n"/>
      <c r="D2555" s="90" t="n"/>
      <c r="E2555" s="90" t="n"/>
      <c r="F2555" s="16" t="n"/>
      <c r="G2555" s="16" t="n"/>
      <c r="H2555" s="63" t="n"/>
      <c r="I2555" s="64" t="n"/>
      <c r="J2555" s="16" t="n"/>
      <c r="K2555" s="16" t="n"/>
      <c r="M2555" s="89" t="n"/>
      <c r="N2555" s="1" t="n"/>
      <c r="O2555" s="1" t="n"/>
      <c r="P2555" s="1" t="n"/>
      <c r="Q2555" s="1" t="n"/>
      <c r="R2555" s="1" t="n"/>
    </row>
    <row r="2556">
      <c r="A2556" s="61" t="n"/>
      <c r="B2556" s="16" t="n"/>
      <c r="C2556" s="90" t="n"/>
      <c r="D2556" s="90" t="n"/>
      <c r="E2556" s="90" t="n"/>
      <c r="F2556" s="16" t="n"/>
      <c r="G2556" s="16" t="n"/>
      <c r="H2556" s="63" t="n"/>
      <c r="I2556" s="64" t="n"/>
      <c r="J2556" s="16" t="n"/>
      <c r="K2556" s="16" t="n"/>
      <c r="M2556" s="89" t="n"/>
      <c r="N2556" s="1" t="n"/>
      <c r="O2556" s="1" t="n"/>
      <c r="P2556" s="1" t="n"/>
      <c r="Q2556" s="1" t="n"/>
      <c r="R2556" s="1" t="n"/>
    </row>
    <row r="2557">
      <c r="A2557" s="61" t="n"/>
      <c r="B2557" s="16" t="n"/>
      <c r="C2557" s="90" t="n"/>
      <c r="D2557" s="90" t="n"/>
      <c r="E2557" s="90" t="n"/>
      <c r="F2557" s="16" t="n"/>
      <c r="G2557" s="16" t="n"/>
      <c r="H2557" s="63" t="n"/>
      <c r="I2557" s="64" t="n"/>
      <c r="J2557" s="16" t="n"/>
      <c r="K2557" s="16" t="n"/>
      <c r="M2557" s="89" t="n"/>
      <c r="N2557" s="1" t="n"/>
      <c r="O2557" s="1" t="n"/>
      <c r="P2557" s="1" t="n"/>
      <c r="Q2557" s="1" t="n"/>
      <c r="R2557" s="1" t="n"/>
    </row>
    <row r="2558">
      <c r="A2558" s="61" t="n"/>
      <c r="B2558" s="16" t="n"/>
      <c r="C2558" s="90" t="n"/>
      <c r="D2558" s="90" t="n"/>
      <c r="E2558" s="90" t="n"/>
      <c r="F2558" s="16" t="n"/>
      <c r="G2558" s="16" t="n"/>
      <c r="H2558" s="63" t="n"/>
      <c r="I2558" s="64" t="n"/>
      <c r="J2558" s="16" t="n"/>
      <c r="K2558" s="16" t="n"/>
      <c r="M2558" s="89" t="n"/>
      <c r="N2558" s="1" t="n"/>
      <c r="O2558" s="1" t="n"/>
      <c r="P2558" s="1" t="n"/>
      <c r="Q2558" s="1" t="n"/>
      <c r="R2558" s="1" t="n"/>
    </row>
    <row r="2559">
      <c r="A2559" s="61" t="n"/>
      <c r="B2559" s="16" t="n"/>
      <c r="C2559" s="90" t="n"/>
      <c r="D2559" s="90" t="n"/>
      <c r="E2559" s="90" t="n"/>
      <c r="F2559" s="16" t="n"/>
      <c r="G2559" s="16" t="n"/>
      <c r="H2559" s="63" t="n"/>
      <c r="I2559" s="64" t="n"/>
      <c r="J2559" s="16" t="n"/>
      <c r="K2559" s="16" t="n"/>
      <c r="M2559" s="89" t="n"/>
      <c r="N2559" s="1" t="n"/>
      <c r="O2559" s="1" t="n"/>
      <c r="P2559" s="1" t="n"/>
      <c r="Q2559" s="1" t="n"/>
      <c r="R2559" s="1" t="n"/>
    </row>
    <row r="2560">
      <c r="A2560" s="61" t="n"/>
      <c r="B2560" s="16" t="n"/>
      <c r="C2560" s="90" t="n"/>
      <c r="D2560" s="90" t="n"/>
      <c r="E2560" s="90" t="n"/>
      <c r="F2560" s="16" t="n"/>
      <c r="G2560" s="16" t="n"/>
      <c r="H2560" s="63" t="n"/>
      <c r="I2560" s="64" t="n"/>
      <c r="J2560" s="16" t="n"/>
      <c r="K2560" s="16" t="n"/>
      <c r="M2560" s="89" t="n"/>
      <c r="N2560" s="1" t="n"/>
      <c r="O2560" s="1" t="n"/>
      <c r="P2560" s="1" t="n"/>
      <c r="Q2560" s="1" t="n"/>
      <c r="R2560" s="1" t="n"/>
    </row>
    <row r="2561">
      <c r="A2561" s="61" t="n"/>
      <c r="B2561" s="16" t="n"/>
      <c r="C2561" s="90" t="n"/>
      <c r="D2561" s="90" t="n"/>
      <c r="E2561" s="90" t="n"/>
      <c r="F2561" s="16" t="n"/>
      <c r="G2561" s="16" t="n"/>
      <c r="H2561" s="63" t="n"/>
      <c r="I2561" s="64" t="n"/>
      <c r="J2561" s="16" t="n"/>
      <c r="K2561" s="16" t="n"/>
      <c r="M2561" s="89" t="n"/>
      <c r="N2561" s="1" t="n"/>
      <c r="O2561" s="1" t="n"/>
      <c r="P2561" s="1" t="n"/>
      <c r="Q2561" s="1" t="n"/>
      <c r="R2561" s="1" t="n"/>
    </row>
    <row r="2562">
      <c r="A2562" s="61" t="n"/>
      <c r="B2562" s="16" t="n"/>
      <c r="C2562" s="90" t="n"/>
      <c r="D2562" s="90" t="n"/>
      <c r="E2562" s="90" t="n"/>
      <c r="F2562" s="16" t="n"/>
      <c r="G2562" s="16" t="n"/>
      <c r="H2562" s="63" t="n"/>
      <c r="I2562" s="64" t="n"/>
      <c r="J2562" s="16" t="n"/>
      <c r="K2562" s="16" t="n"/>
      <c r="M2562" s="89" t="n"/>
      <c r="N2562" s="1" t="n"/>
      <c r="O2562" s="1" t="n"/>
      <c r="P2562" s="1" t="n"/>
      <c r="Q2562" s="1" t="n"/>
      <c r="R2562" s="1" t="n"/>
    </row>
    <row r="2563">
      <c r="A2563" s="61" t="n"/>
      <c r="B2563" s="16" t="n"/>
      <c r="C2563" s="90" t="n"/>
      <c r="D2563" s="90" t="n"/>
      <c r="E2563" s="90" t="n"/>
      <c r="F2563" s="16" t="n"/>
      <c r="G2563" s="16" t="n"/>
      <c r="H2563" s="63" t="n"/>
      <c r="I2563" s="64" t="n"/>
      <c r="J2563" s="16" t="n"/>
      <c r="K2563" s="16" t="n"/>
      <c r="M2563" s="89" t="n"/>
      <c r="N2563" s="1" t="n"/>
      <c r="O2563" s="1" t="n"/>
      <c r="P2563" s="1" t="n"/>
      <c r="Q2563" s="1" t="n"/>
      <c r="R2563" s="1" t="n"/>
    </row>
    <row r="2564">
      <c r="A2564" s="61" t="n"/>
      <c r="B2564" s="16" t="n"/>
      <c r="C2564" s="90" t="n"/>
      <c r="D2564" s="90" t="n"/>
      <c r="E2564" s="90" t="n"/>
      <c r="F2564" s="16" t="n"/>
      <c r="G2564" s="16" t="n"/>
      <c r="H2564" s="63" t="n"/>
      <c r="I2564" s="64" t="n"/>
      <c r="J2564" s="16" t="n"/>
      <c r="K2564" s="16" t="n"/>
      <c r="M2564" s="89" t="n"/>
      <c r="N2564" s="1" t="n"/>
      <c r="O2564" s="1" t="n"/>
      <c r="P2564" s="1" t="n"/>
      <c r="Q2564" s="1" t="n"/>
      <c r="R2564" s="1" t="n"/>
    </row>
    <row r="2565">
      <c r="A2565" s="61" t="n"/>
      <c r="B2565" s="16" t="n"/>
      <c r="C2565" s="90" t="n"/>
      <c r="D2565" s="90" t="n"/>
      <c r="E2565" s="90" t="n"/>
      <c r="F2565" s="16" t="n"/>
      <c r="G2565" s="16" t="n"/>
      <c r="H2565" s="63" t="n"/>
      <c r="I2565" s="64" t="n"/>
      <c r="J2565" s="16" t="n"/>
      <c r="K2565" s="16" t="n"/>
      <c r="M2565" s="89" t="n"/>
      <c r="N2565" s="1" t="n"/>
      <c r="O2565" s="1" t="n"/>
      <c r="P2565" s="1" t="n"/>
      <c r="Q2565" s="1" t="n"/>
      <c r="R2565" s="1" t="n"/>
    </row>
    <row r="2566">
      <c r="A2566" s="61" t="n"/>
      <c r="B2566" s="16" t="n"/>
      <c r="C2566" s="90" t="n"/>
      <c r="D2566" s="90" t="n"/>
      <c r="E2566" s="90" t="n"/>
      <c r="F2566" s="16" t="n"/>
      <c r="G2566" s="16" t="n"/>
      <c r="H2566" s="63" t="n"/>
      <c r="I2566" s="64" t="n"/>
      <c r="J2566" s="16" t="n"/>
      <c r="K2566" s="16" t="n"/>
      <c r="M2566" s="89" t="n"/>
      <c r="N2566" s="1" t="n"/>
      <c r="O2566" s="1" t="n"/>
      <c r="P2566" s="1" t="n"/>
      <c r="Q2566" s="1" t="n"/>
      <c r="R2566" s="1" t="n"/>
    </row>
    <row r="2567">
      <c r="A2567" s="61" t="n"/>
      <c r="B2567" s="16" t="n"/>
      <c r="C2567" s="90" t="n"/>
      <c r="D2567" s="90" t="n"/>
      <c r="E2567" s="90" t="n"/>
      <c r="F2567" s="16" t="n"/>
      <c r="G2567" s="16" t="n"/>
      <c r="H2567" s="63" t="n"/>
      <c r="I2567" s="64" t="n"/>
      <c r="J2567" s="16" t="n"/>
      <c r="K2567" s="16" t="n"/>
      <c r="M2567" s="89" t="n"/>
      <c r="N2567" s="1" t="n"/>
      <c r="O2567" s="1" t="n"/>
      <c r="P2567" s="1" t="n"/>
      <c r="Q2567" s="1" t="n"/>
      <c r="R2567" s="1" t="n"/>
    </row>
    <row r="2568">
      <c r="A2568" s="61" t="n"/>
      <c r="B2568" s="16" t="n"/>
      <c r="C2568" s="90" t="n"/>
      <c r="D2568" s="90" t="n"/>
      <c r="E2568" s="90" t="n"/>
      <c r="F2568" s="16" t="n"/>
      <c r="G2568" s="16" t="n"/>
      <c r="H2568" s="63" t="n"/>
      <c r="I2568" s="64" t="n"/>
      <c r="J2568" s="16" t="n"/>
      <c r="K2568" s="16" t="n"/>
      <c r="M2568" s="89" t="n"/>
      <c r="N2568" s="1" t="n"/>
      <c r="O2568" s="1" t="n"/>
      <c r="P2568" s="1" t="n"/>
      <c r="Q2568" s="1" t="n"/>
      <c r="R2568" s="1" t="n"/>
    </row>
    <row r="2569">
      <c r="A2569" s="61" t="n"/>
      <c r="B2569" s="16" t="n"/>
      <c r="C2569" s="90" t="n"/>
      <c r="D2569" s="90" t="n"/>
      <c r="E2569" s="90" t="n"/>
      <c r="F2569" s="16" t="n"/>
      <c r="G2569" s="16" t="n"/>
      <c r="H2569" s="63" t="n"/>
      <c r="I2569" s="64" t="n"/>
      <c r="J2569" s="16" t="n"/>
      <c r="K2569" s="16" t="n"/>
      <c r="M2569" s="89" t="n"/>
      <c r="N2569" s="1" t="n"/>
      <c r="O2569" s="1" t="n"/>
      <c r="P2569" s="1" t="n"/>
      <c r="Q2569" s="1" t="n"/>
      <c r="R2569" s="1" t="n"/>
    </row>
    <row r="2570">
      <c r="A2570" s="61" t="n"/>
      <c r="B2570" s="16" t="n"/>
      <c r="C2570" s="90" t="n"/>
      <c r="D2570" s="90" t="n"/>
      <c r="E2570" s="90" t="n"/>
      <c r="F2570" s="16" t="n"/>
      <c r="G2570" s="16" t="n"/>
      <c r="H2570" s="63" t="n"/>
      <c r="I2570" s="64" t="n"/>
      <c r="J2570" s="16" t="n"/>
      <c r="K2570" s="16" t="n"/>
      <c r="M2570" s="89" t="n"/>
      <c r="N2570" s="1" t="n"/>
      <c r="O2570" s="1" t="n"/>
      <c r="P2570" s="1" t="n"/>
      <c r="Q2570" s="1" t="n"/>
      <c r="R2570" s="1" t="n"/>
    </row>
    <row r="2571">
      <c r="A2571" s="61" t="n"/>
      <c r="B2571" s="16" t="n"/>
      <c r="C2571" s="90" t="n"/>
      <c r="D2571" s="90" t="n"/>
      <c r="E2571" s="90" t="n"/>
      <c r="F2571" s="16" t="n"/>
      <c r="G2571" s="16" t="n"/>
      <c r="H2571" s="63" t="n"/>
      <c r="I2571" s="64" t="n"/>
      <c r="J2571" s="16" t="n"/>
      <c r="K2571" s="16" t="n"/>
      <c r="M2571" s="89" t="n"/>
      <c r="N2571" s="1" t="n"/>
      <c r="O2571" s="1" t="n"/>
      <c r="P2571" s="1" t="n"/>
      <c r="Q2571" s="1" t="n"/>
      <c r="R2571" s="1" t="n"/>
    </row>
    <row r="2572">
      <c r="A2572" s="61" t="n"/>
      <c r="B2572" s="16" t="n"/>
      <c r="C2572" s="90" t="n"/>
      <c r="D2572" s="90" t="n"/>
      <c r="E2572" s="90" t="n"/>
      <c r="F2572" s="16" t="n"/>
      <c r="G2572" s="16" t="n"/>
      <c r="H2572" s="63" t="n"/>
      <c r="I2572" s="64" t="n"/>
      <c r="J2572" s="16" t="n"/>
      <c r="K2572" s="16" t="n"/>
      <c r="M2572" s="89" t="n"/>
      <c r="N2572" s="1" t="n"/>
      <c r="O2572" s="1" t="n"/>
      <c r="P2572" s="1" t="n"/>
      <c r="Q2572" s="1" t="n"/>
      <c r="R2572" s="1" t="n"/>
    </row>
    <row r="2573">
      <c r="A2573" s="61" t="n"/>
      <c r="B2573" s="16" t="n"/>
      <c r="C2573" s="90" t="n"/>
      <c r="D2573" s="90" t="n"/>
      <c r="E2573" s="90" t="n"/>
      <c r="F2573" s="16" t="n"/>
      <c r="G2573" s="16" t="n"/>
      <c r="H2573" s="63" t="n"/>
      <c r="I2573" s="64" t="n"/>
      <c r="J2573" s="16" t="n"/>
      <c r="K2573" s="16" t="n"/>
      <c r="M2573" s="89" t="n"/>
      <c r="N2573" s="1" t="n"/>
      <c r="O2573" s="1" t="n"/>
      <c r="P2573" s="1" t="n"/>
      <c r="Q2573" s="1" t="n"/>
      <c r="R2573" s="1" t="n"/>
    </row>
    <row r="2574">
      <c r="A2574" s="61" t="n"/>
      <c r="B2574" s="16" t="n"/>
      <c r="C2574" s="90" t="n"/>
      <c r="D2574" s="90" t="n"/>
      <c r="E2574" s="90" t="n"/>
      <c r="F2574" s="16" t="n"/>
      <c r="G2574" s="16" t="n"/>
      <c r="H2574" s="63" t="n"/>
      <c r="I2574" s="64" t="n"/>
      <c r="J2574" s="16" t="n"/>
      <c r="K2574" s="16" t="n"/>
      <c r="M2574" s="89" t="n"/>
      <c r="N2574" s="1" t="n"/>
      <c r="O2574" s="1" t="n"/>
      <c r="P2574" s="1" t="n"/>
      <c r="Q2574" s="1" t="n"/>
      <c r="R2574" s="1" t="n"/>
    </row>
    <row r="2575">
      <c r="A2575" s="61" t="n"/>
      <c r="B2575" s="16" t="n"/>
      <c r="C2575" s="90" t="n"/>
      <c r="D2575" s="90" t="n"/>
      <c r="E2575" s="90" t="n"/>
      <c r="F2575" s="16" t="n"/>
      <c r="G2575" s="16" t="n"/>
      <c r="H2575" s="63" t="n"/>
      <c r="I2575" s="64" t="n"/>
      <c r="J2575" s="16" t="n"/>
      <c r="K2575" s="16" t="n"/>
      <c r="M2575" s="89" t="n"/>
      <c r="N2575" s="1" t="n"/>
      <c r="O2575" s="1" t="n"/>
      <c r="P2575" s="1" t="n"/>
      <c r="Q2575" s="1" t="n"/>
      <c r="R2575" s="1" t="n"/>
    </row>
    <row r="2576">
      <c r="A2576" s="61" t="n"/>
      <c r="B2576" s="16" t="n"/>
      <c r="C2576" s="90" t="n"/>
      <c r="D2576" s="90" t="n"/>
      <c r="E2576" s="90" t="n"/>
      <c r="F2576" s="16" t="n"/>
      <c r="G2576" s="16" t="n"/>
      <c r="H2576" s="63" t="n"/>
      <c r="I2576" s="64" t="n"/>
      <c r="J2576" s="16" t="n"/>
      <c r="K2576" s="16" t="n"/>
      <c r="M2576" s="89" t="n"/>
      <c r="N2576" s="1" t="n"/>
      <c r="O2576" s="1" t="n"/>
      <c r="P2576" s="1" t="n"/>
      <c r="Q2576" s="1" t="n"/>
      <c r="R2576" s="1" t="n"/>
    </row>
    <row r="2577">
      <c r="A2577" s="61" t="n"/>
      <c r="B2577" s="16" t="n"/>
      <c r="C2577" s="90" t="n"/>
      <c r="D2577" s="90" t="n"/>
      <c r="E2577" s="90" t="n"/>
      <c r="F2577" s="16" t="n"/>
      <c r="G2577" s="16" t="n"/>
      <c r="H2577" s="63" t="n"/>
      <c r="I2577" s="64" t="n"/>
      <c r="J2577" s="16" t="n"/>
      <c r="K2577" s="16" t="n"/>
      <c r="M2577" s="89" t="n"/>
      <c r="N2577" s="1" t="n"/>
      <c r="O2577" s="1" t="n"/>
      <c r="P2577" s="1" t="n"/>
      <c r="Q2577" s="1" t="n"/>
      <c r="R2577" s="1" t="n"/>
    </row>
    <row r="2578">
      <c r="A2578" s="61" t="n"/>
      <c r="B2578" s="16" t="n"/>
      <c r="C2578" s="90" t="n"/>
      <c r="D2578" s="90" t="n"/>
      <c r="E2578" s="90" t="n"/>
      <c r="F2578" s="16" t="n"/>
      <c r="G2578" s="16" t="n"/>
      <c r="H2578" s="63" t="n"/>
      <c r="I2578" s="64" t="n"/>
      <c r="J2578" s="16" t="n"/>
      <c r="K2578" s="16" t="n"/>
      <c r="M2578" s="89" t="n"/>
      <c r="N2578" s="1" t="n"/>
      <c r="O2578" s="1" t="n"/>
      <c r="P2578" s="1" t="n"/>
      <c r="Q2578" s="1" t="n"/>
      <c r="R2578" s="1" t="n"/>
    </row>
    <row r="2579">
      <c r="A2579" s="61" t="n"/>
      <c r="B2579" s="16" t="n"/>
      <c r="C2579" s="90" t="n"/>
      <c r="D2579" s="90" t="n"/>
      <c r="E2579" s="90" t="n"/>
      <c r="F2579" s="16" t="n"/>
      <c r="G2579" s="16" t="n"/>
      <c r="H2579" s="63" t="n"/>
      <c r="I2579" s="64" t="n"/>
      <c r="J2579" s="16" t="n"/>
      <c r="K2579" s="16" t="n"/>
      <c r="M2579" s="89" t="n"/>
      <c r="N2579" s="1" t="n"/>
      <c r="O2579" s="1" t="n"/>
      <c r="P2579" s="1" t="n"/>
      <c r="Q2579" s="1" t="n"/>
      <c r="R2579" s="1" t="n"/>
    </row>
    <row r="2580">
      <c r="A2580" s="61" t="n"/>
      <c r="B2580" s="16" t="n"/>
      <c r="C2580" s="90" t="n"/>
      <c r="D2580" s="90" t="n"/>
      <c r="E2580" s="90" t="n"/>
      <c r="F2580" s="16" t="n"/>
      <c r="G2580" s="16" t="n"/>
      <c r="H2580" s="63" t="n"/>
      <c r="I2580" s="64" t="n"/>
      <c r="J2580" s="16" t="n"/>
      <c r="K2580" s="16" t="n"/>
      <c r="M2580" s="89" t="n"/>
      <c r="N2580" s="1" t="n"/>
      <c r="O2580" s="1" t="n"/>
      <c r="P2580" s="1" t="n"/>
      <c r="Q2580" s="1" t="n"/>
      <c r="R2580" s="1" t="n"/>
    </row>
    <row r="2581">
      <c r="A2581" s="61" t="n"/>
      <c r="B2581" s="16" t="n"/>
      <c r="C2581" s="90" t="n"/>
      <c r="D2581" s="90" t="n"/>
      <c r="E2581" s="90" t="n"/>
      <c r="F2581" s="16" t="n"/>
      <c r="G2581" s="16" t="n"/>
      <c r="H2581" s="63" t="n"/>
      <c r="I2581" s="64" t="n"/>
      <c r="J2581" s="16" t="n"/>
      <c r="K2581" s="16" t="n"/>
      <c r="M2581" s="89" t="n"/>
      <c r="N2581" s="1" t="n"/>
      <c r="O2581" s="1" t="n"/>
      <c r="P2581" s="1" t="n"/>
      <c r="Q2581" s="1" t="n"/>
      <c r="R2581" s="1" t="n"/>
    </row>
    <row r="2582">
      <c r="A2582" s="61" t="n"/>
      <c r="B2582" s="16" t="n"/>
      <c r="C2582" s="90" t="n"/>
      <c r="D2582" s="90" t="n"/>
      <c r="E2582" s="90" t="n"/>
      <c r="F2582" s="16" t="n"/>
      <c r="G2582" s="16" t="n"/>
      <c r="H2582" s="63" t="n"/>
      <c r="I2582" s="64" t="n"/>
      <c r="J2582" s="16" t="n"/>
      <c r="K2582" s="16" t="n"/>
      <c r="M2582" s="89" t="n"/>
      <c r="N2582" s="1" t="n"/>
      <c r="O2582" s="1" t="n"/>
      <c r="P2582" s="1" t="n"/>
      <c r="Q2582" s="1" t="n"/>
      <c r="R2582" s="1" t="n"/>
    </row>
    <row r="2583">
      <c r="A2583" s="61" t="n"/>
      <c r="B2583" s="16" t="n"/>
      <c r="C2583" s="90" t="n"/>
      <c r="D2583" s="90" t="n"/>
      <c r="E2583" s="90" t="n"/>
      <c r="F2583" s="16" t="n"/>
      <c r="G2583" s="16" t="n"/>
      <c r="H2583" s="63" t="n"/>
      <c r="I2583" s="64" t="n"/>
      <c r="J2583" s="16" t="n"/>
      <c r="K2583" s="16" t="n"/>
      <c r="M2583" s="89" t="n"/>
      <c r="N2583" s="1" t="n"/>
      <c r="O2583" s="1" t="n"/>
      <c r="P2583" s="1" t="n"/>
      <c r="Q2583" s="1" t="n"/>
      <c r="R2583" s="1" t="n"/>
    </row>
    <row r="2584">
      <c r="A2584" s="61" t="n"/>
      <c r="B2584" s="16" t="n"/>
      <c r="C2584" s="90" t="n"/>
      <c r="D2584" s="90" t="n"/>
      <c r="E2584" s="90" t="n"/>
      <c r="F2584" s="16" t="n"/>
      <c r="G2584" s="16" t="n"/>
      <c r="H2584" s="63" t="n"/>
      <c r="I2584" s="64" t="n"/>
      <c r="J2584" s="16" t="n"/>
      <c r="K2584" s="16" t="n"/>
      <c r="M2584" s="89" t="n"/>
      <c r="N2584" s="1" t="n"/>
      <c r="O2584" s="1" t="n"/>
      <c r="P2584" s="1" t="n"/>
      <c r="Q2584" s="1" t="n"/>
      <c r="R2584" s="1" t="n"/>
    </row>
    <row r="2585">
      <c r="A2585" s="61" t="n"/>
      <c r="B2585" s="16" t="n"/>
      <c r="C2585" s="90" t="n"/>
      <c r="D2585" s="90" t="n"/>
      <c r="E2585" s="90" t="n"/>
      <c r="F2585" s="16" t="n"/>
      <c r="G2585" s="16" t="n"/>
      <c r="H2585" s="63" t="n"/>
      <c r="I2585" s="64" t="n"/>
      <c r="J2585" s="16" t="n"/>
      <c r="K2585" s="16" t="n"/>
      <c r="M2585" s="89" t="n"/>
      <c r="N2585" s="1" t="n"/>
      <c r="O2585" s="1" t="n"/>
      <c r="P2585" s="1" t="n"/>
      <c r="Q2585" s="1" t="n"/>
      <c r="R2585" s="1" t="n"/>
    </row>
    <row r="2586">
      <c r="A2586" s="61" t="n"/>
      <c r="B2586" s="16" t="n"/>
      <c r="C2586" s="90" t="n"/>
      <c r="D2586" s="90" t="n"/>
      <c r="E2586" s="90" t="n"/>
      <c r="F2586" s="16" t="n"/>
      <c r="G2586" s="16" t="n"/>
      <c r="H2586" s="63" t="n"/>
      <c r="I2586" s="64" t="n"/>
      <c r="J2586" s="16" t="n"/>
      <c r="K2586" s="16" t="n"/>
      <c r="M2586" s="89" t="n"/>
      <c r="N2586" s="1" t="n"/>
      <c r="O2586" s="1" t="n"/>
      <c r="P2586" s="1" t="n"/>
      <c r="Q2586" s="1" t="n"/>
      <c r="R2586" s="1" t="n"/>
    </row>
    <row r="2587">
      <c r="A2587" s="61" t="n"/>
      <c r="B2587" s="16" t="n"/>
      <c r="C2587" s="90" t="n"/>
      <c r="D2587" s="90" t="n"/>
      <c r="E2587" s="90" t="n"/>
      <c r="F2587" s="16" t="n"/>
      <c r="G2587" s="16" t="n"/>
      <c r="H2587" s="63" t="n"/>
      <c r="I2587" s="64" t="n"/>
      <c r="J2587" s="16" t="n"/>
      <c r="K2587" s="16" t="n"/>
      <c r="M2587" s="89" t="n"/>
      <c r="N2587" s="1" t="n"/>
      <c r="O2587" s="1" t="n"/>
      <c r="P2587" s="1" t="n"/>
      <c r="Q2587" s="1" t="n"/>
      <c r="R2587" s="1" t="n"/>
    </row>
    <row r="2588">
      <c r="A2588" s="61" t="n"/>
      <c r="B2588" s="16" t="n"/>
      <c r="C2588" s="90" t="n"/>
      <c r="D2588" s="90" t="n"/>
      <c r="E2588" s="90" t="n"/>
      <c r="F2588" s="16" t="n"/>
      <c r="G2588" s="16" t="n"/>
      <c r="H2588" s="63" t="n"/>
      <c r="I2588" s="64" t="n"/>
      <c r="J2588" s="16" t="n"/>
      <c r="K2588" s="16" t="n"/>
      <c r="M2588" s="89" t="n"/>
      <c r="N2588" s="1" t="n"/>
      <c r="O2588" s="1" t="n"/>
      <c r="P2588" s="1" t="n"/>
      <c r="Q2588" s="1" t="n"/>
      <c r="R2588" s="1" t="n"/>
    </row>
    <row r="2589">
      <c r="A2589" s="61" t="n"/>
      <c r="B2589" s="16" t="n"/>
      <c r="C2589" s="90" t="n"/>
      <c r="D2589" s="90" t="n"/>
      <c r="E2589" s="90" t="n"/>
      <c r="F2589" s="16" t="n"/>
      <c r="G2589" s="16" t="n"/>
      <c r="H2589" s="63" t="n"/>
      <c r="I2589" s="64" t="n"/>
      <c r="J2589" s="16" t="n"/>
      <c r="K2589" s="16" t="n"/>
      <c r="M2589" s="89" t="n"/>
      <c r="N2589" s="1" t="n"/>
      <c r="O2589" s="1" t="n"/>
      <c r="P2589" s="1" t="n"/>
      <c r="Q2589" s="1" t="n"/>
      <c r="R2589" s="1" t="n"/>
    </row>
    <row r="2590">
      <c r="A2590" s="61" t="n"/>
      <c r="B2590" s="16" t="n"/>
      <c r="C2590" s="90" t="n"/>
      <c r="D2590" s="90" t="n"/>
      <c r="E2590" s="90" t="n"/>
      <c r="F2590" s="16" t="n"/>
      <c r="G2590" s="16" t="n"/>
      <c r="H2590" s="63" t="n"/>
      <c r="I2590" s="64" t="n"/>
      <c r="J2590" s="16" t="n"/>
      <c r="K2590" s="16" t="n"/>
      <c r="M2590" s="89" t="n"/>
      <c r="N2590" s="1" t="n"/>
      <c r="O2590" s="1" t="n"/>
      <c r="P2590" s="1" t="n"/>
      <c r="Q2590" s="1" t="n"/>
      <c r="R2590" s="1" t="n"/>
    </row>
    <row r="2591">
      <c r="A2591" s="61" t="n"/>
      <c r="B2591" s="16" t="n"/>
      <c r="C2591" s="90" t="n"/>
      <c r="D2591" s="90" t="n"/>
      <c r="E2591" s="90" t="n"/>
      <c r="F2591" s="16" t="n"/>
      <c r="G2591" s="16" t="n"/>
      <c r="H2591" s="63" t="n"/>
      <c r="I2591" s="64" t="n"/>
      <c r="J2591" s="16" t="n"/>
      <c r="K2591" s="16" t="n"/>
      <c r="M2591" s="89" t="n"/>
      <c r="N2591" s="1" t="n"/>
      <c r="O2591" s="1" t="n"/>
      <c r="P2591" s="1" t="n"/>
      <c r="Q2591" s="1" t="n"/>
      <c r="R2591" s="1" t="n"/>
    </row>
    <row r="2592">
      <c r="A2592" s="61" t="n"/>
      <c r="B2592" s="16" t="n"/>
      <c r="C2592" s="90" t="n"/>
      <c r="D2592" s="90" t="n"/>
      <c r="E2592" s="90" t="n"/>
      <c r="F2592" s="16" t="n"/>
      <c r="G2592" s="16" t="n"/>
      <c r="H2592" s="63" t="n"/>
      <c r="I2592" s="64" t="n"/>
      <c r="J2592" s="16" t="n"/>
      <c r="K2592" s="16" t="n"/>
      <c r="M2592" s="89" t="n"/>
      <c r="N2592" s="1" t="n"/>
      <c r="O2592" s="1" t="n"/>
      <c r="P2592" s="1" t="n"/>
      <c r="Q2592" s="1" t="n"/>
      <c r="R2592" s="1" t="n"/>
    </row>
    <row r="2593">
      <c r="A2593" s="61" t="n"/>
      <c r="B2593" s="16" t="n"/>
      <c r="C2593" s="90" t="n"/>
      <c r="D2593" s="90" t="n"/>
      <c r="E2593" s="90" t="n"/>
      <c r="F2593" s="16" t="n"/>
      <c r="G2593" s="16" t="n"/>
      <c r="H2593" s="63" t="n"/>
      <c r="I2593" s="64" t="n"/>
      <c r="J2593" s="16" t="n"/>
      <c r="K2593" s="16" t="n"/>
      <c r="M2593" s="89" t="n"/>
      <c r="N2593" s="1" t="n"/>
      <c r="O2593" s="1" t="n"/>
      <c r="P2593" s="1" t="n"/>
      <c r="Q2593" s="1" t="n"/>
      <c r="R2593" s="1" t="n"/>
    </row>
    <row r="2594">
      <c r="A2594" s="61" t="n"/>
      <c r="B2594" s="16" t="n"/>
      <c r="C2594" s="90" t="n"/>
      <c r="D2594" s="90" t="n"/>
      <c r="E2594" s="90" t="n"/>
      <c r="F2594" s="16" t="n"/>
      <c r="G2594" s="16" t="n"/>
      <c r="H2594" s="63" t="n"/>
      <c r="I2594" s="64" t="n"/>
      <c r="J2594" s="16" t="n"/>
      <c r="K2594" s="16" t="n"/>
      <c r="M2594" s="89" t="n"/>
      <c r="N2594" s="1" t="n"/>
      <c r="O2594" s="1" t="n"/>
      <c r="P2594" s="1" t="n"/>
      <c r="Q2594" s="1" t="n"/>
      <c r="R2594" s="1" t="n"/>
    </row>
    <row r="2595">
      <c r="A2595" s="61" t="n"/>
      <c r="B2595" s="16" t="n"/>
      <c r="C2595" s="90" t="n"/>
      <c r="D2595" s="90" t="n"/>
      <c r="E2595" s="90" t="n"/>
      <c r="F2595" s="16" t="n"/>
      <c r="G2595" s="16" t="n"/>
      <c r="H2595" s="63" t="n"/>
      <c r="I2595" s="64" t="n"/>
      <c r="J2595" s="16" t="n"/>
      <c r="K2595" s="16" t="n"/>
      <c r="M2595" s="89" t="n"/>
      <c r="N2595" s="1" t="n"/>
      <c r="O2595" s="1" t="n"/>
      <c r="P2595" s="1" t="n"/>
      <c r="Q2595" s="1" t="n"/>
      <c r="R2595" s="1" t="n"/>
    </row>
    <row r="2596">
      <c r="A2596" s="61" t="n"/>
      <c r="B2596" s="16" t="n"/>
      <c r="C2596" s="90" t="n"/>
      <c r="D2596" s="90" t="n"/>
      <c r="E2596" s="90" t="n"/>
      <c r="F2596" s="16" t="n"/>
      <c r="G2596" s="16" t="n"/>
      <c r="H2596" s="63" t="n"/>
      <c r="I2596" s="64" t="n"/>
      <c r="J2596" s="16" t="n"/>
      <c r="K2596" s="16" t="n"/>
      <c r="M2596" s="89" t="n"/>
      <c r="N2596" s="1" t="n"/>
      <c r="O2596" s="1" t="n"/>
      <c r="P2596" s="1" t="n"/>
      <c r="Q2596" s="1" t="n"/>
      <c r="R2596" s="1" t="n"/>
    </row>
    <row r="2597">
      <c r="A2597" s="61" t="n"/>
      <c r="B2597" s="16" t="n"/>
      <c r="C2597" s="90" t="n"/>
      <c r="D2597" s="90" t="n"/>
      <c r="E2597" s="90" t="n"/>
      <c r="F2597" s="16" t="n"/>
      <c r="G2597" s="16" t="n"/>
      <c r="H2597" s="63" t="n"/>
      <c r="I2597" s="64" t="n"/>
      <c r="J2597" s="16" t="n"/>
      <c r="K2597" s="16" t="n"/>
      <c r="M2597" s="89" t="n"/>
      <c r="N2597" s="1" t="n"/>
      <c r="O2597" s="1" t="n"/>
      <c r="P2597" s="1" t="n"/>
      <c r="Q2597" s="1" t="n"/>
      <c r="R2597" s="1" t="n"/>
    </row>
    <row r="2598">
      <c r="A2598" s="61" t="n"/>
      <c r="B2598" s="16" t="n"/>
      <c r="C2598" s="90" t="n"/>
      <c r="D2598" s="90" t="n"/>
      <c r="E2598" s="90" t="n"/>
      <c r="F2598" s="16" t="n"/>
      <c r="G2598" s="16" t="n"/>
      <c r="H2598" s="63" t="n"/>
      <c r="I2598" s="64" t="n"/>
      <c r="J2598" s="16" t="n"/>
      <c r="K2598" s="16" t="n"/>
      <c r="M2598" s="89" t="n"/>
      <c r="N2598" s="1" t="n"/>
      <c r="O2598" s="1" t="n"/>
      <c r="P2598" s="1" t="n"/>
      <c r="Q2598" s="1" t="n"/>
      <c r="R2598" s="1" t="n"/>
    </row>
    <row r="2599">
      <c r="A2599" s="61" t="n"/>
      <c r="B2599" s="16" t="n"/>
      <c r="C2599" s="90" t="n"/>
      <c r="D2599" s="90" t="n"/>
      <c r="E2599" s="90" t="n"/>
      <c r="F2599" s="16" t="n"/>
      <c r="G2599" s="16" t="n"/>
      <c r="H2599" s="63" t="n"/>
      <c r="I2599" s="64" t="n"/>
      <c r="J2599" s="16" t="n"/>
      <c r="K2599" s="16" t="n"/>
      <c r="M2599" s="89" t="n"/>
      <c r="N2599" s="1" t="n"/>
      <c r="O2599" s="1" t="n"/>
      <c r="P2599" s="1" t="n"/>
      <c r="Q2599" s="1" t="n"/>
      <c r="R2599" s="1" t="n"/>
    </row>
    <row r="2600">
      <c r="A2600" s="61" t="n"/>
      <c r="B2600" s="16" t="n"/>
      <c r="C2600" s="90" t="n"/>
      <c r="D2600" s="90" t="n"/>
      <c r="E2600" s="90" t="n"/>
      <c r="F2600" s="16" t="n"/>
      <c r="G2600" s="16" t="n"/>
      <c r="H2600" s="63" t="n"/>
      <c r="I2600" s="64" t="n"/>
      <c r="J2600" s="16" t="n"/>
      <c r="K2600" s="16" t="n"/>
      <c r="M2600" s="89" t="n"/>
      <c r="N2600" s="1" t="n"/>
      <c r="O2600" s="1" t="n"/>
      <c r="P2600" s="1" t="n"/>
      <c r="Q2600" s="1" t="n"/>
      <c r="R2600" s="1" t="n"/>
    </row>
    <row r="2601">
      <c r="A2601" s="61" t="n"/>
      <c r="B2601" s="16" t="n"/>
      <c r="C2601" s="90" t="n"/>
      <c r="D2601" s="90" t="n"/>
      <c r="E2601" s="90" t="n"/>
      <c r="F2601" s="16" t="n"/>
      <c r="G2601" s="16" t="n"/>
      <c r="H2601" s="63" t="n"/>
      <c r="I2601" s="64" t="n"/>
      <c r="J2601" s="16" t="n"/>
      <c r="K2601" s="16" t="n"/>
      <c r="M2601" s="89" t="n"/>
      <c r="N2601" s="1" t="n"/>
      <c r="O2601" s="1" t="n"/>
      <c r="P2601" s="1" t="n"/>
      <c r="Q2601" s="1" t="n"/>
      <c r="R2601" s="1" t="n"/>
    </row>
    <row r="2602">
      <c r="A2602" s="61" t="n"/>
      <c r="B2602" s="16" t="n"/>
      <c r="C2602" s="90" t="n"/>
      <c r="D2602" s="90" t="n"/>
      <c r="E2602" s="90" t="n"/>
      <c r="F2602" s="16" t="n"/>
      <c r="G2602" s="16" t="n"/>
      <c r="H2602" s="63" t="n"/>
      <c r="I2602" s="64" t="n"/>
      <c r="J2602" s="16" t="n"/>
      <c r="K2602" s="16" t="n"/>
      <c r="M2602" s="89" t="n"/>
      <c r="N2602" s="1" t="n"/>
      <c r="O2602" s="1" t="n"/>
      <c r="P2602" s="1" t="n"/>
      <c r="Q2602" s="1" t="n"/>
      <c r="R2602" s="1" t="n"/>
    </row>
    <row r="2603">
      <c r="A2603" s="61" t="n"/>
      <c r="B2603" s="16" t="n"/>
      <c r="C2603" s="90" t="n"/>
      <c r="D2603" s="90" t="n"/>
      <c r="E2603" s="90" t="n"/>
      <c r="F2603" s="16" t="n"/>
      <c r="G2603" s="16" t="n"/>
      <c r="H2603" s="63" t="n"/>
      <c r="I2603" s="64" t="n"/>
      <c r="J2603" s="16" t="n"/>
      <c r="K2603" s="16" t="n"/>
      <c r="M2603" s="89" t="n"/>
      <c r="N2603" s="1" t="n"/>
      <c r="O2603" s="1" t="n"/>
      <c r="P2603" s="1" t="n"/>
      <c r="Q2603" s="1" t="n"/>
      <c r="R2603" s="1" t="n"/>
    </row>
    <row r="2604">
      <c r="A2604" s="61" t="n"/>
      <c r="B2604" s="16" t="n"/>
      <c r="C2604" s="90" t="n"/>
      <c r="D2604" s="90" t="n"/>
      <c r="E2604" s="90" t="n"/>
      <c r="F2604" s="16" t="n"/>
      <c r="G2604" s="16" t="n"/>
      <c r="H2604" s="63" t="n"/>
      <c r="I2604" s="64" t="n"/>
      <c r="J2604" s="16" t="n"/>
      <c r="K2604" s="16" t="n"/>
      <c r="M2604" s="89" t="n"/>
      <c r="N2604" s="1" t="n"/>
      <c r="O2604" s="1" t="n"/>
      <c r="P2604" s="1" t="n"/>
      <c r="Q2604" s="1" t="n"/>
      <c r="R2604" s="1" t="n"/>
    </row>
    <row r="2605">
      <c r="A2605" s="61" t="n"/>
      <c r="B2605" s="16" t="n"/>
      <c r="C2605" s="90" t="n"/>
      <c r="D2605" s="90" t="n"/>
      <c r="E2605" s="90" t="n"/>
      <c r="F2605" s="16" t="n"/>
      <c r="G2605" s="16" t="n"/>
      <c r="H2605" s="63" t="n"/>
      <c r="I2605" s="64" t="n"/>
      <c r="J2605" s="16" t="n"/>
      <c r="K2605" s="16" t="n"/>
      <c r="M2605" s="89" t="n"/>
      <c r="N2605" s="1" t="n"/>
      <c r="O2605" s="1" t="n"/>
      <c r="P2605" s="1" t="n"/>
      <c r="Q2605" s="1" t="n"/>
      <c r="R2605" s="1" t="n"/>
    </row>
    <row r="2606">
      <c r="A2606" s="61" t="n"/>
      <c r="B2606" s="16" t="n"/>
      <c r="C2606" s="90" t="n"/>
      <c r="D2606" s="90" t="n"/>
      <c r="E2606" s="90" t="n"/>
      <c r="F2606" s="16" t="n"/>
      <c r="G2606" s="16" t="n"/>
      <c r="H2606" s="63" t="n"/>
      <c r="I2606" s="64" t="n"/>
      <c r="J2606" s="16" t="n"/>
      <c r="K2606" s="16" t="n"/>
      <c r="M2606" s="89" t="n"/>
      <c r="N2606" s="1" t="n"/>
      <c r="O2606" s="1" t="n"/>
      <c r="P2606" s="1" t="n"/>
      <c r="Q2606" s="1" t="n"/>
      <c r="R2606" s="1" t="n"/>
    </row>
    <row r="2607">
      <c r="A2607" s="61" t="n"/>
      <c r="B2607" s="16" t="n"/>
      <c r="C2607" s="90" t="n"/>
      <c r="D2607" s="90" t="n"/>
      <c r="E2607" s="90" t="n"/>
      <c r="F2607" s="16" t="n"/>
      <c r="G2607" s="16" t="n"/>
      <c r="H2607" s="63" t="n"/>
      <c r="I2607" s="64" t="n"/>
      <c r="J2607" s="16" t="n"/>
      <c r="K2607" s="16" t="n"/>
      <c r="M2607" s="89" t="n"/>
      <c r="N2607" s="1" t="n"/>
      <c r="O2607" s="1" t="n"/>
      <c r="P2607" s="1" t="n"/>
      <c r="Q2607" s="1" t="n"/>
      <c r="R2607" s="1" t="n"/>
    </row>
    <row r="2608">
      <c r="A2608" s="61" t="n"/>
      <c r="B2608" s="16" t="n"/>
      <c r="C2608" s="90" t="n"/>
      <c r="D2608" s="90" t="n"/>
      <c r="E2608" s="90" t="n"/>
      <c r="F2608" s="16" t="n"/>
      <c r="G2608" s="16" t="n"/>
      <c r="H2608" s="63" t="n"/>
      <c r="I2608" s="64" t="n"/>
      <c r="J2608" s="16" t="n"/>
      <c r="K2608" s="16" t="n"/>
      <c r="M2608" s="89" t="n"/>
      <c r="N2608" s="1" t="n"/>
      <c r="O2608" s="1" t="n"/>
      <c r="P2608" s="1" t="n"/>
      <c r="Q2608" s="1" t="n"/>
      <c r="R2608" s="1" t="n"/>
    </row>
    <row r="2609">
      <c r="A2609" s="61" t="n"/>
      <c r="B2609" s="16" t="n"/>
      <c r="C2609" s="90" t="n"/>
      <c r="D2609" s="90" t="n"/>
      <c r="E2609" s="90" t="n"/>
      <c r="F2609" s="16" t="n"/>
      <c r="G2609" s="16" t="n"/>
      <c r="H2609" s="63" t="n"/>
      <c r="I2609" s="64" t="n"/>
      <c r="J2609" s="16" t="n"/>
      <c r="K2609" s="16" t="n"/>
      <c r="M2609" s="89" t="n"/>
      <c r="N2609" s="1" t="n"/>
      <c r="O2609" s="1" t="n"/>
      <c r="P2609" s="1" t="n"/>
      <c r="Q2609" s="1" t="n"/>
      <c r="R2609" s="1" t="n"/>
    </row>
    <row r="2610">
      <c r="A2610" s="61" t="n"/>
      <c r="B2610" s="16" t="n"/>
      <c r="C2610" s="90" t="n"/>
      <c r="D2610" s="90" t="n"/>
      <c r="E2610" s="90" t="n"/>
      <c r="F2610" s="16" t="n"/>
      <c r="G2610" s="16" t="n"/>
      <c r="H2610" s="63" t="n"/>
      <c r="I2610" s="64" t="n"/>
      <c r="J2610" s="16" t="n"/>
      <c r="K2610" s="16" t="n"/>
      <c r="M2610" s="89" t="n"/>
      <c r="N2610" s="1" t="n"/>
      <c r="O2610" s="1" t="n"/>
      <c r="P2610" s="1" t="n"/>
      <c r="Q2610" s="1" t="n"/>
      <c r="R2610" s="1" t="n"/>
    </row>
    <row r="2611">
      <c r="A2611" s="61" t="n"/>
      <c r="B2611" s="16" t="n"/>
      <c r="C2611" s="90" t="n"/>
      <c r="D2611" s="90" t="n"/>
      <c r="E2611" s="90" t="n"/>
      <c r="F2611" s="16" t="n"/>
      <c r="G2611" s="16" t="n"/>
      <c r="H2611" s="63" t="n"/>
      <c r="I2611" s="64" t="n"/>
      <c r="J2611" s="16" t="n"/>
      <c r="K2611" s="16" t="n"/>
      <c r="M2611" s="89" t="n"/>
      <c r="N2611" s="1" t="n"/>
      <c r="O2611" s="1" t="n"/>
      <c r="P2611" s="1" t="n"/>
      <c r="Q2611" s="1" t="n"/>
      <c r="R2611" s="1" t="n"/>
    </row>
    <row r="2612">
      <c r="A2612" s="61" t="n"/>
      <c r="B2612" s="16" t="n"/>
      <c r="C2612" s="90" t="n"/>
      <c r="D2612" s="90" t="n"/>
      <c r="E2612" s="90" t="n"/>
      <c r="F2612" s="16" t="n"/>
      <c r="G2612" s="16" t="n"/>
      <c r="H2612" s="63" t="n"/>
      <c r="I2612" s="64" t="n"/>
      <c r="J2612" s="16" t="n"/>
      <c r="K2612" s="16" t="n"/>
      <c r="M2612" s="89" t="n"/>
      <c r="N2612" s="1" t="n"/>
      <c r="O2612" s="1" t="n"/>
      <c r="P2612" s="1" t="n"/>
      <c r="Q2612" s="1" t="n"/>
      <c r="R2612" s="1" t="n"/>
    </row>
    <row r="2613">
      <c r="A2613" s="61" t="n"/>
      <c r="B2613" s="16" t="n"/>
      <c r="C2613" s="90" t="n"/>
      <c r="D2613" s="90" t="n"/>
      <c r="E2613" s="90" t="n"/>
      <c r="F2613" s="16" t="n"/>
      <c r="G2613" s="16" t="n"/>
      <c r="H2613" s="63" t="n"/>
      <c r="I2613" s="64" t="n"/>
      <c r="J2613" s="16" t="n"/>
      <c r="K2613" s="16" t="n"/>
      <c r="M2613" s="89" t="n"/>
      <c r="N2613" s="1" t="n"/>
      <c r="O2613" s="1" t="n"/>
      <c r="P2613" s="1" t="n"/>
      <c r="Q2613" s="1" t="n"/>
      <c r="R2613" s="1" t="n"/>
    </row>
    <row r="2614">
      <c r="A2614" s="61" t="n"/>
      <c r="B2614" s="16" t="n"/>
      <c r="C2614" s="90" t="n"/>
      <c r="D2614" s="90" t="n"/>
      <c r="E2614" s="90" t="n"/>
      <c r="F2614" s="16" t="n"/>
      <c r="G2614" s="16" t="n"/>
      <c r="H2614" s="63" t="n"/>
      <c r="I2614" s="64" t="n"/>
      <c r="J2614" s="16" t="n"/>
      <c r="K2614" s="16" t="n"/>
      <c r="M2614" s="89" t="n"/>
      <c r="N2614" s="1" t="n"/>
      <c r="O2614" s="1" t="n"/>
      <c r="P2614" s="1" t="n"/>
      <c r="Q2614" s="1" t="n"/>
      <c r="R2614" s="1" t="n"/>
    </row>
    <row r="2615">
      <c r="A2615" s="61" t="n"/>
      <c r="B2615" s="16" t="n"/>
      <c r="C2615" s="90" t="n"/>
      <c r="D2615" s="90" t="n"/>
      <c r="E2615" s="90" t="n"/>
      <c r="F2615" s="16" t="n"/>
      <c r="G2615" s="16" t="n"/>
      <c r="H2615" s="63" t="n"/>
      <c r="I2615" s="64" t="n"/>
      <c r="J2615" s="16" t="n"/>
      <c r="K2615" s="16" t="n"/>
      <c r="M2615" s="89" t="n"/>
      <c r="N2615" s="1" t="n"/>
      <c r="O2615" s="1" t="n"/>
      <c r="P2615" s="1" t="n"/>
      <c r="Q2615" s="1" t="n"/>
      <c r="R2615" s="1" t="n"/>
    </row>
    <row r="2616">
      <c r="A2616" s="61" t="n"/>
      <c r="B2616" s="16" t="n"/>
      <c r="C2616" s="90" t="n"/>
      <c r="D2616" s="90" t="n"/>
      <c r="E2616" s="90" t="n"/>
      <c r="F2616" s="16" t="n"/>
      <c r="G2616" s="16" t="n"/>
      <c r="H2616" s="63" t="n"/>
      <c r="I2616" s="64" t="n"/>
      <c r="J2616" s="16" t="n"/>
      <c r="K2616" s="16" t="n"/>
      <c r="M2616" s="89" t="n"/>
      <c r="N2616" s="1" t="n"/>
      <c r="O2616" s="1" t="n"/>
      <c r="P2616" s="1" t="n"/>
      <c r="Q2616" s="1" t="n"/>
      <c r="R2616" s="1" t="n"/>
    </row>
    <row r="2617">
      <c r="A2617" s="61" t="n"/>
      <c r="B2617" s="16" t="n"/>
      <c r="C2617" s="90" t="n"/>
      <c r="D2617" s="90" t="n"/>
      <c r="E2617" s="90" t="n"/>
      <c r="F2617" s="16" t="n"/>
      <c r="G2617" s="16" t="n"/>
      <c r="H2617" s="63" t="n"/>
      <c r="I2617" s="64" t="n"/>
      <c r="J2617" s="16" t="n"/>
      <c r="K2617" s="16" t="n"/>
      <c r="M2617" s="89" t="n"/>
      <c r="N2617" s="1" t="n"/>
      <c r="O2617" s="1" t="n"/>
      <c r="P2617" s="1" t="n"/>
      <c r="Q2617" s="1" t="n"/>
      <c r="R2617" s="1" t="n"/>
    </row>
    <row r="2618">
      <c r="A2618" s="61" t="n"/>
      <c r="B2618" s="16" t="n"/>
      <c r="C2618" s="90" t="n"/>
      <c r="D2618" s="90" t="n"/>
      <c r="E2618" s="90" t="n"/>
      <c r="F2618" s="16" t="n"/>
      <c r="G2618" s="16" t="n"/>
      <c r="H2618" s="63" t="n"/>
      <c r="I2618" s="64" t="n"/>
      <c r="J2618" s="16" t="n"/>
      <c r="K2618" s="16" t="n"/>
      <c r="M2618" s="89" t="n"/>
      <c r="N2618" s="1" t="n"/>
      <c r="O2618" s="1" t="n"/>
      <c r="P2618" s="1" t="n"/>
      <c r="Q2618" s="1" t="n"/>
      <c r="R2618" s="1" t="n"/>
    </row>
    <row r="2619">
      <c r="A2619" s="61" t="n"/>
      <c r="B2619" s="16" t="n"/>
      <c r="C2619" s="90" t="n"/>
      <c r="D2619" s="90" t="n"/>
      <c r="E2619" s="90" t="n"/>
      <c r="F2619" s="16" t="n"/>
      <c r="G2619" s="16" t="n"/>
      <c r="H2619" s="63" t="n"/>
      <c r="I2619" s="64" t="n"/>
      <c r="J2619" s="16" t="n"/>
      <c r="K2619" s="16" t="n"/>
      <c r="M2619" s="89" t="n"/>
      <c r="N2619" s="1" t="n"/>
      <c r="O2619" s="1" t="n"/>
      <c r="P2619" s="1" t="n"/>
      <c r="Q2619" s="1" t="n"/>
      <c r="R2619" s="1" t="n"/>
    </row>
    <row r="2620">
      <c r="A2620" s="61" t="n"/>
      <c r="B2620" s="16" t="n"/>
      <c r="C2620" s="90" t="n"/>
      <c r="D2620" s="90" t="n"/>
      <c r="E2620" s="90" t="n"/>
      <c r="F2620" s="16" t="n"/>
      <c r="G2620" s="16" t="n"/>
      <c r="H2620" s="63" t="n"/>
      <c r="I2620" s="64" t="n"/>
      <c r="J2620" s="16" t="n"/>
      <c r="K2620" s="16" t="n"/>
      <c r="M2620" s="89" t="n"/>
      <c r="N2620" s="1" t="n"/>
      <c r="O2620" s="1" t="n"/>
      <c r="P2620" s="1" t="n"/>
      <c r="Q2620" s="1" t="n"/>
      <c r="R2620" s="1" t="n"/>
    </row>
    <row r="2621">
      <c r="A2621" s="61" t="n"/>
      <c r="B2621" s="16" t="n"/>
      <c r="C2621" s="90" t="n"/>
      <c r="D2621" s="90" t="n"/>
      <c r="E2621" s="90" t="n"/>
      <c r="F2621" s="16" t="n"/>
      <c r="G2621" s="16" t="n"/>
      <c r="H2621" s="63" t="n"/>
      <c r="I2621" s="64" t="n"/>
      <c r="J2621" s="16" t="n"/>
      <c r="K2621" s="16" t="n"/>
      <c r="M2621" s="89" t="n"/>
      <c r="N2621" s="1" t="n"/>
      <c r="O2621" s="1" t="n"/>
      <c r="P2621" s="1" t="n"/>
      <c r="Q2621" s="1" t="n"/>
      <c r="R2621" s="1" t="n"/>
    </row>
    <row r="2622">
      <c r="A2622" s="61" t="n"/>
      <c r="B2622" s="16" t="n"/>
      <c r="C2622" s="90" t="n"/>
      <c r="D2622" s="90" t="n"/>
      <c r="E2622" s="90" t="n"/>
      <c r="F2622" s="16" t="n"/>
      <c r="G2622" s="16" t="n"/>
      <c r="H2622" s="63" t="n"/>
      <c r="I2622" s="64" t="n"/>
      <c r="J2622" s="16" t="n"/>
      <c r="K2622" s="16" t="n"/>
      <c r="M2622" s="89" t="n"/>
      <c r="N2622" s="1" t="n"/>
      <c r="O2622" s="1" t="n"/>
      <c r="P2622" s="1" t="n"/>
      <c r="Q2622" s="1" t="n"/>
      <c r="R2622" s="1" t="n"/>
    </row>
    <row r="2623">
      <c r="A2623" s="61" t="n"/>
      <c r="B2623" s="16" t="n"/>
      <c r="C2623" s="90" t="n"/>
      <c r="D2623" s="90" t="n"/>
      <c r="E2623" s="90" t="n"/>
      <c r="F2623" s="16" t="n"/>
      <c r="G2623" s="16" t="n"/>
      <c r="H2623" s="63" t="n"/>
      <c r="I2623" s="64" t="n"/>
      <c r="J2623" s="16" t="n"/>
      <c r="K2623" s="16" t="n"/>
      <c r="M2623" s="89" t="n"/>
      <c r="N2623" s="1" t="n"/>
      <c r="O2623" s="1" t="n"/>
      <c r="P2623" s="1" t="n"/>
      <c r="Q2623" s="1" t="n"/>
      <c r="R2623" s="1" t="n"/>
    </row>
    <row r="2624">
      <c r="A2624" s="61" t="n"/>
      <c r="B2624" s="16" t="n"/>
      <c r="C2624" s="90" t="n"/>
      <c r="D2624" s="90" t="n"/>
      <c r="E2624" s="90" t="n"/>
      <c r="F2624" s="16" t="n"/>
      <c r="G2624" s="16" t="n"/>
      <c r="H2624" s="63" t="n"/>
      <c r="I2624" s="64" t="n"/>
      <c r="J2624" s="16" t="n"/>
      <c r="K2624" s="16" t="n"/>
      <c r="M2624" s="89" t="n"/>
      <c r="N2624" s="1" t="n"/>
      <c r="O2624" s="1" t="n"/>
      <c r="P2624" s="1" t="n"/>
      <c r="Q2624" s="1" t="n"/>
      <c r="R2624" s="1" t="n"/>
    </row>
    <row r="2625">
      <c r="A2625" s="61" t="n"/>
      <c r="B2625" s="16" t="n"/>
      <c r="C2625" s="90" t="n"/>
      <c r="D2625" s="90" t="n"/>
      <c r="E2625" s="90" t="n"/>
      <c r="F2625" s="16" t="n"/>
      <c r="G2625" s="16" t="n"/>
      <c r="H2625" s="63" t="n"/>
      <c r="I2625" s="64" t="n"/>
      <c r="J2625" s="16" t="n"/>
      <c r="K2625" s="16" t="n"/>
      <c r="M2625" s="89" t="n"/>
      <c r="N2625" s="1" t="n"/>
      <c r="O2625" s="1" t="n"/>
      <c r="P2625" s="1" t="n"/>
      <c r="Q2625" s="1" t="n"/>
      <c r="R2625" s="1" t="n"/>
    </row>
    <row r="2626">
      <c r="A2626" s="61" t="n"/>
      <c r="B2626" s="16" t="n"/>
      <c r="C2626" s="90" t="n"/>
      <c r="D2626" s="90" t="n"/>
      <c r="E2626" s="90" t="n"/>
      <c r="F2626" s="16" t="n"/>
      <c r="G2626" s="16" t="n"/>
      <c r="H2626" s="63" t="n"/>
      <c r="I2626" s="64" t="n"/>
      <c r="J2626" s="16" t="n"/>
      <c r="K2626" s="16" t="n"/>
      <c r="M2626" s="89" t="n"/>
      <c r="N2626" s="1" t="n"/>
      <c r="O2626" s="1" t="n"/>
      <c r="P2626" s="1" t="n"/>
      <c r="Q2626" s="1" t="n"/>
      <c r="R2626" s="1" t="n"/>
    </row>
    <row r="2627">
      <c r="A2627" s="61" t="n"/>
      <c r="B2627" s="16" t="n"/>
      <c r="C2627" s="90" t="n"/>
      <c r="D2627" s="90" t="n"/>
      <c r="E2627" s="90" t="n"/>
      <c r="F2627" s="16" t="n"/>
      <c r="G2627" s="16" t="n"/>
      <c r="H2627" s="63" t="n"/>
      <c r="I2627" s="64" t="n"/>
      <c r="J2627" s="16" t="n"/>
      <c r="K2627" s="16" t="n"/>
      <c r="M2627" s="89" t="n"/>
      <c r="N2627" s="1" t="n"/>
      <c r="O2627" s="1" t="n"/>
      <c r="P2627" s="1" t="n"/>
      <c r="Q2627" s="1" t="n"/>
      <c r="R2627" s="1" t="n"/>
    </row>
    <row r="2628">
      <c r="A2628" s="61" t="n"/>
      <c r="B2628" s="16" t="n"/>
      <c r="C2628" s="90" t="n"/>
      <c r="D2628" s="90" t="n"/>
      <c r="E2628" s="90" t="n"/>
      <c r="F2628" s="16" t="n"/>
      <c r="G2628" s="16" t="n"/>
      <c r="H2628" s="63" t="n"/>
      <c r="I2628" s="64" t="n"/>
      <c r="J2628" s="16" t="n"/>
      <c r="K2628" s="16" t="n"/>
      <c r="M2628" s="89" t="n"/>
      <c r="N2628" s="1" t="n"/>
      <c r="O2628" s="1" t="n"/>
      <c r="P2628" s="1" t="n"/>
      <c r="Q2628" s="1" t="n"/>
      <c r="R2628" s="1" t="n"/>
    </row>
    <row r="2629">
      <c r="A2629" s="61" t="n"/>
      <c r="B2629" s="16" t="n"/>
      <c r="C2629" s="90" t="n"/>
      <c r="D2629" s="90" t="n"/>
      <c r="E2629" s="90" t="n"/>
      <c r="F2629" s="16" t="n"/>
      <c r="G2629" s="16" t="n"/>
      <c r="H2629" s="63" t="n"/>
      <c r="I2629" s="64" t="n"/>
      <c r="J2629" s="16" t="n"/>
      <c r="K2629" s="16" t="n"/>
      <c r="M2629" s="89" t="n"/>
      <c r="N2629" s="1" t="n"/>
      <c r="O2629" s="1" t="n"/>
      <c r="P2629" s="1" t="n"/>
      <c r="Q2629" s="1" t="n"/>
      <c r="R2629" s="1" t="n"/>
    </row>
    <row r="2630">
      <c r="A2630" s="61" t="n"/>
      <c r="B2630" s="16" t="n"/>
      <c r="C2630" s="90" t="n"/>
      <c r="D2630" s="90" t="n"/>
      <c r="E2630" s="90" t="n"/>
      <c r="F2630" s="16" t="n"/>
      <c r="G2630" s="16" t="n"/>
      <c r="H2630" s="63" t="n"/>
      <c r="I2630" s="64" t="n"/>
      <c r="J2630" s="16" t="n"/>
      <c r="K2630" s="16" t="n"/>
      <c r="M2630" s="89" t="n"/>
      <c r="N2630" s="1" t="n"/>
      <c r="O2630" s="1" t="n"/>
      <c r="P2630" s="1" t="n"/>
      <c r="Q2630" s="1" t="n"/>
      <c r="R2630" s="1" t="n"/>
    </row>
    <row r="2631">
      <c r="A2631" s="61" t="n"/>
      <c r="B2631" s="16" t="n"/>
      <c r="C2631" s="90" t="n"/>
      <c r="D2631" s="90" t="n"/>
      <c r="E2631" s="90" t="n"/>
      <c r="F2631" s="16" t="n"/>
      <c r="G2631" s="16" t="n"/>
      <c r="H2631" s="63" t="n"/>
      <c r="I2631" s="64" t="n"/>
      <c r="J2631" s="16" t="n"/>
      <c r="K2631" s="16" t="n"/>
      <c r="M2631" s="89" t="n"/>
      <c r="N2631" s="1" t="n"/>
      <c r="O2631" s="1" t="n"/>
      <c r="P2631" s="1" t="n"/>
      <c r="Q2631" s="1" t="n"/>
      <c r="R2631" s="1" t="n"/>
    </row>
    <row r="2632">
      <c r="A2632" s="61" t="n"/>
      <c r="B2632" s="16" t="n"/>
      <c r="C2632" s="90" t="n"/>
      <c r="D2632" s="90" t="n"/>
      <c r="E2632" s="90" t="n"/>
      <c r="F2632" s="16" t="n"/>
      <c r="G2632" s="16" t="n"/>
      <c r="H2632" s="63" t="n"/>
      <c r="I2632" s="64" t="n"/>
      <c r="J2632" s="16" t="n"/>
      <c r="K2632" s="16" t="n"/>
      <c r="M2632" s="89" t="n"/>
      <c r="N2632" s="1" t="n"/>
      <c r="O2632" s="1" t="n"/>
      <c r="P2632" s="1" t="n"/>
      <c r="Q2632" s="1" t="n"/>
      <c r="R2632" s="1" t="n"/>
    </row>
    <row r="2633">
      <c r="A2633" s="61" t="n"/>
      <c r="B2633" s="16" t="n"/>
      <c r="C2633" s="90" t="n"/>
      <c r="D2633" s="90" t="n"/>
      <c r="E2633" s="90" t="n"/>
      <c r="F2633" s="16" t="n"/>
      <c r="G2633" s="16" t="n"/>
      <c r="H2633" s="63" t="n"/>
      <c r="I2633" s="64" t="n"/>
      <c r="J2633" s="16" t="n"/>
      <c r="K2633" s="16" t="n"/>
      <c r="M2633" s="89" t="n"/>
      <c r="N2633" s="1" t="n"/>
      <c r="O2633" s="1" t="n"/>
      <c r="P2633" s="1" t="n"/>
      <c r="Q2633" s="1" t="n"/>
      <c r="R2633" s="1" t="n"/>
    </row>
    <row r="2634">
      <c r="A2634" s="61" t="n"/>
      <c r="B2634" s="16" t="n"/>
      <c r="C2634" s="90" t="n"/>
      <c r="D2634" s="90" t="n"/>
      <c r="E2634" s="90" t="n"/>
      <c r="F2634" s="16" t="n"/>
      <c r="G2634" s="16" t="n"/>
      <c r="H2634" s="63" t="n"/>
      <c r="I2634" s="64" t="n"/>
      <c r="J2634" s="16" t="n"/>
      <c r="K2634" s="16" t="n"/>
      <c r="M2634" s="89" t="n"/>
      <c r="N2634" s="1" t="n"/>
      <c r="O2634" s="1" t="n"/>
      <c r="P2634" s="1" t="n"/>
      <c r="Q2634" s="1" t="n"/>
      <c r="R2634" s="1" t="n"/>
    </row>
    <row r="2635">
      <c r="A2635" s="61" t="n"/>
      <c r="B2635" s="16" t="n"/>
      <c r="C2635" s="90" t="n"/>
      <c r="D2635" s="90" t="n"/>
      <c r="E2635" s="90" t="n"/>
      <c r="F2635" s="16" t="n"/>
      <c r="G2635" s="16" t="n"/>
      <c r="H2635" s="63" t="n"/>
      <c r="I2635" s="64" t="n"/>
      <c r="J2635" s="16" t="n"/>
      <c r="K2635" s="16" t="n"/>
      <c r="M2635" s="89" t="n"/>
      <c r="N2635" s="1" t="n"/>
      <c r="O2635" s="1" t="n"/>
      <c r="P2635" s="1" t="n"/>
      <c r="Q2635" s="1" t="n"/>
      <c r="R2635" s="1" t="n"/>
    </row>
    <row r="2636">
      <c r="A2636" s="61" t="n"/>
      <c r="B2636" s="16" t="n"/>
      <c r="C2636" s="90" t="n"/>
      <c r="D2636" s="90" t="n"/>
      <c r="E2636" s="90" t="n"/>
      <c r="F2636" s="16" t="n"/>
      <c r="G2636" s="16" t="n"/>
      <c r="H2636" s="63" t="n"/>
      <c r="I2636" s="64" t="n"/>
      <c r="J2636" s="16" t="n"/>
      <c r="K2636" s="16" t="n"/>
      <c r="M2636" s="89" t="n"/>
      <c r="N2636" s="1" t="n"/>
      <c r="O2636" s="1" t="n"/>
      <c r="P2636" s="1" t="n"/>
      <c r="Q2636" s="1" t="n"/>
      <c r="R2636" s="1" t="n"/>
    </row>
    <row r="2637">
      <c r="A2637" s="61" t="n"/>
      <c r="B2637" s="16" t="n"/>
      <c r="C2637" s="90" t="n"/>
      <c r="D2637" s="90" t="n"/>
      <c r="E2637" s="90" t="n"/>
      <c r="F2637" s="16" t="n"/>
      <c r="G2637" s="16" t="n"/>
      <c r="H2637" s="63" t="n"/>
      <c r="I2637" s="64" t="n"/>
      <c r="J2637" s="16" t="n"/>
      <c r="K2637" s="16" t="n"/>
      <c r="M2637" s="89" t="n"/>
      <c r="N2637" s="1" t="n"/>
      <c r="O2637" s="1" t="n"/>
      <c r="P2637" s="1" t="n"/>
      <c r="Q2637" s="1" t="n"/>
      <c r="R2637" s="1" t="n"/>
    </row>
    <row r="2638">
      <c r="A2638" s="61" t="n"/>
      <c r="B2638" s="16" t="n"/>
      <c r="C2638" s="90" t="n"/>
      <c r="D2638" s="90" t="n"/>
      <c r="E2638" s="90" t="n"/>
      <c r="F2638" s="16" t="n"/>
      <c r="G2638" s="16" t="n"/>
      <c r="H2638" s="63" t="n"/>
      <c r="I2638" s="64" t="n"/>
      <c r="J2638" s="16" t="n"/>
      <c r="K2638" s="16" t="n"/>
      <c r="M2638" s="89" t="n"/>
      <c r="N2638" s="1" t="n"/>
      <c r="O2638" s="1" t="n"/>
      <c r="P2638" s="1" t="n"/>
      <c r="Q2638" s="1" t="n"/>
      <c r="R2638" s="1" t="n"/>
    </row>
    <row r="2639">
      <c r="A2639" s="61" t="n"/>
      <c r="B2639" s="16" t="n"/>
      <c r="C2639" s="90" t="n"/>
      <c r="D2639" s="90" t="n"/>
      <c r="E2639" s="90" t="n"/>
      <c r="F2639" s="16" t="n"/>
      <c r="G2639" s="16" t="n"/>
      <c r="H2639" s="63" t="n"/>
      <c r="I2639" s="64" t="n"/>
      <c r="J2639" s="16" t="n"/>
      <c r="K2639" s="16" t="n"/>
      <c r="M2639" s="89" t="n"/>
      <c r="N2639" s="1" t="n"/>
      <c r="O2639" s="1" t="n"/>
      <c r="P2639" s="1" t="n"/>
      <c r="Q2639" s="1" t="n"/>
      <c r="R2639" s="1" t="n"/>
    </row>
    <row r="2640">
      <c r="A2640" s="61" t="n"/>
      <c r="B2640" s="16" t="n"/>
      <c r="C2640" s="90" t="n"/>
      <c r="D2640" s="90" t="n"/>
      <c r="E2640" s="90" t="n"/>
      <c r="F2640" s="16" t="n"/>
      <c r="G2640" s="16" t="n"/>
      <c r="H2640" s="63" t="n"/>
      <c r="I2640" s="64" t="n"/>
      <c r="J2640" s="16" t="n"/>
      <c r="K2640" s="16" t="n"/>
      <c r="M2640" s="89" t="n"/>
      <c r="N2640" s="1" t="n"/>
      <c r="O2640" s="1" t="n"/>
      <c r="P2640" s="1" t="n"/>
      <c r="Q2640" s="1" t="n"/>
      <c r="R2640" s="1" t="n"/>
    </row>
    <row r="2641">
      <c r="A2641" s="61" t="n"/>
      <c r="B2641" s="16" t="n"/>
      <c r="C2641" s="90" t="n"/>
      <c r="D2641" s="90" t="n"/>
      <c r="E2641" s="90" t="n"/>
      <c r="F2641" s="16" t="n"/>
      <c r="G2641" s="16" t="n"/>
      <c r="H2641" s="63" t="n"/>
      <c r="I2641" s="64" t="n"/>
      <c r="J2641" s="16" t="n"/>
      <c r="K2641" s="16" t="n"/>
      <c r="M2641" s="89" t="n"/>
      <c r="N2641" s="1" t="n"/>
      <c r="O2641" s="1" t="n"/>
      <c r="P2641" s="1" t="n"/>
      <c r="Q2641" s="1" t="n"/>
      <c r="R2641" s="1" t="n"/>
    </row>
    <row r="2642">
      <c r="A2642" s="61" t="n"/>
      <c r="B2642" s="16" t="n"/>
      <c r="C2642" s="90" t="n"/>
      <c r="D2642" s="90" t="n"/>
      <c r="E2642" s="90" t="n"/>
      <c r="F2642" s="16" t="n"/>
      <c r="G2642" s="16" t="n"/>
      <c r="H2642" s="63" t="n"/>
      <c r="I2642" s="64" t="n"/>
      <c r="J2642" s="16" t="n"/>
      <c r="K2642" s="16" t="n"/>
      <c r="M2642" s="89" t="n"/>
      <c r="N2642" s="1" t="n"/>
      <c r="O2642" s="1" t="n"/>
      <c r="P2642" s="1" t="n"/>
      <c r="Q2642" s="1" t="n"/>
      <c r="R2642" s="1" t="n"/>
    </row>
    <row r="2643">
      <c r="A2643" s="61" t="n"/>
      <c r="B2643" s="16" t="n"/>
      <c r="C2643" s="90" t="n"/>
      <c r="D2643" s="90" t="n"/>
      <c r="E2643" s="90" t="n"/>
      <c r="F2643" s="16" t="n"/>
      <c r="G2643" s="16" t="n"/>
      <c r="H2643" s="63" t="n"/>
      <c r="I2643" s="64" t="n"/>
      <c r="J2643" s="16" t="n"/>
      <c r="K2643" s="16" t="n"/>
      <c r="M2643" s="89" t="n"/>
      <c r="N2643" s="1" t="n"/>
      <c r="O2643" s="1" t="n"/>
      <c r="P2643" s="1" t="n"/>
      <c r="Q2643" s="1" t="n"/>
      <c r="R2643" s="1" t="n"/>
    </row>
    <row r="2644">
      <c r="A2644" s="61" t="n"/>
      <c r="B2644" s="16" t="n"/>
      <c r="C2644" s="90" t="n"/>
      <c r="D2644" s="90" t="n"/>
      <c r="E2644" s="90" t="n"/>
      <c r="F2644" s="16" t="n"/>
      <c r="G2644" s="16" t="n"/>
      <c r="H2644" s="63" t="n"/>
      <c r="I2644" s="64" t="n"/>
      <c r="J2644" s="16" t="n"/>
      <c r="K2644" s="16" t="n"/>
      <c r="M2644" s="89" t="n"/>
      <c r="N2644" s="1" t="n"/>
      <c r="O2644" s="1" t="n"/>
      <c r="P2644" s="1" t="n"/>
      <c r="Q2644" s="1" t="n"/>
      <c r="R2644" s="1" t="n"/>
    </row>
    <row r="2645">
      <c r="A2645" s="61" t="n"/>
      <c r="B2645" s="16" t="n"/>
      <c r="C2645" s="90" t="n"/>
      <c r="D2645" s="90" t="n"/>
      <c r="E2645" s="90" t="n"/>
      <c r="F2645" s="16" t="n"/>
      <c r="G2645" s="16" t="n"/>
      <c r="H2645" s="63" t="n"/>
      <c r="I2645" s="64" t="n"/>
      <c r="J2645" s="16" t="n"/>
      <c r="K2645" s="16" t="n"/>
      <c r="M2645" s="89" t="n"/>
      <c r="N2645" s="1" t="n"/>
      <c r="O2645" s="1" t="n"/>
      <c r="P2645" s="1" t="n"/>
      <c r="Q2645" s="1" t="n"/>
      <c r="R2645" s="1" t="n"/>
    </row>
    <row r="2646">
      <c r="A2646" s="61" t="n"/>
      <c r="B2646" s="16" t="n"/>
      <c r="C2646" s="90" t="n"/>
      <c r="D2646" s="90" t="n"/>
      <c r="E2646" s="90" t="n"/>
      <c r="F2646" s="16" t="n"/>
      <c r="G2646" s="16" t="n"/>
      <c r="H2646" s="63" t="n"/>
      <c r="I2646" s="64" t="n"/>
      <c r="J2646" s="16" t="n"/>
      <c r="K2646" s="16" t="n"/>
      <c r="M2646" s="89" t="n"/>
      <c r="N2646" s="1" t="n"/>
      <c r="O2646" s="1" t="n"/>
      <c r="P2646" s="1" t="n"/>
      <c r="Q2646" s="1" t="n"/>
      <c r="R2646" s="1" t="n"/>
    </row>
    <row r="2647">
      <c r="A2647" s="61" t="n"/>
      <c r="B2647" s="16" t="n"/>
      <c r="C2647" s="90" t="n"/>
      <c r="D2647" s="90" t="n"/>
      <c r="E2647" s="90" t="n"/>
      <c r="F2647" s="16" t="n"/>
      <c r="G2647" s="16" t="n"/>
      <c r="H2647" s="63" t="n"/>
      <c r="I2647" s="64" t="n"/>
      <c r="J2647" s="16" t="n"/>
      <c r="K2647" s="16" t="n"/>
      <c r="M2647" s="89" t="n"/>
      <c r="N2647" s="1" t="n"/>
      <c r="O2647" s="1" t="n"/>
      <c r="P2647" s="1" t="n"/>
      <c r="Q2647" s="1" t="n"/>
      <c r="R2647" s="1" t="n"/>
    </row>
    <row r="2648">
      <c r="A2648" s="61" t="n"/>
      <c r="B2648" s="16" t="n"/>
      <c r="C2648" s="90" t="n"/>
      <c r="D2648" s="90" t="n"/>
      <c r="E2648" s="90" t="n"/>
      <c r="F2648" s="16" t="n"/>
      <c r="G2648" s="16" t="n"/>
      <c r="H2648" s="63" t="n"/>
      <c r="I2648" s="64" t="n"/>
      <c r="J2648" s="16" t="n"/>
      <c r="K2648" s="16" t="n"/>
      <c r="M2648" s="89" t="n"/>
      <c r="N2648" s="1" t="n"/>
      <c r="O2648" s="1" t="n"/>
      <c r="P2648" s="1" t="n"/>
      <c r="Q2648" s="1" t="n"/>
      <c r="R2648" s="1" t="n"/>
    </row>
    <row r="2649">
      <c r="A2649" s="61" t="n"/>
      <c r="B2649" s="16" t="n"/>
      <c r="C2649" s="90" t="n"/>
      <c r="D2649" s="90" t="n"/>
      <c r="E2649" s="90" t="n"/>
      <c r="F2649" s="16" t="n"/>
      <c r="G2649" s="16" t="n"/>
      <c r="H2649" s="63" t="n"/>
      <c r="I2649" s="64" t="n"/>
      <c r="J2649" s="16" t="n"/>
      <c r="K2649" s="16" t="n"/>
      <c r="M2649" s="89" t="n"/>
      <c r="N2649" s="1" t="n"/>
      <c r="O2649" s="1" t="n"/>
      <c r="P2649" s="1" t="n"/>
      <c r="Q2649" s="1" t="n"/>
      <c r="R2649" s="1" t="n"/>
    </row>
    <row r="2650">
      <c r="A2650" s="61" t="n"/>
      <c r="B2650" s="16" t="n"/>
      <c r="C2650" s="90" t="n"/>
      <c r="D2650" s="90" t="n"/>
      <c r="E2650" s="90" t="n"/>
      <c r="F2650" s="16" t="n"/>
      <c r="G2650" s="16" t="n"/>
      <c r="H2650" s="63" t="n"/>
      <c r="I2650" s="64" t="n"/>
      <c r="J2650" s="16" t="n"/>
      <c r="K2650" s="16" t="n"/>
      <c r="M2650" s="89" t="n"/>
      <c r="N2650" s="1" t="n"/>
      <c r="O2650" s="1" t="n"/>
      <c r="P2650" s="1" t="n"/>
      <c r="Q2650" s="1" t="n"/>
      <c r="R2650" s="1" t="n"/>
    </row>
    <row r="2651">
      <c r="A2651" s="61" t="n"/>
      <c r="B2651" s="16" t="n"/>
      <c r="C2651" s="90" t="n"/>
      <c r="D2651" s="90" t="n"/>
      <c r="E2651" s="90" t="n"/>
      <c r="F2651" s="16" t="n"/>
      <c r="G2651" s="16" t="n"/>
      <c r="H2651" s="63" t="n"/>
      <c r="I2651" s="64" t="n"/>
      <c r="J2651" s="16" t="n"/>
      <c r="K2651" s="16" t="n"/>
      <c r="M2651" s="89" t="n"/>
      <c r="N2651" s="1" t="n"/>
      <c r="O2651" s="1" t="n"/>
      <c r="P2651" s="1" t="n"/>
      <c r="Q2651" s="1" t="n"/>
      <c r="R2651" s="1" t="n"/>
    </row>
    <row r="2652">
      <c r="A2652" s="61" t="n"/>
      <c r="B2652" s="16" t="n"/>
      <c r="C2652" s="90" t="n"/>
      <c r="D2652" s="90" t="n"/>
      <c r="E2652" s="90" t="n"/>
      <c r="F2652" s="16" t="n"/>
      <c r="G2652" s="16" t="n"/>
      <c r="H2652" s="63" t="n"/>
      <c r="I2652" s="64" t="n"/>
      <c r="J2652" s="16" t="n"/>
      <c r="K2652" s="16" t="n"/>
      <c r="M2652" s="89" t="n"/>
      <c r="N2652" s="1" t="n"/>
      <c r="O2652" s="1" t="n"/>
      <c r="P2652" s="1" t="n"/>
      <c r="Q2652" s="1" t="n"/>
      <c r="R2652" s="1" t="n"/>
    </row>
    <row r="2653">
      <c r="A2653" s="61" t="n"/>
      <c r="B2653" s="16" t="n"/>
      <c r="C2653" s="90" t="n"/>
      <c r="D2653" s="90" t="n"/>
      <c r="E2653" s="90" t="n"/>
      <c r="F2653" s="16" t="n"/>
      <c r="G2653" s="16" t="n"/>
      <c r="H2653" s="63" t="n"/>
      <c r="I2653" s="64" t="n"/>
      <c r="J2653" s="16" t="n"/>
      <c r="K2653" s="16" t="n"/>
      <c r="M2653" s="89" t="n"/>
      <c r="N2653" s="1" t="n"/>
      <c r="O2653" s="1" t="n"/>
      <c r="P2653" s="1" t="n"/>
      <c r="Q2653" s="1" t="n"/>
      <c r="R2653" s="1" t="n"/>
    </row>
    <row r="2654">
      <c r="A2654" s="61" t="n"/>
      <c r="B2654" s="16" t="n"/>
      <c r="C2654" s="90" t="n"/>
      <c r="D2654" s="90" t="n"/>
      <c r="E2654" s="90" t="n"/>
      <c r="F2654" s="16" t="n"/>
      <c r="G2654" s="16" t="n"/>
      <c r="H2654" s="63" t="n"/>
      <c r="I2654" s="64" t="n"/>
      <c r="J2654" s="16" t="n"/>
      <c r="K2654" s="16" t="n"/>
      <c r="M2654" s="89" t="n"/>
      <c r="N2654" s="1" t="n"/>
      <c r="O2654" s="1" t="n"/>
      <c r="P2654" s="1" t="n"/>
      <c r="Q2654" s="1" t="n"/>
      <c r="R2654" s="1" t="n"/>
    </row>
    <row r="2655">
      <c r="A2655" s="61" t="n"/>
      <c r="B2655" s="16" t="n"/>
      <c r="C2655" s="90" t="n"/>
      <c r="D2655" s="90" t="n"/>
      <c r="E2655" s="90" t="n"/>
      <c r="F2655" s="16" t="n"/>
      <c r="G2655" s="16" t="n"/>
      <c r="H2655" s="63" t="n"/>
      <c r="I2655" s="64" t="n"/>
      <c r="J2655" s="16" t="n"/>
      <c r="K2655" s="16" t="n"/>
      <c r="M2655" s="89" t="n"/>
      <c r="N2655" s="1" t="n"/>
      <c r="O2655" s="1" t="n"/>
      <c r="P2655" s="1" t="n"/>
      <c r="Q2655" s="1" t="n"/>
      <c r="R2655" s="1" t="n"/>
    </row>
    <row r="2656">
      <c r="A2656" s="61" t="n"/>
      <c r="B2656" s="16" t="n"/>
      <c r="C2656" s="90" t="n"/>
      <c r="D2656" s="90" t="n"/>
      <c r="E2656" s="90" t="n"/>
      <c r="F2656" s="16" t="n"/>
      <c r="G2656" s="16" t="n"/>
      <c r="H2656" s="63" t="n"/>
      <c r="I2656" s="64" t="n"/>
      <c r="J2656" s="16" t="n"/>
      <c r="K2656" s="16" t="n"/>
      <c r="M2656" s="89" t="n"/>
      <c r="N2656" s="1" t="n"/>
      <c r="O2656" s="1" t="n"/>
      <c r="P2656" s="1" t="n"/>
      <c r="Q2656" s="1" t="n"/>
      <c r="R2656" s="1" t="n"/>
    </row>
    <row r="2657">
      <c r="A2657" s="61" t="n"/>
      <c r="B2657" s="16" t="n"/>
      <c r="C2657" s="90" t="n"/>
      <c r="D2657" s="90" t="n"/>
      <c r="E2657" s="90" t="n"/>
      <c r="F2657" s="16" t="n"/>
      <c r="G2657" s="16" t="n"/>
      <c r="H2657" s="63" t="n"/>
      <c r="I2657" s="64" t="n"/>
      <c r="J2657" s="16" t="n"/>
      <c r="K2657" s="16" t="n"/>
      <c r="M2657" s="89" t="n"/>
      <c r="N2657" s="1" t="n"/>
      <c r="O2657" s="1" t="n"/>
      <c r="P2657" s="1" t="n"/>
      <c r="Q2657" s="1" t="n"/>
      <c r="R2657" s="1" t="n"/>
    </row>
    <row r="2658">
      <c r="A2658" s="61" t="n"/>
      <c r="B2658" s="16" t="n"/>
      <c r="C2658" s="90" t="n"/>
      <c r="D2658" s="90" t="n"/>
      <c r="E2658" s="90" t="n"/>
      <c r="F2658" s="16" t="n"/>
      <c r="G2658" s="16" t="n"/>
      <c r="H2658" s="63" t="n"/>
      <c r="I2658" s="64" t="n"/>
      <c r="J2658" s="16" t="n"/>
      <c r="K2658" s="16" t="n"/>
      <c r="M2658" s="89" t="n"/>
      <c r="N2658" s="1" t="n"/>
      <c r="O2658" s="1" t="n"/>
      <c r="P2658" s="1" t="n"/>
      <c r="Q2658" s="1" t="n"/>
      <c r="R2658" s="1" t="n"/>
    </row>
    <row r="2659">
      <c r="A2659" s="61" t="n"/>
      <c r="B2659" s="16" t="n"/>
      <c r="C2659" s="90" t="n"/>
      <c r="D2659" s="90" t="n"/>
      <c r="E2659" s="90" t="n"/>
      <c r="F2659" s="16" t="n"/>
      <c r="G2659" s="16" t="n"/>
      <c r="H2659" s="63" t="n"/>
      <c r="I2659" s="64" t="n"/>
      <c r="J2659" s="16" t="n"/>
      <c r="K2659" s="16" t="n"/>
      <c r="M2659" s="89" t="n"/>
      <c r="N2659" s="1" t="n"/>
      <c r="O2659" s="1" t="n"/>
      <c r="P2659" s="1" t="n"/>
      <c r="Q2659" s="1" t="n"/>
      <c r="R2659" s="1" t="n"/>
    </row>
    <row r="2660">
      <c r="A2660" s="61" t="n"/>
      <c r="B2660" s="16" t="n"/>
      <c r="C2660" s="90" t="n"/>
      <c r="D2660" s="90" t="n"/>
      <c r="E2660" s="90" t="n"/>
      <c r="F2660" s="16" t="n"/>
      <c r="G2660" s="16" t="n"/>
      <c r="H2660" s="63" t="n"/>
      <c r="I2660" s="64" t="n"/>
      <c r="J2660" s="16" t="n"/>
      <c r="K2660" s="16" t="n"/>
      <c r="M2660" s="89" t="n"/>
      <c r="N2660" s="1" t="n"/>
      <c r="O2660" s="1" t="n"/>
      <c r="P2660" s="1" t="n"/>
      <c r="Q2660" s="1" t="n"/>
      <c r="R2660" s="1" t="n"/>
    </row>
    <row r="2661">
      <c r="A2661" s="61" t="n"/>
      <c r="B2661" s="16" t="n"/>
      <c r="C2661" s="90" t="n"/>
      <c r="D2661" s="90" t="n"/>
      <c r="E2661" s="90" t="n"/>
      <c r="F2661" s="16" t="n"/>
      <c r="G2661" s="16" t="n"/>
      <c r="H2661" s="63" t="n"/>
      <c r="I2661" s="64" t="n"/>
      <c r="J2661" s="16" t="n"/>
      <c r="K2661" s="16" t="n"/>
      <c r="M2661" s="89" t="n"/>
      <c r="N2661" s="1" t="n"/>
      <c r="O2661" s="1" t="n"/>
      <c r="P2661" s="1" t="n"/>
      <c r="Q2661" s="1" t="n"/>
      <c r="R2661" s="1" t="n"/>
    </row>
    <row r="2662">
      <c r="A2662" s="61" t="n"/>
      <c r="B2662" s="16" t="n"/>
      <c r="C2662" s="90" t="n"/>
      <c r="D2662" s="90" t="n"/>
      <c r="E2662" s="90" t="n"/>
      <c r="F2662" s="16" t="n"/>
      <c r="G2662" s="16" t="n"/>
      <c r="H2662" s="63" t="n"/>
      <c r="I2662" s="64" t="n"/>
      <c r="J2662" s="16" t="n"/>
      <c r="K2662" s="16" t="n"/>
      <c r="M2662" s="89" t="n"/>
      <c r="N2662" s="1" t="n"/>
      <c r="O2662" s="1" t="n"/>
      <c r="P2662" s="1" t="n"/>
      <c r="Q2662" s="1" t="n"/>
      <c r="R2662" s="1" t="n"/>
    </row>
    <row r="2663">
      <c r="A2663" s="61" t="n"/>
      <c r="B2663" s="16" t="n"/>
      <c r="C2663" s="90" t="n"/>
      <c r="D2663" s="90" t="n"/>
      <c r="E2663" s="90" t="n"/>
      <c r="F2663" s="16" t="n"/>
      <c r="G2663" s="16" t="n"/>
      <c r="H2663" s="63" t="n"/>
      <c r="I2663" s="64" t="n"/>
      <c r="J2663" s="16" t="n"/>
      <c r="K2663" s="16" t="n"/>
      <c r="M2663" s="89" t="n"/>
      <c r="N2663" s="1" t="n"/>
      <c r="O2663" s="1" t="n"/>
      <c r="P2663" s="1" t="n"/>
      <c r="Q2663" s="1" t="n"/>
      <c r="R2663" s="1" t="n"/>
    </row>
    <row r="2664">
      <c r="A2664" s="61" t="n"/>
      <c r="B2664" s="16" t="n"/>
      <c r="C2664" s="90" t="n"/>
      <c r="D2664" s="90" t="n"/>
      <c r="E2664" s="90" t="n"/>
      <c r="F2664" s="16" t="n"/>
      <c r="G2664" s="16" t="n"/>
      <c r="H2664" s="63" t="n"/>
      <c r="I2664" s="64" t="n"/>
      <c r="J2664" s="16" t="n"/>
      <c r="K2664" s="16" t="n"/>
      <c r="M2664" s="89" t="n"/>
      <c r="N2664" s="1" t="n"/>
      <c r="O2664" s="1" t="n"/>
      <c r="P2664" s="1" t="n"/>
      <c r="Q2664" s="1" t="n"/>
      <c r="R2664" s="1" t="n"/>
    </row>
    <row r="2665">
      <c r="A2665" s="61" t="n"/>
      <c r="B2665" s="16" t="n"/>
      <c r="C2665" s="90" t="n"/>
      <c r="D2665" s="90" t="n"/>
      <c r="E2665" s="90" t="n"/>
      <c r="F2665" s="16" t="n"/>
      <c r="G2665" s="16" t="n"/>
      <c r="H2665" s="63" t="n"/>
      <c r="I2665" s="64" t="n"/>
      <c r="J2665" s="16" t="n"/>
      <c r="K2665" s="16" t="n"/>
      <c r="M2665" s="89" t="n"/>
      <c r="N2665" s="1" t="n"/>
      <c r="O2665" s="1" t="n"/>
      <c r="P2665" s="1" t="n"/>
      <c r="Q2665" s="1" t="n"/>
      <c r="R2665" s="1" t="n"/>
    </row>
    <row r="2666">
      <c r="A2666" s="61" t="n"/>
      <c r="B2666" s="16" t="n"/>
      <c r="C2666" s="90" t="n"/>
      <c r="D2666" s="90" t="n"/>
      <c r="E2666" s="90" t="n"/>
      <c r="F2666" s="16" t="n"/>
      <c r="G2666" s="16" t="n"/>
      <c r="H2666" s="63" t="n"/>
      <c r="I2666" s="64" t="n"/>
      <c r="J2666" s="16" t="n"/>
      <c r="K2666" s="16" t="n"/>
      <c r="M2666" s="89" t="n"/>
      <c r="N2666" s="1" t="n"/>
      <c r="O2666" s="1" t="n"/>
      <c r="P2666" s="1" t="n"/>
      <c r="Q2666" s="1" t="n"/>
      <c r="R2666" s="1" t="n"/>
    </row>
    <row r="2667">
      <c r="A2667" s="61" t="n"/>
      <c r="B2667" s="16" t="n"/>
      <c r="C2667" s="90" t="n"/>
      <c r="D2667" s="90" t="n"/>
      <c r="E2667" s="90" t="n"/>
      <c r="F2667" s="16" t="n"/>
      <c r="G2667" s="16" t="n"/>
      <c r="H2667" s="63" t="n"/>
      <c r="I2667" s="64" t="n"/>
      <c r="J2667" s="16" t="n"/>
      <c r="K2667" s="16" t="n"/>
      <c r="M2667" s="89" t="n"/>
      <c r="N2667" s="1" t="n"/>
      <c r="O2667" s="1" t="n"/>
      <c r="P2667" s="1" t="n"/>
      <c r="Q2667" s="1" t="n"/>
      <c r="R2667" s="1" t="n"/>
    </row>
    <row r="2668">
      <c r="A2668" s="61" t="n"/>
      <c r="B2668" s="16" t="n"/>
      <c r="C2668" s="90" t="n"/>
      <c r="D2668" s="90" t="n"/>
      <c r="E2668" s="90" t="n"/>
      <c r="F2668" s="16" t="n"/>
      <c r="G2668" s="16" t="n"/>
      <c r="H2668" s="63" t="n"/>
      <c r="I2668" s="64" t="n"/>
      <c r="J2668" s="16" t="n"/>
      <c r="K2668" s="16" t="n"/>
      <c r="M2668" s="89" t="n"/>
      <c r="N2668" s="1" t="n"/>
      <c r="O2668" s="1" t="n"/>
      <c r="P2668" s="1" t="n"/>
      <c r="Q2668" s="1" t="n"/>
      <c r="R2668" s="1" t="n"/>
    </row>
    <row r="2669">
      <c r="A2669" s="61" t="n"/>
      <c r="B2669" s="16" t="n"/>
      <c r="C2669" s="90" t="n"/>
      <c r="D2669" s="90" t="n"/>
      <c r="E2669" s="90" t="n"/>
      <c r="F2669" s="16" t="n"/>
      <c r="G2669" s="16" t="n"/>
      <c r="H2669" s="63" t="n"/>
      <c r="I2669" s="64" t="n"/>
      <c r="J2669" s="16" t="n"/>
      <c r="K2669" s="16" t="n"/>
      <c r="M2669" s="89" t="n"/>
      <c r="N2669" s="1" t="n"/>
      <c r="O2669" s="1" t="n"/>
      <c r="P2669" s="1" t="n"/>
      <c r="Q2669" s="1" t="n"/>
      <c r="R2669" s="1" t="n"/>
    </row>
    <row r="2670">
      <c r="A2670" s="61" t="n"/>
      <c r="B2670" s="16" t="n"/>
      <c r="C2670" s="90" t="n"/>
      <c r="D2670" s="90" t="n"/>
      <c r="E2670" s="90" t="n"/>
      <c r="F2670" s="16" t="n"/>
      <c r="G2670" s="16" t="n"/>
      <c r="H2670" s="63" t="n"/>
      <c r="I2670" s="64" t="n"/>
      <c r="J2670" s="16" t="n"/>
      <c r="K2670" s="16" t="n"/>
      <c r="M2670" s="89" t="n"/>
      <c r="N2670" s="1" t="n"/>
      <c r="O2670" s="1" t="n"/>
      <c r="P2670" s="1" t="n"/>
      <c r="Q2670" s="1" t="n"/>
      <c r="R2670" s="1" t="n"/>
    </row>
    <row r="2671">
      <c r="A2671" s="61" t="n"/>
      <c r="B2671" s="16" t="n"/>
      <c r="C2671" s="90" t="n"/>
      <c r="D2671" s="90" t="n"/>
      <c r="E2671" s="90" t="n"/>
      <c r="F2671" s="16" t="n"/>
      <c r="G2671" s="16" t="n"/>
      <c r="H2671" s="63" t="n"/>
      <c r="I2671" s="64" t="n"/>
      <c r="J2671" s="16" t="n"/>
      <c r="K2671" s="16" t="n"/>
      <c r="M2671" s="89" t="n"/>
      <c r="N2671" s="1" t="n"/>
      <c r="O2671" s="1" t="n"/>
      <c r="P2671" s="1" t="n"/>
      <c r="Q2671" s="1" t="n"/>
      <c r="R2671" s="1" t="n"/>
    </row>
    <row r="2672">
      <c r="A2672" s="61" t="n"/>
      <c r="B2672" s="16" t="n"/>
      <c r="C2672" s="90" t="n"/>
      <c r="D2672" s="90" t="n"/>
      <c r="E2672" s="90" t="n"/>
      <c r="F2672" s="16" t="n"/>
      <c r="G2672" s="16" t="n"/>
      <c r="H2672" s="63" t="n"/>
      <c r="I2672" s="64" t="n"/>
      <c r="J2672" s="16" t="n"/>
      <c r="K2672" s="16" t="n"/>
      <c r="M2672" s="89" t="n"/>
      <c r="N2672" s="1" t="n"/>
      <c r="O2672" s="1" t="n"/>
      <c r="P2672" s="1" t="n"/>
      <c r="Q2672" s="1" t="n"/>
      <c r="R2672" s="1" t="n"/>
    </row>
    <row r="2673">
      <c r="A2673" s="61" t="n"/>
      <c r="B2673" s="16" t="n"/>
      <c r="C2673" s="90" t="n"/>
      <c r="D2673" s="90" t="n"/>
      <c r="E2673" s="90" t="n"/>
      <c r="F2673" s="16" t="n"/>
      <c r="G2673" s="16" t="n"/>
      <c r="H2673" s="63" t="n"/>
      <c r="I2673" s="64" t="n"/>
      <c r="J2673" s="16" t="n"/>
      <c r="K2673" s="16" t="n"/>
      <c r="M2673" s="89" t="n"/>
      <c r="N2673" s="1" t="n"/>
      <c r="O2673" s="1" t="n"/>
      <c r="P2673" s="1" t="n"/>
      <c r="Q2673" s="1" t="n"/>
      <c r="R2673" s="1" t="n"/>
    </row>
    <row r="2674">
      <c r="A2674" s="61" t="n"/>
      <c r="B2674" s="16" t="n"/>
      <c r="C2674" s="90" t="n"/>
      <c r="D2674" s="90" t="n"/>
      <c r="E2674" s="90" t="n"/>
      <c r="F2674" s="16" t="n"/>
      <c r="G2674" s="16" t="n"/>
      <c r="H2674" s="63" t="n"/>
      <c r="I2674" s="64" t="n"/>
      <c r="J2674" s="16" t="n"/>
      <c r="K2674" s="16" t="n"/>
      <c r="M2674" s="89" t="n"/>
      <c r="N2674" s="1" t="n"/>
      <c r="O2674" s="1" t="n"/>
      <c r="P2674" s="1" t="n"/>
      <c r="Q2674" s="1" t="n"/>
      <c r="R2674" s="1" t="n"/>
    </row>
    <row r="2675">
      <c r="A2675" s="61" t="n"/>
      <c r="B2675" s="16" t="n"/>
      <c r="C2675" s="90" t="n"/>
      <c r="D2675" s="90" t="n"/>
      <c r="E2675" s="90" t="n"/>
      <c r="F2675" s="16" t="n"/>
      <c r="G2675" s="16" t="n"/>
      <c r="H2675" s="63" t="n"/>
      <c r="I2675" s="64" t="n"/>
      <c r="J2675" s="16" t="n"/>
      <c r="K2675" s="16" t="n"/>
      <c r="M2675" s="89" t="n"/>
      <c r="N2675" s="1" t="n"/>
      <c r="O2675" s="1" t="n"/>
      <c r="P2675" s="1" t="n"/>
      <c r="Q2675" s="1" t="n"/>
      <c r="R2675" s="1" t="n"/>
    </row>
    <row r="2676">
      <c r="A2676" s="61" t="n"/>
      <c r="B2676" s="16" t="n"/>
      <c r="C2676" s="90" t="n"/>
      <c r="D2676" s="90" t="n"/>
      <c r="E2676" s="90" t="n"/>
      <c r="F2676" s="16" t="n"/>
      <c r="G2676" s="16" t="n"/>
      <c r="H2676" s="63" t="n"/>
      <c r="I2676" s="64" t="n"/>
      <c r="J2676" s="16" t="n"/>
      <c r="K2676" s="16" t="n"/>
      <c r="M2676" s="89" t="n"/>
      <c r="N2676" s="1" t="n"/>
      <c r="O2676" s="1" t="n"/>
      <c r="P2676" s="1" t="n"/>
      <c r="Q2676" s="1" t="n"/>
      <c r="R2676" s="1" t="n"/>
    </row>
    <row r="2677">
      <c r="A2677" s="61" t="n"/>
      <c r="B2677" s="16" t="n"/>
      <c r="C2677" s="90" t="n"/>
      <c r="D2677" s="90" t="n"/>
      <c r="E2677" s="90" t="n"/>
      <c r="F2677" s="16" t="n"/>
      <c r="G2677" s="16" t="n"/>
      <c r="H2677" s="63" t="n"/>
      <c r="I2677" s="64" t="n"/>
      <c r="J2677" s="16" t="n"/>
      <c r="K2677" s="16" t="n"/>
      <c r="M2677" s="89" t="n"/>
      <c r="N2677" s="1" t="n"/>
      <c r="O2677" s="1" t="n"/>
      <c r="P2677" s="1" t="n"/>
      <c r="Q2677" s="1" t="n"/>
      <c r="R2677" s="1" t="n"/>
    </row>
    <row r="2678">
      <c r="A2678" s="61" t="n"/>
      <c r="B2678" s="16" t="n"/>
      <c r="C2678" s="90" t="n"/>
      <c r="D2678" s="90" t="n"/>
      <c r="E2678" s="90" t="n"/>
      <c r="F2678" s="16" t="n"/>
      <c r="G2678" s="16" t="n"/>
      <c r="H2678" s="63" t="n"/>
      <c r="I2678" s="64" t="n"/>
      <c r="J2678" s="16" t="n"/>
      <c r="K2678" s="16" t="n"/>
      <c r="M2678" s="89" t="n"/>
      <c r="N2678" s="1" t="n"/>
      <c r="O2678" s="1" t="n"/>
      <c r="P2678" s="1" t="n"/>
      <c r="Q2678" s="1" t="n"/>
      <c r="R2678" s="1" t="n"/>
    </row>
    <row r="2679">
      <c r="A2679" s="61" t="n"/>
      <c r="B2679" s="16" t="n"/>
      <c r="C2679" s="90" t="n"/>
      <c r="D2679" s="90" t="n"/>
      <c r="E2679" s="90" t="n"/>
      <c r="F2679" s="16" t="n"/>
      <c r="G2679" s="16" t="n"/>
      <c r="H2679" s="63" t="n"/>
      <c r="I2679" s="64" t="n"/>
      <c r="J2679" s="16" t="n"/>
      <c r="K2679" s="16" t="n"/>
      <c r="M2679" s="89" t="n"/>
      <c r="N2679" s="1" t="n"/>
      <c r="O2679" s="1" t="n"/>
      <c r="P2679" s="1" t="n"/>
      <c r="Q2679" s="1" t="n"/>
      <c r="R2679" s="1" t="n"/>
    </row>
    <row r="2680">
      <c r="A2680" s="61" t="n"/>
      <c r="B2680" s="16" t="n"/>
      <c r="C2680" s="90" t="n"/>
      <c r="D2680" s="90" t="n"/>
      <c r="E2680" s="90" t="n"/>
      <c r="F2680" s="16" t="n"/>
      <c r="G2680" s="16" t="n"/>
      <c r="H2680" s="63" t="n"/>
      <c r="I2680" s="64" t="n"/>
      <c r="J2680" s="16" t="n"/>
      <c r="K2680" s="16" t="n"/>
      <c r="M2680" s="89" t="n"/>
      <c r="N2680" s="1" t="n"/>
      <c r="O2680" s="1" t="n"/>
      <c r="P2680" s="1" t="n"/>
      <c r="Q2680" s="1" t="n"/>
      <c r="R2680" s="1" t="n"/>
    </row>
    <row r="2681">
      <c r="A2681" s="61" t="n"/>
      <c r="B2681" s="16" t="n"/>
      <c r="C2681" s="90" t="n"/>
      <c r="D2681" s="90" t="n"/>
      <c r="E2681" s="90" t="n"/>
      <c r="F2681" s="16" t="n"/>
      <c r="G2681" s="16" t="n"/>
      <c r="H2681" s="63" t="n"/>
      <c r="I2681" s="64" t="n"/>
      <c r="J2681" s="16" t="n"/>
      <c r="K2681" s="16" t="n"/>
      <c r="M2681" s="89" t="n"/>
      <c r="N2681" s="1" t="n"/>
      <c r="O2681" s="1" t="n"/>
      <c r="P2681" s="1" t="n"/>
      <c r="Q2681" s="1" t="n"/>
      <c r="R2681" s="1" t="n"/>
    </row>
    <row r="2682">
      <c r="A2682" s="61" t="n"/>
      <c r="B2682" s="16" t="n"/>
      <c r="C2682" s="90" t="n"/>
      <c r="D2682" s="90" t="n"/>
      <c r="E2682" s="90" t="n"/>
      <c r="F2682" s="16" t="n"/>
      <c r="G2682" s="16" t="n"/>
      <c r="H2682" s="63" t="n"/>
      <c r="I2682" s="64" t="n"/>
      <c r="J2682" s="16" t="n"/>
      <c r="K2682" s="16" t="n"/>
      <c r="M2682" s="89" t="n"/>
      <c r="N2682" s="1" t="n"/>
      <c r="O2682" s="1" t="n"/>
      <c r="P2682" s="1" t="n"/>
      <c r="Q2682" s="1" t="n"/>
      <c r="R2682" s="1" t="n"/>
    </row>
    <row r="2683">
      <c r="A2683" s="61" t="n"/>
      <c r="B2683" s="16" t="n"/>
      <c r="C2683" s="90" t="n"/>
      <c r="D2683" s="90" t="n"/>
      <c r="E2683" s="90" t="n"/>
      <c r="F2683" s="16" t="n"/>
      <c r="G2683" s="16" t="n"/>
      <c r="H2683" s="63" t="n"/>
      <c r="I2683" s="64" t="n"/>
      <c r="J2683" s="16" t="n"/>
      <c r="K2683" s="16" t="n"/>
      <c r="M2683" s="89" t="n"/>
      <c r="N2683" s="1" t="n"/>
      <c r="O2683" s="1" t="n"/>
      <c r="P2683" s="1" t="n"/>
      <c r="Q2683" s="1" t="n"/>
      <c r="R2683" s="1" t="n"/>
    </row>
    <row r="2684">
      <c r="A2684" s="61" t="n"/>
      <c r="B2684" s="16" t="n"/>
      <c r="C2684" s="90" t="n"/>
      <c r="D2684" s="90" t="n"/>
      <c r="E2684" s="90" t="n"/>
      <c r="F2684" s="16" t="n"/>
      <c r="G2684" s="16" t="n"/>
      <c r="H2684" s="63" t="n"/>
      <c r="I2684" s="64" t="n"/>
      <c r="J2684" s="16" t="n"/>
      <c r="K2684" s="16" t="n"/>
      <c r="M2684" s="89" t="n"/>
      <c r="N2684" s="1" t="n"/>
      <c r="O2684" s="1" t="n"/>
      <c r="P2684" s="1" t="n"/>
      <c r="Q2684" s="1" t="n"/>
      <c r="R2684" s="1" t="n"/>
    </row>
    <row r="2685">
      <c r="A2685" s="61" t="n"/>
      <c r="B2685" s="16" t="n"/>
      <c r="C2685" s="90" t="n"/>
      <c r="D2685" s="90" t="n"/>
      <c r="E2685" s="90" t="n"/>
      <c r="F2685" s="16" t="n"/>
      <c r="G2685" s="16" t="n"/>
      <c r="H2685" s="63" t="n"/>
      <c r="I2685" s="64" t="n"/>
      <c r="J2685" s="16" t="n"/>
      <c r="K2685" s="16" t="n"/>
      <c r="M2685" s="89" t="n"/>
      <c r="N2685" s="1" t="n"/>
      <c r="O2685" s="1" t="n"/>
      <c r="P2685" s="1" t="n"/>
      <c r="Q2685" s="1" t="n"/>
      <c r="R2685" s="1" t="n"/>
    </row>
    <row r="2686">
      <c r="A2686" s="61" t="n"/>
      <c r="B2686" s="16" t="n"/>
      <c r="C2686" s="90" t="n"/>
      <c r="D2686" s="90" t="n"/>
      <c r="E2686" s="90" t="n"/>
      <c r="F2686" s="16" t="n"/>
      <c r="G2686" s="16" t="n"/>
      <c r="H2686" s="63" t="n"/>
      <c r="I2686" s="64" t="n"/>
      <c r="J2686" s="16" t="n"/>
      <c r="K2686" s="16" t="n"/>
      <c r="M2686" s="89" t="n"/>
      <c r="N2686" s="1" t="n"/>
      <c r="O2686" s="1" t="n"/>
      <c r="P2686" s="1" t="n"/>
      <c r="Q2686" s="1" t="n"/>
      <c r="R2686" s="1" t="n"/>
    </row>
    <row r="2687">
      <c r="A2687" s="61" t="n"/>
      <c r="B2687" s="16" t="n"/>
      <c r="C2687" s="90" t="n"/>
      <c r="D2687" s="90" t="n"/>
      <c r="E2687" s="90" t="n"/>
      <c r="F2687" s="16" t="n"/>
      <c r="G2687" s="16" t="n"/>
      <c r="H2687" s="63" t="n"/>
      <c r="I2687" s="64" t="n"/>
      <c r="J2687" s="16" t="n"/>
      <c r="K2687" s="16" t="n"/>
      <c r="M2687" s="89" t="n"/>
      <c r="N2687" s="1" t="n"/>
      <c r="O2687" s="1" t="n"/>
      <c r="P2687" s="1" t="n"/>
      <c r="Q2687" s="1" t="n"/>
      <c r="R2687" s="1" t="n"/>
    </row>
    <row r="2688">
      <c r="A2688" s="61" t="n"/>
      <c r="B2688" s="16" t="n"/>
      <c r="C2688" s="90" t="n"/>
      <c r="D2688" s="90" t="n"/>
      <c r="E2688" s="90" t="n"/>
      <c r="F2688" s="16" t="n"/>
      <c r="G2688" s="16" t="n"/>
      <c r="H2688" s="63" t="n"/>
      <c r="I2688" s="64" t="n"/>
      <c r="J2688" s="16" t="n"/>
      <c r="K2688" s="16" t="n"/>
      <c r="M2688" s="89" t="n"/>
      <c r="N2688" s="1" t="n"/>
      <c r="O2688" s="1" t="n"/>
      <c r="P2688" s="1" t="n"/>
      <c r="Q2688" s="1" t="n"/>
      <c r="R2688" s="1" t="n"/>
    </row>
    <row r="2689">
      <c r="A2689" s="61" t="n"/>
      <c r="B2689" s="16" t="n"/>
      <c r="C2689" s="90" t="n"/>
      <c r="D2689" s="90" t="n"/>
      <c r="E2689" s="90" t="n"/>
      <c r="F2689" s="16" t="n"/>
      <c r="G2689" s="16" t="n"/>
      <c r="H2689" s="63" t="n"/>
      <c r="I2689" s="64" t="n"/>
      <c r="J2689" s="16" t="n"/>
      <c r="K2689" s="16" t="n"/>
      <c r="M2689" s="89" t="n"/>
      <c r="N2689" s="1" t="n"/>
      <c r="O2689" s="1" t="n"/>
      <c r="P2689" s="1" t="n"/>
      <c r="Q2689" s="1" t="n"/>
      <c r="R2689" s="1" t="n"/>
    </row>
    <row r="2690">
      <c r="A2690" s="61" t="n"/>
      <c r="B2690" s="16" t="n"/>
      <c r="C2690" s="90" t="n"/>
      <c r="D2690" s="90" t="n"/>
      <c r="E2690" s="90" t="n"/>
      <c r="F2690" s="16" t="n"/>
      <c r="G2690" s="16" t="n"/>
      <c r="H2690" s="63" t="n"/>
      <c r="I2690" s="64" t="n"/>
      <c r="J2690" s="16" t="n"/>
      <c r="K2690" s="16" t="n"/>
      <c r="M2690" s="89" t="n"/>
      <c r="N2690" s="1" t="n"/>
      <c r="O2690" s="1" t="n"/>
      <c r="P2690" s="1" t="n"/>
      <c r="Q2690" s="1" t="n"/>
      <c r="R2690" s="1" t="n"/>
    </row>
    <row r="2691">
      <c r="A2691" s="61" t="n"/>
      <c r="B2691" s="16" t="n"/>
      <c r="C2691" s="90" t="n"/>
      <c r="D2691" s="90" t="n"/>
      <c r="E2691" s="90" t="n"/>
      <c r="F2691" s="16" t="n"/>
      <c r="G2691" s="16" t="n"/>
      <c r="H2691" s="63" t="n"/>
      <c r="I2691" s="64" t="n"/>
      <c r="J2691" s="16" t="n"/>
      <c r="K2691" s="16" t="n"/>
      <c r="M2691" s="89" t="n"/>
      <c r="N2691" s="1" t="n"/>
      <c r="O2691" s="1" t="n"/>
      <c r="P2691" s="1" t="n"/>
      <c r="Q2691" s="1" t="n"/>
      <c r="R2691" s="1" t="n"/>
    </row>
    <row r="2692">
      <c r="A2692" s="61" t="n"/>
      <c r="B2692" s="16" t="n"/>
      <c r="C2692" s="90" t="n"/>
      <c r="D2692" s="90" t="n"/>
      <c r="E2692" s="90" t="n"/>
      <c r="F2692" s="16" t="n"/>
      <c r="G2692" s="16" t="n"/>
      <c r="H2692" s="63" t="n"/>
      <c r="I2692" s="64" t="n"/>
      <c r="J2692" s="16" t="n"/>
      <c r="K2692" s="16" t="n"/>
      <c r="M2692" s="89" t="n"/>
      <c r="N2692" s="1" t="n"/>
      <c r="O2692" s="1" t="n"/>
      <c r="P2692" s="1" t="n"/>
      <c r="Q2692" s="1" t="n"/>
      <c r="R2692" s="1" t="n"/>
    </row>
    <row r="2693">
      <c r="A2693" s="61" t="n"/>
      <c r="B2693" s="16" t="n"/>
      <c r="C2693" s="90" t="n"/>
      <c r="D2693" s="90" t="n"/>
      <c r="E2693" s="90" t="n"/>
      <c r="F2693" s="16" t="n"/>
      <c r="G2693" s="16" t="n"/>
      <c r="H2693" s="63" t="n"/>
      <c r="I2693" s="64" t="n"/>
      <c r="J2693" s="16" t="n"/>
      <c r="K2693" s="16" t="n"/>
      <c r="M2693" s="89" t="n"/>
      <c r="N2693" s="1" t="n"/>
      <c r="O2693" s="1" t="n"/>
      <c r="P2693" s="1" t="n"/>
      <c r="Q2693" s="1" t="n"/>
      <c r="R2693" s="1" t="n"/>
    </row>
    <row r="2694">
      <c r="A2694" s="61" t="n"/>
      <c r="B2694" s="16" t="n"/>
      <c r="C2694" s="90" t="n"/>
      <c r="D2694" s="90" t="n"/>
      <c r="E2694" s="90" t="n"/>
      <c r="F2694" s="16" t="n"/>
      <c r="G2694" s="16" t="n"/>
      <c r="H2694" s="63" t="n"/>
      <c r="I2694" s="64" t="n"/>
      <c r="J2694" s="16" t="n"/>
      <c r="K2694" s="16" t="n"/>
      <c r="M2694" s="89" t="n"/>
      <c r="N2694" s="1" t="n"/>
      <c r="O2694" s="1" t="n"/>
      <c r="P2694" s="1" t="n"/>
      <c r="Q2694" s="1" t="n"/>
      <c r="R2694" s="1" t="n"/>
    </row>
    <row r="2695">
      <c r="A2695" s="61" t="n"/>
      <c r="B2695" s="16" t="n"/>
      <c r="C2695" s="90" t="n"/>
      <c r="D2695" s="90" t="n"/>
      <c r="E2695" s="90" t="n"/>
      <c r="F2695" s="16" t="n"/>
      <c r="G2695" s="16" t="n"/>
      <c r="H2695" s="63" t="n"/>
      <c r="I2695" s="64" t="n"/>
      <c r="J2695" s="16" t="n"/>
      <c r="K2695" s="16" t="n"/>
      <c r="M2695" s="89" t="n"/>
      <c r="N2695" s="1" t="n"/>
      <c r="O2695" s="1" t="n"/>
      <c r="P2695" s="1" t="n"/>
      <c r="Q2695" s="1" t="n"/>
      <c r="R2695" s="1" t="n"/>
    </row>
    <row r="2696">
      <c r="A2696" s="61" t="n"/>
      <c r="B2696" s="16" t="n"/>
      <c r="C2696" s="90" t="n"/>
      <c r="D2696" s="90" t="n"/>
      <c r="E2696" s="90" t="n"/>
      <c r="F2696" s="16" t="n"/>
      <c r="G2696" s="16" t="n"/>
      <c r="H2696" s="63" t="n"/>
      <c r="I2696" s="64" t="n"/>
      <c r="J2696" s="16" t="n"/>
      <c r="K2696" s="16" t="n"/>
      <c r="M2696" s="89" t="n"/>
      <c r="N2696" s="1" t="n"/>
      <c r="O2696" s="1" t="n"/>
      <c r="P2696" s="1" t="n"/>
      <c r="Q2696" s="1" t="n"/>
      <c r="R2696" s="1" t="n"/>
    </row>
    <row r="2697">
      <c r="A2697" s="61" t="n"/>
      <c r="B2697" s="16" t="n"/>
      <c r="C2697" s="90" t="n"/>
      <c r="D2697" s="90" t="n"/>
      <c r="E2697" s="90" t="n"/>
      <c r="F2697" s="16" t="n"/>
      <c r="G2697" s="16" t="n"/>
      <c r="H2697" s="63" t="n"/>
      <c r="I2697" s="64" t="n"/>
      <c r="J2697" s="16" t="n"/>
      <c r="K2697" s="16" t="n"/>
      <c r="M2697" s="89" t="n"/>
      <c r="N2697" s="1" t="n"/>
      <c r="O2697" s="1" t="n"/>
      <c r="P2697" s="1" t="n"/>
      <c r="Q2697" s="1" t="n"/>
      <c r="R2697" s="1" t="n"/>
    </row>
    <row r="2698">
      <c r="A2698" s="61" t="n"/>
      <c r="B2698" s="16" t="n"/>
      <c r="C2698" s="90" t="n"/>
      <c r="D2698" s="90" t="n"/>
      <c r="E2698" s="90" t="n"/>
      <c r="F2698" s="16" t="n"/>
      <c r="G2698" s="16" t="n"/>
      <c r="H2698" s="63" t="n"/>
      <c r="I2698" s="64" t="n"/>
      <c r="J2698" s="16" t="n"/>
      <c r="K2698" s="16" t="n"/>
      <c r="M2698" s="89" t="n"/>
      <c r="N2698" s="1" t="n"/>
      <c r="O2698" s="1" t="n"/>
      <c r="P2698" s="1" t="n"/>
      <c r="Q2698" s="1" t="n"/>
      <c r="R2698" s="1" t="n"/>
    </row>
    <row r="2699">
      <c r="A2699" s="61" t="n"/>
      <c r="B2699" s="16" t="n"/>
      <c r="C2699" s="90" t="n"/>
      <c r="D2699" s="90" t="n"/>
      <c r="E2699" s="90" t="n"/>
      <c r="F2699" s="16" t="n"/>
      <c r="G2699" s="16" t="n"/>
      <c r="H2699" s="63" t="n"/>
      <c r="I2699" s="64" t="n"/>
      <c r="J2699" s="16" t="n"/>
      <c r="K2699" s="16" t="n"/>
      <c r="M2699" s="89" t="n"/>
      <c r="N2699" s="1" t="n"/>
      <c r="O2699" s="1" t="n"/>
      <c r="P2699" s="1" t="n"/>
      <c r="Q2699" s="1" t="n"/>
      <c r="R2699" s="1" t="n"/>
    </row>
    <row r="2700">
      <c r="A2700" s="61" t="n"/>
      <c r="B2700" s="16" t="n"/>
      <c r="C2700" s="90" t="n"/>
      <c r="D2700" s="90" t="n"/>
      <c r="E2700" s="90" t="n"/>
      <c r="F2700" s="16" t="n"/>
      <c r="G2700" s="16" t="n"/>
      <c r="H2700" s="63" t="n"/>
      <c r="I2700" s="64" t="n"/>
      <c r="J2700" s="16" t="n"/>
      <c r="K2700" s="16" t="n"/>
      <c r="M2700" s="89" t="n"/>
      <c r="N2700" s="1" t="n"/>
      <c r="O2700" s="1" t="n"/>
      <c r="P2700" s="1" t="n"/>
      <c r="Q2700" s="1" t="n"/>
      <c r="R2700" s="1" t="n"/>
    </row>
    <row r="2701">
      <c r="A2701" s="61" t="n"/>
      <c r="B2701" s="16" t="n"/>
      <c r="C2701" s="90" t="n"/>
      <c r="D2701" s="90" t="n"/>
      <c r="E2701" s="90" t="n"/>
      <c r="F2701" s="16" t="n"/>
      <c r="G2701" s="16" t="n"/>
      <c r="H2701" s="63" t="n"/>
      <c r="I2701" s="64" t="n"/>
      <c r="J2701" s="16" t="n"/>
      <c r="K2701" s="16" t="n"/>
      <c r="M2701" s="89" t="n"/>
      <c r="N2701" s="1" t="n"/>
      <c r="O2701" s="1" t="n"/>
      <c r="P2701" s="1" t="n"/>
      <c r="Q2701" s="1" t="n"/>
      <c r="R2701" s="1" t="n"/>
    </row>
    <row r="2702">
      <c r="A2702" s="61" t="n"/>
      <c r="B2702" s="16" t="n"/>
      <c r="C2702" s="90" t="n"/>
      <c r="D2702" s="90" t="n"/>
      <c r="E2702" s="90" t="n"/>
      <c r="F2702" s="16" t="n"/>
      <c r="G2702" s="16" t="n"/>
      <c r="H2702" s="63" t="n"/>
      <c r="I2702" s="64" t="n"/>
      <c r="J2702" s="16" t="n"/>
      <c r="K2702" s="16" t="n"/>
      <c r="M2702" s="89" t="n"/>
      <c r="N2702" s="1" t="n"/>
      <c r="O2702" s="1" t="n"/>
      <c r="P2702" s="1" t="n"/>
      <c r="Q2702" s="1" t="n"/>
      <c r="R2702" s="1" t="n"/>
    </row>
    <row r="2703">
      <c r="A2703" s="61" t="n"/>
      <c r="B2703" s="16" t="n"/>
      <c r="C2703" s="90" t="n"/>
      <c r="D2703" s="90" t="n"/>
      <c r="E2703" s="90" t="n"/>
      <c r="F2703" s="16" t="n"/>
      <c r="G2703" s="16" t="n"/>
      <c r="H2703" s="63" t="n"/>
      <c r="I2703" s="64" t="n"/>
      <c r="J2703" s="16" t="n"/>
      <c r="K2703" s="16" t="n"/>
      <c r="M2703" s="89" t="n"/>
      <c r="N2703" s="1" t="n"/>
      <c r="O2703" s="1" t="n"/>
      <c r="P2703" s="1" t="n"/>
      <c r="Q2703" s="1" t="n"/>
      <c r="R2703" s="1" t="n"/>
    </row>
    <row r="2704">
      <c r="A2704" s="61" t="n"/>
      <c r="B2704" s="16" t="n"/>
      <c r="C2704" s="90" t="n"/>
      <c r="D2704" s="90" t="n"/>
      <c r="E2704" s="90" t="n"/>
      <c r="F2704" s="16" t="n"/>
      <c r="G2704" s="16" t="n"/>
      <c r="H2704" s="63" t="n"/>
      <c r="I2704" s="64" t="n"/>
      <c r="J2704" s="16" t="n"/>
      <c r="K2704" s="16" t="n"/>
      <c r="M2704" s="89" t="n"/>
      <c r="N2704" s="1" t="n"/>
      <c r="O2704" s="1" t="n"/>
      <c r="P2704" s="1" t="n"/>
      <c r="Q2704" s="1" t="n"/>
      <c r="R2704" s="1" t="n"/>
    </row>
    <row r="2705">
      <c r="A2705" s="61" t="n"/>
      <c r="B2705" s="16" t="n"/>
      <c r="C2705" s="90" t="n"/>
      <c r="D2705" s="90" t="n"/>
      <c r="E2705" s="90" t="n"/>
      <c r="F2705" s="16" t="n"/>
      <c r="G2705" s="16" t="n"/>
      <c r="H2705" s="63" t="n"/>
      <c r="I2705" s="64" t="n"/>
      <c r="J2705" s="16" t="n"/>
      <c r="K2705" s="16" t="n"/>
      <c r="M2705" s="89" t="n"/>
      <c r="N2705" s="1" t="n"/>
      <c r="O2705" s="1" t="n"/>
      <c r="P2705" s="1" t="n"/>
      <c r="Q2705" s="1" t="n"/>
      <c r="R2705" s="1" t="n"/>
    </row>
    <row r="2706">
      <c r="A2706" s="61" t="n"/>
      <c r="B2706" s="16" t="n"/>
      <c r="C2706" s="90" t="n"/>
      <c r="D2706" s="90" t="n"/>
      <c r="E2706" s="90" t="n"/>
      <c r="F2706" s="16" t="n"/>
      <c r="G2706" s="16" t="n"/>
      <c r="H2706" s="63" t="n"/>
      <c r="I2706" s="64" t="n"/>
      <c r="J2706" s="16" t="n"/>
      <c r="K2706" s="16" t="n"/>
      <c r="M2706" s="89" t="n"/>
      <c r="N2706" s="1" t="n"/>
      <c r="O2706" s="1" t="n"/>
      <c r="P2706" s="1" t="n"/>
      <c r="Q2706" s="1" t="n"/>
      <c r="R2706" s="1" t="n"/>
    </row>
    <row r="2707">
      <c r="A2707" s="61" t="n"/>
      <c r="B2707" s="16" t="n"/>
      <c r="C2707" s="90" t="n"/>
      <c r="D2707" s="90" t="n"/>
      <c r="E2707" s="90" t="n"/>
      <c r="F2707" s="16" t="n"/>
      <c r="G2707" s="16" t="n"/>
      <c r="H2707" s="63" t="n"/>
      <c r="I2707" s="64" t="n"/>
      <c r="J2707" s="16" t="n"/>
      <c r="K2707" s="16" t="n"/>
      <c r="M2707" s="89" t="n"/>
      <c r="N2707" s="1" t="n"/>
      <c r="O2707" s="1" t="n"/>
      <c r="P2707" s="1" t="n"/>
      <c r="Q2707" s="1" t="n"/>
      <c r="R2707" s="1" t="n"/>
    </row>
    <row r="2708">
      <c r="A2708" s="61" t="n"/>
      <c r="B2708" s="16" t="n"/>
      <c r="C2708" s="90" t="n"/>
      <c r="D2708" s="90" t="n"/>
      <c r="E2708" s="90" t="n"/>
      <c r="F2708" s="16" t="n"/>
      <c r="G2708" s="16" t="n"/>
      <c r="H2708" s="63" t="n"/>
      <c r="I2708" s="64" t="n"/>
      <c r="J2708" s="16" t="n"/>
      <c r="K2708" s="16" t="n"/>
      <c r="M2708" s="89" t="n"/>
      <c r="N2708" s="1" t="n"/>
      <c r="O2708" s="1" t="n"/>
      <c r="P2708" s="1" t="n"/>
      <c r="Q2708" s="1" t="n"/>
      <c r="R2708" s="1" t="n"/>
    </row>
    <row r="2709">
      <c r="A2709" s="61" t="n"/>
      <c r="B2709" s="16" t="n"/>
      <c r="C2709" s="90" t="n"/>
      <c r="D2709" s="90" t="n"/>
      <c r="E2709" s="90" t="n"/>
      <c r="F2709" s="16" t="n"/>
      <c r="G2709" s="16" t="n"/>
      <c r="H2709" s="63" t="n"/>
      <c r="I2709" s="64" t="n"/>
      <c r="J2709" s="16" t="n"/>
      <c r="K2709" s="16" t="n"/>
      <c r="M2709" s="89" t="n"/>
      <c r="N2709" s="1" t="n"/>
      <c r="O2709" s="1" t="n"/>
      <c r="P2709" s="1" t="n"/>
      <c r="Q2709" s="1" t="n"/>
      <c r="R2709" s="1" t="n"/>
    </row>
    <row r="2710">
      <c r="A2710" s="61" t="n"/>
      <c r="B2710" s="16" t="n"/>
      <c r="C2710" s="90" t="n"/>
      <c r="D2710" s="90" t="n"/>
      <c r="E2710" s="90" t="n"/>
      <c r="F2710" s="16" t="n"/>
      <c r="G2710" s="16" t="n"/>
      <c r="H2710" s="63" t="n"/>
      <c r="I2710" s="64" t="n"/>
      <c r="J2710" s="16" t="n"/>
      <c r="K2710" s="16" t="n"/>
      <c r="M2710" s="89" t="n"/>
      <c r="N2710" s="1" t="n"/>
      <c r="O2710" s="1" t="n"/>
      <c r="P2710" s="1" t="n"/>
      <c r="Q2710" s="1" t="n"/>
      <c r="R2710" s="1" t="n"/>
    </row>
    <row r="2711">
      <c r="A2711" s="61" t="n"/>
      <c r="B2711" s="16" t="n"/>
      <c r="C2711" s="90" t="n"/>
      <c r="D2711" s="90" t="n"/>
      <c r="E2711" s="90" t="n"/>
      <c r="F2711" s="16" t="n"/>
      <c r="G2711" s="16" t="n"/>
      <c r="H2711" s="63" t="n"/>
      <c r="I2711" s="64" t="n"/>
      <c r="J2711" s="16" t="n"/>
      <c r="K2711" s="16" t="n"/>
      <c r="M2711" s="89" t="n"/>
      <c r="N2711" s="1" t="n"/>
      <c r="O2711" s="1" t="n"/>
      <c r="P2711" s="1" t="n"/>
      <c r="Q2711" s="1" t="n"/>
      <c r="R2711" s="1" t="n"/>
    </row>
    <row r="2712">
      <c r="A2712" s="61" t="n"/>
      <c r="B2712" s="16" t="n"/>
      <c r="C2712" s="90" t="n"/>
      <c r="D2712" s="90" t="n"/>
      <c r="E2712" s="90" t="n"/>
      <c r="F2712" s="16" t="n"/>
      <c r="G2712" s="16" t="n"/>
      <c r="H2712" s="63" t="n"/>
      <c r="I2712" s="64" t="n"/>
      <c r="J2712" s="16" t="n"/>
      <c r="K2712" s="16" t="n"/>
      <c r="M2712" s="89" t="n"/>
      <c r="N2712" s="1" t="n"/>
      <c r="O2712" s="1" t="n"/>
      <c r="P2712" s="1" t="n"/>
      <c r="Q2712" s="1" t="n"/>
      <c r="R2712" s="1" t="n"/>
    </row>
    <row r="2713">
      <c r="A2713" s="61" t="n"/>
      <c r="B2713" s="16" t="n"/>
      <c r="C2713" s="90" t="n"/>
      <c r="D2713" s="90" t="n"/>
      <c r="E2713" s="90" t="n"/>
      <c r="F2713" s="16" t="n"/>
      <c r="G2713" s="16" t="n"/>
      <c r="H2713" s="63" t="n"/>
      <c r="I2713" s="64" t="n"/>
      <c r="J2713" s="16" t="n"/>
      <c r="K2713" s="16" t="n"/>
      <c r="M2713" s="89" t="n"/>
      <c r="N2713" s="1" t="n"/>
      <c r="O2713" s="1" t="n"/>
      <c r="P2713" s="1" t="n"/>
      <c r="Q2713" s="1" t="n"/>
      <c r="R2713" s="1" t="n"/>
    </row>
    <row r="2714">
      <c r="A2714" s="61" t="n"/>
      <c r="B2714" s="16" t="n"/>
      <c r="C2714" s="90" t="n"/>
      <c r="D2714" s="90" t="n"/>
      <c r="E2714" s="90" t="n"/>
      <c r="F2714" s="16" t="n"/>
      <c r="G2714" s="16" t="n"/>
      <c r="H2714" s="63" t="n"/>
      <c r="I2714" s="64" t="n"/>
      <c r="J2714" s="16" t="n"/>
      <c r="K2714" s="16" t="n"/>
      <c r="M2714" s="89" t="n"/>
      <c r="N2714" s="1" t="n"/>
      <c r="O2714" s="1" t="n"/>
      <c r="P2714" s="1" t="n"/>
      <c r="Q2714" s="1" t="n"/>
      <c r="R2714" s="1" t="n"/>
    </row>
    <row r="2715">
      <c r="A2715" s="61" t="n"/>
      <c r="B2715" s="16" t="n"/>
      <c r="C2715" s="90" t="n"/>
      <c r="D2715" s="90" t="n"/>
      <c r="E2715" s="90" t="n"/>
      <c r="F2715" s="16" t="n"/>
      <c r="G2715" s="16" t="n"/>
      <c r="H2715" s="63" t="n"/>
      <c r="I2715" s="64" t="n"/>
      <c r="J2715" s="16" t="n"/>
      <c r="K2715" s="16" t="n"/>
      <c r="M2715" s="89" t="n"/>
      <c r="N2715" s="1" t="n"/>
      <c r="O2715" s="1" t="n"/>
      <c r="P2715" s="1" t="n"/>
      <c r="Q2715" s="1" t="n"/>
      <c r="R2715" s="1" t="n"/>
    </row>
    <row r="2716">
      <c r="A2716" s="61" t="n"/>
      <c r="B2716" s="16" t="n"/>
      <c r="C2716" s="90" t="n"/>
      <c r="D2716" s="90" t="n"/>
      <c r="E2716" s="90" t="n"/>
      <c r="F2716" s="16" t="n"/>
      <c r="G2716" s="16" t="n"/>
      <c r="H2716" s="63" t="n"/>
      <c r="I2716" s="64" t="n"/>
      <c r="J2716" s="16" t="n"/>
      <c r="K2716" s="16" t="n"/>
      <c r="M2716" s="89" t="n"/>
      <c r="N2716" s="1" t="n"/>
      <c r="O2716" s="1" t="n"/>
      <c r="P2716" s="1" t="n"/>
      <c r="Q2716" s="1" t="n"/>
      <c r="R2716" s="1" t="n"/>
    </row>
    <row r="2717">
      <c r="A2717" s="61" t="n"/>
      <c r="B2717" s="16" t="n"/>
      <c r="C2717" s="90" t="n"/>
      <c r="D2717" s="90" t="n"/>
      <c r="E2717" s="90" t="n"/>
      <c r="F2717" s="16" t="n"/>
      <c r="G2717" s="16" t="n"/>
      <c r="H2717" s="63" t="n"/>
      <c r="I2717" s="64" t="n"/>
      <c r="J2717" s="16" t="n"/>
      <c r="K2717" s="16" t="n"/>
      <c r="M2717" s="89" t="n"/>
      <c r="N2717" s="1" t="n"/>
      <c r="O2717" s="1" t="n"/>
      <c r="P2717" s="1" t="n"/>
      <c r="Q2717" s="1" t="n"/>
      <c r="R2717" s="1" t="n"/>
    </row>
    <row r="2718">
      <c r="A2718" s="61" t="n"/>
      <c r="B2718" s="16" t="n"/>
      <c r="C2718" s="90" t="n"/>
      <c r="D2718" s="90" t="n"/>
      <c r="E2718" s="90" t="n"/>
      <c r="F2718" s="16" t="n"/>
      <c r="G2718" s="16" t="n"/>
      <c r="H2718" s="63" t="n"/>
      <c r="I2718" s="64" t="n"/>
      <c r="J2718" s="16" t="n"/>
      <c r="K2718" s="16" t="n"/>
      <c r="M2718" s="89" t="n"/>
      <c r="N2718" s="1" t="n"/>
      <c r="O2718" s="1" t="n"/>
      <c r="P2718" s="1" t="n"/>
      <c r="Q2718" s="1" t="n"/>
      <c r="R2718" s="1" t="n"/>
    </row>
    <row r="2719">
      <c r="A2719" s="61" t="n"/>
      <c r="B2719" s="16" t="n"/>
      <c r="C2719" s="90" t="n"/>
      <c r="D2719" s="90" t="n"/>
      <c r="E2719" s="90" t="n"/>
      <c r="F2719" s="16" t="n"/>
      <c r="G2719" s="16" t="n"/>
      <c r="H2719" s="63" t="n"/>
      <c r="I2719" s="64" t="n"/>
      <c r="J2719" s="16" t="n"/>
      <c r="K2719" s="16" t="n"/>
      <c r="M2719" s="89" t="n"/>
      <c r="N2719" s="1" t="n"/>
      <c r="O2719" s="1" t="n"/>
      <c r="P2719" s="1" t="n"/>
      <c r="Q2719" s="1" t="n"/>
      <c r="R2719" s="1" t="n"/>
    </row>
    <row r="2720">
      <c r="A2720" s="61" t="n"/>
      <c r="B2720" s="16" t="n"/>
      <c r="C2720" s="90" t="n"/>
      <c r="D2720" s="90" t="n"/>
      <c r="E2720" s="90" t="n"/>
      <c r="F2720" s="16" t="n"/>
      <c r="G2720" s="16" t="n"/>
      <c r="H2720" s="63" t="n"/>
      <c r="I2720" s="64" t="n"/>
      <c r="J2720" s="16" t="n"/>
      <c r="K2720" s="16" t="n"/>
      <c r="M2720" s="89" t="n"/>
      <c r="N2720" s="1" t="n"/>
      <c r="O2720" s="1" t="n"/>
      <c r="P2720" s="1" t="n"/>
      <c r="Q2720" s="1" t="n"/>
      <c r="R2720" s="1" t="n"/>
    </row>
    <row r="2721">
      <c r="A2721" s="61" t="n"/>
      <c r="B2721" s="16" t="n"/>
      <c r="C2721" s="90" t="n"/>
      <c r="D2721" s="90" t="n"/>
      <c r="E2721" s="90" t="n"/>
      <c r="F2721" s="16" t="n"/>
      <c r="G2721" s="16" t="n"/>
      <c r="H2721" s="63" t="n"/>
      <c r="I2721" s="64" t="n"/>
      <c r="J2721" s="16" t="n"/>
      <c r="K2721" s="16" t="n"/>
      <c r="M2721" s="89" t="n"/>
      <c r="N2721" s="1" t="n"/>
      <c r="O2721" s="1" t="n"/>
      <c r="P2721" s="1" t="n"/>
      <c r="Q2721" s="1" t="n"/>
      <c r="R2721" s="1" t="n"/>
    </row>
    <row r="2722">
      <c r="A2722" s="61" t="n"/>
      <c r="B2722" s="16" t="n"/>
      <c r="C2722" s="90" t="n"/>
      <c r="D2722" s="90" t="n"/>
      <c r="E2722" s="90" t="n"/>
      <c r="F2722" s="16" t="n"/>
      <c r="G2722" s="16" t="n"/>
      <c r="H2722" s="63" t="n"/>
      <c r="I2722" s="64" t="n"/>
      <c r="J2722" s="16" t="n"/>
      <c r="K2722" s="16" t="n"/>
      <c r="M2722" s="89" t="n"/>
      <c r="N2722" s="1" t="n"/>
      <c r="O2722" s="1" t="n"/>
      <c r="P2722" s="1" t="n"/>
      <c r="Q2722" s="1" t="n"/>
      <c r="R2722" s="1" t="n"/>
    </row>
    <row r="2723">
      <c r="A2723" s="61" t="n"/>
      <c r="B2723" s="16" t="n"/>
      <c r="C2723" s="90" t="n"/>
      <c r="D2723" s="90" t="n"/>
      <c r="E2723" s="90" t="n"/>
      <c r="F2723" s="16" t="n"/>
      <c r="G2723" s="16" t="n"/>
      <c r="H2723" s="63" t="n"/>
      <c r="I2723" s="64" t="n"/>
      <c r="J2723" s="16" t="n"/>
      <c r="K2723" s="16" t="n"/>
      <c r="M2723" s="89" t="n"/>
      <c r="N2723" s="1" t="n"/>
      <c r="O2723" s="1" t="n"/>
      <c r="P2723" s="1" t="n"/>
      <c r="Q2723" s="1" t="n"/>
      <c r="R2723" s="1" t="n"/>
    </row>
    <row r="2724">
      <c r="A2724" s="61" t="n"/>
      <c r="B2724" s="16" t="n"/>
      <c r="C2724" s="90" t="n"/>
      <c r="D2724" s="90" t="n"/>
      <c r="E2724" s="90" t="n"/>
      <c r="F2724" s="16" t="n"/>
      <c r="G2724" s="16" t="n"/>
      <c r="H2724" s="63" t="n"/>
      <c r="I2724" s="64" t="n"/>
      <c r="J2724" s="16" t="n"/>
      <c r="K2724" s="16" t="n"/>
      <c r="M2724" s="89" t="n"/>
      <c r="N2724" s="1" t="n"/>
      <c r="O2724" s="1" t="n"/>
      <c r="P2724" s="1" t="n"/>
      <c r="Q2724" s="1" t="n"/>
      <c r="R2724" s="1" t="n"/>
    </row>
    <row r="2725">
      <c r="A2725" s="61" t="n"/>
      <c r="B2725" s="16" t="n"/>
      <c r="C2725" s="90" t="n"/>
      <c r="D2725" s="90" t="n"/>
      <c r="E2725" s="90" t="n"/>
      <c r="F2725" s="16" t="n"/>
      <c r="G2725" s="16" t="n"/>
      <c r="H2725" s="63" t="n"/>
      <c r="I2725" s="64" t="n"/>
      <c r="J2725" s="16" t="n"/>
      <c r="K2725" s="16" t="n"/>
      <c r="M2725" s="89" t="n"/>
      <c r="N2725" s="1" t="n"/>
      <c r="O2725" s="1" t="n"/>
      <c r="P2725" s="1" t="n"/>
      <c r="Q2725" s="1" t="n"/>
      <c r="R2725" s="1" t="n"/>
    </row>
    <row r="2726">
      <c r="A2726" s="61" t="n"/>
      <c r="B2726" s="16" t="n"/>
      <c r="C2726" s="90" t="n"/>
      <c r="D2726" s="90" t="n"/>
      <c r="E2726" s="90" t="n"/>
      <c r="F2726" s="16" t="n"/>
      <c r="G2726" s="16" t="n"/>
      <c r="H2726" s="63" t="n"/>
      <c r="I2726" s="64" t="n"/>
      <c r="J2726" s="16" t="n"/>
      <c r="K2726" s="16" t="n"/>
      <c r="M2726" s="89" t="n"/>
      <c r="N2726" s="1" t="n"/>
      <c r="O2726" s="1" t="n"/>
      <c r="P2726" s="1" t="n"/>
      <c r="Q2726" s="1" t="n"/>
      <c r="R2726" s="1" t="n"/>
    </row>
    <row r="2727">
      <c r="A2727" s="61" t="n"/>
      <c r="B2727" s="16" t="n"/>
      <c r="C2727" s="90" t="n"/>
      <c r="D2727" s="90" t="n"/>
      <c r="E2727" s="90" t="n"/>
      <c r="F2727" s="16" t="n"/>
      <c r="G2727" s="16" t="n"/>
      <c r="H2727" s="63" t="n"/>
      <c r="I2727" s="64" t="n"/>
      <c r="J2727" s="16" t="n"/>
      <c r="K2727" s="16" t="n"/>
      <c r="M2727" s="89" t="n"/>
      <c r="N2727" s="1" t="n"/>
      <c r="O2727" s="1" t="n"/>
      <c r="P2727" s="1" t="n"/>
      <c r="Q2727" s="1" t="n"/>
      <c r="R2727" s="1" t="n"/>
    </row>
    <row r="2728">
      <c r="A2728" s="61" t="n"/>
      <c r="B2728" s="16" t="n"/>
      <c r="C2728" s="90" t="n"/>
      <c r="D2728" s="90" t="n"/>
      <c r="E2728" s="90" t="n"/>
      <c r="F2728" s="16" t="n"/>
      <c r="G2728" s="16" t="n"/>
      <c r="H2728" s="63" t="n"/>
      <c r="I2728" s="64" t="n"/>
      <c r="J2728" s="16" t="n"/>
      <c r="K2728" s="16" t="n"/>
      <c r="M2728" s="89" t="n"/>
      <c r="N2728" s="1" t="n"/>
      <c r="O2728" s="1" t="n"/>
      <c r="P2728" s="1" t="n"/>
      <c r="Q2728" s="1" t="n"/>
      <c r="R2728" s="1" t="n"/>
    </row>
    <row r="2729">
      <c r="A2729" s="61" t="n"/>
      <c r="B2729" s="16" t="n"/>
      <c r="C2729" s="90" t="n"/>
      <c r="D2729" s="90" t="n"/>
      <c r="E2729" s="90" t="n"/>
      <c r="F2729" s="16" t="n"/>
      <c r="G2729" s="16" t="n"/>
      <c r="H2729" s="63" t="n"/>
      <c r="I2729" s="64" t="n"/>
      <c r="J2729" s="16" t="n"/>
      <c r="K2729" s="16" t="n"/>
      <c r="M2729" s="89" t="n"/>
      <c r="N2729" s="1" t="n"/>
      <c r="O2729" s="1" t="n"/>
      <c r="P2729" s="1" t="n"/>
      <c r="Q2729" s="1" t="n"/>
      <c r="R2729" s="1" t="n"/>
    </row>
    <row r="2730">
      <c r="A2730" s="61" t="n"/>
      <c r="B2730" s="16" t="n"/>
      <c r="C2730" s="90" t="n"/>
      <c r="D2730" s="90" t="n"/>
      <c r="E2730" s="90" t="n"/>
      <c r="F2730" s="16" t="n"/>
      <c r="G2730" s="16" t="n"/>
      <c r="H2730" s="63" t="n"/>
      <c r="I2730" s="64" t="n"/>
      <c r="J2730" s="16" t="n"/>
      <c r="K2730" s="16" t="n"/>
      <c r="M2730" s="89" t="n"/>
      <c r="N2730" s="1" t="n"/>
      <c r="O2730" s="1" t="n"/>
      <c r="P2730" s="1" t="n"/>
      <c r="Q2730" s="1" t="n"/>
      <c r="R2730" s="1" t="n"/>
    </row>
    <row r="2731">
      <c r="A2731" s="61" t="n"/>
      <c r="B2731" s="16" t="n"/>
      <c r="C2731" s="90" t="n"/>
      <c r="D2731" s="90" t="n"/>
      <c r="E2731" s="90" t="n"/>
      <c r="F2731" s="16" t="n"/>
      <c r="G2731" s="16" t="n"/>
      <c r="H2731" s="63" t="n"/>
      <c r="I2731" s="64" t="n"/>
      <c r="J2731" s="16" t="n"/>
      <c r="K2731" s="16" t="n"/>
      <c r="M2731" s="89" t="n"/>
      <c r="N2731" s="1" t="n"/>
      <c r="O2731" s="1" t="n"/>
      <c r="P2731" s="1" t="n"/>
      <c r="Q2731" s="1" t="n"/>
      <c r="R2731" s="1" t="n"/>
    </row>
    <row r="2732">
      <c r="A2732" s="61" t="n"/>
      <c r="B2732" s="16" t="n"/>
      <c r="C2732" s="90" t="n"/>
      <c r="D2732" s="90" t="n"/>
      <c r="E2732" s="90" t="n"/>
      <c r="F2732" s="16" t="n"/>
      <c r="G2732" s="16" t="n"/>
      <c r="H2732" s="63" t="n"/>
      <c r="I2732" s="64" t="n"/>
      <c r="J2732" s="16" t="n"/>
      <c r="K2732" s="16" t="n"/>
      <c r="M2732" s="89" t="n"/>
      <c r="N2732" s="1" t="n"/>
      <c r="O2732" s="1" t="n"/>
      <c r="P2732" s="1" t="n"/>
      <c r="Q2732" s="1" t="n"/>
      <c r="R2732" s="1" t="n"/>
    </row>
    <row r="2733">
      <c r="A2733" s="61" t="n"/>
      <c r="B2733" s="16" t="n"/>
      <c r="C2733" s="90" t="n"/>
      <c r="D2733" s="90" t="n"/>
      <c r="E2733" s="90" t="n"/>
      <c r="F2733" s="16" t="n"/>
      <c r="G2733" s="16" t="n"/>
      <c r="H2733" s="63" t="n"/>
      <c r="I2733" s="64" t="n"/>
      <c r="J2733" s="16" t="n"/>
      <c r="K2733" s="16" t="n"/>
      <c r="M2733" s="89" t="n"/>
      <c r="N2733" s="1" t="n"/>
      <c r="O2733" s="1" t="n"/>
      <c r="P2733" s="1" t="n"/>
      <c r="Q2733" s="1" t="n"/>
      <c r="R2733" s="1" t="n"/>
    </row>
    <row r="2734">
      <c r="A2734" s="61" t="n"/>
      <c r="B2734" s="16" t="n"/>
      <c r="C2734" s="90" t="n"/>
      <c r="D2734" s="90" t="n"/>
      <c r="E2734" s="90" t="n"/>
      <c r="F2734" s="16" t="n"/>
      <c r="G2734" s="16" t="n"/>
      <c r="H2734" s="63" t="n"/>
      <c r="I2734" s="64" t="n"/>
      <c r="J2734" s="16" t="n"/>
      <c r="K2734" s="16" t="n"/>
      <c r="M2734" s="89" t="n"/>
      <c r="N2734" s="1" t="n"/>
      <c r="O2734" s="1" t="n"/>
      <c r="P2734" s="1" t="n"/>
      <c r="Q2734" s="1" t="n"/>
      <c r="R2734" s="1" t="n"/>
    </row>
    <row r="2735">
      <c r="A2735" s="61" t="n"/>
      <c r="B2735" s="16" t="n"/>
      <c r="C2735" s="90" t="n"/>
      <c r="D2735" s="90" t="n"/>
      <c r="E2735" s="90" t="n"/>
      <c r="F2735" s="16" t="n"/>
      <c r="G2735" s="16" t="n"/>
      <c r="H2735" s="63" t="n"/>
      <c r="I2735" s="64" t="n"/>
      <c r="J2735" s="16" t="n"/>
      <c r="K2735" s="16" t="n"/>
      <c r="M2735" s="89" t="n"/>
      <c r="N2735" s="1" t="n"/>
      <c r="O2735" s="1" t="n"/>
      <c r="P2735" s="1" t="n"/>
      <c r="Q2735" s="1" t="n"/>
      <c r="R2735" s="1" t="n"/>
    </row>
    <row r="2736">
      <c r="A2736" s="61" t="n"/>
      <c r="B2736" s="16" t="n"/>
      <c r="C2736" s="90" t="n"/>
      <c r="D2736" s="90" t="n"/>
      <c r="E2736" s="90" t="n"/>
      <c r="F2736" s="16" t="n"/>
      <c r="G2736" s="16" t="n"/>
      <c r="H2736" s="63" t="n"/>
      <c r="I2736" s="64" t="n"/>
      <c r="J2736" s="16" t="n"/>
      <c r="K2736" s="16" t="n"/>
      <c r="M2736" s="89" t="n"/>
      <c r="N2736" s="1" t="n"/>
      <c r="O2736" s="1" t="n"/>
      <c r="P2736" s="1" t="n"/>
      <c r="Q2736" s="1" t="n"/>
      <c r="R2736" s="1" t="n"/>
    </row>
    <row r="2737">
      <c r="A2737" s="61" t="n"/>
      <c r="B2737" s="16" t="n"/>
      <c r="C2737" s="90" t="n"/>
      <c r="D2737" s="90" t="n"/>
      <c r="E2737" s="90" t="n"/>
      <c r="F2737" s="16" t="n"/>
      <c r="G2737" s="16" t="n"/>
      <c r="H2737" s="63" t="n"/>
      <c r="I2737" s="64" t="n"/>
      <c r="J2737" s="16" t="n"/>
      <c r="K2737" s="16" t="n"/>
      <c r="M2737" s="89" t="n"/>
      <c r="N2737" s="1" t="n"/>
      <c r="O2737" s="1" t="n"/>
      <c r="P2737" s="1" t="n"/>
      <c r="Q2737" s="1" t="n"/>
      <c r="R2737" s="1" t="n"/>
    </row>
    <row r="2738">
      <c r="A2738" s="61" t="n"/>
      <c r="B2738" s="16" t="n"/>
      <c r="C2738" s="90" t="n"/>
      <c r="D2738" s="90" t="n"/>
      <c r="E2738" s="90" t="n"/>
      <c r="F2738" s="16" t="n"/>
      <c r="G2738" s="16" t="n"/>
      <c r="H2738" s="63" t="n"/>
      <c r="I2738" s="64" t="n"/>
      <c r="J2738" s="16" t="n"/>
      <c r="K2738" s="16" t="n"/>
      <c r="M2738" s="89" t="n"/>
      <c r="N2738" s="1" t="n"/>
      <c r="O2738" s="1" t="n"/>
      <c r="P2738" s="1" t="n"/>
      <c r="Q2738" s="1" t="n"/>
      <c r="R2738" s="1" t="n"/>
    </row>
    <row r="2739">
      <c r="A2739" s="61" t="n"/>
      <c r="B2739" s="16" t="n"/>
      <c r="C2739" s="90" t="n"/>
      <c r="D2739" s="90" t="n"/>
      <c r="E2739" s="90" t="n"/>
      <c r="F2739" s="16" t="n"/>
      <c r="G2739" s="16" t="n"/>
      <c r="H2739" s="63" t="n"/>
      <c r="I2739" s="64" t="n"/>
      <c r="J2739" s="16" t="n"/>
      <c r="K2739" s="16" t="n"/>
      <c r="M2739" s="89" t="n"/>
      <c r="N2739" s="1" t="n"/>
      <c r="O2739" s="1" t="n"/>
      <c r="P2739" s="1" t="n"/>
      <c r="Q2739" s="1" t="n"/>
      <c r="R2739" s="1" t="n"/>
    </row>
    <row r="2740">
      <c r="A2740" s="61" t="n"/>
      <c r="B2740" s="16" t="n"/>
      <c r="C2740" s="90" t="n"/>
      <c r="D2740" s="90" t="n"/>
      <c r="E2740" s="90" t="n"/>
      <c r="F2740" s="16" t="n"/>
      <c r="G2740" s="16" t="n"/>
      <c r="H2740" s="63" t="n"/>
      <c r="I2740" s="64" t="n"/>
      <c r="J2740" s="16" t="n"/>
      <c r="K2740" s="16" t="n"/>
      <c r="M2740" s="89" t="n"/>
      <c r="N2740" s="1" t="n"/>
      <c r="O2740" s="1" t="n"/>
      <c r="P2740" s="1" t="n"/>
      <c r="Q2740" s="1" t="n"/>
      <c r="R2740" s="1" t="n"/>
    </row>
    <row r="2741">
      <c r="A2741" s="61" t="n"/>
      <c r="B2741" s="16" t="n"/>
      <c r="C2741" s="90" t="n"/>
      <c r="D2741" s="90" t="n"/>
      <c r="E2741" s="90" t="n"/>
      <c r="F2741" s="16" t="n"/>
      <c r="G2741" s="16" t="n"/>
      <c r="H2741" s="63" t="n"/>
      <c r="I2741" s="64" t="n"/>
      <c r="J2741" s="16" t="n"/>
      <c r="K2741" s="16" t="n"/>
      <c r="M2741" s="89" t="n"/>
      <c r="N2741" s="1" t="n"/>
      <c r="O2741" s="1" t="n"/>
      <c r="P2741" s="1" t="n"/>
      <c r="Q2741" s="1" t="n"/>
      <c r="R2741" s="1" t="n"/>
    </row>
    <row r="2742">
      <c r="A2742" s="61" t="n"/>
      <c r="B2742" s="16" t="n"/>
      <c r="C2742" s="90" t="n"/>
      <c r="D2742" s="90" t="n"/>
      <c r="E2742" s="90" t="n"/>
      <c r="F2742" s="16" t="n"/>
      <c r="G2742" s="16" t="n"/>
      <c r="H2742" s="63" t="n"/>
      <c r="I2742" s="64" t="n"/>
      <c r="J2742" s="16" t="n"/>
      <c r="K2742" s="16" t="n"/>
      <c r="M2742" s="89" t="n"/>
      <c r="N2742" s="1" t="n"/>
      <c r="O2742" s="1" t="n"/>
      <c r="P2742" s="1" t="n"/>
      <c r="Q2742" s="1" t="n"/>
      <c r="R2742" s="1" t="n"/>
    </row>
    <row r="2743">
      <c r="A2743" s="61" t="n"/>
      <c r="B2743" s="16" t="n"/>
      <c r="C2743" s="90" t="n"/>
      <c r="D2743" s="90" t="n"/>
      <c r="E2743" s="90" t="n"/>
      <c r="F2743" s="16" t="n"/>
      <c r="G2743" s="16" t="n"/>
      <c r="H2743" s="63" t="n"/>
      <c r="I2743" s="64" t="n"/>
      <c r="J2743" s="16" t="n"/>
      <c r="K2743" s="16" t="n"/>
      <c r="M2743" s="89" t="n"/>
      <c r="N2743" s="1" t="n"/>
      <c r="O2743" s="1" t="n"/>
      <c r="P2743" s="1" t="n"/>
      <c r="Q2743" s="1" t="n"/>
      <c r="R2743" s="1" t="n"/>
    </row>
    <row r="2744">
      <c r="A2744" s="61" t="n"/>
      <c r="B2744" s="16" t="n"/>
      <c r="C2744" s="90" t="n"/>
      <c r="D2744" s="90" t="n"/>
      <c r="E2744" s="90" t="n"/>
      <c r="F2744" s="16" t="n"/>
      <c r="G2744" s="16" t="n"/>
      <c r="H2744" s="63" t="n"/>
      <c r="I2744" s="64" t="n"/>
      <c r="J2744" s="16" t="n"/>
      <c r="K2744" s="16" t="n"/>
      <c r="M2744" s="89" t="n"/>
      <c r="N2744" s="1" t="n"/>
      <c r="O2744" s="1" t="n"/>
      <c r="P2744" s="1" t="n"/>
      <c r="Q2744" s="1" t="n"/>
      <c r="R2744" s="1" t="n"/>
    </row>
    <row r="2745">
      <c r="A2745" s="61" t="n"/>
      <c r="B2745" s="16" t="n"/>
      <c r="C2745" s="90" t="n"/>
      <c r="D2745" s="90" t="n"/>
      <c r="E2745" s="90" t="n"/>
      <c r="F2745" s="16" t="n"/>
      <c r="G2745" s="16" t="n"/>
      <c r="H2745" s="63" t="n"/>
      <c r="I2745" s="64" t="n"/>
      <c r="J2745" s="16" t="n"/>
      <c r="K2745" s="16" t="n"/>
      <c r="M2745" s="89" t="n"/>
      <c r="N2745" s="1" t="n"/>
      <c r="O2745" s="1" t="n"/>
      <c r="P2745" s="1" t="n"/>
      <c r="Q2745" s="1" t="n"/>
      <c r="R2745" s="1" t="n"/>
    </row>
    <row r="2746">
      <c r="A2746" s="61" t="n"/>
      <c r="B2746" s="16" t="n"/>
      <c r="C2746" s="90" t="n"/>
      <c r="D2746" s="90" t="n"/>
      <c r="E2746" s="90" t="n"/>
      <c r="F2746" s="16" t="n"/>
      <c r="G2746" s="16" t="n"/>
      <c r="H2746" s="63" t="n"/>
      <c r="I2746" s="64" t="n"/>
      <c r="J2746" s="16" t="n"/>
      <c r="K2746" s="16" t="n"/>
      <c r="M2746" s="89" t="n"/>
      <c r="N2746" s="1" t="n"/>
      <c r="O2746" s="1" t="n"/>
      <c r="P2746" s="1" t="n"/>
      <c r="Q2746" s="1" t="n"/>
      <c r="R2746" s="1" t="n"/>
    </row>
    <row r="2747">
      <c r="A2747" s="61" t="n"/>
      <c r="B2747" s="16" t="n"/>
      <c r="C2747" s="90" t="n"/>
      <c r="D2747" s="90" t="n"/>
      <c r="E2747" s="90" t="n"/>
      <c r="F2747" s="16" t="n"/>
      <c r="G2747" s="16" t="n"/>
      <c r="H2747" s="63" t="n"/>
      <c r="I2747" s="64" t="n"/>
      <c r="J2747" s="16" t="n"/>
      <c r="K2747" s="16" t="n"/>
      <c r="M2747" s="89" t="n"/>
      <c r="N2747" s="1" t="n"/>
      <c r="O2747" s="1" t="n"/>
      <c r="P2747" s="1" t="n"/>
      <c r="Q2747" s="1" t="n"/>
      <c r="R2747" s="1" t="n"/>
    </row>
    <row r="2748">
      <c r="A2748" s="61" t="n"/>
      <c r="B2748" s="16" t="n"/>
      <c r="C2748" s="90" t="n"/>
      <c r="D2748" s="90" t="n"/>
      <c r="E2748" s="90" t="n"/>
      <c r="F2748" s="16" t="n"/>
      <c r="G2748" s="16" t="n"/>
      <c r="H2748" s="63" t="n"/>
      <c r="I2748" s="64" t="n"/>
      <c r="J2748" s="16" t="n"/>
      <c r="K2748" s="16" t="n"/>
      <c r="M2748" s="89" t="n"/>
      <c r="N2748" s="1" t="n"/>
      <c r="O2748" s="1" t="n"/>
      <c r="P2748" s="1" t="n"/>
      <c r="Q2748" s="1" t="n"/>
      <c r="R2748" s="1" t="n"/>
    </row>
    <row r="2749">
      <c r="A2749" s="61" t="n"/>
      <c r="B2749" s="16" t="n"/>
      <c r="C2749" s="90" t="n"/>
      <c r="D2749" s="90" t="n"/>
      <c r="E2749" s="90" t="n"/>
      <c r="F2749" s="16" t="n"/>
      <c r="G2749" s="16" t="n"/>
      <c r="H2749" s="63" t="n"/>
      <c r="I2749" s="64" t="n"/>
      <c r="J2749" s="16" t="n"/>
      <c r="K2749" s="16" t="n"/>
      <c r="M2749" s="89" t="n"/>
      <c r="N2749" s="1" t="n"/>
      <c r="O2749" s="1" t="n"/>
      <c r="P2749" s="1" t="n"/>
      <c r="Q2749" s="1" t="n"/>
      <c r="R2749" s="1" t="n"/>
    </row>
    <row r="2750">
      <c r="A2750" s="61" t="n"/>
      <c r="B2750" s="16" t="n"/>
      <c r="C2750" s="90" t="n"/>
      <c r="D2750" s="90" t="n"/>
      <c r="E2750" s="90" t="n"/>
      <c r="F2750" s="16" t="n"/>
      <c r="G2750" s="16" t="n"/>
      <c r="H2750" s="63" t="n"/>
      <c r="I2750" s="64" t="n"/>
      <c r="J2750" s="16" t="n"/>
      <c r="K2750" s="16" t="n"/>
      <c r="M2750" s="89" t="n"/>
      <c r="N2750" s="1" t="n"/>
      <c r="O2750" s="1" t="n"/>
      <c r="P2750" s="1" t="n"/>
      <c r="Q2750" s="1" t="n"/>
      <c r="R2750" s="1" t="n"/>
    </row>
    <row r="2751">
      <c r="A2751" s="61" t="n"/>
      <c r="B2751" s="16" t="n"/>
      <c r="C2751" s="90" t="n"/>
      <c r="D2751" s="90" t="n"/>
      <c r="E2751" s="90" t="n"/>
      <c r="F2751" s="16" t="n"/>
      <c r="G2751" s="16" t="n"/>
      <c r="H2751" s="63" t="n"/>
      <c r="I2751" s="64" t="n"/>
      <c r="J2751" s="16" t="n"/>
      <c r="K2751" s="16" t="n"/>
      <c r="M2751" s="89" t="n"/>
      <c r="N2751" s="1" t="n"/>
      <c r="O2751" s="1" t="n"/>
      <c r="P2751" s="1" t="n"/>
      <c r="Q2751" s="1" t="n"/>
      <c r="R2751" s="1" t="n"/>
    </row>
    <row r="2752">
      <c r="A2752" s="61" t="n"/>
      <c r="B2752" s="16" t="n"/>
      <c r="C2752" s="90" t="n"/>
      <c r="D2752" s="90" t="n"/>
      <c r="E2752" s="90" t="n"/>
      <c r="F2752" s="16" t="n"/>
      <c r="G2752" s="16" t="n"/>
      <c r="H2752" s="63" t="n"/>
      <c r="I2752" s="64" t="n"/>
      <c r="J2752" s="16" t="n"/>
      <c r="K2752" s="16" t="n"/>
      <c r="M2752" s="89" t="n"/>
      <c r="N2752" s="1" t="n"/>
      <c r="O2752" s="1" t="n"/>
      <c r="P2752" s="1" t="n"/>
      <c r="Q2752" s="1" t="n"/>
      <c r="R2752" s="1" t="n"/>
    </row>
    <row r="2753">
      <c r="A2753" s="61" t="n"/>
      <c r="B2753" s="16" t="n"/>
      <c r="C2753" s="90" t="n"/>
      <c r="D2753" s="90" t="n"/>
      <c r="E2753" s="90" t="n"/>
      <c r="F2753" s="16" t="n"/>
      <c r="G2753" s="16" t="n"/>
      <c r="H2753" s="63" t="n"/>
      <c r="I2753" s="64" t="n"/>
      <c r="J2753" s="16" t="n"/>
      <c r="K2753" s="16" t="n"/>
      <c r="M2753" s="89" t="n"/>
      <c r="N2753" s="1" t="n"/>
      <c r="O2753" s="1" t="n"/>
      <c r="P2753" s="1" t="n"/>
      <c r="Q2753" s="1" t="n"/>
      <c r="R2753" s="1" t="n"/>
    </row>
    <row r="2754">
      <c r="A2754" s="61" t="n"/>
      <c r="B2754" s="16" t="n"/>
      <c r="C2754" s="90" t="n"/>
      <c r="D2754" s="90" t="n"/>
      <c r="E2754" s="90" t="n"/>
      <c r="F2754" s="16" t="n"/>
      <c r="G2754" s="16" t="n"/>
      <c r="H2754" s="63" t="n"/>
      <c r="I2754" s="64" t="n"/>
      <c r="J2754" s="16" t="n"/>
      <c r="K2754" s="16" t="n"/>
      <c r="M2754" s="89" t="n"/>
      <c r="N2754" s="1" t="n"/>
      <c r="O2754" s="1" t="n"/>
      <c r="P2754" s="1" t="n"/>
      <c r="Q2754" s="1" t="n"/>
      <c r="R2754" s="1" t="n"/>
    </row>
    <row r="2755">
      <c r="A2755" s="61" t="n"/>
      <c r="B2755" s="16" t="n"/>
      <c r="C2755" s="90" t="n"/>
      <c r="D2755" s="90" t="n"/>
      <c r="E2755" s="90" t="n"/>
      <c r="F2755" s="16" t="n"/>
      <c r="G2755" s="16" t="n"/>
      <c r="H2755" s="63" t="n"/>
      <c r="I2755" s="64" t="n"/>
      <c r="J2755" s="16" t="n"/>
      <c r="K2755" s="16" t="n"/>
      <c r="M2755" s="89" t="n"/>
      <c r="N2755" s="1" t="n"/>
      <c r="O2755" s="1" t="n"/>
      <c r="P2755" s="1" t="n"/>
      <c r="Q2755" s="1" t="n"/>
      <c r="R2755" s="1" t="n"/>
    </row>
    <row r="2756">
      <c r="A2756" s="61" t="n"/>
      <c r="B2756" s="16" t="n"/>
      <c r="C2756" s="90" t="n"/>
      <c r="D2756" s="90" t="n"/>
      <c r="E2756" s="90" t="n"/>
      <c r="F2756" s="16" t="n"/>
      <c r="G2756" s="16" t="n"/>
      <c r="H2756" s="63" t="n"/>
      <c r="I2756" s="64" t="n"/>
      <c r="J2756" s="16" t="n"/>
      <c r="K2756" s="16" t="n"/>
      <c r="M2756" s="89" t="n"/>
      <c r="N2756" s="1" t="n"/>
      <c r="O2756" s="1" t="n"/>
      <c r="P2756" s="1" t="n"/>
      <c r="Q2756" s="1" t="n"/>
      <c r="R2756" s="1" t="n"/>
    </row>
    <row r="2757">
      <c r="A2757" s="61" t="n"/>
      <c r="B2757" s="16" t="n"/>
      <c r="C2757" s="90" t="n"/>
      <c r="D2757" s="90" t="n"/>
      <c r="E2757" s="90" t="n"/>
      <c r="F2757" s="16" t="n"/>
      <c r="G2757" s="16" t="n"/>
      <c r="H2757" s="63" t="n"/>
      <c r="I2757" s="64" t="n"/>
      <c r="J2757" s="16" t="n"/>
      <c r="K2757" s="16" t="n"/>
      <c r="M2757" s="89" t="n"/>
      <c r="N2757" s="1" t="n"/>
      <c r="O2757" s="1" t="n"/>
      <c r="P2757" s="1" t="n"/>
      <c r="Q2757" s="1" t="n"/>
      <c r="R2757" s="1" t="n"/>
    </row>
    <row r="2758">
      <c r="A2758" s="61" t="n"/>
      <c r="B2758" s="16" t="n"/>
      <c r="C2758" s="90" t="n"/>
      <c r="D2758" s="90" t="n"/>
      <c r="E2758" s="90" t="n"/>
      <c r="F2758" s="16" t="n"/>
      <c r="G2758" s="16" t="n"/>
      <c r="H2758" s="63" t="n"/>
      <c r="I2758" s="64" t="n"/>
      <c r="J2758" s="16" t="n"/>
      <c r="K2758" s="16" t="n"/>
      <c r="M2758" s="89" t="n"/>
      <c r="N2758" s="1" t="n"/>
      <c r="O2758" s="1" t="n"/>
      <c r="P2758" s="1" t="n"/>
      <c r="Q2758" s="1" t="n"/>
      <c r="R2758" s="1" t="n"/>
    </row>
    <row r="2759">
      <c r="A2759" s="61" t="n"/>
      <c r="B2759" s="16" t="n"/>
      <c r="C2759" s="90" t="n"/>
      <c r="D2759" s="90" t="n"/>
      <c r="E2759" s="90" t="n"/>
      <c r="F2759" s="16" t="n"/>
      <c r="G2759" s="16" t="n"/>
      <c r="H2759" s="63" t="n"/>
      <c r="I2759" s="64" t="n"/>
      <c r="J2759" s="16" t="n"/>
      <c r="K2759" s="16" t="n"/>
      <c r="M2759" s="89" t="n"/>
      <c r="N2759" s="1" t="n"/>
      <c r="O2759" s="1" t="n"/>
      <c r="P2759" s="1" t="n"/>
      <c r="Q2759" s="1" t="n"/>
      <c r="R2759" s="1" t="n"/>
    </row>
    <row r="2760">
      <c r="A2760" s="61" t="n"/>
      <c r="B2760" s="16" t="n"/>
      <c r="C2760" s="90" t="n"/>
      <c r="D2760" s="90" t="n"/>
      <c r="E2760" s="90" t="n"/>
      <c r="F2760" s="16" t="n"/>
      <c r="G2760" s="16" t="n"/>
      <c r="H2760" s="63" t="n"/>
      <c r="I2760" s="64" t="n"/>
      <c r="J2760" s="16" t="n"/>
      <c r="K2760" s="16" t="n"/>
      <c r="M2760" s="89" t="n"/>
      <c r="N2760" s="1" t="n"/>
      <c r="O2760" s="1" t="n"/>
      <c r="P2760" s="1" t="n"/>
      <c r="Q2760" s="1" t="n"/>
      <c r="R2760" s="1" t="n"/>
    </row>
    <row r="2761">
      <c r="A2761" s="61" t="n"/>
      <c r="B2761" s="16" t="n"/>
      <c r="C2761" s="90" t="n"/>
      <c r="D2761" s="90" t="n"/>
      <c r="E2761" s="90" t="n"/>
      <c r="F2761" s="16" t="n"/>
      <c r="G2761" s="16" t="n"/>
      <c r="H2761" s="63" t="n"/>
      <c r="I2761" s="64" t="n"/>
      <c r="J2761" s="16" t="n"/>
      <c r="K2761" s="16" t="n"/>
      <c r="M2761" s="89" t="n"/>
      <c r="N2761" s="1" t="n"/>
      <c r="O2761" s="1" t="n"/>
      <c r="P2761" s="1" t="n"/>
      <c r="Q2761" s="1" t="n"/>
      <c r="R2761" s="1" t="n"/>
    </row>
    <row r="2762">
      <c r="A2762" s="61" t="n"/>
      <c r="B2762" s="16" t="n"/>
      <c r="C2762" s="90" t="n"/>
      <c r="D2762" s="90" t="n"/>
      <c r="E2762" s="90" t="n"/>
      <c r="F2762" s="16" t="n"/>
      <c r="G2762" s="16" t="n"/>
      <c r="H2762" s="63" t="n"/>
      <c r="I2762" s="64" t="n"/>
      <c r="J2762" s="16" t="n"/>
      <c r="K2762" s="16" t="n"/>
      <c r="M2762" s="89" t="n"/>
      <c r="N2762" s="1" t="n"/>
      <c r="O2762" s="1" t="n"/>
      <c r="P2762" s="1" t="n"/>
      <c r="Q2762" s="1" t="n"/>
      <c r="R2762" s="1" t="n"/>
    </row>
    <row r="2763">
      <c r="A2763" s="61" t="n"/>
      <c r="B2763" s="16" t="n"/>
      <c r="C2763" s="90" t="n"/>
      <c r="D2763" s="90" t="n"/>
      <c r="E2763" s="90" t="n"/>
      <c r="F2763" s="16" t="n"/>
      <c r="G2763" s="16" t="n"/>
      <c r="H2763" s="63" t="n"/>
      <c r="I2763" s="64" t="n"/>
      <c r="J2763" s="16" t="n"/>
      <c r="K2763" s="16" t="n"/>
      <c r="M2763" s="89" t="n"/>
      <c r="N2763" s="1" t="n"/>
      <c r="O2763" s="1" t="n"/>
      <c r="P2763" s="1" t="n"/>
      <c r="Q2763" s="1" t="n"/>
      <c r="R2763" s="1" t="n"/>
    </row>
    <row r="2764">
      <c r="A2764" s="61" t="n"/>
      <c r="B2764" s="16" t="n"/>
      <c r="C2764" s="90" t="n"/>
      <c r="D2764" s="90" t="n"/>
      <c r="E2764" s="90" t="n"/>
      <c r="F2764" s="16" t="n"/>
      <c r="G2764" s="16" t="n"/>
      <c r="H2764" s="63" t="n"/>
      <c r="I2764" s="64" t="n"/>
      <c r="J2764" s="16" t="n"/>
      <c r="K2764" s="16" t="n"/>
      <c r="M2764" s="89" t="n"/>
      <c r="N2764" s="1" t="n"/>
      <c r="O2764" s="1" t="n"/>
      <c r="P2764" s="1" t="n"/>
      <c r="Q2764" s="1" t="n"/>
      <c r="R2764" s="1" t="n"/>
    </row>
    <row r="2765">
      <c r="A2765" s="61" t="n"/>
      <c r="B2765" s="16" t="n"/>
      <c r="C2765" s="90" t="n"/>
      <c r="D2765" s="90" t="n"/>
      <c r="E2765" s="90" t="n"/>
      <c r="F2765" s="16" t="n"/>
      <c r="G2765" s="16" t="n"/>
      <c r="H2765" s="63" t="n"/>
      <c r="I2765" s="64" t="n"/>
      <c r="J2765" s="16" t="n"/>
      <c r="K2765" s="16" t="n"/>
      <c r="M2765" s="89" t="n"/>
      <c r="N2765" s="1" t="n"/>
      <c r="O2765" s="1" t="n"/>
      <c r="P2765" s="1" t="n"/>
      <c r="Q2765" s="1" t="n"/>
      <c r="R2765" s="1" t="n"/>
    </row>
    <row r="2766">
      <c r="A2766" s="61" t="n"/>
      <c r="B2766" s="16" t="n"/>
      <c r="C2766" s="90" t="n"/>
      <c r="D2766" s="90" t="n"/>
      <c r="E2766" s="90" t="n"/>
      <c r="F2766" s="16" t="n"/>
      <c r="G2766" s="16" t="n"/>
      <c r="H2766" s="63" t="n"/>
      <c r="I2766" s="64" t="n"/>
      <c r="J2766" s="16" t="n"/>
      <c r="K2766" s="16" t="n"/>
      <c r="M2766" s="89" t="n"/>
      <c r="N2766" s="1" t="n"/>
      <c r="O2766" s="1" t="n"/>
      <c r="P2766" s="1" t="n"/>
      <c r="Q2766" s="1" t="n"/>
      <c r="R2766" s="1" t="n"/>
    </row>
    <row r="2767">
      <c r="A2767" s="61" t="n"/>
      <c r="B2767" s="16" t="n"/>
      <c r="C2767" s="90" t="n"/>
      <c r="D2767" s="90" t="n"/>
      <c r="E2767" s="90" t="n"/>
      <c r="F2767" s="16" t="n"/>
      <c r="G2767" s="16" t="n"/>
      <c r="H2767" s="63" t="n"/>
      <c r="I2767" s="64" t="n"/>
      <c r="J2767" s="16" t="n"/>
      <c r="K2767" s="16" t="n"/>
      <c r="M2767" s="89" t="n"/>
      <c r="N2767" s="1" t="n"/>
      <c r="O2767" s="1" t="n"/>
      <c r="P2767" s="1" t="n"/>
      <c r="Q2767" s="1" t="n"/>
      <c r="R2767" s="1" t="n"/>
    </row>
    <row r="2768">
      <c r="A2768" s="61" t="n"/>
      <c r="B2768" s="16" t="n"/>
      <c r="C2768" s="90" t="n"/>
      <c r="D2768" s="90" t="n"/>
      <c r="E2768" s="90" t="n"/>
      <c r="F2768" s="16" t="n"/>
      <c r="G2768" s="16" t="n"/>
      <c r="H2768" s="63" t="n"/>
      <c r="I2768" s="64" t="n"/>
      <c r="J2768" s="16" t="n"/>
      <c r="K2768" s="16" t="n"/>
      <c r="M2768" s="89" t="n"/>
      <c r="N2768" s="1" t="n"/>
      <c r="O2768" s="1" t="n"/>
      <c r="P2768" s="1" t="n"/>
      <c r="Q2768" s="1" t="n"/>
      <c r="R2768" s="1" t="n"/>
    </row>
    <row r="2769">
      <c r="A2769" s="61" t="n"/>
      <c r="B2769" s="16" t="n"/>
      <c r="C2769" s="90" t="n"/>
      <c r="D2769" s="90" t="n"/>
      <c r="E2769" s="90" t="n"/>
      <c r="F2769" s="16" t="n"/>
      <c r="G2769" s="16" t="n"/>
      <c r="H2769" s="63" t="n"/>
      <c r="I2769" s="64" t="n"/>
      <c r="J2769" s="16" t="n"/>
      <c r="K2769" s="16" t="n"/>
      <c r="M2769" s="89" t="n"/>
      <c r="N2769" s="1" t="n"/>
      <c r="O2769" s="1" t="n"/>
      <c r="P2769" s="1" t="n"/>
      <c r="Q2769" s="1" t="n"/>
      <c r="R2769" s="1" t="n"/>
    </row>
    <row r="2770">
      <c r="A2770" s="61" t="n"/>
      <c r="B2770" s="16" t="n"/>
      <c r="C2770" s="90" t="n"/>
      <c r="D2770" s="90" t="n"/>
      <c r="E2770" s="90" t="n"/>
      <c r="F2770" s="16" t="n"/>
      <c r="G2770" s="16" t="n"/>
      <c r="H2770" s="63" t="n"/>
      <c r="I2770" s="64" t="n"/>
      <c r="J2770" s="16" t="n"/>
      <c r="K2770" s="16" t="n"/>
      <c r="M2770" s="89" t="n"/>
      <c r="N2770" s="1" t="n"/>
      <c r="O2770" s="1" t="n"/>
      <c r="P2770" s="1" t="n"/>
      <c r="Q2770" s="1" t="n"/>
      <c r="R2770" s="1" t="n"/>
    </row>
    <row r="2771">
      <c r="A2771" s="61" t="n"/>
      <c r="B2771" s="16" t="n"/>
      <c r="C2771" s="90" t="n"/>
      <c r="D2771" s="90" t="n"/>
      <c r="E2771" s="90" t="n"/>
      <c r="F2771" s="16" t="n"/>
      <c r="G2771" s="16" t="n"/>
      <c r="H2771" s="63" t="n"/>
      <c r="I2771" s="64" t="n"/>
      <c r="J2771" s="16" t="n"/>
      <c r="K2771" s="16" t="n"/>
      <c r="M2771" s="89" t="n"/>
      <c r="N2771" s="1" t="n"/>
      <c r="O2771" s="1" t="n"/>
      <c r="P2771" s="1" t="n"/>
      <c r="Q2771" s="1" t="n"/>
      <c r="R2771" s="1" t="n"/>
    </row>
    <row r="2772">
      <c r="A2772" s="61" t="n"/>
      <c r="B2772" s="16" t="n"/>
      <c r="C2772" s="90" t="n"/>
      <c r="D2772" s="90" t="n"/>
      <c r="E2772" s="90" t="n"/>
      <c r="F2772" s="16" t="n"/>
      <c r="G2772" s="16" t="n"/>
      <c r="H2772" s="63" t="n"/>
      <c r="I2772" s="64" t="n"/>
      <c r="J2772" s="16" t="n"/>
      <c r="K2772" s="16" t="n"/>
      <c r="M2772" s="89" t="n"/>
      <c r="N2772" s="1" t="n"/>
      <c r="O2772" s="1" t="n"/>
      <c r="P2772" s="1" t="n"/>
      <c r="Q2772" s="1" t="n"/>
      <c r="R2772" s="1" t="n"/>
    </row>
    <row r="2773">
      <c r="A2773" s="61" t="n"/>
      <c r="B2773" s="16" t="n"/>
      <c r="C2773" s="90" t="n"/>
      <c r="D2773" s="90" t="n"/>
      <c r="E2773" s="90" t="n"/>
      <c r="F2773" s="16" t="n"/>
      <c r="G2773" s="16" t="n"/>
      <c r="H2773" s="63" t="n"/>
      <c r="I2773" s="64" t="n"/>
      <c r="J2773" s="16" t="n"/>
      <c r="K2773" s="16" t="n"/>
      <c r="M2773" s="89" t="n"/>
      <c r="N2773" s="1" t="n"/>
      <c r="O2773" s="1" t="n"/>
      <c r="P2773" s="1" t="n"/>
      <c r="Q2773" s="1" t="n"/>
      <c r="R2773" s="1" t="n"/>
    </row>
    <row r="2774">
      <c r="A2774" s="61" t="n"/>
      <c r="B2774" s="16" t="n"/>
      <c r="C2774" s="90" t="n"/>
      <c r="D2774" s="90" t="n"/>
      <c r="E2774" s="90" t="n"/>
      <c r="F2774" s="16" t="n"/>
      <c r="G2774" s="16" t="n"/>
      <c r="H2774" s="63" t="n"/>
      <c r="I2774" s="64" t="n"/>
      <c r="J2774" s="16" t="n"/>
      <c r="K2774" s="16" t="n"/>
      <c r="M2774" s="89" t="n"/>
      <c r="N2774" s="1" t="n"/>
      <c r="O2774" s="1" t="n"/>
      <c r="P2774" s="1" t="n"/>
      <c r="Q2774" s="1" t="n"/>
      <c r="R2774" s="1" t="n"/>
    </row>
    <row r="2775">
      <c r="A2775" s="61" t="n"/>
      <c r="B2775" s="16" t="n"/>
      <c r="C2775" s="90" t="n"/>
      <c r="D2775" s="90" t="n"/>
      <c r="E2775" s="90" t="n"/>
      <c r="F2775" s="16" t="n"/>
      <c r="G2775" s="16" t="n"/>
      <c r="H2775" s="63" t="n"/>
      <c r="I2775" s="64" t="n"/>
      <c r="J2775" s="16" t="n"/>
      <c r="K2775" s="16" t="n"/>
      <c r="M2775" s="89" t="n"/>
      <c r="N2775" s="1" t="n"/>
      <c r="O2775" s="1" t="n"/>
      <c r="P2775" s="1" t="n"/>
      <c r="Q2775" s="1" t="n"/>
      <c r="R2775" s="1" t="n"/>
    </row>
    <row r="2776">
      <c r="A2776" s="61" t="n"/>
      <c r="B2776" s="16" t="n"/>
      <c r="C2776" s="90" t="n"/>
      <c r="D2776" s="90" t="n"/>
      <c r="E2776" s="90" t="n"/>
      <c r="F2776" s="16" t="n"/>
      <c r="G2776" s="16" t="n"/>
      <c r="H2776" s="63" t="n"/>
      <c r="I2776" s="64" t="n"/>
      <c r="J2776" s="16" t="n"/>
      <c r="K2776" s="16" t="n"/>
      <c r="M2776" s="89" t="n"/>
      <c r="N2776" s="1" t="n"/>
      <c r="O2776" s="1" t="n"/>
      <c r="P2776" s="1" t="n"/>
      <c r="Q2776" s="1" t="n"/>
      <c r="R2776" s="1" t="n"/>
    </row>
    <row r="2777">
      <c r="A2777" s="61" t="n"/>
      <c r="B2777" s="16" t="n"/>
      <c r="C2777" s="90" t="n"/>
      <c r="D2777" s="90" t="n"/>
      <c r="E2777" s="90" t="n"/>
      <c r="F2777" s="16" t="n"/>
      <c r="G2777" s="16" t="n"/>
      <c r="H2777" s="63" t="n"/>
      <c r="I2777" s="64" t="n"/>
      <c r="J2777" s="16" t="n"/>
      <c r="K2777" s="16" t="n"/>
      <c r="M2777" s="89" t="n"/>
      <c r="N2777" s="1" t="n"/>
      <c r="O2777" s="1" t="n"/>
      <c r="P2777" s="1" t="n"/>
      <c r="Q2777" s="1" t="n"/>
      <c r="R2777" s="1" t="n"/>
    </row>
    <row r="2778">
      <c r="A2778" s="61" t="n"/>
      <c r="B2778" s="16" t="n"/>
      <c r="C2778" s="90" t="n"/>
      <c r="D2778" s="90" t="n"/>
      <c r="E2778" s="90" t="n"/>
      <c r="F2778" s="16" t="n"/>
      <c r="G2778" s="16" t="n"/>
      <c r="H2778" s="63" t="n"/>
      <c r="I2778" s="64" t="n"/>
      <c r="J2778" s="16" t="n"/>
      <c r="K2778" s="16" t="n"/>
      <c r="M2778" s="89" t="n"/>
      <c r="N2778" s="1" t="n"/>
      <c r="O2778" s="1" t="n"/>
      <c r="P2778" s="1" t="n"/>
      <c r="Q2778" s="1" t="n"/>
      <c r="R2778" s="1" t="n"/>
    </row>
    <row r="2779">
      <c r="A2779" s="61" t="n"/>
      <c r="B2779" s="16" t="n"/>
      <c r="C2779" s="90" t="n"/>
      <c r="D2779" s="90" t="n"/>
      <c r="E2779" s="90" t="n"/>
      <c r="F2779" s="16" t="n"/>
      <c r="G2779" s="16" t="n"/>
      <c r="H2779" s="63" t="n"/>
      <c r="I2779" s="64" t="n"/>
      <c r="J2779" s="16" t="n"/>
      <c r="K2779" s="16" t="n"/>
      <c r="M2779" s="89" t="n"/>
      <c r="N2779" s="1" t="n"/>
      <c r="O2779" s="1" t="n"/>
      <c r="P2779" s="1" t="n"/>
      <c r="Q2779" s="1" t="n"/>
      <c r="R2779" s="1" t="n"/>
    </row>
    <row r="2780">
      <c r="A2780" s="61" t="n"/>
      <c r="B2780" s="16" t="n"/>
      <c r="C2780" s="90" t="n"/>
      <c r="D2780" s="90" t="n"/>
      <c r="E2780" s="90" t="n"/>
      <c r="F2780" s="16" t="n"/>
      <c r="G2780" s="16" t="n"/>
      <c r="H2780" s="63" t="n"/>
      <c r="I2780" s="64" t="n"/>
      <c r="J2780" s="16" t="n"/>
      <c r="K2780" s="16" t="n"/>
      <c r="M2780" s="89" t="n"/>
      <c r="N2780" s="1" t="n"/>
      <c r="O2780" s="1" t="n"/>
      <c r="P2780" s="1" t="n"/>
      <c r="Q2780" s="1" t="n"/>
      <c r="R2780" s="1" t="n"/>
    </row>
    <row r="2781">
      <c r="A2781" s="61" t="n"/>
      <c r="B2781" s="16" t="n"/>
      <c r="C2781" s="90" t="n"/>
      <c r="D2781" s="90" t="n"/>
      <c r="E2781" s="90" t="n"/>
      <c r="F2781" s="16" t="n"/>
      <c r="G2781" s="16" t="n"/>
      <c r="H2781" s="63" t="n"/>
      <c r="I2781" s="64" t="n"/>
      <c r="J2781" s="16" t="n"/>
      <c r="K2781" s="16" t="n"/>
      <c r="M2781" s="89" t="n"/>
      <c r="N2781" s="1" t="n"/>
      <c r="O2781" s="1" t="n"/>
      <c r="P2781" s="1" t="n"/>
      <c r="Q2781" s="1" t="n"/>
      <c r="R2781" s="1" t="n"/>
    </row>
    <row r="2782">
      <c r="A2782" s="61" t="n"/>
      <c r="B2782" s="16" t="n"/>
      <c r="C2782" s="90" t="n"/>
      <c r="D2782" s="90" t="n"/>
      <c r="E2782" s="90" t="n"/>
      <c r="F2782" s="16" t="n"/>
      <c r="G2782" s="16" t="n"/>
      <c r="H2782" s="63" t="n"/>
      <c r="I2782" s="64" t="n"/>
      <c r="J2782" s="16" t="n"/>
      <c r="K2782" s="16" t="n"/>
      <c r="M2782" s="89" t="n"/>
      <c r="N2782" s="1" t="n"/>
      <c r="O2782" s="1" t="n"/>
      <c r="P2782" s="1" t="n"/>
      <c r="Q2782" s="1" t="n"/>
      <c r="R2782" s="1" t="n"/>
    </row>
    <row r="2783">
      <c r="A2783" s="61" t="n"/>
      <c r="B2783" s="16" t="n"/>
      <c r="C2783" s="90" t="n"/>
      <c r="D2783" s="90" t="n"/>
      <c r="E2783" s="90" t="n"/>
      <c r="F2783" s="16" t="n"/>
      <c r="G2783" s="16" t="n"/>
      <c r="H2783" s="63" t="n"/>
      <c r="I2783" s="64" t="n"/>
      <c r="J2783" s="16" t="n"/>
      <c r="K2783" s="16" t="n"/>
      <c r="M2783" s="89" t="n"/>
      <c r="N2783" s="1" t="n"/>
      <c r="O2783" s="1" t="n"/>
      <c r="P2783" s="1" t="n"/>
      <c r="Q2783" s="1" t="n"/>
      <c r="R2783" s="1" t="n"/>
    </row>
    <row r="2784">
      <c r="A2784" s="61" t="n"/>
      <c r="B2784" s="16" t="n"/>
      <c r="C2784" s="90" t="n"/>
      <c r="D2784" s="90" t="n"/>
      <c r="E2784" s="90" t="n"/>
      <c r="F2784" s="16" t="n"/>
      <c r="G2784" s="16" t="n"/>
      <c r="H2784" s="63" t="n"/>
      <c r="I2784" s="64" t="n"/>
      <c r="J2784" s="16" t="n"/>
      <c r="K2784" s="16" t="n"/>
      <c r="M2784" s="89" t="n"/>
      <c r="N2784" s="1" t="n"/>
      <c r="O2784" s="1" t="n"/>
      <c r="P2784" s="1" t="n"/>
      <c r="Q2784" s="1" t="n"/>
      <c r="R2784" s="1" t="n"/>
    </row>
    <row r="2785">
      <c r="A2785" s="61" t="n"/>
      <c r="B2785" s="16" t="n"/>
      <c r="C2785" s="90" t="n"/>
      <c r="D2785" s="90" t="n"/>
      <c r="E2785" s="90" t="n"/>
      <c r="F2785" s="16" t="n"/>
      <c r="G2785" s="16" t="n"/>
      <c r="H2785" s="63" t="n"/>
      <c r="I2785" s="64" t="n"/>
      <c r="J2785" s="16" t="n"/>
      <c r="K2785" s="16" t="n"/>
      <c r="M2785" s="89" t="n"/>
      <c r="N2785" s="1" t="n"/>
      <c r="O2785" s="1" t="n"/>
      <c r="P2785" s="1" t="n"/>
      <c r="Q2785" s="1" t="n"/>
      <c r="R2785" s="1" t="n"/>
    </row>
    <row r="2786">
      <c r="A2786" s="61" t="n"/>
      <c r="B2786" s="16" t="n"/>
      <c r="C2786" s="90" t="n"/>
      <c r="D2786" s="90" t="n"/>
      <c r="E2786" s="90" t="n"/>
      <c r="F2786" s="16" t="n"/>
      <c r="G2786" s="16" t="n"/>
      <c r="H2786" s="63" t="n"/>
      <c r="I2786" s="64" t="n"/>
      <c r="J2786" s="16" t="n"/>
      <c r="K2786" s="16" t="n"/>
      <c r="M2786" s="89" t="n"/>
      <c r="N2786" s="1" t="n"/>
      <c r="O2786" s="1" t="n"/>
      <c r="P2786" s="1" t="n"/>
      <c r="Q2786" s="1" t="n"/>
      <c r="R2786" s="1" t="n"/>
    </row>
    <row r="2787">
      <c r="A2787" s="61" t="n"/>
      <c r="B2787" s="16" t="n"/>
      <c r="C2787" s="90" t="n"/>
      <c r="D2787" s="90" t="n"/>
      <c r="E2787" s="90" t="n"/>
      <c r="F2787" s="16" t="n"/>
      <c r="G2787" s="16" t="n"/>
      <c r="H2787" s="63" t="n"/>
      <c r="I2787" s="64" t="n"/>
      <c r="J2787" s="16" t="n"/>
      <c r="K2787" s="16" t="n"/>
      <c r="M2787" s="89" t="n"/>
      <c r="N2787" s="1" t="n"/>
      <c r="O2787" s="1" t="n"/>
      <c r="P2787" s="1" t="n"/>
      <c r="Q2787" s="1" t="n"/>
      <c r="R2787" s="1" t="n"/>
    </row>
    <row r="2788">
      <c r="A2788" s="61" t="n"/>
      <c r="B2788" s="16" t="n"/>
      <c r="C2788" s="90" t="n"/>
      <c r="D2788" s="90" t="n"/>
      <c r="E2788" s="90" t="n"/>
      <c r="F2788" s="16" t="n"/>
      <c r="G2788" s="16" t="n"/>
      <c r="H2788" s="63" t="n"/>
      <c r="I2788" s="64" t="n"/>
      <c r="J2788" s="16" t="n"/>
      <c r="K2788" s="16" t="n"/>
      <c r="M2788" s="89" t="n"/>
      <c r="N2788" s="1" t="n"/>
      <c r="O2788" s="1" t="n"/>
      <c r="P2788" s="1" t="n"/>
      <c r="Q2788" s="1" t="n"/>
      <c r="R2788" s="1" t="n"/>
    </row>
    <row r="2789">
      <c r="A2789" s="61" t="n"/>
      <c r="B2789" s="16" t="n"/>
      <c r="C2789" s="90" t="n"/>
      <c r="D2789" s="90" t="n"/>
      <c r="E2789" s="90" t="n"/>
      <c r="F2789" s="16" t="n"/>
      <c r="G2789" s="16" t="n"/>
      <c r="H2789" s="63" t="n"/>
      <c r="I2789" s="64" t="n"/>
      <c r="J2789" s="16" t="n"/>
      <c r="K2789" s="16" t="n"/>
      <c r="M2789" s="89" t="n"/>
      <c r="N2789" s="1" t="n"/>
      <c r="O2789" s="1" t="n"/>
      <c r="P2789" s="1" t="n"/>
      <c r="Q2789" s="1" t="n"/>
      <c r="R2789" s="1" t="n"/>
    </row>
    <row r="2790">
      <c r="A2790" s="61" t="n"/>
      <c r="B2790" s="16" t="n"/>
      <c r="C2790" s="90" t="n"/>
      <c r="D2790" s="90" t="n"/>
      <c r="E2790" s="90" t="n"/>
      <c r="F2790" s="16" t="n"/>
      <c r="G2790" s="16" t="n"/>
      <c r="H2790" s="63" t="n"/>
      <c r="I2790" s="64" t="n"/>
      <c r="J2790" s="16" t="n"/>
      <c r="K2790" s="16" t="n"/>
      <c r="M2790" s="89" t="n"/>
      <c r="N2790" s="1" t="n"/>
      <c r="O2790" s="1" t="n"/>
      <c r="P2790" s="1" t="n"/>
      <c r="Q2790" s="1" t="n"/>
      <c r="R2790" s="1" t="n"/>
    </row>
    <row r="2791">
      <c r="A2791" s="61" t="n"/>
      <c r="B2791" s="16" t="n"/>
      <c r="C2791" s="90" t="n"/>
      <c r="D2791" s="90" t="n"/>
      <c r="E2791" s="90" t="n"/>
      <c r="F2791" s="16" t="n"/>
      <c r="G2791" s="16" t="n"/>
      <c r="H2791" s="63" t="n"/>
      <c r="I2791" s="64" t="n"/>
      <c r="J2791" s="16" t="n"/>
      <c r="K2791" s="16" t="n"/>
      <c r="M2791" s="89" t="n"/>
      <c r="N2791" s="1" t="n"/>
      <c r="O2791" s="1" t="n"/>
      <c r="P2791" s="1" t="n"/>
      <c r="Q2791" s="1" t="n"/>
      <c r="R2791" s="1" t="n"/>
    </row>
    <row r="2792">
      <c r="A2792" s="61" t="n"/>
      <c r="B2792" s="16" t="n"/>
      <c r="C2792" s="90" t="n"/>
      <c r="D2792" s="90" t="n"/>
      <c r="E2792" s="90" t="n"/>
      <c r="F2792" s="16" t="n"/>
      <c r="G2792" s="16" t="n"/>
      <c r="H2792" s="63" t="n"/>
      <c r="I2792" s="64" t="n"/>
      <c r="J2792" s="16" t="n"/>
      <c r="K2792" s="16" t="n"/>
      <c r="M2792" s="89" t="n"/>
      <c r="N2792" s="1" t="n"/>
      <c r="O2792" s="1" t="n"/>
      <c r="P2792" s="1" t="n"/>
      <c r="Q2792" s="1" t="n"/>
      <c r="R2792" s="1" t="n"/>
    </row>
    <row r="2793">
      <c r="A2793" s="61" t="n"/>
      <c r="B2793" s="16" t="n"/>
      <c r="C2793" s="90" t="n"/>
      <c r="D2793" s="90" t="n"/>
      <c r="E2793" s="90" t="n"/>
      <c r="F2793" s="16" t="n"/>
      <c r="G2793" s="16" t="n"/>
      <c r="H2793" s="63" t="n"/>
      <c r="I2793" s="64" t="n"/>
      <c r="J2793" s="16" t="n"/>
      <c r="K2793" s="16" t="n"/>
      <c r="M2793" s="89" t="n"/>
      <c r="N2793" s="1" t="n"/>
      <c r="O2793" s="1" t="n"/>
      <c r="P2793" s="1" t="n"/>
      <c r="Q2793" s="1" t="n"/>
      <c r="R2793" s="1" t="n"/>
    </row>
    <row r="2794">
      <c r="A2794" s="61" t="n"/>
      <c r="B2794" s="16" t="n"/>
      <c r="C2794" s="90" t="n"/>
      <c r="D2794" s="90" t="n"/>
      <c r="E2794" s="90" t="n"/>
      <c r="F2794" s="16" t="n"/>
      <c r="G2794" s="16" t="n"/>
      <c r="H2794" s="63" t="n"/>
      <c r="I2794" s="64" t="n"/>
      <c r="J2794" s="16" t="n"/>
      <c r="K2794" s="16" t="n"/>
      <c r="M2794" s="89" t="n"/>
      <c r="N2794" s="1" t="n"/>
      <c r="O2794" s="1" t="n"/>
      <c r="P2794" s="1" t="n"/>
      <c r="Q2794" s="1" t="n"/>
      <c r="R2794" s="1" t="n"/>
    </row>
    <row r="2795">
      <c r="A2795" s="61" t="n"/>
      <c r="B2795" s="16" t="n"/>
      <c r="C2795" s="90" t="n"/>
      <c r="D2795" s="90" t="n"/>
      <c r="E2795" s="90" t="n"/>
      <c r="F2795" s="16" t="n"/>
      <c r="G2795" s="16" t="n"/>
      <c r="H2795" s="63" t="n"/>
      <c r="I2795" s="64" t="n"/>
      <c r="J2795" s="16" t="n"/>
      <c r="K2795" s="16" t="n"/>
      <c r="M2795" s="89" t="n"/>
      <c r="N2795" s="1" t="n"/>
      <c r="O2795" s="1" t="n"/>
      <c r="P2795" s="1" t="n"/>
      <c r="Q2795" s="1" t="n"/>
      <c r="R2795" s="1" t="n"/>
    </row>
    <row r="2796">
      <c r="A2796" s="61" t="n"/>
      <c r="B2796" s="16" t="n"/>
      <c r="C2796" s="90" t="n"/>
      <c r="D2796" s="90" t="n"/>
      <c r="E2796" s="90" t="n"/>
      <c r="F2796" s="16" t="n"/>
      <c r="G2796" s="16" t="n"/>
      <c r="H2796" s="63" t="n"/>
      <c r="I2796" s="64" t="n"/>
      <c r="J2796" s="16" t="n"/>
      <c r="K2796" s="16" t="n"/>
      <c r="M2796" s="89" t="n"/>
      <c r="N2796" s="1" t="n"/>
      <c r="O2796" s="1" t="n"/>
      <c r="P2796" s="1" t="n"/>
      <c r="Q2796" s="1" t="n"/>
      <c r="R2796" s="1" t="n"/>
    </row>
    <row r="2797">
      <c r="A2797" s="61" t="n"/>
      <c r="B2797" s="16" t="n"/>
      <c r="C2797" s="90" t="n"/>
      <c r="D2797" s="90" t="n"/>
      <c r="E2797" s="90" t="n"/>
      <c r="F2797" s="16" t="n"/>
      <c r="G2797" s="16" t="n"/>
      <c r="H2797" s="63" t="n"/>
      <c r="I2797" s="64" t="n"/>
      <c r="J2797" s="16" t="n"/>
      <c r="K2797" s="16" t="n"/>
      <c r="M2797" s="89" t="n"/>
      <c r="N2797" s="1" t="n"/>
      <c r="O2797" s="1" t="n"/>
      <c r="P2797" s="1" t="n"/>
      <c r="Q2797" s="1" t="n"/>
      <c r="R2797" s="1" t="n"/>
    </row>
    <row r="2798">
      <c r="A2798" s="61" t="n"/>
      <c r="B2798" s="16" t="n"/>
      <c r="C2798" s="90" t="n"/>
      <c r="D2798" s="90" t="n"/>
      <c r="E2798" s="90" t="n"/>
      <c r="F2798" s="16" t="n"/>
      <c r="G2798" s="16" t="n"/>
      <c r="H2798" s="63" t="n"/>
      <c r="I2798" s="64" t="n"/>
      <c r="J2798" s="16" t="n"/>
      <c r="K2798" s="16" t="n"/>
      <c r="M2798" s="89" t="n"/>
      <c r="N2798" s="1" t="n"/>
      <c r="O2798" s="1" t="n"/>
      <c r="P2798" s="1" t="n"/>
      <c r="Q2798" s="1" t="n"/>
      <c r="R2798" s="1" t="n"/>
    </row>
    <row r="2799">
      <c r="A2799" s="61" t="n"/>
      <c r="B2799" s="16" t="n"/>
      <c r="C2799" s="90" t="n"/>
      <c r="D2799" s="90" t="n"/>
      <c r="E2799" s="90" t="n"/>
      <c r="F2799" s="16" t="n"/>
      <c r="G2799" s="16" t="n"/>
      <c r="H2799" s="63" t="n"/>
      <c r="I2799" s="64" t="n"/>
      <c r="J2799" s="16" t="n"/>
      <c r="K2799" s="16" t="n"/>
      <c r="M2799" s="89" t="n"/>
      <c r="N2799" s="1" t="n"/>
      <c r="O2799" s="1" t="n"/>
      <c r="P2799" s="1" t="n"/>
      <c r="Q2799" s="1" t="n"/>
      <c r="R2799" s="1" t="n"/>
    </row>
    <row r="2800">
      <c r="A2800" s="61" t="n"/>
      <c r="B2800" s="16" t="n"/>
      <c r="C2800" s="90" t="n"/>
      <c r="D2800" s="90" t="n"/>
      <c r="E2800" s="90" t="n"/>
      <c r="F2800" s="16" t="n"/>
      <c r="G2800" s="16" t="n"/>
      <c r="H2800" s="63" t="n"/>
      <c r="I2800" s="64" t="n"/>
      <c r="J2800" s="16" t="n"/>
      <c r="K2800" s="16" t="n"/>
      <c r="M2800" s="89" t="n"/>
      <c r="N2800" s="1" t="n"/>
      <c r="O2800" s="1" t="n"/>
      <c r="P2800" s="1" t="n"/>
      <c r="Q2800" s="1" t="n"/>
      <c r="R2800" s="1" t="n"/>
    </row>
    <row r="2801">
      <c r="A2801" s="61" t="n"/>
      <c r="B2801" s="16" t="n"/>
      <c r="C2801" s="90" t="n"/>
      <c r="D2801" s="90" t="n"/>
      <c r="E2801" s="90" t="n"/>
      <c r="F2801" s="16" t="n"/>
      <c r="G2801" s="16" t="n"/>
      <c r="H2801" s="63" t="n"/>
      <c r="I2801" s="64" t="n"/>
      <c r="J2801" s="16" t="n"/>
      <c r="K2801" s="16" t="n"/>
      <c r="M2801" s="89" t="n"/>
      <c r="N2801" s="1" t="n"/>
      <c r="O2801" s="1" t="n"/>
      <c r="P2801" s="1" t="n"/>
      <c r="Q2801" s="1" t="n"/>
      <c r="R2801" s="1" t="n"/>
    </row>
    <row r="2802">
      <c r="A2802" s="61" t="n"/>
      <c r="B2802" s="16" t="n"/>
      <c r="C2802" s="90" t="n"/>
      <c r="D2802" s="90" t="n"/>
      <c r="E2802" s="90" t="n"/>
      <c r="F2802" s="16" t="n"/>
      <c r="G2802" s="16" t="n"/>
      <c r="H2802" s="63" t="n"/>
      <c r="I2802" s="64" t="n"/>
      <c r="J2802" s="16" t="n"/>
      <c r="K2802" s="16" t="n"/>
      <c r="M2802" s="89" t="n"/>
      <c r="N2802" s="1" t="n"/>
      <c r="O2802" s="1" t="n"/>
      <c r="P2802" s="1" t="n"/>
      <c r="Q2802" s="1" t="n"/>
      <c r="R2802" s="1" t="n"/>
    </row>
    <row r="2803">
      <c r="A2803" s="61" t="n"/>
      <c r="B2803" s="16" t="n"/>
      <c r="C2803" s="90" t="n"/>
      <c r="D2803" s="90" t="n"/>
      <c r="E2803" s="90" t="n"/>
      <c r="F2803" s="16" t="n"/>
      <c r="G2803" s="16" t="n"/>
      <c r="H2803" s="63" t="n"/>
      <c r="I2803" s="64" t="n"/>
      <c r="J2803" s="16" t="n"/>
      <c r="K2803" s="16" t="n"/>
      <c r="M2803" s="89" t="n"/>
      <c r="N2803" s="1" t="n"/>
      <c r="O2803" s="1" t="n"/>
      <c r="P2803" s="1" t="n"/>
      <c r="Q2803" s="1" t="n"/>
      <c r="R2803" s="1" t="n"/>
    </row>
    <row r="2804">
      <c r="A2804" s="61" t="n"/>
      <c r="B2804" s="16" t="n"/>
      <c r="C2804" s="90" t="n"/>
      <c r="D2804" s="90" t="n"/>
      <c r="E2804" s="90" t="n"/>
      <c r="F2804" s="16" t="n"/>
      <c r="G2804" s="16" t="n"/>
      <c r="H2804" s="63" t="n"/>
      <c r="I2804" s="64" t="n"/>
      <c r="J2804" s="16" t="n"/>
      <c r="K2804" s="16" t="n"/>
      <c r="M2804" s="89" t="n"/>
      <c r="N2804" s="1" t="n"/>
      <c r="O2804" s="1" t="n"/>
      <c r="P2804" s="1" t="n"/>
      <c r="Q2804" s="1" t="n"/>
      <c r="R2804" s="1" t="n"/>
    </row>
    <row r="2805">
      <c r="A2805" s="61" t="n"/>
      <c r="B2805" s="16" t="n"/>
      <c r="C2805" s="90" t="n"/>
      <c r="D2805" s="90" t="n"/>
      <c r="E2805" s="90" t="n"/>
      <c r="F2805" s="16" t="n"/>
      <c r="G2805" s="16" t="n"/>
      <c r="H2805" s="63" t="n"/>
      <c r="I2805" s="64" t="n"/>
      <c r="J2805" s="16" t="n"/>
      <c r="K2805" s="16" t="n"/>
      <c r="M2805" s="89" t="n"/>
      <c r="N2805" s="1" t="n"/>
      <c r="O2805" s="1" t="n"/>
      <c r="P2805" s="1" t="n"/>
      <c r="Q2805" s="1" t="n"/>
      <c r="R2805" s="1" t="n"/>
    </row>
    <row r="2806">
      <c r="A2806" s="61" t="n"/>
      <c r="B2806" s="16" t="n"/>
      <c r="C2806" s="90" t="n"/>
      <c r="D2806" s="90" t="n"/>
      <c r="E2806" s="90" t="n"/>
      <c r="F2806" s="16" t="n"/>
      <c r="G2806" s="16" t="n"/>
      <c r="H2806" s="63" t="n"/>
      <c r="I2806" s="64" t="n"/>
      <c r="J2806" s="16" t="n"/>
      <c r="K2806" s="16" t="n"/>
      <c r="M2806" s="89" t="n"/>
      <c r="N2806" s="1" t="n"/>
      <c r="O2806" s="1" t="n"/>
      <c r="P2806" s="1" t="n"/>
      <c r="Q2806" s="1" t="n"/>
      <c r="R2806" s="1" t="n"/>
    </row>
    <row r="2807">
      <c r="A2807" s="61" t="n"/>
      <c r="B2807" s="16" t="n"/>
      <c r="C2807" s="90" t="n"/>
      <c r="D2807" s="90" t="n"/>
      <c r="E2807" s="90" t="n"/>
      <c r="F2807" s="16" t="n"/>
      <c r="G2807" s="16" t="n"/>
      <c r="H2807" s="63" t="n"/>
      <c r="I2807" s="64" t="n"/>
      <c r="J2807" s="16" t="n"/>
      <c r="K2807" s="16" t="n"/>
      <c r="M2807" s="89" t="n"/>
      <c r="N2807" s="1" t="n"/>
      <c r="O2807" s="1" t="n"/>
      <c r="P2807" s="1" t="n"/>
      <c r="Q2807" s="1" t="n"/>
      <c r="R2807" s="1" t="n"/>
    </row>
    <row r="2808">
      <c r="A2808" s="61" t="n"/>
      <c r="B2808" s="16" t="n"/>
      <c r="C2808" s="90" t="n"/>
      <c r="D2808" s="90" t="n"/>
      <c r="E2808" s="90" t="n"/>
      <c r="F2808" s="16" t="n"/>
      <c r="G2808" s="16" t="n"/>
      <c r="H2808" s="63" t="n"/>
      <c r="I2808" s="64" t="n"/>
      <c r="J2808" s="16" t="n"/>
      <c r="K2808" s="16" t="n"/>
      <c r="M2808" s="89" t="n"/>
      <c r="N2808" s="1" t="n"/>
      <c r="O2808" s="1" t="n"/>
      <c r="P2808" s="1" t="n"/>
      <c r="Q2808" s="1" t="n"/>
      <c r="R2808" s="1" t="n"/>
    </row>
    <row r="2809">
      <c r="A2809" s="61" t="n"/>
      <c r="B2809" s="16" t="n"/>
      <c r="C2809" s="90" t="n"/>
      <c r="D2809" s="90" t="n"/>
      <c r="E2809" s="90" t="n"/>
      <c r="F2809" s="16" t="n"/>
      <c r="G2809" s="16" t="n"/>
      <c r="H2809" s="63" t="n"/>
      <c r="I2809" s="64" t="n"/>
      <c r="J2809" s="16" t="n"/>
      <c r="K2809" s="16" t="n"/>
      <c r="M2809" s="89" t="n"/>
      <c r="N2809" s="1" t="n"/>
      <c r="O2809" s="1" t="n"/>
      <c r="P2809" s="1" t="n"/>
      <c r="Q2809" s="1" t="n"/>
      <c r="R2809" s="1" t="n"/>
    </row>
    <row r="2810">
      <c r="A2810" s="61" t="n"/>
      <c r="B2810" s="16" t="n"/>
      <c r="C2810" s="90" t="n"/>
      <c r="D2810" s="90" t="n"/>
      <c r="E2810" s="90" t="n"/>
      <c r="F2810" s="16" t="n"/>
      <c r="G2810" s="16" t="n"/>
      <c r="H2810" s="63" t="n"/>
      <c r="I2810" s="64" t="n"/>
      <c r="J2810" s="16" t="n"/>
      <c r="K2810" s="16" t="n"/>
      <c r="M2810" s="89" t="n"/>
      <c r="N2810" s="1" t="n"/>
      <c r="O2810" s="1" t="n"/>
      <c r="P2810" s="1" t="n"/>
      <c r="Q2810" s="1" t="n"/>
      <c r="R2810" s="1" t="n"/>
    </row>
    <row r="2811">
      <c r="A2811" s="61" t="n"/>
      <c r="B2811" s="16" t="n"/>
      <c r="C2811" s="90" t="n"/>
      <c r="D2811" s="90" t="n"/>
      <c r="E2811" s="90" t="n"/>
      <c r="F2811" s="16" t="n"/>
      <c r="G2811" s="16" t="n"/>
      <c r="H2811" s="63" t="n"/>
      <c r="I2811" s="64" t="n"/>
      <c r="J2811" s="16" t="n"/>
      <c r="K2811" s="16" t="n"/>
      <c r="M2811" s="89" t="n"/>
      <c r="N2811" s="1" t="n"/>
      <c r="O2811" s="1" t="n"/>
      <c r="P2811" s="1" t="n"/>
      <c r="Q2811" s="1" t="n"/>
      <c r="R2811" s="1" t="n"/>
    </row>
    <row r="2812">
      <c r="A2812" s="61" t="n"/>
      <c r="B2812" s="16" t="n"/>
      <c r="C2812" s="90" t="n"/>
      <c r="D2812" s="90" t="n"/>
      <c r="E2812" s="90" t="n"/>
      <c r="F2812" s="16" t="n"/>
      <c r="G2812" s="16" t="n"/>
      <c r="H2812" s="63" t="n"/>
      <c r="I2812" s="64" t="n"/>
      <c r="J2812" s="16" t="n"/>
      <c r="K2812" s="16" t="n"/>
      <c r="M2812" s="89" t="n"/>
      <c r="N2812" s="1" t="n"/>
      <c r="O2812" s="1" t="n"/>
      <c r="P2812" s="1" t="n"/>
      <c r="Q2812" s="1" t="n"/>
      <c r="R2812" s="1" t="n"/>
    </row>
    <row r="2813">
      <c r="A2813" s="61" t="n"/>
      <c r="B2813" s="16" t="n"/>
      <c r="C2813" s="90" t="n"/>
      <c r="D2813" s="90" t="n"/>
      <c r="E2813" s="90" t="n"/>
      <c r="F2813" s="16" t="n"/>
      <c r="G2813" s="16" t="n"/>
      <c r="H2813" s="63" t="n"/>
      <c r="I2813" s="64" t="n"/>
      <c r="J2813" s="16" t="n"/>
      <c r="K2813" s="16" t="n"/>
      <c r="M2813" s="89" t="n"/>
      <c r="N2813" s="1" t="n"/>
      <c r="O2813" s="1" t="n"/>
      <c r="P2813" s="1" t="n"/>
      <c r="Q2813" s="1" t="n"/>
      <c r="R2813" s="1" t="n"/>
    </row>
    <row r="2814">
      <c r="A2814" s="61" t="n"/>
      <c r="B2814" s="16" t="n"/>
      <c r="C2814" s="90" t="n"/>
      <c r="D2814" s="90" t="n"/>
      <c r="E2814" s="90" t="n"/>
      <c r="F2814" s="16" t="n"/>
      <c r="G2814" s="16" t="n"/>
      <c r="H2814" s="63" t="n"/>
      <c r="I2814" s="64" t="n"/>
      <c r="J2814" s="16" t="n"/>
      <c r="K2814" s="16" t="n"/>
      <c r="M2814" s="89" t="n"/>
      <c r="N2814" s="1" t="n"/>
      <c r="O2814" s="1" t="n"/>
      <c r="P2814" s="1" t="n"/>
      <c r="Q2814" s="1" t="n"/>
      <c r="R2814" s="1" t="n"/>
    </row>
    <row r="2815">
      <c r="A2815" s="61" t="n"/>
      <c r="B2815" s="16" t="n"/>
      <c r="C2815" s="90" t="n"/>
      <c r="D2815" s="90" t="n"/>
      <c r="E2815" s="90" t="n"/>
      <c r="F2815" s="16" t="n"/>
      <c r="G2815" s="16" t="n"/>
      <c r="H2815" s="63" t="n"/>
      <c r="I2815" s="64" t="n"/>
      <c r="J2815" s="16" t="n"/>
      <c r="K2815" s="16" t="n"/>
      <c r="M2815" s="89" t="n"/>
      <c r="N2815" s="1" t="n"/>
      <c r="O2815" s="1" t="n"/>
      <c r="P2815" s="1" t="n"/>
      <c r="Q2815" s="1" t="n"/>
      <c r="R2815" s="1" t="n"/>
    </row>
    <row r="2816">
      <c r="A2816" s="61" t="n"/>
      <c r="B2816" s="16" t="n"/>
      <c r="C2816" s="90" t="n"/>
      <c r="D2816" s="90" t="n"/>
      <c r="E2816" s="90" t="n"/>
      <c r="F2816" s="16" t="n"/>
      <c r="G2816" s="16" t="n"/>
      <c r="H2816" s="63" t="n"/>
      <c r="I2816" s="64" t="n"/>
      <c r="J2816" s="16" t="n"/>
      <c r="K2816" s="16" t="n"/>
      <c r="M2816" s="89" t="n"/>
      <c r="N2816" s="1" t="n"/>
      <c r="O2816" s="1" t="n"/>
      <c r="P2816" s="1" t="n"/>
      <c r="Q2816" s="1" t="n"/>
      <c r="R2816" s="1" t="n"/>
    </row>
    <row r="2817">
      <c r="A2817" s="61" t="n"/>
      <c r="B2817" s="16" t="n"/>
      <c r="C2817" s="90" t="n"/>
      <c r="D2817" s="90" t="n"/>
      <c r="E2817" s="90" t="n"/>
      <c r="F2817" s="16" t="n"/>
      <c r="G2817" s="16" t="n"/>
      <c r="H2817" s="63" t="n"/>
      <c r="I2817" s="64" t="n"/>
      <c r="J2817" s="16" t="n"/>
      <c r="K2817" s="16" t="n"/>
      <c r="M2817" s="89" t="n"/>
      <c r="N2817" s="1" t="n"/>
      <c r="O2817" s="1" t="n"/>
      <c r="P2817" s="1" t="n"/>
      <c r="Q2817" s="1" t="n"/>
      <c r="R2817" s="1" t="n"/>
    </row>
    <row r="2818">
      <c r="A2818" s="61" t="n"/>
      <c r="B2818" s="16" t="n"/>
      <c r="C2818" s="90" t="n"/>
      <c r="D2818" s="90" t="n"/>
      <c r="E2818" s="90" t="n"/>
      <c r="F2818" s="16" t="n"/>
      <c r="G2818" s="16" t="n"/>
      <c r="H2818" s="63" t="n"/>
      <c r="I2818" s="64" t="n"/>
      <c r="J2818" s="16" t="n"/>
      <c r="K2818" s="16" t="n"/>
      <c r="M2818" s="89" t="n"/>
      <c r="N2818" s="1" t="n"/>
      <c r="O2818" s="1" t="n"/>
      <c r="P2818" s="1" t="n"/>
      <c r="Q2818" s="1" t="n"/>
      <c r="R2818" s="1" t="n"/>
    </row>
    <row r="2819">
      <c r="A2819" s="61" t="n"/>
      <c r="B2819" s="16" t="n"/>
      <c r="C2819" s="90" t="n"/>
      <c r="D2819" s="90" t="n"/>
      <c r="E2819" s="90" t="n"/>
      <c r="F2819" s="16" t="n"/>
      <c r="G2819" s="16" t="n"/>
      <c r="H2819" s="63" t="n"/>
      <c r="I2819" s="64" t="n"/>
      <c r="J2819" s="16" t="n"/>
      <c r="K2819" s="16" t="n"/>
      <c r="M2819" s="89" t="n"/>
      <c r="N2819" s="1" t="n"/>
      <c r="O2819" s="1" t="n"/>
      <c r="P2819" s="1" t="n"/>
      <c r="Q2819" s="1" t="n"/>
      <c r="R2819" s="1" t="n"/>
    </row>
    <row r="2820">
      <c r="A2820" s="61" t="n"/>
      <c r="B2820" s="16" t="n"/>
      <c r="C2820" s="90" t="n"/>
      <c r="D2820" s="90" t="n"/>
      <c r="E2820" s="90" t="n"/>
      <c r="F2820" s="16" t="n"/>
      <c r="G2820" s="16" t="n"/>
      <c r="H2820" s="63" t="n"/>
      <c r="I2820" s="64" t="n"/>
      <c r="J2820" s="16" t="n"/>
      <c r="K2820" s="16" t="n"/>
      <c r="M2820" s="89" t="n"/>
      <c r="N2820" s="1" t="n"/>
      <c r="O2820" s="1" t="n"/>
      <c r="P2820" s="1" t="n"/>
      <c r="Q2820" s="1" t="n"/>
      <c r="R2820" s="1" t="n"/>
    </row>
    <row r="2821">
      <c r="A2821" s="61" t="n"/>
      <c r="B2821" s="16" t="n"/>
      <c r="C2821" s="90" t="n"/>
      <c r="D2821" s="90" t="n"/>
      <c r="E2821" s="90" t="n"/>
      <c r="F2821" s="16" t="n"/>
      <c r="G2821" s="16" t="n"/>
      <c r="H2821" s="63" t="n"/>
      <c r="I2821" s="64" t="n"/>
      <c r="J2821" s="16" t="n"/>
      <c r="K2821" s="16" t="n"/>
      <c r="M2821" s="89" t="n"/>
      <c r="N2821" s="1" t="n"/>
      <c r="O2821" s="1" t="n"/>
      <c r="P2821" s="1" t="n"/>
      <c r="Q2821" s="1" t="n"/>
      <c r="R2821" s="1" t="n"/>
    </row>
    <row r="2822">
      <c r="A2822" s="61" t="n"/>
      <c r="B2822" s="16" t="n"/>
      <c r="C2822" s="90" t="n"/>
      <c r="D2822" s="90" t="n"/>
      <c r="E2822" s="90" t="n"/>
      <c r="F2822" s="16" t="n"/>
      <c r="G2822" s="16" t="n"/>
      <c r="H2822" s="63" t="n"/>
      <c r="I2822" s="64" t="n"/>
      <c r="J2822" s="16" t="n"/>
      <c r="K2822" s="16" t="n"/>
      <c r="M2822" s="89" t="n"/>
      <c r="N2822" s="1" t="n"/>
      <c r="O2822" s="1" t="n"/>
      <c r="P2822" s="1" t="n"/>
      <c r="Q2822" s="1" t="n"/>
      <c r="R2822" s="1" t="n"/>
    </row>
    <row r="2823">
      <c r="A2823" s="61" t="n"/>
      <c r="B2823" s="16" t="n"/>
      <c r="C2823" s="90" t="n"/>
      <c r="D2823" s="90" t="n"/>
      <c r="E2823" s="90" t="n"/>
      <c r="F2823" s="16" t="n"/>
      <c r="G2823" s="16" t="n"/>
      <c r="H2823" s="63" t="n"/>
      <c r="I2823" s="64" t="n"/>
      <c r="J2823" s="16" t="n"/>
      <c r="K2823" s="16" t="n"/>
      <c r="M2823" s="89" t="n"/>
      <c r="N2823" s="1" t="n"/>
      <c r="O2823" s="1" t="n"/>
      <c r="P2823" s="1" t="n"/>
      <c r="Q2823" s="1" t="n"/>
      <c r="R2823" s="1" t="n"/>
    </row>
    <row r="2824">
      <c r="A2824" s="61" t="n"/>
      <c r="B2824" s="16" t="n"/>
      <c r="C2824" s="90" t="n"/>
      <c r="D2824" s="90" t="n"/>
      <c r="E2824" s="90" t="n"/>
      <c r="F2824" s="16" t="n"/>
      <c r="G2824" s="16" t="n"/>
      <c r="H2824" s="63" t="n"/>
      <c r="I2824" s="64" t="n"/>
      <c r="J2824" s="16" t="n"/>
      <c r="K2824" s="16" t="n"/>
      <c r="M2824" s="89" t="n"/>
      <c r="N2824" s="1" t="n"/>
      <c r="O2824" s="1" t="n"/>
      <c r="P2824" s="1" t="n"/>
      <c r="Q2824" s="1" t="n"/>
      <c r="R2824" s="1" t="n"/>
    </row>
    <row r="2825">
      <c r="A2825" s="61" t="n"/>
      <c r="B2825" s="16" t="n"/>
      <c r="C2825" s="90" t="n"/>
      <c r="D2825" s="90" t="n"/>
      <c r="E2825" s="90" t="n"/>
      <c r="F2825" s="16" t="n"/>
      <c r="G2825" s="16" t="n"/>
      <c r="H2825" s="63" t="n"/>
      <c r="I2825" s="64" t="n"/>
      <c r="J2825" s="16" t="n"/>
      <c r="K2825" s="16" t="n"/>
      <c r="M2825" s="89" t="n"/>
      <c r="N2825" s="1" t="n"/>
      <c r="O2825" s="1" t="n"/>
      <c r="P2825" s="1" t="n"/>
      <c r="Q2825" s="1" t="n"/>
      <c r="R2825" s="1" t="n"/>
    </row>
    <row r="2826">
      <c r="A2826" s="61" t="n"/>
      <c r="B2826" s="16" t="n"/>
      <c r="C2826" s="90" t="n"/>
      <c r="D2826" s="90" t="n"/>
      <c r="E2826" s="90" t="n"/>
      <c r="F2826" s="16" t="n"/>
      <c r="G2826" s="16" t="n"/>
      <c r="H2826" s="63" t="n"/>
      <c r="I2826" s="64" t="n"/>
      <c r="J2826" s="16" t="n"/>
      <c r="K2826" s="16" t="n"/>
      <c r="M2826" s="89" t="n"/>
      <c r="N2826" s="1" t="n"/>
      <c r="O2826" s="1" t="n"/>
      <c r="P2826" s="1" t="n"/>
      <c r="Q2826" s="1" t="n"/>
      <c r="R2826" s="1" t="n"/>
    </row>
    <row r="2827">
      <c r="A2827" s="61" t="n"/>
      <c r="B2827" s="16" t="n"/>
      <c r="C2827" s="90" t="n"/>
      <c r="D2827" s="90" t="n"/>
      <c r="E2827" s="90" t="n"/>
      <c r="F2827" s="16" t="n"/>
      <c r="G2827" s="16" t="n"/>
      <c r="H2827" s="63" t="n"/>
      <c r="I2827" s="64" t="n"/>
      <c r="J2827" s="16" t="n"/>
      <c r="K2827" s="16" t="n"/>
      <c r="M2827" s="89" t="n"/>
      <c r="N2827" s="1" t="n"/>
      <c r="O2827" s="1" t="n"/>
      <c r="P2827" s="1" t="n"/>
      <c r="Q2827" s="1" t="n"/>
      <c r="R2827" s="1" t="n"/>
    </row>
    <row r="2828">
      <c r="A2828" s="61" t="n"/>
      <c r="B2828" s="16" t="n"/>
      <c r="C2828" s="90" t="n"/>
      <c r="D2828" s="90" t="n"/>
      <c r="E2828" s="90" t="n"/>
      <c r="F2828" s="16" t="n"/>
      <c r="G2828" s="16" t="n"/>
      <c r="H2828" s="63" t="n"/>
      <c r="I2828" s="64" t="n"/>
      <c r="J2828" s="16" t="n"/>
      <c r="K2828" s="16" t="n"/>
      <c r="M2828" s="89" t="n"/>
      <c r="N2828" s="1" t="n"/>
      <c r="O2828" s="1" t="n"/>
      <c r="P2828" s="1" t="n"/>
      <c r="Q2828" s="1" t="n"/>
      <c r="R2828" s="1" t="n"/>
    </row>
    <row r="2829">
      <c r="A2829" s="61" t="n"/>
      <c r="B2829" s="16" t="n"/>
      <c r="C2829" s="90" t="n"/>
      <c r="D2829" s="90" t="n"/>
      <c r="E2829" s="90" t="n"/>
      <c r="F2829" s="16" t="n"/>
      <c r="G2829" s="16" t="n"/>
      <c r="H2829" s="63" t="n"/>
      <c r="I2829" s="64" t="n"/>
      <c r="J2829" s="16" t="n"/>
      <c r="K2829" s="16" t="n"/>
      <c r="M2829" s="89" t="n"/>
      <c r="N2829" s="1" t="n"/>
      <c r="O2829" s="1" t="n"/>
      <c r="P2829" s="1" t="n"/>
      <c r="Q2829" s="1" t="n"/>
      <c r="R2829" s="1" t="n"/>
    </row>
    <row r="2830">
      <c r="A2830" s="61" t="n"/>
      <c r="B2830" s="16" t="n"/>
      <c r="C2830" s="90" t="n"/>
      <c r="D2830" s="90" t="n"/>
      <c r="E2830" s="90" t="n"/>
      <c r="F2830" s="16" t="n"/>
      <c r="G2830" s="16" t="n"/>
      <c r="H2830" s="63" t="n"/>
      <c r="I2830" s="64" t="n"/>
      <c r="J2830" s="16" t="n"/>
      <c r="K2830" s="16" t="n"/>
      <c r="M2830" s="89" t="n"/>
      <c r="N2830" s="1" t="n"/>
      <c r="O2830" s="1" t="n"/>
      <c r="P2830" s="1" t="n"/>
      <c r="Q2830" s="1" t="n"/>
      <c r="R2830" s="1" t="n"/>
    </row>
    <row r="2831">
      <c r="A2831" s="61" t="n"/>
      <c r="B2831" s="16" t="n"/>
      <c r="C2831" s="90" t="n"/>
      <c r="D2831" s="90" t="n"/>
      <c r="E2831" s="90" t="n"/>
      <c r="F2831" s="16" t="n"/>
      <c r="G2831" s="16" t="n"/>
      <c r="H2831" s="63" t="n"/>
      <c r="I2831" s="64" t="n"/>
      <c r="J2831" s="16" t="n"/>
      <c r="K2831" s="16" t="n"/>
      <c r="M2831" s="89" t="n"/>
      <c r="N2831" s="1" t="n"/>
      <c r="O2831" s="1" t="n"/>
      <c r="P2831" s="1" t="n"/>
      <c r="Q2831" s="1" t="n"/>
      <c r="R2831" s="1" t="n"/>
    </row>
    <row r="2832">
      <c r="A2832" s="61" t="n"/>
      <c r="B2832" s="16" t="n"/>
      <c r="C2832" s="90" t="n"/>
      <c r="D2832" s="90" t="n"/>
      <c r="E2832" s="90" t="n"/>
      <c r="F2832" s="16" t="n"/>
      <c r="G2832" s="16" t="n"/>
      <c r="H2832" s="63" t="n"/>
      <c r="I2832" s="64" t="n"/>
      <c r="J2832" s="16" t="n"/>
      <c r="K2832" s="16" t="n"/>
      <c r="M2832" s="89" t="n"/>
      <c r="N2832" s="1" t="n"/>
      <c r="O2832" s="1" t="n"/>
      <c r="P2832" s="1" t="n"/>
      <c r="Q2832" s="1" t="n"/>
      <c r="R2832" s="1" t="n"/>
    </row>
    <row r="2833">
      <c r="A2833" s="61" t="n"/>
      <c r="B2833" s="16" t="n"/>
      <c r="C2833" s="90" t="n"/>
      <c r="D2833" s="90" t="n"/>
      <c r="E2833" s="90" t="n"/>
      <c r="F2833" s="16" t="n"/>
      <c r="G2833" s="16" t="n"/>
      <c r="H2833" s="63" t="n"/>
      <c r="I2833" s="64" t="n"/>
      <c r="J2833" s="16" t="n"/>
      <c r="K2833" s="16" t="n"/>
      <c r="M2833" s="89" t="n"/>
      <c r="N2833" s="1" t="n"/>
      <c r="O2833" s="1" t="n"/>
      <c r="P2833" s="1" t="n"/>
      <c r="Q2833" s="1" t="n"/>
      <c r="R2833" s="1" t="n"/>
    </row>
    <row r="2834">
      <c r="A2834" s="61" t="n"/>
      <c r="B2834" s="16" t="n"/>
      <c r="C2834" s="90" t="n"/>
      <c r="D2834" s="90" t="n"/>
      <c r="E2834" s="90" t="n"/>
      <c r="F2834" s="16" t="n"/>
      <c r="G2834" s="16" t="n"/>
      <c r="H2834" s="63" t="n"/>
      <c r="I2834" s="64" t="n"/>
      <c r="J2834" s="16" t="n"/>
      <c r="K2834" s="16" t="n"/>
      <c r="M2834" s="89" t="n"/>
      <c r="N2834" s="1" t="n"/>
      <c r="O2834" s="1" t="n"/>
      <c r="P2834" s="1" t="n"/>
      <c r="Q2834" s="1" t="n"/>
      <c r="R2834" s="1" t="n"/>
    </row>
    <row r="2835">
      <c r="A2835" s="61" t="n"/>
      <c r="B2835" s="16" t="n"/>
      <c r="C2835" s="90" t="n"/>
      <c r="D2835" s="90" t="n"/>
      <c r="E2835" s="90" t="n"/>
      <c r="F2835" s="16" t="n"/>
      <c r="G2835" s="16" t="n"/>
      <c r="H2835" s="63" t="n"/>
      <c r="I2835" s="64" t="n"/>
      <c r="J2835" s="16" t="n"/>
      <c r="K2835" s="16" t="n"/>
      <c r="M2835" s="89" t="n"/>
      <c r="N2835" s="1" t="n"/>
      <c r="O2835" s="1" t="n"/>
      <c r="P2835" s="1" t="n"/>
      <c r="Q2835" s="1" t="n"/>
      <c r="R2835" s="1" t="n"/>
    </row>
    <row r="2836">
      <c r="A2836" s="61" t="n"/>
      <c r="B2836" s="16" t="n"/>
      <c r="C2836" s="90" t="n"/>
      <c r="D2836" s="90" t="n"/>
      <c r="E2836" s="90" t="n"/>
      <c r="F2836" s="16" t="n"/>
      <c r="G2836" s="16" t="n"/>
      <c r="H2836" s="63" t="n"/>
      <c r="I2836" s="64" t="n"/>
      <c r="J2836" s="16" t="n"/>
      <c r="K2836" s="16" t="n"/>
      <c r="M2836" s="89" t="n"/>
      <c r="N2836" s="1" t="n"/>
      <c r="O2836" s="1" t="n"/>
      <c r="P2836" s="1" t="n"/>
      <c r="Q2836" s="1" t="n"/>
      <c r="R2836" s="1" t="n"/>
    </row>
    <row r="2837">
      <c r="A2837" s="61" t="n"/>
      <c r="B2837" s="16" t="n"/>
      <c r="C2837" s="90" t="n"/>
      <c r="D2837" s="90" t="n"/>
      <c r="E2837" s="90" t="n"/>
      <c r="F2837" s="16" t="n"/>
      <c r="G2837" s="16" t="n"/>
      <c r="H2837" s="63" t="n"/>
      <c r="I2837" s="64" t="n"/>
      <c r="J2837" s="16" t="n"/>
      <c r="K2837" s="16" t="n"/>
      <c r="M2837" s="89" t="n"/>
      <c r="N2837" s="1" t="n"/>
      <c r="O2837" s="1" t="n"/>
      <c r="P2837" s="1" t="n"/>
      <c r="Q2837" s="1" t="n"/>
      <c r="R2837" s="1" t="n"/>
    </row>
    <row r="2838">
      <c r="A2838" s="61" t="n"/>
      <c r="B2838" s="16" t="n"/>
      <c r="C2838" s="90" t="n"/>
      <c r="D2838" s="90" t="n"/>
      <c r="E2838" s="90" t="n"/>
      <c r="F2838" s="16" t="n"/>
      <c r="G2838" s="16" t="n"/>
      <c r="H2838" s="63" t="n"/>
      <c r="I2838" s="64" t="n"/>
      <c r="J2838" s="16" t="n"/>
      <c r="K2838" s="16" t="n"/>
      <c r="M2838" s="89" t="n"/>
      <c r="N2838" s="1" t="n"/>
      <c r="O2838" s="1" t="n"/>
      <c r="P2838" s="1" t="n"/>
      <c r="Q2838" s="1" t="n"/>
      <c r="R2838" s="1" t="n"/>
    </row>
    <row r="2839">
      <c r="A2839" s="61" t="n"/>
      <c r="B2839" s="16" t="n"/>
      <c r="C2839" s="90" t="n"/>
      <c r="D2839" s="90" t="n"/>
      <c r="E2839" s="90" t="n"/>
      <c r="F2839" s="16" t="n"/>
      <c r="G2839" s="16" t="n"/>
      <c r="H2839" s="63" t="n"/>
      <c r="I2839" s="64" t="n"/>
      <c r="J2839" s="16" t="n"/>
      <c r="K2839" s="16" t="n"/>
      <c r="M2839" s="89" t="n"/>
      <c r="N2839" s="1" t="n"/>
      <c r="O2839" s="1" t="n"/>
      <c r="P2839" s="1" t="n"/>
      <c r="Q2839" s="1" t="n"/>
      <c r="R2839" s="1" t="n"/>
    </row>
    <row r="2840">
      <c r="A2840" s="61" t="n"/>
      <c r="B2840" s="16" t="n"/>
      <c r="C2840" s="90" t="n"/>
      <c r="D2840" s="90" t="n"/>
      <c r="E2840" s="90" t="n"/>
      <c r="F2840" s="16" t="n"/>
      <c r="G2840" s="16" t="n"/>
      <c r="H2840" s="63" t="n"/>
      <c r="I2840" s="64" t="n"/>
      <c r="J2840" s="16" t="n"/>
      <c r="K2840" s="16" t="n"/>
      <c r="M2840" s="89" t="n"/>
      <c r="N2840" s="1" t="n"/>
      <c r="O2840" s="1" t="n"/>
      <c r="P2840" s="1" t="n"/>
      <c r="Q2840" s="1" t="n"/>
      <c r="R2840" s="1" t="n"/>
    </row>
    <row r="2841">
      <c r="A2841" s="61" t="n"/>
      <c r="B2841" s="16" t="n"/>
      <c r="C2841" s="90" t="n"/>
      <c r="D2841" s="90" t="n"/>
      <c r="E2841" s="90" t="n"/>
      <c r="F2841" s="16" t="n"/>
      <c r="G2841" s="16" t="n"/>
      <c r="H2841" s="63" t="n"/>
      <c r="I2841" s="64" t="n"/>
      <c r="J2841" s="16" t="n"/>
      <c r="K2841" s="16" t="n"/>
      <c r="M2841" s="89" t="n"/>
      <c r="N2841" s="1" t="n"/>
      <c r="O2841" s="1" t="n"/>
      <c r="P2841" s="1" t="n"/>
      <c r="Q2841" s="1" t="n"/>
      <c r="R2841" s="1" t="n"/>
    </row>
    <row r="2842">
      <c r="A2842" s="61" t="n"/>
      <c r="B2842" s="16" t="n"/>
      <c r="C2842" s="90" t="n"/>
      <c r="D2842" s="90" t="n"/>
      <c r="E2842" s="90" t="n"/>
      <c r="F2842" s="16" t="n"/>
      <c r="G2842" s="16" t="n"/>
      <c r="H2842" s="63" t="n"/>
      <c r="I2842" s="64" t="n"/>
      <c r="J2842" s="16" t="n"/>
      <c r="K2842" s="16" t="n"/>
      <c r="M2842" s="89" t="n"/>
      <c r="N2842" s="1" t="n"/>
      <c r="O2842" s="1" t="n"/>
      <c r="P2842" s="1" t="n"/>
      <c r="Q2842" s="1" t="n"/>
      <c r="R2842" s="1" t="n"/>
    </row>
    <row r="2843">
      <c r="A2843" s="61" t="n"/>
      <c r="B2843" s="16" t="n"/>
      <c r="C2843" s="90" t="n"/>
      <c r="D2843" s="90" t="n"/>
      <c r="E2843" s="90" t="n"/>
      <c r="F2843" s="16" t="n"/>
      <c r="G2843" s="16" t="n"/>
      <c r="H2843" s="63" t="n"/>
      <c r="I2843" s="64" t="n"/>
      <c r="J2843" s="16" t="n"/>
      <c r="K2843" s="16" t="n"/>
      <c r="M2843" s="89" t="n"/>
      <c r="N2843" s="1" t="n"/>
      <c r="O2843" s="1" t="n"/>
      <c r="P2843" s="1" t="n"/>
      <c r="Q2843" s="1" t="n"/>
      <c r="R2843" s="1" t="n"/>
    </row>
    <row r="2844">
      <c r="A2844" s="61" t="n"/>
      <c r="B2844" s="16" t="n"/>
      <c r="C2844" s="90" t="n"/>
      <c r="D2844" s="90" t="n"/>
      <c r="E2844" s="90" t="n"/>
      <c r="F2844" s="16" t="n"/>
      <c r="G2844" s="16" t="n"/>
      <c r="H2844" s="63" t="n"/>
      <c r="I2844" s="64" t="n"/>
      <c r="J2844" s="16" t="n"/>
      <c r="K2844" s="16" t="n"/>
      <c r="M2844" s="89" t="n"/>
      <c r="N2844" s="1" t="n"/>
      <c r="O2844" s="1" t="n"/>
      <c r="P2844" s="1" t="n"/>
      <c r="Q2844" s="1" t="n"/>
      <c r="R2844" s="1" t="n"/>
    </row>
    <row r="2845">
      <c r="A2845" s="61" t="n"/>
      <c r="B2845" s="16" t="n"/>
      <c r="C2845" s="90" t="n"/>
      <c r="D2845" s="90" t="n"/>
      <c r="E2845" s="90" t="n"/>
      <c r="F2845" s="16" t="n"/>
      <c r="G2845" s="16" t="n"/>
      <c r="H2845" s="63" t="n"/>
      <c r="I2845" s="64" t="n"/>
      <c r="J2845" s="16" t="n"/>
      <c r="K2845" s="16" t="n"/>
      <c r="M2845" s="89" t="n"/>
      <c r="N2845" s="1" t="n"/>
      <c r="O2845" s="1" t="n"/>
      <c r="P2845" s="1" t="n"/>
      <c r="Q2845" s="1" t="n"/>
      <c r="R2845" s="1" t="n"/>
    </row>
    <row r="2846">
      <c r="A2846" s="61" t="n"/>
      <c r="B2846" s="16" t="n"/>
      <c r="C2846" s="90" t="n"/>
      <c r="D2846" s="90" t="n"/>
      <c r="E2846" s="90" t="n"/>
      <c r="F2846" s="16" t="n"/>
      <c r="G2846" s="16" t="n"/>
      <c r="H2846" s="63" t="n"/>
      <c r="I2846" s="64" t="n"/>
      <c r="J2846" s="16" t="n"/>
      <c r="K2846" s="16" t="n"/>
      <c r="M2846" s="89" t="n"/>
      <c r="N2846" s="1" t="n"/>
      <c r="O2846" s="1" t="n"/>
      <c r="P2846" s="1" t="n"/>
      <c r="Q2846" s="1" t="n"/>
      <c r="R2846" s="1" t="n"/>
    </row>
    <row r="2847">
      <c r="A2847" s="61" t="n"/>
      <c r="B2847" s="16" t="n"/>
      <c r="C2847" s="90" t="n"/>
      <c r="D2847" s="90" t="n"/>
      <c r="E2847" s="90" t="n"/>
      <c r="F2847" s="16" t="n"/>
      <c r="G2847" s="16" t="n"/>
      <c r="H2847" s="63" t="n"/>
      <c r="I2847" s="64" t="n"/>
      <c r="J2847" s="16" t="n"/>
      <c r="K2847" s="16" t="n"/>
      <c r="M2847" s="89" t="n"/>
      <c r="N2847" s="1" t="n"/>
      <c r="O2847" s="1" t="n"/>
      <c r="P2847" s="1" t="n"/>
      <c r="Q2847" s="1" t="n"/>
      <c r="R2847" s="1" t="n"/>
    </row>
    <row r="2848">
      <c r="A2848" s="61" t="n"/>
      <c r="B2848" s="16" t="n"/>
      <c r="C2848" s="90" t="n"/>
      <c r="D2848" s="90" t="n"/>
      <c r="E2848" s="90" t="n"/>
      <c r="F2848" s="16" t="n"/>
      <c r="G2848" s="16" t="n"/>
      <c r="H2848" s="63" t="n"/>
      <c r="I2848" s="64" t="n"/>
      <c r="J2848" s="16" t="n"/>
      <c r="K2848" s="16" t="n"/>
      <c r="M2848" s="89" t="n"/>
      <c r="N2848" s="1" t="n"/>
      <c r="O2848" s="1" t="n"/>
      <c r="P2848" s="1" t="n"/>
      <c r="Q2848" s="1" t="n"/>
      <c r="R2848" s="1" t="n"/>
    </row>
    <row r="2849">
      <c r="A2849" s="61" t="n"/>
      <c r="B2849" s="16" t="n"/>
      <c r="C2849" s="90" t="n"/>
      <c r="D2849" s="90" t="n"/>
      <c r="E2849" s="90" t="n"/>
      <c r="F2849" s="16" t="n"/>
      <c r="G2849" s="16" t="n"/>
      <c r="H2849" s="63" t="n"/>
      <c r="I2849" s="64" t="n"/>
      <c r="J2849" s="16" t="n"/>
      <c r="K2849" s="16" t="n"/>
      <c r="M2849" s="89" t="n"/>
      <c r="N2849" s="1" t="n"/>
      <c r="O2849" s="1" t="n"/>
      <c r="P2849" s="1" t="n"/>
      <c r="Q2849" s="1" t="n"/>
      <c r="R2849" s="1" t="n"/>
    </row>
    <row r="2850">
      <c r="A2850" s="61" t="n"/>
      <c r="B2850" s="16" t="n"/>
      <c r="C2850" s="90" t="n"/>
      <c r="D2850" s="90" t="n"/>
      <c r="E2850" s="90" t="n"/>
      <c r="F2850" s="16" t="n"/>
      <c r="G2850" s="16" t="n"/>
      <c r="H2850" s="63" t="n"/>
      <c r="I2850" s="64" t="n"/>
      <c r="J2850" s="16" t="n"/>
      <c r="K2850" s="16" t="n"/>
      <c r="M2850" s="89" t="n"/>
      <c r="N2850" s="1" t="n"/>
      <c r="O2850" s="1" t="n"/>
      <c r="P2850" s="1" t="n"/>
      <c r="Q2850" s="1" t="n"/>
      <c r="R2850" s="1" t="n"/>
    </row>
    <row r="2851">
      <c r="A2851" s="61" t="n"/>
      <c r="B2851" s="16" t="n"/>
      <c r="C2851" s="90" t="n"/>
      <c r="D2851" s="90" t="n"/>
      <c r="E2851" s="90" t="n"/>
      <c r="F2851" s="16" t="n"/>
      <c r="G2851" s="16" t="n"/>
      <c r="H2851" s="63" t="n"/>
      <c r="I2851" s="64" t="n"/>
      <c r="J2851" s="16" t="n"/>
      <c r="K2851" s="16" t="n"/>
      <c r="M2851" s="89" t="n"/>
      <c r="N2851" s="1" t="n"/>
      <c r="O2851" s="1" t="n"/>
      <c r="P2851" s="1" t="n"/>
      <c r="Q2851" s="1" t="n"/>
      <c r="R2851" s="1" t="n"/>
    </row>
    <row r="2852">
      <c r="A2852" s="61" t="n"/>
      <c r="B2852" s="16" t="n"/>
      <c r="C2852" s="90" t="n"/>
      <c r="D2852" s="90" t="n"/>
      <c r="E2852" s="90" t="n"/>
      <c r="F2852" s="16" t="n"/>
      <c r="G2852" s="16" t="n"/>
      <c r="H2852" s="63" t="n"/>
      <c r="I2852" s="64" t="n"/>
      <c r="J2852" s="16" t="n"/>
      <c r="K2852" s="16" t="n"/>
      <c r="M2852" s="89" t="n"/>
      <c r="N2852" s="1" t="n"/>
      <c r="O2852" s="1" t="n"/>
      <c r="P2852" s="1" t="n"/>
      <c r="Q2852" s="1" t="n"/>
      <c r="R2852" s="1" t="n"/>
    </row>
    <row r="2853">
      <c r="A2853" s="61" t="n"/>
      <c r="B2853" s="16" t="n"/>
      <c r="C2853" s="90" t="n"/>
      <c r="D2853" s="90" t="n"/>
      <c r="E2853" s="90" t="n"/>
      <c r="F2853" s="16" t="n"/>
      <c r="G2853" s="16" t="n"/>
      <c r="H2853" s="63" t="n"/>
      <c r="I2853" s="64" t="n"/>
      <c r="J2853" s="16" t="n"/>
      <c r="K2853" s="16" t="n"/>
      <c r="M2853" s="89" t="n"/>
      <c r="N2853" s="1" t="n"/>
      <c r="O2853" s="1" t="n"/>
      <c r="P2853" s="1" t="n"/>
      <c r="Q2853" s="1" t="n"/>
      <c r="R2853" s="1" t="n"/>
    </row>
    <row r="2854">
      <c r="A2854" s="61" t="n"/>
      <c r="B2854" s="16" t="n"/>
      <c r="C2854" s="90" t="n"/>
      <c r="D2854" s="90" t="n"/>
      <c r="E2854" s="90" t="n"/>
      <c r="F2854" s="16" t="n"/>
      <c r="G2854" s="16" t="n"/>
      <c r="H2854" s="63" t="n"/>
      <c r="I2854" s="64" t="n"/>
      <c r="J2854" s="16" t="n"/>
      <c r="K2854" s="16" t="n"/>
      <c r="M2854" s="89" t="n"/>
      <c r="N2854" s="1" t="n"/>
      <c r="O2854" s="1" t="n"/>
      <c r="P2854" s="1" t="n"/>
      <c r="Q2854" s="1" t="n"/>
      <c r="R2854" s="1" t="n"/>
    </row>
    <row r="2855">
      <c r="A2855" s="61" t="n"/>
      <c r="B2855" s="16" t="n"/>
      <c r="C2855" s="90" t="n"/>
      <c r="D2855" s="90" t="n"/>
      <c r="E2855" s="90" t="n"/>
      <c r="F2855" s="16" t="n"/>
      <c r="G2855" s="16" t="n"/>
      <c r="H2855" s="63" t="n"/>
      <c r="I2855" s="64" t="n"/>
      <c r="J2855" s="16" t="n"/>
      <c r="K2855" s="16" t="n"/>
      <c r="M2855" s="89" t="n"/>
      <c r="N2855" s="1" t="n"/>
      <c r="O2855" s="1" t="n"/>
      <c r="P2855" s="1" t="n"/>
      <c r="Q2855" s="1" t="n"/>
      <c r="R2855" s="1" t="n"/>
    </row>
    <row r="2856">
      <c r="A2856" s="61" t="n"/>
      <c r="B2856" s="16" t="n"/>
      <c r="C2856" s="90" t="n"/>
      <c r="D2856" s="90" t="n"/>
      <c r="E2856" s="90" t="n"/>
      <c r="F2856" s="16" t="n"/>
      <c r="G2856" s="16" t="n"/>
      <c r="H2856" s="63" t="n"/>
      <c r="I2856" s="64" t="n"/>
      <c r="J2856" s="16" t="n"/>
      <c r="K2856" s="16" t="n"/>
      <c r="M2856" s="89" t="n"/>
      <c r="N2856" s="1" t="n"/>
      <c r="O2856" s="1" t="n"/>
      <c r="P2856" s="1" t="n"/>
      <c r="Q2856" s="1" t="n"/>
      <c r="R2856" s="1" t="n"/>
    </row>
    <row r="2857">
      <c r="A2857" s="61" t="n"/>
      <c r="B2857" s="16" t="n"/>
      <c r="C2857" s="90" t="n"/>
      <c r="D2857" s="90" t="n"/>
      <c r="E2857" s="90" t="n"/>
      <c r="F2857" s="16" t="n"/>
      <c r="G2857" s="16" t="n"/>
      <c r="H2857" s="63" t="n"/>
      <c r="I2857" s="64" t="n"/>
      <c r="J2857" s="16" t="n"/>
      <c r="K2857" s="16" t="n"/>
      <c r="M2857" s="89" t="n"/>
      <c r="N2857" s="1" t="n"/>
      <c r="O2857" s="1" t="n"/>
      <c r="P2857" s="1" t="n"/>
      <c r="Q2857" s="1" t="n"/>
      <c r="R2857" s="1" t="n"/>
    </row>
    <row r="2858">
      <c r="A2858" s="61" t="n"/>
      <c r="B2858" s="16" t="n"/>
      <c r="C2858" s="90" t="n"/>
      <c r="D2858" s="90" t="n"/>
      <c r="E2858" s="90" t="n"/>
      <c r="F2858" s="16" t="n"/>
      <c r="G2858" s="16" t="n"/>
      <c r="H2858" s="63" t="n"/>
      <c r="I2858" s="64" t="n"/>
      <c r="J2858" s="16" t="n"/>
      <c r="K2858" s="16" t="n"/>
      <c r="M2858" s="89" t="n"/>
      <c r="N2858" s="1" t="n"/>
      <c r="O2858" s="1" t="n"/>
      <c r="P2858" s="1" t="n"/>
      <c r="Q2858" s="1" t="n"/>
      <c r="R2858" s="1" t="n"/>
    </row>
    <row r="2859">
      <c r="A2859" s="61" t="n"/>
      <c r="B2859" s="16" t="n"/>
      <c r="C2859" s="90" t="n"/>
      <c r="D2859" s="90" t="n"/>
      <c r="E2859" s="90" t="n"/>
      <c r="F2859" s="16" t="n"/>
      <c r="G2859" s="16" t="n"/>
      <c r="H2859" s="63" t="n"/>
      <c r="I2859" s="64" t="n"/>
      <c r="J2859" s="16" t="n"/>
      <c r="K2859" s="16" t="n"/>
      <c r="M2859" s="89" t="n"/>
      <c r="N2859" s="1" t="n"/>
      <c r="O2859" s="1" t="n"/>
      <c r="P2859" s="1" t="n"/>
      <c r="Q2859" s="1" t="n"/>
      <c r="R2859" s="1" t="n"/>
    </row>
    <row r="2860">
      <c r="A2860" s="61" t="n"/>
      <c r="B2860" s="16" t="n"/>
      <c r="C2860" s="90" t="n"/>
      <c r="D2860" s="90" t="n"/>
      <c r="E2860" s="90" t="n"/>
      <c r="F2860" s="16" t="n"/>
      <c r="G2860" s="16" t="n"/>
      <c r="H2860" s="63" t="n"/>
      <c r="I2860" s="64" t="n"/>
      <c r="J2860" s="16" t="n"/>
      <c r="K2860" s="16" t="n"/>
      <c r="M2860" s="89" t="n"/>
      <c r="N2860" s="1" t="n"/>
      <c r="O2860" s="1" t="n"/>
      <c r="P2860" s="1" t="n"/>
      <c r="Q2860" s="1" t="n"/>
      <c r="R2860" s="1" t="n"/>
    </row>
    <row r="2861">
      <c r="A2861" s="61" t="n"/>
      <c r="B2861" s="16" t="n"/>
      <c r="C2861" s="90" t="n"/>
      <c r="D2861" s="90" t="n"/>
      <c r="E2861" s="90" t="n"/>
      <c r="F2861" s="16" t="n"/>
      <c r="G2861" s="16" t="n"/>
      <c r="H2861" s="63" t="n"/>
      <c r="I2861" s="64" t="n"/>
      <c r="J2861" s="16" t="n"/>
      <c r="K2861" s="16" t="n"/>
      <c r="M2861" s="89" t="n"/>
      <c r="N2861" s="1" t="n"/>
      <c r="O2861" s="1" t="n"/>
      <c r="P2861" s="1" t="n"/>
      <c r="Q2861" s="1" t="n"/>
      <c r="R2861" s="1" t="n"/>
    </row>
    <row r="2862">
      <c r="A2862" s="61" t="n"/>
      <c r="B2862" s="16" t="n"/>
      <c r="C2862" s="90" t="n"/>
      <c r="D2862" s="90" t="n"/>
      <c r="E2862" s="90" t="n"/>
      <c r="F2862" s="16" t="n"/>
      <c r="G2862" s="16" t="n"/>
      <c r="H2862" s="63" t="n"/>
      <c r="I2862" s="64" t="n"/>
      <c r="J2862" s="16" t="n"/>
      <c r="K2862" s="16" t="n"/>
      <c r="M2862" s="89" t="n"/>
      <c r="N2862" s="1" t="n"/>
      <c r="O2862" s="1" t="n"/>
      <c r="P2862" s="1" t="n"/>
      <c r="Q2862" s="1" t="n"/>
      <c r="R2862" s="1" t="n"/>
    </row>
    <row r="2863">
      <c r="A2863" s="61" t="n"/>
      <c r="B2863" s="16" t="n"/>
      <c r="C2863" s="90" t="n"/>
      <c r="D2863" s="90" t="n"/>
      <c r="E2863" s="90" t="n"/>
      <c r="F2863" s="16" t="n"/>
      <c r="G2863" s="16" t="n"/>
      <c r="H2863" s="63" t="n"/>
      <c r="I2863" s="64" t="n"/>
      <c r="J2863" s="16" t="n"/>
      <c r="K2863" s="16" t="n"/>
      <c r="M2863" s="89" t="n"/>
      <c r="N2863" s="1" t="n"/>
      <c r="O2863" s="1" t="n"/>
      <c r="P2863" s="1" t="n"/>
      <c r="Q2863" s="1" t="n"/>
      <c r="R2863" s="1" t="n"/>
    </row>
    <row r="2864">
      <c r="A2864" s="61" t="n"/>
      <c r="B2864" s="16" t="n"/>
      <c r="C2864" s="90" t="n"/>
      <c r="D2864" s="90" t="n"/>
      <c r="E2864" s="90" t="n"/>
      <c r="F2864" s="16" t="n"/>
      <c r="G2864" s="16" t="n"/>
      <c r="H2864" s="63" t="n"/>
      <c r="I2864" s="64" t="n"/>
      <c r="J2864" s="16" t="n"/>
      <c r="K2864" s="16" t="n"/>
      <c r="M2864" s="89" t="n"/>
      <c r="N2864" s="1" t="n"/>
      <c r="O2864" s="1" t="n"/>
      <c r="P2864" s="1" t="n"/>
      <c r="Q2864" s="1" t="n"/>
      <c r="R2864" s="1" t="n"/>
    </row>
    <row r="2865">
      <c r="A2865" s="61" t="n"/>
      <c r="B2865" s="16" t="n"/>
      <c r="C2865" s="90" t="n"/>
      <c r="D2865" s="90" t="n"/>
      <c r="E2865" s="90" t="n"/>
      <c r="F2865" s="16" t="n"/>
      <c r="G2865" s="16" t="n"/>
      <c r="H2865" s="63" t="n"/>
      <c r="I2865" s="64" t="n"/>
      <c r="J2865" s="16" t="n"/>
      <c r="K2865" s="16" t="n"/>
      <c r="M2865" s="89" t="n"/>
      <c r="N2865" s="1" t="n"/>
      <c r="O2865" s="1" t="n"/>
      <c r="P2865" s="1" t="n"/>
      <c r="Q2865" s="1" t="n"/>
      <c r="R2865" s="1" t="n"/>
    </row>
    <row r="2866">
      <c r="A2866" s="61" t="n"/>
      <c r="B2866" s="16" t="n"/>
      <c r="C2866" s="90" t="n"/>
      <c r="D2866" s="90" t="n"/>
      <c r="E2866" s="90" t="n"/>
      <c r="F2866" s="16" t="n"/>
      <c r="G2866" s="16" t="n"/>
      <c r="H2866" s="63" t="n"/>
      <c r="I2866" s="64" t="n"/>
      <c r="J2866" s="16" t="n"/>
      <c r="K2866" s="16" t="n"/>
      <c r="M2866" s="89" t="n"/>
      <c r="N2866" s="1" t="n"/>
      <c r="O2866" s="1" t="n"/>
      <c r="P2866" s="1" t="n"/>
      <c r="Q2866" s="1" t="n"/>
      <c r="R2866" s="1" t="n"/>
    </row>
    <row r="2867">
      <c r="A2867" s="61" t="n"/>
      <c r="B2867" s="16" t="n"/>
      <c r="C2867" s="90" t="n"/>
      <c r="D2867" s="90" t="n"/>
      <c r="E2867" s="90" t="n"/>
      <c r="F2867" s="16" t="n"/>
      <c r="G2867" s="16" t="n"/>
      <c r="H2867" s="63" t="n"/>
      <c r="I2867" s="64" t="n"/>
      <c r="J2867" s="16" t="n"/>
      <c r="K2867" s="16" t="n"/>
      <c r="M2867" s="89" t="n"/>
      <c r="N2867" s="1" t="n"/>
      <c r="O2867" s="1" t="n"/>
      <c r="P2867" s="1" t="n"/>
      <c r="Q2867" s="1" t="n"/>
      <c r="R2867" s="1" t="n"/>
    </row>
    <row r="2868">
      <c r="A2868" s="61" t="n"/>
      <c r="B2868" s="16" t="n"/>
      <c r="C2868" s="90" t="n"/>
      <c r="D2868" s="90" t="n"/>
      <c r="E2868" s="90" t="n"/>
      <c r="F2868" s="16" t="n"/>
      <c r="G2868" s="16" t="n"/>
      <c r="H2868" s="63" t="n"/>
      <c r="I2868" s="64" t="n"/>
      <c r="J2868" s="16" t="n"/>
      <c r="K2868" s="16" t="n"/>
      <c r="M2868" s="89" t="n"/>
      <c r="N2868" s="1" t="n"/>
      <c r="O2868" s="1" t="n"/>
      <c r="P2868" s="1" t="n"/>
      <c r="Q2868" s="1" t="n"/>
      <c r="R2868" s="1" t="n"/>
    </row>
    <row r="2869">
      <c r="A2869" s="61" t="n"/>
      <c r="B2869" s="16" t="n"/>
      <c r="C2869" s="90" t="n"/>
      <c r="D2869" s="90" t="n"/>
      <c r="E2869" s="90" t="n"/>
      <c r="F2869" s="16" t="n"/>
      <c r="G2869" s="16" t="n"/>
      <c r="H2869" s="63" t="n"/>
      <c r="I2869" s="64" t="n"/>
      <c r="J2869" s="16" t="n"/>
      <c r="K2869" s="16" t="n"/>
      <c r="M2869" s="89" t="n"/>
      <c r="N2869" s="1" t="n"/>
      <c r="O2869" s="1" t="n"/>
      <c r="P2869" s="1" t="n"/>
      <c r="Q2869" s="1" t="n"/>
      <c r="R2869" s="1" t="n"/>
    </row>
    <row r="2870">
      <c r="A2870" s="61" t="n"/>
      <c r="B2870" s="16" t="n"/>
      <c r="C2870" s="90" t="n"/>
      <c r="D2870" s="90" t="n"/>
      <c r="E2870" s="90" t="n"/>
      <c r="F2870" s="16" t="n"/>
      <c r="G2870" s="16" t="n"/>
      <c r="H2870" s="63" t="n"/>
      <c r="I2870" s="64" t="n"/>
      <c r="J2870" s="16" t="n"/>
      <c r="K2870" s="16" t="n"/>
      <c r="M2870" s="89" t="n"/>
      <c r="N2870" s="1" t="n"/>
      <c r="O2870" s="1" t="n"/>
      <c r="P2870" s="1" t="n"/>
      <c r="Q2870" s="1" t="n"/>
      <c r="R2870" s="1" t="n"/>
    </row>
    <row r="2871">
      <c r="A2871" s="61" t="n"/>
      <c r="B2871" s="16" t="n"/>
      <c r="C2871" s="90" t="n"/>
      <c r="D2871" s="90" t="n"/>
      <c r="E2871" s="90" t="n"/>
      <c r="F2871" s="16" t="n"/>
      <c r="G2871" s="16" t="n"/>
      <c r="H2871" s="63" t="n"/>
      <c r="I2871" s="64" t="n"/>
      <c r="J2871" s="16" t="n"/>
      <c r="K2871" s="16" t="n"/>
      <c r="M2871" s="89" t="n"/>
      <c r="N2871" s="1" t="n"/>
      <c r="O2871" s="1" t="n"/>
      <c r="P2871" s="1" t="n"/>
      <c r="Q2871" s="1" t="n"/>
      <c r="R2871" s="1" t="n"/>
    </row>
    <row r="2872">
      <c r="A2872" s="61" t="n"/>
      <c r="B2872" s="16" t="n"/>
      <c r="C2872" s="90" t="n"/>
      <c r="D2872" s="90" t="n"/>
      <c r="E2872" s="90" t="n"/>
      <c r="F2872" s="16" t="n"/>
      <c r="G2872" s="16" t="n"/>
      <c r="H2872" s="63" t="n"/>
      <c r="I2872" s="64" t="n"/>
      <c r="J2872" s="16" t="n"/>
      <c r="K2872" s="16" t="n"/>
      <c r="M2872" s="89" t="n"/>
      <c r="N2872" s="1" t="n"/>
      <c r="O2872" s="1" t="n"/>
      <c r="P2872" s="1" t="n"/>
      <c r="Q2872" s="1" t="n"/>
      <c r="R2872" s="1" t="n"/>
    </row>
    <row r="2873">
      <c r="A2873" s="61" t="n"/>
      <c r="B2873" s="16" t="n"/>
      <c r="C2873" s="90" t="n"/>
      <c r="D2873" s="90" t="n"/>
      <c r="E2873" s="90" t="n"/>
      <c r="F2873" s="16" t="n"/>
      <c r="G2873" s="16" t="n"/>
      <c r="H2873" s="63" t="n"/>
      <c r="I2873" s="64" t="n"/>
      <c r="J2873" s="16" t="n"/>
      <c r="K2873" s="16" t="n"/>
      <c r="M2873" s="89" t="n"/>
      <c r="N2873" s="1" t="n"/>
      <c r="O2873" s="1" t="n"/>
      <c r="P2873" s="1" t="n"/>
      <c r="Q2873" s="1" t="n"/>
      <c r="R2873" s="1" t="n"/>
    </row>
    <row r="2874">
      <c r="A2874" s="61" t="n"/>
      <c r="B2874" s="16" t="n"/>
      <c r="C2874" s="90" t="n"/>
      <c r="D2874" s="90" t="n"/>
      <c r="E2874" s="90" t="n"/>
      <c r="F2874" s="16" t="n"/>
      <c r="G2874" s="16" t="n"/>
      <c r="H2874" s="63" t="n"/>
      <c r="I2874" s="64" t="n"/>
      <c r="J2874" s="16" t="n"/>
      <c r="K2874" s="16" t="n"/>
      <c r="M2874" s="89" t="n"/>
      <c r="N2874" s="1" t="n"/>
      <c r="O2874" s="1" t="n"/>
      <c r="P2874" s="1" t="n"/>
      <c r="Q2874" s="1" t="n"/>
      <c r="R2874" s="1" t="n"/>
    </row>
    <row r="2875">
      <c r="A2875" s="61" t="n"/>
      <c r="B2875" s="16" t="n"/>
      <c r="C2875" s="90" t="n"/>
      <c r="D2875" s="90" t="n"/>
      <c r="E2875" s="90" t="n"/>
      <c r="F2875" s="16" t="n"/>
      <c r="G2875" s="16" t="n"/>
      <c r="H2875" s="63" t="n"/>
      <c r="I2875" s="64" t="n"/>
      <c r="J2875" s="16" t="n"/>
      <c r="K2875" s="16" t="n"/>
      <c r="M2875" s="89" t="n"/>
      <c r="N2875" s="1" t="n"/>
      <c r="O2875" s="1" t="n"/>
      <c r="P2875" s="1" t="n"/>
      <c r="Q2875" s="1" t="n"/>
      <c r="R2875" s="1" t="n"/>
    </row>
    <row r="2876">
      <c r="A2876" s="61" t="n"/>
      <c r="B2876" s="16" t="n"/>
      <c r="C2876" s="90" t="n"/>
      <c r="D2876" s="90" t="n"/>
      <c r="E2876" s="90" t="n"/>
      <c r="F2876" s="16" t="n"/>
      <c r="G2876" s="16" t="n"/>
      <c r="H2876" s="63" t="n"/>
      <c r="I2876" s="64" t="n"/>
      <c r="J2876" s="16" t="n"/>
      <c r="K2876" s="16" t="n"/>
      <c r="M2876" s="89" t="n"/>
      <c r="N2876" s="1" t="n"/>
      <c r="O2876" s="1" t="n"/>
      <c r="P2876" s="1" t="n"/>
      <c r="Q2876" s="1" t="n"/>
      <c r="R2876" s="1" t="n"/>
    </row>
    <row r="2877">
      <c r="A2877" s="61" t="n"/>
      <c r="B2877" s="16" t="n"/>
      <c r="C2877" s="90" t="n"/>
      <c r="D2877" s="90" t="n"/>
      <c r="E2877" s="90" t="n"/>
      <c r="F2877" s="16" t="n"/>
      <c r="G2877" s="16" t="n"/>
      <c r="H2877" s="63" t="n"/>
      <c r="I2877" s="64" t="n"/>
      <c r="J2877" s="16" t="n"/>
      <c r="K2877" s="16" t="n"/>
      <c r="M2877" s="89" t="n"/>
      <c r="N2877" s="1" t="n"/>
      <c r="O2877" s="1" t="n"/>
      <c r="P2877" s="1" t="n"/>
      <c r="Q2877" s="1" t="n"/>
      <c r="R2877" s="1" t="n"/>
    </row>
    <row r="2878">
      <c r="A2878" s="61" t="n"/>
      <c r="B2878" s="16" t="n"/>
      <c r="C2878" s="90" t="n"/>
      <c r="D2878" s="90" t="n"/>
      <c r="E2878" s="90" t="n"/>
      <c r="F2878" s="16" t="n"/>
      <c r="G2878" s="16" t="n"/>
      <c r="H2878" s="63" t="n"/>
      <c r="I2878" s="64" t="n"/>
      <c r="J2878" s="16" t="n"/>
      <c r="K2878" s="16" t="n"/>
      <c r="M2878" s="89" t="n"/>
      <c r="N2878" s="1" t="n"/>
      <c r="O2878" s="1" t="n"/>
      <c r="P2878" s="1" t="n"/>
      <c r="Q2878" s="1" t="n"/>
      <c r="R2878" s="1" t="n"/>
    </row>
    <row r="2879">
      <c r="A2879" s="61" t="n"/>
      <c r="B2879" s="16" t="n"/>
      <c r="C2879" s="90" t="n"/>
      <c r="D2879" s="90" t="n"/>
      <c r="E2879" s="90" t="n"/>
      <c r="F2879" s="16" t="n"/>
      <c r="G2879" s="16" t="n"/>
      <c r="H2879" s="63" t="n"/>
      <c r="I2879" s="64" t="n"/>
      <c r="J2879" s="16" t="n"/>
      <c r="K2879" s="16" t="n"/>
      <c r="M2879" s="89" t="n"/>
      <c r="N2879" s="1" t="n"/>
      <c r="O2879" s="1" t="n"/>
      <c r="P2879" s="1" t="n"/>
      <c r="Q2879" s="1" t="n"/>
      <c r="R2879" s="1" t="n"/>
    </row>
    <row r="2880">
      <c r="A2880" s="61" t="n"/>
      <c r="B2880" s="16" t="n"/>
      <c r="C2880" s="90" t="n"/>
      <c r="D2880" s="90" t="n"/>
      <c r="E2880" s="90" t="n"/>
      <c r="F2880" s="16" t="n"/>
      <c r="G2880" s="16" t="n"/>
      <c r="H2880" s="63" t="n"/>
      <c r="I2880" s="64" t="n"/>
      <c r="J2880" s="16" t="n"/>
      <c r="K2880" s="16" t="n"/>
      <c r="M2880" s="89" t="n"/>
      <c r="N2880" s="1" t="n"/>
      <c r="O2880" s="1" t="n"/>
      <c r="P2880" s="1" t="n"/>
      <c r="Q2880" s="1" t="n"/>
      <c r="R2880" s="1" t="n"/>
    </row>
    <row r="2881">
      <c r="A2881" s="61" t="n"/>
      <c r="B2881" s="16" t="n"/>
      <c r="C2881" s="90" t="n"/>
      <c r="D2881" s="90" t="n"/>
      <c r="E2881" s="90" t="n"/>
      <c r="F2881" s="16" t="n"/>
      <c r="G2881" s="16" t="n"/>
      <c r="H2881" s="63" t="n"/>
      <c r="I2881" s="64" t="n"/>
      <c r="J2881" s="16" t="n"/>
      <c r="K2881" s="16" t="n"/>
      <c r="M2881" s="89" t="n"/>
      <c r="N2881" s="1" t="n"/>
      <c r="O2881" s="1" t="n"/>
      <c r="P2881" s="1" t="n"/>
      <c r="Q2881" s="1" t="n"/>
      <c r="R2881" s="1" t="n"/>
    </row>
    <row r="2882">
      <c r="A2882" s="61" t="n"/>
      <c r="B2882" s="16" t="n"/>
      <c r="C2882" s="90" t="n"/>
      <c r="D2882" s="90" t="n"/>
      <c r="E2882" s="90" t="n"/>
      <c r="F2882" s="16" t="n"/>
      <c r="G2882" s="16" t="n"/>
      <c r="H2882" s="63" t="n"/>
      <c r="I2882" s="64" t="n"/>
      <c r="J2882" s="16" t="n"/>
      <c r="K2882" s="16" t="n"/>
      <c r="M2882" s="89" t="n"/>
      <c r="N2882" s="1" t="n"/>
      <c r="O2882" s="1" t="n"/>
      <c r="P2882" s="1" t="n"/>
      <c r="Q2882" s="1" t="n"/>
      <c r="R2882" s="1" t="n"/>
    </row>
    <row r="2883">
      <c r="A2883" s="61" t="n"/>
      <c r="B2883" s="16" t="n"/>
      <c r="C2883" s="90" t="n"/>
      <c r="D2883" s="90" t="n"/>
      <c r="E2883" s="90" t="n"/>
      <c r="F2883" s="16" t="n"/>
      <c r="G2883" s="16" t="n"/>
      <c r="H2883" s="63" t="n"/>
      <c r="I2883" s="64" t="n"/>
      <c r="J2883" s="16" t="n"/>
      <c r="K2883" s="16" t="n"/>
      <c r="M2883" s="89" t="n"/>
      <c r="N2883" s="1" t="n"/>
      <c r="O2883" s="1" t="n"/>
      <c r="P2883" s="1" t="n"/>
      <c r="Q2883" s="1" t="n"/>
      <c r="R2883" s="1" t="n"/>
    </row>
    <row r="2884">
      <c r="A2884" s="61" t="n"/>
      <c r="B2884" s="16" t="n"/>
      <c r="C2884" s="90" t="n"/>
      <c r="D2884" s="90" t="n"/>
      <c r="E2884" s="90" t="n"/>
      <c r="F2884" s="16" t="n"/>
      <c r="G2884" s="16" t="n"/>
      <c r="H2884" s="63" t="n"/>
      <c r="I2884" s="64" t="n"/>
      <c r="J2884" s="16" t="n"/>
      <c r="K2884" s="16" t="n"/>
      <c r="M2884" s="89" t="n"/>
      <c r="N2884" s="1" t="n"/>
      <c r="O2884" s="1" t="n"/>
      <c r="P2884" s="1" t="n"/>
      <c r="Q2884" s="1" t="n"/>
      <c r="R2884" s="1" t="n"/>
    </row>
    <row r="2885">
      <c r="A2885" s="61" t="n"/>
      <c r="B2885" s="16" t="n"/>
      <c r="C2885" s="90" t="n"/>
      <c r="D2885" s="90" t="n"/>
      <c r="E2885" s="90" t="n"/>
      <c r="F2885" s="16" t="n"/>
      <c r="G2885" s="16" t="n"/>
      <c r="H2885" s="63" t="n"/>
      <c r="I2885" s="64" t="n"/>
      <c r="J2885" s="16" t="n"/>
      <c r="K2885" s="16" t="n"/>
      <c r="M2885" s="89" t="n"/>
      <c r="N2885" s="1" t="n"/>
      <c r="O2885" s="1" t="n"/>
      <c r="P2885" s="1" t="n"/>
      <c r="Q2885" s="1" t="n"/>
      <c r="R2885" s="1" t="n"/>
    </row>
    <row r="2886">
      <c r="A2886" s="61" t="n"/>
      <c r="B2886" s="16" t="n"/>
      <c r="C2886" s="90" t="n"/>
      <c r="D2886" s="90" t="n"/>
      <c r="E2886" s="90" t="n"/>
      <c r="F2886" s="16" t="n"/>
      <c r="G2886" s="16" t="n"/>
      <c r="H2886" s="63" t="n"/>
      <c r="I2886" s="64" t="n"/>
      <c r="J2886" s="16" t="n"/>
      <c r="K2886" s="16" t="n"/>
      <c r="M2886" s="89" t="n"/>
      <c r="N2886" s="1" t="n"/>
      <c r="O2886" s="1" t="n"/>
      <c r="P2886" s="1" t="n"/>
      <c r="Q2886" s="1" t="n"/>
      <c r="R2886" s="1" t="n"/>
    </row>
    <row r="2887">
      <c r="A2887" s="61" t="n"/>
      <c r="B2887" s="16" t="n"/>
      <c r="C2887" s="90" t="n"/>
      <c r="D2887" s="90" t="n"/>
      <c r="E2887" s="90" t="n"/>
      <c r="F2887" s="16" t="n"/>
      <c r="G2887" s="16" t="n"/>
      <c r="H2887" s="63" t="n"/>
      <c r="I2887" s="64" t="n"/>
      <c r="J2887" s="16" t="n"/>
      <c r="K2887" s="16" t="n"/>
      <c r="M2887" s="89" t="n"/>
      <c r="N2887" s="1" t="n"/>
      <c r="O2887" s="1" t="n"/>
      <c r="P2887" s="1" t="n"/>
      <c r="Q2887" s="1" t="n"/>
      <c r="R2887" s="1" t="n"/>
    </row>
    <row r="2888">
      <c r="A2888" s="61" t="n"/>
      <c r="B2888" s="16" t="n"/>
      <c r="C2888" s="90" t="n"/>
      <c r="D2888" s="90" t="n"/>
      <c r="E2888" s="90" t="n"/>
      <c r="F2888" s="16" t="n"/>
      <c r="G2888" s="16" t="n"/>
      <c r="H2888" s="63" t="n"/>
      <c r="I2888" s="64" t="n"/>
      <c r="J2888" s="16" t="n"/>
      <c r="K2888" s="16" t="n"/>
      <c r="M2888" s="89" t="n"/>
      <c r="N2888" s="1" t="n"/>
      <c r="O2888" s="1" t="n"/>
      <c r="P2888" s="1" t="n"/>
      <c r="Q2888" s="1" t="n"/>
      <c r="R2888" s="1" t="n"/>
    </row>
    <row r="2889">
      <c r="A2889" s="61" t="n"/>
      <c r="B2889" s="16" t="n"/>
      <c r="C2889" s="90" t="n"/>
      <c r="D2889" s="90" t="n"/>
      <c r="E2889" s="90" t="n"/>
      <c r="F2889" s="16" t="n"/>
      <c r="G2889" s="16" t="n"/>
      <c r="H2889" s="63" t="n"/>
      <c r="I2889" s="64" t="n"/>
      <c r="J2889" s="16" t="n"/>
      <c r="K2889" s="16" t="n"/>
      <c r="M2889" s="89" t="n"/>
      <c r="N2889" s="1" t="n"/>
      <c r="O2889" s="1" t="n"/>
      <c r="P2889" s="1" t="n"/>
      <c r="Q2889" s="1" t="n"/>
      <c r="R2889" s="1" t="n"/>
    </row>
    <row r="2890">
      <c r="A2890" s="61" t="n"/>
      <c r="B2890" s="16" t="n"/>
      <c r="C2890" s="90" t="n"/>
      <c r="D2890" s="90" t="n"/>
      <c r="E2890" s="90" t="n"/>
      <c r="F2890" s="16" t="n"/>
      <c r="G2890" s="16" t="n"/>
      <c r="H2890" s="63" t="n"/>
      <c r="I2890" s="64" t="n"/>
      <c r="J2890" s="16" t="n"/>
      <c r="K2890" s="16" t="n"/>
      <c r="M2890" s="89" t="n"/>
      <c r="N2890" s="1" t="n"/>
      <c r="O2890" s="1" t="n"/>
      <c r="P2890" s="1" t="n"/>
      <c r="Q2890" s="1" t="n"/>
      <c r="R2890" s="1" t="n"/>
    </row>
    <row r="2891">
      <c r="A2891" s="61" t="n"/>
      <c r="B2891" s="16" t="n"/>
      <c r="C2891" s="90" t="n"/>
      <c r="D2891" s="90" t="n"/>
      <c r="E2891" s="90" t="n"/>
      <c r="F2891" s="16" t="n"/>
      <c r="G2891" s="16" t="n"/>
      <c r="H2891" s="63" t="n"/>
      <c r="I2891" s="64" t="n"/>
      <c r="J2891" s="16" t="n"/>
      <c r="K2891" s="16" t="n"/>
      <c r="M2891" s="89" t="n"/>
      <c r="N2891" s="1" t="n"/>
      <c r="O2891" s="1" t="n"/>
      <c r="P2891" s="1" t="n"/>
      <c r="Q2891" s="1" t="n"/>
      <c r="R2891" s="1" t="n"/>
    </row>
    <row r="2892">
      <c r="A2892" s="61" t="n"/>
      <c r="B2892" s="16" t="n"/>
      <c r="C2892" s="90" t="n"/>
      <c r="D2892" s="90" t="n"/>
      <c r="E2892" s="90" t="n"/>
      <c r="F2892" s="16" t="n"/>
      <c r="G2892" s="16" t="n"/>
      <c r="H2892" s="63" t="n"/>
      <c r="I2892" s="64" t="n"/>
      <c r="J2892" s="16" t="n"/>
      <c r="K2892" s="16" t="n"/>
      <c r="M2892" s="89" t="n"/>
      <c r="N2892" s="1" t="n"/>
      <c r="O2892" s="1" t="n"/>
      <c r="P2892" s="1" t="n"/>
      <c r="Q2892" s="1" t="n"/>
      <c r="R2892" s="1" t="n"/>
    </row>
    <row r="2893">
      <c r="A2893" s="61" t="n"/>
      <c r="B2893" s="16" t="n"/>
      <c r="C2893" s="90" t="n"/>
      <c r="D2893" s="90" t="n"/>
      <c r="E2893" s="90" t="n"/>
      <c r="F2893" s="16" t="n"/>
      <c r="G2893" s="16" t="n"/>
      <c r="H2893" s="63" t="n"/>
      <c r="I2893" s="64" t="n"/>
      <c r="J2893" s="16" t="n"/>
      <c r="K2893" s="16" t="n"/>
      <c r="M2893" s="89" t="n"/>
      <c r="N2893" s="1" t="n"/>
      <c r="O2893" s="1" t="n"/>
      <c r="P2893" s="1" t="n"/>
      <c r="Q2893" s="1" t="n"/>
      <c r="R2893" s="1" t="n"/>
    </row>
    <row r="2894">
      <c r="A2894" s="61" t="n"/>
      <c r="B2894" s="16" t="n"/>
      <c r="C2894" s="90" t="n"/>
      <c r="D2894" s="90" t="n"/>
      <c r="E2894" s="90" t="n"/>
      <c r="F2894" s="16" t="n"/>
      <c r="G2894" s="16" t="n"/>
      <c r="H2894" s="63" t="n"/>
      <c r="I2894" s="64" t="n"/>
      <c r="J2894" s="16" t="n"/>
      <c r="K2894" s="16" t="n"/>
      <c r="M2894" s="89" t="n"/>
      <c r="N2894" s="1" t="n"/>
      <c r="O2894" s="1" t="n"/>
      <c r="P2894" s="1" t="n"/>
      <c r="Q2894" s="1" t="n"/>
      <c r="R2894" s="1" t="n"/>
    </row>
    <row r="2895">
      <c r="A2895" s="61" t="n"/>
      <c r="B2895" s="16" t="n"/>
      <c r="C2895" s="90" t="n"/>
      <c r="D2895" s="90" t="n"/>
      <c r="E2895" s="90" t="n"/>
      <c r="F2895" s="16" t="n"/>
      <c r="G2895" s="16" t="n"/>
      <c r="H2895" s="63" t="n"/>
      <c r="I2895" s="64" t="n"/>
      <c r="J2895" s="16" t="n"/>
      <c r="K2895" s="16" t="n"/>
      <c r="M2895" s="89" t="n"/>
      <c r="N2895" s="1" t="n"/>
      <c r="O2895" s="1" t="n"/>
      <c r="P2895" s="1" t="n"/>
      <c r="Q2895" s="1" t="n"/>
      <c r="R2895" s="1" t="n"/>
    </row>
    <row r="2896">
      <c r="A2896" s="61" t="n"/>
      <c r="B2896" s="16" t="n"/>
      <c r="C2896" s="90" t="n"/>
      <c r="D2896" s="90" t="n"/>
      <c r="E2896" s="90" t="n"/>
      <c r="F2896" s="16" t="n"/>
      <c r="G2896" s="16" t="n"/>
      <c r="H2896" s="63" t="n"/>
      <c r="I2896" s="64" t="n"/>
      <c r="J2896" s="16" t="n"/>
      <c r="K2896" s="16" t="n"/>
      <c r="M2896" s="89" t="n"/>
      <c r="N2896" s="1" t="n"/>
      <c r="O2896" s="1" t="n"/>
      <c r="P2896" s="1" t="n"/>
      <c r="Q2896" s="1" t="n"/>
      <c r="R2896" s="1" t="n"/>
    </row>
    <row r="2897">
      <c r="A2897" s="61" t="n"/>
      <c r="B2897" s="16" t="n"/>
      <c r="C2897" s="90" t="n"/>
      <c r="D2897" s="90" t="n"/>
      <c r="E2897" s="90" t="n"/>
      <c r="F2897" s="16" t="n"/>
      <c r="G2897" s="16" t="n"/>
      <c r="H2897" s="63" t="n"/>
      <c r="I2897" s="64" t="n"/>
      <c r="J2897" s="16" t="n"/>
      <c r="K2897" s="16" t="n"/>
      <c r="M2897" s="89" t="n"/>
      <c r="N2897" s="1" t="n"/>
      <c r="O2897" s="1" t="n"/>
      <c r="P2897" s="1" t="n"/>
      <c r="Q2897" s="1" t="n"/>
      <c r="R2897" s="1" t="n"/>
    </row>
    <row r="2898">
      <c r="A2898" s="61" t="n"/>
      <c r="B2898" s="16" t="n"/>
      <c r="C2898" s="90" t="n"/>
      <c r="D2898" s="90" t="n"/>
      <c r="E2898" s="90" t="n"/>
      <c r="F2898" s="16" t="n"/>
      <c r="G2898" s="16" t="n"/>
      <c r="H2898" s="63" t="n"/>
      <c r="I2898" s="64" t="n"/>
      <c r="J2898" s="16" t="n"/>
      <c r="K2898" s="16" t="n"/>
      <c r="M2898" s="89" t="n"/>
      <c r="N2898" s="1" t="n"/>
      <c r="O2898" s="1" t="n"/>
      <c r="P2898" s="1" t="n"/>
      <c r="Q2898" s="1" t="n"/>
      <c r="R2898" s="1" t="n"/>
    </row>
    <row r="2899">
      <c r="A2899" s="61" t="n"/>
      <c r="B2899" s="16" t="n"/>
      <c r="C2899" s="90" t="n"/>
      <c r="D2899" s="90" t="n"/>
      <c r="E2899" s="90" t="n"/>
      <c r="F2899" s="16" t="n"/>
      <c r="G2899" s="16" t="n"/>
      <c r="H2899" s="63" t="n"/>
      <c r="I2899" s="64" t="n"/>
      <c r="J2899" s="16" t="n"/>
      <c r="K2899" s="16" t="n"/>
      <c r="M2899" s="89" t="n"/>
      <c r="N2899" s="1" t="n"/>
      <c r="O2899" s="1" t="n"/>
      <c r="P2899" s="1" t="n"/>
      <c r="Q2899" s="1" t="n"/>
      <c r="R2899" s="1" t="n"/>
    </row>
    <row r="2900">
      <c r="A2900" s="61" t="n"/>
      <c r="B2900" s="16" t="n"/>
      <c r="C2900" s="90" t="n"/>
      <c r="D2900" s="90" t="n"/>
      <c r="E2900" s="90" t="n"/>
      <c r="F2900" s="16" t="n"/>
      <c r="G2900" s="16" t="n"/>
      <c r="H2900" s="63" t="n"/>
      <c r="I2900" s="64" t="n"/>
      <c r="J2900" s="16" t="n"/>
      <c r="K2900" s="16" t="n"/>
      <c r="M2900" s="89" t="n"/>
      <c r="N2900" s="1" t="n"/>
      <c r="O2900" s="1" t="n"/>
      <c r="P2900" s="1" t="n"/>
      <c r="Q2900" s="1" t="n"/>
      <c r="R2900" s="1" t="n"/>
    </row>
    <row r="2901">
      <c r="A2901" s="61" t="n"/>
      <c r="B2901" s="16" t="n"/>
      <c r="C2901" s="90" t="n"/>
      <c r="D2901" s="90" t="n"/>
      <c r="E2901" s="90" t="n"/>
      <c r="F2901" s="16" t="n"/>
      <c r="G2901" s="16" t="n"/>
      <c r="H2901" s="63" t="n"/>
      <c r="I2901" s="64" t="n"/>
      <c r="J2901" s="16" t="n"/>
      <c r="K2901" s="16" t="n"/>
      <c r="M2901" s="89" t="n"/>
      <c r="N2901" s="1" t="n"/>
      <c r="O2901" s="1" t="n"/>
      <c r="P2901" s="1" t="n"/>
      <c r="Q2901" s="1" t="n"/>
      <c r="R2901" s="1" t="n"/>
    </row>
    <row r="2902">
      <c r="A2902" s="61" t="n"/>
      <c r="B2902" s="16" t="n"/>
      <c r="C2902" s="90" t="n"/>
      <c r="D2902" s="90" t="n"/>
      <c r="E2902" s="90" t="n"/>
      <c r="F2902" s="16" t="n"/>
      <c r="G2902" s="16" t="n"/>
      <c r="H2902" s="63" t="n"/>
      <c r="I2902" s="64" t="n"/>
      <c r="J2902" s="16" t="n"/>
      <c r="K2902" s="16" t="n"/>
      <c r="M2902" s="89" t="n"/>
      <c r="N2902" s="1" t="n"/>
      <c r="O2902" s="1" t="n"/>
      <c r="P2902" s="1" t="n"/>
      <c r="Q2902" s="1" t="n"/>
      <c r="R2902" s="1" t="n"/>
    </row>
    <row r="2903">
      <c r="A2903" s="61" t="n"/>
      <c r="B2903" s="16" t="n"/>
      <c r="C2903" s="90" t="n"/>
      <c r="D2903" s="90" t="n"/>
      <c r="E2903" s="90" t="n"/>
      <c r="F2903" s="16" t="n"/>
      <c r="G2903" s="16" t="n"/>
      <c r="H2903" s="63" t="n"/>
      <c r="I2903" s="64" t="n"/>
      <c r="J2903" s="16" t="n"/>
      <c r="K2903" s="16" t="n"/>
      <c r="M2903" s="89" t="n"/>
      <c r="N2903" s="1" t="n"/>
      <c r="O2903" s="1" t="n"/>
      <c r="P2903" s="1" t="n"/>
      <c r="Q2903" s="1" t="n"/>
      <c r="R2903" s="1" t="n"/>
    </row>
    <row r="2904">
      <c r="A2904" s="61" t="n"/>
      <c r="B2904" s="16" t="n"/>
      <c r="C2904" s="90" t="n"/>
      <c r="D2904" s="90" t="n"/>
      <c r="E2904" s="90" t="n"/>
      <c r="F2904" s="16" t="n"/>
      <c r="G2904" s="16" t="n"/>
      <c r="H2904" s="63" t="n"/>
      <c r="I2904" s="64" t="n"/>
      <c r="J2904" s="16" t="n"/>
      <c r="K2904" s="16" t="n"/>
      <c r="M2904" s="89" t="n"/>
      <c r="N2904" s="1" t="n"/>
      <c r="O2904" s="1" t="n"/>
      <c r="P2904" s="1" t="n"/>
      <c r="Q2904" s="1" t="n"/>
      <c r="R2904" s="1" t="n"/>
    </row>
    <row r="2905">
      <c r="A2905" s="61" t="n"/>
      <c r="B2905" s="16" t="n"/>
      <c r="C2905" s="90" t="n"/>
      <c r="D2905" s="90" t="n"/>
      <c r="E2905" s="90" t="n"/>
      <c r="F2905" s="16" t="n"/>
      <c r="G2905" s="16" t="n"/>
      <c r="H2905" s="63" t="n"/>
      <c r="I2905" s="64" t="n"/>
      <c r="J2905" s="16" t="n"/>
      <c r="K2905" s="16" t="n"/>
      <c r="M2905" s="89" t="n"/>
      <c r="N2905" s="1" t="n"/>
      <c r="O2905" s="1" t="n"/>
      <c r="P2905" s="1" t="n"/>
      <c r="Q2905" s="1" t="n"/>
      <c r="R2905" s="1" t="n"/>
    </row>
    <row r="2906">
      <c r="A2906" s="61" t="n"/>
      <c r="B2906" s="16" t="n"/>
      <c r="C2906" s="90" t="n"/>
      <c r="D2906" s="90" t="n"/>
      <c r="E2906" s="90" t="n"/>
      <c r="F2906" s="16" t="n"/>
      <c r="G2906" s="16" t="n"/>
      <c r="H2906" s="63" t="n"/>
      <c r="I2906" s="64" t="n"/>
      <c r="J2906" s="16" t="n"/>
      <c r="K2906" s="16" t="n"/>
      <c r="M2906" s="89" t="n"/>
      <c r="N2906" s="1" t="n"/>
      <c r="O2906" s="1" t="n"/>
      <c r="P2906" s="1" t="n"/>
      <c r="Q2906" s="1" t="n"/>
      <c r="R2906" s="1" t="n"/>
    </row>
    <row r="2907">
      <c r="A2907" s="61" t="n"/>
      <c r="B2907" s="16" t="n"/>
      <c r="C2907" s="90" t="n"/>
      <c r="D2907" s="90" t="n"/>
      <c r="E2907" s="90" t="n"/>
      <c r="F2907" s="16" t="n"/>
      <c r="G2907" s="16" t="n"/>
      <c r="H2907" s="63" t="n"/>
      <c r="I2907" s="64" t="n"/>
      <c r="J2907" s="16" t="n"/>
      <c r="K2907" s="16" t="n"/>
      <c r="M2907" s="89" t="n"/>
      <c r="N2907" s="1" t="n"/>
      <c r="O2907" s="1" t="n"/>
      <c r="P2907" s="1" t="n"/>
      <c r="Q2907" s="1" t="n"/>
      <c r="R2907" s="1" t="n"/>
    </row>
    <row r="2908">
      <c r="A2908" s="61" t="n"/>
      <c r="B2908" s="16" t="n"/>
      <c r="C2908" s="90" t="n"/>
      <c r="D2908" s="90" t="n"/>
      <c r="E2908" s="90" t="n"/>
      <c r="F2908" s="16" t="n"/>
      <c r="G2908" s="16" t="n"/>
      <c r="H2908" s="63" t="n"/>
      <c r="I2908" s="64" t="n"/>
      <c r="J2908" s="16" t="n"/>
      <c r="K2908" s="16" t="n"/>
      <c r="M2908" s="89" t="n"/>
      <c r="N2908" s="1" t="n"/>
      <c r="O2908" s="1" t="n"/>
      <c r="P2908" s="1" t="n"/>
      <c r="Q2908" s="1" t="n"/>
      <c r="R2908" s="1" t="n"/>
    </row>
    <row r="2909">
      <c r="A2909" s="61" t="n"/>
      <c r="B2909" s="16" t="n"/>
      <c r="C2909" s="90" t="n"/>
      <c r="D2909" s="90" t="n"/>
      <c r="E2909" s="90" t="n"/>
      <c r="F2909" s="16" t="n"/>
      <c r="G2909" s="16" t="n"/>
      <c r="H2909" s="63" t="n"/>
      <c r="I2909" s="64" t="n"/>
      <c r="J2909" s="16" t="n"/>
      <c r="K2909" s="16" t="n"/>
      <c r="M2909" s="89" t="n"/>
      <c r="N2909" s="1" t="n"/>
      <c r="O2909" s="1" t="n"/>
      <c r="P2909" s="1" t="n"/>
      <c r="Q2909" s="1" t="n"/>
      <c r="R2909" s="1" t="n"/>
    </row>
    <row r="2910">
      <c r="A2910" s="61" t="n"/>
      <c r="B2910" s="16" t="n"/>
      <c r="C2910" s="90" t="n"/>
      <c r="D2910" s="90" t="n"/>
      <c r="E2910" s="90" t="n"/>
      <c r="F2910" s="16" t="n"/>
      <c r="G2910" s="16" t="n"/>
      <c r="H2910" s="63" t="n"/>
      <c r="I2910" s="64" t="n"/>
      <c r="J2910" s="16" t="n"/>
      <c r="K2910" s="16" t="n"/>
      <c r="M2910" s="89" t="n"/>
      <c r="N2910" s="1" t="n"/>
      <c r="O2910" s="1" t="n"/>
      <c r="P2910" s="1" t="n"/>
      <c r="Q2910" s="1" t="n"/>
      <c r="R2910" s="1" t="n"/>
    </row>
    <row r="2911">
      <c r="A2911" s="61" t="n"/>
      <c r="B2911" s="16" t="n"/>
      <c r="C2911" s="90" t="n"/>
      <c r="D2911" s="90" t="n"/>
      <c r="E2911" s="90" t="n"/>
      <c r="F2911" s="16" t="n"/>
      <c r="G2911" s="16" t="n"/>
      <c r="H2911" s="63" t="n"/>
      <c r="I2911" s="64" t="n"/>
      <c r="J2911" s="16" t="n"/>
      <c r="K2911" s="16" t="n"/>
      <c r="M2911" s="89" t="n"/>
      <c r="N2911" s="1" t="n"/>
      <c r="O2911" s="1" t="n"/>
      <c r="P2911" s="1" t="n"/>
      <c r="Q2911" s="1" t="n"/>
      <c r="R2911" s="1" t="n"/>
    </row>
    <row r="2912">
      <c r="A2912" s="61" t="n"/>
      <c r="B2912" s="16" t="n"/>
      <c r="C2912" s="90" t="n"/>
      <c r="D2912" s="90" t="n"/>
      <c r="E2912" s="90" t="n"/>
      <c r="F2912" s="16" t="n"/>
      <c r="G2912" s="16" t="n"/>
      <c r="H2912" s="63" t="n"/>
      <c r="I2912" s="64" t="n"/>
      <c r="J2912" s="16" t="n"/>
      <c r="K2912" s="16" t="n"/>
      <c r="M2912" s="89" t="n"/>
      <c r="N2912" s="1" t="n"/>
      <c r="O2912" s="1" t="n"/>
      <c r="P2912" s="1" t="n"/>
      <c r="Q2912" s="1" t="n"/>
      <c r="R2912" s="1" t="n"/>
    </row>
    <row r="2913">
      <c r="A2913" s="61" t="n"/>
      <c r="B2913" s="16" t="n"/>
      <c r="C2913" s="90" t="n"/>
      <c r="D2913" s="90" t="n"/>
      <c r="E2913" s="90" t="n"/>
      <c r="F2913" s="16" t="n"/>
      <c r="G2913" s="16" t="n"/>
      <c r="H2913" s="63" t="n"/>
      <c r="I2913" s="64" t="n"/>
      <c r="J2913" s="16" t="n"/>
      <c r="K2913" s="16" t="n"/>
      <c r="M2913" s="89" t="n"/>
      <c r="N2913" s="1" t="n"/>
      <c r="O2913" s="1" t="n"/>
      <c r="P2913" s="1" t="n"/>
      <c r="Q2913" s="1" t="n"/>
      <c r="R2913" s="1" t="n"/>
    </row>
    <row r="2914">
      <c r="A2914" s="61" t="n"/>
      <c r="B2914" s="16" t="n"/>
      <c r="C2914" s="90" t="n"/>
      <c r="D2914" s="90" t="n"/>
      <c r="E2914" s="90" t="n"/>
      <c r="F2914" s="16" t="n"/>
      <c r="G2914" s="16" t="n"/>
      <c r="H2914" s="63" t="n"/>
      <c r="I2914" s="64" t="n"/>
      <c r="J2914" s="16" t="n"/>
      <c r="K2914" s="16" t="n"/>
      <c r="M2914" s="89" t="n"/>
      <c r="N2914" s="1" t="n"/>
      <c r="O2914" s="1" t="n"/>
      <c r="P2914" s="1" t="n"/>
      <c r="Q2914" s="1" t="n"/>
      <c r="R2914" s="1" t="n"/>
    </row>
    <row r="2915">
      <c r="A2915" s="61" t="n"/>
      <c r="B2915" s="16" t="n"/>
      <c r="C2915" s="90" t="n"/>
      <c r="D2915" s="90" t="n"/>
      <c r="E2915" s="90" t="n"/>
      <c r="F2915" s="16" t="n"/>
      <c r="G2915" s="16" t="n"/>
      <c r="H2915" s="63" t="n"/>
      <c r="I2915" s="64" t="n"/>
      <c r="J2915" s="16" t="n"/>
      <c r="K2915" s="16" t="n"/>
      <c r="M2915" s="89" t="n"/>
      <c r="N2915" s="1" t="n"/>
      <c r="O2915" s="1" t="n"/>
      <c r="P2915" s="1" t="n"/>
      <c r="Q2915" s="1" t="n"/>
      <c r="R2915" s="1" t="n"/>
    </row>
    <row r="2916">
      <c r="A2916" s="61" t="n"/>
      <c r="B2916" s="16" t="n"/>
      <c r="C2916" s="90" t="n"/>
      <c r="D2916" s="90" t="n"/>
      <c r="E2916" s="90" t="n"/>
      <c r="F2916" s="16" t="n"/>
      <c r="G2916" s="16" t="n"/>
      <c r="H2916" s="63" t="n"/>
      <c r="I2916" s="64" t="n"/>
      <c r="J2916" s="16" t="n"/>
      <c r="K2916" s="16" t="n"/>
      <c r="M2916" s="89" t="n"/>
      <c r="N2916" s="1" t="n"/>
      <c r="O2916" s="1" t="n"/>
      <c r="P2916" s="1" t="n"/>
      <c r="Q2916" s="1" t="n"/>
      <c r="R2916" s="1" t="n"/>
    </row>
    <row r="2917">
      <c r="A2917" s="61" t="n"/>
      <c r="B2917" s="16" t="n"/>
      <c r="C2917" s="90" t="n"/>
      <c r="D2917" s="90" t="n"/>
      <c r="E2917" s="90" t="n"/>
      <c r="F2917" s="16" t="n"/>
      <c r="G2917" s="16" t="n"/>
      <c r="H2917" s="63" t="n"/>
      <c r="I2917" s="64" t="n"/>
      <c r="J2917" s="16" t="n"/>
      <c r="K2917" s="16" t="n"/>
      <c r="M2917" s="89" t="n"/>
      <c r="N2917" s="1" t="n"/>
      <c r="O2917" s="1" t="n"/>
      <c r="P2917" s="1" t="n"/>
      <c r="Q2917" s="1" t="n"/>
      <c r="R2917" s="1" t="n"/>
    </row>
    <row r="2918">
      <c r="A2918" s="61" t="n"/>
      <c r="B2918" s="16" t="n"/>
      <c r="C2918" s="90" t="n"/>
      <c r="D2918" s="90" t="n"/>
      <c r="E2918" s="90" t="n"/>
      <c r="F2918" s="16" t="n"/>
      <c r="G2918" s="16" t="n"/>
      <c r="H2918" s="63" t="n"/>
      <c r="I2918" s="64" t="n"/>
      <c r="J2918" s="16" t="n"/>
      <c r="K2918" s="16" t="n"/>
      <c r="M2918" s="89" t="n"/>
      <c r="N2918" s="1" t="n"/>
      <c r="O2918" s="1" t="n"/>
      <c r="P2918" s="1" t="n"/>
      <c r="Q2918" s="1" t="n"/>
      <c r="R2918" s="1" t="n"/>
    </row>
    <row r="2919">
      <c r="A2919" s="61" t="n"/>
      <c r="B2919" s="16" t="n"/>
      <c r="C2919" s="90" t="n"/>
      <c r="D2919" s="90" t="n"/>
      <c r="E2919" s="90" t="n"/>
      <c r="F2919" s="16" t="n"/>
      <c r="G2919" s="16" t="n"/>
      <c r="H2919" s="63" t="n"/>
      <c r="I2919" s="64" t="n"/>
      <c r="J2919" s="16" t="n"/>
      <c r="K2919" s="16" t="n"/>
      <c r="M2919" s="89" t="n"/>
      <c r="N2919" s="1" t="n"/>
      <c r="O2919" s="1" t="n"/>
      <c r="P2919" s="1" t="n"/>
      <c r="Q2919" s="1" t="n"/>
      <c r="R2919" s="1" t="n"/>
    </row>
    <row r="2920">
      <c r="A2920" s="61" t="n"/>
      <c r="B2920" s="16" t="n"/>
      <c r="C2920" s="90" t="n"/>
      <c r="D2920" s="90" t="n"/>
      <c r="E2920" s="90" t="n"/>
      <c r="F2920" s="16" t="n"/>
      <c r="G2920" s="16" t="n"/>
      <c r="H2920" s="63" t="n"/>
      <c r="I2920" s="64" t="n"/>
      <c r="J2920" s="16" t="n"/>
      <c r="K2920" s="16" t="n"/>
      <c r="M2920" s="89" t="n"/>
      <c r="N2920" s="1" t="n"/>
      <c r="O2920" s="1" t="n"/>
      <c r="P2920" s="1" t="n"/>
      <c r="Q2920" s="1" t="n"/>
      <c r="R2920" s="1" t="n"/>
    </row>
    <row r="2921">
      <c r="A2921" s="61" t="n"/>
      <c r="B2921" s="16" t="n"/>
      <c r="C2921" s="90" t="n"/>
      <c r="D2921" s="90" t="n"/>
      <c r="E2921" s="90" t="n"/>
      <c r="F2921" s="16" t="n"/>
      <c r="G2921" s="16" t="n"/>
      <c r="H2921" s="63" t="n"/>
      <c r="I2921" s="64" t="n"/>
      <c r="J2921" s="16" t="n"/>
      <c r="K2921" s="16" t="n"/>
      <c r="M2921" s="89" t="n"/>
      <c r="N2921" s="1" t="n"/>
      <c r="O2921" s="1" t="n"/>
      <c r="P2921" s="1" t="n"/>
      <c r="Q2921" s="1" t="n"/>
      <c r="R2921" s="1" t="n"/>
    </row>
    <row r="2922">
      <c r="A2922" s="61" t="n"/>
      <c r="B2922" s="16" t="n"/>
      <c r="C2922" s="90" t="n"/>
      <c r="D2922" s="90" t="n"/>
      <c r="E2922" s="90" t="n"/>
      <c r="F2922" s="16" t="n"/>
      <c r="G2922" s="16" t="n"/>
      <c r="H2922" s="63" t="n"/>
      <c r="I2922" s="64" t="n"/>
      <c r="J2922" s="16" t="n"/>
      <c r="K2922" s="16" t="n"/>
      <c r="M2922" s="89" t="n"/>
      <c r="N2922" s="1" t="n"/>
      <c r="O2922" s="1" t="n"/>
      <c r="P2922" s="1" t="n"/>
      <c r="Q2922" s="1" t="n"/>
      <c r="R2922" s="1" t="n"/>
    </row>
    <row r="2923">
      <c r="A2923" s="61" t="n"/>
      <c r="B2923" s="16" t="n"/>
      <c r="C2923" s="90" t="n"/>
      <c r="D2923" s="90" t="n"/>
      <c r="E2923" s="90" t="n"/>
      <c r="F2923" s="16" t="n"/>
      <c r="G2923" s="16" t="n"/>
      <c r="H2923" s="63" t="n"/>
      <c r="I2923" s="64" t="n"/>
      <c r="J2923" s="16" t="n"/>
      <c r="K2923" s="16" t="n"/>
      <c r="M2923" s="89" t="n"/>
      <c r="N2923" s="1" t="n"/>
      <c r="O2923" s="1" t="n"/>
      <c r="P2923" s="1" t="n"/>
      <c r="Q2923" s="1" t="n"/>
      <c r="R2923" s="1" t="n"/>
    </row>
    <row r="2924">
      <c r="A2924" s="61" t="n"/>
      <c r="B2924" s="16" t="n"/>
      <c r="C2924" s="90" t="n"/>
      <c r="D2924" s="90" t="n"/>
      <c r="E2924" s="90" t="n"/>
      <c r="F2924" s="16" t="n"/>
      <c r="G2924" s="16" t="n"/>
      <c r="H2924" s="63" t="n"/>
      <c r="I2924" s="64" t="n"/>
      <c r="J2924" s="16" t="n"/>
      <c r="K2924" s="16" t="n"/>
      <c r="M2924" s="89" t="n"/>
      <c r="N2924" s="1" t="n"/>
      <c r="O2924" s="1" t="n"/>
      <c r="P2924" s="1" t="n"/>
      <c r="Q2924" s="1" t="n"/>
      <c r="R2924" s="1" t="n"/>
    </row>
    <row r="2925">
      <c r="A2925" s="61" t="n"/>
      <c r="B2925" s="16" t="n"/>
      <c r="C2925" s="90" t="n"/>
      <c r="D2925" s="90" t="n"/>
      <c r="E2925" s="90" t="n"/>
      <c r="F2925" s="16" t="n"/>
      <c r="G2925" s="16" t="n"/>
      <c r="H2925" s="63" t="n"/>
      <c r="I2925" s="64" t="n"/>
      <c r="J2925" s="16" t="n"/>
      <c r="K2925" s="16" t="n"/>
      <c r="M2925" s="89" t="n"/>
      <c r="N2925" s="1" t="n"/>
      <c r="O2925" s="1" t="n"/>
      <c r="P2925" s="1" t="n"/>
      <c r="Q2925" s="1" t="n"/>
      <c r="R2925" s="1" t="n"/>
    </row>
    <row r="2926">
      <c r="A2926" s="61" t="n"/>
      <c r="B2926" s="16" t="n"/>
      <c r="C2926" s="90" t="n"/>
      <c r="D2926" s="90" t="n"/>
      <c r="E2926" s="90" t="n"/>
      <c r="F2926" s="16" t="n"/>
      <c r="G2926" s="16" t="n"/>
      <c r="H2926" s="63" t="n"/>
      <c r="I2926" s="64" t="n"/>
      <c r="J2926" s="16" t="n"/>
      <c r="K2926" s="16" t="n"/>
      <c r="M2926" s="89" t="n"/>
      <c r="N2926" s="1" t="n"/>
      <c r="O2926" s="1" t="n"/>
      <c r="P2926" s="1" t="n"/>
      <c r="Q2926" s="1" t="n"/>
      <c r="R2926" s="1" t="n"/>
    </row>
    <row r="2927">
      <c r="A2927" s="61" t="n"/>
      <c r="B2927" s="16" t="n"/>
      <c r="C2927" s="90" t="n"/>
      <c r="D2927" s="90" t="n"/>
      <c r="E2927" s="90" t="n"/>
      <c r="F2927" s="16" t="n"/>
      <c r="G2927" s="16" t="n"/>
      <c r="H2927" s="63" t="n"/>
      <c r="I2927" s="64" t="n"/>
      <c r="J2927" s="16" t="n"/>
      <c r="K2927" s="16" t="n"/>
      <c r="M2927" s="89" t="n"/>
      <c r="N2927" s="1" t="n"/>
      <c r="O2927" s="1" t="n"/>
      <c r="P2927" s="1" t="n"/>
      <c r="Q2927" s="1" t="n"/>
      <c r="R2927" s="1" t="n"/>
    </row>
    <row r="2928">
      <c r="A2928" s="61" t="n"/>
      <c r="B2928" s="16" t="n"/>
      <c r="C2928" s="90" t="n"/>
      <c r="D2928" s="90" t="n"/>
      <c r="E2928" s="90" t="n"/>
      <c r="F2928" s="16" t="n"/>
      <c r="G2928" s="16" t="n"/>
      <c r="H2928" s="63" t="n"/>
      <c r="I2928" s="64" t="n"/>
      <c r="J2928" s="16" t="n"/>
      <c r="K2928" s="16" t="n"/>
      <c r="M2928" s="89" t="n"/>
      <c r="N2928" s="1" t="n"/>
      <c r="O2928" s="1" t="n"/>
      <c r="P2928" s="1" t="n"/>
      <c r="Q2928" s="1" t="n"/>
      <c r="R2928" s="1" t="n"/>
    </row>
    <row r="2929">
      <c r="A2929" s="61" t="n"/>
      <c r="B2929" s="16" t="n"/>
      <c r="C2929" s="90" t="n"/>
      <c r="D2929" s="90" t="n"/>
      <c r="E2929" s="90" t="n"/>
      <c r="F2929" s="16" t="n"/>
      <c r="G2929" s="16" t="n"/>
      <c r="H2929" s="63" t="n"/>
      <c r="I2929" s="64" t="n"/>
      <c r="J2929" s="16" t="n"/>
      <c r="K2929" s="16" t="n"/>
      <c r="M2929" s="89" t="n"/>
      <c r="N2929" s="1" t="n"/>
      <c r="O2929" s="1" t="n"/>
      <c r="P2929" s="1" t="n"/>
      <c r="Q2929" s="1" t="n"/>
      <c r="R2929" s="1" t="n"/>
    </row>
    <row r="2930">
      <c r="A2930" s="61" t="n"/>
      <c r="B2930" s="16" t="n"/>
      <c r="C2930" s="90" t="n"/>
      <c r="D2930" s="90" t="n"/>
      <c r="E2930" s="90" t="n"/>
      <c r="F2930" s="16" t="n"/>
      <c r="G2930" s="16" t="n"/>
      <c r="H2930" s="63" t="n"/>
      <c r="I2930" s="64" t="n"/>
      <c r="J2930" s="16" t="n"/>
      <c r="K2930" s="16" t="n"/>
      <c r="M2930" s="89" t="n"/>
      <c r="N2930" s="1" t="n"/>
      <c r="O2930" s="1" t="n"/>
      <c r="P2930" s="1" t="n"/>
      <c r="Q2930" s="1" t="n"/>
      <c r="R2930" s="1" t="n"/>
    </row>
    <row r="2931">
      <c r="A2931" s="61" t="n"/>
      <c r="B2931" s="16" t="n"/>
      <c r="C2931" s="90" t="n"/>
      <c r="D2931" s="90" t="n"/>
      <c r="E2931" s="90" t="n"/>
      <c r="F2931" s="16" t="n"/>
      <c r="G2931" s="16" t="n"/>
      <c r="H2931" s="63" t="n"/>
      <c r="I2931" s="64" t="n"/>
      <c r="J2931" s="16" t="n"/>
      <c r="K2931" s="16" t="n"/>
      <c r="M2931" s="89" t="n"/>
      <c r="N2931" s="1" t="n"/>
      <c r="O2931" s="1" t="n"/>
      <c r="P2931" s="1" t="n"/>
      <c r="Q2931" s="1" t="n"/>
      <c r="R2931" s="1" t="n"/>
    </row>
    <row r="2932">
      <c r="A2932" s="61" t="n"/>
      <c r="B2932" s="16" t="n"/>
      <c r="C2932" s="90" t="n"/>
      <c r="D2932" s="90" t="n"/>
      <c r="E2932" s="90" t="n"/>
      <c r="F2932" s="16" t="n"/>
      <c r="G2932" s="16" t="n"/>
      <c r="H2932" s="63" t="n"/>
      <c r="I2932" s="64" t="n"/>
      <c r="J2932" s="16" t="n"/>
      <c r="K2932" s="16" t="n"/>
      <c r="M2932" s="89" t="n"/>
      <c r="N2932" s="1" t="n"/>
      <c r="O2932" s="1" t="n"/>
      <c r="P2932" s="1" t="n"/>
      <c r="Q2932" s="1" t="n"/>
      <c r="R2932" s="1" t="n"/>
    </row>
    <row r="2933">
      <c r="A2933" s="61" t="n"/>
      <c r="B2933" s="16" t="n"/>
      <c r="C2933" s="90" t="n"/>
      <c r="D2933" s="90" t="n"/>
      <c r="E2933" s="90" t="n"/>
      <c r="F2933" s="16" t="n"/>
      <c r="G2933" s="16" t="n"/>
      <c r="H2933" s="63" t="n"/>
      <c r="I2933" s="64" t="n"/>
      <c r="J2933" s="16" t="n"/>
      <c r="K2933" s="16" t="n"/>
      <c r="M2933" s="89" t="n"/>
      <c r="N2933" s="1" t="n"/>
      <c r="O2933" s="1" t="n"/>
      <c r="P2933" s="1" t="n"/>
      <c r="Q2933" s="1" t="n"/>
      <c r="R2933" s="1" t="n"/>
    </row>
    <row r="2934">
      <c r="A2934" s="61" t="n"/>
      <c r="B2934" s="16" t="n"/>
      <c r="C2934" s="90" t="n"/>
      <c r="D2934" s="90" t="n"/>
      <c r="E2934" s="90" t="n"/>
      <c r="F2934" s="16" t="n"/>
      <c r="G2934" s="16" t="n"/>
      <c r="H2934" s="63" t="n"/>
      <c r="I2934" s="64" t="n"/>
      <c r="J2934" s="16" t="n"/>
      <c r="K2934" s="16" t="n"/>
      <c r="M2934" s="89" t="n"/>
      <c r="N2934" s="1" t="n"/>
      <c r="O2934" s="1" t="n"/>
      <c r="P2934" s="1" t="n"/>
      <c r="Q2934" s="1" t="n"/>
      <c r="R2934" s="1" t="n"/>
    </row>
    <row r="2935">
      <c r="A2935" s="61" t="n"/>
      <c r="B2935" s="16" t="n"/>
      <c r="C2935" s="90" t="n"/>
      <c r="D2935" s="90" t="n"/>
      <c r="E2935" s="90" t="n"/>
      <c r="F2935" s="16" t="n"/>
      <c r="G2935" s="16" t="n"/>
      <c r="H2935" s="63" t="n"/>
      <c r="I2935" s="64" t="n"/>
      <c r="J2935" s="16" t="n"/>
      <c r="K2935" s="16" t="n"/>
      <c r="M2935" s="89" t="n"/>
      <c r="N2935" s="1" t="n"/>
      <c r="O2935" s="1" t="n"/>
      <c r="P2935" s="1" t="n"/>
      <c r="Q2935" s="1" t="n"/>
      <c r="R2935" s="1" t="n"/>
    </row>
    <row r="2936">
      <c r="A2936" s="61" t="n"/>
      <c r="B2936" s="16" t="n"/>
      <c r="C2936" s="90" t="n"/>
      <c r="D2936" s="90" t="n"/>
      <c r="E2936" s="90" t="n"/>
      <c r="F2936" s="16" t="n"/>
      <c r="G2936" s="16" t="n"/>
      <c r="H2936" s="63" t="n"/>
      <c r="I2936" s="64" t="n"/>
      <c r="J2936" s="16" t="n"/>
      <c r="K2936" s="16" t="n"/>
      <c r="M2936" s="89" t="n"/>
      <c r="N2936" s="1" t="n"/>
      <c r="O2936" s="1" t="n"/>
      <c r="P2936" s="1" t="n"/>
      <c r="Q2936" s="1" t="n"/>
      <c r="R2936" s="1" t="n"/>
    </row>
    <row r="2937">
      <c r="A2937" s="61" t="n"/>
      <c r="B2937" s="16" t="n"/>
      <c r="C2937" s="90" t="n"/>
      <c r="D2937" s="90" t="n"/>
      <c r="E2937" s="90" t="n"/>
      <c r="F2937" s="16" t="n"/>
      <c r="G2937" s="16" t="n"/>
      <c r="H2937" s="63" t="n"/>
      <c r="I2937" s="64" t="n"/>
      <c r="J2937" s="16" t="n"/>
      <c r="K2937" s="16" t="n"/>
      <c r="M2937" s="89" t="n"/>
      <c r="N2937" s="1" t="n"/>
      <c r="O2937" s="1" t="n"/>
      <c r="P2937" s="1" t="n"/>
      <c r="Q2937" s="1" t="n"/>
      <c r="R2937" s="1" t="n"/>
    </row>
    <row r="2938">
      <c r="A2938" s="61" t="n"/>
      <c r="B2938" s="16" t="n"/>
      <c r="C2938" s="90" t="n"/>
      <c r="D2938" s="90" t="n"/>
      <c r="E2938" s="90" t="n"/>
      <c r="F2938" s="16" t="n"/>
      <c r="G2938" s="16" t="n"/>
      <c r="H2938" s="63" t="n"/>
      <c r="I2938" s="64" t="n"/>
      <c r="J2938" s="16" t="n"/>
      <c r="K2938" s="16" t="n"/>
      <c r="M2938" s="89" t="n"/>
      <c r="N2938" s="1" t="n"/>
      <c r="O2938" s="1" t="n"/>
      <c r="P2938" s="1" t="n"/>
      <c r="Q2938" s="1" t="n"/>
      <c r="R2938" s="1" t="n"/>
    </row>
    <row r="2939">
      <c r="A2939" s="61" t="n"/>
      <c r="B2939" s="16" t="n"/>
      <c r="C2939" s="90" t="n"/>
      <c r="D2939" s="90" t="n"/>
      <c r="E2939" s="90" t="n"/>
      <c r="F2939" s="16" t="n"/>
      <c r="G2939" s="16" t="n"/>
      <c r="H2939" s="63" t="n"/>
      <c r="I2939" s="64" t="n"/>
      <c r="J2939" s="16" t="n"/>
      <c r="K2939" s="16" t="n"/>
      <c r="M2939" s="89" t="n"/>
      <c r="N2939" s="1" t="n"/>
      <c r="O2939" s="1" t="n"/>
      <c r="P2939" s="1" t="n"/>
      <c r="Q2939" s="1" t="n"/>
      <c r="R2939" s="1" t="n"/>
    </row>
    <row r="2940">
      <c r="A2940" s="61" t="n"/>
      <c r="B2940" s="16" t="n"/>
      <c r="C2940" s="90" t="n"/>
      <c r="D2940" s="90" t="n"/>
      <c r="E2940" s="90" t="n"/>
      <c r="F2940" s="16" t="n"/>
      <c r="G2940" s="16" t="n"/>
      <c r="H2940" s="63" t="n"/>
      <c r="I2940" s="64" t="n"/>
      <c r="J2940" s="16" t="n"/>
      <c r="K2940" s="16" t="n"/>
      <c r="M2940" s="89" t="n"/>
      <c r="N2940" s="1" t="n"/>
      <c r="O2940" s="1" t="n"/>
      <c r="P2940" s="1" t="n"/>
      <c r="Q2940" s="1" t="n"/>
      <c r="R2940" s="1" t="n"/>
    </row>
    <row r="2941">
      <c r="A2941" s="61" t="n"/>
      <c r="B2941" s="16" t="n"/>
      <c r="C2941" s="90" t="n"/>
      <c r="D2941" s="90" t="n"/>
      <c r="E2941" s="90" t="n"/>
      <c r="F2941" s="16" t="n"/>
      <c r="G2941" s="16" t="n"/>
      <c r="H2941" s="63" t="n"/>
      <c r="I2941" s="64" t="n"/>
      <c r="J2941" s="16" t="n"/>
      <c r="K2941" s="16" t="n"/>
      <c r="M2941" s="89" t="n"/>
      <c r="N2941" s="1" t="n"/>
      <c r="O2941" s="1" t="n"/>
      <c r="P2941" s="1" t="n"/>
      <c r="Q2941" s="1" t="n"/>
      <c r="R2941" s="1" t="n"/>
    </row>
    <row r="2942">
      <c r="A2942" s="61" t="n"/>
      <c r="B2942" s="16" t="n"/>
      <c r="C2942" s="90" t="n"/>
      <c r="D2942" s="90" t="n"/>
      <c r="E2942" s="90" t="n"/>
      <c r="F2942" s="16" t="n"/>
      <c r="G2942" s="16" t="n"/>
      <c r="H2942" s="63" t="n"/>
      <c r="I2942" s="64" t="n"/>
      <c r="J2942" s="16" t="n"/>
      <c r="K2942" s="16" t="n"/>
      <c r="M2942" s="89" t="n"/>
      <c r="N2942" s="1" t="n"/>
      <c r="O2942" s="1" t="n"/>
      <c r="P2942" s="1" t="n"/>
      <c r="Q2942" s="1" t="n"/>
      <c r="R2942" s="1" t="n"/>
    </row>
    <row r="2943">
      <c r="A2943" s="61" t="n"/>
      <c r="B2943" s="16" t="n"/>
      <c r="C2943" s="90" t="n"/>
      <c r="D2943" s="90" t="n"/>
      <c r="E2943" s="90" t="n"/>
      <c r="F2943" s="16" t="n"/>
      <c r="G2943" s="16" t="n"/>
      <c r="H2943" s="63" t="n"/>
      <c r="I2943" s="64" t="n"/>
      <c r="J2943" s="16" t="n"/>
      <c r="K2943" s="16" t="n"/>
      <c r="M2943" s="89" t="n"/>
      <c r="N2943" s="1" t="n"/>
      <c r="O2943" s="1" t="n"/>
      <c r="P2943" s="1" t="n"/>
      <c r="Q2943" s="1" t="n"/>
      <c r="R2943" s="1" t="n"/>
    </row>
    <row r="2944">
      <c r="A2944" s="61" t="n"/>
      <c r="B2944" s="16" t="n"/>
      <c r="C2944" s="90" t="n"/>
      <c r="D2944" s="90" t="n"/>
      <c r="E2944" s="90" t="n"/>
      <c r="F2944" s="16" t="n"/>
      <c r="G2944" s="16" t="n"/>
      <c r="H2944" s="63" t="n"/>
      <c r="I2944" s="64" t="n"/>
      <c r="J2944" s="16" t="n"/>
      <c r="K2944" s="16" t="n"/>
      <c r="M2944" s="89" t="n"/>
      <c r="N2944" s="1" t="n"/>
      <c r="O2944" s="1" t="n"/>
      <c r="P2944" s="1" t="n"/>
      <c r="Q2944" s="1" t="n"/>
      <c r="R2944" s="1" t="n"/>
    </row>
    <row r="2945">
      <c r="A2945" s="61" t="n"/>
      <c r="B2945" s="16" t="n"/>
      <c r="C2945" s="90" t="n"/>
      <c r="D2945" s="90" t="n"/>
      <c r="E2945" s="90" t="n"/>
      <c r="F2945" s="16" t="n"/>
      <c r="G2945" s="16" t="n"/>
      <c r="H2945" s="63" t="n"/>
      <c r="I2945" s="64" t="n"/>
      <c r="J2945" s="16" t="n"/>
      <c r="K2945" s="16" t="n"/>
      <c r="M2945" s="89" t="n"/>
      <c r="N2945" s="1" t="n"/>
      <c r="O2945" s="1" t="n"/>
      <c r="P2945" s="1" t="n"/>
      <c r="Q2945" s="1" t="n"/>
      <c r="R2945" s="1" t="n"/>
    </row>
    <row r="2946">
      <c r="A2946" s="61" t="n"/>
      <c r="B2946" s="16" t="n"/>
      <c r="C2946" s="90" t="n"/>
      <c r="D2946" s="90" t="n"/>
      <c r="E2946" s="90" t="n"/>
      <c r="F2946" s="16" t="n"/>
      <c r="G2946" s="16" t="n"/>
      <c r="H2946" s="63" t="n"/>
      <c r="I2946" s="64" t="n"/>
      <c r="J2946" s="16" t="n"/>
      <c r="K2946" s="16" t="n"/>
      <c r="M2946" s="89" t="n"/>
      <c r="N2946" s="1" t="n"/>
      <c r="O2946" s="1" t="n"/>
      <c r="P2946" s="1" t="n"/>
      <c r="Q2946" s="1" t="n"/>
      <c r="R2946" s="1" t="n"/>
    </row>
    <row r="2947">
      <c r="A2947" s="61" t="n"/>
      <c r="B2947" s="16" t="n"/>
      <c r="C2947" s="90" t="n"/>
      <c r="D2947" s="90" t="n"/>
      <c r="E2947" s="90" t="n"/>
      <c r="F2947" s="16" t="n"/>
      <c r="G2947" s="16" t="n"/>
      <c r="H2947" s="63" t="n"/>
      <c r="I2947" s="64" t="n"/>
      <c r="J2947" s="16" t="n"/>
      <c r="K2947" s="16" t="n"/>
      <c r="M2947" s="89" t="n"/>
      <c r="N2947" s="1" t="n"/>
      <c r="O2947" s="1" t="n"/>
      <c r="P2947" s="1" t="n"/>
      <c r="Q2947" s="1" t="n"/>
      <c r="R2947" s="1" t="n"/>
    </row>
    <row r="2948">
      <c r="A2948" s="61" t="n"/>
      <c r="B2948" s="16" t="n"/>
      <c r="C2948" s="90" t="n"/>
      <c r="D2948" s="90" t="n"/>
      <c r="E2948" s="90" t="n"/>
      <c r="F2948" s="16" t="n"/>
      <c r="G2948" s="16" t="n"/>
      <c r="H2948" s="63" t="n"/>
      <c r="I2948" s="64" t="n"/>
      <c r="J2948" s="16" t="n"/>
      <c r="K2948" s="16" t="n"/>
      <c r="M2948" s="89" t="n"/>
      <c r="N2948" s="1" t="n"/>
      <c r="O2948" s="1" t="n"/>
      <c r="P2948" s="1" t="n"/>
      <c r="Q2948" s="1" t="n"/>
      <c r="R2948" s="1" t="n"/>
    </row>
    <row r="2949">
      <c r="A2949" s="61" t="n"/>
      <c r="B2949" s="16" t="n"/>
      <c r="C2949" s="90" t="n"/>
      <c r="D2949" s="90" t="n"/>
      <c r="E2949" s="90" t="n"/>
      <c r="F2949" s="16" t="n"/>
      <c r="G2949" s="16" t="n"/>
      <c r="H2949" s="63" t="n"/>
      <c r="I2949" s="64" t="n"/>
      <c r="J2949" s="16" t="n"/>
      <c r="K2949" s="16" t="n"/>
      <c r="M2949" s="89" t="n"/>
      <c r="N2949" s="1" t="n"/>
      <c r="O2949" s="1" t="n"/>
      <c r="P2949" s="1" t="n"/>
      <c r="Q2949" s="1" t="n"/>
      <c r="R2949" s="1" t="n"/>
    </row>
    <row r="2950">
      <c r="A2950" s="61" t="n"/>
      <c r="B2950" s="16" t="n"/>
      <c r="C2950" s="90" t="n"/>
      <c r="D2950" s="90" t="n"/>
      <c r="E2950" s="90" t="n"/>
      <c r="F2950" s="16" t="n"/>
      <c r="G2950" s="16" t="n"/>
      <c r="H2950" s="63" t="n"/>
      <c r="I2950" s="64" t="n"/>
      <c r="J2950" s="16" t="n"/>
      <c r="K2950" s="16" t="n"/>
      <c r="M2950" s="89" t="n"/>
      <c r="N2950" s="1" t="n"/>
      <c r="O2950" s="1" t="n"/>
      <c r="P2950" s="1" t="n"/>
      <c r="Q2950" s="1" t="n"/>
      <c r="R2950" s="1" t="n"/>
    </row>
    <row r="2951">
      <c r="A2951" s="61" t="n"/>
      <c r="B2951" s="16" t="n"/>
      <c r="C2951" s="90" t="n"/>
      <c r="D2951" s="90" t="n"/>
      <c r="E2951" s="90" t="n"/>
      <c r="F2951" s="16" t="n"/>
      <c r="G2951" s="16" t="n"/>
      <c r="H2951" s="63" t="n"/>
      <c r="I2951" s="64" t="n"/>
      <c r="J2951" s="16" t="n"/>
      <c r="K2951" s="16" t="n"/>
      <c r="M2951" s="89" t="n"/>
      <c r="N2951" s="1" t="n"/>
      <c r="O2951" s="1" t="n"/>
      <c r="P2951" s="1" t="n"/>
      <c r="Q2951" s="1" t="n"/>
      <c r="R2951" s="1" t="n"/>
    </row>
    <row r="2952">
      <c r="A2952" s="61" t="n"/>
      <c r="B2952" s="16" t="n"/>
      <c r="C2952" s="90" t="n"/>
      <c r="D2952" s="90" t="n"/>
      <c r="E2952" s="90" t="n"/>
      <c r="F2952" s="16" t="n"/>
      <c r="G2952" s="16" t="n"/>
      <c r="H2952" s="63" t="n"/>
      <c r="I2952" s="64" t="n"/>
      <c r="J2952" s="16" t="n"/>
      <c r="K2952" s="16" t="n"/>
      <c r="M2952" s="89" t="n"/>
      <c r="N2952" s="1" t="n"/>
      <c r="O2952" s="1" t="n"/>
      <c r="P2952" s="1" t="n"/>
      <c r="Q2952" s="1" t="n"/>
      <c r="R2952" s="1" t="n"/>
    </row>
    <row r="2953">
      <c r="A2953" s="61" t="n"/>
      <c r="B2953" s="16" t="n"/>
      <c r="C2953" s="90" t="n"/>
      <c r="D2953" s="90" t="n"/>
      <c r="E2953" s="90" t="n"/>
      <c r="F2953" s="16" t="n"/>
      <c r="G2953" s="16" t="n"/>
      <c r="H2953" s="63" t="n"/>
      <c r="I2953" s="64" t="n"/>
      <c r="J2953" s="16" t="n"/>
      <c r="K2953" s="16" t="n"/>
      <c r="M2953" s="89" t="n"/>
      <c r="N2953" s="1" t="n"/>
      <c r="O2953" s="1" t="n"/>
      <c r="P2953" s="1" t="n"/>
      <c r="Q2953" s="1" t="n"/>
      <c r="R2953" s="1" t="n"/>
    </row>
    <row r="2954">
      <c r="A2954" s="61" t="n"/>
      <c r="B2954" s="16" t="n"/>
      <c r="C2954" s="90" t="n"/>
      <c r="D2954" s="90" t="n"/>
      <c r="E2954" s="90" t="n"/>
      <c r="F2954" s="16" t="n"/>
      <c r="G2954" s="16" t="n"/>
      <c r="H2954" s="63" t="n"/>
      <c r="I2954" s="64" t="n"/>
      <c r="J2954" s="16" t="n"/>
      <c r="K2954" s="16" t="n"/>
      <c r="M2954" s="89" t="n"/>
      <c r="N2954" s="1" t="n"/>
      <c r="O2954" s="1" t="n"/>
      <c r="P2954" s="1" t="n"/>
      <c r="Q2954" s="1" t="n"/>
      <c r="R2954" s="1" t="n"/>
    </row>
    <row r="2955">
      <c r="A2955" s="61" t="n"/>
      <c r="B2955" s="16" t="n"/>
      <c r="C2955" s="90" t="n"/>
      <c r="D2955" s="90" t="n"/>
      <c r="E2955" s="90" t="n"/>
      <c r="F2955" s="16" t="n"/>
      <c r="G2955" s="16" t="n"/>
      <c r="H2955" s="63" t="n"/>
      <c r="I2955" s="64" t="n"/>
      <c r="J2955" s="16" t="n"/>
      <c r="K2955" s="16" t="n"/>
      <c r="M2955" s="89" t="n"/>
      <c r="N2955" s="1" t="n"/>
      <c r="O2955" s="1" t="n"/>
      <c r="P2955" s="1" t="n"/>
      <c r="Q2955" s="1" t="n"/>
      <c r="R2955" s="1" t="n"/>
    </row>
    <row r="2956">
      <c r="A2956" s="61" t="n"/>
      <c r="B2956" s="16" t="n"/>
      <c r="C2956" s="90" t="n"/>
      <c r="D2956" s="90" t="n"/>
      <c r="E2956" s="90" t="n"/>
      <c r="F2956" s="16" t="n"/>
      <c r="G2956" s="16" t="n"/>
      <c r="H2956" s="63" t="n"/>
      <c r="I2956" s="64" t="n"/>
      <c r="J2956" s="16" t="n"/>
      <c r="K2956" s="16" t="n"/>
      <c r="M2956" s="89" t="n"/>
      <c r="N2956" s="1" t="n"/>
      <c r="O2956" s="1" t="n"/>
      <c r="P2956" s="1" t="n"/>
      <c r="Q2956" s="1" t="n"/>
      <c r="R2956" s="1" t="n"/>
    </row>
    <row r="2957">
      <c r="A2957" s="61" t="n"/>
      <c r="B2957" s="16" t="n"/>
      <c r="C2957" s="90" t="n"/>
      <c r="D2957" s="90" t="n"/>
      <c r="E2957" s="90" t="n"/>
      <c r="F2957" s="16" t="n"/>
      <c r="G2957" s="16" t="n"/>
      <c r="H2957" s="63" t="n"/>
      <c r="I2957" s="64" t="n"/>
      <c r="J2957" s="16" t="n"/>
      <c r="K2957" s="16" t="n"/>
      <c r="M2957" s="89" t="n"/>
      <c r="N2957" s="1" t="n"/>
      <c r="O2957" s="1" t="n"/>
      <c r="P2957" s="1" t="n"/>
      <c r="Q2957" s="1" t="n"/>
      <c r="R2957" s="1" t="n"/>
    </row>
    <row r="2958">
      <c r="A2958" s="61" t="n"/>
      <c r="B2958" s="16" t="n"/>
      <c r="C2958" s="90" t="n"/>
      <c r="D2958" s="90" t="n"/>
      <c r="E2958" s="90" t="n"/>
      <c r="F2958" s="16" t="n"/>
      <c r="G2958" s="16" t="n"/>
      <c r="H2958" s="63" t="n"/>
      <c r="I2958" s="64" t="n"/>
      <c r="J2958" s="16" t="n"/>
      <c r="K2958" s="16" t="n"/>
      <c r="M2958" s="89" t="n"/>
      <c r="N2958" s="1" t="n"/>
      <c r="O2958" s="1" t="n"/>
      <c r="P2958" s="1" t="n"/>
      <c r="Q2958" s="1" t="n"/>
      <c r="R2958" s="1" t="n"/>
    </row>
    <row r="2959">
      <c r="A2959" s="61" t="n"/>
      <c r="B2959" s="16" t="n"/>
      <c r="C2959" s="90" t="n"/>
      <c r="D2959" s="90" t="n"/>
      <c r="E2959" s="90" t="n"/>
      <c r="F2959" s="16" t="n"/>
      <c r="G2959" s="16" t="n"/>
      <c r="H2959" s="63" t="n"/>
      <c r="I2959" s="64" t="n"/>
      <c r="J2959" s="16" t="n"/>
      <c r="K2959" s="16" t="n"/>
      <c r="M2959" s="89" t="n"/>
      <c r="N2959" s="1" t="n"/>
      <c r="O2959" s="1" t="n"/>
      <c r="P2959" s="1" t="n"/>
      <c r="Q2959" s="1" t="n"/>
      <c r="R2959" s="1" t="n"/>
    </row>
    <row r="2960">
      <c r="A2960" s="61" t="n"/>
      <c r="B2960" s="16" t="n"/>
      <c r="C2960" s="90" t="n"/>
      <c r="D2960" s="90" t="n"/>
      <c r="E2960" s="90" t="n"/>
      <c r="F2960" s="16" t="n"/>
      <c r="G2960" s="16" t="n"/>
      <c r="H2960" s="63" t="n"/>
      <c r="I2960" s="64" t="n"/>
      <c r="J2960" s="16" t="n"/>
      <c r="K2960" s="16" t="n"/>
      <c r="M2960" s="89" t="n"/>
      <c r="N2960" s="1" t="n"/>
      <c r="O2960" s="1" t="n"/>
      <c r="P2960" s="1" t="n"/>
      <c r="Q2960" s="1" t="n"/>
      <c r="R2960" s="1" t="n"/>
    </row>
    <row r="2961">
      <c r="A2961" s="61" t="n"/>
      <c r="B2961" s="16" t="n"/>
      <c r="C2961" s="90" t="n"/>
      <c r="D2961" s="90" t="n"/>
      <c r="E2961" s="90" t="n"/>
      <c r="F2961" s="16" t="n"/>
      <c r="G2961" s="16" t="n"/>
      <c r="H2961" s="63" t="n"/>
      <c r="I2961" s="64" t="n"/>
      <c r="J2961" s="16" t="n"/>
      <c r="K2961" s="16" t="n"/>
      <c r="M2961" s="89" t="n"/>
      <c r="N2961" s="1" t="n"/>
      <c r="O2961" s="1" t="n"/>
      <c r="P2961" s="1" t="n"/>
      <c r="Q2961" s="1" t="n"/>
      <c r="R2961" s="1" t="n"/>
    </row>
    <row r="2962">
      <c r="A2962" s="61" t="n"/>
      <c r="B2962" s="16" t="n"/>
      <c r="C2962" s="90" t="n"/>
      <c r="D2962" s="90" t="n"/>
      <c r="E2962" s="90" t="n"/>
      <c r="F2962" s="16" t="n"/>
      <c r="G2962" s="16" t="n"/>
      <c r="H2962" s="63" t="n"/>
      <c r="I2962" s="64" t="n"/>
      <c r="J2962" s="16" t="n"/>
      <c r="K2962" s="16" t="n"/>
      <c r="M2962" s="89" t="n"/>
      <c r="N2962" s="1" t="n"/>
      <c r="O2962" s="1" t="n"/>
      <c r="P2962" s="1" t="n"/>
      <c r="Q2962" s="1" t="n"/>
      <c r="R2962" s="1" t="n"/>
    </row>
    <row r="2963">
      <c r="A2963" s="61" t="n"/>
      <c r="B2963" s="16" t="n"/>
      <c r="C2963" s="90" t="n"/>
      <c r="D2963" s="90" t="n"/>
      <c r="E2963" s="90" t="n"/>
      <c r="F2963" s="16" t="n"/>
      <c r="G2963" s="16" t="n"/>
      <c r="H2963" s="63" t="n"/>
      <c r="I2963" s="64" t="n"/>
      <c r="J2963" s="16" t="n"/>
      <c r="K2963" s="16" t="n"/>
      <c r="M2963" s="89" t="n"/>
      <c r="N2963" s="1" t="n"/>
      <c r="O2963" s="1" t="n"/>
      <c r="P2963" s="1" t="n"/>
      <c r="Q2963" s="1" t="n"/>
      <c r="R2963" s="1" t="n"/>
    </row>
    <row r="2964">
      <c r="A2964" s="61" t="n"/>
      <c r="B2964" s="16" t="n"/>
      <c r="C2964" s="90" t="n"/>
      <c r="D2964" s="90" t="n"/>
      <c r="E2964" s="90" t="n"/>
      <c r="F2964" s="16" t="n"/>
      <c r="G2964" s="16" t="n"/>
      <c r="H2964" s="63" t="n"/>
      <c r="I2964" s="64" t="n"/>
      <c r="J2964" s="16" t="n"/>
      <c r="K2964" s="16" t="n"/>
      <c r="M2964" s="89" t="n"/>
      <c r="N2964" s="1" t="n"/>
      <c r="O2964" s="1" t="n"/>
      <c r="P2964" s="1" t="n"/>
      <c r="Q2964" s="1" t="n"/>
      <c r="R2964" s="1" t="n"/>
    </row>
    <row r="2965">
      <c r="A2965" s="61" t="n"/>
      <c r="B2965" s="16" t="n"/>
      <c r="C2965" s="90" t="n"/>
      <c r="D2965" s="90" t="n"/>
      <c r="E2965" s="90" t="n"/>
      <c r="F2965" s="16" t="n"/>
      <c r="G2965" s="16" t="n"/>
      <c r="H2965" s="63" t="n"/>
      <c r="I2965" s="64" t="n"/>
      <c r="J2965" s="16" t="n"/>
      <c r="K2965" s="16" t="n"/>
      <c r="M2965" s="89" t="n"/>
      <c r="N2965" s="1" t="n"/>
      <c r="O2965" s="1" t="n"/>
      <c r="P2965" s="1" t="n"/>
      <c r="Q2965" s="1" t="n"/>
      <c r="R2965" s="1" t="n"/>
    </row>
    <row r="2966">
      <c r="A2966" s="61" t="n"/>
      <c r="B2966" s="16" t="n"/>
      <c r="C2966" s="90" t="n"/>
      <c r="D2966" s="90" t="n"/>
      <c r="E2966" s="90" t="n"/>
      <c r="F2966" s="16" t="n"/>
      <c r="G2966" s="16" t="n"/>
      <c r="H2966" s="63" t="n"/>
      <c r="I2966" s="64" t="n"/>
      <c r="J2966" s="16" t="n"/>
      <c r="K2966" s="16" t="n"/>
      <c r="M2966" s="89" t="n"/>
      <c r="N2966" s="1" t="n"/>
      <c r="O2966" s="1" t="n"/>
      <c r="P2966" s="1" t="n"/>
      <c r="Q2966" s="1" t="n"/>
      <c r="R2966" s="1" t="n"/>
    </row>
    <row r="2967">
      <c r="A2967" s="61" t="n"/>
      <c r="B2967" s="16" t="n"/>
      <c r="C2967" s="90" t="n"/>
      <c r="D2967" s="90" t="n"/>
      <c r="E2967" s="90" t="n"/>
      <c r="F2967" s="16" t="n"/>
      <c r="G2967" s="16" t="n"/>
      <c r="H2967" s="63" t="n"/>
      <c r="I2967" s="64" t="n"/>
      <c r="J2967" s="16" t="n"/>
      <c r="K2967" s="16" t="n"/>
      <c r="M2967" s="89" t="n"/>
      <c r="N2967" s="1" t="n"/>
      <c r="O2967" s="1" t="n"/>
      <c r="P2967" s="1" t="n"/>
      <c r="Q2967" s="1" t="n"/>
      <c r="R2967" s="1" t="n"/>
    </row>
    <row r="2968">
      <c r="A2968" s="61" t="n"/>
      <c r="B2968" s="16" t="n"/>
      <c r="C2968" s="90" t="n"/>
      <c r="D2968" s="90" t="n"/>
      <c r="E2968" s="90" t="n"/>
      <c r="F2968" s="16" t="n"/>
      <c r="G2968" s="16" t="n"/>
      <c r="H2968" s="63" t="n"/>
      <c r="I2968" s="64" t="n"/>
      <c r="J2968" s="16" t="n"/>
      <c r="K2968" s="16" t="n"/>
      <c r="M2968" s="89" t="n"/>
      <c r="N2968" s="1" t="n"/>
      <c r="O2968" s="1" t="n"/>
      <c r="P2968" s="1" t="n"/>
      <c r="Q2968" s="1" t="n"/>
      <c r="R2968" s="1" t="n"/>
    </row>
    <row r="2969">
      <c r="A2969" s="61" t="n"/>
      <c r="B2969" s="16" t="n"/>
      <c r="C2969" s="90" t="n"/>
      <c r="D2969" s="90" t="n"/>
      <c r="E2969" s="90" t="n"/>
      <c r="F2969" s="16" t="n"/>
      <c r="G2969" s="16" t="n"/>
      <c r="H2969" s="63" t="n"/>
      <c r="I2969" s="64" t="n"/>
      <c r="J2969" s="16" t="n"/>
      <c r="K2969" s="16" t="n"/>
      <c r="M2969" s="89" t="n"/>
      <c r="N2969" s="1" t="n"/>
      <c r="O2969" s="1" t="n"/>
      <c r="P2969" s="1" t="n"/>
      <c r="Q2969" s="1" t="n"/>
      <c r="R2969" s="1" t="n"/>
    </row>
    <row r="2970">
      <c r="A2970" s="61" t="n"/>
      <c r="B2970" s="16" t="n"/>
      <c r="C2970" s="90" t="n"/>
      <c r="D2970" s="90" t="n"/>
      <c r="E2970" s="90" t="n"/>
      <c r="F2970" s="16" t="n"/>
      <c r="G2970" s="16" t="n"/>
      <c r="H2970" s="63" t="n"/>
      <c r="I2970" s="64" t="n"/>
      <c r="J2970" s="16" t="n"/>
      <c r="K2970" s="16" t="n"/>
      <c r="M2970" s="89" t="n"/>
      <c r="N2970" s="1" t="n"/>
      <c r="O2970" s="1" t="n"/>
      <c r="P2970" s="1" t="n"/>
      <c r="Q2970" s="1" t="n"/>
      <c r="R2970" s="1" t="n"/>
    </row>
    <row r="2971">
      <c r="A2971" s="61" t="n"/>
      <c r="B2971" s="16" t="n"/>
      <c r="C2971" s="90" t="n"/>
      <c r="D2971" s="90" t="n"/>
      <c r="E2971" s="90" t="n"/>
      <c r="F2971" s="16" t="n"/>
      <c r="G2971" s="16" t="n"/>
      <c r="H2971" s="63" t="n"/>
      <c r="I2971" s="64" t="n"/>
      <c r="J2971" s="16" t="n"/>
      <c r="K2971" s="16" t="n"/>
      <c r="M2971" s="89" t="n"/>
      <c r="N2971" s="1" t="n"/>
      <c r="O2971" s="1" t="n"/>
      <c r="P2971" s="1" t="n"/>
      <c r="Q2971" s="1" t="n"/>
      <c r="R2971" s="1" t="n"/>
    </row>
    <row r="2972">
      <c r="A2972" s="61" t="n"/>
      <c r="B2972" s="16" t="n"/>
      <c r="C2972" s="90" t="n"/>
      <c r="D2972" s="90" t="n"/>
      <c r="E2972" s="90" t="n"/>
      <c r="F2972" s="16" t="n"/>
      <c r="G2972" s="16" t="n"/>
      <c r="H2972" s="63" t="n"/>
      <c r="I2972" s="64" t="n"/>
      <c r="J2972" s="16" t="n"/>
      <c r="K2972" s="16" t="n"/>
      <c r="M2972" s="89" t="n"/>
      <c r="N2972" s="1" t="n"/>
      <c r="O2972" s="1" t="n"/>
      <c r="P2972" s="1" t="n"/>
      <c r="Q2972" s="1" t="n"/>
      <c r="R2972" s="1" t="n"/>
    </row>
    <row r="2973">
      <c r="A2973" s="61" t="n"/>
      <c r="B2973" s="16" t="n"/>
      <c r="C2973" s="90" t="n"/>
      <c r="D2973" s="90" t="n"/>
      <c r="E2973" s="90" t="n"/>
      <c r="F2973" s="16" t="n"/>
      <c r="G2973" s="16" t="n"/>
      <c r="H2973" s="63" t="n"/>
      <c r="I2973" s="64" t="n"/>
      <c r="J2973" s="16" t="n"/>
      <c r="K2973" s="16" t="n"/>
      <c r="M2973" s="89" t="n"/>
      <c r="N2973" s="1" t="n"/>
      <c r="O2973" s="1" t="n"/>
      <c r="P2973" s="1" t="n"/>
      <c r="Q2973" s="1" t="n"/>
      <c r="R2973" s="1" t="n"/>
    </row>
    <row r="2974">
      <c r="A2974" s="61" t="n"/>
      <c r="B2974" s="16" t="n"/>
      <c r="C2974" s="90" t="n"/>
      <c r="D2974" s="90" t="n"/>
      <c r="E2974" s="90" t="n"/>
      <c r="F2974" s="16" t="n"/>
      <c r="G2974" s="16" t="n"/>
      <c r="H2974" s="63" t="n"/>
      <c r="I2974" s="64" t="n"/>
      <c r="J2974" s="16" t="n"/>
      <c r="K2974" s="16" t="n"/>
      <c r="M2974" s="89" t="n"/>
      <c r="N2974" s="1" t="n"/>
      <c r="O2974" s="1" t="n"/>
      <c r="P2974" s="1" t="n"/>
      <c r="Q2974" s="1" t="n"/>
      <c r="R2974" s="1" t="n"/>
    </row>
    <row r="2975">
      <c r="A2975" s="61" t="n"/>
      <c r="B2975" s="16" t="n"/>
      <c r="C2975" s="90" t="n"/>
      <c r="D2975" s="90" t="n"/>
      <c r="E2975" s="90" t="n"/>
      <c r="F2975" s="16" t="n"/>
      <c r="G2975" s="16" t="n"/>
      <c r="H2975" s="63" t="n"/>
      <c r="I2975" s="64" t="n"/>
      <c r="J2975" s="16" t="n"/>
      <c r="K2975" s="16" t="n"/>
      <c r="M2975" s="89" t="n"/>
      <c r="N2975" s="1" t="n"/>
      <c r="O2975" s="1" t="n"/>
      <c r="P2975" s="1" t="n"/>
      <c r="Q2975" s="1" t="n"/>
      <c r="R2975" s="1" t="n"/>
    </row>
    <row r="2976">
      <c r="A2976" s="61" t="n"/>
      <c r="B2976" s="16" t="n"/>
      <c r="C2976" s="90" t="n"/>
      <c r="D2976" s="90" t="n"/>
      <c r="E2976" s="90" t="n"/>
      <c r="F2976" s="16" t="n"/>
      <c r="G2976" s="16" t="n"/>
      <c r="H2976" s="63" t="n"/>
      <c r="I2976" s="64" t="n"/>
      <c r="J2976" s="16" t="n"/>
      <c r="K2976" s="16" t="n"/>
      <c r="M2976" s="89" t="n"/>
      <c r="N2976" s="1" t="n"/>
      <c r="O2976" s="1" t="n"/>
      <c r="P2976" s="1" t="n"/>
      <c r="Q2976" s="1" t="n"/>
      <c r="R2976" s="1" t="n"/>
    </row>
    <row r="2977">
      <c r="A2977" s="61" t="n"/>
      <c r="B2977" s="16" t="n"/>
      <c r="C2977" s="90" t="n"/>
      <c r="D2977" s="90" t="n"/>
      <c r="E2977" s="90" t="n"/>
      <c r="F2977" s="16" t="n"/>
      <c r="G2977" s="16" t="n"/>
      <c r="H2977" s="63" t="n"/>
      <c r="I2977" s="64" t="n"/>
      <c r="J2977" s="16" t="n"/>
      <c r="K2977" s="16" t="n"/>
      <c r="M2977" s="89" t="n"/>
      <c r="N2977" s="1" t="n"/>
      <c r="O2977" s="1" t="n"/>
      <c r="P2977" s="1" t="n"/>
      <c r="Q2977" s="1" t="n"/>
      <c r="R2977" s="1" t="n"/>
    </row>
    <row r="2978">
      <c r="A2978" s="61" t="n"/>
      <c r="B2978" s="16" t="n"/>
      <c r="C2978" s="90" t="n"/>
      <c r="D2978" s="90" t="n"/>
      <c r="E2978" s="90" t="n"/>
      <c r="F2978" s="16" t="n"/>
      <c r="G2978" s="16" t="n"/>
      <c r="H2978" s="63" t="n"/>
      <c r="I2978" s="64" t="n"/>
      <c r="J2978" s="16" t="n"/>
      <c r="K2978" s="16" t="n"/>
      <c r="M2978" s="89" t="n"/>
      <c r="N2978" s="1" t="n"/>
      <c r="O2978" s="1" t="n"/>
      <c r="P2978" s="1" t="n"/>
      <c r="Q2978" s="1" t="n"/>
      <c r="R2978" s="1" t="n"/>
    </row>
    <row r="2979">
      <c r="A2979" s="61" t="n"/>
      <c r="B2979" s="16" t="n"/>
      <c r="C2979" s="90" t="n"/>
      <c r="D2979" s="90" t="n"/>
      <c r="E2979" s="90" t="n"/>
      <c r="F2979" s="16" t="n"/>
      <c r="G2979" s="16" t="n"/>
      <c r="H2979" s="63" t="n"/>
      <c r="I2979" s="64" t="n"/>
      <c r="J2979" s="16" t="n"/>
      <c r="K2979" s="16" t="n"/>
      <c r="M2979" s="89" t="n"/>
      <c r="N2979" s="1" t="n"/>
      <c r="O2979" s="1" t="n"/>
      <c r="P2979" s="1" t="n"/>
      <c r="Q2979" s="1" t="n"/>
      <c r="R2979" s="1" t="n"/>
    </row>
    <row r="2980">
      <c r="A2980" s="61" t="n"/>
      <c r="B2980" s="16" t="n"/>
      <c r="C2980" s="90" t="n"/>
      <c r="D2980" s="90" t="n"/>
      <c r="E2980" s="90" t="n"/>
      <c r="F2980" s="16" t="n"/>
      <c r="G2980" s="16" t="n"/>
      <c r="H2980" s="63" t="n"/>
      <c r="I2980" s="64" t="n"/>
      <c r="J2980" s="16" t="n"/>
      <c r="K2980" s="16" t="n"/>
      <c r="M2980" s="89" t="n"/>
      <c r="N2980" s="1" t="n"/>
      <c r="O2980" s="1" t="n"/>
      <c r="P2980" s="1" t="n"/>
      <c r="Q2980" s="1" t="n"/>
      <c r="R2980" s="1" t="n"/>
    </row>
    <row r="2981">
      <c r="A2981" s="61" t="n"/>
      <c r="B2981" s="16" t="n"/>
      <c r="C2981" s="90" t="n"/>
      <c r="D2981" s="90" t="n"/>
      <c r="E2981" s="90" t="n"/>
      <c r="F2981" s="16" t="n"/>
      <c r="G2981" s="16" t="n"/>
      <c r="H2981" s="63" t="n"/>
      <c r="I2981" s="64" t="n"/>
      <c r="J2981" s="16" t="n"/>
      <c r="K2981" s="16" t="n"/>
      <c r="M2981" s="89" t="n"/>
      <c r="N2981" s="1" t="n"/>
      <c r="O2981" s="1" t="n"/>
      <c r="P2981" s="1" t="n"/>
      <c r="Q2981" s="1" t="n"/>
      <c r="R2981" s="1" t="n"/>
    </row>
    <row r="2982">
      <c r="A2982" s="61" t="n"/>
      <c r="B2982" s="16" t="n"/>
      <c r="C2982" s="90" t="n"/>
      <c r="D2982" s="90" t="n"/>
      <c r="E2982" s="90" t="n"/>
      <c r="F2982" s="16" t="n"/>
      <c r="G2982" s="16" t="n"/>
      <c r="H2982" s="63" t="n"/>
      <c r="I2982" s="64" t="n"/>
      <c r="J2982" s="16" t="n"/>
      <c r="K2982" s="16" t="n"/>
      <c r="M2982" s="89" t="n"/>
      <c r="N2982" s="1" t="n"/>
      <c r="O2982" s="1" t="n"/>
      <c r="P2982" s="1" t="n"/>
      <c r="Q2982" s="1" t="n"/>
      <c r="R2982" s="1" t="n"/>
    </row>
    <row r="2983">
      <c r="A2983" s="61" t="n"/>
      <c r="B2983" s="16" t="n"/>
      <c r="C2983" s="90" t="n"/>
      <c r="D2983" s="90" t="n"/>
      <c r="E2983" s="90" t="n"/>
      <c r="F2983" s="16" t="n"/>
      <c r="G2983" s="16" t="n"/>
      <c r="H2983" s="63" t="n"/>
      <c r="I2983" s="64" t="n"/>
      <c r="J2983" s="16" t="n"/>
      <c r="K2983" s="16" t="n"/>
      <c r="M2983" s="89" t="n"/>
      <c r="N2983" s="1" t="n"/>
      <c r="O2983" s="1" t="n"/>
      <c r="P2983" s="1" t="n"/>
      <c r="Q2983" s="1" t="n"/>
      <c r="R2983" s="1" t="n"/>
    </row>
    <row r="2984">
      <c r="A2984" s="61" t="n"/>
      <c r="B2984" s="16" t="n"/>
      <c r="C2984" s="90" t="n"/>
      <c r="D2984" s="90" t="n"/>
      <c r="E2984" s="90" t="n"/>
      <c r="F2984" s="16" t="n"/>
      <c r="G2984" s="16" t="n"/>
      <c r="H2984" s="63" t="n"/>
      <c r="I2984" s="64" t="n"/>
      <c r="J2984" s="16" t="n"/>
      <c r="K2984" s="16" t="n"/>
      <c r="M2984" s="89" t="n"/>
      <c r="N2984" s="1" t="n"/>
      <c r="O2984" s="1" t="n"/>
      <c r="P2984" s="1" t="n"/>
      <c r="Q2984" s="1" t="n"/>
      <c r="R2984" s="1" t="n"/>
    </row>
    <row r="2985">
      <c r="A2985" s="61" t="n"/>
      <c r="B2985" s="16" t="n"/>
      <c r="C2985" s="90" t="n"/>
      <c r="D2985" s="90" t="n"/>
      <c r="E2985" s="90" t="n"/>
      <c r="F2985" s="16" t="n"/>
      <c r="G2985" s="16" t="n"/>
      <c r="H2985" s="63" t="n"/>
      <c r="I2985" s="64" t="n"/>
      <c r="J2985" s="16" t="n"/>
      <c r="K2985" s="16" t="n"/>
      <c r="M2985" s="89" t="n"/>
      <c r="N2985" s="1" t="n"/>
      <c r="O2985" s="1" t="n"/>
      <c r="P2985" s="1" t="n"/>
      <c r="Q2985" s="1" t="n"/>
      <c r="R2985" s="1" t="n"/>
    </row>
    <row r="2986">
      <c r="A2986" s="61" t="n"/>
      <c r="B2986" s="16" t="n"/>
      <c r="C2986" s="90" t="n"/>
      <c r="D2986" s="90" t="n"/>
      <c r="E2986" s="90" t="n"/>
      <c r="F2986" s="16" t="n"/>
      <c r="G2986" s="16" t="n"/>
      <c r="H2986" s="63" t="n"/>
      <c r="I2986" s="64" t="n"/>
      <c r="J2986" s="16" t="n"/>
      <c r="K2986" s="16" t="n"/>
      <c r="M2986" s="89" t="n"/>
      <c r="N2986" s="1" t="n"/>
      <c r="O2986" s="1" t="n"/>
      <c r="P2986" s="1" t="n"/>
      <c r="Q2986" s="1" t="n"/>
      <c r="R2986" s="1" t="n"/>
    </row>
    <row r="2987">
      <c r="A2987" s="61" t="n"/>
      <c r="B2987" s="16" t="n"/>
      <c r="C2987" s="90" t="n"/>
      <c r="D2987" s="90" t="n"/>
      <c r="E2987" s="90" t="n"/>
      <c r="F2987" s="16" t="n"/>
      <c r="G2987" s="16" t="n"/>
      <c r="H2987" s="63" t="n"/>
      <c r="I2987" s="64" t="n"/>
      <c r="J2987" s="16" t="n"/>
      <c r="K2987" s="16" t="n"/>
      <c r="M2987" s="89" t="n"/>
      <c r="N2987" s="1" t="n"/>
      <c r="O2987" s="1" t="n"/>
      <c r="P2987" s="1" t="n"/>
      <c r="Q2987" s="1" t="n"/>
      <c r="R2987" s="1" t="n"/>
    </row>
    <row r="2988">
      <c r="A2988" s="61" t="n"/>
      <c r="B2988" s="16" t="n"/>
      <c r="C2988" s="90" t="n"/>
      <c r="D2988" s="90" t="n"/>
      <c r="E2988" s="90" t="n"/>
      <c r="F2988" s="16" t="n"/>
      <c r="G2988" s="16" t="n"/>
      <c r="H2988" s="63" t="n"/>
      <c r="I2988" s="64" t="n"/>
      <c r="J2988" s="16" t="n"/>
      <c r="K2988" s="16" t="n"/>
      <c r="M2988" s="89" t="n"/>
      <c r="N2988" s="1" t="n"/>
      <c r="O2988" s="1" t="n"/>
      <c r="P2988" s="1" t="n"/>
      <c r="Q2988" s="1" t="n"/>
      <c r="R2988" s="1" t="n"/>
    </row>
    <row r="2989">
      <c r="A2989" s="61" t="n"/>
      <c r="B2989" s="16" t="n"/>
      <c r="C2989" s="90" t="n"/>
      <c r="D2989" s="90" t="n"/>
      <c r="E2989" s="90" t="n"/>
      <c r="F2989" s="16" t="n"/>
      <c r="G2989" s="16" t="n"/>
      <c r="H2989" s="63" t="n"/>
      <c r="I2989" s="64" t="n"/>
      <c r="J2989" s="16" t="n"/>
      <c r="K2989" s="16" t="n"/>
      <c r="M2989" s="89" t="n"/>
      <c r="N2989" s="1" t="n"/>
      <c r="O2989" s="1" t="n"/>
      <c r="P2989" s="1" t="n"/>
      <c r="Q2989" s="1" t="n"/>
      <c r="R2989" s="1" t="n"/>
    </row>
    <row r="2990">
      <c r="A2990" s="61" t="n"/>
      <c r="B2990" s="16" t="n"/>
      <c r="C2990" s="90" t="n"/>
      <c r="D2990" s="90" t="n"/>
      <c r="E2990" s="90" t="n"/>
      <c r="F2990" s="16" t="n"/>
      <c r="G2990" s="16" t="n"/>
      <c r="H2990" s="63" t="n"/>
      <c r="I2990" s="64" t="n"/>
      <c r="J2990" s="16" t="n"/>
      <c r="K2990" s="16" t="n"/>
      <c r="M2990" s="89" t="n"/>
      <c r="N2990" s="1" t="n"/>
      <c r="O2990" s="1" t="n"/>
      <c r="P2990" s="1" t="n"/>
      <c r="Q2990" s="1" t="n"/>
      <c r="R2990" s="1" t="n"/>
    </row>
    <row r="2991">
      <c r="A2991" s="61" t="n"/>
      <c r="B2991" s="16" t="n"/>
      <c r="C2991" s="90" t="n"/>
      <c r="D2991" s="90" t="n"/>
      <c r="E2991" s="90" t="n"/>
      <c r="F2991" s="16" t="n"/>
      <c r="G2991" s="16" t="n"/>
      <c r="H2991" s="63" t="n"/>
      <c r="I2991" s="64" t="n"/>
      <c r="J2991" s="16" t="n"/>
      <c r="K2991" s="16" t="n"/>
      <c r="M2991" s="89" t="n"/>
      <c r="N2991" s="1" t="n"/>
      <c r="O2991" s="1" t="n"/>
      <c r="P2991" s="1" t="n"/>
      <c r="Q2991" s="1" t="n"/>
      <c r="R2991" s="1" t="n"/>
    </row>
    <row r="2992">
      <c r="A2992" s="61" t="n"/>
      <c r="B2992" s="16" t="n"/>
      <c r="C2992" s="90" t="n"/>
      <c r="D2992" s="90" t="n"/>
      <c r="E2992" s="90" t="n"/>
      <c r="F2992" s="16" t="n"/>
      <c r="G2992" s="16" t="n"/>
      <c r="H2992" s="63" t="n"/>
      <c r="I2992" s="64" t="n"/>
      <c r="J2992" s="16" t="n"/>
      <c r="K2992" s="16" t="n"/>
      <c r="M2992" s="89" t="n"/>
      <c r="N2992" s="1" t="n"/>
      <c r="O2992" s="1" t="n"/>
      <c r="P2992" s="1" t="n"/>
      <c r="Q2992" s="1" t="n"/>
      <c r="R2992" s="1" t="n"/>
    </row>
    <row r="2993">
      <c r="A2993" s="61" t="n"/>
      <c r="B2993" s="16" t="n"/>
      <c r="C2993" s="90" t="n"/>
      <c r="D2993" s="90" t="n"/>
      <c r="E2993" s="90" t="n"/>
      <c r="F2993" s="16" t="n"/>
      <c r="G2993" s="16" t="n"/>
      <c r="H2993" s="63" t="n"/>
      <c r="I2993" s="64" t="n"/>
      <c r="J2993" s="16" t="n"/>
      <c r="K2993" s="16" t="n"/>
      <c r="M2993" s="89" t="n"/>
      <c r="N2993" s="1" t="n"/>
      <c r="O2993" s="1" t="n"/>
      <c r="P2993" s="1" t="n"/>
      <c r="Q2993" s="1" t="n"/>
      <c r="R2993" s="1" t="n"/>
    </row>
    <row r="2994">
      <c r="A2994" s="61" t="n"/>
      <c r="B2994" s="16" t="n"/>
      <c r="C2994" s="90" t="n"/>
      <c r="D2994" s="90" t="n"/>
      <c r="E2994" s="90" t="n"/>
      <c r="F2994" s="16" t="n"/>
      <c r="G2994" s="16" t="n"/>
      <c r="H2994" s="63" t="n"/>
      <c r="I2994" s="64" t="n"/>
      <c r="J2994" s="16" t="n"/>
      <c r="K2994" s="16" t="n"/>
      <c r="M2994" s="89" t="n"/>
      <c r="N2994" s="1" t="n"/>
      <c r="O2994" s="1" t="n"/>
      <c r="P2994" s="1" t="n"/>
      <c r="Q2994" s="1" t="n"/>
      <c r="R2994" s="1" t="n"/>
    </row>
    <row r="2995">
      <c r="A2995" s="61" t="n"/>
      <c r="B2995" s="16" t="n"/>
      <c r="C2995" s="90" t="n"/>
      <c r="D2995" s="90" t="n"/>
      <c r="E2995" s="90" t="n"/>
      <c r="F2995" s="16" t="n"/>
      <c r="G2995" s="16" t="n"/>
      <c r="H2995" s="63" t="n"/>
      <c r="I2995" s="64" t="n"/>
      <c r="J2995" s="16" t="n"/>
      <c r="K2995" s="16" t="n"/>
      <c r="M2995" s="89" t="n"/>
      <c r="N2995" s="1" t="n"/>
      <c r="O2995" s="1" t="n"/>
      <c r="P2995" s="1" t="n"/>
      <c r="Q2995" s="1" t="n"/>
      <c r="R2995" s="1" t="n"/>
    </row>
    <row r="2996">
      <c r="A2996" s="61" t="n"/>
      <c r="B2996" s="16" t="n"/>
      <c r="C2996" s="90" t="n"/>
      <c r="D2996" s="90" t="n"/>
      <c r="E2996" s="90" t="n"/>
      <c r="F2996" s="16" t="n"/>
      <c r="G2996" s="16" t="n"/>
      <c r="H2996" s="63" t="n"/>
      <c r="I2996" s="64" t="n"/>
      <c r="J2996" s="16" t="n"/>
      <c r="K2996" s="16" t="n"/>
      <c r="M2996" s="89" t="n"/>
      <c r="N2996" s="1" t="n"/>
      <c r="O2996" s="1" t="n"/>
      <c r="P2996" s="1" t="n"/>
      <c r="Q2996" s="1" t="n"/>
      <c r="R2996" s="1" t="n"/>
    </row>
    <row r="2997">
      <c r="A2997" s="61" t="n"/>
      <c r="B2997" s="16" t="n"/>
      <c r="C2997" s="90" t="n"/>
      <c r="D2997" s="90" t="n"/>
      <c r="E2997" s="90" t="n"/>
      <c r="F2997" s="16" t="n"/>
      <c r="G2997" s="16" t="n"/>
      <c r="H2997" s="63" t="n"/>
      <c r="I2997" s="64" t="n"/>
      <c r="J2997" s="16" t="n"/>
      <c r="K2997" s="16" t="n"/>
      <c r="M2997" s="89" t="n"/>
      <c r="N2997" s="1" t="n"/>
      <c r="O2997" s="1" t="n"/>
      <c r="P2997" s="1" t="n"/>
      <c r="Q2997" s="1" t="n"/>
      <c r="R2997" s="1" t="n"/>
    </row>
    <row r="2998">
      <c r="A2998" s="61" t="n"/>
      <c r="B2998" s="16" t="n"/>
      <c r="C2998" s="90" t="n"/>
      <c r="D2998" s="90" t="n"/>
      <c r="E2998" s="90" t="n"/>
      <c r="F2998" s="16" t="n"/>
      <c r="G2998" s="16" t="n"/>
      <c r="H2998" s="63" t="n"/>
      <c r="I2998" s="64" t="n"/>
      <c r="J2998" s="16" t="n"/>
      <c r="K2998" s="16" t="n"/>
      <c r="M2998" s="89" t="n"/>
      <c r="N2998" s="1" t="n"/>
      <c r="O2998" s="1" t="n"/>
      <c r="P2998" s="1" t="n"/>
      <c r="Q2998" s="1" t="n"/>
      <c r="R2998" s="1" t="n"/>
    </row>
    <row r="2999">
      <c r="A2999" s="61" t="n"/>
      <c r="B2999" s="16" t="n"/>
      <c r="C2999" s="90" t="n"/>
      <c r="D2999" s="90" t="n"/>
      <c r="E2999" s="90" t="n"/>
      <c r="F2999" s="16" t="n"/>
      <c r="G2999" s="16" t="n"/>
      <c r="H2999" s="63" t="n"/>
      <c r="I2999" s="64" t="n"/>
      <c r="J2999" s="16" t="n"/>
      <c r="K2999" s="16" t="n"/>
      <c r="M2999" s="89" t="n"/>
      <c r="N2999" s="1" t="n"/>
      <c r="O2999" s="1" t="n"/>
      <c r="P2999" s="1" t="n"/>
      <c r="Q2999" s="1" t="n"/>
      <c r="R2999" s="1" t="n"/>
    </row>
    <row r="3000">
      <c r="A3000" s="61" t="n"/>
      <c r="B3000" s="16" t="n"/>
      <c r="C3000" s="90" t="n"/>
      <c r="D3000" s="90" t="n"/>
      <c r="E3000" s="90" t="n"/>
      <c r="F3000" s="16" t="n"/>
      <c r="G3000" s="16" t="n"/>
      <c r="H3000" s="63" t="n"/>
      <c r="I3000" s="64" t="n"/>
      <c r="J3000" s="16" t="n"/>
      <c r="K3000" s="16" t="n"/>
      <c r="M3000" s="89" t="n"/>
      <c r="N3000" s="1" t="n"/>
      <c r="O3000" s="1" t="n"/>
      <c r="P3000" s="1" t="n"/>
      <c r="Q3000" s="1" t="n"/>
      <c r="R3000" s="1" t="n"/>
    </row>
    <row r="3001">
      <c r="A3001" s="61" t="n"/>
      <c r="B3001" s="16" t="n"/>
      <c r="C3001" s="90" t="n"/>
      <c r="D3001" s="90" t="n"/>
      <c r="E3001" s="90" t="n"/>
      <c r="F3001" s="16" t="n"/>
      <c r="G3001" s="16" t="n"/>
      <c r="H3001" s="63" t="n"/>
      <c r="I3001" s="64" t="n"/>
      <c r="J3001" s="16" t="n"/>
      <c r="K3001" s="16" t="n"/>
      <c r="M3001" s="89" t="n"/>
      <c r="N3001" s="1" t="n"/>
      <c r="O3001" s="1" t="n"/>
      <c r="P3001" s="1" t="n"/>
      <c r="Q3001" s="1" t="n"/>
      <c r="R3001" s="1" t="n"/>
    </row>
    <row r="3002">
      <c r="A3002" s="61" t="n"/>
      <c r="B3002" s="16" t="n"/>
      <c r="C3002" s="90" t="n"/>
      <c r="D3002" s="90" t="n"/>
      <c r="E3002" s="90" t="n"/>
      <c r="F3002" s="16" t="n"/>
      <c r="G3002" s="16" t="n"/>
      <c r="H3002" s="63" t="n"/>
      <c r="I3002" s="64" t="n"/>
      <c r="J3002" s="16" t="n"/>
      <c r="K3002" s="16" t="n"/>
      <c r="M3002" s="89" t="n"/>
      <c r="N3002" s="1" t="n"/>
      <c r="O3002" s="1" t="n"/>
      <c r="P3002" s="1" t="n"/>
      <c r="Q3002" s="1" t="n"/>
      <c r="R3002" s="1" t="n"/>
    </row>
    <row r="3003">
      <c r="A3003" s="61" t="n"/>
      <c r="B3003" s="16" t="n"/>
      <c r="C3003" s="90" t="n"/>
      <c r="D3003" s="90" t="n"/>
      <c r="E3003" s="90" t="n"/>
      <c r="F3003" s="16" t="n"/>
      <c r="G3003" s="16" t="n"/>
      <c r="H3003" s="63" t="n"/>
      <c r="I3003" s="64" t="n"/>
      <c r="J3003" s="16" t="n"/>
      <c r="K3003" s="16" t="n"/>
      <c r="M3003" s="89" t="n"/>
      <c r="N3003" s="1" t="n"/>
      <c r="O3003" s="1" t="n"/>
      <c r="P3003" s="1" t="n"/>
      <c r="Q3003" s="1" t="n"/>
      <c r="R3003" s="1" t="n"/>
    </row>
    <row r="3004">
      <c r="A3004" s="61" t="n"/>
      <c r="B3004" s="16" t="n"/>
      <c r="C3004" s="90" t="n"/>
      <c r="D3004" s="90" t="n"/>
      <c r="E3004" s="90" t="n"/>
      <c r="F3004" s="16" t="n"/>
      <c r="G3004" s="16" t="n"/>
      <c r="H3004" s="63" t="n"/>
      <c r="I3004" s="64" t="n"/>
      <c r="J3004" s="16" t="n"/>
      <c r="K3004" s="16" t="n"/>
      <c r="M3004" s="89" t="n"/>
      <c r="N3004" s="1" t="n"/>
      <c r="O3004" s="1" t="n"/>
      <c r="P3004" s="1" t="n"/>
      <c r="Q3004" s="1" t="n"/>
      <c r="R3004" s="1" t="n"/>
    </row>
    <row r="3005">
      <c r="A3005" s="61" t="n"/>
      <c r="B3005" s="16" t="n"/>
      <c r="C3005" s="90" t="n"/>
      <c r="D3005" s="90" t="n"/>
      <c r="E3005" s="90" t="n"/>
      <c r="F3005" s="16" t="n"/>
      <c r="G3005" s="16" t="n"/>
      <c r="H3005" s="63" t="n"/>
      <c r="I3005" s="64" t="n"/>
      <c r="J3005" s="16" t="n"/>
      <c r="K3005" s="16" t="n"/>
      <c r="M3005" s="89" t="n"/>
      <c r="N3005" s="1" t="n"/>
      <c r="O3005" s="1" t="n"/>
      <c r="P3005" s="1" t="n"/>
      <c r="Q3005" s="1" t="n"/>
      <c r="R3005" s="1" t="n"/>
    </row>
    <row r="3006">
      <c r="A3006" s="61" t="n"/>
      <c r="B3006" s="16" t="n"/>
      <c r="C3006" s="90" t="n"/>
      <c r="D3006" s="90" t="n"/>
      <c r="E3006" s="90" t="n"/>
      <c r="F3006" s="16" t="n"/>
      <c r="G3006" s="16" t="n"/>
      <c r="H3006" s="63" t="n"/>
      <c r="I3006" s="64" t="n"/>
      <c r="J3006" s="16" t="n"/>
      <c r="K3006" s="16" t="n"/>
      <c r="M3006" s="89" t="n"/>
      <c r="N3006" s="1" t="n"/>
      <c r="O3006" s="1" t="n"/>
      <c r="P3006" s="1" t="n"/>
      <c r="Q3006" s="1" t="n"/>
      <c r="R3006" s="1" t="n"/>
    </row>
    <row r="3007">
      <c r="A3007" s="61" t="n"/>
      <c r="B3007" s="16" t="n"/>
      <c r="C3007" s="90" t="n"/>
      <c r="D3007" s="90" t="n"/>
      <c r="E3007" s="90" t="n"/>
      <c r="F3007" s="16" t="n"/>
      <c r="G3007" s="16" t="n"/>
      <c r="H3007" s="63" t="n"/>
      <c r="I3007" s="64" t="n"/>
      <c r="J3007" s="16" t="n"/>
      <c r="K3007" s="16" t="n"/>
      <c r="M3007" s="89" t="n"/>
      <c r="N3007" s="1" t="n"/>
      <c r="O3007" s="1" t="n"/>
      <c r="P3007" s="1" t="n"/>
      <c r="Q3007" s="1" t="n"/>
      <c r="R3007" s="1" t="n"/>
    </row>
    <row r="3008">
      <c r="A3008" s="61" t="n"/>
      <c r="B3008" s="16" t="n"/>
      <c r="C3008" s="90" t="n"/>
      <c r="D3008" s="90" t="n"/>
      <c r="E3008" s="90" t="n"/>
      <c r="F3008" s="16" t="n"/>
      <c r="G3008" s="16" t="n"/>
      <c r="H3008" s="63" t="n"/>
      <c r="I3008" s="64" t="n"/>
      <c r="J3008" s="16" t="n"/>
      <c r="K3008" s="16" t="n"/>
      <c r="M3008" s="89" t="n"/>
      <c r="N3008" s="1" t="n"/>
      <c r="O3008" s="1" t="n"/>
      <c r="P3008" s="1" t="n"/>
      <c r="Q3008" s="1" t="n"/>
      <c r="R3008" s="1" t="n"/>
    </row>
    <row r="3009">
      <c r="A3009" s="61" t="n"/>
      <c r="B3009" s="16" t="n"/>
      <c r="C3009" s="90" t="n"/>
      <c r="D3009" s="90" t="n"/>
      <c r="E3009" s="90" t="n"/>
      <c r="F3009" s="16" t="n"/>
      <c r="G3009" s="16" t="n"/>
      <c r="H3009" s="63" t="n"/>
      <c r="I3009" s="64" t="n"/>
      <c r="J3009" s="16" t="n"/>
      <c r="K3009" s="16" t="n"/>
      <c r="M3009" s="89" t="n"/>
      <c r="N3009" s="1" t="n"/>
      <c r="O3009" s="1" t="n"/>
      <c r="P3009" s="1" t="n"/>
      <c r="Q3009" s="1" t="n"/>
      <c r="R3009" s="1" t="n"/>
    </row>
    <row r="3010">
      <c r="A3010" s="61" t="n"/>
      <c r="B3010" s="16" t="n"/>
      <c r="C3010" s="90" t="n"/>
      <c r="D3010" s="90" t="n"/>
      <c r="E3010" s="90" t="n"/>
      <c r="F3010" s="16" t="n"/>
      <c r="G3010" s="16" t="n"/>
      <c r="H3010" s="63" t="n"/>
      <c r="I3010" s="64" t="n"/>
      <c r="J3010" s="16" t="n"/>
      <c r="K3010" s="16" t="n"/>
      <c r="M3010" s="89" t="n"/>
      <c r="N3010" s="1" t="n"/>
      <c r="O3010" s="1" t="n"/>
      <c r="P3010" s="1" t="n"/>
      <c r="Q3010" s="1" t="n"/>
      <c r="R3010" s="1" t="n"/>
    </row>
    <row r="3011">
      <c r="A3011" s="61" t="n"/>
      <c r="B3011" s="16" t="n"/>
      <c r="C3011" s="90" t="n"/>
      <c r="D3011" s="90" t="n"/>
      <c r="E3011" s="90" t="n"/>
      <c r="F3011" s="16" t="n"/>
      <c r="G3011" s="16" t="n"/>
      <c r="H3011" s="63" t="n"/>
      <c r="I3011" s="64" t="n"/>
      <c r="J3011" s="16" t="n"/>
      <c r="K3011" s="16" t="n"/>
      <c r="M3011" s="89" t="n"/>
      <c r="N3011" s="1" t="n"/>
      <c r="O3011" s="1" t="n"/>
      <c r="P3011" s="1" t="n"/>
      <c r="Q3011" s="1" t="n"/>
      <c r="R3011" s="1" t="n"/>
    </row>
    <row r="3012">
      <c r="A3012" s="61" t="n"/>
      <c r="B3012" s="16" t="n"/>
      <c r="C3012" s="90" t="n"/>
      <c r="D3012" s="90" t="n"/>
      <c r="E3012" s="90" t="n"/>
      <c r="F3012" s="16" t="n"/>
      <c r="G3012" s="16" t="n"/>
      <c r="H3012" s="63" t="n"/>
      <c r="I3012" s="64" t="n"/>
      <c r="J3012" s="16" t="n"/>
      <c r="K3012" s="16" t="n"/>
      <c r="M3012" s="89" t="n"/>
      <c r="N3012" s="1" t="n"/>
      <c r="O3012" s="1" t="n"/>
      <c r="P3012" s="1" t="n"/>
      <c r="Q3012" s="1" t="n"/>
      <c r="R3012" s="1" t="n"/>
    </row>
    <row r="3013">
      <c r="A3013" s="61" t="n"/>
      <c r="B3013" s="16" t="n"/>
      <c r="C3013" s="90" t="n"/>
      <c r="D3013" s="90" t="n"/>
      <c r="E3013" s="90" t="n"/>
      <c r="F3013" s="16" t="n"/>
      <c r="G3013" s="16" t="n"/>
      <c r="H3013" s="63" t="n"/>
      <c r="I3013" s="64" t="n"/>
      <c r="J3013" s="16" t="n"/>
      <c r="K3013" s="16" t="n"/>
      <c r="M3013" s="89" t="n"/>
      <c r="N3013" s="1" t="n"/>
      <c r="O3013" s="1" t="n"/>
      <c r="P3013" s="1" t="n"/>
      <c r="Q3013" s="1" t="n"/>
      <c r="R3013" s="1" t="n"/>
    </row>
    <row r="3014">
      <c r="A3014" s="61" t="n"/>
      <c r="B3014" s="16" t="n"/>
      <c r="C3014" s="90" t="n"/>
      <c r="D3014" s="90" t="n"/>
      <c r="E3014" s="90" t="n"/>
      <c r="F3014" s="16" t="n"/>
      <c r="G3014" s="16" t="n"/>
      <c r="H3014" s="63" t="n"/>
      <c r="I3014" s="64" t="n"/>
      <c r="J3014" s="16" t="n"/>
      <c r="K3014" s="16" t="n"/>
      <c r="M3014" s="89" t="n"/>
      <c r="N3014" s="1" t="n"/>
      <c r="O3014" s="1" t="n"/>
      <c r="P3014" s="1" t="n"/>
      <c r="Q3014" s="1" t="n"/>
      <c r="R3014" s="1" t="n"/>
    </row>
    <row r="3015">
      <c r="A3015" s="61" t="n"/>
      <c r="B3015" s="16" t="n"/>
      <c r="C3015" s="90" t="n"/>
      <c r="D3015" s="90" t="n"/>
      <c r="E3015" s="90" t="n"/>
      <c r="F3015" s="16" t="n"/>
      <c r="G3015" s="16" t="n"/>
      <c r="H3015" s="63" t="n"/>
      <c r="I3015" s="64" t="n"/>
      <c r="J3015" s="16" t="n"/>
      <c r="K3015" s="16" t="n"/>
      <c r="M3015" s="89" t="n"/>
      <c r="N3015" s="1" t="n"/>
      <c r="O3015" s="1" t="n"/>
      <c r="P3015" s="1" t="n"/>
      <c r="Q3015" s="1" t="n"/>
      <c r="R3015" s="1" t="n"/>
    </row>
    <row r="3016">
      <c r="A3016" s="61" t="n"/>
      <c r="B3016" s="16" t="n"/>
      <c r="C3016" s="90" t="n"/>
      <c r="D3016" s="90" t="n"/>
      <c r="E3016" s="90" t="n"/>
      <c r="F3016" s="16" t="n"/>
      <c r="G3016" s="16" t="n"/>
      <c r="H3016" s="63" t="n"/>
      <c r="I3016" s="64" t="n"/>
      <c r="J3016" s="16" t="n"/>
      <c r="K3016" s="16" t="n"/>
      <c r="M3016" s="89" t="n"/>
      <c r="N3016" s="1" t="n"/>
      <c r="O3016" s="1" t="n"/>
      <c r="P3016" s="1" t="n"/>
      <c r="Q3016" s="1" t="n"/>
      <c r="R3016" s="1" t="n"/>
    </row>
    <row r="3017">
      <c r="A3017" s="61" t="n"/>
      <c r="B3017" s="16" t="n"/>
      <c r="C3017" s="90" t="n"/>
      <c r="D3017" s="90" t="n"/>
      <c r="E3017" s="90" t="n"/>
      <c r="F3017" s="16" t="n"/>
      <c r="G3017" s="16" t="n"/>
      <c r="H3017" s="63" t="n"/>
      <c r="I3017" s="64" t="n"/>
      <c r="J3017" s="16" t="n"/>
      <c r="K3017" s="16" t="n"/>
      <c r="M3017" s="89" t="n"/>
      <c r="N3017" s="1" t="n"/>
      <c r="O3017" s="1" t="n"/>
      <c r="P3017" s="1" t="n"/>
      <c r="Q3017" s="1" t="n"/>
      <c r="R3017" s="1" t="n"/>
    </row>
    <row r="3018">
      <c r="A3018" s="61" t="n"/>
      <c r="B3018" s="16" t="n"/>
      <c r="C3018" s="90" t="n"/>
      <c r="D3018" s="90" t="n"/>
      <c r="E3018" s="90" t="n"/>
      <c r="F3018" s="16" t="n"/>
      <c r="G3018" s="16" t="n"/>
      <c r="H3018" s="63" t="n"/>
      <c r="I3018" s="64" t="n"/>
      <c r="J3018" s="16" t="n"/>
      <c r="K3018" s="16" t="n"/>
      <c r="M3018" s="89" t="n"/>
      <c r="N3018" s="1" t="n"/>
      <c r="O3018" s="1" t="n"/>
      <c r="P3018" s="1" t="n"/>
      <c r="Q3018" s="1" t="n"/>
      <c r="R3018" s="1" t="n"/>
    </row>
    <row r="3019">
      <c r="A3019" s="61" t="n"/>
      <c r="B3019" s="16" t="n"/>
      <c r="C3019" s="90" t="n"/>
      <c r="D3019" s="90" t="n"/>
      <c r="E3019" s="90" t="n"/>
      <c r="F3019" s="16" t="n"/>
      <c r="G3019" s="16" t="n"/>
      <c r="H3019" s="63" t="n"/>
      <c r="I3019" s="64" t="n"/>
      <c r="J3019" s="16" t="n"/>
      <c r="K3019" s="16" t="n"/>
      <c r="M3019" s="89" t="n"/>
      <c r="N3019" s="1" t="n"/>
      <c r="O3019" s="1" t="n"/>
      <c r="P3019" s="1" t="n"/>
      <c r="Q3019" s="1" t="n"/>
      <c r="R3019" s="1" t="n"/>
    </row>
    <row r="3020">
      <c r="A3020" s="61" t="n"/>
      <c r="B3020" s="16" t="n"/>
      <c r="C3020" s="90" t="n"/>
      <c r="D3020" s="90" t="n"/>
      <c r="E3020" s="90" t="n"/>
      <c r="F3020" s="16" t="n"/>
      <c r="G3020" s="16" t="n"/>
      <c r="H3020" s="63" t="n"/>
      <c r="I3020" s="64" t="n"/>
      <c r="J3020" s="16" t="n"/>
      <c r="K3020" s="16" t="n"/>
      <c r="M3020" s="89" t="n"/>
      <c r="N3020" s="1" t="n"/>
      <c r="O3020" s="1" t="n"/>
      <c r="P3020" s="1" t="n"/>
      <c r="Q3020" s="1" t="n"/>
      <c r="R3020" s="1" t="n"/>
    </row>
    <row r="3021">
      <c r="A3021" s="61" t="n"/>
      <c r="B3021" s="16" t="n"/>
      <c r="C3021" s="90" t="n"/>
      <c r="D3021" s="90" t="n"/>
      <c r="E3021" s="90" t="n"/>
      <c r="F3021" s="16" t="n"/>
      <c r="G3021" s="16" t="n"/>
      <c r="H3021" s="63" t="n"/>
      <c r="I3021" s="64" t="n"/>
      <c r="J3021" s="16" t="n"/>
      <c r="K3021" s="16" t="n"/>
      <c r="M3021" s="89" t="n"/>
      <c r="N3021" s="1" t="n"/>
      <c r="O3021" s="1" t="n"/>
      <c r="P3021" s="1" t="n"/>
      <c r="Q3021" s="1" t="n"/>
      <c r="R3021" s="1" t="n"/>
    </row>
    <row r="3022">
      <c r="A3022" s="61" t="n"/>
      <c r="B3022" s="16" t="n"/>
      <c r="C3022" s="90" t="n"/>
      <c r="D3022" s="90" t="n"/>
      <c r="E3022" s="90" t="n"/>
      <c r="F3022" s="16" t="n"/>
      <c r="G3022" s="16" t="n"/>
      <c r="H3022" s="63" t="n"/>
      <c r="I3022" s="64" t="n"/>
      <c r="J3022" s="16" t="n"/>
      <c r="K3022" s="16" t="n"/>
      <c r="M3022" s="89" t="n"/>
      <c r="N3022" s="1" t="n"/>
      <c r="O3022" s="1" t="n"/>
      <c r="P3022" s="1" t="n"/>
      <c r="Q3022" s="1" t="n"/>
      <c r="R3022" s="1" t="n"/>
    </row>
    <row r="3023">
      <c r="A3023" s="61" t="n"/>
      <c r="B3023" s="16" t="n"/>
      <c r="C3023" s="90" t="n"/>
      <c r="D3023" s="90" t="n"/>
      <c r="E3023" s="90" t="n"/>
      <c r="F3023" s="16" t="n"/>
      <c r="G3023" s="16" t="n"/>
      <c r="H3023" s="63" t="n"/>
      <c r="I3023" s="64" t="n"/>
      <c r="J3023" s="16" t="n"/>
      <c r="K3023" s="16" t="n"/>
      <c r="M3023" s="89" t="n"/>
      <c r="N3023" s="1" t="n"/>
      <c r="O3023" s="1" t="n"/>
      <c r="P3023" s="1" t="n"/>
      <c r="Q3023" s="1" t="n"/>
      <c r="R3023" s="1" t="n"/>
    </row>
    <row r="3024">
      <c r="A3024" s="61" t="n"/>
      <c r="B3024" s="16" t="n"/>
      <c r="C3024" s="90" t="n"/>
      <c r="D3024" s="90" t="n"/>
      <c r="E3024" s="90" t="n"/>
      <c r="F3024" s="16" t="n"/>
      <c r="G3024" s="16" t="n"/>
      <c r="H3024" s="63" t="n"/>
      <c r="I3024" s="64" t="n"/>
      <c r="J3024" s="16" t="n"/>
      <c r="K3024" s="16" t="n"/>
      <c r="M3024" s="89" t="n"/>
      <c r="N3024" s="1" t="n"/>
      <c r="O3024" s="1" t="n"/>
      <c r="P3024" s="1" t="n"/>
      <c r="Q3024" s="1" t="n"/>
      <c r="R3024" s="1" t="n"/>
    </row>
    <row r="3025">
      <c r="A3025" s="61" t="n"/>
      <c r="B3025" s="16" t="n"/>
      <c r="C3025" s="90" t="n"/>
      <c r="D3025" s="90" t="n"/>
      <c r="E3025" s="90" t="n"/>
      <c r="F3025" s="16" t="n"/>
      <c r="G3025" s="16" t="n"/>
      <c r="H3025" s="63" t="n"/>
      <c r="I3025" s="64" t="n"/>
      <c r="J3025" s="16" t="n"/>
      <c r="K3025" s="16" t="n"/>
      <c r="M3025" s="89" t="n"/>
      <c r="N3025" s="1" t="n"/>
      <c r="O3025" s="1" t="n"/>
      <c r="P3025" s="1" t="n"/>
      <c r="Q3025" s="1" t="n"/>
      <c r="R3025" s="1" t="n"/>
    </row>
    <row r="3026">
      <c r="A3026" s="61" t="n"/>
      <c r="B3026" s="16" t="n"/>
      <c r="C3026" s="90" t="n"/>
      <c r="D3026" s="90" t="n"/>
      <c r="E3026" s="90" t="n"/>
      <c r="F3026" s="16" t="n"/>
      <c r="G3026" s="16" t="n"/>
      <c r="H3026" s="63" t="n"/>
      <c r="I3026" s="64" t="n"/>
      <c r="J3026" s="16" t="n"/>
      <c r="K3026" s="16" t="n"/>
      <c r="M3026" s="89" t="n"/>
      <c r="N3026" s="1" t="n"/>
      <c r="O3026" s="1" t="n"/>
      <c r="P3026" s="1" t="n"/>
      <c r="Q3026" s="1" t="n"/>
      <c r="R3026" s="1" t="n"/>
    </row>
    <row r="3027">
      <c r="A3027" s="61" t="n"/>
      <c r="B3027" s="16" t="n"/>
      <c r="C3027" s="90" t="n"/>
      <c r="D3027" s="90" t="n"/>
      <c r="E3027" s="90" t="n"/>
      <c r="F3027" s="16" t="n"/>
      <c r="G3027" s="16" t="n"/>
      <c r="H3027" s="63" t="n"/>
      <c r="I3027" s="64" t="n"/>
      <c r="J3027" s="16" t="n"/>
      <c r="K3027" s="16" t="n"/>
      <c r="M3027" s="89" t="n"/>
      <c r="N3027" s="1" t="n"/>
      <c r="O3027" s="1" t="n"/>
      <c r="P3027" s="1" t="n"/>
      <c r="Q3027" s="1" t="n"/>
      <c r="R3027" s="1" t="n"/>
    </row>
    <row r="3028">
      <c r="A3028" s="61" t="n"/>
      <c r="B3028" s="16" t="n"/>
      <c r="C3028" s="90" t="n"/>
      <c r="D3028" s="90" t="n"/>
      <c r="E3028" s="90" t="n"/>
      <c r="F3028" s="16" t="n"/>
      <c r="G3028" s="16" t="n"/>
      <c r="H3028" s="63" t="n"/>
      <c r="I3028" s="64" t="n"/>
      <c r="J3028" s="16" t="n"/>
      <c r="K3028" s="16" t="n"/>
      <c r="M3028" s="89" t="n"/>
      <c r="N3028" s="1" t="n"/>
      <c r="O3028" s="1" t="n"/>
      <c r="P3028" s="1" t="n"/>
      <c r="Q3028" s="1" t="n"/>
      <c r="R3028" s="1" t="n"/>
    </row>
    <row r="3029">
      <c r="A3029" s="61" t="n"/>
      <c r="B3029" s="16" t="n"/>
      <c r="C3029" s="90" t="n"/>
      <c r="D3029" s="90" t="n"/>
      <c r="E3029" s="90" t="n"/>
      <c r="F3029" s="16" t="n"/>
      <c r="G3029" s="16" t="n"/>
      <c r="H3029" s="63" t="n"/>
      <c r="I3029" s="64" t="n"/>
      <c r="J3029" s="16" t="n"/>
      <c r="K3029" s="16" t="n"/>
      <c r="M3029" s="89" t="n"/>
      <c r="N3029" s="1" t="n"/>
      <c r="O3029" s="1" t="n"/>
      <c r="P3029" s="1" t="n"/>
      <c r="Q3029" s="1" t="n"/>
      <c r="R3029" s="1" t="n"/>
    </row>
    <row r="3030">
      <c r="A3030" s="61" t="n"/>
      <c r="B3030" s="16" t="n"/>
      <c r="C3030" s="90" t="n"/>
      <c r="D3030" s="90" t="n"/>
      <c r="E3030" s="90" t="n"/>
      <c r="F3030" s="16" t="n"/>
      <c r="G3030" s="16" t="n"/>
      <c r="H3030" s="63" t="n"/>
      <c r="I3030" s="64" t="n"/>
      <c r="J3030" s="16" t="n"/>
      <c r="K3030" s="16" t="n"/>
      <c r="M3030" s="89" t="n"/>
      <c r="N3030" s="1" t="n"/>
      <c r="O3030" s="1" t="n"/>
      <c r="P3030" s="1" t="n"/>
      <c r="Q3030" s="1" t="n"/>
      <c r="R3030" s="1" t="n"/>
    </row>
    <row r="3031">
      <c r="A3031" s="61" t="n"/>
      <c r="B3031" s="16" t="n"/>
      <c r="C3031" s="90" t="n"/>
      <c r="D3031" s="90" t="n"/>
      <c r="E3031" s="90" t="n"/>
      <c r="F3031" s="16" t="n"/>
      <c r="G3031" s="16" t="n"/>
      <c r="H3031" s="63" t="n"/>
      <c r="I3031" s="64" t="n"/>
      <c r="J3031" s="16" t="n"/>
      <c r="K3031" s="16" t="n"/>
      <c r="M3031" s="89" t="n"/>
      <c r="N3031" s="1" t="n"/>
      <c r="O3031" s="1" t="n"/>
      <c r="P3031" s="1" t="n"/>
      <c r="Q3031" s="1" t="n"/>
      <c r="R3031" s="1" t="n"/>
    </row>
    <row r="3032">
      <c r="A3032" s="61" t="n"/>
      <c r="B3032" s="16" t="n"/>
      <c r="C3032" s="90" t="n"/>
      <c r="D3032" s="90" t="n"/>
      <c r="E3032" s="90" t="n"/>
      <c r="F3032" s="16" t="n"/>
      <c r="G3032" s="16" t="n"/>
      <c r="H3032" s="63" t="n"/>
      <c r="I3032" s="64" t="n"/>
      <c r="J3032" s="16" t="n"/>
      <c r="K3032" s="16" t="n"/>
      <c r="M3032" s="89" t="n"/>
      <c r="N3032" s="1" t="n"/>
      <c r="O3032" s="1" t="n"/>
      <c r="P3032" s="1" t="n"/>
      <c r="Q3032" s="1" t="n"/>
      <c r="R3032" s="1" t="n"/>
    </row>
    <row r="3033">
      <c r="A3033" s="61" t="n"/>
      <c r="B3033" s="16" t="n"/>
      <c r="C3033" s="90" t="n"/>
      <c r="D3033" s="90" t="n"/>
      <c r="E3033" s="90" t="n"/>
      <c r="F3033" s="16" t="n"/>
      <c r="G3033" s="16" t="n"/>
      <c r="H3033" s="63" t="n"/>
      <c r="I3033" s="64" t="n"/>
      <c r="J3033" s="16" t="n"/>
      <c r="K3033" s="16" t="n"/>
      <c r="M3033" s="89" t="n"/>
      <c r="N3033" s="1" t="n"/>
      <c r="O3033" s="1" t="n"/>
      <c r="P3033" s="1" t="n"/>
      <c r="Q3033" s="1" t="n"/>
      <c r="R3033" s="1" t="n"/>
    </row>
    <row r="3034">
      <c r="A3034" s="61" t="n"/>
      <c r="B3034" s="16" t="n"/>
      <c r="C3034" s="90" t="n"/>
      <c r="D3034" s="90" t="n"/>
      <c r="E3034" s="90" t="n"/>
      <c r="F3034" s="16" t="n"/>
      <c r="G3034" s="16" t="n"/>
      <c r="H3034" s="63" t="n"/>
      <c r="I3034" s="64" t="n"/>
      <c r="J3034" s="16" t="n"/>
      <c r="K3034" s="16" t="n"/>
      <c r="M3034" s="89" t="n"/>
      <c r="N3034" s="1" t="n"/>
      <c r="O3034" s="1" t="n"/>
      <c r="P3034" s="1" t="n"/>
      <c r="Q3034" s="1" t="n"/>
      <c r="R3034" s="1" t="n"/>
    </row>
    <row r="3035">
      <c r="A3035" s="61" t="n"/>
      <c r="B3035" s="16" t="n"/>
      <c r="C3035" s="90" t="n"/>
      <c r="D3035" s="90" t="n"/>
      <c r="E3035" s="90" t="n"/>
      <c r="F3035" s="16" t="n"/>
      <c r="G3035" s="16" t="n"/>
      <c r="H3035" s="63" t="n"/>
      <c r="I3035" s="64" t="n"/>
      <c r="J3035" s="16" t="n"/>
      <c r="K3035" s="16" t="n"/>
      <c r="M3035" s="89" t="n"/>
      <c r="N3035" s="1" t="n"/>
      <c r="O3035" s="1" t="n"/>
      <c r="P3035" s="1" t="n"/>
      <c r="Q3035" s="1" t="n"/>
      <c r="R3035" s="1" t="n"/>
    </row>
    <row r="3036">
      <c r="A3036" s="61" t="n"/>
      <c r="B3036" s="16" t="n"/>
      <c r="C3036" s="90" t="n"/>
      <c r="D3036" s="90" t="n"/>
      <c r="E3036" s="90" t="n"/>
      <c r="F3036" s="16" t="n"/>
      <c r="G3036" s="16" t="n"/>
      <c r="H3036" s="63" t="n"/>
      <c r="I3036" s="64" t="n"/>
      <c r="J3036" s="16" t="n"/>
      <c r="K3036" s="16" t="n"/>
      <c r="M3036" s="89" t="n"/>
      <c r="N3036" s="1" t="n"/>
      <c r="O3036" s="1" t="n"/>
      <c r="P3036" s="1" t="n"/>
      <c r="Q3036" s="1" t="n"/>
      <c r="R3036" s="1" t="n"/>
    </row>
    <row r="3037">
      <c r="A3037" s="61" t="n"/>
      <c r="B3037" s="16" t="n"/>
      <c r="C3037" s="90" t="n"/>
      <c r="D3037" s="90" t="n"/>
      <c r="E3037" s="90" t="n"/>
      <c r="F3037" s="16" t="n"/>
      <c r="G3037" s="16" t="n"/>
      <c r="H3037" s="63" t="n"/>
      <c r="I3037" s="64" t="n"/>
      <c r="J3037" s="16" t="n"/>
      <c r="K3037" s="16" t="n"/>
      <c r="M3037" s="89" t="n"/>
      <c r="N3037" s="1" t="n"/>
      <c r="O3037" s="1" t="n"/>
      <c r="P3037" s="1" t="n"/>
      <c r="Q3037" s="1" t="n"/>
      <c r="R3037" s="1" t="n"/>
    </row>
    <row r="3038">
      <c r="A3038" s="61" t="n"/>
      <c r="B3038" s="16" t="n"/>
      <c r="C3038" s="90" t="n"/>
      <c r="D3038" s="90" t="n"/>
      <c r="E3038" s="90" t="n"/>
      <c r="F3038" s="16" t="n"/>
      <c r="G3038" s="16" t="n"/>
      <c r="H3038" s="63" t="n"/>
      <c r="I3038" s="64" t="n"/>
      <c r="J3038" s="16" t="n"/>
      <c r="K3038" s="16" t="n"/>
      <c r="M3038" s="89" t="n"/>
      <c r="N3038" s="1" t="n"/>
      <c r="O3038" s="1" t="n"/>
      <c r="P3038" s="1" t="n"/>
      <c r="Q3038" s="1" t="n"/>
      <c r="R3038" s="1" t="n"/>
    </row>
    <row r="3039">
      <c r="A3039" s="61" t="n"/>
      <c r="B3039" s="16" t="n"/>
      <c r="C3039" s="90" t="n"/>
      <c r="D3039" s="90" t="n"/>
      <c r="E3039" s="90" t="n"/>
      <c r="F3039" s="16" t="n"/>
      <c r="G3039" s="16" t="n"/>
      <c r="H3039" s="63" t="n"/>
      <c r="I3039" s="64" t="n"/>
      <c r="J3039" s="16" t="n"/>
      <c r="K3039" s="16" t="n"/>
      <c r="M3039" s="89" t="n"/>
      <c r="N3039" s="1" t="n"/>
      <c r="O3039" s="1" t="n"/>
      <c r="P3039" s="1" t="n"/>
      <c r="Q3039" s="1" t="n"/>
      <c r="R3039" s="1" t="n"/>
    </row>
    <row r="3040">
      <c r="A3040" s="61" t="n"/>
      <c r="B3040" s="16" t="n"/>
      <c r="C3040" s="90" t="n"/>
      <c r="D3040" s="90" t="n"/>
      <c r="E3040" s="90" t="n"/>
      <c r="F3040" s="16" t="n"/>
      <c r="G3040" s="16" t="n"/>
      <c r="H3040" s="63" t="n"/>
      <c r="I3040" s="64" t="n"/>
      <c r="J3040" s="16" t="n"/>
      <c r="K3040" s="16" t="n"/>
      <c r="M3040" s="89" t="n"/>
      <c r="N3040" s="1" t="n"/>
      <c r="O3040" s="1" t="n"/>
      <c r="P3040" s="1" t="n"/>
      <c r="Q3040" s="1" t="n"/>
      <c r="R3040" s="1" t="n"/>
    </row>
    <row r="3041">
      <c r="A3041" s="61" t="n"/>
      <c r="B3041" s="16" t="n"/>
      <c r="C3041" s="90" t="n"/>
      <c r="D3041" s="90" t="n"/>
      <c r="E3041" s="90" t="n"/>
      <c r="F3041" s="16" t="n"/>
      <c r="G3041" s="16" t="n"/>
      <c r="H3041" s="63" t="n"/>
      <c r="I3041" s="64" t="n"/>
      <c r="J3041" s="16" t="n"/>
      <c r="K3041" s="16" t="n"/>
      <c r="M3041" s="89" t="n"/>
      <c r="N3041" s="1" t="n"/>
      <c r="O3041" s="1" t="n"/>
      <c r="P3041" s="1" t="n"/>
      <c r="Q3041" s="1" t="n"/>
      <c r="R3041" s="1" t="n"/>
    </row>
    <row r="3042">
      <c r="A3042" s="61" t="n"/>
      <c r="B3042" s="16" t="n"/>
      <c r="C3042" s="90" t="n"/>
      <c r="D3042" s="90" t="n"/>
      <c r="E3042" s="90" t="n"/>
      <c r="F3042" s="16" t="n"/>
      <c r="G3042" s="16" t="n"/>
      <c r="H3042" s="63" t="n"/>
      <c r="I3042" s="64" t="n"/>
      <c r="J3042" s="16" t="n"/>
      <c r="K3042" s="16" t="n"/>
      <c r="M3042" s="89" t="n"/>
      <c r="N3042" s="1" t="n"/>
      <c r="O3042" s="1" t="n"/>
      <c r="P3042" s="1" t="n"/>
      <c r="Q3042" s="1" t="n"/>
      <c r="R3042" s="1" t="n"/>
    </row>
    <row r="3043">
      <c r="A3043" s="61" t="n"/>
      <c r="B3043" s="16" t="n"/>
      <c r="C3043" s="90" t="n"/>
      <c r="D3043" s="90" t="n"/>
      <c r="E3043" s="90" t="n"/>
      <c r="F3043" s="16" t="n"/>
      <c r="G3043" s="16" t="n"/>
      <c r="H3043" s="63" t="n"/>
      <c r="I3043" s="64" t="n"/>
      <c r="J3043" s="16" t="n"/>
      <c r="K3043" s="16" t="n"/>
      <c r="M3043" s="89" t="n"/>
      <c r="N3043" s="1" t="n"/>
      <c r="O3043" s="1" t="n"/>
      <c r="P3043" s="1" t="n"/>
      <c r="Q3043" s="1" t="n"/>
      <c r="R3043" s="1" t="n"/>
    </row>
    <row r="3044">
      <c r="A3044" s="61" t="n"/>
      <c r="B3044" s="16" t="n"/>
      <c r="C3044" s="90" t="n"/>
      <c r="D3044" s="90" t="n"/>
      <c r="E3044" s="90" t="n"/>
      <c r="F3044" s="16" t="n"/>
      <c r="G3044" s="16" t="n"/>
      <c r="H3044" s="63" t="n"/>
      <c r="I3044" s="64" t="n"/>
      <c r="J3044" s="16" t="n"/>
      <c r="K3044" s="16" t="n"/>
      <c r="M3044" s="89" t="n"/>
      <c r="N3044" s="1" t="n"/>
      <c r="O3044" s="1" t="n"/>
      <c r="P3044" s="1" t="n"/>
      <c r="Q3044" s="1" t="n"/>
      <c r="R3044" s="1" t="n"/>
    </row>
    <row r="3045">
      <c r="A3045" s="61" t="n"/>
      <c r="B3045" s="16" t="n"/>
      <c r="C3045" s="90" t="n"/>
      <c r="D3045" s="90" t="n"/>
      <c r="E3045" s="90" t="n"/>
      <c r="F3045" s="16" t="n"/>
      <c r="G3045" s="16" t="n"/>
      <c r="H3045" s="63" t="n"/>
      <c r="I3045" s="64" t="n"/>
      <c r="J3045" s="16" t="n"/>
      <c r="K3045" s="16" t="n"/>
      <c r="M3045" s="89" t="n"/>
      <c r="N3045" s="1" t="n"/>
      <c r="O3045" s="1" t="n"/>
      <c r="P3045" s="1" t="n"/>
      <c r="Q3045" s="1" t="n"/>
      <c r="R3045" s="1" t="n"/>
    </row>
    <row r="3046">
      <c r="A3046" s="61" t="n"/>
      <c r="B3046" s="16" t="n"/>
      <c r="C3046" s="90" t="n"/>
      <c r="D3046" s="90" t="n"/>
      <c r="E3046" s="90" t="n"/>
      <c r="F3046" s="16" t="n"/>
      <c r="G3046" s="16" t="n"/>
      <c r="H3046" s="63" t="n"/>
      <c r="I3046" s="64" t="n"/>
      <c r="J3046" s="16" t="n"/>
      <c r="K3046" s="16" t="n"/>
      <c r="M3046" s="89" t="n"/>
      <c r="N3046" s="1" t="n"/>
      <c r="O3046" s="1" t="n"/>
      <c r="P3046" s="1" t="n"/>
      <c r="Q3046" s="1" t="n"/>
      <c r="R3046" s="1" t="n"/>
    </row>
    <row r="3047">
      <c r="A3047" s="61" t="n"/>
      <c r="B3047" s="16" t="n"/>
      <c r="C3047" s="90" t="n"/>
      <c r="D3047" s="90" t="n"/>
      <c r="E3047" s="90" t="n"/>
      <c r="F3047" s="16" t="n"/>
      <c r="G3047" s="16" t="n"/>
      <c r="H3047" s="63" t="n"/>
      <c r="I3047" s="64" t="n"/>
      <c r="J3047" s="16" t="n"/>
      <c r="K3047" s="16" t="n"/>
      <c r="M3047" s="89" t="n"/>
      <c r="N3047" s="1" t="n"/>
      <c r="O3047" s="1" t="n"/>
      <c r="P3047" s="1" t="n"/>
      <c r="Q3047" s="1" t="n"/>
      <c r="R3047" s="1" t="n"/>
    </row>
    <row r="3048">
      <c r="A3048" s="61" t="n"/>
      <c r="B3048" s="16" t="n"/>
      <c r="C3048" s="90" t="n"/>
      <c r="D3048" s="90" t="n"/>
      <c r="E3048" s="90" t="n"/>
      <c r="F3048" s="16" t="n"/>
      <c r="G3048" s="16" t="n"/>
      <c r="H3048" s="63" t="n"/>
      <c r="I3048" s="64" t="n"/>
      <c r="J3048" s="16" t="n"/>
      <c r="K3048" s="16" t="n"/>
      <c r="M3048" s="89" t="n"/>
      <c r="N3048" s="1" t="n"/>
      <c r="O3048" s="1" t="n"/>
      <c r="P3048" s="1" t="n"/>
      <c r="Q3048" s="1" t="n"/>
      <c r="R3048" s="1" t="n"/>
    </row>
    <row r="3049">
      <c r="A3049" s="61" t="n"/>
      <c r="B3049" s="16" t="n"/>
      <c r="C3049" s="90" t="n"/>
      <c r="D3049" s="90" t="n"/>
      <c r="E3049" s="90" t="n"/>
      <c r="F3049" s="16" t="n"/>
      <c r="G3049" s="16" t="n"/>
      <c r="H3049" s="63" t="n"/>
      <c r="I3049" s="64" t="n"/>
      <c r="J3049" s="16" t="n"/>
      <c r="K3049" s="16" t="n"/>
      <c r="M3049" s="89" t="n"/>
      <c r="N3049" s="1" t="n"/>
      <c r="O3049" s="1" t="n"/>
      <c r="P3049" s="1" t="n"/>
      <c r="Q3049" s="1" t="n"/>
      <c r="R3049" s="1" t="n"/>
    </row>
    <row r="3050">
      <c r="A3050" s="61" t="n"/>
      <c r="B3050" s="16" t="n"/>
      <c r="C3050" s="90" t="n"/>
      <c r="D3050" s="90" t="n"/>
      <c r="E3050" s="90" t="n"/>
      <c r="F3050" s="16" t="n"/>
      <c r="G3050" s="16" t="n"/>
      <c r="H3050" s="63" t="n"/>
      <c r="I3050" s="64" t="n"/>
      <c r="J3050" s="16" t="n"/>
      <c r="K3050" s="16" t="n"/>
      <c r="M3050" s="89" t="n"/>
      <c r="N3050" s="1" t="n"/>
      <c r="O3050" s="1" t="n"/>
      <c r="P3050" s="1" t="n"/>
      <c r="Q3050" s="1" t="n"/>
      <c r="R3050" s="1" t="n"/>
    </row>
    <row r="3051">
      <c r="A3051" s="61" t="n"/>
      <c r="B3051" s="16" t="n"/>
      <c r="C3051" s="90" t="n"/>
      <c r="D3051" s="90" t="n"/>
      <c r="E3051" s="90" t="n"/>
      <c r="F3051" s="16" t="n"/>
      <c r="G3051" s="16" t="n"/>
      <c r="H3051" s="63" t="n"/>
      <c r="I3051" s="64" t="n"/>
      <c r="J3051" s="16" t="n"/>
      <c r="K3051" s="16" t="n"/>
      <c r="M3051" s="89" t="n"/>
      <c r="N3051" s="1" t="n"/>
      <c r="O3051" s="1" t="n"/>
      <c r="P3051" s="1" t="n"/>
      <c r="Q3051" s="1" t="n"/>
      <c r="R3051" s="1" t="n"/>
    </row>
    <row r="3052">
      <c r="A3052" s="61" t="n"/>
      <c r="B3052" s="16" t="n"/>
      <c r="C3052" s="90" t="n"/>
      <c r="D3052" s="90" t="n"/>
      <c r="E3052" s="90" t="n"/>
      <c r="F3052" s="16" t="n"/>
      <c r="G3052" s="16" t="n"/>
      <c r="H3052" s="63" t="n"/>
      <c r="I3052" s="64" t="n"/>
      <c r="J3052" s="16" t="n"/>
      <c r="K3052" s="16" t="n"/>
      <c r="M3052" s="89" t="n"/>
      <c r="N3052" s="1" t="n"/>
      <c r="O3052" s="1" t="n"/>
      <c r="P3052" s="1" t="n"/>
      <c r="Q3052" s="1" t="n"/>
      <c r="R3052" s="1" t="n"/>
    </row>
    <row r="3053">
      <c r="A3053" s="61" t="n"/>
      <c r="B3053" s="16" t="n"/>
      <c r="C3053" s="90" t="n"/>
      <c r="D3053" s="90" t="n"/>
      <c r="E3053" s="90" t="n"/>
      <c r="F3053" s="16" t="n"/>
      <c r="G3053" s="16" t="n"/>
      <c r="H3053" s="63" t="n"/>
      <c r="I3053" s="64" t="n"/>
      <c r="J3053" s="16" t="n"/>
      <c r="K3053" s="16" t="n"/>
      <c r="M3053" s="89" t="n"/>
      <c r="N3053" s="1" t="n"/>
      <c r="O3053" s="1" t="n"/>
      <c r="P3053" s="1" t="n"/>
      <c r="Q3053" s="1" t="n"/>
      <c r="R3053" s="1" t="n"/>
    </row>
    <row r="3054">
      <c r="A3054" s="61" t="n"/>
      <c r="B3054" s="16" t="n"/>
      <c r="C3054" s="90" t="n"/>
      <c r="D3054" s="90" t="n"/>
      <c r="E3054" s="90" t="n"/>
      <c r="F3054" s="16" t="n"/>
      <c r="G3054" s="16" t="n"/>
      <c r="H3054" s="63" t="n"/>
      <c r="I3054" s="64" t="n"/>
      <c r="J3054" s="16" t="n"/>
      <c r="K3054" s="16" t="n"/>
      <c r="M3054" s="89" t="n"/>
      <c r="N3054" s="1" t="n"/>
      <c r="O3054" s="1" t="n"/>
      <c r="P3054" s="1" t="n"/>
      <c r="Q3054" s="1" t="n"/>
      <c r="R3054" s="1" t="n"/>
    </row>
    <row r="3055">
      <c r="A3055" s="61" t="n"/>
      <c r="B3055" s="16" t="n"/>
      <c r="C3055" s="90" t="n"/>
      <c r="D3055" s="90" t="n"/>
      <c r="E3055" s="90" t="n"/>
      <c r="F3055" s="16" t="n"/>
      <c r="G3055" s="16" t="n"/>
      <c r="H3055" s="63" t="n"/>
      <c r="I3055" s="64" t="n"/>
      <c r="J3055" s="16" t="n"/>
      <c r="K3055" s="16" t="n"/>
      <c r="M3055" s="89" t="n"/>
      <c r="N3055" s="1" t="n"/>
      <c r="O3055" s="1" t="n"/>
      <c r="P3055" s="1" t="n"/>
      <c r="Q3055" s="1" t="n"/>
      <c r="R3055" s="1" t="n"/>
    </row>
    <row r="3056">
      <c r="A3056" s="61" t="n"/>
      <c r="B3056" s="16" t="n"/>
      <c r="C3056" s="90" t="n"/>
      <c r="D3056" s="90" t="n"/>
      <c r="E3056" s="90" t="n"/>
      <c r="F3056" s="16" t="n"/>
      <c r="G3056" s="16" t="n"/>
      <c r="H3056" s="63" t="n"/>
      <c r="I3056" s="64" t="n"/>
      <c r="J3056" s="16" t="n"/>
      <c r="K3056" s="16" t="n"/>
      <c r="M3056" s="89" t="n"/>
      <c r="N3056" s="1" t="n"/>
      <c r="O3056" s="1" t="n"/>
      <c r="P3056" s="1" t="n"/>
      <c r="Q3056" s="1" t="n"/>
      <c r="R3056" s="1" t="n"/>
    </row>
    <row r="3057">
      <c r="A3057" s="61" t="n"/>
      <c r="B3057" s="16" t="n"/>
      <c r="C3057" s="90" t="n"/>
      <c r="D3057" s="90" t="n"/>
      <c r="E3057" s="90" t="n"/>
      <c r="F3057" s="16" t="n"/>
      <c r="G3057" s="16" t="n"/>
      <c r="H3057" s="63" t="n"/>
      <c r="I3057" s="64" t="n"/>
      <c r="J3057" s="16" t="n"/>
      <c r="K3057" s="16" t="n"/>
      <c r="M3057" s="89" t="n"/>
      <c r="N3057" s="1" t="n"/>
      <c r="O3057" s="1" t="n"/>
      <c r="P3057" s="1" t="n"/>
      <c r="Q3057" s="1" t="n"/>
      <c r="R3057" s="1" t="n"/>
    </row>
    <row r="3058">
      <c r="A3058" s="61" t="n"/>
      <c r="B3058" s="16" t="n"/>
      <c r="C3058" s="90" t="n"/>
      <c r="D3058" s="90" t="n"/>
      <c r="E3058" s="90" t="n"/>
      <c r="F3058" s="16" t="n"/>
      <c r="G3058" s="16" t="n"/>
      <c r="H3058" s="63" t="n"/>
      <c r="I3058" s="64" t="n"/>
      <c r="J3058" s="16" t="n"/>
      <c r="K3058" s="16" t="n"/>
      <c r="M3058" s="89" t="n"/>
      <c r="N3058" s="1" t="n"/>
      <c r="O3058" s="1" t="n"/>
      <c r="P3058" s="1" t="n"/>
      <c r="Q3058" s="1" t="n"/>
      <c r="R3058" s="1" t="n"/>
    </row>
    <row r="3059">
      <c r="A3059" s="61" t="n"/>
      <c r="B3059" s="16" t="n"/>
      <c r="C3059" s="90" t="n"/>
      <c r="D3059" s="90" t="n"/>
      <c r="E3059" s="90" t="n"/>
      <c r="F3059" s="16" t="n"/>
      <c r="G3059" s="16" t="n"/>
      <c r="H3059" s="63" t="n"/>
      <c r="I3059" s="64" t="n"/>
      <c r="J3059" s="16" t="n"/>
      <c r="K3059" s="16" t="n"/>
      <c r="M3059" s="89" t="n"/>
      <c r="N3059" s="1" t="n"/>
      <c r="O3059" s="1" t="n"/>
      <c r="P3059" s="1" t="n"/>
      <c r="Q3059" s="1" t="n"/>
      <c r="R3059" s="1" t="n"/>
    </row>
    <row r="3060">
      <c r="A3060" s="61" t="n"/>
      <c r="B3060" s="16" t="n"/>
      <c r="C3060" s="90" t="n"/>
      <c r="D3060" s="90" t="n"/>
      <c r="E3060" s="90" t="n"/>
      <c r="F3060" s="16" t="n"/>
      <c r="G3060" s="16" t="n"/>
      <c r="H3060" s="63" t="n"/>
      <c r="I3060" s="64" t="n"/>
      <c r="J3060" s="16" t="n"/>
      <c r="K3060" s="16" t="n"/>
      <c r="M3060" s="89" t="n"/>
      <c r="N3060" s="1" t="n"/>
      <c r="O3060" s="1" t="n"/>
      <c r="P3060" s="1" t="n"/>
      <c r="Q3060" s="1" t="n"/>
      <c r="R3060" s="1" t="n"/>
    </row>
    <row r="3061">
      <c r="A3061" s="61" t="n"/>
      <c r="B3061" s="16" t="n"/>
      <c r="C3061" s="90" t="n"/>
      <c r="D3061" s="90" t="n"/>
      <c r="E3061" s="90" t="n"/>
      <c r="F3061" s="16" t="n"/>
      <c r="G3061" s="16" t="n"/>
      <c r="H3061" s="63" t="n"/>
      <c r="I3061" s="64" t="n"/>
      <c r="J3061" s="16" t="n"/>
      <c r="K3061" s="16" t="n"/>
      <c r="M3061" s="89" t="n"/>
      <c r="N3061" s="1" t="n"/>
      <c r="O3061" s="1" t="n"/>
      <c r="P3061" s="1" t="n"/>
      <c r="Q3061" s="1" t="n"/>
      <c r="R3061" s="1" t="n"/>
    </row>
    <row r="3062">
      <c r="A3062" s="61" t="n"/>
      <c r="B3062" s="16" t="n"/>
      <c r="C3062" s="90" t="n"/>
      <c r="D3062" s="90" t="n"/>
      <c r="E3062" s="90" t="n"/>
      <c r="F3062" s="16" t="n"/>
      <c r="G3062" s="16" t="n"/>
      <c r="H3062" s="63" t="n"/>
      <c r="I3062" s="64" t="n"/>
      <c r="J3062" s="16" t="n"/>
      <c r="K3062" s="16" t="n"/>
      <c r="M3062" s="89" t="n"/>
      <c r="N3062" s="1" t="n"/>
      <c r="O3062" s="1" t="n"/>
      <c r="P3062" s="1" t="n"/>
      <c r="Q3062" s="1" t="n"/>
      <c r="R3062" s="1" t="n"/>
    </row>
    <row r="3063">
      <c r="A3063" s="61" t="n"/>
      <c r="B3063" s="16" t="n"/>
      <c r="C3063" s="90" t="n"/>
      <c r="D3063" s="90" t="n"/>
      <c r="E3063" s="90" t="n"/>
      <c r="F3063" s="16" t="n"/>
      <c r="G3063" s="16" t="n"/>
      <c r="H3063" s="63" t="n"/>
      <c r="I3063" s="64" t="n"/>
      <c r="J3063" s="16" t="n"/>
      <c r="K3063" s="16" t="n"/>
      <c r="M3063" s="89" t="n"/>
      <c r="N3063" s="1" t="n"/>
      <c r="O3063" s="1" t="n"/>
      <c r="P3063" s="1" t="n"/>
      <c r="Q3063" s="1" t="n"/>
      <c r="R3063" s="1" t="n"/>
    </row>
    <row r="3064">
      <c r="A3064" s="61" t="n"/>
      <c r="B3064" s="16" t="n"/>
      <c r="C3064" s="90" t="n"/>
      <c r="D3064" s="90" t="n"/>
      <c r="E3064" s="90" t="n"/>
      <c r="F3064" s="16" t="n"/>
      <c r="G3064" s="16" t="n"/>
      <c r="H3064" s="63" t="n"/>
      <c r="I3064" s="64" t="n"/>
      <c r="J3064" s="16" t="n"/>
      <c r="K3064" s="16" t="n"/>
      <c r="M3064" s="89" t="n"/>
      <c r="N3064" s="1" t="n"/>
      <c r="O3064" s="1" t="n"/>
      <c r="P3064" s="1" t="n"/>
      <c r="Q3064" s="1" t="n"/>
      <c r="R3064" s="1" t="n"/>
    </row>
    <row r="3065">
      <c r="A3065" s="61" t="n"/>
      <c r="B3065" s="16" t="n"/>
      <c r="C3065" s="90" t="n"/>
      <c r="D3065" s="90" t="n"/>
      <c r="E3065" s="90" t="n"/>
      <c r="F3065" s="16" t="n"/>
      <c r="G3065" s="16" t="n"/>
      <c r="H3065" s="63" t="n"/>
      <c r="I3065" s="64" t="n"/>
      <c r="J3065" s="16" t="n"/>
      <c r="K3065" s="16" t="n"/>
      <c r="M3065" s="89" t="n"/>
      <c r="N3065" s="1" t="n"/>
      <c r="O3065" s="1" t="n"/>
      <c r="P3065" s="1" t="n"/>
      <c r="Q3065" s="1" t="n"/>
      <c r="R3065" s="1" t="n"/>
    </row>
    <row r="3066">
      <c r="A3066" s="61" t="n"/>
      <c r="B3066" s="16" t="n"/>
      <c r="C3066" s="90" t="n"/>
      <c r="D3066" s="90" t="n"/>
      <c r="E3066" s="90" t="n"/>
      <c r="F3066" s="16" t="n"/>
      <c r="G3066" s="16" t="n"/>
      <c r="H3066" s="63" t="n"/>
      <c r="I3066" s="64" t="n"/>
      <c r="J3066" s="16" t="n"/>
      <c r="K3066" s="16" t="n"/>
      <c r="M3066" s="89" t="n"/>
      <c r="N3066" s="1" t="n"/>
      <c r="O3066" s="1" t="n"/>
      <c r="P3066" s="1" t="n"/>
      <c r="Q3066" s="1" t="n"/>
      <c r="R3066" s="1" t="n"/>
    </row>
    <row r="3067">
      <c r="A3067" s="61" t="n"/>
      <c r="B3067" s="16" t="n"/>
      <c r="C3067" s="90" t="n"/>
      <c r="D3067" s="90" t="n"/>
      <c r="E3067" s="90" t="n"/>
      <c r="F3067" s="16" t="n"/>
      <c r="G3067" s="16" t="n"/>
      <c r="H3067" s="63" t="n"/>
      <c r="I3067" s="64" t="n"/>
      <c r="J3067" s="16" t="n"/>
      <c r="K3067" s="16" t="n"/>
      <c r="M3067" s="89" t="n"/>
      <c r="N3067" s="1" t="n"/>
      <c r="O3067" s="1" t="n"/>
      <c r="P3067" s="1" t="n"/>
      <c r="Q3067" s="1" t="n"/>
      <c r="R3067" s="1" t="n"/>
    </row>
    <row r="3068">
      <c r="A3068" s="61" t="n"/>
      <c r="B3068" s="16" t="n"/>
      <c r="C3068" s="90" t="n"/>
      <c r="D3068" s="90" t="n"/>
      <c r="E3068" s="90" t="n"/>
      <c r="F3068" s="16" t="n"/>
      <c r="G3068" s="16" t="n"/>
      <c r="H3068" s="63" t="n"/>
      <c r="I3068" s="64" t="n"/>
      <c r="J3068" s="16" t="n"/>
      <c r="K3068" s="16" t="n"/>
      <c r="M3068" s="89" t="n"/>
      <c r="N3068" s="1" t="n"/>
      <c r="O3068" s="1" t="n"/>
      <c r="P3068" s="1" t="n"/>
      <c r="Q3068" s="1" t="n"/>
      <c r="R3068" s="1" t="n"/>
    </row>
    <row r="3069">
      <c r="A3069" s="61" t="n"/>
      <c r="B3069" s="16" t="n"/>
      <c r="C3069" s="90" t="n"/>
      <c r="D3069" s="90" t="n"/>
      <c r="E3069" s="90" t="n"/>
      <c r="F3069" s="16" t="n"/>
      <c r="G3069" s="16" t="n"/>
      <c r="H3069" s="63" t="n"/>
      <c r="I3069" s="64" t="n"/>
      <c r="J3069" s="16" t="n"/>
      <c r="K3069" s="16" t="n"/>
      <c r="M3069" s="89" t="n"/>
      <c r="N3069" s="1" t="n"/>
      <c r="O3069" s="1" t="n"/>
      <c r="P3069" s="1" t="n"/>
      <c r="Q3069" s="1" t="n"/>
      <c r="R3069" s="1" t="n"/>
    </row>
    <row r="3070">
      <c r="A3070" s="61" t="n"/>
      <c r="B3070" s="16" t="n"/>
      <c r="C3070" s="90" t="n"/>
      <c r="D3070" s="90" t="n"/>
      <c r="E3070" s="90" t="n"/>
      <c r="F3070" s="16" t="n"/>
      <c r="G3070" s="16" t="n"/>
      <c r="H3070" s="63" t="n"/>
      <c r="I3070" s="64" t="n"/>
      <c r="J3070" s="16" t="n"/>
      <c r="K3070" s="16" t="n"/>
      <c r="M3070" s="89" t="n"/>
      <c r="N3070" s="1" t="n"/>
      <c r="O3070" s="1" t="n"/>
      <c r="P3070" s="1" t="n"/>
      <c r="Q3070" s="1" t="n"/>
      <c r="R3070" s="1" t="n"/>
    </row>
    <row r="3071">
      <c r="A3071" s="61" t="n"/>
      <c r="B3071" s="16" t="n"/>
      <c r="C3071" s="90" t="n"/>
      <c r="D3071" s="90" t="n"/>
      <c r="E3071" s="90" t="n"/>
      <c r="F3071" s="16" t="n"/>
      <c r="G3071" s="16" t="n"/>
      <c r="H3071" s="63" t="n"/>
      <c r="I3071" s="64" t="n"/>
      <c r="J3071" s="16" t="n"/>
      <c r="K3071" s="16" t="n"/>
      <c r="M3071" s="89" t="n"/>
      <c r="N3071" s="1" t="n"/>
      <c r="O3071" s="1" t="n"/>
      <c r="P3071" s="1" t="n"/>
      <c r="Q3071" s="1" t="n"/>
      <c r="R3071" s="1" t="n"/>
    </row>
    <row r="3072">
      <c r="A3072" s="61" t="n"/>
      <c r="B3072" s="16" t="n"/>
      <c r="C3072" s="90" t="n"/>
      <c r="D3072" s="90" t="n"/>
      <c r="E3072" s="90" t="n"/>
      <c r="F3072" s="16" t="n"/>
      <c r="G3072" s="16" t="n"/>
      <c r="H3072" s="63" t="n"/>
      <c r="I3072" s="64" t="n"/>
      <c r="J3072" s="16" t="n"/>
      <c r="K3072" s="16" t="n"/>
      <c r="M3072" s="89" t="n"/>
      <c r="N3072" s="1" t="n"/>
      <c r="O3072" s="1" t="n"/>
      <c r="P3072" s="1" t="n"/>
      <c r="Q3072" s="1" t="n"/>
      <c r="R3072" s="1" t="n"/>
    </row>
    <row r="3073">
      <c r="A3073" s="61" t="n"/>
      <c r="B3073" s="16" t="n"/>
      <c r="C3073" s="90" t="n"/>
      <c r="D3073" s="90" t="n"/>
      <c r="E3073" s="90" t="n"/>
      <c r="F3073" s="16" t="n"/>
      <c r="G3073" s="16" t="n"/>
      <c r="H3073" s="63" t="n"/>
      <c r="I3073" s="64" t="n"/>
      <c r="J3073" s="16" t="n"/>
      <c r="K3073" s="16" t="n"/>
      <c r="M3073" s="89" t="n"/>
      <c r="N3073" s="1" t="n"/>
      <c r="O3073" s="1" t="n"/>
      <c r="P3073" s="1" t="n"/>
      <c r="Q3073" s="1" t="n"/>
      <c r="R3073" s="1" t="n"/>
    </row>
    <row r="3074">
      <c r="A3074" s="61" t="n"/>
      <c r="B3074" s="16" t="n"/>
      <c r="C3074" s="90" t="n"/>
      <c r="D3074" s="90" t="n"/>
      <c r="E3074" s="90" t="n"/>
      <c r="F3074" s="16" t="n"/>
      <c r="G3074" s="16" t="n"/>
      <c r="H3074" s="63" t="n"/>
      <c r="I3074" s="64" t="n"/>
      <c r="J3074" s="16" t="n"/>
      <c r="K3074" s="16" t="n"/>
      <c r="M3074" s="89" t="n"/>
      <c r="N3074" s="1" t="n"/>
      <c r="O3074" s="1" t="n"/>
      <c r="P3074" s="1" t="n"/>
      <c r="Q3074" s="1" t="n"/>
      <c r="R3074" s="1" t="n"/>
    </row>
    <row r="3075">
      <c r="A3075" s="61" t="n"/>
      <c r="B3075" s="16" t="n"/>
      <c r="C3075" s="90" t="n"/>
      <c r="D3075" s="90" t="n"/>
      <c r="E3075" s="90" t="n"/>
      <c r="F3075" s="16" t="n"/>
      <c r="G3075" s="16" t="n"/>
      <c r="H3075" s="63" t="n"/>
      <c r="I3075" s="64" t="n"/>
      <c r="J3075" s="16" t="n"/>
      <c r="K3075" s="16" t="n"/>
      <c r="M3075" s="89" t="n"/>
      <c r="N3075" s="1" t="n"/>
      <c r="O3075" s="1" t="n"/>
      <c r="P3075" s="1" t="n"/>
      <c r="Q3075" s="1" t="n"/>
      <c r="R3075" s="1" t="n"/>
    </row>
    <row r="3076">
      <c r="A3076" s="61" t="n"/>
      <c r="B3076" s="16" t="n"/>
      <c r="C3076" s="90" t="n"/>
      <c r="D3076" s="90" t="n"/>
      <c r="E3076" s="90" t="n"/>
      <c r="F3076" s="16" t="n"/>
      <c r="G3076" s="16" t="n"/>
      <c r="H3076" s="63" t="n"/>
      <c r="I3076" s="64" t="n"/>
      <c r="J3076" s="16" t="n"/>
      <c r="K3076" s="16" t="n"/>
      <c r="M3076" s="89" t="n"/>
      <c r="N3076" s="1" t="n"/>
      <c r="O3076" s="1" t="n"/>
      <c r="P3076" s="1" t="n"/>
      <c r="Q3076" s="1" t="n"/>
      <c r="R3076" s="1" t="n"/>
    </row>
    <row r="3077">
      <c r="A3077" s="61" t="n"/>
      <c r="B3077" s="16" t="n"/>
      <c r="C3077" s="90" t="n"/>
      <c r="D3077" s="90" t="n"/>
      <c r="E3077" s="90" t="n"/>
      <c r="F3077" s="16" t="n"/>
      <c r="G3077" s="16" t="n"/>
      <c r="H3077" s="63" t="n"/>
      <c r="I3077" s="64" t="n"/>
      <c r="J3077" s="16" t="n"/>
      <c r="K3077" s="16" t="n"/>
      <c r="M3077" s="89" t="n"/>
      <c r="N3077" s="1" t="n"/>
      <c r="O3077" s="1" t="n"/>
      <c r="P3077" s="1" t="n"/>
      <c r="Q3077" s="1" t="n"/>
      <c r="R3077" s="1" t="n"/>
    </row>
    <row r="3078">
      <c r="A3078" s="61" t="n"/>
      <c r="B3078" s="16" t="n"/>
      <c r="C3078" s="90" t="n"/>
      <c r="D3078" s="90" t="n"/>
      <c r="E3078" s="90" t="n"/>
      <c r="F3078" s="16" t="n"/>
      <c r="G3078" s="16" t="n"/>
      <c r="H3078" s="63" t="n"/>
      <c r="I3078" s="64" t="n"/>
      <c r="J3078" s="16" t="n"/>
      <c r="K3078" s="16" t="n"/>
      <c r="M3078" s="89" t="n"/>
      <c r="N3078" s="1" t="n"/>
      <c r="O3078" s="1" t="n"/>
      <c r="P3078" s="1" t="n"/>
      <c r="Q3078" s="1" t="n"/>
      <c r="R3078" s="1" t="n"/>
    </row>
    <row r="3079">
      <c r="A3079" s="61" t="n"/>
      <c r="B3079" s="16" t="n"/>
      <c r="C3079" s="90" t="n"/>
      <c r="D3079" s="90" t="n"/>
      <c r="E3079" s="90" t="n"/>
      <c r="F3079" s="16" t="n"/>
      <c r="G3079" s="16" t="n"/>
      <c r="H3079" s="63" t="n"/>
      <c r="I3079" s="64" t="n"/>
      <c r="J3079" s="16" t="n"/>
      <c r="K3079" s="16" t="n"/>
      <c r="M3079" s="89" t="n"/>
      <c r="N3079" s="1" t="n"/>
      <c r="O3079" s="1" t="n"/>
      <c r="P3079" s="1" t="n"/>
      <c r="Q3079" s="1" t="n"/>
      <c r="R3079" s="1" t="n"/>
    </row>
    <row r="3080">
      <c r="A3080" s="61" t="n"/>
      <c r="B3080" s="16" t="n"/>
      <c r="C3080" s="90" t="n"/>
      <c r="D3080" s="90" t="n"/>
      <c r="E3080" s="90" t="n"/>
      <c r="F3080" s="16" t="n"/>
      <c r="G3080" s="16" t="n"/>
      <c r="H3080" s="63" t="n"/>
      <c r="I3080" s="64" t="n"/>
      <c r="J3080" s="16" t="n"/>
      <c r="K3080" s="16" t="n"/>
      <c r="M3080" s="89" t="n"/>
      <c r="N3080" s="1" t="n"/>
      <c r="O3080" s="1" t="n"/>
      <c r="P3080" s="1" t="n"/>
      <c r="Q3080" s="1" t="n"/>
      <c r="R3080" s="1" t="n"/>
    </row>
    <row r="3081">
      <c r="A3081" s="61" t="n"/>
      <c r="B3081" s="16" t="n"/>
      <c r="C3081" s="90" t="n"/>
      <c r="D3081" s="90" t="n"/>
      <c r="E3081" s="90" t="n"/>
      <c r="F3081" s="16" t="n"/>
      <c r="G3081" s="16" t="n"/>
      <c r="H3081" s="63" t="n"/>
      <c r="I3081" s="64" t="n"/>
      <c r="J3081" s="16" t="n"/>
      <c r="K3081" s="16" t="n"/>
      <c r="M3081" s="89" t="n"/>
      <c r="N3081" s="1" t="n"/>
      <c r="O3081" s="1" t="n"/>
      <c r="P3081" s="1" t="n"/>
      <c r="Q3081" s="1" t="n"/>
      <c r="R3081" s="1" t="n"/>
    </row>
    <row r="3082">
      <c r="A3082" s="61" t="n"/>
      <c r="B3082" s="16" t="n"/>
      <c r="C3082" s="90" t="n"/>
      <c r="D3082" s="90" t="n"/>
      <c r="E3082" s="90" t="n"/>
      <c r="F3082" s="16" t="n"/>
      <c r="G3082" s="16" t="n"/>
      <c r="H3082" s="63" t="n"/>
      <c r="I3082" s="64" t="n"/>
      <c r="J3082" s="16" t="n"/>
      <c r="K3082" s="16" t="n"/>
      <c r="M3082" s="89" t="n"/>
      <c r="N3082" s="1" t="n"/>
      <c r="O3082" s="1" t="n"/>
      <c r="P3082" s="1" t="n"/>
      <c r="Q3082" s="1" t="n"/>
      <c r="R3082" s="1" t="n"/>
    </row>
    <row r="3083">
      <c r="A3083" s="61" t="n"/>
      <c r="B3083" s="16" t="n"/>
      <c r="C3083" s="90" t="n"/>
      <c r="D3083" s="90" t="n"/>
      <c r="E3083" s="90" t="n"/>
      <c r="F3083" s="16" t="n"/>
      <c r="G3083" s="16" t="n"/>
      <c r="H3083" s="63" t="n"/>
      <c r="I3083" s="64" t="n"/>
      <c r="J3083" s="16" t="n"/>
      <c r="K3083" s="16" t="n"/>
      <c r="M3083" s="89" t="n"/>
      <c r="N3083" s="1" t="n"/>
      <c r="O3083" s="1" t="n"/>
      <c r="P3083" s="1" t="n"/>
      <c r="Q3083" s="1" t="n"/>
      <c r="R3083" s="1" t="n"/>
    </row>
    <row r="3084">
      <c r="A3084" s="61" t="n"/>
      <c r="B3084" s="16" t="n"/>
      <c r="C3084" s="90" t="n"/>
      <c r="D3084" s="90" t="n"/>
      <c r="E3084" s="90" t="n"/>
      <c r="F3084" s="16" t="n"/>
      <c r="G3084" s="16" t="n"/>
      <c r="H3084" s="63" t="n"/>
      <c r="I3084" s="64" t="n"/>
      <c r="J3084" s="16" t="n"/>
      <c r="K3084" s="16" t="n"/>
      <c r="M3084" s="89" t="n"/>
      <c r="N3084" s="1" t="n"/>
      <c r="O3084" s="1" t="n"/>
      <c r="P3084" s="1" t="n"/>
      <c r="Q3084" s="1" t="n"/>
      <c r="R3084" s="1" t="n"/>
    </row>
    <row r="3085">
      <c r="A3085" s="61" t="n"/>
      <c r="B3085" s="16" t="n"/>
      <c r="C3085" s="90" t="n"/>
      <c r="D3085" s="90" t="n"/>
      <c r="E3085" s="90" t="n"/>
      <c r="F3085" s="16" t="n"/>
      <c r="G3085" s="16" t="n"/>
      <c r="H3085" s="63" t="n"/>
      <c r="I3085" s="64" t="n"/>
      <c r="J3085" s="16" t="n"/>
      <c r="K3085" s="16" t="n"/>
      <c r="M3085" s="89" t="n"/>
      <c r="N3085" s="1" t="n"/>
      <c r="O3085" s="1" t="n"/>
      <c r="P3085" s="1" t="n"/>
      <c r="Q3085" s="1" t="n"/>
      <c r="R3085" s="1" t="n"/>
    </row>
    <row r="3086">
      <c r="A3086" s="61" t="n"/>
      <c r="B3086" s="16" t="n"/>
      <c r="C3086" s="90" t="n"/>
      <c r="D3086" s="90" t="n"/>
      <c r="E3086" s="90" t="n"/>
      <c r="F3086" s="16" t="n"/>
      <c r="G3086" s="16" t="n"/>
      <c r="H3086" s="63" t="n"/>
      <c r="I3086" s="64" t="n"/>
      <c r="J3086" s="16" t="n"/>
      <c r="K3086" s="16" t="n"/>
      <c r="M3086" s="89" t="n"/>
      <c r="N3086" s="1" t="n"/>
      <c r="O3086" s="1" t="n"/>
      <c r="P3086" s="1" t="n"/>
      <c r="Q3086" s="1" t="n"/>
      <c r="R3086" s="1" t="n"/>
    </row>
    <row r="3087">
      <c r="A3087" s="61" t="n"/>
      <c r="B3087" s="16" t="n"/>
      <c r="C3087" s="90" t="n"/>
      <c r="D3087" s="90" t="n"/>
      <c r="E3087" s="90" t="n"/>
      <c r="F3087" s="16" t="n"/>
      <c r="G3087" s="16" t="n"/>
      <c r="H3087" s="63" t="n"/>
      <c r="I3087" s="64" t="n"/>
      <c r="J3087" s="16" t="n"/>
      <c r="K3087" s="16" t="n"/>
      <c r="M3087" s="89" t="n"/>
      <c r="N3087" s="1" t="n"/>
      <c r="O3087" s="1" t="n"/>
      <c r="P3087" s="1" t="n"/>
      <c r="Q3087" s="1" t="n"/>
      <c r="R3087" s="1" t="n"/>
    </row>
    <row r="3088">
      <c r="A3088" s="61" t="n"/>
      <c r="B3088" s="16" t="n"/>
      <c r="C3088" s="90" t="n"/>
      <c r="D3088" s="90" t="n"/>
      <c r="E3088" s="90" t="n"/>
      <c r="F3088" s="16" t="n"/>
      <c r="G3088" s="16" t="n"/>
      <c r="H3088" s="63" t="n"/>
      <c r="I3088" s="64" t="n"/>
      <c r="J3088" s="16" t="n"/>
      <c r="K3088" s="16" t="n"/>
      <c r="M3088" s="89" t="n"/>
      <c r="N3088" s="1" t="n"/>
      <c r="O3088" s="1" t="n"/>
      <c r="P3088" s="1" t="n"/>
      <c r="Q3088" s="1" t="n"/>
      <c r="R3088" s="1" t="n"/>
    </row>
    <row r="3089">
      <c r="A3089" s="61" t="n"/>
      <c r="B3089" s="16" t="n"/>
      <c r="C3089" s="90" t="n"/>
      <c r="D3089" s="90" t="n"/>
      <c r="E3089" s="90" t="n"/>
      <c r="F3089" s="16" t="n"/>
      <c r="G3089" s="16" t="n"/>
      <c r="H3089" s="63" t="n"/>
      <c r="I3089" s="64" t="n"/>
      <c r="J3089" s="16" t="n"/>
      <c r="K3089" s="16" t="n"/>
      <c r="M3089" s="89" t="n"/>
      <c r="N3089" s="1" t="n"/>
      <c r="O3089" s="1" t="n"/>
      <c r="P3089" s="1" t="n"/>
      <c r="Q3089" s="1" t="n"/>
      <c r="R3089" s="1" t="n"/>
    </row>
    <row r="3090">
      <c r="A3090" s="61" t="n"/>
      <c r="B3090" s="16" t="n"/>
      <c r="C3090" s="90" t="n"/>
      <c r="D3090" s="90" t="n"/>
      <c r="E3090" s="90" t="n"/>
      <c r="F3090" s="16" t="n"/>
      <c r="G3090" s="16" t="n"/>
      <c r="H3090" s="63" t="n"/>
      <c r="I3090" s="64" t="n"/>
      <c r="J3090" s="16" t="n"/>
      <c r="K3090" s="16" t="n"/>
      <c r="M3090" s="89" t="n"/>
      <c r="N3090" s="1" t="n"/>
      <c r="O3090" s="1" t="n"/>
      <c r="P3090" s="1" t="n"/>
      <c r="Q3090" s="1" t="n"/>
      <c r="R3090" s="1" t="n"/>
    </row>
    <row r="3091">
      <c r="A3091" s="61" t="n"/>
      <c r="B3091" s="16" t="n"/>
      <c r="C3091" s="90" t="n"/>
      <c r="D3091" s="90" t="n"/>
      <c r="E3091" s="90" t="n"/>
      <c r="F3091" s="16" t="n"/>
      <c r="G3091" s="16" t="n"/>
      <c r="H3091" s="63" t="n"/>
      <c r="I3091" s="64" t="n"/>
      <c r="J3091" s="16" t="n"/>
      <c r="K3091" s="16" t="n"/>
      <c r="M3091" s="89" t="n"/>
      <c r="N3091" s="1" t="n"/>
      <c r="O3091" s="1" t="n"/>
      <c r="P3091" s="1" t="n"/>
      <c r="Q3091" s="1" t="n"/>
      <c r="R3091" s="1" t="n"/>
    </row>
    <row r="3092">
      <c r="A3092" s="61" t="n"/>
      <c r="B3092" s="16" t="n"/>
      <c r="C3092" s="90" t="n"/>
      <c r="D3092" s="90" t="n"/>
      <c r="E3092" s="90" t="n"/>
      <c r="F3092" s="16" t="n"/>
      <c r="G3092" s="16" t="n"/>
      <c r="H3092" s="63" t="n"/>
      <c r="I3092" s="64" t="n"/>
      <c r="J3092" s="16" t="n"/>
      <c r="K3092" s="16" t="n"/>
      <c r="M3092" s="89" t="n"/>
      <c r="N3092" s="1" t="n"/>
      <c r="O3092" s="1" t="n"/>
      <c r="P3092" s="1" t="n"/>
      <c r="Q3092" s="1" t="n"/>
      <c r="R3092" s="1" t="n"/>
    </row>
    <row r="3093">
      <c r="A3093" s="61" t="n"/>
      <c r="B3093" s="16" t="n"/>
      <c r="C3093" s="90" t="n"/>
      <c r="D3093" s="90" t="n"/>
      <c r="E3093" s="90" t="n"/>
      <c r="F3093" s="16" t="n"/>
      <c r="G3093" s="16" t="n"/>
      <c r="H3093" s="63" t="n"/>
      <c r="I3093" s="64" t="n"/>
      <c r="J3093" s="16" t="n"/>
      <c r="K3093" s="16" t="n"/>
      <c r="M3093" s="89" t="n"/>
      <c r="N3093" s="1" t="n"/>
      <c r="O3093" s="1" t="n"/>
      <c r="P3093" s="1" t="n"/>
      <c r="Q3093" s="1" t="n"/>
      <c r="R3093" s="1" t="n"/>
    </row>
    <row r="3094">
      <c r="A3094" s="61" t="n"/>
      <c r="B3094" s="16" t="n"/>
      <c r="C3094" s="90" t="n"/>
      <c r="D3094" s="90" t="n"/>
      <c r="E3094" s="90" t="n"/>
      <c r="F3094" s="16" t="n"/>
      <c r="G3094" s="16" t="n"/>
      <c r="H3094" s="63" t="n"/>
      <c r="I3094" s="64" t="n"/>
      <c r="J3094" s="16" t="n"/>
      <c r="K3094" s="16" t="n"/>
      <c r="M3094" s="89" t="n"/>
      <c r="N3094" s="1" t="n"/>
      <c r="O3094" s="1" t="n"/>
      <c r="P3094" s="1" t="n"/>
      <c r="Q3094" s="1" t="n"/>
      <c r="R3094" s="1" t="n"/>
    </row>
    <row r="3095">
      <c r="A3095" s="61" t="n"/>
      <c r="B3095" s="16" t="n"/>
      <c r="C3095" s="90" t="n"/>
      <c r="D3095" s="90" t="n"/>
      <c r="E3095" s="90" t="n"/>
      <c r="F3095" s="16" t="n"/>
      <c r="G3095" s="16" t="n"/>
      <c r="H3095" s="63" t="n"/>
      <c r="I3095" s="64" t="n"/>
      <c r="J3095" s="16" t="n"/>
      <c r="K3095" s="16" t="n"/>
      <c r="M3095" s="89" t="n"/>
      <c r="N3095" s="1" t="n"/>
      <c r="O3095" s="1" t="n"/>
      <c r="P3095" s="1" t="n"/>
      <c r="Q3095" s="1" t="n"/>
      <c r="R3095" s="1" t="n"/>
    </row>
    <row r="3096">
      <c r="A3096" s="61" t="n"/>
      <c r="B3096" s="16" t="n"/>
      <c r="C3096" s="90" t="n"/>
      <c r="D3096" s="90" t="n"/>
      <c r="E3096" s="90" t="n"/>
      <c r="F3096" s="16" t="n"/>
      <c r="G3096" s="16" t="n"/>
      <c r="H3096" s="63" t="n"/>
      <c r="I3096" s="64" t="n"/>
      <c r="J3096" s="16" t="n"/>
      <c r="K3096" s="16" t="n"/>
      <c r="M3096" s="89" t="n"/>
      <c r="N3096" s="1" t="n"/>
      <c r="O3096" s="1" t="n"/>
      <c r="P3096" s="1" t="n"/>
      <c r="Q3096" s="1" t="n"/>
      <c r="R3096" s="1" t="n"/>
    </row>
    <row r="3097">
      <c r="A3097" s="61" t="n"/>
      <c r="B3097" s="16" t="n"/>
      <c r="C3097" s="90" t="n"/>
      <c r="D3097" s="90" t="n"/>
      <c r="E3097" s="90" t="n"/>
      <c r="F3097" s="16" t="n"/>
      <c r="G3097" s="16" t="n"/>
      <c r="H3097" s="63" t="n"/>
      <c r="I3097" s="64" t="n"/>
      <c r="J3097" s="16" t="n"/>
      <c r="K3097" s="16" t="n"/>
      <c r="M3097" s="89" t="n"/>
      <c r="N3097" s="1" t="n"/>
      <c r="O3097" s="1" t="n"/>
      <c r="P3097" s="1" t="n"/>
      <c r="Q3097" s="1" t="n"/>
      <c r="R3097" s="1" t="n"/>
    </row>
    <row r="3098">
      <c r="A3098" s="61" t="n"/>
      <c r="B3098" s="16" t="n"/>
      <c r="C3098" s="90" t="n"/>
      <c r="D3098" s="90" t="n"/>
      <c r="E3098" s="90" t="n"/>
      <c r="F3098" s="16" t="n"/>
      <c r="G3098" s="16" t="n"/>
      <c r="H3098" s="63" t="n"/>
      <c r="I3098" s="64" t="n"/>
      <c r="J3098" s="16" t="n"/>
      <c r="K3098" s="16" t="n"/>
      <c r="M3098" s="89" t="n"/>
      <c r="N3098" s="1" t="n"/>
      <c r="O3098" s="1" t="n"/>
      <c r="P3098" s="1" t="n"/>
      <c r="Q3098" s="1" t="n"/>
      <c r="R3098" s="1" t="n"/>
    </row>
    <row r="3099">
      <c r="A3099" s="61" t="n"/>
      <c r="B3099" s="16" t="n"/>
      <c r="C3099" s="90" t="n"/>
      <c r="D3099" s="90" t="n"/>
      <c r="E3099" s="90" t="n"/>
      <c r="F3099" s="16" t="n"/>
      <c r="G3099" s="16" t="n"/>
      <c r="H3099" s="63" t="n"/>
      <c r="I3099" s="64" t="n"/>
      <c r="J3099" s="16" t="n"/>
      <c r="K3099" s="16" t="n"/>
      <c r="M3099" s="89" t="n"/>
      <c r="N3099" s="1" t="n"/>
      <c r="O3099" s="1" t="n"/>
      <c r="P3099" s="1" t="n"/>
      <c r="Q3099" s="1" t="n"/>
      <c r="R3099" s="1" t="n"/>
    </row>
    <row r="3100">
      <c r="A3100" s="61" t="n"/>
      <c r="B3100" s="16" t="n"/>
      <c r="C3100" s="90" t="n"/>
      <c r="D3100" s="90" t="n"/>
      <c r="E3100" s="90" t="n"/>
      <c r="F3100" s="16" t="n"/>
      <c r="G3100" s="16" t="n"/>
      <c r="H3100" s="63" t="n"/>
      <c r="I3100" s="64" t="n"/>
      <c r="J3100" s="16" t="n"/>
      <c r="K3100" s="16" t="n"/>
      <c r="M3100" s="89" t="n"/>
      <c r="N3100" s="1" t="n"/>
      <c r="O3100" s="1" t="n"/>
      <c r="P3100" s="1" t="n"/>
      <c r="Q3100" s="1" t="n"/>
      <c r="R3100" s="1" t="n"/>
    </row>
    <row r="3101">
      <c r="A3101" s="61" t="n"/>
      <c r="B3101" s="16" t="n"/>
      <c r="C3101" s="90" t="n"/>
      <c r="D3101" s="90" t="n"/>
      <c r="E3101" s="90" t="n"/>
      <c r="F3101" s="16" t="n"/>
      <c r="G3101" s="16" t="n"/>
      <c r="H3101" s="63" t="n"/>
      <c r="I3101" s="64" t="n"/>
      <c r="J3101" s="16" t="n"/>
      <c r="K3101" s="16" t="n"/>
      <c r="M3101" s="89" t="n"/>
      <c r="N3101" s="1" t="n"/>
      <c r="O3101" s="1" t="n"/>
      <c r="P3101" s="1" t="n"/>
      <c r="Q3101" s="1" t="n"/>
      <c r="R3101" s="1" t="n"/>
    </row>
    <row r="3102">
      <c r="A3102" s="61" t="n"/>
      <c r="B3102" s="16" t="n"/>
      <c r="C3102" s="90" t="n"/>
      <c r="D3102" s="90" t="n"/>
      <c r="E3102" s="90" t="n"/>
      <c r="F3102" s="16" t="n"/>
      <c r="G3102" s="16" t="n"/>
      <c r="H3102" s="63" t="n"/>
      <c r="I3102" s="64" t="n"/>
      <c r="J3102" s="16" t="n"/>
      <c r="K3102" s="16" t="n"/>
      <c r="M3102" s="89" t="n"/>
      <c r="N3102" s="1" t="n"/>
      <c r="O3102" s="1" t="n"/>
      <c r="P3102" s="1" t="n"/>
      <c r="Q3102" s="1" t="n"/>
      <c r="R3102" s="1" t="n"/>
    </row>
    <row r="3103">
      <c r="A3103" s="61" t="n"/>
      <c r="B3103" s="16" t="n"/>
      <c r="C3103" s="90" t="n"/>
      <c r="D3103" s="90" t="n"/>
      <c r="E3103" s="90" t="n"/>
      <c r="F3103" s="16" t="n"/>
      <c r="G3103" s="16" t="n"/>
      <c r="H3103" s="63" t="n"/>
      <c r="I3103" s="64" t="n"/>
      <c r="J3103" s="16" t="n"/>
      <c r="K3103" s="16" t="n"/>
      <c r="M3103" s="89" t="n"/>
      <c r="N3103" s="1" t="n"/>
      <c r="O3103" s="1" t="n"/>
      <c r="P3103" s="1" t="n"/>
      <c r="Q3103" s="1" t="n"/>
      <c r="R3103" s="1" t="n"/>
    </row>
    <row r="3104">
      <c r="A3104" s="61" t="n"/>
      <c r="B3104" s="16" t="n"/>
      <c r="C3104" s="90" t="n"/>
      <c r="D3104" s="90" t="n"/>
      <c r="E3104" s="90" t="n"/>
      <c r="F3104" s="16" t="n"/>
      <c r="G3104" s="16" t="n"/>
      <c r="H3104" s="63" t="n"/>
      <c r="I3104" s="64" t="n"/>
      <c r="J3104" s="16" t="n"/>
      <c r="K3104" s="16" t="n"/>
      <c r="M3104" s="89" t="n"/>
      <c r="N3104" s="1" t="n"/>
      <c r="O3104" s="1" t="n"/>
      <c r="P3104" s="1" t="n"/>
      <c r="Q3104" s="1" t="n"/>
      <c r="R3104" s="1" t="n"/>
    </row>
    <row r="3105">
      <c r="A3105" s="61" t="n"/>
      <c r="B3105" s="16" t="n"/>
      <c r="C3105" s="90" t="n"/>
      <c r="D3105" s="90" t="n"/>
      <c r="E3105" s="90" t="n"/>
      <c r="F3105" s="16" t="n"/>
      <c r="G3105" s="16" t="n"/>
      <c r="H3105" s="63" t="n"/>
      <c r="I3105" s="64" t="n"/>
      <c r="J3105" s="16" t="n"/>
      <c r="K3105" s="16" t="n"/>
      <c r="M3105" s="89" t="n"/>
      <c r="N3105" s="1" t="n"/>
      <c r="O3105" s="1" t="n"/>
      <c r="P3105" s="1" t="n"/>
      <c r="Q3105" s="1" t="n"/>
      <c r="R3105" s="1" t="n"/>
    </row>
    <row r="3106">
      <c r="A3106" s="61" t="n"/>
      <c r="B3106" s="16" t="n"/>
      <c r="C3106" s="90" t="n"/>
      <c r="D3106" s="90" t="n"/>
      <c r="E3106" s="90" t="n"/>
      <c r="F3106" s="16" t="n"/>
      <c r="G3106" s="16" t="n"/>
      <c r="H3106" s="63" t="n"/>
      <c r="I3106" s="64" t="n"/>
      <c r="J3106" s="16" t="n"/>
      <c r="K3106" s="16" t="n"/>
      <c r="M3106" s="89" t="n"/>
      <c r="N3106" s="1" t="n"/>
      <c r="O3106" s="1" t="n"/>
      <c r="P3106" s="1" t="n"/>
      <c r="Q3106" s="1" t="n"/>
      <c r="R3106" s="1" t="n"/>
    </row>
    <row r="3107">
      <c r="A3107" s="61" t="n"/>
      <c r="B3107" s="16" t="n"/>
      <c r="C3107" s="90" t="n"/>
      <c r="D3107" s="90" t="n"/>
      <c r="E3107" s="90" t="n"/>
      <c r="F3107" s="16" t="n"/>
      <c r="G3107" s="16" t="n"/>
      <c r="H3107" s="63" t="n"/>
      <c r="I3107" s="64" t="n"/>
      <c r="J3107" s="16" t="n"/>
      <c r="K3107" s="16" t="n"/>
      <c r="M3107" s="89" t="n"/>
      <c r="N3107" s="1" t="n"/>
      <c r="O3107" s="1" t="n"/>
      <c r="P3107" s="1" t="n"/>
      <c r="Q3107" s="1" t="n"/>
      <c r="R3107" s="1" t="n"/>
    </row>
    <row r="3108">
      <c r="A3108" s="61" t="n"/>
      <c r="B3108" s="16" t="n"/>
      <c r="C3108" s="90" t="n"/>
      <c r="D3108" s="90" t="n"/>
      <c r="E3108" s="90" t="n"/>
      <c r="F3108" s="16" t="n"/>
      <c r="G3108" s="16" t="n"/>
      <c r="H3108" s="63" t="n"/>
      <c r="I3108" s="64" t="n"/>
      <c r="J3108" s="16" t="n"/>
      <c r="K3108" s="16" t="n"/>
      <c r="M3108" s="89" t="n"/>
      <c r="N3108" s="1" t="n"/>
      <c r="O3108" s="1" t="n"/>
      <c r="P3108" s="1" t="n"/>
      <c r="Q3108" s="1" t="n"/>
      <c r="R3108" s="1" t="n"/>
    </row>
    <row r="3109">
      <c r="A3109" s="61" t="n"/>
      <c r="B3109" s="16" t="n"/>
      <c r="C3109" s="90" t="n"/>
      <c r="D3109" s="90" t="n"/>
      <c r="E3109" s="90" t="n"/>
      <c r="F3109" s="16" t="n"/>
      <c r="G3109" s="16" t="n"/>
      <c r="H3109" s="63" t="n"/>
      <c r="I3109" s="64" t="n"/>
      <c r="J3109" s="16" t="n"/>
      <c r="K3109" s="16" t="n"/>
      <c r="M3109" s="89" t="n"/>
      <c r="N3109" s="1" t="n"/>
      <c r="O3109" s="1" t="n"/>
      <c r="P3109" s="1" t="n"/>
      <c r="Q3109" s="1" t="n"/>
      <c r="R3109" s="1" t="n"/>
    </row>
    <row r="3110">
      <c r="A3110" s="61" t="n"/>
      <c r="B3110" s="16" t="n"/>
      <c r="C3110" s="90" t="n"/>
      <c r="D3110" s="90" t="n"/>
      <c r="E3110" s="90" t="n"/>
      <c r="F3110" s="16" t="n"/>
      <c r="G3110" s="16" t="n"/>
      <c r="H3110" s="63" t="n"/>
      <c r="I3110" s="64" t="n"/>
      <c r="J3110" s="16" t="n"/>
      <c r="K3110" s="16" t="n"/>
      <c r="M3110" s="89" t="n"/>
      <c r="N3110" s="1" t="n"/>
      <c r="O3110" s="1" t="n"/>
      <c r="P3110" s="1" t="n"/>
      <c r="Q3110" s="1" t="n"/>
      <c r="R3110" s="1" t="n"/>
    </row>
    <row r="3111">
      <c r="A3111" s="61" t="n"/>
      <c r="B3111" s="16" t="n"/>
      <c r="C3111" s="90" t="n"/>
      <c r="D3111" s="90" t="n"/>
      <c r="E3111" s="90" t="n"/>
      <c r="F3111" s="16" t="n"/>
      <c r="G3111" s="16" t="n"/>
      <c r="H3111" s="63" t="n"/>
      <c r="I3111" s="64" t="n"/>
      <c r="J3111" s="16" t="n"/>
      <c r="K3111" s="16" t="n"/>
      <c r="M3111" s="89" t="n"/>
      <c r="N3111" s="1" t="n"/>
      <c r="O3111" s="1" t="n"/>
      <c r="P3111" s="1" t="n"/>
      <c r="Q3111" s="1" t="n"/>
      <c r="R3111" s="1" t="n"/>
    </row>
    <row r="3112">
      <c r="A3112" s="61" t="n"/>
      <c r="B3112" s="16" t="n"/>
      <c r="C3112" s="90" t="n"/>
      <c r="D3112" s="90" t="n"/>
      <c r="E3112" s="90" t="n"/>
      <c r="F3112" s="16" t="n"/>
      <c r="G3112" s="16" t="n"/>
      <c r="H3112" s="63" t="n"/>
      <c r="I3112" s="64" t="n"/>
      <c r="J3112" s="16" t="n"/>
      <c r="K3112" s="16" t="n"/>
      <c r="M3112" s="89" t="n"/>
      <c r="N3112" s="1" t="n"/>
      <c r="O3112" s="1" t="n"/>
      <c r="P3112" s="1" t="n"/>
      <c r="Q3112" s="1" t="n"/>
      <c r="R3112" s="1" t="n"/>
    </row>
    <row r="3113">
      <c r="A3113" s="61" t="n"/>
      <c r="B3113" s="16" t="n"/>
      <c r="C3113" s="90" t="n"/>
      <c r="D3113" s="90" t="n"/>
      <c r="E3113" s="90" t="n"/>
      <c r="F3113" s="16" t="n"/>
      <c r="G3113" s="16" t="n"/>
      <c r="H3113" s="63" t="n"/>
      <c r="I3113" s="64" t="n"/>
      <c r="J3113" s="16" t="n"/>
      <c r="K3113" s="16" t="n"/>
      <c r="M3113" s="89" t="n"/>
      <c r="N3113" s="1" t="n"/>
      <c r="O3113" s="1" t="n"/>
      <c r="P3113" s="1" t="n"/>
      <c r="Q3113" s="1" t="n"/>
      <c r="R3113" s="1" t="n"/>
    </row>
    <row r="3114">
      <c r="A3114" s="61" t="n"/>
      <c r="B3114" s="16" t="n"/>
      <c r="C3114" s="90" t="n"/>
      <c r="D3114" s="90" t="n"/>
      <c r="E3114" s="90" t="n"/>
      <c r="F3114" s="16" t="n"/>
      <c r="G3114" s="16" t="n"/>
      <c r="H3114" s="63" t="n"/>
      <c r="I3114" s="64" t="n"/>
      <c r="J3114" s="16" t="n"/>
      <c r="K3114" s="16" t="n"/>
      <c r="M3114" s="89" t="n"/>
      <c r="N3114" s="1" t="n"/>
      <c r="O3114" s="1" t="n"/>
      <c r="P3114" s="1" t="n"/>
      <c r="Q3114" s="1" t="n"/>
      <c r="R3114" s="1" t="n"/>
    </row>
    <row r="3115">
      <c r="A3115" s="61" t="n"/>
      <c r="B3115" s="16" t="n"/>
      <c r="C3115" s="90" t="n"/>
      <c r="D3115" s="90" t="n"/>
      <c r="E3115" s="90" t="n"/>
      <c r="F3115" s="16" t="n"/>
      <c r="G3115" s="16" t="n"/>
      <c r="H3115" s="63" t="n"/>
      <c r="I3115" s="64" t="n"/>
      <c r="J3115" s="16" t="n"/>
      <c r="K3115" s="16" t="n"/>
      <c r="M3115" s="89" t="n"/>
      <c r="N3115" s="1" t="n"/>
      <c r="O3115" s="1" t="n"/>
      <c r="P3115" s="1" t="n"/>
      <c r="Q3115" s="1" t="n"/>
      <c r="R3115" s="1" t="n"/>
    </row>
    <row r="3116">
      <c r="A3116" s="61" t="n"/>
      <c r="B3116" s="16" t="n"/>
      <c r="C3116" s="90" t="n"/>
      <c r="D3116" s="90" t="n"/>
      <c r="E3116" s="90" t="n"/>
      <c r="F3116" s="16" t="n"/>
      <c r="G3116" s="16" t="n"/>
      <c r="H3116" s="63" t="n"/>
      <c r="I3116" s="64" t="n"/>
      <c r="J3116" s="16" t="n"/>
      <c r="K3116" s="16" t="n"/>
      <c r="M3116" s="89" t="n"/>
      <c r="N3116" s="1" t="n"/>
      <c r="O3116" s="1" t="n"/>
      <c r="P3116" s="1" t="n"/>
      <c r="Q3116" s="1" t="n"/>
      <c r="R3116" s="1" t="n"/>
    </row>
    <row r="3117">
      <c r="A3117" s="61" t="n"/>
      <c r="B3117" s="16" t="n"/>
      <c r="C3117" s="90" t="n"/>
      <c r="D3117" s="90" t="n"/>
      <c r="E3117" s="90" t="n"/>
      <c r="F3117" s="16" t="n"/>
      <c r="G3117" s="16" t="n"/>
      <c r="H3117" s="63" t="n"/>
      <c r="I3117" s="64" t="n"/>
      <c r="J3117" s="16" t="n"/>
      <c r="K3117" s="16" t="n"/>
      <c r="M3117" s="89" t="n"/>
      <c r="N3117" s="1" t="n"/>
      <c r="O3117" s="1" t="n"/>
      <c r="P3117" s="1" t="n"/>
      <c r="Q3117" s="1" t="n"/>
      <c r="R3117" s="1" t="n"/>
    </row>
    <row r="3118">
      <c r="A3118" s="61" t="n"/>
      <c r="B3118" s="16" t="n"/>
      <c r="C3118" s="90" t="n"/>
      <c r="D3118" s="90" t="n"/>
      <c r="E3118" s="90" t="n"/>
      <c r="F3118" s="16" t="n"/>
      <c r="G3118" s="16" t="n"/>
      <c r="H3118" s="63" t="n"/>
      <c r="I3118" s="64" t="n"/>
      <c r="J3118" s="16" t="n"/>
      <c r="K3118" s="16" t="n"/>
      <c r="M3118" s="89" t="n"/>
      <c r="N3118" s="1" t="n"/>
      <c r="O3118" s="1" t="n"/>
      <c r="P3118" s="1" t="n"/>
      <c r="Q3118" s="1" t="n"/>
      <c r="R3118" s="1" t="n"/>
    </row>
    <row r="3119">
      <c r="A3119" s="61" t="n"/>
      <c r="B3119" s="16" t="n"/>
      <c r="C3119" s="90" t="n"/>
      <c r="D3119" s="90" t="n"/>
      <c r="E3119" s="90" t="n"/>
      <c r="F3119" s="16" t="n"/>
      <c r="G3119" s="16" t="n"/>
      <c r="H3119" s="63" t="n"/>
      <c r="I3119" s="64" t="n"/>
      <c r="J3119" s="16" t="n"/>
      <c r="K3119" s="16" t="n"/>
      <c r="M3119" s="89" t="n"/>
      <c r="N3119" s="1" t="n"/>
      <c r="O3119" s="1" t="n"/>
      <c r="P3119" s="1" t="n"/>
      <c r="Q3119" s="1" t="n"/>
      <c r="R3119" s="1" t="n"/>
    </row>
    <row r="3120">
      <c r="A3120" s="61" t="n"/>
      <c r="B3120" s="16" t="n"/>
      <c r="C3120" s="90" t="n"/>
      <c r="D3120" s="90" t="n"/>
      <c r="E3120" s="90" t="n"/>
      <c r="F3120" s="16" t="n"/>
      <c r="G3120" s="16" t="n"/>
      <c r="H3120" s="63" t="n"/>
      <c r="I3120" s="64" t="n"/>
      <c r="J3120" s="16" t="n"/>
      <c r="K3120" s="16" t="n"/>
      <c r="M3120" s="89" t="n"/>
      <c r="N3120" s="1" t="n"/>
      <c r="O3120" s="1" t="n"/>
      <c r="P3120" s="1" t="n"/>
      <c r="Q3120" s="1" t="n"/>
      <c r="R3120" s="1" t="n"/>
    </row>
    <row r="3121">
      <c r="A3121" s="61" t="n"/>
      <c r="B3121" s="16" t="n"/>
      <c r="C3121" s="90" t="n"/>
      <c r="D3121" s="90" t="n"/>
      <c r="E3121" s="90" t="n"/>
      <c r="F3121" s="16" t="n"/>
      <c r="G3121" s="16" t="n"/>
      <c r="H3121" s="63" t="n"/>
      <c r="I3121" s="64" t="n"/>
      <c r="J3121" s="16" t="n"/>
      <c r="K3121" s="16" t="n"/>
      <c r="M3121" s="89" t="n"/>
      <c r="N3121" s="1" t="n"/>
      <c r="O3121" s="1" t="n"/>
      <c r="P3121" s="1" t="n"/>
      <c r="Q3121" s="1" t="n"/>
      <c r="R3121" s="1" t="n"/>
    </row>
    <row r="3122">
      <c r="A3122" s="61" t="n"/>
      <c r="B3122" s="16" t="n"/>
      <c r="C3122" s="90" t="n"/>
      <c r="D3122" s="90" t="n"/>
      <c r="E3122" s="90" t="n"/>
      <c r="F3122" s="16" t="n"/>
      <c r="G3122" s="16" t="n"/>
      <c r="H3122" s="63" t="n"/>
      <c r="I3122" s="64" t="n"/>
      <c r="J3122" s="16" t="n"/>
      <c r="K3122" s="16" t="n"/>
      <c r="M3122" s="89" t="n"/>
      <c r="N3122" s="1" t="n"/>
      <c r="O3122" s="1" t="n"/>
      <c r="P3122" s="1" t="n"/>
      <c r="Q3122" s="1" t="n"/>
      <c r="R3122" s="1" t="n"/>
    </row>
    <row r="3123">
      <c r="A3123" s="61" t="n"/>
      <c r="B3123" s="16" t="n"/>
      <c r="C3123" s="90" t="n"/>
      <c r="D3123" s="90" t="n"/>
      <c r="E3123" s="90" t="n"/>
      <c r="F3123" s="16" t="n"/>
      <c r="G3123" s="16" t="n"/>
      <c r="H3123" s="63" t="n"/>
      <c r="I3123" s="64" t="n"/>
      <c r="J3123" s="16" t="n"/>
      <c r="K3123" s="16" t="n"/>
      <c r="M3123" s="89" t="n"/>
      <c r="N3123" s="1" t="n"/>
      <c r="O3123" s="1" t="n"/>
      <c r="P3123" s="1" t="n"/>
      <c r="Q3123" s="1" t="n"/>
      <c r="R3123" s="1" t="n"/>
    </row>
    <row r="3124">
      <c r="A3124" s="61" t="n"/>
      <c r="B3124" s="16" t="n"/>
      <c r="C3124" s="90" t="n"/>
      <c r="D3124" s="90" t="n"/>
      <c r="E3124" s="90" t="n"/>
      <c r="F3124" s="16" t="n"/>
      <c r="G3124" s="16" t="n"/>
      <c r="H3124" s="63" t="n"/>
      <c r="I3124" s="64" t="n"/>
      <c r="J3124" s="16" t="n"/>
      <c r="K3124" s="16" t="n"/>
      <c r="M3124" s="89" t="n"/>
      <c r="N3124" s="1" t="n"/>
      <c r="O3124" s="1" t="n"/>
      <c r="P3124" s="1" t="n"/>
      <c r="Q3124" s="1" t="n"/>
      <c r="R3124" s="1" t="n"/>
    </row>
    <row r="3125">
      <c r="A3125" s="61" t="n"/>
      <c r="B3125" s="16" t="n"/>
      <c r="C3125" s="90" t="n"/>
      <c r="D3125" s="90" t="n"/>
      <c r="E3125" s="90" t="n"/>
      <c r="F3125" s="16" t="n"/>
      <c r="G3125" s="16" t="n"/>
      <c r="H3125" s="63" t="n"/>
      <c r="I3125" s="64" t="n"/>
      <c r="J3125" s="16" t="n"/>
      <c r="K3125" s="16" t="n"/>
      <c r="M3125" s="89" t="n"/>
      <c r="N3125" s="1" t="n"/>
      <c r="O3125" s="1" t="n"/>
      <c r="P3125" s="1" t="n"/>
      <c r="Q3125" s="1" t="n"/>
      <c r="R3125" s="1" t="n"/>
    </row>
    <row r="3126">
      <c r="A3126" s="61" t="n"/>
      <c r="B3126" s="16" t="n"/>
      <c r="C3126" s="90" t="n"/>
      <c r="D3126" s="90" t="n"/>
      <c r="E3126" s="90" t="n"/>
      <c r="F3126" s="16" t="n"/>
      <c r="G3126" s="16" t="n"/>
      <c r="H3126" s="63" t="n"/>
      <c r="I3126" s="64" t="n"/>
      <c r="J3126" s="16" t="n"/>
      <c r="K3126" s="16" t="n"/>
      <c r="M3126" s="89" t="n"/>
      <c r="N3126" s="1" t="n"/>
      <c r="O3126" s="1" t="n"/>
      <c r="P3126" s="1" t="n"/>
      <c r="Q3126" s="1" t="n"/>
      <c r="R3126" s="1" t="n"/>
    </row>
    <row r="3127">
      <c r="A3127" s="61" t="n"/>
      <c r="B3127" s="16" t="n"/>
      <c r="C3127" s="90" t="n"/>
      <c r="D3127" s="90" t="n"/>
      <c r="E3127" s="90" t="n"/>
      <c r="F3127" s="16" t="n"/>
      <c r="G3127" s="16" t="n"/>
      <c r="H3127" s="63" t="n"/>
      <c r="I3127" s="64" t="n"/>
      <c r="J3127" s="16" t="n"/>
      <c r="K3127" s="16" t="n"/>
      <c r="M3127" s="89" t="n"/>
      <c r="N3127" s="1" t="n"/>
      <c r="O3127" s="1" t="n"/>
      <c r="P3127" s="1" t="n"/>
      <c r="Q3127" s="1" t="n"/>
      <c r="R3127" s="1" t="n"/>
    </row>
    <row r="3128">
      <c r="A3128" s="61" t="n"/>
      <c r="B3128" s="16" t="n"/>
      <c r="C3128" s="90" t="n"/>
      <c r="D3128" s="90" t="n"/>
      <c r="E3128" s="90" t="n"/>
      <c r="F3128" s="16" t="n"/>
      <c r="G3128" s="16" t="n"/>
      <c r="H3128" s="63" t="n"/>
      <c r="I3128" s="64" t="n"/>
      <c r="J3128" s="16" t="n"/>
      <c r="K3128" s="16" t="n"/>
      <c r="M3128" s="89" t="n"/>
      <c r="N3128" s="1" t="n"/>
      <c r="O3128" s="1" t="n"/>
      <c r="P3128" s="1" t="n"/>
      <c r="Q3128" s="1" t="n"/>
      <c r="R3128" s="1" t="n"/>
    </row>
    <row r="3129">
      <c r="A3129" s="61" t="n"/>
      <c r="B3129" s="16" t="n"/>
      <c r="C3129" s="90" t="n"/>
      <c r="D3129" s="90" t="n"/>
      <c r="E3129" s="90" t="n"/>
      <c r="F3129" s="16" t="n"/>
      <c r="G3129" s="16" t="n"/>
      <c r="H3129" s="63" t="n"/>
      <c r="I3129" s="64" t="n"/>
      <c r="J3129" s="16" t="n"/>
      <c r="K3129" s="16" t="n"/>
      <c r="M3129" s="89" t="n"/>
      <c r="N3129" s="1" t="n"/>
      <c r="O3129" s="1" t="n"/>
      <c r="P3129" s="1" t="n"/>
      <c r="Q3129" s="1" t="n"/>
      <c r="R3129" s="1" t="n"/>
    </row>
    <row r="3130">
      <c r="A3130" s="61" t="n"/>
      <c r="B3130" s="16" t="n"/>
      <c r="C3130" s="90" t="n"/>
      <c r="D3130" s="90" t="n"/>
      <c r="E3130" s="90" t="n"/>
      <c r="F3130" s="16" t="n"/>
      <c r="G3130" s="16" t="n"/>
      <c r="H3130" s="63" t="n"/>
      <c r="I3130" s="64" t="n"/>
      <c r="J3130" s="16" t="n"/>
      <c r="K3130" s="16" t="n"/>
      <c r="M3130" s="89" t="n"/>
      <c r="N3130" s="1" t="n"/>
      <c r="O3130" s="1" t="n"/>
      <c r="P3130" s="1" t="n"/>
      <c r="Q3130" s="1" t="n"/>
      <c r="R3130" s="1" t="n"/>
    </row>
    <row r="3131">
      <c r="A3131" s="61" t="n"/>
      <c r="B3131" s="16" t="n"/>
      <c r="C3131" s="90" t="n"/>
      <c r="D3131" s="90" t="n"/>
      <c r="E3131" s="90" t="n"/>
      <c r="F3131" s="16" t="n"/>
      <c r="G3131" s="16" t="n"/>
      <c r="H3131" s="63" t="n"/>
      <c r="I3131" s="64" t="n"/>
      <c r="J3131" s="16" t="n"/>
      <c r="K3131" s="16" t="n"/>
      <c r="M3131" s="89" t="n"/>
      <c r="N3131" s="1" t="n"/>
      <c r="O3131" s="1" t="n"/>
      <c r="P3131" s="1" t="n"/>
      <c r="Q3131" s="1" t="n"/>
      <c r="R3131" s="1" t="n"/>
    </row>
    <row r="3132">
      <c r="A3132" s="61" t="n"/>
      <c r="B3132" s="16" t="n"/>
      <c r="C3132" s="90" t="n"/>
      <c r="D3132" s="90" t="n"/>
      <c r="E3132" s="90" t="n"/>
      <c r="F3132" s="16" t="n"/>
      <c r="G3132" s="16" t="n"/>
      <c r="H3132" s="63" t="n"/>
      <c r="I3132" s="64" t="n"/>
      <c r="J3132" s="16" t="n"/>
      <c r="K3132" s="16" t="n"/>
      <c r="M3132" s="89" t="n"/>
      <c r="N3132" s="1" t="n"/>
      <c r="O3132" s="1" t="n"/>
      <c r="P3132" s="1" t="n"/>
      <c r="Q3132" s="1" t="n"/>
      <c r="R3132" s="1" t="n"/>
    </row>
    <row r="3133">
      <c r="A3133" s="61" t="n"/>
      <c r="B3133" s="16" t="n"/>
      <c r="C3133" s="90" t="n"/>
      <c r="D3133" s="90" t="n"/>
      <c r="E3133" s="90" t="n"/>
      <c r="F3133" s="16" t="n"/>
      <c r="G3133" s="16" t="n"/>
      <c r="H3133" s="63" t="n"/>
      <c r="I3133" s="64" t="n"/>
      <c r="J3133" s="16" t="n"/>
      <c r="K3133" s="16" t="n"/>
      <c r="M3133" s="89" t="n"/>
      <c r="N3133" s="1" t="n"/>
      <c r="O3133" s="1" t="n"/>
      <c r="P3133" s="1" t="n"/>
      <c r="Q3133" s="1" t="n"/>
      <c r="R3133" s="1" t="n"/>
    </row>
    <row r="3134">
      <c r="A3134" s="61" t="n"/>
      <c r="B3134" s="16" t="n"/>
      <c r="C3134" s="90" t="n"/>
      <c r="D3134" s="90" t="n"/>
      <c r="E3134" s="90" t="n"/>
      <c r="F3134" s="16" t="n"/>
      <c r="G3134" s="16" t="n"/>
      <c r="H3134" s="63" t="n"/>
      <c r="I3134" s="64" t="n"/>
      <c r="J3134" s="16" t="n"/>
      <c r="K3134" s="16" t="n"/>
      <c r="M3134" s="89" t="n"/>
      <c r="N3134" s="1" t="n"/>
      <c r="O3134" s="1" t="n"/>
      <c r="P3134" s="1" t="n"/>
      <c r="Q3134" s="1" t="n"/>
      <c r="R3134" s="1" t="n"/>
    </row>
    <row r="3135">
      <c r="A3135" s="61" t="n"/>
      <c r="B3135" s="16" t="n"/>
      <c r="C3135" s="90" t="n"/>
      <c r="D3135" s="90" t="n"/>
      <c r="E3135" s="90" t="n"/>
      <c r="F3135" s="16" t="n"/>
      <c r="G3135" s="16" t="n"/>
      <c r="H3135" s="63" t="n"/>
      <c r="I3135" s="64" t="n"/>
      <c r="J3135" s="16" t="n"/>
      <c r="K3135" s="16" t="n"/>
      <c r="M3135" s="89" t="n"/>
      <c r="N3135" s="1" t="n"/>
      <c r="O3135" s="1" t="n"/>
      <c r="P3135" s="1" t="n"/>
      <c r="Q3135" s="1" t="n"/>
      <c r="R3135" s="1" t="n"/>
    </row>
    <row r="3136">
      <c r="A3136" s="61" t="n"/>
      <c r="B3136" s="16" t="n"/>
      <c r="C3136" s="90" t="n"/>
      <c r="D3136" s="90" t="n"/>
      <c r="E3136" s="90" t="n"/>
      <c r="F3136" s="16" t="n"/>
      <c r="G3136" s="16" t="n"/>
      <c r="H3136" s="63" t="n"/>
      <c r="I3136" s="64" t="n"/>
      <c r="J3136" s="16" t="n"/>
      <c r="K3136" s="16" t="n"/>
      <c r="M3136" s="89" t="n"/>
      <c r="N3136" s="1" t="n"/>
      <c r="O3136" s="1" t="n"/>
      <c r="P3136" s="1" t="n"/>
      <c r="Q3136" s="1" t="n"/>
      <c r="R3136" s="1" t="n"/>
    </row>
    <row r="3137">
      <c r="A3137" s="61" t="n"/>
      <c r="B3137" s="16" t="n"/>
      <c r="C3137" s="90" t="n"/>
      <c r="D3137" s="90" t="n"/>
      <c r="E3137" s="90" t="n"/>
      <c r="F3137" s="16" t="n"/>
      <c r="G3137" s="16" t="n"/>
      <c r="H3137" s="63" t="n"/>
      <c r="I3137" s="64" t="n"/>
      <c r="J3137" s="16" t="n"/>
      <c r="K3137" s="16" t="n"/>
      <c r="M3137" s="89" t="n"/>
      <c r="N3137" s="1" t="n"/>
      <c r="O3137" s="1" t="n"/>
      <c r="P3137" s="1" t="n"/>
      <c r="Q3137" s="1" t="n"/>
      <c r="R3137" s="1" t="n"/>
    </row>
    <row r="3138">
      <c r="A3138" s="61" t="n"/>
      <c r="B3138" s="16" t="n"/>
      <c r="C3138" s="90" t="n"/>
      <c r="D3138" s="90" t="n"/>
      <c r="E3138" s="90" t="n"/>
      <c r="F3138" s="16" t="n"/>
      <c r="G3138" s="16" t="n"/>
      <c r="H3138" s="63" t="n"/>
      <c r="I3138" s="64" t="n"/>
      <c r="J3138" s="16" t="n"/>
      <c r="K3138" s="16" t="n"/>
      <c r="M3138" s="89" t="n"/>
      <c r="N3138" s="1" t="n"/>
      <c r="O3138" s="1" t="n"/>
      <c r="P3138" s="1" t="n"/>
      <c r="Q3138" s="1" t="n"/>
      <c r="R3138" s="1" t="n"/>
    </row>
    <row r="3139">
      <c r="A3139" s="61" t="n"/>
      <c r="B3139" s="16" t="n"/>
      <c r="C3139" s="90" t="n"/>
      <c r="D3139" s="90" t="n"/>
      <c r="E3139" s="90" t="n"/>
      <c r="F3139" s="16" t="n"/>
      <c r="G3139" s="16" t="n"/>
      <c r="H3139" s="63" t="n"/>
      <c r="I3139" s="64" t="n"/>
      <c r="J3139" s="16" t="n"/>
      <c r="K3139" s="16" t="n"/>
      <c r="M3139" s="89" t="n"/>
      <c r="N3139" s="1" t="n"/>
      <c r="O3139" s="1" t="n"/>
      <c r="P3139" s="1" t="n"/>
      <c r="Q3139" s="1" t="n"/>
      <c r="R3139" s="1" t="n"/>
    </row>
    <row r="3140">
      <c r="A3140" s="61" t="n"/>
      <c r="B3140" s="16" t="n"/>
      <c r="C3140" s="90" t="n"/>
      <c r="D3140" s="90" t="n"/>
      <c r="E3140" s="90" t="n"/>
      <c r="F3140" s="16" t="n"/>
      <c r="G3140" s="16" t="n"/>
      <c r="H3140" s="63" t="n"/>
      <c r="I3140" s="64" t="n"/>
      <c r="J3140" s="16" t="n"/>
      <c r="K3140" s="16" t="n"/>
      <c r="M3140" s="89" t="n"/>
      <c r="N3140" s="1" t="n"/>
      <c r="O3140" s="1" t="n"/>
      <c r="P3140" s="1" t="n"/>
      <c r="Q3140" s="1" t="n"/>
      <c r="R3140" s="1" t="n"/>
    </row>
    <row r="3141">
      <c r="A3141" s="61" t="n"/>
      <c r="B3141" s="16" t="n"/>
      <c r="C3141" s="90" t="n"/>
      <c r="D3141" s="90" t="n"/>
      <c r="E3141" s="90" t="n"/>
      <c r="F3141" s="16" t="n"/>
      <c r="G3141" s="16" t="n"/>
      <c r="H3141" s="63" t="n"/>
      <c r="I3141" s="64" t="n"/>
      <c r="J3141" s="16" t="n"/>
      <c r="K3141" s="16" t="n"/>
      <c r="M3141" s="89" t="n"/>
      <c r="N3141" s="1" t="n"/>
      <c r="O3141" s="1" t="n"/>
      <c r="P3141" s="1" t="n"/>
      <c r="Q3141" s="1" t="n"/>
      <c r="R3141" s="1" t="n"/>
    </row>
    <row r="3142">
      <c r="A3142" s="61" t="n"/>
      <c r="B3142" s="16" t="n"/>
      <c r="C3142" s="90" t="n"/>
      <c r="D3142" s="90" t="n"/>
      <c r="E3142" s="90" t="n"/>
      <c r="F3142" s="16" t="n"/>
      <c r="G3142" s="16" t="n"/>
      <c r="H3142" s="63" t="n"/>
      <c r="I3142" s="64" t="n"/>
      <c r="J3142" s="16" t="n"/>
      <c r="K3142" s="16" t="n"/>
      <c r="M3142" s="89" t="n"/>
      <c r="N3142" s="1" t="n"/>
      <c r="O3142" s="1" t="n"/>
      <c r="P3142" s="1" t="n"/>
      <c r="Q3142" s="1" t="n"/>
      <c r="R3142" s="1" t="n"/>
    </row>
    <row r="3143">
      <c r="A3143" s="61" t="n"/>
      <c r="B3143" s="16" t="n"/>
      <c r="C3143" s="90" t="n"/>
      <c r="D3143" s="90" t="n"/>
      <c r="E3143" s="90" t="n"/>
      <c r="F3143" s="16" t="n"/>
      <c r="G3143" s="16" t="n"/>
      <c r="H3143" s="63" t="n"/>
      <c r="I3143" s="64" t="n"/>
      <c r="J3143" s="16" t="n"/>
      <c r="K3143" s="16" t="n"/>
      <c r="M3143" s="89" t="n"/>
      <c r="N3143" s="1" t="n"/>
      <c r="O3143" s="1" t="n"/>
      <c r="P3143" s="1" t="n"/>
      <c r="Q3143" s="1" t="n"/>
      <c r="R3143" s="1" t="n"/>
    </row>
    <row r="3144">
      <c r="A3144" s="61" t="n"/>
      <c r="B3144" s="16" t="n"/>
      <c r="C3144" s="90" t="n"/>
      <c r="D3144" s="90" t="n"/>
      <c r="E3144" s="90" t="n"/>
      <c r="F3144" s="16" t="n"/>
      <c r="G3144" s="16" t="n"/>
      <c r="H3144" s="63" t="n"/>
      <c r="I3144" s="64" t="n"/>
      <c r="J3144" s="16" t="n"/>
      <c r="K3144" s="16" t="n"/>
      <c r="M3144" s="89" t="n"/>
      <c r="N3144" s="1" t="n"/>
      <c r="O3144" s="1" t="n"/>
      <c r="P3144" s="1" t="n"/>
      <c r="Q3144" s="1" t="n"/>
      <c r="R3144" s="1" t="n"/>
    </row>
    <row r="3145">
      <c r="A3145" s="61" t="n"/>
      <c r="B3145" s="16" t="n"/>
      <c r="C3145" s="90" t="n"/>
      <c r="D3145" s="90" t="n"/>
      <c r="E3145" s="90" t="n"/>
      <c r="F3145" s="16" t="n"/>
      <c r="G3145" s="16" t="n"/>
      <c r="H3145" s="63" t="n"/>
      <c r="I3145" s="64" t="n"/>
      <c r="J3145" s="16" t="n"/>
      <c r="K3145" s="16" t="n"/>
      <c r="M3145" s="89" t="n"/>
      <c r="N3145" s="1" t="n"/>
      <c r="O3145" s="1" t="n"/>
      <c r="P3145" s="1" t="n"/>
      <c r="Q3145" s="1" t="n"/>
      <c r="R3145" s="1" t="n"/>
    </row>
    <row r="3146">
      <c r="A3146" s="61" t="n"/>
      <c r="B3146" s="16" t="n"/>
      <c r="C3146" s="90" t="n"/>
      <c r="D3146" s="90" t="n"/>
      <c r="E3146" s="90" t="n"/>
      <c r="F3146" s="16" t="n"/>
      <c r="G3146" s="16" t="n"/>
      <c r="H3146" s="63" t="n"/>
      <c r="I3146" s="64" t="n"/>
      <c r="J3146" s="16" t="n"/>
      <c r="K3146" s="16" t="n"/>
      <c r="M3146" s="89" t="n"/>
      <c r="N3146" s="1" t="n"/>
      <c r="O3146" s="1" t="n"/>
      <c r="P3146" s="1" t="n"/>
      <c r="Q3146" s="1" t="n"/>
      <c r="R3146" s="1" t="n"/>
    </row>
    <row r="3147">
      <c r="A3147" s="61" t="n"/>
      <c r="B3147" s="16" t="n"/>
      <c r="C3147" s="90" t="n"/>
      <c r="D3147" s="90" t="n"/>
      <c r="E3147" s="90" t="n"/>
      <c r="F3147" s="16" t="n"/>
      <c r="G3147" s="16" t="n"/>
      <c r="H3147" s="63" t="n"/>
      <c r="I3147" s="64" t="n"/>
      <c r="J3147" s="16" t="n"/>
      <c r="K3147" s="16" t="n"/>
      <c r="M3147" s="89" t="n"/>
      <c r="N3147" s="1" t="n"/>
      <c r="O3147" s="1" t="n"/>
      <c r="P3147" s="1" t="n"/>
      <c r="Q3147" s="1" t="n"/>
      <c r="R3147" s="1" t="n"/>
    </row>
    <row r="3148">
      <c r="A3148" s="61" t="n"/>
      <c r="B3148" s="16" t="n"/>
      <c r="C3148" s="90" t="n"/>
      <c r="D3148" s="90" t="n"/>
      <c r="E3148" s="90" t="n"/>
      <c r="F3148" s="16" t="n"/>
      <c r="G3148" s="16" t="n"/>
      <c r="H3148" s="63" t="n"/>
      <c r="I3148" s="64" t="n"/>
      <c r="J3148" s="16" t="n"/>
      <c r="K3148" s="16" t="n"/>
      <c r="M3148" s="89" t="n"/>
      <c r="N3148" s="1" t="n"/>
      <c r="O3148" s="1" t="n"/>
      <c r="P3148" s="1" t="n"/>
      <c r="Q3148" s="1" t="n"/>
      <c r="R3148" s="1" t="n"/>
    </row>
    <row r="3149">
      <c r="A3149" s="61" t="n"/>
      <c r="B3149" s="16" t="n"/>
      <c r="C3149" s="90" t="n"/>
      <c r="D3149" s="90" t="n"/>
      <c r="E3149" s="90" t="n"/>
      <c r="F3149" s="16" t="n"/>
      <c r="G3149" s="16" t="n"/>
      <c r="H3149" s="63" t="n"/>
      <c r="I3149" s="64" t="n"/>
      <c r="J3149" s="16" t="n"/>
      <c r="K3149" s="16" t="n"/>
      <c r="M3149" s="89" t="n"/>
      <c r="N3149" s="1" t="n"/>
      <c r="O3149" s="1" t="n"/>
      <c r="P3149" s="1" t="n"/>
      <c r="Q3149" s="1" t="n"/>
      <c r="R3149" s="1" t="n"/>
    </row>
    <row r="3150">
      <c r="A3150" s="61" t="n"/>
      <c r="B3150" s="16" t="n"/>
      <c r="C3150" s="90" t="n"/>
      <c r="D3150" s="90" t="n"/>
      <c r="E3150" s="90" t="n"/>
      <c r="F3150" s="16" t="n"/>
      <c r="G3150" s="16" t="n"/>
      <c r="H3150" s="63" t="n"/>
      <c r="I3150" s="64" t="n"/>
      <c r="J3150" s="16" t="n"/>
      <c r="K3150" s="16" t="n"/>
      <c r="M3150" s="89" t="n"/>
      <c r="N3150" s="1" t="n"/>
      <c r="O3150" s="1" t="n"/>
      <c r="P3150" s="1" t="n"/>
      <c r="Q3150" s="1" t="n"/>
      <c r="R3150" s="1" t="n"/>
    </row>
    <row r="3151">
      <c r="A3151" s="61" t="n"/>
      <c r="B3151" s="16" t="n"/>
      <c r="C3151" s="90" t="n"/>
      <c r="D3151" s="90" t="n"/>
      <c r="E3151" s="90" t="n"/>
      <c r="F3151" s="16" t="n"/>
      <c r="G3151" s="16" t="n"/>
      <c r="H3151" s="63" t="n"/>
      <c r="I3151" s="64" t="n"/>
      <c r="J3151" s="16" t="n"/>
      <c r="K3151" s="16" t="n"/>
      <c r="M3151" s="89" t="n"/>
      <c r="N3151" s="1" t="n"/>
      <c r="O3151" s="1" t="n"/>
      <c r="P3151" s="1" t="n"/>
      <c r="Q3151" s="1" t="n"/>
      <c r="R3151" s="1" t="n"/>
    </row>
    <row r="3152">
      <c r="A3152" s="61" t="n"/>
      <c r="B3152" s="16" t="n"/>
      <c r="C3152" s="90" t="n"/>
      <c r="D3152" s="90" t="n"/>
      <c r="E3152" s="90" t="n"/>
      <c r="F3152" s="16" t="n"/>
      <c r="G3152" s="16" t="n"/>
      <c r="H3152" s="63" t="n"/>
      <c r="I3152" s="64" t="n"/>
      <c r="J3152" s="16" t="n"/>
      <c r="K3152" s="16" t="n"/>
      <c r="M3152" s="89" t="n"/>
      <c r="N3152" s="1" t="n"/>
      <c r="O3152" s="1" t="n"/>
      <c r="P3152" s="1" t="n"/>
      <c r="Q3152" s="1" t="n"/>
      <c r="R3152" s="1" t="n"/>
    </row>
    <row r="3153">
      <c r="A3153" s="61" t="n"/>
      <c r="B3153" s="16" t="n"/>
      <c r="C3153" s="90" t="n"/>
      <c r="D3153" s="90" t="n"/>
      <c r="E3153" s="90" t="n"/>
      <c r="F3153" s="16" t="n"/>
      <c r="G3153" s="16" t="n"/>
      <c r="H3153" s="63" t="n"/>
      <c r="I3153" s="64" t="n"/>
      <c r="J3153" s="16" t="n"/>
      <c r="K3153" s="16" t="n"/>
      <c r="M3153" s="89" t="n"/>
      <c r="N3153" s="1" t="n"/>
      <c r="O3153" s="1" t="n"/>
      <c r="P3153" s="1" t="n"/>
      <c r="Q3153" s="1" t="n"/>
      <c r="R3153" s="1" t="n"/>
    </row>
    <row r="3154">
      <c r="A3154" s="61" t="n"/>
      <c r="B3154" s="16" t="n"/>
      <c r="C3154" s="90" t="n"/>
      <c r="D3154" s="90" t="n"/>
      <c r="E3154" s="90" t="n"/>
      <c r="F3154" s="16" t="n"/>
      <c r="G3154" s="16" t="n"/>
      <c r="H3154" s="63" t="n"/>
      <c r="I3154" s="64" t="n"/>
      <c r="J3154" s="16" t="n"/>
      <c r="K3154" s="16" t="n"/>
      <c r="M3154" s="89" t="n"/>
      <c r="N3154" s="1" t="n"/>
      <c r="O3154" s="1" t="n"/>
      <c r="P3154" s="1" t="n"/>
      <c r="Q3154" s="1" t="n"/>
      <c r="R3154" s="1" t="n"/>
    </row>
    <row r="3155">
      <c r="A3155" s="61" t="n"/>
      <c r="B3155" s="16" t="n"/>
      <c r="C3155" s="90" t="n"/>
      <c r="D3155" s="90" t="n"/>
      <c r="E3155" s="90" t="n"/>
      <c r="F3155" s="16" t="n"/>
      <c r="G3155" s="16" t="n"/>
      <c r="H3155" s="63" t="n"/>
      <c r="I3155" s="64" t="n"/>
      <c r="J3155" s="16" t="n"/>
      <c r="K3155" s="16" t="n"/>
      <c r="M3155" s="89" t="n"/>
      <c r="N3155" s="1" t="n"/>
      <c r="O3155" s="1" t="n"/>
      <c r="P3155" s="1" t="n"/>
      <c r="Q3155" s="1" t="n"/>
      <c r="R3155" s="1" t="n"/>
    </row>
    <row r="3156">
      <c r="A3156" s="61" t="n"/>
      <c r="B3156" s="16" t="n"/>
      <c r="C3156" s="90" t="n"/>
      <c r="D3156" s="90" t="n"/>
      <c r="E3156" s="90" t="n"/>
      <c r="F3156" s="16" t="n"/>
      <c r="G3156" s="16" t="n"/>
      <c r="H3156" s="63" t="n"/>
      <c r="I3156" s="64" t="n"/>
      <c r="J3156" s="16" t="n"/>
      <c r="K3156" s="16" t="n"/>
      <c r="M3156" s="89" t="n"/>
      <c r="N3156" s="1" t="n"/>
      <c r="O3156" s="1" t="n"/>
      <c r="P3156" s="1" t="n"/>
      <c r="Q3156" s="1" t="n"/>
      <c r="R3156" s="1" t="n"/>
    </row>
    <row r="3157">
      <c r="A3157" s="61" t="n"/>
      <c r="B3157" s="16" t="n"/>
      <c r="C3157" s="90" t="n"/>
      <c r="D3157" s="90" t="n"/>
      <c r="E3157" s="90" t="n"/>
      <c r="F3157" s="16" t="n"/>
      <c r="G3157" s="16" t="n"/>
      <c r="H3157" s="63" t="n"/>
      <c r="I3157" s="64" t="n"/>
      <c r="J3157" s="16" t="n"/>
      <c r="K3157" s="16" t="n"/>
      <c r="M3157" s="89" t="n"/>
      <c r="N3157" s="1" t="n"/>
      <c r="O3157" s="1" t="n"/>
      <c r="P3157" s="1" t="n"/>
      <c r="Q3157" s="1" t="n"/>
      <c r="R3157" s="1" t="n"/>
    </row>
    <row r="3158">
      <c r="A3158" s="61" t="n"/>
      <c r="B3158" s="16" t="n"/>
      <c r="C3158" s="90" t="n"/>
      <c r="D3158" s="90" t="n"/>
      <c r="E3158" s="90" t="n"/>
      <c r="F3158" s="16" t="n"/>
      <c r="G3158" s="16" t="n"/>
      <c r="H3158" s="63" t="n"/>
      <c r="I3158" s="64" t="n"/>
      <c r="J3158" s="16" t="n"/>
      <c r="K3158" s="16" t="n"/>
      <c r="M3158" s="89" t="n"/>
      <c r="N3158" s="1" t="n"/>
      <c r="O3158" s="1" t="n"/>
      <c r="P3158" s="1" t="n"/>
      <c r="Q3158" s="1" t="n"/>
      <c r="R3158" s="1" t="n"/>
    </row>
    <row r="3159">
      <c r="A3159" s="61" t="n"/>
      <c r="B3159" s="16" t="n"/>
      <c r="C3159" s="90" t="n"/>
      <c r="D3159" s="90" t="n"/>
      <c r="E3159" s="90" t="n"/>
      <c r="F3159" s="16" t="n"/>
      <c r="G3159" s="16" t="n"/>
      <c r="H3159" s="63" t="n"/>
      <c r="I3159" s="64" t="n"/>
      <c r="J3159" s="16" t="n"/>
      <c r="K3159" s="16" t="n"/>
      <c r="M3159" s="89" t="n"/>
      <c r="N3159" s="1" t="n"/>
      <c r="O3159" s="1" t="n"/>
      <c r="P3159" s="1" t="n"/>
      <c r="Q3159" s="1" t="n"/>
      <c r="R3159" s="1" t="n"/>
    </row>
    <row r="3160">
      <c r="A3160" s="61" t="n"/>
      <c r="B3160" s="16" t="n"/>
      <c r="C3160" s="90" t="n"/>
      <c r="D3160" s="90" t="n"/>
      <c r="E3160" s="90" t="n"/>
      <c r="F3160" s="16" t="n"/>
      <c r="G3160" s="16" t="n"/>
      <c r="H3160" s="63" t="n"/>
      <c r="I3160" s="64" t="n"/>
      <c r="J3160" s="16" t="n"/>
      <c r="K3160" s="16" t="n"/>
      <c r="M3160" s="89" t="n"/>
      <c r="N3160" s="1" t="n"/>
      <c r="O3160" s="1" t="n"/>
      <c r="P3160" s="1" t="n"/>
      <c r="Q3160" s="1" t="n"/>
      <c r="R3160" s="1" t="n"/>
    </row>
    <row r="3161">
      <c r="A3161" s="61" t="n"/>
      <c r="B3161" s="16" t="n"/>
      <c r="C3161" s="90" t="n"/>
      <c r="D3161" s="90" t="n"/>
      <c r="E3161" s="90" t="n"/>
      <c r="F3161" s="16" t="n"/>
      <c r="G3161" s="16" t="n"/>
      <c r="H3161" s="63" t="n"/>
      <c r="I3161" s="64" t="n"/>
      <c r="J3161" s="16" t="n"/>
      <c r="K3161" s="16" t="n"/>
      <c r="M3161" s="89" t="n"/>
      <c r="N3161" s="1" t="n"/>
      <c r="O3161" s="1" t="n"/>
      <c r="P3161" s="1" t="n"/>
      <c r="Q3161" s="1" t="n"/>
      <c r="R3161" s="1" t="n"/>
    </row>
    <row r="3162">
      <c r="A3162" s="61" t="n"/>
      <c r="B3162" s="16" t="n"/>
      <c r="C3162" s="90" t="n"/>
      <c r="D3162" s="90" t="n"/>
      <c r="E3162" s="90" t="n"/>
      <c r="F3162" s="16" t="n"/>
      <c r="G3162" s="16" t="n"/>
      <c r="H3162" s="63" t="n"/>
      <c r="I3162" s="64" t="n"/>
      <c r="J3162" s="16" t="n"/>
      <c r="K3162" s="16" t="n"/>
      <c r="M3162" s="89" t="n"/>
      <c r="N3162" s="1" t="n"/>
      <c r="O3162" s="1" t="n"/>
      <c r="P3162" s="1" t="n"/>
      <c r="Q3162" s="1" t="n"/>
      <c r="R3162" s="1" t="n"/>
    </row>
    <row r="3163">
      <c r="A3163" s="61" t="n"/>
      <c r="B3163" s="16" t="n"/>
      <c r="C3163" s="90" t="n"/>
      <c r="D3163" s="90" t="n"/>
      <c r="E3163" s="90" t="n"/>
      <c r="F3163" s="16" t="n"/>
      <c r="G3163" s="16" t="n"/>
      <c r="H3163" s="63" t="n"/>
      <c r="I3163" s="64" t="n"/>
      <c r="J3163" s="16" t="n"/>
      <c r="K3163" s="16" t="n"/>
      <c r="M3163" s="89" t="n"/>
      <c r="N3163" s="1" t="n"/>
      <c r="O3163" s="1" t="n"/>
      <c r="P3163" s="1" t="n"/>
      <c r="Q3163" s="1" t="n"/>
      <c r="R3163" s="1" t="n"/>
    </row>
    <row r="3164">
      <c r="A3164" s="61" t="n"/>
      <c r="B3164" s="16" t="n"/>
      <c r="C3164" s="90" t="n"/>
      <c r="D3164" s="90" t="n"/>
      <c r="E3164" s="90" t="n"/>
      <c r="F3164" s="16" t="n"/>
      <c r="G3164" s="16" t="n"/>
      <c r="H3164" s="63" t="n"/>
      <c r="I3164" s="64" t="n"/>
      <c r="J3164" s="16" t="n"/>
      <c r="K3164" s="16" t="n"/>
      <c r="M3164" s="89" t="n"/>
      <c r="N3164" s="1" t="n"/>
      <c r="O3164" s="1" t="n"/>
      <c r="P3164" s="1" t="n"/>
      <c r="Q3164" s="1" t="n"/>
      <c r="R3164" s="1" t="n"/>
    </row>
    <row r="3165">
      <c r="A3165" s="61" t="n"/>
      <c r="B3165" s="16" t="n"/>
      <c r="C3165" s="90" t="n"/>
      <c r="D3165" s="90" t="n"/>
      <c r="E3165" s="90" t="n"/>
      <c r="F3165" s="16" t="n"/>
      <c r="G3165" s="16" t="n"/>
      <c r="H3165" s="63" t="n"/>
      <c r="I3165" s="64" t="n"/>
      <c r="J3165" s="16" t="n"/>
      <c r="K3165" s="16" t="n"/>
      <c r="M3165" s="89" t="n"/>
      <c r="N3165" s="1" t="n"/>
      <c r="O3165" s="1" t="n"/>
      <c r="P3165" s="1" t="n"/>
      <c r="Q3165" s="1" t="n"/>
      <c r="R3165" s="1" t="n"/>
    </row>
    <row r="3166">
      <c r="A3166" s="61" t="n"/>
      <c r="B3166" s="16" t="n"/>
      <c r="C3166" s="90" t="n"/>
      <c r="D3166" s="90" t="n"/>
      <c r="E3166" s="90" t="n"/>
      <c r="F3166" s="16" t="n"/>
      <c r="G3166" s="16" t="n"/>
      <c r="H3166" s="63" t="n"/>
      <c r="I3166" s="64" t="n"/>
      <c r="J3166" s="16" t="n"/>
      <c r="K3166" s="16" t="n"/>
      <c r="M3166" s="89" t="n"/>
      <c r="N3166" s="1" t="n"/>
      <c r="O3166" s="1" t="n"/>
      <c r="P3166" s="1" t="n"/>
      <c r="Q3166" s="1" t="n"/>
      <c r="R3166" s="1" t="n"/>
    </row>
    <row r="3167">
      <c r="A3167" s="61" t="n"/>
      <c r="B3167" s="16" t="n"/>
      <c r="C3167" s="90" t="n"/>
      <c r="D3167" s="90" t="n"/>
      <c r="E3167" s="90" t="n"/>
      <c r="F3167" s="16" t="n"/>
      <c r="G3167" s="16" t="n"/>
      <c r="H3167" s="63" t="n"/>
      <c r="I3167" s="64" t="n"/>
      <c r="J3167" s="16" t="n"/>
      <c r="K3167" s="16" t="n"/>
      <c r="M3167" s="89" t="n"/>
      <c r="N3167" s="1" t="n"/>
      <c r="O3167" s="1" t="n"/>
      <c r="P3167" s="1" t="n"/>
      <c r="Q3167" s="1" t="n"/>
      <c r="R3167" s="1" t="n"/>
    </row>
    <row r="3168">
      <c r="A3168" s="61" t="n"/>
      <c r="B3168" s="16" t="n"/>
      <c r="C3168" s="90" t="n"/>
      <c r="D3168" s="90" t="n"/>
      <c r="E3168" s="90" t="n"/>
      <c r="F3168" s="16" t="n"/>
      <c r="G3168" s="16" t="n"/>
      <c r="H3168" s="63" t="n"/>
      <c r="I3168" s="64" t="n"/>
      <c r="J3168" s="16" t="n"/>
      <c r="K3168" s="16" t="n"/>
      <c r="M3168" s="89" t="n"/>
      <c r="N3168" s="1" t="n"/>
      <c r="O3168" s="1" t="n"/>
      <c r="P3168" s="1" t="n"/>
      <c r="Q3168" s="1" t="n"/>
      <c r="R3168" s="1" t="n"/>
    </row>
    <row r="3169">
      <c r="A3169" s="61" t="n"/>
      <c r="B3169" s="16" t="n"/>
      <c r="C3169" s="90" t="n"/>
      <c r="D3169" s="90" t="n"/>
      <c r="E3169" s="90" t="n"/>
      <c r="F3169" s="16" t="n"/>
      <c r="G3169" s="16" t="n"/>
      <c r="H3169" s="63" t="n"/>
      <c r="I3169" s="64" t="n"/>
      <c r="J3169" s="16" t="n"/>
      <c r="K3169" s="16" t="n"/>
      <c r="M3169" s="89" t="n"/>
      <c r="N3169" s="1" t="n"/>
      <c r="O3169" s="1" t="n"/>
      <c r="P3169" s="1" t="n"/>
      <c r="Q3169" s="1" t="n"/>
      <c r="R3169" s="1" t="n"/>
    </row>
    <row r="3170">
      <c r="A3170" s="61" t="n"/>
      <c r="B3170" s="16" t="n"/>
      <c r="C3170" s="90" t="n"/>
      <c r="D3170" s="90" t="n"/>
      <c r="E3170" s="90" t="n"/>
      <c r="F3170" s="16" t="n"/>
      <c r="G3170" s="16" t="n"/>
      <c r="H3170" s="63" t="n"/>
      <c r="I3170" s="64" t="n"/>
      <c r="J3170" s="16" t="n"/>
      <c r="K3170" s="16" t="n"/>
      <c r="M3170" s="89" t="n"/>
      <c r="N3170" s="1" t="n"/>
      <c r="O3170" s="1" t="n"/>
      <c r="P3170" s="1" t="n"/>
      <c r="Q3170" s="1" t="n"/>
      <c r="R3170" s="1" t="n"/>
    </row>
    <row r="3171">
      <c r="A3171" s="61" t="n"/>
      <c r="B3171" s="16" t="n"/>
      <c r="C3171" s="90" t="n"/>
      <c r="D3171" s="90" t="n"/>
      <c r="E3171" s="90" t="n"/>
      <c r="F3171" s="16" t="n"/>
      <c r="G3171" s="16" t="n"/>
      <c r="H3171" s="63" t="n"/>
      <c r="I3171" s="64" t="n"/>
      <c r="J3171" s="16" t="n"/>
      <c r="K3171" s="16" t="n"/>
      <c r="M3171" s="89" t="n"/>
      <c r="N3171" s="1" t="n"/>
      <c r="O3171" s="1" t="n"/>
      <c r="P3171" s="1" t="n"/>
      <c r="Q3171" s="1" t="n"/>
      <c r="R3171" s="1" t="n"/>
    </row>
    <row r="3172">
      <c r="A3172" s="61" t="n"/>
      <c r="B3172" s="16" t="n"/>
      <c r="C3172" s="90" t="n"/>
      <c r="D3172" s="90" t="n"/>
      <c r="E3172" s="90" t="n"/>
      <c r="F3172" s="16" t="n"/>
      <c r="G3172" s="16" t="n"/>
      <c r="H3172" s="63" t="n"/>
      <c r="I3172" s="64" t="n"/>
      <c r="J3172" s="16" t="n"/>
      <c r="K3172" s="16" t="n"/>
      <c r="M3172" s="89" t="n"/>
      <c r="N3172" s="1" t="n"/>
      <c r="O3172" s="1" t="n"/>
      <c r="P3172" s="1" t="n"/>
      <c r="Q3172" s="1" t="n"/>
      <c r="R3172" s="1" t="n"/>
    </row>
    <row r="3173">
      <c r="A3173" s="61" t="n"/>
      <c r="B3173" s="16" t="n"/>
      <c r="C3173" s="90" t="n"/>
      <c r="D3173" s="90" t="n"/>
      <c r="E3173" s="90" t="n"/>
      <c r="F3173" s="16" t="n"/>
      <c r="G3173" s="16" t="n"/>
      <c r="H3173" s="63" t="n"/>
      <c r="I3173" s="64" t="n"/>
      <c r="J3173" s="16" t="n"/>
      <c r="K3173" s="16" t="n"/>
      <c r="M3173" s="89" t="n"/>
      <c r="N3173" s="1" t="n"/>
      <c r="O3173" s="1" t="n"/>
      <c r="P3173" s="1" t="n"/>
      <c r="Q3173" s="1" t="n"/>
      <c r="R3173" s="1" t="n"/>
    </row>
    <row r="3174">
      <c r="A3174" s="61" t="n"/>
      <c r="B3174" s="16" t="n"/>
      <c r="C3174" s="90" t="n"/>
      <c r="D3174" s="90" t="n"/>
      <c r="E3174" s="90" t="n"/>
      <c r="F3174" s="16" t="n"/>
      <c r="G3174" s="16" t="n"/>
      <c r="H3174" s="63" t="n"/>
      <c r="I3174" s="64" t="n"/>
      <c r="J3174" s="16" t="n"/>
      <c r="K3174" s="16" t="n"/>
      <c r="M3174" s="89" t="n"/>
      <c r="N3174" s="1" t="n"/>
      <c r="O3174" s="1" t="n"/>
      <c r="P3174" s="1" t="n"/>
      <c r="Q3174" s="1" t="n"/>
      <c r="R3174" s="1" t="n"/>
    </row>
    <row r="3175">
      <c r="A3175" s="61" t="n"/>
      <c r="B3175" s="16" t="n"/>
      <c r="C3175" s="90" t="n"/>
      <c r="D3175" s="90" t="n"/>
      <c r="E3175" s="90" t="n"/>
      <c r="F3175" s="16" t="n"/>
      <c r="G3175" s="16" t="n"/>
      <c r="H3175" s="63" t="n"/>
      <c r="I3175" s="64" t="n"/>
      <c r="J3175" s="16" t="n"/>
      <c r="K3175" s="16" t="n"/>
      <c r="M3175" s="89" t="n"/>
      <c r="N3175" s="1" t="n"/>
      <c r="O3175" s="1" t="n"/>
      <c r="P3175" s="1" t="n"/>
      <c r="Q3175" s="1" t="n"/>
      <c r="R3175" s="1" t="n"/>
    </row>
    <row r="3176">
      <c r="A3176" s="61" t="n"/>
      <c r="B3176" s="16" t="n"/>
      <c r="C3176" s="90" t="n"/>
      <c r="D3176" s="90" t="n"/>
      <c r="E3176" s="90" t="n"/>
      <c r="F3176" s="16" t="n"/>
      <c r="G3176" s="16" t="n"/>
      <c r="H3176" s="63" t="n"/>
      <c r="I3176" s="64" t="n"/>
      <c r="J3176" s="16" t="n"/>
      <c r="K3176" s="16" t="n"/>
      <c r="M3176" s="89" t="n"/>
      <c r="N3176" s="1" t="n"/>
      <c r="O3176" s="1" t="n"/>
      <c r="P3176" s="1" t="n"/>
      <c r="Q3176" s="1" t="n"/>
      <c r="R3176" s="1" t="n"/>
    </row>
    <row r="3177">
      <c r="A3177" s="61" t="n"/>
      <c r="B3177" s="16" t="n"/>
      <c r="C3177" s="90" t="n"/>
      <c r="D3177" s="90" t="n"/>
      <c r="E3177" s="90" t="n"/>
      <c r="F3177" s="16" t="n"/>
      <c r="G3177" s="16" t="n"/>
      <c r="H3177" s="63" t="n"/>
      <c r="I3177" s="64" t="n"/>
      <c r="J3177" s="16" t="n"/>
      <c r="K3177" s="16" t="n"/>
      <c r="M3177" s="89" t="n"/>
      <c r="N3177" s="1" t="n"/>
      <c r="O3177" s="1" t="n"/>
      <c r="P3177" s="1" t="n"/>
      <c r="Q3177" s="1" t="n"/>
      <c r="R3177" s="1" t="n"/>
    </row>
    <row r="3178">
      <c r="A3178" s="61" t="n"/>
      <c r="B3178" s="16" t="n"/>
      <c r="C3178" s="90" t="n"/>
      <c r="D3178" s="90" t="n"/>
      <c r="E3178" s="90" t="n"/>
      <c r="F3178" s="16" t="n"/>
      <c r="G3178" s="16" t="n"/>
      <c r="H3178" s="63" t="n"/>
      <c r="I3178" s="64" t="n"/>
      <c r="J3178" s="16" t="n"/>
      <c r="K3178" s="16" t="n"/>
      <c r="M3178" s="89" t="n"/>
      <c r="N3178" s="1" t="n"/>
      <c r="O3178" s="1" t="n"/>
      <c r="P3178" s="1" t="n"/>
      <c r="Q3178" s="1" t="n"/>
      <c r="R3178" s="1" t="n"/>
    </row>
    <row r="3179">
      <c r="A3179" s="61" t="n"/>
      <c r="B3179" s="16" t="n"/>
      <c r="C3179" s="90" t="n"/>
      <c r="D3179" s="90" t="n"/>
      <c r="E3179" s="90" t="n"/>
      <c r="F3179" s="16" t="n"/>
      <c r="G3179" s="16" t="n"/>
      <c r="H3179" s="63" t="n"/>
      <c r="I3179" s="64" t="n"/>
      <c r="J3179" s="16" t="n"/>
      <c r="K3179" s="16" t="n"/>
      <c r="M3179" s="89" t="n"/>
      <c r="N3179" s="1" t="n"/>
      <c r="O3179" s="1" t="n"/>
      <c r="P3179" s="1" t="n"/>
      <c r="Q3179" s="1" t="n"/>
      <c r="R3179" s="1" t="n"/>
    </row>
    <row r="3180">
      <c r="A3180" s="61" t="n"/>
      <c r="B3180" s="16" t="n"/>
      <c r="C3180" s="90" t="n"/>
      <c r="D3180" s="90" t="n"/>
      <c r="E3180" s="90" t="n"/>
      <c r="F3180" s="16" t="n"/>
      <c r="G3180" s="16" t="n"/>
      <c r="H3180" s="63" t="n"/>
      <c r="I3180" s="64" t="n"/>
      <c r="J3180" s="16" t="n"/>
      <c r="K3180" s="16" t="n"/>
      <c r="M3180" s="89" t="n"/>
      <c r="N3180" s="1" t="n"/>
      <c r="O3180" s="1" t="n"/>
      <c r="P3180" s="1" t="n"/>
      <c r="Q3180" s="1" t="n"/>
      <c r="R3180" s="1" t="n"/>
    </row>
    <row r="3181">
      <c r="A3181" s="61" t="n"/>
      <c r="B3181" s="16" t="n"/>
      <c r="C3181" s="90" t="n"/>
      <c r="D3181" s="90" t="n"/>
      <c r="E3181" s="90" t="n"/>
      <c r="F3181" s="16" t="n"/>
      <c r="G3181" s="16" t="n"/>
      <c r="H3181" s="63" t="n"/>
      <c r="I3181" s="64" t="n"/>
      <c r="J3181" s="16" t="n"/>
      <c r="K3181" s="16" t="n"/>
      <c r="M3181" s="89" t="n"/>
      <c r="N3181" s="1" t="n"/>
      <c r="O3181" s="1" t="n"/>
      <c r="P3181" s="1" t="n"/>
      <c r="Q3181" s="1" t="n"/>
      <c r="R3181" s="1" t="n"/>
    </row>
    <row r="3182">
      <c r="A3182" s="61" t="n"/>
      <c r="B3182" s="16" t="n"/>
      <c r="C3182" s="90" t="n"/>
      <c r="D3182" s="90" t="n"/>
      <c r="E3182" s="90" t="n"/>
      <c r="F3182" s="16" t="n"/>
      <c r="G3182" s="16" t="n"/>
      <c r="H3182" s="63" t="n"/>
      <c r="I3182" s="64" t="n"/>
      <c r="J3182" s="16" t="n"/>
      <c r="K3182" s="16" t="n"/>
      <c r="M3182" s="89" t="n"/>
      <c r="N3182" s="1" t="n"/>
      <c r="O3182" s="1" t="n"/>
      <c r="P3182" s="1" t="n"/>
      <c r="Q3182" s="1" t="n"/>
      <c r="R3182" s="1" t="n"/>
    </row>
    <row r="3183">
      <c r="A3183" s="61" t="n"/>
      <c r="B3183" s="16" t="n"/>
      <c r="C3183" s="90" t="n"/>
      <c r="D3183" s="90" t="n"/>
      <c r="E3183" s="90" t="n"/>
      <c r="F3183" s="16" t="n"/>
      <c r="G3183" s="16" t="n"/>
      <c r="H3183" s="63" t="n"/>
      <c r="I3183" s="64" t="n"/>
      <c r="J3183" s="16" t="n"/>
      <c r="K3183" s="16" t="n"/>
      <c r="M3183" s="89" t="n"/>
      <c r="N3183" s="1" t="n"/>
      <c r="O3183" s="1" t="n"/>
      <c r="P3183" s="1" t="n"/>
      <c r="Q3183" s="1" t="n"/>
      <c r="R3183" s="1" t="n"/>
    </row>
    <row r="3184">
      <c r="A3184" s="61" t="n"/>
      <c r="B3184" s="16" t="n"/>
      <c r="C3184" s="90" t="n"/>
      <c r="D3184" s="90" t="n"/>
      <c r="E3184" s="90" t="n"/>
      <c r="F3184" s="16" t="n"/>
      <c r="G3184" s="16" t="n"/>
      <c r="H3184" s="63" t="n"/>
      <c r="I3184" s="64" t="n"/>
      <c r="J3184" s="16" t="n"/>
      <c r="K3184" s="16" t="n"/>
      <c r="M3184" s="89" t="n"/>
      <c r="N3184" s="1" t="n"/>
      <c r="O3184" s="1" t="n"/>
      <c r="P3184" s="1" t="n"/>
      <c r="Q3184" s="1" t="n"/>
      <c r="R3184" s="1" t="n"/>
    </row>
    <row r="3185">
      <c r="A3185" s="61" t="n"/>
      <c r="B3185" s="16" t="n"/>
      <c r="C3185" s="90" t="n"/>
      <c r="D3185" s="90" t="n"/>
      <c r="E3185" s="90" t="n"/>
      <c r="F3185" s="16" t="n"/>
      <c r="G3185" s="16" t="n"/>
      <c r="H3185" s="63" t="n"/>
      <c r="I3185" s="64" t="n"/>
      <c r="J3185" s="16" t="n"/>
      <c r="K3185" s="16" t="n"/>
      <c r="M3185" s="89" t="n"/>
      <c r="N3185" s="1" t="n"/>
      <c r="O3185" s="1" t="n"/>
      <c r="P3185" s="1" t="n"/>
      <c r="Q3185" s="1" t="n"/>
      <c r="R3185" s="1" t="n"/>
    </row>
    <row r="3186">
      <c r="A3186" s="61" t="n"/>
      <c r="B3186" s="16" t="n"/>
      <c r="C3186" s="90" t="n"/>
      <c r="D3186" s="90" t="n"/>
      <c r="E3186" s="90" t="n"/>
      <c r="F3186" s="16" t="n"/>
      <c r="G3186" s="16" t="n"/>
      <c r="H3186" s="63" t="n"/>
      <c r="I3186" s="64" t="n"/>
      <c r="J3186" s="16" t="n"/>
      <c r="K3186" s="16" t="n"/>
      <c r="M3186" s="89" t="n"/>
      <c r="N3186" s="1" t="n"/>
      <c r="O3186" s="1" t="n"/>
      <c r="P3186" s="1" t="n"/>
      <c r="Q3186" s="1" t="n"/>
      <c r="R3186" s="1" t="n"/>
    </row>
    <row r="3187">
      <c r="A3187" s="61" t="n"/>
      <c r="B3187" s="16" t="n"/>
      <c r="C3187" s="90" t="n"/>
      <c r="D3187" s="90" t="n"/>
      <c r="E3187" s="90" t="n"/>
      <c r="F3187" s="16" t="n"/>
      <c r="G3187" s="16" t="n"/>
      <c r="H3187" s="63" t="n"/>
      <c r="I3187" s="64" t="n"/>
      <c r="J3187" s="16" t="n"/>
      <c r="K3187" s="16" t="n"/>
      <c r="M3187" s="89" t="n"/>
      <c r="N3187" s="1" t="n"/>
      <c r="O3187" s="1" t="n"/>
      <c r="P3187" s="1" t="n"/>
      <c r="Q3187" s="1" t="n"/>
      <c r="R3187" s="1" t="n"/>
    </row>
    <row r="3188">
      <c r="A3188" s="61" t="n"/>
      <c r="B3188" s="16" t="n"/>
      <c r="C3188" s="90" t="n"/>
      <c r="D3188" s="90" t="n"/>
      <c r="E3188" s="90" t="n"/>
      <c r="F3188" s="16" t="n"/>
      <c r="G3188" s="16" t="n"/>
      <c r="H3188" s="63" t="n"/>
      <c r="I3188" s="64" t="n"/>
      <c r="J3188" s="16" t="n"/>
      <c r="K3188" s="16" t="n"/>
      <c r="M3188" s="89" t="n"/>
      <c r="N3188" s="1" t="n"/>
      <c r="O3188" s="1" t="n"/>
      <c r="P3188" s="1" t="n"/>
      <c r="Q3188" s="1" t="n"/>
      <c r="R3188" s="1" t="n"/>
    </row>
    <row r="3189">
      <c r="A3189" s="61" t="n"/>
      <c r="B3189" s="16" t="n"/>
      <c r="C3189" s="90" t="n"/>
      <c r="D3189" s="90" t="n"/>
      <c r="E3189" s="90" t="n"/>
      <c r="F3189" s="16" t="n"/>
      <c r="G3189" s="16" t="n"/>
      <c r="H3189" s="63" t="n"/>
      <c r="I3189" s="64" t="n"/>
      <c r="J3189" s="16" t="n"/>
      <c r="K3189" s="16" t="n"/>
      <c r="M3189" s="89" t="n"/>
      <c r="N3189" s="1" t="n"/>
      <c r="O3189" s="1" t="n"/>
      <c r="P3189" s="1" t="n"/>
      <c r="Q3189" s="1" t="n"/>
      <c r="R3189" s="1" t="n"/>
    </row>
    <row r="3190">
      <c r="A3190" s="61" t="n"/>
      <c r="B3190" s="16" t="n"/>
      <c r="C3190" s="90" t="n"/>
      <c r="D3190" s="90" t="n"/>
      <c r="E3190" s="90" t="n"/>
      <c r="F3190" s="16" t="n"/>
      <c r="G3190" s="16" t="n"/>
      <c r="H3190" s="63" t="n"/>
      <c r="I3190" s="64" t="n"/>
      <c r="J3190" s="16" t="n"/>
      <c r="K3190" s="16" t="n"/>
      <c r="M3190" s="89" t="n"/>
      <c r="N3190" s="1" t="n"/>
      <c r="O3190" s="1" t="n"/>
      <c r="P3190" s="1" t="n"/>
      <c r="Q3190" s="1" t="n"/>
      <c r="R3190" s="1" t="n"/>
    </row>
    <row r="3191">
      <c r="A3191" s="61" t="n"/>
      <c r="B3191" s="16" t="n"/>
      <c r="C3191" s="90" t="n"/>
      <c r="D3191" s="90" t="n"/>
      <c r="E3191" s="90" t="n"/>
      <c r="F3191" s="16" t="n"/>
      <c r="G3191" s="16" t="n"/>
      <c r="H3191" s="63" t="n"/>
      <c r="I3191" s="64" t="n"/>
      <c r="J3191" s="16" t="n"/>
      <c r="K3191" s="16" t="n"/>
      <c r="M3191" s="89" t="n"/>
      <c r="N3191" s="1" t="n"/>
      <c r="O3191" s="1" t="n"/>
      <c r="P3191" s="1" t="n"/>
      <c r="Q3191" s="1" t="n"/>
      <c r="R3191" s="1" t="n"/>
    </row>
    <row r="3192">
      <c r="A3192" s="61" t="n"/>
      <c r="B3192" s="16" t="n"/>
      <c r="C3192" s="90" t="n"/>
      <c r="D3192" s="90" t="n"/>
      <c r="E3192" s="90" t="n"/>
      <c r="F3192" s="16" t="n"/>
      <c r="G3192" s="16" t="n"/>
      <c r="H3192" s="63" t="n"/>
      <c r="I3192" s="64" t="n"/>
      <c r="J3192" s="16" t="n"/>
      <c r="K3192" s="16" t="n"/>
      <c r="M3192" s="89" t="n"/>
      <c r="N3192" s="1" t="n"/>
      <c r="O3192" s="1" t="n"/>
      <c r="P3192" s="1" t="n"/>
      <c r="Q3192" s="1" t="n"/>
      <c r="R3192" s="1" t="n"/>
    </row>
    <row r="3193">
      <c r="A3193" s="61" t="n"/>
      <c r="B3193" s="16" t="n"/>
      <c r="C3193" s="90" t="n"/>
      <c r="D3193" s="90" t="n"/>
      <c r="E3193" s="90" t="n"/>
      <c r="F3193" s="16" t="n"/>
      <c r="G3193" s="16" t="n"/>
      <c r="H3193" s="63" t="n"/>
      <c r="I3193" s="64" t="n"/>
      <c r="J3193" s="16" t="n"/>
      <c r="K3193" s="16" t="n"/>
      <c r="M3193" s="89" t="n"/>
      <c r="N3193" s="1" t="n"/>
      <c r="O3193" s="1" t="n"/>
      <c r="P3193" s="1" t="n"/>
      <c r="Q3193" s="1" t="n"/>
      <c r="R3193" s="1" t="n"/>
    </row>
    <row r="3194">
      <c r="A3194" s="61" t="n"/>
      <c r="B3194" s="16" t="n"/>
      <c r="C3194" s="90" t="n"/>
      <c r="D3194" s="90" t="n"/>
      <c r="E3194" s="90" t="n"/>
      <c r="F3194" s="16" t="n"/>
      <c r="G3194" s="16" t="n"/>
      <c r="H3194" s="63" t="n"/>
      <c r="I3194" s="64" t="n"/>
      <c r="J3194" s="16" t="n"/>
      <c r="K3194" s="16" t="n"/>
      <c r="M3194" s="89" t="n"/>
      <c r="N3194" s="1" t="n"/>
      <c r="O3194" s="1" t="n"/>
      <c r="P3194" s="1" t="n"/>
      <c r="Q3194" s="1" t="n"/>
      <c r="R3194" s="1" t="n"/>
    </row>
    <row r="3195">
      <c r="A3195" s="61" t="n"/>
      <c r="B3195" s="16" t="n"/>
      <c r="C3195" s="90" t="n"/>
      <c r="D3195" s="90" t="n"/>
      <c r="E3195" s="90" t="n"/>
      <c r="F3195" s="16" t="n"/>
      <c r="G3195" s="16" t="n"/>
      <c r="H3195" s="63" t="n"/>
      <c r="I3195" s="64" t="n"/>
      <c r="J3195" s="16" t="n"/>
      <c r="K3195" s="16" t="n"/>
      <c r="M3195" s="89" t="n"/>
      <c r="N3195" s="1" t="n"/>
      <c r="O3195" s="1" t="n"/>
      <c r="P3195" s="1" t="n"/>
      <c r="Q3195" s="1" t="n"/>
      <c r="R3195" s="1" t="n"/>
    </row>
    <row r="3196">
      <c r="A3196" s="61" t="n"/>
      <c r="B3196" s="16" t="n"/>
      <c r="C3196" s="90" t="n"/>
      <c r="D3196" s="90" t="n"/>
      <c r="E3196" s="90" t="n"/>
      <c r="F3196" s="16" t="n"/>
      <c r="G3196" s="16" t="n"/>
      <c r="H3196" s="63" t="n"/>
      <c r="I3196" s="64" t="n"/>
      <c r="J3196" s="16" t="n"/>
      <c r="K3196" s="16" t="n"/>
      <c r="M3196" s="89" t="n"/>
      <c r="N3196" s="1" t="n"/>
      <c r="O3196" s="1" t="n"/>
      <c r="P3196" s="1" t="n"/>
      <c r="Q3196" s="1" t="n"/>
      <c r="R3196" s="1" t="n"/>
    </row>
    <row r="3197">
      <c r="A3197" s="61" t="n"/>
      <c r="B3197" s="16" t="n"/>
      <c r="C3197" s="90" t="n"/>
      <c r="D3197" s="90" t="n"/>
      <c r="E3197" s="90" t="n"/>
      <c r="F3197" s="16" t="n"/>
      <c r="G3197" s="16" t="n"/>
      <c r="H3197" s="63" t="n"/>
      <c r="I3197" s="64" t="n"/>
      <c r="J3197" s="16" t="n"/>
      <c r="K3197" s="16" t="n"/>
      <c r="M3197" s="89" t="n"/>
      <c r="N3197" s="1" t="n"/>
      <c r="O3197" s="1" t="n"/>
      <c r="P3197" s="1" t="n"/>
      <c r="Q3197" s="1" t="n"/>
      <c r="R3197" s="1" t="n"/>
    </row>
    <row r="3198">
      <c r="A3198" s="61" t="n"/>
      <c r="B3198" s="16" t="n"/>
      <c r="C3198" s="90" t="n"/>
      <c r="D3198" s="90" t="n"/>
      <c r="E3198" s="90" t="n"/>
      <c r="F3198" s="16" t="n"/>
      <c r="G3198" s="16" t="n"/>
      <c r="H3198" s="63" t="n"/>
      <c r="I3198" s="64" t="n"/>
      <c r="J3198" s="16" t="n"/>
      <c r="K3198" s="16" t="n"/>
      <c r="M3198" s="89" t="n"/>
      <c r="N3198" s="1" t="n"/>
      <c r="O3198" s="1" t="n"/>
      <c r="P3198" s="1" t="n"/>
      <c r="Q3198" s="1" t="n"/>
      <c r="R3198" s="1" t="n"/>
    </row>
    <row r="3199">
      <c r="A3199" s="61" t="n"/>
      <c r="B3199" s="16" t="n"/>
      <c r="C3199" s="90" t="n"/>
      <c r="D3199" s="90" t="n"/>
      <c r="E3199" s="90" t="n"/>
      <c r="F3199" s="16" t="n"/>
      <c r="G3199" s="16" t="n"/>
      <c r="H3199" s="63" t="n"/>
      <c r="I3199" s="64" t="n"/>
      <c r="J3199" s="16" t="n"/>
      <c r="K3199" s="16" t="n"/>
      <c r="M3199" s="89" t="n"/>
      <c r="N3199" s="1" t="n"/>
      <c r="O3199" s="1" t="n"/>
      <c r="P3199" s="1" t="n"/>
      <c r="Q3199" s="1" t="n"/>
      <c r="R3199" s="1" t="n"/>
    </row>
    <row r="3200">
      <c r="A3200" s="61" t="n"/>
      <c r="B3200" s="16" t="n"/>
      <c r="C3200" s="90" t="n"/>
      <c r="D3200" s="90" t="n"/>
      <c r="E3200" s="90" t="n"/>
      <c r="F3200" s="16" t="n"/>
      <c r="G3200" s="16" t="n"/>
      <c r="H3200" s="63" t="n"/>
      <c r="I3200" s="64" t="n"/>
      <c r="J3200" s="16" t="n"/>
      <c r="K3200" s="16" t="n"/>
      <c r="M3200" s="89" t="n"/>
      <c r="N3200" s="1" t="n"/>
      <c r="O3200" s="1" t="n"/>
      <c r="P3200" s="1" t="n"/>
      <c r="Q3200" s="1" t="n"/>
      <c r="R3200" s="1" t="n"/>
    </row>
    <row r="3201">
      <c r="A3201" s="61" t="n"/>
      <c r="B3201" s="16" t="n"/>
      <c r="C3201" s="90" t="n"/>
      <c r="D3201" s="90" t="n"/>
      <c r="E3201" s="90" t="n"/>
      <c r="F3201" s="16" t="n"/>
      <c r="G3201" s="16" t="n"/>
      <c r="H3201" s="63" t="n"/>
      <c r="I3201" s="64" t="n"/>
      <c r="J3201" s="16" t="n"/>
      <c r="K3201" s="16" t="n"/>
      <c r="M3201" s="89" t="n"/>
      <c r="N3201" s="1" t="n"/>
      <c r="O3201" s="1" t="n"/>
      <c r="P3201" s="1" t="n"/>
      <c r="Q3201" s="1" t="n"/>
      <c r="R3201" s="1" t="n"/>
    </row>
    <row r="3202">
      <c r="A3202" s="61" t="n"/>
      <c r="B3202" s="16" t="n"/>
      <c r="C3202" s="90" t="n"/>
      <c r="D3202" s="90" t="n"/>
      <c r="E3202" s="90" t="n"/>
      <c r="F3202" s="16" t="n"/>
      <c r="G3202" s="16" t="n"/>
      <c r="H3202" s="63" t="n"/>
      <c r="I3202" s="64" t="n"/>
      <c r="J3202" s="16" t="n"/>
      <c r="K3202" s="16" t="n"/>
      <c r="M3202" s="89" t="n"/>
      <c r="N3202" s="1" t="n"/>
      <c r="O3202" s="1" t="n"/>
      <c r="P3202" s="1" t="n"/>
      <c r="Q3202" s="1" t="n"/>
      <c r="R3202" s="1" t="n"/>
    </row>
    <row r="3203">
      <c r="A3203" s="61" t="n"/>
      <c r="B3203" s="16" t="n"/>
      <c r="C3203" s="90" t="n"/>
      <c r="D3203" s="90" t="n"/>
      <c r="E3203" s="90" t="n"/>
      <c r="F3203" s="16" t="n"/>
      <c r="G3203" s="16" t="n"/>
      <c r="H3203" s="63" t="n"/>
      <c r="I3203" s="64" t="n"/>
      <c r="J3203" s="16" t="n"/>
      <c r="K3203" s="16" t="n"/>
      <c r="M3203" s="89" t="n"/>
      <c r="N3203" s="1" t="n"/>
      <c r="O3203" s="1" t="n"/>
      <c r="P3203" s="1" t="n"/>
      <c r="Q3203" s="1" t="n"/>
      <c r="R3203" s="1" t="n"/>
    </row>
    <row r="3204">
      <c r="A3204" s="61" t="n"/>
      <c r="B3204" s="16" t="n"/>
      <c r="C3204" s="90" t="n"/>
      <c r="D3204" s="90" t="n"/>
      <c r="E3204" s="90" t="n"/>
      <c r="F3204" s="16" t="n"/>
      <c r="G3204" s="16" t="n"/>
      <c r="H3204" s="63" t="n"/>
      <c r="I3204" s="64" t="n"/>
      <c r="J3204" s="16" t="n"/>
      <c r="K3204" s="16" t="n"/>
      <c r="M3204" s="89" t="n"/>
      <c r="N3204" s="1" t="n"/>
      <c r="O3204" s="1" t="n"/>
      <c r="P3204" s="1" t="n"/>
      <c r="Q3204" s="1" t="n"/>
      <c r="R3204" s="1" t="n"/>
    </row>
    <row r="3205">
      <c r="A3205" s="61" t="n"/>
      <c r="B3205" s="16" t="n"/>
      <c r="C3205" s="90" t="n"/>
      <c r="D3205" s="90" t="n"/>
      <c r="E3205" s="90" t="n"/>
      <c r="F3205" s="16" t="n"/>
      <c r="G3205" s="16" t="n"/>
      <c r="H3205" s="63" t="n"/>
      <c r="I3205" s="64" t="n"/>
      <c r="J3205" s="16" t="n"/>
      <c r="K3205" s="16" t="n"/>
      <c r="M3205" s="89" t="n"/>
      <c r="N3205" s="1" t="n"/>
      <c r="O3205" s="1" t="n"/>
      <c r="P3205" s="1" t="n"/>
      <c r="Q3205" s="1" t="n"/>
      <c r="R3205" s="1" t="n"/>
    </row>
    <row r="3206">
      <c r="A3206" s="61" t="n"/>
      <c r="B3206" s="16" t="n"/>
      <c r="C3206" s="90" t="n"/>
      <c r="D3206" s="90" t="n"/>
      <c r="E3206" s="90" t="n"/>
      <c r="F3206" s="16" t="n"/>
      <c r="G3206" s="16" t="n"/>
      <c r="H3206" s="63" t="n"/>
      <c r="I3206" s="64" t="n"/>
      <c r="J3206" s="16" t="n"/>
      <c r="K3206" s="16" t="n"/>
      <c r="M3206" s="89" t="n"/>
      <c r="N3206" s="1" t="n"/>
      <c r="O3206" s="1" t="n"/>
      <c r="P3206" s="1" t="n"/>
      <c r="Q3206" s="1" t="n"/>
      <c r="R3206" s="1" t="n"/>
    </row>
    <row r="3207">
      <c r="A3207" s="61" t="n"/>
      <c r="B3207" s="16" t="n"/>
      <c r="C3207" s="90" t="n"/>
      <c r="D3207" s="90" t="n"/>
      <c r="E3207" s="90" t="n"/>
      <c r="F3207" s="16" t="n"/>
      <c r="G3207" s="16" t="n"/>
      <c r="H3207" s="63" t="n"/>
      <c r="I3207" s="64" t="n"/>
      <c r="J3207" s="16" t="n"/>
      <c r="K3207" s="16" t="n"/>
      <c r="M3207" s="89" t="n"/>
      <c r="N3207" s="1" t="n"/>
      <c r="O3207" s="1" t="n"/>
      <c r="P3207" s="1" t="n"/>
      <c r="Q3207" s="1" t="n"/>
      <c r="R3207" s="1" t="n"/>
    </row>
    <row r="3208">
      <c r="A3208" s="61" t="n"/>
      <c r="B3208" s="16" t="n"/>
      <c r="C3208" s="90" t="n"/>
      <c r="D3208" s="90" t="n"/>
      <c r="E3208" s="90" t="n"/>
      <c r="F3208" s="16" t="n"/>
      <c r="G3208" s="16" t="n"/>
      <c r="H3208" s="63" t="n"/>
      <c r="I3208" s="64" t="n"/>
      <c r="J3208" s="16" t="n"/>
      <c r="K3208" s="16" t="n"/>
      <c r="M3208" s="89" t="n"/>
      <c r="N3208" s="1" t="n"/>
      <c r="O3208" s="1" t="n"/>
      <c r="P3208" s="1" t="n"/>
      <c r="Q3208" s="1" t="n"/>
      <c r="R3208" s="1" t="n"/>
    </row>
    <row r="3209">
      <c r="A3209" s="61" t="n"/>
      <c r="B3209" s="16" t="n"/>
      <c r="C3209" s="90" t="n"/>
      <c r="D3209" s="90" t="n"/>
      <c r="E3209" s="90" t="n"/>
      <c r="F3209" s="16" t="n"/>
      <c r="G3209" s="16" t="n"/>
      <c r="H3209" s="63" t="n"/>
      <c r="I3209" s="64" t="n"/>
      <c r="J3209" s="16" t="n"/>
      <c r="K3209" s="16" t="n"/>
      <c r="M3209" s="89" t="n"/>
      <c r="N3209" s="1" t="n"/>
      <c r="O3209" s="1" t="n"/>
      <c r="P3209" s="1" t="n"/>
      <c r="Q3209" s="1" t="n"/>
      <c r="R3209" s="1" t="n"/>
    </row>
    <row r="3210">
      <c r="A3210" s="61" t="n"/>
      <c r="B3210" s="16" t="n"/>
      <c r="C3210" s="90" t="n"/>
      <c r="D3210" s="90" t="n"/>
      <c r="E3210" s="90" t="n"/>
      <c r="F3210" s="16" t="n"/>
      <c r="G3210" s="16" t="n"/>
      <c r="H3210" s="63" t="n"/>
      <c r="I3210" s="64" t="n"/>
      <c r="J3210" s="16" t="n"/>
      <c r="K3210" s="16" t="n"/>
      <c r="M3210" s="89" t="n"/>
      <c r="N3210" s="1" t="n"/>
      <c r="O3210" s="1" t="n"/>
      <c r="P3210" s="1" t="n"/>
      <c r="Q3210" s="1" t="n"/>
      <c r="R3210" s="1" t="n"/>
    </row>
    <row r="3211">
      <c r="A3211" s="61" t="n"/>
      <c r="B3211" s="16" t="n"/>
      <c r="C3211" s="90" t="n"/>
      <c r="D3211" s="90" t="n"/>
      <c r="E3211" s="90" t="n"/>
      <c r="F3211" s="16" t="n"/>
      <c r="G3211" s="16" t="n"/>
      <c r="H3211" s="63" t="n"/>
      <c r="I3211" s="64" t="n"/>
      <c r="J3211" s="16" t="n"/>
      <c r="K3211" s="16" t="n"/>
      <c r="M3211" s="89" t="n"/>
      <c r="N3211" s="1" t="n"/>
      <c r="O3211" s="1" t="n"/>
      <c r="P3211" s="1" t="n"/>
      <c r="Q3211" s="1" t="n"/>
      <c r="R3211" s="1" t="n"/>
    </row>
    <row r="3212">
      <c r="A3212" s="61" t="n"/>
      <c r="B3212" s="16" t="n"/>
      <c r="C3212" s="90" t="n"/>
      <c r="D3212" s="90" t="n"/>
      <c r="E3212" s="90" t="n"/>
      <c r="F3212" s="16" t="n"/>
      <c r="G3212" s="16" t="n"/>
      <c r="H3212" s="63" t="n"/>
      <c r="I3212" s="64" t="n"/>
      <c r="J3212" s="16" t="n"/>
      <c r="K3212" s="16" t="n"/>
      <c r="M3212" s="89" t="n"/>
      <c r="N3212" s="1" t="n"/>
      <c r="O3212" s="1" t="n"/>
      <c r="P3212" s="1" t="n"/>
      <c r="Q3212" s="1" t="n"/>
      <c r="R3212" s="1" t="n"/>
    </row>
    <row r="3213">
      <c r="A3213" s="61" t="n"/>
      <c r="B3213" s="16" t="n"/>
      <c r="C3213" s="90" t="n"/>
      <c r="D3213" s="90" t="n"/>
      <c r="E3213" s="90" t="n"/>
      <c r="F3213" s="16" t="n"/>
      <c r="G3213" s="16" t="n"/>
      <c r="H3213" s="63" t="n"/>
      <c r="I3213" s="64" t="n"/>
      <c r="J3213" s="16" t="n"/>
      <c r="K3213" s="16" t="n"/>
      <c r="M3213" s="89" t="n"/>
      <c r="N3213" s="1" t="n"/>
      <c r="O3213" s="1" t="n"/>
      <c r="P3213" s="1" t="n"/>
      <c r="Q3213" s="1" t="n"/>
      <c r="R3213" s="1" t="n"/>
    </row>
    <row r="3214">
      <c r="A3214" s="61" t="n"/>
      <c r="B3214" s="16" t="n"/>
      <c r="C3214" s="90" t="n"/>
      <c r="D3214" s="90" t="n"/>
      <c r="E3214" s="90" t="n"/>
      <c r="F3214" s="16" t="n"/>
      <c r="G3214" s="16" t="n"/>
      <c r="H3214" s="63" t="n"/>
      <c r="I3214" s="64" t="n"/>
      <c r="J3214" s="16" t="n"/>
      <c r="K3214" s="16" t="n"/>
      <c r="M3214" s="89" t="n"/>
      <c r="N3214" s="1" t="n"/>
      <c r="O3214" s="1" t="n"/>
      <c r="P3214" s="1" t="n"/>
      <c r="Q3214" s="1" t="n"/>
      <c r="R3214" s="1" t="n"/>
    </row>
    <row r="3215">
      <c r="A3215" s="61" t="n"/>
      <c r="B3215" s="16" t="n"/>
      <c r="C3215" s="90" t="n"/>
      <c r="D3215" s="90" t="n"/>
      <c r="E3215" s="90" t="n"/>
      <c r="F3215" s="16" t="n"/>
      <c r="G3215" s="16" t="n"/>
      <c r="H3215" s="63" t="n"/>
      <c r="I3215" s="64" t="n"/>
      <c r="J3215" s="16" t="n"/>
      <c r="K3215" s="16" t="n"/>
      <c r="M3215" s="89" t="n"/>
      <c r="N3215" s="1" t="n"/>
      <c r="O3215" s="1" t="n"/>
      <c r="P3215" s="1" t="n"/>
      <c r="Q3215" s="1" t="n"/>
      <c r="R3215" s="1" t="n"/>
    </row>
    <row r="3216">
      <c r="A3216" s="61" t="n"/>
      <c r="B3216" s="16" t="n"/>
      <c r="C3216" s="90" t="n"/>
      <c r="D3216" s="90" t="n"/>
      <c r="E3216" s="90" t="n"/>
      <c r="F3216" s="16" t="n"/>
      <c r="G3216" s="16" t="n"/>
      <c r="H3216" s="63" t="n"/>
      <c r="I3216" s="64" t="n"/>
      <c r="J3216" s="16" t="n"/>
      <c r="K3216" s="16" t="n"/>
      <c r="M3216" s="89" t="n"/>
      <c r="N3216" s="1" t="n"/>
      <c r="O3216" s="1" t="n"/>
      <c r="P3216" s="1" t="n"/>
      <c r="Q3216" s="1" t="n"/>
      <c r="R3216" s="1" t="n"/>
    </row>
    <row r="3217">
      <c r="A3217" s="61" t="n"/>
      <c r="B3217" s="16" t="n"/>
      <c r="C3217" s="90" t="n"/>
      <c r="D3217" s="90" t="n"/>
      <c r="E3217" s="90" t="n"/>
      <c r="F3217" s="16" t="n"/>
      <c r="G3217" s="16" t="n"/>
      <c r="H3217" s="63" t="n"/>
      <c r="I3217" s="64" t="n"/>
      <c r="J3217" s="16" t="n"/>
      <c r="K3217" s="16" t="n"/>
      <c r="M3217" s="89" t="n"/>
      <c r="N3217" s="1" t="n"/>
      <c r="O3217" s="1" t="n"/>
      <c r="P3217" s="1" t="n"/>
      <c r="Q3217" s="1" t="n"/>
      <c r="R3217" s="1" t="n"/>
    </row>
    <row r="3218">
      <c r="A3218" s="61" t="n"/>
      <c r="B3218" s="16" t="n"/>
      <c r="C3218" s="90" t="n"/>
      <c r="D3218" s="90" t="n"/>
      <c r="E3218" s="90" t="n"/>
      <c r="F3218" s="16" t="n"/>
      <c r="G3218" s="16" t="n"/>
      <c r="H3218" s="63" t="n"/>
      <c r="I3218" s="64" t="n"/>
      <c r="J3218" s="16" t="n"/>
      <c r="K3218" s="16" t="n"/>
      <c r="M3218" s="89" t="n"/>
      <c r="N3218" s="1" t="n"/>
      <c r="O3218" s="1" t="n"/>
      <c r="P3218" s="1" t="n"/>
      <c r="Q3218" s="1" t="n"/>
      <c r="R3218" s="1" t="n"/>
    </row>
    <row r="3219">
      <c r="A3219" s="61" t="n"/>
      <c r="B3219" s="16" t="n"/>
      <c r="C3219" s="90" t="n"/>
      <c r="D3219" s="90" t="n"/>
      <c r="E3219" s="90" t="n"/>
      <c r="F3219" s="16" t="n"/>
      <c r="G3219" s="16" t="n"/>
      <c r="H3219" s="63" t="n"/>
      <c r="I3219" s="64" t="n"/>
      <c r="J3219" s="16" t="n"/>
      <c r="K3219" s="16" t="n"/>
      <c r="M3219" s="89" t="n"/>
      <c r="N3219" s="1" t="n"/>
      <c r="O3219" s="1" t="n"/>
      <c r="P3219" s="1" t="n"/>
      <c r="Q3219" s="1" t="n"/>
      <c r="R3219" s="1" t="n"/>
    </row>
    <row r="3220">
      <c r="A3220" s="61" t="n"/>
      <c r="B3220" s="16" t="n"/>
      <c r="C3220" s="90" t="n"/>
      <c r="D3220" s="90" t="n"/>
      <c r="E3220" s="90" t="n"/>
      <c r="F3220" s="16" t="n"/>
      <c r="G3220" s="16" t="n"/>
      <c r="H3220" s="63" t="n"/>
      <c r="I3220" s="64" t="n"/>
      <c r="J3220" s="16" t="n"/>
      <c r="K3220" s="16" t="n"/>
      <c r="M3220" s="89" t="n"/>
      <c r="N3220" s="1" t="n"/>
      <c r="O3220" s="1" t="n"/>
      <c r="P3220" s="1" t="n"/>
      <c r="Q3220" s="1" t="n"/>
      <c r="R3220" s="1" t="n"/>
    </row>
    <row r="3221">
      <c r="A3221" s="61" t="n"/>
      <c r="B3221" s="16" t="n"/>
      <c r="C3221" s="90" t="n"/>
      <c r="D3221" s="90" t="n"/>
      <c r="E3221" s="90" t="n"/>
      <c r="F3221" s="16" t="n"/>
      <c r="G3221" s="16" t="n"/>
      <c r="H3221" s="63" t="n"/>
      <c r="I3221" s="64" t="n"/>
      <c r="J3221" s="16" t="n"/>
      <c r="K3221" s="16" t="n"/>
      <c r="M3221" s="89" t="n"/>
      <c r="N3221" s="1" t="n"/>
      <c r="O3221" s="1" t="n"/>
      <c r="P3221" s="1" t="n"/>
      <c r="Q3221" s="1" t="n"/>
      <c r="R3221" s="1" t="n"/>
    </row>
    <row r="3222">
      <c r="A3222" s="61" t="n"/>
      <c r="B3222" s="16" t="n"/>
      <c r="C3222" s="90" t="n"/>
      <c r="D3222" s="90" t="n"/>
      <c r="E3222" s="90" t="n"/>
      <c r="F3222" s="16" t="n"/>
      <c r="G3222" s="16" t="n"/>
      <c r="H3222" s="63" t="n"/>
      <c r="I3222" s="64" t="n"/>
      <c r="J3222" s="16" t="n"/>
      <c r="K3222" s="16" t="n"/>
      <c r="M3222" s="89" t="n"/>
      <c r="N3222" s="1" t="n"/>
      <c r="O3222" s="1" t="n"/>
      <c r="P3222" s="1" t="n"/>
      <c r="Q3222" s="1" t="n"/>
      <c r="R3222" s="1" t="n"/>
    </row>
    <row r="3223">
      <c r="A3223" s="61" t="n"/>
      <c r="B3223" s="16" t="n"/>
      <c r="C3223" s="90" t="n"/>
      <c r="D3223" s="90" t="n"/>
      <c r="E3223" s="90" t="n"/>
      <c r="F3223" s="16" t="n"/>
      <c r="G3223" s="16" t="n"/>
      <c r="H3223" s="63" t="n"/>
      <c r="I3223" s="64" t="n"/>
      <c r="J3223" s="16" t="n"/>
      <c r="K3223" s="16" t="n"/>
      <c r="M3223" s="89" t="n"/>
      <c r="N3223" s="1" t="n"/>
      <c r="O3223" s="1" t="n"/>
      <c r="P3223" s="1" t="n"/>
      <c r="Q3223" s="1" t="n"/>
      <c r="R3223" s="1" t="n"/>
    </row>
    <row r="3224">
      <c r="A3224" s="61" t="n"/>
      <c r="B3224" s="16" t="n"/>
      <c r="C3224" s="90" t="n"/>
      <c r="D3224" s="90" t="n"/>
      <c r="E3224" s="90" t="n"/>
      <c r="F3224" s="16" t="n"/>
      <c r="G3224" s="16" t="n"/>
      <c r="H3224" s="63" t="n"/>
      <c r="I3224" s="64" t="n"/>
      <c r="J3224" s="16" t="n"/>
      <c r="K3224" s="16" t="n"/>
      <c r="M3224" s="89" t="n"/>
      <c r="N3224" s="1" t="n"/>
      <c r="O3224" s="1" t="n"/>
      <c r="P3224" s="1" t="n"/>
      <c r="Q3224" s="1" t="n"/>
      <c r="R3224" s="1" t="n"/>
    </row>
    <row r="3225">
      <c r="A3225" s="61" t="n"/>
      <c r="B3225" s="16" t="n"/>
      <c r="C3225" s="90" t="n"/>
      <c r="D3225" s="90" t="n"/>
      <c r="E3225" s="90" t="n"/>
      <c r="F3225" s="16" t="n"/>
      <c r="G3225" s="16" t="n"/>
      <c r="H3225" s="63" t="n"/>
      <c r="I3225" s="64" t="n"/>
      <c r="J3225" s="16" t="n"/>
      <c r="K3225" s="16" t="n"/>
      <c r="M3225" s="89" t="n"/>
      <c r="N3225" s="1" t="n"/>
      <c r="O3225" s="1" t="n"/>
      <c r="P3225" s="1" t="n"/>
      <c r="Q3225" s="1" t="n"/>
      <c r="R3225" s="1" t="n"/>
    </row>
    <row r="3226">
      <c r="A3226" s="61" t="n"/>
      <c r="B3226" s="16" t="n"/>
      <c r="C3226" s="90" t="n"/>
      <c r="D3226" s="90" t="n"/>
      <c r="E3226" s="90" t="n"/>
      <c r="F3226" s="16" t="n"/>
      <c r="G3226" s="16" t="n"/>
      <c r="H3226" s="63" t="n"/>
      <c r="I3226" s="64" t="n"/>
      <c r="J3226" s="16" t="n"/>
      <c r="K3226" s="16" t="n"/>
      <c r="M3226" s="89" t="n"/>
      <c r="N3226" s="1" t="n"/>
      <c r="O3226" s="1" t="n"/>
      <c r="P3226" s="1" t="n"/>
      <c r="Q3226" s="1" t="n"/>
      <c r="R3226" s="1" t="n"/>
    </row>
    <row r="3227">
      <c r="A3227" s="61" t="n"/>
      <c r="B3227" s="16" t="n"/>
      <c r="C3227" s="90" t="n"/>
      <c r="D3227" s="90" t="n"/>
      <c r="E3227" s="90" t="n"/>
      <c r="F3227" s="16" t="n"/>
      <c r="G3227" s="16" t="n"/>
      <c r="H3227" s="63" t="n"/>
      <c r="I3227" s="64" t="n"/>
      <c r="J3227" s="16" t="n"/>
      <c r="K3227" s="16" t="n"/>
      <c r="M3227" s="89" t="n"/>
      <c r="N3227" s="1" t="n"/>
      <c r="O3227" s="1" t="n"/>
      <c r="P3227" s="1" t="n"/>
      <c r="Q3227" s="1" t="n"/>
      <c r="R3227" s="1" t="n"/>
    </row>
    <row r="3228">
      <c r="A3228" s="61" t="n"/>
      <c r="B3228" s="16" t="n"/>
      <c r="C3228" s="90" t="n"/>
      <c r="D3228" s="90" t="n"/>
      <c r="E3228" s="90" t="n"/>
      <c r="F3228" s="16" t="n"/>
      <c r="G3228" s="16" t="n"/>
      <c r="H3228" s="63" t="n"/>
      <c r="I3228" s="64" t="n"/>
      <c r="J3228" s="16" t="n"/>
      <c r="K3228" s="16" t="n"/>
      <c r="M3228" s="89" t="n"/>
      <c r="N3228" s="1" t="n"/>
      <c r="O3228" s="1" t="n"/>
      <c r="P3228" s="1" t="n"/>
      <c r="Q3228" s="1" t="n"/>
      <c r="R3228" s="1" t="n"/>
    </row>
    <row r="3229">
      <c r="A3229" s="61" t="n"/>
      <c r="B3229" s="16" t="n"/>
      <c r="C3229" s="90" t="n"/>
      <c r="D3229" s="90" t="n"/>
      <c r="E3229" s="90" t="n"/>
      <c r="F3229" s="16" t="n"/>
      <c r="G3229" s="16" t="n"/>
      <c r="H3229" s="63" t="n"/>
      <c r="I3229" s="64" t="n"/>
      <c r="J3229" s="16" t="n"/>
      <c r="K3229" s="16" t="n"/>
      <c r="M3229" s="89" t="n"/>
      <c r="N3229" s="1" t="n"/>
      <c r="O3229" s="1" t="n"/>
      <c r="P3229" s="1" t="n"/>
      <c r="Q3229" s="1" t="n"/>
      <c r="R3229" s="1" t="n"/>
    </row>
    <row r="3230">
      <c r="A3230" s="61" t="n"/>
      <c r="B3230" s="16" t="n"/>
      <c r="C3230" s="90" t="n"/>
      <c r="D3230" s="90" t="n"/>
      <c r="E3230" s="90" t="n"/>
      <c r="F3230" s="16" t="n"/>
      <c r="G3230" s="16" t="n"/>
      <c r="H3230" s="63" t="n"/>
      <c r="I3230" s="64" t="n"/>
      <c r="J3230" s="16" t="n"/>
      <c r="K3230" s="16" t="n"/>
      <c r="M3230" s="89" t="n"/>
      <c r="N3230" s="1" t="n"/>
      <c r="O3230" s="1" t="n"/>
      <c r="P3230" s="1" t="n"/>
      <c r="Q3230" s="1" t="n"/>
      <c r="R3230" s="1" t="n"/>
    </row>
    <row r="3231">
      <c r="A3231" s="61" t="n"/>
      <c r="B3231" s="16" t="n"/>
      <c r="C3231" s="90" t="n"/>
      <c r="D3231" s="90" t="n"/>
      <c r="E3231" s="90" t="n"/>
      <c r="F3231" s="16" t="n"/>
      <c r="G3231" s="16" t="n"/>
      <c r="H3231" s="63" t="n"/>
      <c r="I3231" s="64" t="n"/>
      <c r="J3231" s="16" t="n"/>
      <c r="K3231" s="16" t="n"/>
      <c r="M3231" s="89" t="n"/>
      <c r="N3231" s="1" t="n"/>
      <c r="O3231" s="1" t="n"/>
      <c r="P3231" s="1" t="n"/>
      <c r="Q3231" s="1" t="n"/>
      <c r="R3231" s="1" t="n"/>
    </row>
    <row r="3232">
      <c r="A3232" s="61" t="n"/>
      <c r="B3232" s="16" t="n"/>
      <c r="C3232" s="90" t="n"/>
      <c r="D3232" s="90" t="n"/>
      <c r="E3232" s="90" t="n"/>
      <c r="F3232" s="16" t="n"/>
      <c r="G3232" s="16" t="n"/>
      <c r="H3232" s="63" t="n"/>
      <c r="I3232" s="64" t="n"/>
      <c r="J3232" s="16" t="n"/>
      <c r="K3232" s="16" t="n"/>
      <c r="M3232" s="89" t="n"/>
      <c r="N3232" s="1" t="n"/>
      <c r="O3232" s="1" t="n"/>
      <c r="P3232" s="1" t="n"/>
      <c r="Q3232" s="1" t="n"/>
      <c r="R3232" s="1" t="n"/>
    </row>
    <row r="3233">
      <c r="A3233" s="61" t="n"/>
      <c r="B3233" s="16" t="n"/>
      <c r="C3233" s="90" t="n"/>
      <c r="D3233" s="90" t="n"/>
      <c r="E3233" s="90" t="n"/>
      <c r="F3233" s="16" t="n"/>
      <c r="G3233" s="16" t="n"/>
      <c r="H3233" s="63" t="n"/>
      <c r="I3233" s="64" t="n"/>
      <c r="J3233" s="16" t="n"/>
      <c r="K3233" s="16" t="n"/>
      <c r="M3233" s="89" t="n"/>
      <c r="N3233" s="1" t="n"/>
      <c r="O3233" s="1" t="n"/>
      <c r="P3233" s="1" t="n"/>
      <c r="Q3233" s="1" t="n"/>
      <c r="R3233" s="1" t="n"/>
    </row>
    <row r="3234">
      <c r="A3234" s="61" t="n"/>
      <c r="B3234" s="16" t="n"/>
      <c r="C3234" s="90" t="n"/>
      <c r="D3234" s="90" t="n"/>
      <c r="E3234" s="90" t="n"/>
      <c r="F3234" s="16" t="n"/>
      <c r="G3234" s="16" t="n"/>
      <c r="H3234" s="63" t="n"/>
      <c r="I3234" s="64" t="n"/>
      <c r="J3234" s="16" t="n"/>
      <c r="K3234" s="16" t="n"/>
      <c r="M3234" s="89" t="n"/>
      <c r="N3234" s="1" t="n"/>
      <c r="O3234" s="1" t="n"/>
      <c r="P3234" s="1" t="n"/>
      <c r="Q3234" s="1" t="n"/>
      <c r="R3234" s="1" t="n"/>
    </row>
    <row r="3235">
      <c r="A3235" s="61" t="n"/>
      <c r="B3235" s="16" t="n"/>
      <c r="C3235" s="90" t="n"/>
      <c r="D3235" s="90" t="n"/>
      <c r="E3235" s="90" t="n"/>
      <c r="F3235" s="16" t="n"/>
      <c r="G3235" s="16" t="n"/>
      <c r="H3235" s="63" t="n"/>
      <c r="I3235" s="64" t="n"/>
      <c r="J3235" s="16" t="n"/>
      <c r="K3235" s="16" t="n"/>
      <c r="M3235" s="89" t="n"/>
      <c r="N3235" s="1" t="n"/>
      <c r="O3235" s="1" t="n"/>
      <c r="P3235" s="1" t="n"/>
      <c r="Q3235" s="1" t="n"/>
      <c r="R3235" s="1" t="n"/>
    </row>
    <row r="3236">
      <c r="A3236" s="61" t="n"/>
      <c r="B3236" s="16" t="n"/>
      <c r="C3236" s="90" t="n"/>
      <c r="D3236" s="90" t="n"/>
      <c r="E3236" s="90" t="n"/>
      <c r="F3236" s="16" t="n"/>
      <c r="G3236" s="16" t="n"/>
      <c r="H3236" s="63" t="n"/>
      <c r="I3236" s="64" t="n"/>
      <c r="J3236" s="16" t="n"/>
      <c r="K3236" s="16" t="n"/>
      <c r="M3236" s="89" t="n"/>
      <c r="N3236" s="1" t="n"/>
      <c r="O3236" s="1" t="n"/>
      <c r="P3236" s="1" t="n"/>
      <c r="Q3236" s="1" t="n"/>
      <c r="R3236" s="1" t="n"/>
    </row>
    <row r="3237">
      <c r="A3237" s="61" t="n"/>
      <c r="B3237" s="16" t="n"/>
      <c r="C3237" s="90" t="n"/>
      <c r="D3237" s="90" t="n"/>
      <c r="E3237" s="90" t="n"/>
      <c r="F3237" s="16" t="n"/>
      <c r="G3237" s="16" t="n"/>
      <c r="H3237" s="63" t="n"/>
      <c r="I3237" s="64" t="n"/>
      <c r="J3237" s="16" t="n"/>
      <c r="K3237" s="16" t="n"/>
      <c r="M3237" s="89" t="n"/>
      <c r="N3237" s="1" t="n"/>
      <c r="O3237" s="1" t="n"/>
      <c r="P3237" s="1" t="n"/>
      <c r="Q3237" s="1" t="n"/>
      <c r="R3237" s="1" t="n"/>
    </row>
    <row r="3238">
      <c r="A3238" s="61" t="n"/>
      <c r="B3238" s="16" t="n"/>
      <c r="C3238" s="90" t="n"/>
      <c r="D3238" s="90" t="n"/>
      <c r="E3238" s="90" t="n"/>
      <c r="F3238" s="16" t="n"/>
      <c r="G3238" s="16" t="n"/>
      <c r="H3238" s="63" t="n"/>
      <c r="I3238" s="64" t="n"/>
      <c r="J3238" s="16" t="n"/>
      <c r="K3238" s="16" t="n"/>
      <c r="M3238" s="89" t="n"/>
      <c r="N3238" s="1" t="n"/>
      <c r="O3238" s="1" t="n"/>
      <c r="P3238" s="1" t="n"/>
      <c r="Q3238" s="1" t="n"/>
      <c r="R3238" s="1" t="n"/>
    </row>
    <row r="3239">
      <c r="A3239" s="61" t="n"/>
      <c r="B3239" s="16" t="n"/>
      <c r="C3239" s="90" t="n"/>
      <c r="D3239" s="90" t="n"/>
      <c r="E3239" s="90" t="n"/>
      <c r="F3239" s="16" t="n"/>
      <c r="G3239" s="16" t="n"/>
      <c r="H3239" s="63" t="n"/>
      <c r="I3239" s="64" t="n"/>
      <c r="J3239" s="16" t="n"/>
      <c r="K3239" s="16" t="n"/>
      <c r="M3239" s="89" t="n"/>
      <c r="N3239" s="1" t="n"/>
      <c r="O3239" s="1" t="n"/>
      <c r="P3239" s="1" t="n"/>
      <c r="Q3239" s="1" t="n"/>
      <c r="R3239" s="1" t="n"/>
    </row>
    <row r="3240">
      <c r="A3240" s="61" t="n"/>
      <c r="B3240" s="16" t="n"/>
      <c r="C3240" s="90" t="n"/>
      <c r="D3240" s="90" t="n"/>
      <c r="E3240" s="90" t="n"/>
      <c r="F3240" s="16" t="n"/>
      <c r="G3240" s="16" t="n"/>
      <c r="H3240" s="63" t="n"/>
      <c r="I3240" s="64" t="n"/>
      <c r="J3240" s="16" t="n"/>
      <c r="K3240" s="16" t="n"/>
      <c r="M3240" s="89" t="n"/>
      <c r="N3240" s="1" t="n"/>
      <c r="O3240" s="1" t="n"/>
      <c r="P3240" s="1" t="n"/>
      <c r="Q3240" s="1" t="n"/>
      <c r="R3240" s="1" t="n"/>
    </row>
    <row r="3241">
      <c r="A3241" s="61" t="n"/>
      <c r="B3241" s="16" t="n"/>
      <c r="C3241" s="90" t="n"/>
      <c r="D3241" s="90" t="n"/>
      <c r="E3241" s="90" t="n"/>
      <c r="F3241" s="16" t="n"/>
      <c r="G3241" s="16" t="n"/>
      <c r="H3241" s="63" t="n"/>
      <c r="I3241" s="64" t="n"/>
      <c r="J3241" s="16" t="n"/>
      <c r="K3241" s="16" t="n"/>
      <c r="M3241" s="89" t="n"/>
      <c r="N3241" s="1" t="n"/>
      <c r="O3241" s="1" t="n"/>
      <c r="P3241" s="1" t="n"/>
      <c r="Q3241" s="1" t="n"/>
      <c r="R3241" s="1" t="n"/>
    </row>
    <row r="3242">
      <c r="A3242" s="61" t="n"/>
      <c r="B3242" s="16" t="n"/>
      <c r="C3242" s="90" t="n"/>
      <c r="D3242" s="90" t="n"/>
      <c r="E3242" s="90" t="n"/>
      <c r="F3242" s="16" t="n"/>
      <c r="G3242" s="16" t="n"/>
      <c r="H3242" s="63" t="n"/>
      <c r="I3242" s="64" t="n"/>
      <c r="J3242" s="16" t="n"/>
      <c r="K3242" s="16" t="n"/>
      <c r="M3242" s="89" t="n"/>
      <c r="N3242" s="1" t="n"/>
      <c r="O3242" s="1" t="n"/>
      <c r="P3242" s="1" t="n"/>
      <c r="Q3242" s="1" t="n"/>
      <c r="R3242" s="1" t="n"/>
    </row>
    <row r="3243">
      <c r="A3243" s="61" t="n"/>
      <c r="B3243" s="16" t="n"/>
      <c r="C3243" s="90" t="n"/>
      <c r="D3243" s="90" t="n"/>
      <c r="E3243" s="90" t="n"/>
      <c r="F3243" s="16" t="n"/>
      <c r="G3243" s="16" t="n"/>
      <c r="H3243" s="63" t="n"/>
      <c r="I3243" s="64" t="n"/>
      <c r="J3243" s="16" t="n"/>
      <c r="K3243" s="16" t="n"/>
      <c r="M3243" s="89" t="n"/>
      <c r="N3243" s="1" t="n"/>
      <c r="O3243" s="1" t="n"/>
      <c r="P3243" s="1" t="n"/>
      <c r="Q3243" s="1" t="n"/>
      <c r="R3243" s="1" t="n"/>
    </row>
    <row r="3244">
      <c r="A3244" s="61" t="n"/>
      <c r="B3244" s="16" t="n"/>
      <c r="C3244" s="90" t="n"/>
      <c r="D3244" s="90" t="n"/>
      <c r="E3244" s="90" t="n"/>
      <c r="F3244" s="16" t="n"/>
      <c r="G3244" s="16" t="n"/>
      <c r="H3244" s="63" t="n"/>
      <c r="I3244" s="64" t="n"/>
      <c r="J3244" s="16" t="n"/>
      <c r="K3244" s="16" t="n"/>
      <c r="M3244" s="89" t="n"/>
      <c r="N3244" s="1" t="n"/>
      <c r="O3244" s="1" t="n"/>
      <c r="P3244" s="1" t="n"/>
      <c r="Q3244" s="1" t="n"/>
      <c r="R3244" s="1" t="n"/>
    </row>
    <row r="3245">
      <c r="A3245" s="61" t="n"/>
      <c r="B3245" s="16" t="n"/>
      <c r="C3245" s="90" t="n"/>
      <c r="D3245" s="90" t="n"/>
      <c r="E3245" s="90" t="n"/>
      <c r="F3245" s="16" t="n"/>
      <c r="G3245" s="16" t="n"/>
      <c r="H3245" s="63" t="n"/>
      <c r="I3245" s="64" t="n"/>
      <c r="J3245" s="16" t="n"/>
      <c r="K3245" s="16" t="n"/>
      <c r="M3245" s="89" t="n"/>
      <c r="N3245" s="1" t="n"/>
      <c r="O3245" s="1" t="n"/>
      <c r="P3245" s="1" t="n"/>
      <c r="Q3245" s="1" t="n"/>
      <c r="R3245" s="1" t="n"/>
    </row>
    <row r="3246">
      <c r="A3246" s="61" t="n"/>
      <c r="B3246" s="16" t="n"/>
      <c r="C3246" s="90" t="n"/>
      <c r="D3246" s="90" t="n"/>
      <c r="E3246" s="90" t="n"/>
      <c r="F3246" s="16" t="n"/>
      <c r="G3246" s="16" t="n"/>
      <c r="H3246" s="63" t="n"/>
      <c r="I3246" s="64" t="n"/>
      <c r="J3246" s="16" t="n"/>
      <c r="K3246" s="16" t="n"/>
      <c r="M3246" s="89" t="n"/>
      <c r="N3246" s="1" t="n"/>
      <c r="O3246" s="1" t="n"/>
      <c r="P3246" s="1" t="n"/>
      <c r="Q3246" s="1" t="n"/>
      <c r="R3246" s="1" t="n"/>
    </row>
    <row r="3247">
      <c r="A3247" s="61" t="n"/>
      <c r="B3247" s="16" t="n"/>
      <c r="C3247" s="90" t="n"/>
      <c r="D3247" s="90" t="n"/>
      <c r="E3247" s="90" t="n"/>
      <c r="F3247" s="16" t="n"/>
      <c r="G3247" s="16" t="n"/>
      <c r="H3247" s="63" t="n"/>
      <c r="I3247" s="64" t="n"/>
      <c r="J3247" s="16" t="n"/>
      <c r="K3247" s="16" t="n"/>
      <c r="M3247" s="89" t="n"/>
      <c r="N3247" s="1" t="n"/>
      <c r="O3247" s="1" t="n"/>
      <c r="P3247" s="1" t="n"/>
      <c r="Q3247" s="1" t="n"/>
      <c r="R3247" s="1" t="n"/>
    </row>
    <row r="3248">
      <c r="A3248" s="61" t="n"/>
      <c r="B3248" s="16" t="n"/>
      <c r="C3248" s="90" t="n"/>
      <c r="D3248" s="90" t="n"/>
      <c r="E3248" s="90" t="n"/>
      <c r="F3248" s="16" t="n"/>
      <c r="G3248" s="16" t="n"/>
      <c r="H3248" s="63" t="n"/>
      <c r="I3248" s="64" t="n"/>
      <c r="J3248" s="16" t="n"/>
      <c r="K3248" s="16" t="n"/>
      <c r="M3248" s="89" t="n"/>
      <c r="N3248" s="1" t="n"/>
      <c r="O3248" s="1" t="n"/>
      <c r="P3248" s="1" t="n"/>
      <c r="Q3248" s="1" t="n"/>
      <c r="R3248" s="1" t="n"/>
    </row>
    <row r="3249">
      <c r="A3249" s="61" t="n"/>
      <c r="B3249" s="16" t="n"/>
      <c r="C3249" s="90" t="n"/>
      <c r="D3249" s="90" t="n"/>
      <c r="E3249" s="90" t="n"/>
      <c r="F3249" s="16" t="n"/>
      <c r="G3249" s="16" t="n"/>
      <c r="H3249" s="63" t="n"/>
      <c r="I3249" s="64" t="n"/>
      <c r="J3249" s="16" t="n"/>
      <c r="K3249" s="16" t="n"/>
      <c r="M3249" s="89" t="n"/>
      <c r="N3249" s="1" t="n"/>
      <c r="O3249" s="1" t="n"/>
      <c r="P3249" s="1" t="n"/>
      <c r="Q3249" s="1" t="n"/>
      <c r="R3249" s="1" t="n"/>
    </row>
    <row r="3250">
      <c r="A3250" s="61" t="n"/>
      <c r="B3250" s="16" t="n"/>
      <c r="C3250" s="90" t="n"/>
      <c r="D3250" s="90" t="n"/>
      <c r="E3250" s="90" t="n"/>
      <c r="F3250" s="16" t="n"/>
      <c r="G3250" s="16" t="n"/>
      <c r="H3250" s="63" t="n"/>
      <c r="I3250" s="64" t="n"/>
      <c r="J3250" s="16" t="n"/>
      <c r="K3250" s="16" t="n"/>
      <c r="M3250" s="89" t="n"/>
      <c r="N3250" s="1" t="n"/>
      <c r="O3250" s="1" t="n"/>
      <c r="P3250" s="1" t="n"/>
      <c r="Q3250" s="1" t="n"/>
      <c r="R3250" s="1" t="n"/>
    </row>
    <row r="3251">
      <c r="A3251" s="61" t="n"/>
      <c r="B3251" s="16" t="n"/>
      <c r="C3251" s="90" t="n"/>
      <c r="D3251" s="90" t="n"/>
      <c r="E3251" s="90" t="n"/>
      <c r="F3251" s="16" t="n"/>
      <c r="G3251" s="16" t="n"/>
      <c r="H3251" s="63" t="n"/>
      <c r="I3251" s="64" t="n"/>
      <c r="J3251" s="16" t="n"/>
      <c r="K3251" s="16" t="n"/>
      <c r="M3251" s="89" t="n"/>
      <c r="N3251" s="1" t="n"/>
      <c r="O3251" s="1" t="n"/>
      <c r="P3251" s="1" t="n"/>
      <c r="Q3251" s="1" t="n"/>
      <c r="R3251" s="1" t="n"/>
    </row>
    <row r="3252">
      <c r="A3252" s="61" t="n"/>
      <c r="B3252" s="16" t="n"/>
      <c r="C3252" s="90" t="n"/>
      <c r="D3252" s="90" t="n"/>
      <c r="E3252" s="90" t="n"/>
      <c r="F3252" s="16" t="n"/>
      <c r="G3252" s="16" t="n"/>
      <c r="H3252" s="63" t="n"/>
      <c r="I3252" s="64" t="n"/>
      <c r="J3252" s="16" t="n"/>
      <c r="K3252" s="16" t="n"/>
      <c r="M3252" s="89" t="n"/>
      <c r="N3252" s="1" t="n"/>
      <c r="O3252" s="1" t="n"/>
      <c r="P3252" s="1" t="n"/>
      <c r="Q3252" s="1" t="n"/>
      <c r="R3252" s="1" t="n"/>
    </row>
    <row r="3253">
      <c r="A3253" s="61" t="n"/>
      <c r="B3253" s="16" t="n"/>
      <c r="C3253" s="90" t="n"/>
      <c r="D3253" s="90" t="n"/>
      <c r="E3253" s="90" t="n"/>
      <c r="F3253" s="16" t="n"/>
      <c r="G3253" s="16" t="n"/>
      <c r="H3253" s="63" t="n"/>
      <c r="I3253" s="64" t="n"/>
      <c r="J3253" s="16" t="n"/>
      <c r="K3253" s="16" t="n"/>
      <c r="M3253" s="89" t="n"/>
      <c r="N3253" s="1" t="n"/>
      <c r="O3253" s="1" t="n"/>
      <c r="P3253" s="1" t="n"/>
      <c r="Q3253" s="1" t="n"/>
      <c r="R3253" s="1" t="n"/>
    </row>
    <row r="3254">
      <c r="A3254" s="61" t="n"/>
      <c r="B3254" s="16" t="n"/>
      <c r="C3254" s="90" t="n"/>
      <c r="D3254" s="90" t="n"/>
      <c r="E3254" s="90" t="n"/>
      <c r="F3254" s="16" t="n"/>
      <c r="G3254" s="16" t="n"/>
      <c r="H3254" s="63" t="n"/>
      <c r="I3254" s="64" t="n"/>
      <c r="J3254" s="16" t="n"/>
      <c r="K3254" s="16" t="n"/>
      <c r="M3254" s="89" t="n"/>
      <c r="N3254" s="1" t="n"/>
      <c r="O3254" s="1" t="n"/>
      <c r="P3254" s="1" t="n"/>
      <c r="Q3254" s="1" t="n"/>
      <c r="R3254" s="1" t="n"/>
    </row>
    <row r="3255">
      <c r="A3255" s="61" t="n"/>
      <c r="B3255" s="16" t="n"/>
      <c r="C3255" s="90" t="n"/>
      <c r="D3255" s="90" t="n"/>
      <c r="E3255" s="90" t="n"/>
      <c r="F3255" s="16" t="n"/>
      <c r="G3255" s="16" t="n"/>
      <c r="H3255" s="63" t="n"/>
      <c r="I3255" s="64" t="n"/>
      <c r="J3255" s="16" t="n"/>
      <c r="K3255" s="16" t="n"/>
      <c r="M3255" s="89" t="n"/>
      <c r="N3255" s="1" t="n"/>
      <c r="O3255" s="1" t="n"/>
      <c r="P3255" s="1" t="n"/>
      <c r="Q3255" s="1" t="n"/>
      <c r="R3255" s="1" t="n"/>
    </row>
    <row r="3256">
      <c r="A3256" s="61" t="n"/>
      <c r="B3256" s="16" t="n"/>
      <c r="C3256" s="90" t="n"/>
      <c r="D3256" s="90" t="n"/>
      <c r="E3256" s="90" t="n"/>
      <c r="F3256" s="16" t="n"/>
      <c r="G3256" s="16" t="n"/>
      <c r="H3256" s="63" t="n"/>
      <c r="I3256" s="64" t="n"/>
      <c r="J3256" s="16" t="n"/>
      <c r="K3256" s="16" t="n"/>
      <c r="M3256" s="89" t="n"/>
      <c r="N3256" s="1" t="n"/>
      <c r="O3256" s="1" t="n"/>
      <c r="P3256" s="1" t="n"/>
      <c r="Q3256" s="1" t="n"/>
      <c r="R3256" s="1" t="n"/>
    </row>
    <row r="3257">
      <c r="A3257" s="61" t="n"/>
      <c r="B3257" s="16" t="n"/>
      <c r="C3257" s="90" t="n"/>
      <c r="D3257" s="90" t="n"/>
      <c r="E3257" s="90" t="n"/>
      <c r="F3257" s="16" t="n"/>
      <c r="G3257" s="16" t="n"/>
      <c r="H3257" s="63" t="n"/>
      <c r="I3257" s="64" t="n"/>
      <c r="J3257" s="16" t="n"/>
      <c r="K3257" s="16" t="n"/>
      <c r="M3257" s="89" t="n"/>
      <c r="N3257" s="1" t="n"/>
      <c r="O3257" s="1" t="n"/>
      <c r="P3257" s="1" t="n"/>
      <c r="Q3257" s="1" t="n"/>
      <c r="R3257" s="1" t="n"/>
    </row>
    <row r="3258">
      <c r="A3258" s="61" t="n"/>
      <c r="B3258" s="16" t="n"/>
      <c r="C3258" s="90" t="n"/>
      <c r="D3258" s="90" t="n"/>
      <c r="E3258" s="90" t="n"/>
      <c r="F3258" s="16" t="n"/>
      <c r="G3258" s="16" t="n"/>
      <c r="H3258" s="63" t="n"/>
      <c r="I3258" s="64" t="n"/>
      <c r="J3258" s="16" t="n"/>
      <c r="K3258" s="16" t="n"/>
      <c r="M3258" s="89" t="n"/>
      <c r="N3258" s="1" t="n"/>
      <c r="O3258" s="1" t="n"/>
      <c r="P3258" s="1" t="n"/>
      <c r="Q3258" s="1" t="n"/>
      <c r="R3258" s="1" t="n"/>
    </row>
    <row r="3259">
      <c r="A3259" s="61" t="n"/>
      <c r="B3259" s="16" t="n"/>
      <c r="C3259" s="90" t="n"/>
      <c r="D3259" s="90" t="n"/>
      <c r="E3259" s="90" t="n"/>
      <c r="F3259" s="16" t="n"/>
      <c r="G3259" s="16" t="n"/>
      <c r="H3259" s="63" t="n"/>
      <c r="I3259" s="64" t="n"/>
      <c r="J3259" s="16" t="n"/>
      <c r="K3259" s="16" t="n"/>
      <c r="M3259" s="89" t="n"/>
      <c r="N3259" s="1" t="n"/>
      <c r="O3259" s="1" t="n"/>
      <c r="P3259" s="1" t="n"/>
      <c r="Q3259" s="1" t="n"/>
      <c r="R3259" s="1" t="n"/>
    </row>
    <row r="3260">
      <c r="A3260" s="61" t="n"/>
      <c r="B3260" s="16" t="n"/>
      <c r="C3260" s="90" t="n"/>
      <c r="D3260" s="90" t="n"/>
      <c r="E3260" s="90" t="n"/>
      <c r="F3260" s="16" t="n"/>
      <c r="G3260" s="16" t="n"/>
      <c r="H3260" s="63" t="n"/>
      <c r="I3260" s="64" t="n"/>
      <c r="J3260" s="16" t="n"/>
      <c r="K3260" s="16" t="n"/>
      <c r="M3260" s="89" t="n"/>
      <c r="N3260" s="1" t="n"/>
      <c r="O3260" s="1" t="n"/>
      <c r="P3260" s="1" t="n"/>
      <c r="Q3260" s="1" t="n"/>
      <c r="R3260" s="1" t="n"/>
    </row>
    <row r="3261">
      <c r="A3261" s="61" t="n"/>
      <c r="B3261" s="16" t="n"/>
      <c r="C3261" s="90" t="n"/>
      <c r="D3261" s="90" t="n"/>
      <c r="E3261" s="90" t="n"/>
      <c r="F3261" s="16" t="n"/>
      <c r="G3261" s="16" t="n"/>
      <c r="H3261" s="63" t="n"/>
      <c r="I3261" s="64" t="n"/>
      <c r="J3261" s="16" t="n"/>
      <c r="K3261" s="16" t="n"/>
      <c r="M3261" s="89" t="n"/>
      <c r="N3261" s="1" t="n"/>
      <c r="O3261" s="1" t="n"/>
      <c r="P3261" s="1" t="n"/>
      <c r="Q3261" s="1" t="n"/>
      <c r="R3261" s="1" t="n"/>
    </row>
    <row r="3262">
      <c r="A3262" s="61" t="n"/>
      <c r="B3262" s="16" t="n"/>
      <c r="C3262" s="90" t="n"/>
      <c r="D3262" s="90" t="n"/>
      <c r="E3262" s="90" t="n"/>
      <c r="F3262" s="16" t="n"/>
      <c r="G3262" s="16" t="n"/>
      <c r="H3262" s="63" t="n"/>
      <c r="I3262" s="64" t="n"/>
      <c r="J3262" s="16" t="n"/>
      <c r="K3262" s="16" t="n"/>
      <c r="M3262" s="89" t="n"/>
      <c r="N3262" s="1" t="n"/>
      <c r="O3262" s="1" t="n"/>
      <c r="P3262" s="1" t="n"/>
      <c r="Q3262" s="1" t="n"/>
      <c r="R3262" s="1" t="n"/>
    </row>
    <row r="3263">
      <c r="A3263" s="61" t="n"/>
      <c r="B3263" s="16" t="n"/>
      <c r="C3263" s="90" t="n"/>
      <c r="D3263" s="90" t="n"/>
      <c r="E3263" s="90" t="n"/>
      <c r="F3263" s="16" t="n"/>
      <c r="G3263" s="16" t="n"/>
      <c r="H3263" s="63" t="n"/>
      <c r="I3263" s="64" t="n"/>
      <c r="J3263" s="16" t="n"/>
      <c r="K3263" s="16" t="n"/>
      <c r="M3263" s="89" t="n"/>
      <c r="N3263" s="1" t="n"/>
      <c r="O3263" s="1" t="n"/>
      <c r="P3263" s="1" t="n"/>
      <c r="Q3263" s="1" t="n"/>
      <c r="R3263" s="1" t="n"/>
    </row>
    <row r="3264">
      <c r="A3264" s="61" t="n"/>
      <c r="B3264" s="16" t="n"/>
      <c r="C3264" s="90" t="n"/>
      <c r="D3264" s="90" t="n"/>
      <c r="E3264" s="90" t="n"/>
      <c r="F3264" s="16" t="n"/>
      <c r="G3264" s="16" t="n"/>
      <c r="H3264" s="63" t="n"/>
      <c r="I3264" s="64" t="n"/>
      <c r="J3264" s="16" t="n"/>
      <c r="K3264" s="16" t="n"/>
      <c r="M3264" s="89" t="n"/>
      <c r="N3264" s="1" t="n"/>
      <c r="O3264" s="1" t="n"/>
      <c r="P3264" s="1" t="n"/>
      <c r="Q3264" s="1" t="n"/>
      <c r="R3264" s="1" t="n"/>
    </row>
    <row r="3265">
      <c r="A3265" s="61" t="n"/>
      <c r="B3265" s="16" t="n"/>
      <c r="C3265" s="90" t="n"/>
      <c r="D3265" s="90" t="n"/>
      <c r="E3265" s="90" t="n"/>
      <c r="F3265" s="16" t="n"/>
      <c r="G3265" s="16" t="n"/>
      <c r="H3265" s="63" t="n"/>
      <c r="I3265" s="64" t="n"/>
      <c r="J3265" s="16" t="n"/>
      <c r="K3265" s="16" t="n"/>
      <c r="M3265" s="89" t="n"/>
      <c r="N3265" s="1" t="n"/>
      <c r="O3265" s="1" t="n"/>
      <c r="P3265" s="1" t="n"/>
      <c r="Q3265" s="1" t="n"/>
      <c r="R3265" s="1" t="n"/>
    </row>
    <row r="3266">
      <c r="A3266" s="61" t="n"/>
      <c r="B3266" s="16" t="n"/>
      <c r="C3266" s="90" t="n"/>
      <c r="D3266" s="90" t="n"/>
      <c r="E3266" s="90" t="n"/>
      <c r="F3266" s="16" t="n"/>
      <c r="G3266" s="16" t="n"/>
      <c r="H3266" s="63" t="n"/>
      <c r="I3266" s="64" t="n"/>
      <c r="J3266" s="16" t="n"/>
      <c r="K3266" s="16" t="n"/>
      <c r="M3266" s="89" t="n"/>
      <c r="N3266" s="1" t="n"/>
      <c r="O3266" s="1" t="n"/>
      <c r="P3266" s="1" t="n"/>
      <c r="Q3266" s="1" t="n"/>
      <c r="R3266" s="1" t="n"/>
    </row>
    <row r="3267">
      <c r="A3267" s="61" t="n"/>
      <c r="B3267" s="16" t="n"/>
      <c r="C3267" s="90" t="n"/>
      <c r="D3267" s="90" t="n"/>
      <c r="E3267" s="90" t="n"/>
      <c r="F3267" s="16" t="n"/>
      <c r="G3267" s="16" t="n"/>
      <c r="H3267" s="63" t="n"/>
      <c r="I3267" s="64" t="n"/>
      <c r="J3267" s="16" t="n"/>
      <c r="K3267" s="16" t="n"/>
      <c r="M3267" s="89" t="n"/>
      <c r="N3267" s="1" t="n"/>
      <c r="O3267" s="1" t="n"/>
      <c r="P3267" s="1" t="n"/>
      <c r="Q3267" s="1" t="n"/>
      <c r="R3267" s="1" t="n"/>
    </row>
    <row r="3268">
      <c r="A3268" s="61" t="n"/>
      <c r="B3268" s="16" t="n"/>
      <c r="C3268" s="90" t="n"/>
      <c r="D3268" s="90" t="n"/>
      <c r="E3268" s="90" t="n"/>
      <c r="F3268" s="16" t="n"/>
      <c r="G3268" s="16" t="n"/>
      <c r="H3268" s="63" t="n"/>
      <c r="I3268" s="64" t="n"/>
      <c r="J3268" s="16" t="n"/>
      <c r="K3268" s="16" t="n"/>
      <c r="M3268" s="89" t="n"/>
      <c r="N3268" s="1" t="n"/>
      <c r="O3268" s="1" t="n"/>
      <c r="P3268" s="1" t="n"/>
      <c r="Q3268" s="1" t="n"/>
      <c r="R3268" s="1" t="n"/>
    </row>
    <row r="3269">
      <c r="A3269" s="61" t="n"/>
      <c r="B3269" s="16" t="n"/>
      <c r="C3269" s="90" t="n"/>
      <c r="D3269" s="90" t="n"/>
      <c r="E3269" s="90" t="n"/>
      <c r="F3269" s="16" t="n"/>
      <c r="G3269" s="16" t="n"/>
      <c r="H3269" s="63" t="n"/>
      <c r="I3269" s="64" t="n"/>
      <c r="J3269" s="16" t="n"/>
      <c r="K3269" s="16" t="n"/>
      <c r="M3269" s="89" t="n"/>
      <c r="N3269" s="1" t="n"/>
      <c r="O3269" s="1" t="n"/>
      <c r="P3269" s="1" t="n"/>
      <c r="Q3269" s="1" t="n"/>
      <c r="R3269" s="1" t="n"/>
    </row>
    <row r="3270">
      <c r="A3270" s="61" t="n"/>
      <c r="B3270" s="16" t="n"/>
      <c r="C3270" s="90" t="n"/>
      <c r="D3270" s="90" t="n"/>
      <c r="E3270" s="90" t="n"/>
      <c r="F3270" s="16" t="n"/>
      <c r="G3270" s="16" t="n"/>
      <c r="H3270" s="63" t="n"/>
      <c r="I3270" s="64" t="n"/>
      <c r="J3270" s="16" t="n"/>
      <c r="K3270" s="16" t="n"/>
      <c r="M3270" s="89" t="n"/>
      <c r="N3270" s="1" t="n"/>
      <c r="O3270" s="1" t="n"/>
      <c r="P3270" s="1" t="n"/>
      <c r="Q3270" s="1" t="n"/>
      <c r="R3270" s="1" t="n"/>
    </row>
    <row r="3271">
      <c r="A3271" s="61" t="n"/>
      <c r="B3271" s="16" t="n"/>
      <c r="C3271" s="90" t="n"/>
      <c r="D3271" s="90" t="n"/>
      <c r="E3271" s="90" t="n"/>
      <c r="F3271" s="16" t="n"/>
      <c r="G3271" s="16" t="n"/>
      <c r="H3271" s="63" t="n"/>
      <c r="I3271" s="64" t="n"/>
      <c r="J3271" s="16" t="n"/>
      <c r="K3271" s="16" t="n"/>
      <c r="M3271" s="89" t="n"/>
      <c r="N3271" s="1" t="n"/>
      <c r="O3271" s="1" t="n"/>
      <c r="P3271" s="1" t="n"/>
      <c r="Q3271" s="1" t="n"/>
      <c r="R3271" s="1" t="n"/>
    </row>
    <row r="3272">
      <c r="A3272" s="61" t="n"/>
      <c r="B3272" s="16" t="n"/>
      <c r="C3272" s="90" t="n"/>
      <c r="D3272" s="90" t="n"/>
      <c r="E3272" s="90" t="n"/>
      <c r="F3272" s="16" t="n"/>
      <c r="G3272" s="16" t="n"/>
      <c r="H3272" s="63" t="n"/>
      <c r="I3272" s="64" t="n"/>
      <c r="J3272" s="16" t="n"/>
      <c r="K3272" s="16" t="n"/>
      <c r="M3272" s="89" t="n"/>
      <c r="N3272" s="1" t="n"/>
      <c r="O3272" s="1" t="n"/>
      <c r="P3272" s="1" t="n"/>
      <c r="Q3272" s="1" t="n"/>
      <c r="R3272" s="1" t="n"/>
    </row>
    <row r="3273">
      <c r="A3273" s="61" t="n"/>
      <c r="B3273" s="16" t="n"/>
      <c r="C3273" s="90" t="n"/>
      <c r="D3273" s="90" t="n"/>
      <c r="E3273" s="90" t="n"/>
      <c r="F3273" s="16" t="n"/>
      <c r="G3273" s="16" t="n"/>
      <c r="H3273" s="63" t="n"/>
      <c r="I3273" s="64" t="n"/>
      <c r="J3273" s="16" t="n"/>
      <c r="K3273" s="16" t="n"/>
      <c r="M3273" s="89" t="n"/>
      <c r="N3273" s="1" t="n"/>
      <c r="O3273" s="1" t="n"/>
      <c r="P3273" s="1" t="n"/>
      <c r="Q3273" s="1" t="n"/>
      <c r="R3273" s="1" t="n"/>
    </row>
    <row r="3274">
      <c r="A3274" s="61" t="n"/>
      <c r="B3274" s="16" t="n"/>
      <c r="C3274" s="90" t="n"/>
      <c r="D3274" s="90" t="n"/>
      <c r="E3274" s="90" t="n"/>
      <c r="F3274" s="16" t="n"/>
      <c r="G3274" s="16" t="n"/>
      <c r="H3274" s="63" t="n"/>
      <c r="I3274" s="64" t="n"/>
      <c r="J3274" s="16" t="n"/>
      <c r="K3274" s="16" t="n"/>
      <c r="M3274" s="89" t="n"/>
      <c r="N3274" s="1" t="n"/>
      <c r="O3274" s="1" t="n"/>
      <c r="P3274" s="1" t="n"/>
      <c r="Q3274" s="1" t="n"/>
      <c r="R3274" s="1" t="n"/>
    </row>
    <row r="3275">
      <c r="A3275" s="61" t="n"/>
      <c r="B3275" s="16" t="n"/>
      <c r="C3275" s="90" t="n"/>
      <c r="D3275" s="90" t="n"/>
      <c r="E3275" s="90" t="n"/>
      <c r="F3275" s="16" t="n"/>
      <c r="G3275" s="16" t="n"/>
      <c r="H3275" s="63" t="n"/>
      <c r="I3275" s="64" t="n"/>
      <c r="J3275" s="16" t="n"/>
      <c r="K3275" s="16" t="n"/>
      <c r="M3275" s="89" t="n"/>
      <c r="N3275" s="1" t="n"/>
      <c r="O3275" s="1" t="n"/>
      <c r="P3275" s="1" t="n"/>
      <c r="Q3275" s="1" t="n"/>
      <c r="R3275" s="1" t="n"/>
    </row>
    <row r="3276">
      <c r="A3276" s="61" t="n"/>
      <c r="B3276" s="16" t="n"/>
      <c r="C3276" s="90" t="n"/>
      <c r="D3276" s="90" t="n"/>
      <c r="E3276" s="90" t="n"/>
      <c r="F3276" s="16" t="n"/>
      <c r="G3276" s="16" t="n"/>
      <c r="H3276" s="63" t="n"/>
      <c r="I3276" s="64" t="n"/>
      <c r="J3276" s="16" t="n"/>
      <c r="K3276" s="16" t="n"/>
      <c r="M3276" s="89" t="n"/>
      <c r="N3276" s="1" t="n"/>
      <c r="O3276" s="1" t="n"/>
      <c r="P3276" s="1" t="n"/>
      <c r="Q3276" s="1" t="n"/>
      <c r="R3276" s="1" t="n"/>
    </row>
    <row r="3277">
      <c r="A3277" s="61" t="n"/>
      <c r="B3277" s="16" t="n"/>
      <c r="C3277" s="90" t="n"/>
      <c r="D3277" s="90" t="n"/>
      <c r="E3277" s="90" t="n"/>
      <c r="F3277" s="16" t="n"/>
      <c r="G3277" s="16" t="n"/>
      <c r="H3277" s="63" t="n"/>
      <c r="I3277" s="64" t="n"/>
      <c r="J3277" s="16" t="n"/>
      <c r="K3277" s="16" t="n"/>
      <c r="M3277" s="89" t="n"/>
      <c r="N3277" s="1" t="n"/>
      <c r="O3277" s="1" t="n"/>
      <c r="P3277" s="1" t="n"/>
      <c r="Q3277" s="1" t="n"/>
      <c r="R3277" s="1" t="n"/>
    </row>
    <row r="3278">
      <c r="A3278" s="61" t="n"/>
      <c r="B3278" s="16" t="n"/>
      <c r="C3278" s="90" t="n"/>
      <c r="D3278" s="90" t="n"/>
      <c r="E3278" s="90" t="n"/>
      <c r="F3278" s="16" t="n"/>
      <c r="G3278" s="16" t="n"/>
      <c r="H3278" s="63" t="n"/>
      <c r="I3278" s="64" t="n"/>
      <c r="J3278" s="16" t="n"/>
      <c r="K3278" s="16" t="n"/>
      <c r="M3278" s="89" t="n"/>
      <c r="N3278" s="1" t="n"/>
      <c r="O3278" s="1" t="n"/>
      <c r="P3278" s="1" t="n"/>
      <c r="Q3278" s="1" t="n"/>
      <c r="R3278" s="1" t="n"/>
    </row>
    <row r="3279">
      <c r="A3279" s="61" t="n"/>
      <c r="B3279" s="16" t="n"/>
      <c r="C3279" s="90" t="n"/>
      <c r="D3279" s="90" t="n"/>
      <c r="E3279" s="90" t="n"/>
      <c r="F3279" s="16" t="n"/>
      <c r="G3279" s="16" t="n"/>
      <c r="H3279" s="63" t="n"/>
      <c r="I3279" s="64" t="n"/>
      <c r="J3279" s="16" t="n"/>
      <c r="K3279" s="16" t="n"/>
      <c r="M3279" s="89" t="n"/>
      <c r="N3279" s="1" t="n"/>
      <c r="O3279" s="1" t="n"/>
      <c r="P3279" s="1" t="n"/>
      <c r="Q3279" s="1" t="n"/>
      <c r="R3279" s="1" t="n"/>
    </row>
    <row r="3280">
      <c r="A3280" s="61" t="n"/>
      <c r="B3280" s="16" t="n"/>
      <c r="C3280" s="90" t="n"/>
      <c r="D3280" s="90" t="n"/>
      <c r="E3280" s="90" t="n"/>
      <c r="F3280" s="16" t="n"/>
      <c r="G3280" s="16" t="n"/>
      <c r="H3280" s="63" t="n"/>
      <c r="I3280" s="64" t="n"/>
      <c r="J3280" s="16" t="n"/>
      <c r="K3280" s="16" t="n"/>
      <c r="M3280" s="89" t="n"/>
      <c r="N3280" s="1" t="n"/>
      <c r="O3280" s="1" t="n"/>
      <c r="P3280" s="1" t="n"/>
      <c r="Q3280" s="1" t="n"/>
      <c r="R3280" s="1" t="n"/>
    </row>
    <row r="3281">
      <c r="A3281" s="61" t="n"/>
      <c r="B3281" s="16" t="n"/>
      <c r="C3281" s="90" t="n"/>
      <c r="D3281" s="90" t="n"/>
      <c r="E3281" s="90" t="n"/>
      <c r="F3281" s="16" t="n"/>
      <c r="G3281" s="16" t="n"/>
      <c r="H3281" s="63" t="n"/>
      <c r="I3281" s="64" t="n"/>
      <c r="J3281" s="16" t="n"/>
      <c r="K3281" s="16" t="n"/>
      <c r="M3281" s="89" t="n"/>
      <c r="N3281" s="1" t="n"/>
      <c r="O3281" s="1" t="n"/>
      <c r="P3281" s="1" t="n"/>
      <c r="Q3281" s="1" t="n"/>
      <c r="R3281" s="1" t="n"/>
    </row>
    <row r="3282">
      <c r="A3282" s="61" t="n"/>
      <c r="B3282" s="16" t="n"/>
      <c r="C3282" s="90" t="n"/>
      <c r="D3282" s="90" t="n"/>
      <c r="E3282" s="90" t="n"/>
      <c r="F3282" s="16" t="n"/>
      <c r="G3282" s="16" t="n"/>
      <c r="H3282" s="63" t="n"/>
      <c r="I3282" s="64" t="n"/>
      <c r="J3282" s="16" t="n"/>
      <c r="K3282" s="16" t="n"/>
      <c r="M3282" s="89" t="n"/>
      <c r="N3282" s="1" t="n"/>
      <c r="O3282" s="1" t="n"/>
      <c r="P3282" s="1" t="n"/>
      <c r="Q3282" s="1" t="n"/>
      <c r="R3282" s="1" t="n"/>
    </row>
    <row r="3283">
      <c r="A3283" s="61" t="n"/>
      <c r="B3283" s="16" t="n"/>
      <c r="C3283" s="90" t="n"/>
      <c r="D3283" s="90" t="n"/>
      <c r="E3283" s="90" t="n"/>
      <c r="F3283" s="16" t="n"/>
      <c r="G3283" s="16" t="n"/>
      <c r="H3283" s="63" t="n"/>
      <c r="I3283" s="64" t="n"/>
      <c r="J3283" s="16" t="n"/>
      <c r="K3283" s="16" t="n"/>
      <c r="M3283" s="89" t="n"/>
      <c r="N3283" s="1" t="n"/>
      <c r="O3283" s="1" t="n"/>
      <c r="P3283" s="1" t="n"/>
      <c r="Q3283" s="1" t="n"/>
      <c r="R3283" s="1" t="n"/>
    </row>
    <row r="3284">
      <c r="A3284" s="61" t="n"/>
      <c r="B3284" s="16" t="n"/>
      <c r="C3284" s="90" t="n"/>
      <c r="D3284" s="90" t="n"/>
      <c r="E3284" s="90" t="n"/>
      <c r="F3284" s="16" t="n"/>
      <c r="G3284" s="16" t="n"/>
      <c r="H3284" s="63" t="n"/>
      <c r="I3284" s="64" t="n"/>
      <c r="J3284" s="16" t="n"/>
      <c r="K3284" s="16" t="n"/>
      <c r="M3284" s="89" t="n"/>
      <c r="N3284" s="1" t="n"/>
      <c r="O3284" s="1" t="n"/>
      <c r="P3284" s="1" t="n"/>
      <c r="Q3284" s="1" t="n"/>
      <c r="R3284" s="1" t="n"/>
    </row>
    <row r="3285">
      <c r="A3285" s="61" t="n"/>
      <c r="B3285" s="16" t="n"/>
      <c r="C3285" s="90" t="n"/>
      <c r="D3285" s="90" t="n"/>
      <c r="E3285" s="90" t="n"/>
      <c r="F3285" s="16" t="n"/>
      <c r="G3285" s="16" t="n"/>
      <c r="H3285" s="63" t="n"/>
      <c r="I3285" s="64" t="n"/>
      <c r="J3285" s="16" t="n"/>
      <c r="K3285" s="16" t="n"/>
      <c r="M3285" s="89" t="n"/>
      <c r="N3285" s="1" t="n"/>
      <c r="O3285" s="1" t="n"/>
      <c r="P3285" s="1" t="n"/>
      <c r="Q3285" s="1" t="n"/>
      <c r="R3285" s="1" t="n"/>
    </row>
    <row r="3286">
      <c r="A3286" s="61" t="n"/>
      <c r="B3286" s="16" t="n"/>
      <c r="C3286" s="90" t="n"/>
      <c r="D3286" s="90" t="n"/>
      <c r="E3286" s="90" t="n"/>
      <c r="F3286" s="16" t="n"/>
      <c r="G3286" s="16" t="n"/>
      <c r="H3286" s="63" t="n"/>
      <c r="I3286" s="64" t="n"/>
      <c r="J3286" s="16" t="n"/>
      <c r="K3286" s="16" t="n"/>
      <c r="M3286" s="89" t="n"/>
      <c r="N3286" s="1" t="n"/>
      <c r="O3286" s="1" t="n"/>
      <c r="P3286" s="1" t="n"/>
      <c r="Q3286" s="1" t="n"/>
      <c r="R3286" s="1" t="n"/>
    </row>
    <row r="3287">
      <c r="A3287" s="61" t="n"/>
      <c r="B3287" s="16" t="n"/>
      <c r="C3287" s="90" t="n"/>
      <c r="D3287" s="90" t="n"/>
      <c r="E3287" s="90" t="n"/>
      <c r="F3287" s="16" t="n"/>
      <c r="G3287" s="16" t="n"/>
      <c r="H3287" s="63" t="n"/>
      <c r="I3287" s="64" t="n"/>
      <c r="J3287" s="16" t="n"/>
      <c r="K3287" s="16" t="n"/>
      <c r="M3287" s="89" t="n"/>
      <c r="N3287" s="1" t="n"/>
      <c r="O3287" s="1" t="n"/>
      <c r="P3287" s="1" t="n"/>
      <c r="Q3287" s="1" t="n"/>
      <c r="R3287" s="1" t="n"/>
    </row>
    <row r="3288">
      <c r="A3288" s="61" t="n"/>
      <c r="B3288" s="16" t="n"/>
      <c r="C3288" s="90" t="n"/>
      <c r="D3288" s="90" t="n"/>
      <c r="E3288" s="90" t="n"/>
      <c r="F3288" s="16" t="n"/>
      <c r="G3288" s="16" t="n"/>
      <c r="H3288" s="63" t="n"/>
      <c r="I3288" s="64" t="n"/>
      <c r="J3288" s="16" t="n"/>
      <c r="K3288" s="16" t="n"/>
      <c r="M3288" s="89" t="n"/>
      <c r="N3288" s="1" t="n"/>
      <c r="O3288" s="1" t="n"/>
      <c r="P3288" s="1" t="n"/>
      <c r="Q3288" s="1" t="n"/>
      <c r="R3288" s="1" t="n"/>
    </row>
    <row r="3289">
      <c r="A3289" s="61" t="n"/>
      <c r="B3289" s="16" t="n"/>
      <c r="C3289" s="90" t="n"/>
      <c r="D3289" s="90" t="n"/>
      <c r="E3289" s="90" t="n"/>
      <c r="F3289" s="16" t="n"/>
      <c r="G3289" s="16" t="n"/>
      <c r="H3289" s="63" t="n"/>
      <c r="I3289" s="64" t="n"/>
      <c r="J3289" s="16" t="n"/>
      <c r="K3289" s="16" t="n"/>
      <c r="M3289" s="89" t="n"/>
      <c r="N3289" s="1" t="n"/>
      <c r="O3289" s="1" t="n"/>
      <c r="P3289" s="1" t="n"/>
      <c r="Q3289" s="1" t="n"/>
      <c r="R3289" s="1" t="n"/>
    </row>
    <row r="3290">
      <c r="A3290" s="61" t="n"/>
      <c r="B3290" s="16" t="n"/>
      <c r="C3290" s="90" t="n"/>
      <c r="D3290" s="90" t="n"/>
      <c r="E3290" s="90" t="n"/>
      <c r="F3290" s="16" t="n"/>
      <c r="G3290" s="16" t="n"/>
      <c r="H3290" s="63" t="n"/>
      <c r="I3290" s="64" t="n"/>
      <c r="J3290" s="16" t="n"/>
      <c r="K3290" s="16" t="n"/>
      <c r="M3290" s="89" t="n"/>
      <c r="N3290" s="1" t="n"/>
      <c r="O3290" s="1" t="n"/>
      <c r="P3290" s="1" t="n"/>
      <c r="Q3290" s="1" t="n"/>
      <c r="R3290" s="1" t="n"/>
    </row>
    <row r="3291">
      <c r="A3291" s="61" t="n"/>
      <c r="B3291" s="16" t="n"/>
      <c r="C3291" s="90" t="n"/>
      <c r="D3291" s="90" t="n"/>
      <c r="E3291" s="90" t="n"/>
      <c r="F3291" s="16" t="n"/>
      <c r="G3291" s="16" t="n"/>
      <c r="H3291" s="63" t="n"/>
      <c r="I3291" s="64" t="n"/>
      <c r="J3291" s="16" t="n"/>
      <c r="K3291" s="16" t="n"/>
      <c r="M3291" s="89" t="n"/>
      <c r="N3291" s="1" t="n"/>
      <c r="O3291" s="1" t="n"/>
      <c r="P3291" s="1" t="n"/>
      <c r="Q3291" s="1" t="n"/>
      <c r="R3291" s="1" t="n"/>
    </row>
    <row r="3292">
      <c r="A3292" s="61" t="n"/>
      <c r="B3292" s="16" t="n"/>
      <c r="C3292" s="90" t="n"/>
      <c r="D3292" s="90" t="n"/>
      <c r="E3292" s="90" t="n"/>
      <c r="F3292" s="16" t="n"/>
      <c r="G3292" s="16" t="n"/>
      <c r="H3292" s="63" t="n"/>
      <c r="I3292" s="64" t="n"/>
      <c r="J3292" s="16" t="n"/>
      <c r="K3292" s="16" t="n"/>
      <c r="M3292" s="89" t="n"/>
      <c r="N3292" s="1" t="n"/>
      <c r="O3292" s="1" t="n"/>
      <c r="P3292" s="1" t="n"/>
      <c r="Q3292" s="1" t="n"/>
      <c r="R3292" s="1" t="n"/>
    </row>
    <row r="3293">
      <c r="A3293" s="61" t="n"/>
      <c r="B3293" s="16" t="n"/>
      <c r="C3293" s="90" t="n"/>
      <c r="D3293" s="90" t="n"/>
      <c r="E3293" s="90" t="n"/>
      <c r="F3293" s="16" t="n"/>
      <c r="G3293" s="16" t="n"/>
      <c r="H3293" s="63" t="n"/>
      <c r="I3293" s="64" t="n"/>
      <c r="J3293" s="16" t="n"/>
      <c r="K3293" s="16" t="n"/>
      <c r="M3293" s="89" t="n"/>
      <c r="N3293" s="1" t="n"/>
      <c r="O3293" s="1" t="n"/>
      <c r="P3293" s="1" t="n"/>
      <c r="Q3293" s="1" t="n"/>
      <c r="R3293" s="1" t="n"/>
    </row>
    <row r="3294">
      <c r="A3294" s="61" t="n"/>
      <c r="B3294" s="16" t="n"/>
      <c r="C3294" s="90" t="n"/>
      <c r="D3294" s="90" t="n"/>
      <c r="E3294" s="90" t="n"/>
      <c r="F3294" s="16" t="n"/>
      <c r="G3294" s="16" t="n"/>
      <c r="H3294" s="63" t="n"/>
      <c r="I3294" s="64" t="n"/>
      <c r="J3294" s="16" t="n"/>
      <c r="K3294" s="16" t="n"/>
      <c r="M3294" s="89" t="n"/>
      <c r="N3294" s="1" t="n"/>
      <c r="O3294" s="1" t="n"/>
      <c r="P3294" s="1" t="n"/>
      <c r="Q3294" s="1" t="n"/>
      <c r="R3294" s="1" t="n"/>
    </row>
    <row r="3295">
      <c r="A3295" s="61" t="n"/>
      <c r="B3295" s="16" t="n"/>
      <c r="C3295" s="90" t="n"/>
      <c r="D3295" s="90" t="n"/>
      <c r="E3295" s="90" t="n"/>
      <c r="F3295" s="16" t="n"/>
      <c r="G3295" s="16" t="n"/>
      <c r="H3295" s="63" t="n"/>
      <c r="I3295" s="64" t="n"/>
      <c r="J3295" s="16" t="n"/>
      <c r="K3295" s="16" t="n"/>
      <c r="M3295" s="89" t="n"/>
      <c r="N3295" s="1" t="n"/>
      <c r="O3295" s="1" t="n"/>
      <c r="P3295" s="1" t="n"/>
      <c r="Q3295" s="1" t="n"/>
      <c r="R3295" s="1" t="n"/>
    </row>
    <row r="3296">
      <c r="A3296" s="61" t="n"/>
      <c r="B3296" s="16" t="n"/>
      <c r="C3296" s="90" t="n"/>
      <c r="D3296" s="90" t="n"/>
      <c r="E3296" s="90" t="n"/>
      <c r="F3296" s="16" t="n"/>
      <c r="G3296" s="16" t="n"/>
      <c r="H3296" s="63" t="n"/>
      <c r="I3296" s="64" t="n"/>
      <c r="J3296" s="16" t="n"/>
      <c r="K3296" s="16" t="n"/>
      <c r="M3296" s="89" t="n"/>
      <c r="N3296" s="1" t="n"/>
      <c r="O3296" s="1" t="n"/>
      <c r="P3296" s="1" t="n"/>
      <c r="Q3296" s="1" t="n"/>
      <c r="R3296" s="1" t="n"/>
    </row>
    <row r="3297">
      <c r="A3297" s="61" t="n"/>
      <c r="B3297" s="16" t="n"/>
      <c r="C3297" s="90" t="n"/>
      <c r="D3297" s="90" t="n"/>
      <c r="E3297" s="90" t="n"/>
      <c r="F3297" s="16" t="n"/>
      <c r="G3297" s="16" t="n"/>
      <c r="H3297" s="63" t="n"/>
      <c r="I3297" s="64" t="n"/>
      <c r="J3297" s="16" t="n"/>
      <c r="K3297" s="16" t="n"/>
      <c r="M3297" s="89" t="n"/>
      <c r="N3297" s="1" t="n"/>
      <c r="O3297" s="1" t="n"/>
      <c r="P3297" s="1" t="n"/>
      <c r="Q3297" s="1" t="n"/>
      <c r="R3297" s="1" t="n"/>
    </row>
    <row r="3298">
      <c r="A3298" s="61" t="n"/>
      <c r="B3298" s="16" t="n"/>
      <c r="C3298" s="90" t="n"/>
      <c r="D3298" s="90" t="n"/>
      <c r="E3298" s="90" t="n"/>
      <c r="F3298" s="16" t="n"/>
      <c r="G3298" s="16" t="n"/>
      <c r="H3298" s="63" t="n"/>
      <c r="I3298" s="64" t="n"/>
      <c r="J3298" s="16" t="n"/>
      <c r="K3298" s="16" t="n"/>
      <c r="M3298" s="89" t="n"/>
      <c r="N3298" s="1" t="n"/>
      <c r="O3298" s="1" t="n"/>
      <c r="P3298" s="1" t="n"/>
      <c r="Q3298" s="1" t="n"/>
      <c r="R3298" s="1" t="n"/>
    </row>
    <row r="3299">
      <c r="A3299" s="61" t="n"/>
      <c r="B3299" s="16" t="n"/>
      <c r="C3299" s="90" t="n"/>
      <c r="D3299" s="90" t="n"/>
      <c r="E3299" s="90" t="n"/>
      <c r="F3299" s="16" t="n"/>
      <c r="G3299" s="16" t="n"/>
      <c r="H3299" s="63" t="n"/>
      <c r="I3299" s="64" t="n"/>
      <c r="J3299" s="16" t="n"/>
      <c r="K3299" s="16" t="n"/>
      <c r="M3299" s="89" t="n"/>
      <c r="N3299" s="1" t="n"/>
      <c r="O3299" s="1" t="n"/>
      <c r="P3299" s="1" t="n"/>
      <c r="Q3299" s="1" t="n"/>
      <c r="R3299" s="1" t="n"/>
    </row>
    <row r="3300">
      <c r="A3300" s="61" t="n"/>
      <c r="B3300" s="16" t="n"/>
      <c r="C3300" s="90" t="n"/>
      <c r="D3300" s="90" t="n"/>
      <c r="E3300" s="90" t="n"/>
      <c r="F3300" s="16" t="n"/>
      <c r="G3300" s="16" t="n"/>
      <c r="H3300" s="63" t="n"/>
      <c r="I3300" s="64" t="n"/>
      <c r="J3300" s="16" t="n"/>
      <c r="K3300" s="16" t="n"/>
      <c r="M3300" s="89" t="n"/>
      <c r="N3300" s="1" t="n"/>
      <c r="O3300" s="1" t="n"/>
      <c r="P3300" s="1" t="n"/>
      <c r="Q3300" s="1" t="n"/>
      <c r="R3300" s="1" t="n"/>
    </row>
    <row r="3301">
      <c r="A3301" s="61" t="n"/>
      <c r="B3301" s="16" t="n"/>
      <c r="C3301" s="90" t="n"/>
      <c r="D3301" s="90" t="n"/>
      <c r="E3301" s="90" t="n"/>
      <c r="F3301" s="16" t="n"/>
      <c r="G3301" s="16" t="n"/>
      <c r="H3301" s="63" t="n"/>
      <c r="I3301" s="64" t="n"/>
      <c r="J3301" s="16" t="n"/>
      <c r="K3301" s="16" t="n"/>
      <c r="M3301" s="89" t="n"/>
      <c r="N3301" s="1" t="n"/>
      <c r="O3301" s="1" t="n"/>
      <c r="P3301" s="1" t="n"/>
      <c r="Q3301" s="1" t="n"/>
      <c r="R3301" s="1" t="n"/>
    </row>
    <row r="3302">
      <c r="A3302" s="61" t="n"/>
      <c r="B3302" s="16" t="n"/>
      <c r="C3302" s="90" t="n"/>
      <c r="D3302" s="90" t="n"/>
      <c r="E3302" s="90" t="n"/>
      <c r="F3302" s="16" t="n"/>
      <c r="G3302" s="16" t="n"/>
      <c r="H3302" s="63" t="n"/>
      <c r="I3302" s="64" t="n"/>
      <c r="J3302" s="16" t="n"/>
      <c r="K3302" s="16" t="n"/>
      <c r="M3302" s="89" t="n"/>
      <c r="N3302" s="1" t="n"/>
      <c r="O3302" s="1" t="n"/>
      <c r="P3302" s="1" t="n"/>
      <c r="Q3302" s="1" t="n"/>
      <c r="R3302" s="1" t="n"/>
    </row>
    <row r="3303">
      <c r="A3303" s="61" t="n"/>
      <c r="B3303" s="16" t="n"/>
      <c r="C3303" s="90" t="n"/>
      <c r="D3303" s="90" t="n"/>
      <c r="E3303" s="90" t="n"/>
      <c r="F3303" s="16" t="n"/>
      <c r="G3303" s="16" t="n"/>
      <c r="H3303" s="63" t="n"/>
      <c r="I3303" s="64" t="n"/>
      <c r="J3303" s="16" t="n"/>
      <c r="K3303" s="16" t="n"/>
      <c r="M3303" s="89" t="n"/>
      <c r="N3303" s="1" t="n"/>
      <c r="O3303" s="1" t="n"/>
      <c r="P3303" s="1" t="n"/>
      <c r="Q3303" s="1" t="n"/>
      <c r="R3303" s="1" t="n"/>
    </row>
    <row r="3304">
      <c r="A3304" s="61" t="n"/>
      <c r="B3304" s="16" t="n"/>
      <c r="C3304" s="90" t="n"/>
      <c r="D3304" s="90" t="n"/>
      <c r="E3304" s="90" t="n"/>
      <c r="F3304" s="16" t="n"/>
      <c r="G3304" s="16" t="n"/>
      <c r="H3304" s="63" t="n"/>
      <c r="I3304" s="64" t="n"/>
      <c r="J3304" s="16" t="n"/>
      <c r="K3304" s="16" t="n"/>
      <c r="M3304" s="89" t="n"/>
      <c r="N3304" s="1" t="n"/>
      <c r="O3304" s="1" t="n"/>
      <c r="P3304" s="1" t="n"/>
      <c r="Q3304" s="1" t="n"/>
      <c r="R3304" s="1" t="n"/>
    </row>
    <row r="3305">
      <c r="A3305" s="61" t="n"/>
      <c r="B3305" s="16" t="n"/>
      <c r="C3305" s="90" t="n"/>
      <c r="D3305" s="90" t="n"/>
      <c r="E3305" s="90" t="n"/>
      <c r="F3305" s="16" t="n"/>
      <c r="G3305" s="16" t="n"/>
      <c r="H3305" s="63" t="n"/>
      <c r="I3305" s="64" t="n"/>
      <c r="J3305" s="16" t="n"/>
      <c r="K3305" s="16" t="n"/>
      <c r="M3305" s="89" t="n"/>
      <c r="N3305" s="1" t="n"/>
      <c r="O3305" s="1" t="n"/>
      <c r="P3305" s="1" t="n"/>
      <c r="Q3305" s="1" t="n"/>
      <c r="R3305" s="1" t="n"/>
    </row>
    <row r="3306">
      <c r="A3306" s="61" t="n"/>
      <c r="B3306" s="16" t="n"/>
      <c r="C3306" s="90" t="n"/>
      <c r="D3306" s="90" t="n"/>
      <c r="E3306" s="90" t="n"/>
      <c r="F3306" s="16" t="n"/>
      <c r="G3306" s="16" t="n"/>
      <c r="H3306" s="63" t="n"/>
      <c r="I3306" s="64" t="n"/>
      <c r="J3306" s="16" t="n"/>
      <c r="K3306" s="16" t="n"/>
      <c r="M3306" s="89" t="n"/>
      <c r="N3306" s="1" t="n"/>
      <c r="O3306" s="1" t="n"/>
      <c r="P3306" s="1" t="n"/>
      <c r="Q3306" s="1" t="n"/>
      <c r="R3306" s="1" t="n"/>
    </row>
    <row r="3307">
      <c r="A3307" s="61" t="n"/>
      <c r="B3307" s="16" t="n"/>
      <c r="C3307" s="90" t="n"/>
      <c r="D3307" s="90" t="n"/>
      <c r="E3307" s="90" t="n"/>
      <c r="F3307" s="16" t="n"/>
      <c r="G3307" s="16" t="n"/>
      <c r="H3307" s="63" t="n"/>
      <c r="I3307" s="64" t="n"/>
      <c r="J3307" s="16" t="n"/>
      <c r="K3307" s="16" t="n"/>
      <c r="M3307" s="89" t="n"/>
      <c r="N3307" s="1" t="n"/>
      <c r="O3307" s="1" t="n"/>
      <c r="P3307" s="1" t="n"/>
      <c r="Q3307" s="1" t="n"/>
      <c r="R3307" s="1" t="n"/>
    </row>
    <row r="3308">
      <c r="A3308" s="61" t="n"/>
      <c r="B3308" s="16" t="n"/>
      <c r="C3308" s="90" t="n"/>
      <c r="D3308" s="90" t="n"/>
      <c r="E3308" s="90" t="n"/>
      <c r="F3308" s="16" t="n"/>
      <c r="G3308" s="16" t="n"/>
      <c r="H3308" s="63" t="n"/>
      <c r="I3308" s="64" t="n"/>
      <c r="J3308" s="16" t="n"/>
      <c r="K3308" s="16" t="n"/>
      <c r="M3308" s="89" t="n"/>
      <c r="N3308" s="1" t="n"/>
      <c r="O3308" s="1" t="n"/>
      <c r="P3308" s="1" t="n"/>
      <c r="Q3308" s="1" t="n"/>
      <c r="R3308" s="1" t="n"/>
    </row>
    <row r="3309">
      <c r="A3309" s="61" t="n"/>
      <c r="B3309" s="16" t="n"/>
      <c r="C3309" s="90" t="n"/>
      <c r="D3309" s="90" t="n"/>
      <c r="E3309" s="90" t="n"/>
      <c r="F3309" s="16" t="n"/>
      <c r="G3309" s="16" t="n"/>
      <c r="H3309" s="63" t="n"/>
      <c r="I3309" s="64" t="n"/>
      <c r="J3309" s="16" t="n"/>
      <c r="K3309" s="16" t="n"/>
      <c r="M3309" s="89" t="n"/>
      <c r="N3309" s="1" t="n"/>
      <c r="O3309" s="1" t="n"/>
      <c r="P3309" s="1" t="n"/>
      <c r="Q3309" s="1" t="n"/>
      <c r="R3309" s="1" t="n"/>
    </row>
    <row r="3310">
      <c r="A3310" s="61" t="n"/>
      <c r="B3310" s="16" t="n"/>
      <c r="C3310" s="90" t="n"/>
      <c r="D3310" s="90" t="n"/>
      <c r="E3310" s="90" t="n"/>
      <c r="F3310" s="16" t="n"/>
      <c r="G3310" s="16" t="n"/>
      <c r="H3310" s="63" t="n"/>
      <c r="I3310" s="64" t="n"/>
      <c r="J3310" s="16" t="n"/>
      <c r="K3310" s="16" t="n"/>
      <c r="M3310" s="89" t="n"/>
      <c r="N3310" s="1" t="n"/>
      <c r="O3310" s="1" t="n"/>
      <c r="P3310" s="1" t="n"/>
      <c r="Q3310" s="1" t="n"/>
      <c r="R3310" s="1" t="n"/>
    </row>
    <row r="3311">
      <c r="A3311" s="61" t="n"/>
      <c r="B3311" s="16" t="n"/>
      <c r="C3311" s="90" t="n"/>
      <c r="D3311" s="90" t="n"/>
      <c r="E3311" s="90" t="n"/>
      <c r="F3311" s="16" t="n"/>
      <c r="G3311" s="16" t="n"/>
      <c r="H3311" s="63" t="n"/>
      <c r="I3311" s="64" t="n"/>
      <c r="J3311" s="16" t="n"/>
      <c r="K3311" s="16" t="n"/>
      <c r="M3311" s="89" t="n"/>
      <c r="N3311" s="1" t="n"/>
      <c r="O3311" s="1" t="n"/>
      <c r="P3311" s="1" t="n"/>
      <c r="Q3311" s="1" t="n"/>
      <c r="R3311" s="1" t="n"/>
    </row>
    <row r="3312">
      <c r="A3312" s="61" t="n"/>
      <c r="B3312" s="16" t="n"/>
      <c r="C3312" s="90" t="n"/>
      <c r="D3312" s="90" t="n"/>
      <c r="E3312" s="90" t="n"/>
      <c r="F3312" s="16" t="n"/>
      <c r="G3312" s="16" t="n"/>
      <c r="H3312" s="63" t="n"/>
      <c r="I3312" s="64" t="n"/>
      <c r="J3312" s="16" t="n"/>
      <c r="K3312" s="16" t="n"/>
      <c r="M3312" s="89" t="n"/>
      <c r="N3312" s="1" t="n"/>
      <c r="O3312" s="1" t="n"/>
      <c r="P3312" s="1" t="n"/>
      <c r="Q3312" s="1" t="n"/>
      <c r="R3312" s="1" t="n"/>
    </row>
    <row r="3313">
      <c r="A3313" s="61" t="n"/>
      <c r="B3313" s="16" t="n"/>
      <c r="C3313" s="90" t="n"/>
      <c r="D3313" s="90" t="n"/>
      <c r="E3313" s="90" t="n"/>
      <c r="F3313" s="16" t="n"/>
      <c r="G3313" s="16" t="n"/>
      <c r="H3313" s="63" t="n"/>
      <c r="I3313" s="64" t="n"/>
      <c r="J3313" s="16" t="n"/>
      <c r="K3313" s="16" t="n"/>
      <c r="M3313" s="89" t="n"/>
      <c r="N3313" s="1" t="n"/>
      <c r="O3313" s="1" t="n"/>
      <c r="P3313" s="1" t="n"/>
      <c r="Q3313" s="1" t="n"/>
      <c r="R3313" s="1" t="n"/>
    </row>
    <row r="3314">
      <c r="A3314" s="61" t="n"/>
      <c r="B3314" s="16" t="n"/>
      <c r="C3314" s="90" t="n"/>
      <c r="D3314" s="90" t="n"/>
      <c r="E3314" s="90" t="n"/>
      <c r="F3314" s="16" t="n"/>
      <c r="G3314" s="16" t="n"/>
      <c r="H3314" s="63" t="n"/>
      <c r="I3314" s="64" t="n"/>
      <c r="J3314" s="16" t="n"/>
      <c r="K3314" s="16" t="n"/>
      <c r="M3314" s="89" t="n"/>
      <c r="N3314" s="1" t="n"/>
      <c r="O3314" s="1" t="n"/>
      <c r="P3314" s="1" t="n"/>
      <c r="Q3314" s="1" t="n"/>
      <c r="R3314" s="1" t="n"/>
    </row>
    <row r="3315">
      <c r="A3315" s="61" t="n"/>
      <c r="B3315" s="16" t="n"/>
      <c r="C3315" s="90" t="n"/>
      <c r="D3315" s="90" t="n"/>
      <c r="E3315" s="90" t="n"/>
      <c r="F3315" s="16" t="n"/>
      <c r="G3315" s="16" t="n"/>
      <c r="H3315" s="63" t="n"/>
      <c r="I3315" s="64" t="n"/>
      <c r="J3315" s="16" t="n"/>
      <c r="K3315" s="16" t="n"/>
      <c r="M3315" s="89" t="n"/>
      <c r="N3315" s="1" t="n"/>
      <c r="O3315" s="1" t="n"/>
      <c r="P3315" s="1" t="n"/>
      <c r="Q3315" s="1" t="n"/>
      <c r="R3315" s="1" t="n"/>
    </row>
    <row r="3316">
      <c r="A3316" s="61" t="n"/>
      <c r="B3316" s="16" t="n"/>
      <c r="C3316" s="90" t="n"/>
      <c r="D3316" s="90" t="n"/>
      <c r="E3316" s="90" t="n"/>
      <c r="F3316" s="16" t="n"/>
      <c r="G3316" s="16" t="n"/>
      <c r="H3316" s="63" t="n"/>
      <c r="I3316" s="64" t="n"/>
      <c r="J3316" s="16" t="n"/>
      <c r="K3316" s="16" t="n"/>
      <c r="M3316" s="89" t="n"/>
      <c r="N3316" s="1" t="n"/>
      <c r="O3316" s="1" t="n"/>
      <c r="P3316" s="1" t="n"/>
      <c r="Q3316" s="1" t="n"/>
      <c r="R3316" s="1" t="n"/>
    </row>
    <row r="3317">
      <c r="A3317" s="61" t="n"/>
      <c r="B3317" s="16" t="n"/>
      <c r="C3317" s="90" t="n"/>
      <c r="D3317" s="90" t="n"/>
      <c r="E3317" s="90" t="n"/>
      <c r="F3317" s="16" t="n"/>
      <c r="G3317" s="16" t="n"/>
      <c r="H3317" s="63" t="n"/>
      <c r="I3317" s="64" t="n"/>
      <c r="J3317" s="16" t="n"/>
      <c r="K3317" s="16" t="n"/>
      <c r="M3317" s="89" t="n"/>
      <c r="N3317" s="1" t="n"/>
      <c r="O3317" s="1" t="n"/>
      <c r="P3317" s="1" t="n"/>
      <c r="Q3317" s="1" t="n"/>
      <c r="R3317" s="1" t="n"/>
    </row>
    <row r="3318">
      <c r="A3318" s="61" t="n"/>
      <c r="B3318" s="16" t="n"/>
      <c r="C3318" s="90" t="n"/>
      <c r="D3318" s="90" t="n"/>
      <c r="E3318" s="90" t="n"/>
      <c r="F3318" s="16" t="n"/>
      <c r="G3318" s="16" t="n"/>
      <c r="H3318" s="63" t="n"/>
      <c r="I3318" s="64" t="n"/>
      <c r="J3318" s="16" t="n"/>
      <c r="K3318" s="16" t="n"/>
      <c r="M3318" s="89" t="n"/>
      <c r="N3318" s="1" t="n"/>
      <c r="O3318" s="1" t="n"/>
      <c r="P3318" s="1" t="n"/>
      <c r="Q3318" s="1" t="n"/>
      <c r="R3318" s="1" t="n"/>
    </row>
    <row r="3319">
      <c r="A3319" s="61" t="n"/>
      <c r="B3319" s="16" t="n"/>
      <c r="C3319" s="90" t="n"/>
      <c r="D3319" s="90" t="n"/>
      <c r="E3319" s="90" t="n"/>
      <c r="F3319" s="16" t="n"/>
      <c r="G3319" s="16" t="n"/>
      <c r="H3319" s="63" t="n"/>
      <c r="I3319" s="64" t="n"/>
      <c r="J3319" s="16" t="n"/>
      <c r="K3319" s="16" t="n"/>
      <c r="M3319" s="89" t="n"/>
      <c r="N3319" s="1" t="n"/>
      <c r="O3319" s="1" t="n"/>
      <c r="P3319" s="1" t="n"/>
      <c r="Q3319" s="1" t="n"/>
      <c r="R3319" s="1" t="n"/>
    </row>
    <row r="3320">
      <c r="A3320" s="61" t="n"/>
      <c r="B3320" s="16" t="n"/>
      <c r="C3320" s="90" t="n"/>
      <c r="D3320" s="90" t="n"/>
      <c r="E3320" s="90" t="n"/>
      <c r="F3320" s="16" t="n"/>
      <c r="G3320" s="16" t="n"/>
      <c r="H3320" s="63" t="n"/>
      <c r="I3320" s="64" t="n"/>
      <c r="J3320" s="16" t="n"/>
      <c r="K3320" s="16" t="n"/>
      <c r="M3320" s="89" t="n"/>
      <c r="N3320" s="1" t="n"/>
      <c r="O3320" s="1" t="n"/>
      <c r="P3320" s="1" t="n"/>
      <c r="Q3320" s="1" t="n"/>
      <c r="R3320" s="1" t="n"/>
    </row>
    <row r="3321">
      <c r="A3321" s="61" t="n"/>
      <c r="B3321" s="16" t="n"/>
      <c r="C3321" s="90" t="n"/>
      <c r="D3321" s="90" t="n"/>
      <c r="E3321" s="90" t="n"/>
      <c r="F3321" s="16" t="n"/>
      <c r="G3321" s="16" t="n"/>
      <c r="H3321" s="63" t="n"/>
      <c r="I3321" s="64" t="n"/>
      <c r="J3321" s="16" t="n"/>
      <c r="K3321" s="16" t="n"/>
      <c r="M3321" s="89" t="n"/>
      <c r="N3321" s="1" t="n"/>
      <c r="O3321" s="1" t="n"/>
      <c r="P3321" s="1" t="n"/>
      <c r="Q3321" s="1" t="n"/>
      <c r="R3321" s="1" t="n"/>
    </row>
    <row r="3322">
      <c r="A3322" s="61" t="n"/>
      <c r="B3322" s="16" t="n"/>
      <c r="C3322" s="90" t="n"/>
      <c r="D3322" s="90" t="n"/>
      <c r="E3322" s="90" t="n"/>
      <c r="F3322" s="16" t="n"/>
      <c r="G3322" s="16" t="n"/>
      <c r="H3322" s="63" t="n"/>
      <c r="I3322" s="64" t="n"/>
      <c r="J3322" s="16" t="n"/>
      <c r="K3322" s="16" t="n"/>
      <c r="M3322" s="89" t="n"/>
      <c r="N3322" s="1" t="n"/>
      <c r="O3322" s="1" t="n"/>
      <c r="P3322" s="1" t="n"/>
      <c r="Q3322" s="1" t="n"/>
      <c r="R3322" s="1" t="n"/>
    </row>
    <row r="3323">
      <c r="A3323" s="61" t="n"/>
      <c r="B3323" s="16" t="n"/>
      <c r="C3323" s="90" t="n"/>
      <c r="D3323" s="90" t="n"/>
      <c r="E3323" s="90" t="n"/>
      <c r="F3323" s="16" t="n"/>
      <c r="G3323" s="16" t="n"/>
      <c r="H3323" s="63" t="n"/>
      <c r="I3323" s="64" t="n"/>
      <c r="J3323" s="16" t="n"/>
      <c r="K3323" s="16" t="n"/>
      <c r="M3323" s="89" t="n"/>
      <c r="N3323" s="1" t="n"/>
      <c r="O3323" s="1" t="n"/>
      <c r="P3323" s="1" t="n"/>
      <c r="Q3323" s="1" t="n"/>
      <c r="R3323" s="1" t="n"/>
    </row>
    <row r="3324">
      <c r="A3324" s="61" t="n"/>
      <c r="B3324" s="16" t="n"/>
      <c r="C3324" s="90" t="n"/>
      <c r="D3324" s="90" t="n"/>
      <c r="E3324" s="90" t="n"/>
      <c r="F3324" s="16" t="n"/>
      <c r="G3324" s="16" t="n"/>
      <c r="H3324" s="63" t="n"/>
      <c r="I3324" s="64" t="n"/>
      <c r="J3324" s="16" t="n"/>
      <c r="K3324" s="16" t="n"/>
      <c r="M3324" s="89" t="n"/>
      <c r="N3324" s="1" t="n"/>
      <c r="O3324" s="1" t="n"/>
      <c r="P3324" s="1" t="n"/>
      <c r="Q3324" s="1" t="n"/>
      <c r="R3324" s="1" t="n"/>
    </row>
    <row r="3325">
      <c r="A3325" s="61" t="n"/>
      <c r="B3325" s="16" t="n"/>
      <c r="C3325" s="90" t="n"/>
      <c r="D3325" s="90" t="n"/>
      <c r="E3325" s="90" t="n"/>
      <c r="F3325" s="16" t="n"/>
      <c r="G3325" s="16" t="n"/>
      <c r="H3325" s="63" t="n"/>
      <c r="I3325" s="64" t="n"/>
      <c r="J3325" s="16" t="n"/>
      <c r="K3325" s="16" t="n"/>
      <c r="M3325" s="89" t="n"/>
      <c r="N3325" s="1" t="n"/>
      <c r="O3325" s="1" t="n"/>
      <c r="P3325" s="1" t="n"/>
      <c r="Q3325" s="1" t="n"/>
      <c r="R3325" s="1" t="n"/>
    </row>
    <row r="3326">
      <c r="A3326" s="61" t="n"/>
      <c r="B3326" s="16" t="n"/>
      <c r="C3326" s="90" t="n"/>
      <c r="D3326" s="90" t="n"/>
      <c r="E3326" s="90" t="n"/>
      <c r="F3326" s="16" t="n"/>
      <c r="G3326" s="16" t="n"/>
      <c r="H3326" s="63" t="n"/>
      <c r="I3326" s="64" t="n"/>
      <c r="J3326" s="16" t="n"/>
      <c r="K3326" s="16" t="n"/>
      <c r="M3326" s="89" t="n"/>
      <c r="N3326" s="1" t="n"/>
      <c r="O3326" s="1" t="n"/>
      <c r="P3326" s="1" t="n"/>
      <c r="Q3326" s="1" t="n"/>
      <c r="R3326" s="1" t="n"/>
    </row>
    <row r="3327">
      <c r="A3327" s="61" t="n"/>
      <c r="B3327" s="16" t="n"/>
      <c r="C3327" s="90" t="n"/>
      <c r="D3327" s="90" t="n"/>
      <c r="E3327" s="90" t="n"/>
      <c r="F3327" s="16" t="n"/>
      <c r="G3327" s="16" t="n"/>
      <c r="H3327" s="63" t="n"/>
      <c r="I3327" s="64" t="n"/>
      <c r="J3327" s="16" t="n"/>
      <c r="K3327" s="16" t="n"/>
      <c r="M3327" s="89" t="n"/>
      <c r="N3327" s="1" t="n"/>
      <c r="O3327" s="1" t="n"/>
      <c r="P3327" s="1" t="n"/>
      <c r="Q3327" s="1" t="n"/>
      <c r="R3327" s="1" t="n"/>
    </row>
    <row r="3328">
      <c r="A3328" s="61" t="n"/>
      <c r="B3328" s="16" t="n"/>
      <c r="C3328" s="90" t="n"/>
      <c r="D3328" s="90" t="n"/>
      <c r="E3328" s="90" t="n"/>
      <c r="F3328" s="16" t="n"/>
      <c r="G3328" s="16" t="n"/>
      <c r="H3328" s="63" t="n"/>
      <c r="I3328" s="64" t="n"/>
      <c r="J3328" s="16" t="n"/>
      <c r="K3328" s="16" t="n"/>
      <c r="M3328" s="89" t="n"/>
      <c r="N3328" s="1" t="n"/>
      <c r="O3328" s="1" t="n"/>
      <c r="P3328" s="1" t="n"/>
      <c r="Q3328" s="1" t="n"/>
      <c r="R3328" s="1" t="n"/>
    </row>
    <row r="3329">
      <c r="A3329" s="61" t="n"/>
      <c r="B3329" s="16" t="n"/>
      <c r="C3329" s="90" t="n"/>
      <c r="D3329" s="90" t="n"/>
      <c r="E3329" s="90" t="n"/>
      <c r="F3329" s="16" t="n"/>
      <c r="G3329" s="16" t="n"/>
      <c r="H3329" s="63" t="n"/>
      <c r="I3329" s="64" t="n"/>
      <c r="J3329" s="16" t="n"/>
      <c r="K3329" s="16" t="n"/>
      <c r="M3329" s="89" t="n"/>
      <c r="N3329" s="1" t="n"/>
      <c r="O3329" s="1" t="n"/>
      <c r="P3329" s="1" t="n"/>
      <c r="Q3329" s="1" t="n"/>
      <c r="R3329" s="1" t="n"/>
    </row>
    <row r="3330">
      <c r="A3330" s="61" t="n"/>
      <c r="B3330" s="16" t="n"/>
      <c r="C3330" s="90" t="n"/>
      <c r="D3330" s="90" t="n"/>
      <c r="E3330" s="90" t="n"/>
      <c r="F3330" s="16" t="n"/>
      <c r="G3330" s="16" t="n"/>
      <c r="H3330" s="63" t="n"/>
      <c r="I3330" s="64" t="n"/>
      <c r="J3330" s="16" t="n"/>
      <c r="K3330" s="16" t="n"/>
      <c r="M3330" s="89" t="n"/>
      <c r="N3330" s="1" t="n"/>
      <c r="O3330" s="1" t="n"/>
      <c r="P3330" s="1" t="n"/>
      <c r="Q3330" s="1" t="n"/>
      <c r="R3330" s="1" t="n"/>
    </row>
    <row r="3331">
      <c r="A3331" s="61" t="n"/>
      <c r="B3331" s="16" t="n"/>
      <c r="C3331" s="90" t="n"/>
      <c r="D3331" s="90" t="n"/>
      <c r="E3331" s="90" t="n"/>
      <c r="F3331" s="16" t="n"/>
      <c r="G3331" s="16" t="n"/>
      <c r="H3331" s="63" t="n"/>
      <c r="I3331" s="64" t="n"/>
      <c r="J3331" s="16" t="n"/>
      <c r="K3331" s="16" t="n"/>
      <c r="M3331" s="89" t="n"/>
      <c r="N3331" s="1" t="n"/>
      <c r="O3331" s="1" t="n"/>
      <c r="P3331" s="1" t="n"/>
      <c r="Q3331" s="1" t="n"/>
      <c r="R3331" s="1" t="n"/>
    </row>
    <row r="3332">
      <c r="A3332" s="61" t="n"/>
      <c r="B3332" s="16" t="n"/>
      <c r="C3332" s="90" t="n"/>
      <c r="D3332" s="90" t="n"/>
      <c r="E3332" s="90" t="n"/>
      <c r="F3332" s="16" t="n"/>
      <c r="G3332" s="16" t="n"/>
      <c r="H3332" s="63" t="n"/>
      <c r="I3332" s="64" t="n"/>
      <c r="J3332" s="16" t="n"/>
      <c r="K3332" s="16" t="n"/>
      <c r="M3332" s="89" t="n"/>
      <c r="N3332" s="1" t="n"/>
      <c r="O3332" s="1" t="n"/>
      <c r="P3332" s="1" t="n"/>
      <c r="Q3332" s="1" t="n"/>
      <c r="R3332" s="1" t="n"/>
    </row>
    <row r="3333">
      <c r="A3333" s="61" t="n"/>
      <c r="B3333" s="16" t="n"/>
      <c r="C3333" s="90" t="n"/>
      <c r="D3333" s="90" t="n"/>
      <c r="E3333" s="90" t="n"/>
      <c r="F3333" s="16" t="n"/>
      <c r="G3333" s="16" t="n"/>
      <c r="H3333" s="63" t="n"/>
      <c r="I3333" s="64" t="n"/>
      <c r="J3333" s="16" t="n"/>
      <c r="K3333" s="16" t="n"/>
      <c r="M3333" s="89" t="n"/>
      <c r="N3333" s="1" t="n"/>
      <c r="O3333" s="1" t="n"/>
      <c r="P3333" s="1" t="n"/>
      <c r="Q3333" s="1" t="n"/>
      <c r="R3333" s="1" t="n"/>
    </row>
    <row r="3334">
      <c r="A3334" s="61" t="n"/>
      <c r="B3334" s="16" t="n"/>
      <c r="C3334" s="90" t="n"/>
      <c r="D3334" s="90" t="n"/>
      <c r="E3334" s="90" t="n"/>
      <c r="F3334" s="16" t="n"/>
      <c r="G3334" s="16" t="n"/>
      <c r="H3334" s="63" t="n"/>
      <c r="I3334" s="64" t="n"/>
      <c r="J3334" s="16" t="n"/>
      <c r="K3334" s="16" t="n"/>
      <c r="M3334" s="89" t="n"/>
      <c r="N3334" s="1" t="n"/>
      <c r="O3334" s="1" t="n"/>
      <c r="P3334" s="1" t="n"/>
      <c r="Q3334" s="1" t="n"/>
      <c r="R3334" s="1" t="n"/>
    </row>
    <row r="3335">
      <c r="A3335" s="61" t="n"/>
      <c r="B3335" s="16" t="n"/>
      <c r="C3335" s="90" t="n"/>
      <c r="D3335" s="90" t="n"/>
      <c r="E3335" s="90" t="n"/>
      <c r="F3335" s="16" t="n"/>
      <c r="G3335" s="16" t="n"/>
      <c r="H3335" s="63" t="n"/>
      <c r="I3335" s="64" t="n"/>
      <c r="J3335" s="16" t="n"/>
      <c r="K3335" s="16" t="n"/>
      <c r="M3335" s="89" t="n"/>
      <c r="N3335" s="1" t="n"/>
      <c r="O3335" s="1" t="n"/>
      <c r="P3335" s="1" t="n"/>
      <c r="Q3335" s="1" t="n"/>
      <c r="R3335" s="1" t="n"/>
    </row>
    <row r="3336">
      <c r="A3336" s="61" t="n"/>
      <c r="B3336" s="16" t="n"/>
      <c r="C3336" s="90" t="n"/>
      <c r="D3336" s="90" t="n"/>
      <c r="E3336" s="90" t="n"/>
      <c r="F3336" s="16" t="n"/>
      <c r="G3336" s="16" t="n"/>
      <c r="H3336" s="63" t="n"/>
      <c r="I3336" s="64" t="n"/>
      <c r="J3336" s="16" t="n"/>
      <c r="K3336" s="16" t="n"/>
      <c r="M3336" s="89" t="n"/>
      <c r="N3336" s="1" t="n"/>
      <c r="O3336" s="1" t="n"/>
      <c r="P3336" s="1" t="n"/>
      <c r="Q3336" s="1" t="n"/>
      <c r="R3336" s="1" t="n"/>
    </row>
    <row r="3337">
      <c r="A3337" s="61" t="n"/>
      <c r="B3337" s="16" t="n"/>
      <c r="C3337" s="90" t="n"/>
      <c r="D3337" s="90" t="n"/>
      <c r="E3337" s="90" t="n"/>
      <c r="F3337" s="16" t="n"/>
      <c r="G3337" s="16" t="n"/>
      <c r="H3337" s="63" t="n"/>
      <c r="I3337" s="64" t="n"/>
      <c r="J3337" s="16" t="n"/>
      <c r="K3337" s="16" t="n"/>
      <c r="M3337" s="89" t="n"/>
      <c r="N3337" s="1" t="n"/>
      <c r="O3337" s="1" t="n"/>
      <c r="P3337" s="1" t="n"/>
      <c r="Q3337" s="1" t="n"/>
      <c r="R3337" s="1" t="n"/>
    </row>
    <row r="3338">
      <c r="A3338" s="61" t="n"/>
      <c r="B3338" s="16" t="n"/>
      <c r="C3338" s="90" t="n"/>
      <c r="D3338" s="90" t="n"/>
      <c r="E3338" s="90" t="n"/>
      <c r="F3338" s="16" t="n"/>
      <c r="G3338" s="16" t="n"/>
      <c r="H3338" s="63" t="n"/>
      <c r="I3338" s="64" t="n"/>
      <c r="J3338" s="16" t="n"/>
      <c r="K3338" s="16" t="n"/>
      <c r="M3338" s="89" t="n"/>
      <c r="N3338" s="1" t="n"/>
      <c r="O3338" s="1" t="n"/>
      <c r="P3338" s="1" t="n"/>
      <c r="Q3338" s="1" t="n"/>
      <c r="R3338" s="1" t="n"/>
    </row>
    <row r="3339">
      <c r="A3339" s="61" t="n"/>
      <c r="B3339" s="16" t="n"/>
      <c r="C3339" s="90" t="n"/>
      <c r="D3339" s="90" t="n"/>
      <c r="E3339" s="90" t="n"/>
      <c r="F3339" s="16" t="n"/>
      <c r="G3339" s="16" t="n"/>
      <c r="H3339" s="63" t="n"/>
      <c r="I3339" s="64" t="n"/>
      <c r="J3339" s="16" t="n"/>
      <c r="K3339" s="16" t="n"/>
      <c r="M3339" s="89" t="n"/>
      <c r="N3339" s="1" t="n"/>
      <c r="O3339" s="1" t="n"/>
      <c r="P3339" s="1" t="n"/>
      <c r="Q3339" s="1" t="n"/>
      <c r="R3339" s="1" t="n"/>
    </row>
    <row r="3340">
      <c r="A3340" s="61" t="n"/>
      <c r="B3340" s="16" t="n"/>
      <c r="C3340" s="90" t="n"/>
      <c r="D3340" s="90" t="n"/>
      <c r="E3340" s="90" t="n"/>
      <c r="F3340" s="16" t="n"/>
      <c r="G3340" s="16" t="n"/>
      <c r="H3340" s="63" t="n"/>
      <c r="I3340" s="64" t="n"/>
      <c r="J3340" s="16" t="n"/>
      <c r="K3340" s="16" t="n"/>
      <c r="M3340" s="89" t="n"/>
      <c r="N3340" s="1" t="n"/>
      <c r="O3340" s="1" t="n"/>
      <c r="P3340" s="1" t="n"/>
      <c r="Q3340" s="1" t="n"/>
      <c r="R3340" s="1" t="n"/>
    </row>
    <row r="3341">
      <c r="A3341" s="61" t="n"/>
      <c r="B3341" s="16" t="n"/>
      <c r="C3341" s="90" t="n"/>
      <c r="D3341" s="90" t="n"/>
      <c r="E3341" s="90" t="n"/>
      <c r="F3341" s="16" t="n"/>
      <c r="G3341" s="16" t="n"/>
      <c r="H3341" s="63" t="n"/>
      <c r="I3341" s="64" t="n"/>
      <c r="J3341" s="16" t="n"/>
      <c r="K3341" s="16" t="n"/>
      <c r="M3341" s="89" t="n"/>
      <c r="N3341" s="1" t="n"/>
      <c r="O3341" s="1" t="n"/>
      <c r="P3341" s="1" t="n"/>
      <c r="Q3341" s="1" t="n"/>
      <c r="R3341" s="1" t="n"/>
    </row>
    <row r="3342">
      <c r="A3342" s="61" t="n"/>
      <c r="B3342" s="16" t="n"/>
      <c r="C3342" s="90" t="n"/>
      <c r="D3342" s="90" t="n"/>
      <c r="E3342" s="90" t="n"/>
      <c r="F3342" s="16" t="n"/>
      <c r="G3342" s="16" t="n"/>
      <c r="H3342" s="63" t="n"/>
      <c r="I3342" s="64" t="n"/>
      <c r="J3342" s="16" t="n"/>
      <c r="K3342" s="16" t="n"/>
      <c r="M3342" s="89" t="n"/>
      <c r="N3342" s="1" t="n"/>
      <c r="O3342" s="1" t="n"/>
      <c r="P3342" s="1" t="n"/>
      <c r="Q3342" s="1" t="n"/>
      <c r="R3342" s="1" t="n"/>
    </row>
    <row r="3343">
      <c r="A3343" s="61" t="n"/>
      <c r="B3343" s="16" t="n"/>
      <c r="C3343" s="90" t="n"/>
      <c r="D3343" s="90" t="n"/>
      <c r="E3343" s="90" t="n"/>
      <c r="F3343" s="16" t="n"/>
      <c r="G3343" s="16" t="n"/>
      <c r="H3343" s="63" t="n"/>
      <c r="I3343" s="64" t="n"/>
      <c r="J3343" s="16" t="n"/>
      <c r="K3343" s="16" t="n"/>
      <c r="M3343" s="89" t="n"/>
      <c r="N3343" s="1" t="n"/>
      <c r="O3343" s="1" t="n"/>
      <c r="P3343" s="1" t="n"/>
      <c r="Q3343" s="1" t="n"/>
      <c r="R3343" s="1" t="n"/>
    </row>
    <row r="3344">
      <c r="A3344" s="61" t="n"/>
      <c r="B3344" s="16" t="n"/>
      <c r="C3344" s="90" t="n"/>
      <c r="D3344" s="90" t="n"/>
      <c r="E3344" s="90" t="n"/>
      <c r="F3344" s="16" t="n"/>
      <c r="G3344" s="16" t="n"/>
      <c r="H3344" s="63" t="n"/>
      <c r="I3344" s="64" t="n"/>
      <c r="J3344" s="16" t="n"/>
      <c r="K3344" s="16" t="n"/>
      <c r="M3344" s="89" t="n"/>
      <c r="N3344" s="1" t="n"/>
      <c r="O3344" s="1" t="n"/>
      <c r="P3344" s="1" t="n"/>
      <c r="Q3344" s="1" t="n"/>
      <c r="R3344" s="1" t="n"/>
    </row>
    <row r="3345">
      <c r="A3345" s="61" t="n"/>
      <c r="B3345" s="16" t="n"/>
      <c r="C3345" s="90" t="n"/>
      <c r="D3345" s="90" t="n"/>
      <c r="E3345" s="90" t="n"/>
      <c r="F3345" s="16" t="n"/>
      <c r="G3345" s="16" t="n"/>
      <c r="H3345" s="63" t="n"/>
      <c r="I3345" s="64" t="n"/>
      <c r="J3345" s="16" t="n"/>
      <c r="K3345" s="16" t="n"/>
      <c r="M3345" s="89" t="n"/>
      <c r="N3345" s="1" t="n"/>
      <c r="O3345" s="1" t="n"/>
      <c r="P3345" s="1" t="n"/>
      <c r="Q3345" s="1" t="n"/>
      <c r="R3345" s="1" t="n"/>
    </row>
    <row r="3346">
      <c r="A3346" s="61" t="n"/>
      <c r="B3346" s="16" t="n"/>
      <c r="C3346" s="90" t="n"/>
      <c r="D3346" s="90" t="n"/>
      <c r="E3346" s="90" t="n"/>
      <c r="F3346" s="16" t="n"/>
      <c r="G3346" s="16" t="n"/>
      <c r="H3346" s="63" t="n"/>
      <c r="I3346" s="64" t="n"/>
      <c r="J3346" s="16" t="n"/>
      <c r="K3346" s="16" t="n"/>
      <c r="M3346" s="89" t="n"/>
      <c r="N3346" s="1" t="n"/>
      <c r="O3346" s="1" t="n"/>
      <c r="P3346" s="1" t="n"/>
      <c r="Q3346" s="1" t="n"/>
      <c r="R3346" s="1" t="n"/>
    </row>
    <row r="3347">
      <c r="A3347" s="61" t="n"/>
      <c r="B3347" s="16" t="n"/>
      <c r="C3347" s="90" t="n"/>
      <c r="D3347" s="90" t="n"/>
      <c r="E3347" s="90" t="n"/>
      <c r="F3347" s="16" t="n"/>
      <c r="G3347" s="16" t="n"/>
      <c r="H3347" s="63" t="n"/>
      <c r="I3347" s="64" t="n"/>
      <c r="J3347" s="16" t="n"/>
      <c r="K3347" s="16" t="n"/>
      <c r="M3347" s="89" t="n"/>
      <c r="N3347" s="1" t="n"/>
      <c r="O3347" s="1" t="n"/>
      <c r="P3347" s="1" t="n"/>
      <c r="Q3347" s="1" t="n"/>
      <c r="R3347" s="1" t="n"/>
    </row>
    <row r="3348">
      <c r="A3348" s="61" t="n"/>
      <c r="B3348" s="16" t="n"/>
      <c r="C3348" s="90" t="n"/>
      <c r="D3348" s="90" t="n"/>
      <c r="E3348" s="90" t="n"/>
      <c r="F3348" s="16" t="n"/>
      <c r="G3348" s="16" t="n"/>
      <c r="H3348" s="63" t="n"/>
      <c r="I3348" s="64" t="n"/>
      <c r="J3348" s="16" t="n"/>
      <c r="K3348" s="16" t="n"/>
      <c r="M3348" s="89" t="n"/>
      <c r="N3348" s="1" t="n"/>
      <c r="O3348" s="1" t="n"/>
      <c r="P3348" s="1" t="n"/>
      <c r="Q3348" s="1" t="n"/>
      <c r="R3348" s="1" t="n"/>
    </row>
    <row r="3349">
      <c r="A3349" s="61" t="n"/>
      <c r="B3349" s="16" t="n"/>
      <c r="C3349" s="90" t="n"/>
      <c r="D3349" s="90" t="n"/>
      <c r="E3349" s="90" t="n"/>
      <c r="F3349" s="16" t="n"/>
      <c r="G3349" s="16" t="n"/>
      <c r="H3349" s="63" t="n"/>
      <c r="I3349" s="64" t="n"/>
      <c r="J3349" s="16" t="n"/>
      <c r="K3349" s="16" t="n"/>
      <c r="M3349" s="89" t="n"/>
      <c r="N3349" s="1" t="n"/>
      <c r="O3349" s="1" t="n"/>
      <c r="P3349" s="1" t="n"/>
      <c r="Q3349" s="1" t="n"/>
      <c r="R3349" s="1" t="n"/>
    </row>
    <row r="3350">
      <c r="A3350" s="61" t="n"/>
      <c r="B3350" s="16" t="n"/>
      <c r="C3350" s="90" t="n"/>
      <c r="D3350" s="90" t="n"/>
      <c r="E3350" s="90" t="n"/>
      <c r="F3350" s="16" t="n"/>
      <c r="G3350" s="16" t="n"/>
      <c r="H3350" s="63" t="n"/>
      <c r="I3350" s="64" t="n"/>
      <c r="J3350" s="16" t="n"/>
      <c r="K3350" s="16" t="n"/>
      <c r="M3350" s="89" t="n"/>
      <c r="N3350" s="1" t="n"/>
      <c r="O3350" s="1" t="n"/>
      <c r="P3350" s="1" t="n"/>
      <c r="Q3350" s="1" t="n"/>
      <c r="R3350" s="1" t="n"/>
    </row>
    <row r="3351">
      <c r="A3351" s="61" t="n"/>
      <c r="B3351" s="16" t="n"/>
      <c r="C3351" s="90" t="n"/>
      <c r="D3351" s="90" t="n"/>
      <c r="E3351" s="90" t="n"/>
      <c r="F3351" s="16" t="n"/>
      <c r="G3351" s="16" t="n"/>
      <c r="H3351" s="63" t="n"/>
      <c r="I3351" s="64" t="n"/>
      <c r="J3351" s="16" t="n"/>
      <c r="K3351" s="16" t="n"/>
      <c r="M3351" s="89" t="n"/>
      <c r="N3351" s="1" t="n"/>
      <c r="O3351" s="1" t="n"/>
      <c r="P3351" s="1" t="n"/>
      <c r="Q3351" s="1" t="n"/>
      <c r="R3351" s="1" t="n"/>
    </row>
    <row r="3352">
      <c r="A3352" s="61" t="n"/>
      <c r="B3352" s="16" t="n"/>
      <c r="C3352" s="90" t="n"/>
      <c r="D3352" s="90" t="n"/>
      <c r="E3352" s="90" t="n"/>
      <c r="F3352" s="16" t="n"/>
      <c r="G3352" s="16" t="n"/>
      <c r="H3352" s="63" t="n"/>
      <c r="I3352" s="64" t="n"/>
      <c r="J3352" s="16" t="n"/>
      <c r="K3352" s="16" t="n"/>
      <c r="M3352" s="89" t="n"/>
      <c r="N3352" s="1" t="n"/>
      <c r="O3352" s="1" t="n"/>
      <c r="P3352" s="1" t="n"/>
      <c r="Q3352" s="1" t="n"/>
      <c r="R3352" s="1" t="n"/>
    </row>
    <row r="3353">
      <c r="A3353" s="61" t="n"/>
      <c r="B3353" s="16" t="n"/>
      <c r="C3353" s="90" t="n"/>
      <c r="D3353" s="90" t="n"/>
      <c r="E3353" s="90" t="n"/>
      <c r="F3353" s="16" t="n"/>
      <c r="G3353" s="16" t="n"/>
      <c r="H3353" s="63" t="n"/>
      <c r="I3353" s="64" t="n"/>
      <c r="J3353" s="16" t="n"/>
      <c r="K3353" s="16" t="n"/>
      <c r="M3353" s="89" t="n"/>
      <c r="N3353" s="1" t="n"/>
      <c r="O3353" s="1" t="n"/>
      <c r="P3353" s="1" t="n"/>
      <c r="Q3353" s="1" t="n"/>
      <c r="R3353" s="1" t="n"/>
    </row>
    <row r="3354">
      <c r="A3354" s="61" t="n"/>
      <c r="B3354" s="16" t="n"/>
      <c r="C3354" s="90" t="n"/>
      <c r="D3354" s="90" t="n"/>
      <c r="E3354" s="90" t="n"/>
      <c r="F3354" s="16" t="n"/>
      <c r="G3354" s="16" t="n"/>
      <c r="H3354" s="63" t="n"/>
      <c r="I3354" s="64" t="n"/>
      <c r="J3354" s="16" t="n"/>
      <c r="K3354" s="16" t="n"/>
      <c r="M3354" s="89" t="n"/>
      <c r="N3354" s="1" t="n"/>
      <c r="O3354" s="1" t="n"/>
      <c r="P3354" s="1" t="n"/>
      <c r="Q3354" s="1" t="n"/>
      <c r="R3354" s="1" t="n"/>
    </row>
    <row r="3355">
      <c r="A3355" s="61" t="n"/>
      <c r="B3355" s="16" t="n"/>
      <c r="C3355" s="90" t="n"/>
      <c r="D3355" s="90" t="n"/>
      <c r="E3355" s="90" t="n"/>
      <c r="F3355" s="16" t="n"/>
      <c r="G3355" s="16" t="n"/>
      <c r="H3355" s="63" t="n"/>
      <c r="I3355" s="64" t="n"/>
      <c r="J3355" s="16" t="n"/>
      <c r="K3355" s="16" t="n"/>
      <c r="M3355" s="89" t="n"/>
      <c r="N3355" s="1" t="n"/>
      <c r="O3355" s="1" t="n"/>
      <c r="P3355" s="1" t="n"/>
      <c r="Q3355" s="1" t="n"/>
      <c r="R3355" s="1" t="n"/>
    </row>
    <row r="3356">
      <c r="A3356" s="61" t="n"/>
      <c r="B3356" s="16" t="n"/>
      <c r="C3356" s="90" t="n"/>
      <c r="D3356" s="90" t="n"/>
      <c r="E3356" s="90" t="n"/>
      <c r="F3356" s="16" t="n"/>
      <c r="G3356" s="16" t="n"/>
      <c r="H3356" s="63" t="n"/>
      <c r="I3356" s="64" t="n"/>
      <c r="J3356" s="16" t="n"/>
      <c r="K3356" s="16" t="n"/>
      <c r="M3356" s="89" t="n"/>
      <c r="N3356" s="1" t="n"/>
      <c r="O3356" s="1" t="n"/>
      <c r="P3356" s="1" t="n"/>
      <c r="Q3356" s="1" t="n"/>
      <c r="R3356" s="1" t="n"/>
    </row>
    <row r="3357">
      <c r="A3357" s="61" t="n"/>
      <c r="B3357" s="16" t="n"/>
      <c r="C3357" s="90" t="n"/>
      <c r="D3357" s="90" t="n"/>
      <c r="E3357" s="90" t="n"/>
      <c r="F3357" s="16" t="n"/>
      <c r="G3357" s="16" t="n"/>
      <c r="H3357" s="63" t="n"/>
      <c r="I3357" s="64" t="n"/>
      <c r="J3357" s="16" t="n"/>
      <c r="K3357" s="16" t="n"/>
      <c r="M3357" s="89" t="n"/>
      <c r="N3357" s="1" t="n"/>
      <c r="O3357" s="1" t="n"/>
      <c r="P3357" s="1" t="n"/>
      <c r="Q3357" s="1" t="n"/>
      <c r="R3357" s="1" t="n"/>
    </row>
    <row r="3358">
      <c r="A3358" s="61" t="n"/>
      <c r="B3358" s="16" t="n"/>
      <c r="C3358" s="90" t="n"/>
      <c r="D3358" s="90" t="n"/>
      <c r="E3358" s="90" t="n"/>
      <c r="F3358" s="16" t="n"/>
      <c r="G3358" s="16" t="n"/>
      <c r="H3358" s="63" t="n"/>
      <c r="I3358" s="64" t="n"/>
      <c r="J3358" s="16" t="n"/>
      <c r="K3358" s="16" t="n"/>
      <c r="M3358" s="89" t="n"/>
      <c r="N3358" s="1" t="n"/>
      <c r="O3358" s="1" t="n"/>
      <c r="P3358" s="1" t="n"/>
      <c r="Q3358" s="1" t="n"/>
      <c r="R3358" s="1" t="n"/>
    </row>
    <row r="3359">
      <c r="A3359" s="61" t="n"/>
      <c r="B3359" s="16" t="n"/>
      <c r="C3359" s="90" t="n"/>
      <c r="D3359" s="90" t="n"/>
      <c r="E3359" s="90" t="n"/>
      <c r="F3359" s="16" t="n"/>
      <c r="G3359" s="16" t="n"/>
      <c r="H3359" s="63" t="n"/>
      <c r="I3359" s="64" t="n"/>
      <c r="J3359" s="16" t="n"/>
      <c r="K3359" s="16" t="n"/>
      <c r="M3359" s="89" t="n"/>
      <c r="N3359" s="1" t="n"/>
      <c r="O3359" s="1" t="n"/>
      <c r="P3359" s="1" t="n"/>
      <c r="Q3359" s="1" t="n"/>
      <c r="R3359" s="1" t="n"/>
    </row>
    <row r="3360">
      <c r="A3360" s="61" t="n"/>
      <c r="B3360" s="16" t="n"/>
      <c r="C3360" s="90" t="n"/>
      <c r="D3360" s="90" t="n"/>
      <c r="E3360" s="90" t="n"/>
      <c r="F3360" s="16" t="n"/>
      <c r="G3360" s="16" t="n"/>
      <c r="H3360" s="63" t="n"/>
      <c r="I3360" s="64" t="n"/>
      <c r="J3360" s="16" t="n"/>
      <c r="K3360" s="16" t="n"/>
      <c r="M3360" s="89" t="n"/>
      <c r="N3360" s="1" t="n"/>
      <c r="O3360" s="1" t="n"/>
      <c r="P3360" s="1" t="n"/>
      <c r="Q3360" s="1" t="n"/>
      <c r="R3360" s="1" t="n"/>
    </row>
    <row r="3361">
      <c r="A3361" s="61" t="n"/>
      <c r="B3361" s="16" t="n"/>
      <c r="C3361" s="90" t="n"/>
      <c r="D3361" s="90" t="n"/>
      <c r="E3361" s="90" t="n"/>
      <c r="F3361" s="16" t="n"/>
      <c r="G3361" s="16" t="n"/>
      <c r="H3361" s="63" t="n"/>
      <c r="I3361" s="64" t="n"/>
      <c r="J3361" s="16" t="n"/>
      <c r="K3361" s="16" t="n"/>
      <c r="M3361" s="89" t="n"/>
      <c r="N3361" s="1" t="n"/>
      <c r="O3361" s="1" t="n"/>
      <c r="P3361" s="1" t="n"/>
      <c r="Q3361" s="1" t="n"/>
      <c r="R3361" s="1" t="n"/>
    </row>
    <row r="3362">
      <c r="A3362" s="61" t="n"/>
      <c r="B3362" s="16" t="n"/>
      <c r="C3362" s="90" t="n"/>
      <c r="D3362" s="90" t="n"/>
      <c r="E3362" s="90" t="n"/>
      <c r="F3362" s="16" t="n"/>
      <c r="G3362" s="16" t="n"/>
      <c r="H3362" s="63" t="n"/>
      <c r="I3362" s="64" t="n"/>
      <c r="J3362" s="16" t="n"/>
      <c r="K3362" s="16" t="n"/>
      <c r="M3362" s="89" t="n"/>
      <c r="N3362" s="1" t="n"/>
      <c r="O3362" s="1" t="n"/>
      <c r="P3362" s="1" t="n"/>
      <c r="Q3362" s="1" t="n"/>
      <c r="R3362" s="1" t="n"/>
    </row>
    <row r="3363">
      <c r="A3363" s="61" t="n"/>
      <c r="B3363" s="16" t="n"/>
      <c r="C3363" s="90" t="n"/>
      <c r="D3363" s="90" t="n"/>
      <c r="E3363" s="90" t="n"/>
      <c r="F3363" s="16" t="n"/>
      <c r="G3363" s="16" t="n"/>
      <c r="H3363" s="63" t="n"/>
      <c r="I3363" s="64" t="n"/>
      <c r="J3363" s="16" t="n"/>
      <c r="K3363" s="16" t="n"/>
      <c r="M3363" s="89" t="n"/>
      <c r="N3363" s="1" t="n"/>
      <c r="O3363" s="1" t="n"/>
      <c r="P3363" s="1" t="n"/>
      <c r="Q3363" s="1" t="n"/>
      <c r="R3363" s="1" t="n"/>
    </row>
    <row r="3364">
      <c r="A3364" s="61" t="n"/>
      <c r="B3364" s="16" t="n"/>
      <c r="C3364" s="90" t="n"/>
      <c r="D3364" s="90" t="n"/>
      <c r="E3364" s="90" t="n"/>
      <c r="F3364" s="16" t="n"/>
      <c r="G3364" s="16" t="n"/>
      <c r="H3364" s="63" t="n"/>
      <c r="I3364" s="64" t="n"/>
      <c r="J3364" s="16" t="n"/>
      <c r="K3364" s="16" t="n"/>
      <c r="M3364" s="89" t="n"/>
      <c r="N3364" s="1" t="n"/>
      <c r="O3364" s="1" t="n"/>
      <c r="P3364" s="1" t="n"/>
      <c r="Q3364" s="1" t="n"/>
      <c r="R3364" s="1" t="n"/>
    </row>
    <row r="3365">
      <c r="A3365" s="61" t="n"/>
      <c r="B3365" s="16" t="n"/>
      <c r="C3365" s="90" t="n"/>
      <c r="D3365" s="90" t="n"/>
      <c r="E3365" s="90" t="n"/>
      <c r="F3365" s="16" t="n"/>
      <c r="G3365" s="16" t="n"/>
      <c r="H3365" s="63" t="n"/>
      <c r="I3365" s="64" t="n"/>
      <c r="J3365" s="16" t="n"/>
      <c r="K3365" s="16" t="n"/>
      <c r="M3365" s="89" t="n"/>
      <c r="N3365" s="1" t="n"/>
      <c r="O3365" s="1" t="n"/>
      <c r="P3365" s="1" t="n"/>
      <c r="Q3365" s="1" t="n"/>
      <c r="R3365" s="1" t="n"/>
    </row>
    <row r="3366">
      <c r="A3366" s="61" t="n"/>
      <c r="B3366" s="16" t="n"/>
      <c r="C3366" s="90" t="n"/>
      <c r="D3366" s="90" t="n"/>
      <c r="E3366" s="90" t="n"/>
      <c r="F3366" s="16" t="n"/>
      <c r="G3366" s="16" t="n"/>
      <c r="H3366" s="63" t="n"/>
      <c r="I3366" s="64" t="n"/>
      <c r="J3366" s="16" t="n"/>
      <c r="K3366" s="16" t="n"/>
      <c r="M3366" s="89" t="n"/>
      <c r="N3366" s="1" t="n"/>
      <c r="O3366" s="1" t="n"/>
      <c r="P3366" s="1" t="n"/>
      <c r="Q3366" s="1" t="n"/>
      <c r="R3366" s="1" t="n"/>
    </row>
    <row r="3367">
      <c r="A3367" s="61" t="n"/>
      <c r="B3367" s="16" t="n"/>
      <c r="C3367" s="90" t="n"/>
      <c r="D3367" s="90" t="n"/>
      <c r="E3367" s="90" t="n"/>
      <c r="F3367" s="16" t="n"/>
      <c r="G3367" s="16" t="n"/>
      <c r="H3367" s="63" t="n"/>
      <c r="I3367" s="64" t="n"/>
      <c r="J3367" s="16" t="n"/>
      <c r="K3367" s="16" t="n"/>
      <c r="M3367" s="89" t="n"/>
      <c r="N3367" s="1" t="n"/>
      <c r="O3367" s="1" t="n"/>
      <c r="P3367" s="1" t="n"/>
      <c r="Q3367" s="1" t="n"/>
      <c r="R3367" s="1" t="n"/>
    </row>
    <row r="3368">
      <c r="A3368" s="61" t="n"/>
      <c r="B3368" s="16" t="n"/>
      <c r="C3368" s="90" t="n"/>
      <c r="D3368" s="90" t="n"/>
      <c r="E3368" s="90" t="n"/>
      <c r="F3368" s="16" t="n"/>
      <c r="G3368" s="16" t="n"/>
      <c r="H3368" s="63" t="n"/>
      <c r="I3368" s="64" t="n"/>
      <c r="J3368" s="16" t="n"/>
      <c r="K3368" s="16" t="n"/>
      <c r="M3368" s="89" t="n"/>
      <c r="N3368" s="1" t="n"/>
      <c r="O3368" s="1" t="n"/>
      <c r="P3368" s="1" t="n"/>
      <c r="Q3368" s="1" t="n"/>
      <c r="R3368" s="1" t="n"/>
    </row>
    <row r="3369">
      <c r="A3369" s="61" t="n"/>
      <c r="B3369" s="16" t="n"/>
      <c r="C3369" s="90" t="n"/>
      <c r="D3369" s="90" t="n"/>
      <c r="E3369" s="90" t="n"/>
      <c r="F3369" s="16" t="n"/>
      <c r="G3369" s="16" t="n"/>
      <c r="H3369" s="63" t="n"/>
      <c r="I3369" s="64" t="n"/>
      <c r="J3369" s="16" t="n"/>
      <c r="K3369" s="16" t="n"/>
      <c r="M3369" s="89" t="n"/>
      <c r="N3369" s="1" t="n"/>
      <c r="O3369" s="1" t="n"/>
      <c r="P3369" s="1" t="n"/>
      <c r="Q3369" s="1" t="n"/>
      <c r="R3369" s="1" t="n"/>
    </row>
    <row r="3370">
      <c r="A3370" s="61" t="n"/>
      <c r="B3370" s="16" t="n"/>
      <c r="C3370" s="90" t="n"/>
      <c r="D3370" s="90" t="n"/>
      <c r="E3370" s="90" t="n"/>
      <c r="F3370" s="16" t="n"/>
      <c r="G3370" s="16" t="n"/>
      <c r="H3370" s="63" t="n"/>
      <c r="I3370" s="64" t="n"/>
      <c r="J3370" s="16" t="n"/>
      <c r="K3370" s="16" t="n"/>
      <c r="M3370" s="89" t="n"/>
      <c r="N3370" s="1" t="n"/>
      <c r="O3370" s="1" t="n"/>
      <c r="P3370" s="1" t="n"/>
      <c r="Q3370" s="1" t="n"/>
      <c r="R3370" s="1" t="n"/>
    </row>
    <row r="3371">
      <c r="A3371" s="61" t="n"/>
      <c r="B3371" s="16" t="n"/>
      <c r="C3371" s="90" t="n"/>
      <c r="D3371" s="90" t="n"/>
      <c r="E3371" s="90" t="n"/>
      <c r="F3371" s="16" t="n"/>
      <c r="G3371" s="16" t="n"/>
      <c r="H3371" s="63" t="n"/>
      <c r="I3371" s="64" t="n"/>
      <c r="J3371" s="16" t="n"/>
      <c r="K3371" s="16" t="n"/>
      <c r="M3371" s="89" t="n"/>
      <c r="N3371" s="1" t="n"/>
      <c r="O3371" s="1" t="n"/>
      <c r="P3371" s="1" t="n"/>
      <c r="Q3371" s="1" t="n"/>
      <c r="R3371" s="1" t="n"/>
    </row>
    <row r="3372">
      <c r="A3372" s="61" t="n"/>
      <c r="B3372" s="16" t="n"/>
      <c r="C3372" s="90" t="n"/>
      <c r="D3372" s="90" t="n"/>
      <c r="E3372" s="90" t="n"/>
      <c r="F3372" s="16" t="n"/>
      <c r="G3372" s="16" t="n"/>
      <c r="H3372" s="63" t="n"/>
      <c r="I3372" s="64" t="n"/>
      <c r="J3372" s="16" t="n"/>
      <c r="K3372" s="16" t="n"/>
      <c r="M3372" s="89" t="n"/>
      <c r="N3372" s="1" t="n"/>
      <c r="O3372" s="1" t="n"/>
      <c r="P3372" s="1" t="n"/>
      <c r="Q3372" s="1" t="n"/>
      <c r="R3372" s="1" t="n"/>
    </row>
    <row r="3373">
      <c r="A3373" s="61" t="n"/>
      <c r="B3373" s="16" t="n"/>
      <c r="C3373" s="90" t="n"/>
      <c r="D3373" s="90" t="n"/>
      <c r="E3373" s="90" t="n"/>
      <c r="F3373" s="16" t="n"/>
      <c r="G3373" s="16" t="n"/>
      <c r="H3373" s="63" t="n"/>
      <c r="I3373" s="64" t="n"/>
      <c r="J3373" s="16" t="n"/>
      <c r="K3373" s="16" t="n"/>
      <c r="M3373" s="89" t="n"/>
      <c r="N3373" s="1" t="n"/>
      <c r="O3373" s="1" t="n"/>
      <c r="P3373" s="1" t="n"/>
      <c r="Q3373" s="1" t="n"/>
      <c r="R3373" s="1" t="n"/>
    </row>
    <row r="3374">
      <c r="A3374" s="61" t="n"/>
      <c r="B3374" s="16" t="n"/>
      <c r="C3374" s="90" t="n"/>
      <c r="D3374" s="90" t="n"/>
      <c r="E3374" s="90" t="n"/>
      <c r="F3374" s="16" t="n"/>
      <c r="G3374" s="16" t="n"/>
      <c r="H3374" s="63" t="n"/>
      <c r="I3374" s="64" t="n"/>
      <c r="J3374" s="16" t="n"/>
      <c r="K3374" s="16" t="n"/>
      <c r="M3374" s="89" t="n"/>
      <c r="N3374" s="1" t="n"/>
      <c r="O3374" s="1" t="n"/>
      <c r="P3374" s="1" t="n"/>
      <c r="Q3374" s="1" t="n"/>
      <c r="R3374" s="1" t="n"/>
    </row>
    <row r="3375">
      <c r="A3375" s="61" t="n"/>
      <c r="B3375" s="16" t="n"/>
      <c r="C3375" s="90" t="n"/>
      <c r="D3375" s="90" t="n"/>
      <c r="E3375" s="90" t="n"/>
      <c r="F3375" s="16" t="n"/>
      <c r="G3375" s="16" t="n"/>
      <c r="H3375" s="63" t="n"/>
      <c r="I3375" s="64" t="n"/>
      <c r="J3375" s="16" t="n"/>
      <c r="K3375" s="16" t="n"/>
      <c r="M3375" s="89" t="n"/>
      <c r="N3375" s="1" t="n"/>
      <c r="O3375" s="1" t="n"/>
      <c r="P3375" s="1" t="n"/>
      <c r="Q3375" s="1" t="n"/>
      <c r="R3375" s="1" t="n"/>
    </row>
    <row r="3376">
      <c r="A3376" s="61" t="n"/>
      <c r="B3376" s="16" t="n"/>
      <c r="C3376" s="90" t="n"/>
      <c r="D3376" s="90" t="n"/>
      <c r="E3376" s="90" t="n"/>
      <c r="F3376" s="16" t="n"/>
      <c r="G3376" s="16" t="n"/>
      <c r="H3376" s="63" t="n"/>
      <c r="I3376" s="64" t="n"/>
      <c r="J3376" s="16" t="n"/>
      <c r="K3376" s="16" t="n"/>
      <c r="M3376" s="89" t="n"/>
      <c r="N3376" s="1" t="n"/>
      <c r="O3376" s="1" t="n"/>
      <c r="P3376" s="1" t="n"/>
      <c r="Q3376" s="1" t="n"/>
      <c r="R3376" s="1" t="n"/>
    </row>
    <row r="3377">
      <c r="A3377" s="61" t="n"/>
      <c r="B3377" s="16" t="n"/>
      <c r="C3377" s="90" t="n"/>
      <c r="D3377" s="90" t="n"/>
      <c r="E3377" s="90" t="n"/>
      <c r="F3377" s="16" t="n"/>
      <c r="G3377" s="16" t="n"/>
      <c r="H3377" s="63" t="n"/>
      <c r="I3377" s="64" t="n"/>
      <c r="J3377" s="16" t="n"/>
      <c r="K3377" s="16" t="n"/>
      <c r="M3377" s="89" t="n"/>
      <c r="N3377" s="1" t="n"/>
      <c r="O3377" s="1" t="n"/>
      <c r="P3377" s="1" t="n"/>
      <c r="Q3377" s="1" t="n"/>
      <c r="R3377" s="1" t="n"/>
    </row>
    <row r="3378">
      <c r="A3378" s="61" t="n"/>
      <c r="B3378" s="16" t="n"/>
      <c r="C3378" s="90" t="n"/>
      <c r="D3378" s="90" t="n"/>
      <c r="E3378" s="90" t="n"/>
      <c r="F3378" s="16" t="n"/>
      <c r="G3378" s="16" t="n"/>
      <c r="H3378" s="63" t="n"/>
      <c r="I3378" s="64" t="n"/>
      <c r="J3378" s="16" t="n"/>
      <c r="K3378" s="16" t="n"/>
      <c r="M3378" s="89" t="n"/>
      <c r="N3378" s="1" t="n"/>
      <c r="O3378" s="1" t="n"/>
      <c r="P3378" s="1" t="n"/>
      <c r="Q3378" s="1" t="n"/>
      <c r="R3378" s="1" t="n"/>
    </row>
    <row r="3379">
      <c r="A3379" s="61" t="n"/>
      <c r="B3379" s="16" t="n"/>
      <c r="C3379" s="90" t="n"/>
      <c r="D3379" s="90" t="n"/>
      <c r="E3379" s="90" t="n"/>
      <c r="F3379" s="16" t="n"/>
      <c r="G3379" s="16" t="n"/>
      <c r="H3379" s="63" t="n"/>
      <c r="I3379" s="64" t="n"/>
      <c r="J3379" s="16" t="n"/>
      <c r="K3379" s="16" t="n"/>
      <c r="M3379" s="89" t="n"/>
      <c r="N3379" s="1" t="n"/>
      <c r="O3379" s="1" t="n"/>
      <c r="P3379" s="1" t="n"/>
      <c r="Q3379" s="1" t="n"/>
      <c r="R3379" s="1" t="n"/>
    </row>
    <row r="3380">
      <c r="A3380" s="61" t="n"/>
      <c r="B3380" s="16" t="n"/>
      <c r="C3380" s="90" t="n"/>
      <c r="D3380" s="90" t="n"/>
      <c r="E3380" s="90" t="n"/>
      <c r="F3380" s="16" t="n"/>
      <c r="G3380" s="16" t="n"/>
      <c r="H3380" s="63" t="n"/>
      <c r="I3380" s="64" t="n"/>
      <c r="J3380" s="16" t="n"/>
      <c r="K3380" s="16" t="n"/>
      <c r="M3380" s="89" t="n"/>
      <c r="N3380" s="1" t="n"/>
      <c r="O3380" s="1" t="n"/>
      <c r="P3380" s="1" t="n"/>
      <c r="Q3380" s="1" t="n"/>
      <c r="R3380" s="1" t="n"/>
    </row>
    <row r="3381">
      <c r="A3381" s="61" t="n"/>
      <c r="B3381" s="16" t="n"/>
      <c r="C3381" s="90" t="n"/>
      <c r="D3381" s="90" t="n"/>
      <c r="E3381" s="90" t="n"/>
      <c r="F3381" s="16" t="n"/>
      <c r="G3381" s="16" t="n"/>
      <c r="H3381" s="63" t="n"/>
      <c r="I3381" s="64" t="n"/>
      <c r="J3381" s="16" t="n"/>
      <c r="K3381" s="16" t="n"/>
      <c r="M3381" s="89" t="n"/>
      <c r="N3381" s="1" t="n"/>
      <c r="O3381" s="1" t="n"/>
      <c r="P3381" s="1" t="n"/>
      <c r="Q3381" s="1" t="n"/>
      <c r="R3381" s="1" t="n"/>
    </row>
    <row r="3382">
      <c r="A3382" s="61" t="n"/>
      <c r="B3382" s="16" t="n"/>
      <c r="C3382" s="90" t="n"/>
      <c r="D3382" s="90" t="n"/>
      <c r="E3382" s="90" t="n"/>
      <c r="F3382" s="16" t="n"/>
      <c r="G3382" s="16" t="n"/>
      <c r="H3382" s="63" t="n"/>
      <c r="I3382" s="64" t="n"/>
      <c r="J3382" s="16" t="n"/>
      <c r="K3382" s="16" t="n"/>
      <c r="M3382" s="89" t="n"/>
      <c r="N3382" s="1" t="n"/>
      <c r="O3382" s="1" t="n"/>
      <c r="P3382" s="1" t="n"/>
      <c r="Q3382" s="1" t="n"/>
      <c r="R3382" s="1" t="n"/>
    </row>
    <row r="3383">
      <c r="A3383" s="61" t="n"/>
      <c r="B3383" s="16" t="n"/>
      <c r="C3383" s="90" t="n"/>
      <c r="D3383" s="90" t="n"/>
      <c r="E3383" s="90" t="n"/>
      <c r="F3383" s="16" t="n"/>
      <c r="G3383" s="16" t="n"/>
      <c r="H3383" s="63" t="n"/>
      <c r="I3383" s="64" t="n"/>
      <c r="J3383" s="16" t="n"/>
      <c r="K3383" s="16" t="n"/>
      <c r="M3383" s="89" t="n"/>
      <c r="N3383" s="1" t="n"/>
      <c r="O3383" s="1" t="n"/>
      <c r="P3383" s="1" t="n"/>
      <c r="Q3383" s="1" t="n"/>
      <c r="R3383" s="1" t="n"/>
    </row>
    <row r="3384">
      <c r="A3384" s="61" t="n"/>
      <c r="B3384" s="16" t="n"/>
      <c r="C3384" s="90" t="n"/>
      <c r="D3384" s="90" t="n"/>
      <c r="E3384" s="90" t="n"/>
      <c r="F3384" s="16" t="n"/>
      <c r="G3384" s="16" t="n"/>
      <c r="H3384" s="63" t="n"/>
      <c r="I3384" s="64" t="n"/>
      <c r="J3384" s="16" t="n"/>
      <c r="K3384" s="16" t="n"/>
      <c r="M3384" s="89" t="n"/>
      <c r="N3384" s="1" t="n"/>
      <c r="O3384" s="1" t="n"/>
      <c r="P3384" s="1" t="n"/>
      <c r="Q3384" s="1" t="n"/>
      <c r="R3384" s="1" t="n"/>
    </row>
    <row r="3385">
      <c r="A3385" s="61" t="n"/>
      <c r="B3385" s="16" t="n"/>
      <c r="C3385" s="90" t="n"/>
      <c r="D3385" s="90" t="n"/>
      <c r="E3385" s="90" t="n"/>
      <c r="F3385" s="16" t="n"/>
      <c r="G3385" s="16" t="n"/>
      <c r="H3385" s="63" t="n"/>
      <c r="I3385" s="64" t="n"/>
      <c r="J3385" s="16" t="n"/>
      <c r="K3385" s="16" t="n"/>
      <c r="M3385" s="89" t="n"/>
      <c r="N3385" s="1" t="n"/>
      <c r="O3385" s="1" t="n"/>
      <c r="P3385" s="1" t="n"/>
      <c r="Q3385" s="1" t="n"/>
      <c r="R3385" s="1" t="n"/>
    </row>
    <row r="3386">
      <c r="A3386" s="61" t="n"/>
      <c r="B3386" s="16" t="n"/>
      <c r="C3386" s="90" t="n"/>
      <c r="D3386" s="90" t="n"/>
      <c r="E3386" s="90" t="n"/>
      <c r="F3386" s="16" t="n"/>
      <c r="G3386" s="16" t="n"/>
      <c r="H3386" s="63" t="n"/>
      <c r="I3386" s="64" t="n"/>
      <c r="J3386" s="16" t="n"/>
      <c r="K3386" s="16" t="n"/>
      <c r="M3386" s="89" t="n"/>
      <c r="N3386" s="1" t="n"/>
      <c r="O3386" s="1" t="n"/>
      <c r="P3386" s="1" t="n"/>
      <c r="Q3386" s="1" t="n"/>
      <c r="R3386" s="1" t="n"/>
    </row>
    <row r="3387">
      <c r="A3387" s="61" t="n"/>
      <c r="B3387" s="16" t="n"/>
      <c r="C3387" s="90" t="n"/>
      <c r="D3387" s="90" t="n"/>
      <c r="E3387" s="90" t="n"/>
      <c r="F3387" s="16" t="n"/>
      <c r="G3387" s="16" t="n"/>
      <c r="H3387" s="63" t="n"/>
      <c r="I3387" s="64" t="n"/>
      <c r="J3387" s="16" t="n"/>
      <c r="K3387" s="16" t="n"/>
      <c r="M3387" s="89" t="n"/>
      <c r="N3387" s="1" t="n"/>
      <c r="O3387" s="1" t="n"/>
      <c r="P3387" s="1" t="n"/>
      <c r="Q3387" s="1" t="n"/>
      <c r="R3387" s="1" t="n"/>
    </row>
    <row r="3388">
      <c r="A3388" s="61" t="n"/>
      <c r="B3388" s="16" t="n"/>
      <c r="C3388" s="90" t="n"/>
      <c r="D3388" s="90" t="n"/>
      <c r="E3388" s="90" t="n"/>
      <c r="F3388" s="16" t="n"/>
      <c r="G3388" s="16" t="n"/>
      <c r="H3388" s="63" t="n"/>
      <c r="I3388" s="64" t="n"/>
      <c r="J3388" s="16" t="n"/>
      <c r="K3388" s="16" t="n"/>
      <c r="M3388" s="89" t="n"/>
      <c r="N3388" s="1" t="n"/>
      <c r="O3388" s="1" t="n"/>
      <c r="P3388" s="1" t="n"/>
      <c r="Q3388" s="1" t="n"/>
      <c r="R3388" s="1" t="n"/>
    </row>
    <row r="3389">
      <c r="A3389" s="61" t="n"/>
      <c r="B3389" s="16" t="n"/>
      <c r="C3389" s="90" t="n"/>
      <c r="D3389" s="90" t="n"/>
      <c r="E3389" s="90" t="n"/>
      <c r="F3389" s="16" t="n"/>
      <c r="G3389" s="16" t="n"/>
      <c r="H3389" s="63" t="n"/>
      <c r="I3389" s="64" t="n"/>
      <c r="J3389" s="16" t="n"/>
      <c r="K3389" s="16" t="n"/>
      <c r="M3389" s="89" t="n"/>
      <c r="N3389" s="1" t="n"/>
      <c r="O3389" s="1" t="n"/>
      <c r="P3389" s="1" t="n"/>
      <c r="Q3389" s="1" t="n"/>
      <c r="R3389" s="1" t="n"/>
    </row>
    <row r="3390">
      <c r="A3390" s="61" t="n"/>
      <c r="B3390" s="16" t="n"/>
      <c r="C3390" s="90" t="n"/>
      <c r="D3390" s="90" t="n"/>
      <c r="E3390" s="90" t="n"/>
      <c r="F3390" s="16" t="n"/>
      <c r="G3390" s="16" t="n"/>
      <c r="H3390" s="63" t="n"/>
      <c r="I3390" s="64" t="n"/>
      <c r="J3390" s="16" t="n"/>
      <c r="K3390" s="16" t="n"/>
      <c r="M3390" s="89" t="n"/>
      <c r="N3390" s="1" t="n"/>
      <c r="O3390" s="1" t="n"/>
      <c r="P3390" s="1" t="n"/>
      <c r="Q3390" s="1" t="n"/>
      <c r="R3390" s="1" t="n"/>
    </row>
    <row r="3391">
      <c r="A3391" s="61" t="n"/>
      <c r="B3391" s="16" t="n"/>
      <c r="C3391" s="90" t="n"/>
      <c r="D3391" s="90" t="n"/>
      <c r="E3391" s="90" t="n"/>
      <c r="F3391" s="16" t="n"/>
      <c r="G3391" s="16" t="n"/>
      <c r="H3391" s="63" t="n"/>
      <c r="I3391" s="64" t="n"/>
      <c r="J3391" s="16" t="n"/>
      <c r="K3391" s="16" t="n"/>
      <c r="M3391" s="89" t="n"/>
      <c r="N3391" s="1" t="n"/>
      <c r="O3391" s="1" t="n"/>
      <c r="P3391" s="1" t="n"/>
      <c r="Q3391" s="1" t="n"/>
      <c r="R3391" s="1" t="n"/>
    </row>
    <row r="3392">
      <c r="A3392" s="61" t="n"/>
      <c r="B3392" s="16" t="n"/>
      <c r="C3392" s="90" t="n"/>
      <c r="D3392" s="90" t="n"/>
      <c r="E3392" s="90" t="n"/>
      <c r="F3392" s="16" t="n"/>
      <c r="G3392" s="16" t="n"/>
      <c r="H3392" s="63" t="n"/>
      <c r="I3392" s="64" t="n"/>
      <c r="J3392" s="16" t="n"/>
      <c r="K3392" s="16" t="n"/>
      <c r="M3392" s="89" t="n"/>
      <c r="N3392" s="1" t="n"/>
      <c r="O3392" s="1" t="n"/>
      <c r="P3392" s="1" t="n"/>
      <c r="Q3392" s="1" t="n"/>
      <c r="R3392" s="1" t="n"/>
    </row>
    <row r="3393">
      <c r="A3393" s="61" t="n"/>
      <c r="B3393" s="16" t="n"/>
      <c r="C3393" s="90" t="n"/>
      <c r="D3393" s="90" t="n"/>
      <c r="E3393" s="90" t="n"/>
      <c r="F3393" s="16" t="n"/>
      <c r="G3393" s="16" t="n"/>
      <c r="H3393" s="63" t="n"/>
      <c r="I3393" s="64" t="n"/>
      <c r="J3393" s="16" t="n"/>
      <c r="K3393" s="16" t="n"/>
      <c r="M3393" s="89" t="n"/>
      <c r="N3393" s="1" t="n"/>
      <c r="O3393" s="1" t="n"/>
      <c r="P3393" s="1" t="n"/>
      <c r="Q3393" s="1" t="n"/>
      <c r="R3393" s="1" t="n"/>
    </row>
    <row r="3394">
      <c r="A3394" s="61" t="n"/>
      <c r="B3394" s="16" t="n"/>
      <c r="C3394" s="90" t="n"/>
      <c r="D3394" s="90" t="n"/>
      <c r="E3394" s="90" t="n"/>
      <c r="F3394" s="16" t="n"/>
      <c r="G3394" s="16" t="n"/>
      <c r="H3394" s="63" t="n"/>
      <c r="I3394" s="64" t="n"/>
      <c r="J3394" s="16" t="n"/>
      <c r="K3394" s="16" t="n"/>
      <c r="M3394" s="89" t="n"/>
      <c r="N3394" s="1" t="n"/>
      <c r="O3394" s="1" t="n"/>
      <c r="P3394" s="1" t="n"/>
      <c r="Q3394" s="1" t="n"/>
      <c r="R3394" s="1" t="n"/>
    </row>
    <row r="3395">
      <c r="A3395" s="61" t="n"/>
      <c r="B3395" s="16" t="n"/>
      <c r="C3395" s="90" t="n"/>
      <c r="D3395" s="90" t="n"/>
      <c r="E3395" s="90" t="n"/>
      <c r="F3395" s="16" t="n"/>
      <c r="G3395" s="16" t="n"/>
      <c r="H3395" s="63" t="n"/>
      <c r="I3395" s="64" t="n"/>
      <c r="J3395" s="16" t="n"/>
      <c r="K3395" s="16" t="n"/>
      <c r="M3395" s="89" t="n"/>
      <c r="N3395" s="1" t="n"/>
      <c r="O3395" s="1" t="n"/>
      <c r="P3395" s="1" t="n"/>
      <c r="Q3395" s="1" t="n"/>
      <c r="R3395" s="1" t="n"/>
    </row>
    <row r="3396">
      <c r="A3396" s="61" t="n"/>
      <c r="B3396" s="16" t="n"/>
      <c r="C3396" s="90" t="n"/>
      <c r="D3396" s="90" t="n"/>
      <c r="E3396" s="90" t="n"/>
      <c r="F3396" s="16" t="n"/>
      <c r="G3396" s="16" t="n"/>
      <c r="H3396" s="63" t="n"/>
      <c r="I3396" s="64" t="n"/>
      <c r="J3396" s="16" t="n"/>
      <c r="K3396" s="16" t="n"/>
      <c r="M3396" s="89" t="n"/>
      <c r="N3396" s="1" t="n"/>
      <c r="O3396" s="1" t="n"/>
      <c r="P3396" s="1" t="n"/>
      <c r="Q3396" s="1" t="n"/>
      <c r="R3396" s="1" t="n"/>
    </row>
    <row r="3397">
      <c r="A3397" s="61" t="n"/>
      <c r="B3397" s="16" t="n"/>
      <c r="C3397" s="90" t="n"/>
      <c r="D3397" s="90" t="n"/>
      <c r="E3397" s="90" t="n"/>
      <c r="F3397" s="16" t="n"/>
      <c r="G3397" s="16" t="n"/>
      <c r="H3397" s="63" t="n"/>
      <c r="I3397" s="64" t="n"/>
      <c r="J3397" s="16" t="n"/>
      <c r="K3397" s="16" t="n"/>
      <c r="M3397" s="89" t="n"/>
      <c r="N3397" s="1" t="n"/>
      <c r="O3397" s="1" t="n"/>
      <c r="P3397" s="1" t="n"/>
      <c r="Q3397" s="1" t="n"/>
      <c r="R3397" s="1" t="n"/>
    </row>
    <row r="3398">
      <c r="A3398" s="61" t="n"/>
      <c r="B3398" s="16" t="n"/>
      <c r="C3398" s="90" t="n"/>
      <c r="D3398" s="90" t="n"/>
      <c r="E3398" s="90" t="n"/>
      <c r="F3398" s="16" t="n"/>
      <c r="G3398" s="16" t="n"/>
      <c r="H3398" s="63" t="n"/>
      <c r="I3398" s="64" t="n"/>
      <c r="J3398" s="16" t="n"/>
      <c r="K3398" s="16" t="n"/>
      <c r="M3398" s="89" t="n"/>
      <c r="N3398" s="1" t="n"/>
      <c r="O3398" s="1" t="n"/>
      <c r="P3398" s="1" t="n"/>
      <c r="Q3398" s="1" t="n"/>
      <c r="R3398" s="1" t="n"/>
    </row>
    <row r="3399">
      <c r="A3399" s="61" t="n"/>
      <c r="B3399" s="16" t="n"/>
      <c r="C3399" s="90" t="n"/>
      <c r="D3399" s="90" t="n"/>
      <c r="E3399" s="90" t="n"/>
      <c r="F3399" s="16" t="n"/>
      <c r="G3399" s="16" t="n"/>
      <c r="H3399" s="63" t="n"/>
      <c r="I3399" s="64" t="n"/>
      <c r="J3399" s="16" t="n"/>
      <c r="K3399" s="16" t="n"/>
      <c r="M3399" s="89" t="n"/>
      <c r="N3399" s="1" t="n"/>
      <c r="O3399" s="1" t="n"/>
      <c r="P3399" s="1" t="n"/>
      <c r="Q3399" s="1" t="n"/>
      <c r="R3399" s="1" t="n"/>
    </row>
    <row r="3400">
      <c r="A3400" s="61" t="n"/>
      <c r="B3400" s="16" t="n"/>
      <c r="C3400" s="90" t="n"/>
      <c r="D3400" s="90" t="n"/>
      <c r="E3400" s="90" t="n"/>
      <c r="F3400" s="16" t="n"/>
      <c r="G3400" s="16" t="n"/>
      <c r="H3400" s="63" t="n"/>
      <c r="I3400" s="64" t="n"/>
      <c r="J3400" s="16" t="n"/>
      <c r="K3400" s="16" t="n"/>
      <c r="M3400" s="89" t="n"/>
      <c r="N3400" s="1" t="n"/>
      <c r="O3400" s="1" t="n"/>
      <c r="P3400" s="1" t="n"/>
      <c r="Q3400" s="1" t="n"/>
      <c r="R3400" s="1" t="n"/>
    </row>
    <row r="3401">
      <c r="A3401" s="61" t="n"/>
      <c r="B3401" s="16" t="n"/>
      <c r="C3401" s="90" t="n"/>
      <c r="D3401" s="90" t="n"/>
      <c r="E3401" s="90" t="n"/>
      <c r="F3401" s="16" t="n"/>
      <c r="G3401" s="16" t="n"/>
      <c r="H3401" s="63" t="n"/>
      <c r="I3401" s="64" t="n"/>
      <c r="J3401" s="16" t="n"/>
      <c r="K3401" s="16" t="n"/>
      <c r="M3401" s="89" t="n"/>
      <c r="N3401" s="1" t="n"/>
      <c r="O3401" s="1" t="n"/>
      <c r="P3401" s="1" t="n"/>
      <c r="Q3401" s="1" t="n"/>
      <c r="R3401" s="1" t="n"/>
    </row>
    <row r="3402">
      <c r="A3402" s="61" t="n"/>
      <c r="B3402" s="16" t="n"/>
      <c r="C3402" s="90" t="n"/>
      <c r="D3402" s="90" t="n"/>
      <c r="E3402" s="90" t="n"/>
      <c r="F3402" s="16" t="n"/>
      <c r="G3402" s="16" t="n"/>
      <c r="H3402" s="63" t="n"/>
      <c r="I3402" s="64" t="n"/>
      <c r="J3402" s="16" t="n"/>
      <c r="K3402" s="16" t="n"/>
      <c r="M3402" s="89" t="n"/>
      <c r="N3402" s="1" t="n"/>
      <c r="O3402" s="1" t="n"/>
      <c r="P3402" s="1" t="n"/>
      <c r="Q3402" s="1" t="n"/>
      <c r="R3402" s="1" t="n"/>
    </row>
    <row r="3403">
      <c r="A3403" s="61" t="n"/>
      <c r="B3403" s="16" t="n"/>
      <c r="C3403" s="90" t="n"/>
      <c r="D3403" s="90" t="n"/>
      <c r="E3403" s="90" t="n"/>
      <c r="F3403" s="16" t="n"/>
      <c r="G3403" s="16" t="n"/>
      <c r="H3403" s="63" t="n"/>
      <c r="I3403" s="64" t="n"/>
      <c r="J3403" s="16" t="n"/>
      <c r="K3403" s="16" t="n"/>
      <c r="M3403" s="89" t="n"/>
      <c r="N3403" s="1" t="n"/>
      <c r="O3403" s="1" t="n"/>
      <c r="P3403" s="1" t="n"/>
      <c r="Q3403" s="1" t="n"/>
      <c r="R3403" s="1" t="n"/>
    </row>
    <row r="3404">
      <c r="A3404" s="61" t="n"/>
      <c r="B3404" s="16" t="n"/>
      <c r="C3404" s="90" t="n"/>
      <c r="D3404" s="90" t="n"/>
      <c r="E3404" s="90" t="n"/>
      <c r="F3404" s="16" t="n"/>
      <c r="G3404" s="16" t="n"/>
      <c r="H3404" s="63" t="n"/>
      <c r="I3404" s="64" t="n"/>
      <c r="J3404" s="16" t="n"/>
      <c r="K3404" s="16" t="n"/>
      <c r="M3404" s="89" t="n"/>
      <c r="N3404" s="1" t="n"/>
      <c r="O3404" s="1" t="n"/>
      <c r="P3404" s="1" t="n"/>
      <c r="Q3404" s="1" t="n"/>
      <c r="R3404" s="1" t="n"/>
    </row>
    <row r="3405">
      <c r="A3405" s="61" t="n"/>
      <c r="B3405" s="16" t="n"/>
      <c r="C3405" s="90" t="n"/>
      <c r="D3405" s="90" t="n"/>
      <c r="E3405" s="90" t="n"/>
      <c r="F3405" s="16" t="n"/>
      <c r="G3405" s="16" t="n"/>
      <c r="H3405" s="63" t="n"/>
      <c r="I3405" s="64" t="n"/>
      <c r="J3405" s="16" t="n"/>
      <c r="K3405" s="16" t="n"/>
      <c r="M3405" s="89" t="n"/>
      <c r="N3405" s="1" t="n"/>
      <c r="O3405" s="1" t="n"/>
      <c r="P3405" s="1" t="n"/>
      <c r="Q3405" s="1" t="n"/>
      <c r="R3405" s="1" t="n"/>
    </row>
    <row r="3406">
      <c r="A3406" s="61" t="n"/>
      <c r="B3406" s="16" t="n"/>
      <c r="C3406" s="90" t="n"/>
      <c r="D3406" s="90" t="n"/>
      <c r="E3406" s="90" t="n"/>
      <c r="F3406" s="16" t="n"/>
      <c r="G3406" s="16" t="n"/>
      <c r="H3406" s="63" t="n"/>
      <c r="I3406" s="64" t="n"/>
      <c r="J3406" s="16" t="n"/>
      <c r="K3406" s="16" t="n"/>
      <c r="M3406" s="89" t="n"/>
      <c r="N3406" s="1" t="n"/>
      <c r="O3406" s="1" t="n"/>
      <c r="P3406" s="1" t="n"/>
      <c r="Q3406" s="1" t="n"/>
      <c r="R3406" s="1" t="n"/>
    </row>
    <row r="3407">
      <c r="A3407" s="61" t="n"/>
      <c r="B3407" s="16" t="n"/>
      <c r="C3407" s="90" t="n"/>
      <c r="D3407" s="90" t="n"/>
      <c r="E3407" s="90" t="n"/>
      <c r="F3407" s="16" t="n"/>
      <c r="G3407" s="16" t="n"/>
      <c r="H3407" s="63" t="n"/>
      <c r="I3407" s="64" t="n"/>
      <c r="J3407" s="16" t="n"/>
      <c r="K3407" s="16" t="n"/>
      <c r="M3407" s="89" t="n"/>
      <c r="N3407" s="1" t="n"/>
      <c r="O3407" s="1" t="n"/>
      <c r="P3407" s="1" t="n"/>
      <c r="Q3407" s="1" t="n"/>
      <c r="R3407" s="1" t="n"/>
    </row>
    <row r="3408">
      <c r="A3408" s="61" t="n"/>
      <c r="B3408" s="16" t="n"/>
      <c r="C3408" s="90" t="n"/>
      <c r="D3408" s="90" t="n"/>
      <c r="E3408" s="90" t="n"/>
      <c r="F3408" s="16" t="n"/>
      <c r="G3408" s="16" t="n"/>
      <c r="H3408" s="63" t="n"/>
      <c r="I3408" s="64" t="n"/>
      <c r="J3408" s="16" t="n"/>
      <c r="K3408" s="16" t="n"/>
      <c r="M3408" s="89" t="n"/>
      <c r="N3408" s="1" t="n"/>
      <c r="O3408" s="1" t="n"/>
      <c r="P3408" s="1" t="n"/>
      <c r="Q3408" s="1" t="n"/>
      <c r="R3408" s="1" t="n"/>
    </row>
    <row r="3409">
      <c r="A3409" s="61" t="n"/>
      <c r="B3409" s="16" t="n"/>
      <c r="C3409" s="90" t="n"/>
      <c r="D3409" s="90" t="n"/>
      <c r="E3409" s="90" t="n"/>
      <c r="F3409" s="16" t="n"/>
      <c r="G3409" s="16" t="n"/>
      <c r="H3409" s="63" t="n"/>
      <c r="I3409" s="64" t="n"/>
      <c r="J3409" s="16" t="n"/>
      <c r="K3409" s="16" t="n"/>
      <c r="M3409" s="89" t="n"/>
      <c r="N3409" s="1" t="n"/>
      <c r="O3409" s="1" t="n"/>
      <c r="P3409" s="1" t="n"/>
      <c r="Q3409" s="1" t="n"/>
      <c r="R3409" s="1" t="n"/>
    </row>
    <row r="3410">
      <c r="A3410" s="61" t="n"/>
      <c r="B3410" s="16" t="n"/>
      <c r="C3410" s="90" t="n"/>
      <c r="D3410" s="90" t="n"/>
      <c r="E3410" s="90" t="n"/>
      <c r="F3410" s="16" t="n"/>
      <c r="G3410" s="16" t="n"/>
      <c r="H3410" s="63" t="n"/>
      <c r="I3410" s="64" t="n"/>
      <c r="J3410" s="16" t="n"/>
      <c r="K3410" s="16" t="n"/>
      <c r="M3410" s="89" t="n"/>
      <c r="N3410" s="1" t="n"/>
      <c r="O3410" s="1" t="n"/>
      <c r="P3410" s="1" t="n"/>
      <c r="Q3410" s="1" t="n"/>
      <c r="R3410" s="1" t="n"/>
    </row>
    <row r="3411">
      <c r="A3411" s="61" t="n"/>
      <c r="B3411" s="16" t="n"/>
      <c r="C3411" s="90" t="n"/>
      <c r="D3411" s="90" t="n"/>
      <c r="E3411" s="90" t="n"/>
      <c r="F3411" s="16" t="n"/>
      <c r="G3411" s="16" t="n"/>
      <c r="H3411" s="63" t="n"/>
      <c r="I3411" s="64" t="n"/>
      <c r="J3411" s="16" t="n"/>
      <c r="K3411" s="16" t="n"/>
      <c r="M3411" s="89" t="n"/>
      <c r="N3411" s="1" t="n"/>
      <c r="O3411" s="1" t="n"/>
      <c r="P3411" s="1" t="n"/>
      <c r="Q3411" s="1" t="n"/>
      <c r="R3411" s="1" t="n"/>
    </row>
    <row r="3412">
      <c r="A3412" s="61" t="n"/>
      <c r="B3412" s="16" t="n"/>
      <c r="C3412" s="90" t="n"/>
      <c r="D3412" s="90" t="n"/>
      <c r="E3412" s="90" t="n"/>
      <c r="F3412" s="16" t="n"/>
      <c r="G3412" s="16" t="n"/>
      <c r="H3412" s="63" t="n"/>
      <c r="I3412" s="64" t="n"/>
      <c r="J3412" s="16" t="n"/>
      <c r="K3412" s="16" t="n"/>
      <c r="M3412" s="89" t="n"/>
      <c r="N3412" s="1" t="n"/>
      <c r="O3412" s="1" t="n"/>
      <c r="P3412" s="1" t="n"/>
      <c r="Q3412" s="1" t="n"/>
      <c r="R3412" s="1" t="n"/>
    </row>
    <row r="3413">
      <c r="A3413" s="61" t="n"/>
      <c r="B3413" s="16" t="n"/>
      <c r="C3413" s="90" t="n"/>
      <c r="D3413" s="90" t="n"/>
      <c r="E3413" s="90" t="n"/>
      <c r="F3413" s="16" t="n"/>
      <c r="G3413" s="16" t="n"/>
      <c r="H3413" s="63" t="n"/>
      <c r="I3413" s="64" t="n"/>
      <c r="J3413" s="16" t="n"/>
      <c r="K3413" s="16" t="n"/>
      <c r="M3413" s="89" t="n"/>
      <c r="N3413" s="1" t="n"/>
      <c r="O3413" s="1" t="n"/>
      <c r="P3413" s="1" t="n"/>
      <c r="Q3413" s="1" t="n"/>
      <c r="R3413" s="1" t="n"/>
    </row>
    <row r="3414">
      <c r="A3414" s="61" t="n"/>
      <c r="B3414" s="16" t="n"/>
      <c r="C3414" s="90" t="n"/>
      <c r="D3414" s="90" t="n"/>
      <c r="E3414" s="90" t="n"/>
      <c r="F3414" s="16" t="n"/>
      <c r="G3414" s="16" t="n"/>
      <c r="H3414" s="63" t="n"/>
      <c r="I3414" s="64" t="n"/>
      <c r="J3414" s="16" t="n"/>
      <c r="K3414" s="16" t="n"/>
      <c r="M3414" s="89" t="n"/>
      <c r="N3414" s="1" t="n"/>
      <c r="O3414" s="1" t="n"/>
      <c r="P3414" s="1" t="n"/>
      <c r="Q3414" s="1" t="n"/>
      <c r="R3414" s="1" t="n"/>
    </row>
    <row r="3415">
      <c r="A3415" s="61" t="n"/>
      <c r="B3415" s="16" t="n"/>
      <c r="C3415" s="90" t="n"/>
      <c r="D3415" s="90" t="n"/>
      <c r="E3415" s="90" t="n"/>
      <c r="F3415" s="16" t="n"/>
      <c r="G3415" s="16" t="n"/>
      <c r="H3415" s="63" t="n"/>
      <c r="I3415" s="64" t="n"/>
      <c r="J3415" s="16" t="n"/>
      <c r="K3415" s="16" t="n"/>
      <c r="M3415" s="89" t="n"/>
      <c r="N3415" s="1" t="n"/>
      <c r="O3415" s="1" t="n"/>
      <c r="P3415" s="1" t="n"/>
      <c r="Q3415" s="1" t="n"/>
      <c r="R3415" s="1" t="n"/>
    </row>
    <row r="3416">
      <c r="A3416" s="61" t="n"/>
      <c r="B3416" s="16" t="n"/>
      <c r="C3416" s="90" t="n"/>
      <c r="D3416" s="90" t="n"/>
      <c r="E3416" s="90" t="n"/>
      <c r="F3416" s="16" t="n"/>
      <c r="G3416" s="16" t="n"/>
      <c r="H3416" s="63" t="n"/>
      <c r="I3416" s="64" t="n"/>
      <c r="J3416" s="16" t="n"/>
      <c r="K3416" s="16" t="n"/>
      <c r="M3416" s="89" t="n"/>
      <c r="N3416" s="1" t="n"/>
      <c r="O3416" s="1" t="n"/>
      <c r="P3416" s="1" t="n"/>
      <c r="Q3416" s="1" t="n"/>
      <c r="R3416" s="1" t="n"/>
    </row>
    <row r="3417">
      <c r="A3417" s="61" t="n"/>
      <c r="B3417" s="16" t="n"/>
      <c r="C3417" s="90" t="n"/>
      <c r="D3417" s="90" t="n"/>
      <c r="E3417" s="90" t="n"/>
      <c r="F3417" s="16" t="n"/>
      <c r="G3417" s="16" t="n"/>
      <c r="H3417" s="63" t="n"/>
      <c r="I3417" s="64" t="n"/>
      <c r="J3417" s="16" t="n"/>
      <c r="K3417" s="16" t="n"/>
      <c r="M3417" s="89" t="n"/>
      <c r="N3417" s="1" t="n"/>
      <c r="O3417" s="1" t="n"/>
      <c r="P3417" s="1" t="n"/>
      <c r="Q3417" s="1" t="n"/>
      <c r="R3417" s="1" t="n"/>
    </row>
    <row r="3418">
      <c r="A3418" s="61" t="n"/>
      <c r="B3418" s="16" t="n"/>
      <c r="C3418" s="90" t="n"/>
      <c r="D3418" s="90" t="n"/>
      <c r="E3418" s="90" t="n"/>
      <c r="F3418" s="16" t="n"/>
      <c r="G3418" s="16" t="n"/>
      <c r="H3418" s="63" t="n"/>
      <c r="I3418" s="64" t="n"/>
      <c r="J3418" s="16" t="n"/>
      <c r="K3418" s="16" t="n"/>
      <c r="M3418" s="89" t="n"/>
      <c r="N3418" s="1" t="n"/>
      <c r="O3418" s="1" t="n"/>
      <c r="P3418" s="1" t="n"/>
      <c r="Q3418" s="1" t="n"/>
      <c r="R3418" s="1" t="n"/>
    </row>
    <row r="3419">
      <c r="A3419" s="61" t="n"/>
      <c r="B3419" s="16" t="n"/>
      <c r="C3419" s="90" t="n"/>
      <c r="D3419" s="90" t="n"/>
      <c r="E3419" s="90" t="n"/>
      <c r="F3419" s="16" t="n"/>
      <c r="G3419" s="16" t="n"/>
      <c r="H3419" s="63" t="n"/>
      <c r="I3419" s="64" t="n"/>
      <c r="J3419" s="16" t="n"/>
      <c r="K3419" s="16" t="n"/>
      <c r="M3419" s="89" t="n"/>
      <c r="N3419" s="1" t="n"/>
      <c r="O3419" s="1" t="n"/>
      <c r="P3419" s="1" t="n"/>
      <c r="Q3419" s="1" t="n"/>
      <c r="R3419" s="1" t="n"/>
    </row>
    <row r="3420">
      <c r="A3420" s="61" t="n"/>
      <c r="B3420" s="16" t="n"/>
      <c r="C3420" s="90" t="n"/>
      <c r="D3420" s="90" t="n"/>
      <c r="E3420" s="90" t="n"/>
      <c r="F3420" s="16" t="n"/>
      <c r="G3420" s="16" t="n"/>
      <c r="H3420" s="63" t="n"/>
      <c r="I3420" s="64" t="n"/>
      <c r="J3420" s="16" t="n"/>
      <c r="K3420" s="16" t="n"/>
      <c r="M3420" s="89" t="n"/>
      <c r="N3420" s="1" t="n"/>
      <c r="O3420" s="1" t="n"/>
      <c r="P3420" s="1" t="n"/>
      <c r="Q3420" s="1" t="n"/>
      <c r="R3420" s="1" t="n"/>
    </row>
    <row r="3421">
      <c r="A3421" s="61" t="n"/>
      <c r="B3421" s="16" t="n"/>
      <c r="C3421" s="90" t="n"/>
      <c r="D3421" s="90" t="n"/>
      <c r="E3421" s="90" t="n"/>
      <c r="F3421" s="16" t="n"/>
      <c r="G3421" s="16" t="n"/>
      <c r="H3421" s="63" t="n"/>
      <c r="I3421" s="64" t="n"/>
      <c r="J3421" s="16" t="n"/>
      <c r="K3421" s="16" t="n"/>
      <c r="M3421" s="89" t="n"/>
      <c r="N3421" s="1" t="n"/>
      <c r="O3421" s="1" t="n"/>
      <c r="P3421" s="1" t="n"/>
      <c r="Q3421" s="1" t="n"/>
      <c r="R3421" s="1" t="n"/>
    </row>
    <row r="3422">
      <c r="A3422" s="61" t="n"/>
      <c r="B3422" s="16" t="n"/>
      <c r="C3422" s="90" t="n"/>
      <c r="D3422" s="90" t="n"/>
      <c r="E3422" s="90" t="n"/>
      <c r="F3422" s="16" t="n"/>
      <c r="G3422" s="16" t="n"/>
      <c r="H3422" s="63" t="n"/>
      <c r="I3422" s="64" t="n"/>
      <c r="J3422" s="16" t="n"/>
      <c r="K3422" s="16" t="n"/>
      <c r="M3422" s="89" t="n"/>
      <c r="N3422" s="1" t="n"/>
      <c r="O3422" s="1" t="n"/>
      <c r="P3422" s="1" t="n"/>
      <c r="Q3422" s="1" t="n"/>
      <c r="R3422" s="1" t="n"/>
    </row>
    <row r="3423">
      <c r="A3423" s="61" t="n"/>
      <c r="B3423" s="16" t="n"/>
      <c r="C3423" s="90" t="n"/>
      <c r="D3423" s="90" t="n"/>
      <c r="E3423" s="90" t="n"/>
      <c r="F3423" s="16" t="n"/>
      <c r="G3423" s="16" t="n"/>
      <c r="H3423" s="63" t="n"/>
      <c r="I3423" s="64" t="n"/>
      <c r="J3423" s="16" t="n"/>
      <c r="K3423" s="16" t="n"/>
      <c r="M3423" s="89" t="n"/>
      <c r="N3423" s="1" t="n"/>
      <c r="O3423" s="1" t="n"/>
      <c r="P3423" s="1" t="n"/>
      <c r="Q3423" s="1" t="n"/>
      <c r="R3423" s="1" t="n"/>
    </row>
    <row r="3424">
      <c r="A3424" s="61" t="n"/>
      <c r="B3424" s="16" t="n"/>
      <c r="C3424" s="90" t="n"/>
      <c r="D3424" s="90" t="n"/>
      <c r="E3424" s="90" t="n"/>
      <c r="F3424" s="16" t="n"/>
      <c r="G3424" s="16" t="n"/>
      <c r="H3424" s="63" t="n"/>
      <c r="I3424" s="64" t="n"/>
      <c r="J3424" s="16" t="n"/>
      <c r="K3424" s="16" t="n"/>
      <c r="M3424" s="89" t="n"/>
      <c r="N3424" s="1" t="n"/>
      <c r="O3424" s="1" t="n"/>
      <c r="P3424" s="1" t="n"/>
      <c r="Q3424" s="1" t="n"/>
      <c r="R3424" s="1" t="n"/>
    </row>
    <row r="3425">
      <c r="A3425" s="61" t="n"/>
      <c r="B3425" s="16" t="n"/>
      <c r="C3425" s="90" t="n"/>
      <c r="D3425" s="90" t="n"/>
      <c r="E3425" s="90" t="n"/>
      <c r="F3425" s="16" t="n"/>
      <c r="G3425" s="16" t="n"/>
      <c r="H3425" s="63" t="n"/>
      <c r="I3425" s="64" t="n"/>
      <c r="J3425" s="16" t="n"/>
      <c r="K3425" s="16" t="n"/>
      <c r="M3425" s="89" t="n"/>
      <c r="N3425" s="1" t="n"/>
      <c r="O3425" s="1" t="n"/>
      <c r="P3425" s="1" t="n"/>
      <c r="Q3425" s="1" t="n"/>
      <c r="R3425" s="1" t="n"/>
    </row>
    <row r="3426">
      <c r="A3426" s="61" t="n"/>
      <c r="B3426" s="16" t="n"/>
      <c r="C3426" s="90" t="n"/>
      <c r="D3426" s="90" t="n"/>
      <c r="E3426" s="90" t="n"/>
      <c r="F3426" s="16" t="n"/>
      <c r="G3426" s="16" t="n"/>
      <c r="H3426" s="63" t="n"/>
      <c r="I3426" s="64" t="n"/>
      <c r="J3426" s="16" t="n"/>
      <c r="K3426" s="16" t="n"/>
      <c r="M3426" s="89" t="n"/>
      <c r="N3426" s="1" t="n"/>
      <c r="O3426" s="1" t="n"/>
      <c r="P3426" s="1" t="n"/>
      <c r="Q3426" s="1" t="n"/>
      <c r="R3426" s="1" t="n"/>
    </row>
    <row r="3427">
      <c r="A3427" s="61" t="n"/>
      <c r="B3427" s="16" t="n"/>
      <c r="C3427" s="90" t="n"/>
      <c r="D3427" s="90" t="n"/>
      <c r="E3427" s="90" t="n"/>
      <c r="F3427" s="16" t="n"/>
      <c r="G3427" s="16" t="n"/>
      <c r="H3427" s="63" t="n"/>
      <c r="I3427" s="64" t="n"/>
      <c r="J3427" s="16" t="n"/>
      <c r="K3427" s="16" t="n"/>
      <c r="M3427" s="89" t="n"/>
      <c r="N3427" s="1" t="n"/>
      <c r="O3427" s="1" t="n"/>
      <c r="P3427" s="1" t="n"/>
      <c r="Q3427" s="1" t="n"/>
      <c r="R3427" s="1" t="n"/>
    </row>
    <row r="3428">
      <c r="A3428" s="61" t="n"/>
      <c r="B3428" s="16" t="n"/>
      <c r="C3428" s="90" t="n"/>
      <c r="D3428" s="90" t="n"/>
      <c r="E3428" s="90" t="n"/>
      <c r="F3428" s="16" t="n"/>
      <c r="G3428" s="16" t="n"/>
      <c r="H3428" s="63" t="n"/>
      <c r="I3428" s="64" t="n"/>
      <c r="J3428" s="16" t="n"/>
      <c r="K3428" s="16" t="n"/>
      <c r="M3428" s="89" t="n"/>
      <c r="N3428" s="1" t="n"/>
      <c r="O3428" s="1" t="n"/>
      <c r="P3428" s="1" t="n"/>
      <c r="Q3428" s="1" t="n"/>
      <c r="R3428" s="1" t="n"/>
    </row>
    <row r="3429">
      <c r="A3429" s="61" t="n"/>
      <c r="B3429" s="16" t="n"/>
      <c r="C3429" s="90" t="n"/>
      <c r="D3429" s="90" t="n"/>
      <c r="E3429" s="90" t="n"/>
      <c r="F3429" s="16" t="n"/>
      <c r="G3429" s="16" t="n"/>
      <c r="H3429" s="63" t="n"/>
      <c r="I3429" s="64" t="n"/>
      <c r="J3429" s="16" t="n"/>
      <c r="K3429" s="16" t="n"/>
      <c r="M3429" s="89" t="n"/>
      <c r="N3429" s="1" t="n"/>
      <c r="O3429" s="1" t="n"/>
      <c r="P3429" s="1" t="n"/>
      <c r="Q3429" s="1" t="n"/>
      <c r="R3429" s="1" t="n"/>
    </row>
    <row r="3430">
      <c r="A3430" s="61" t="n"/>
      <c r="B3430" s="16" t="n"/>
      <c r="C3430" s="90" t="n"/>
      <c r="D3430" s="90" t="n"/>
      <c r="E3430" s="90" t="n"/>
      <c r="F3430" s="16" t="n"/>
      <c r="G3430" s="16" t="n"/>
      <c r="H3430" s="63" t="n"/>
      <c r="I3430" s="64" t="n"/>
      <c r="J3430" s="16" t="n"/>
      <c r="K3430" s="16" t="n"/>
      <c r="M3430" s="89" t="n"/>
      <c r="N3430" s="1" t="n"/>
      <c r="O3430" s="1" t="n"/>
      <c r="P3430" s="1" t="n"/>
      <c r="Q3430" s="1" t="n"/>
      <c r="R3430" s="1" t="n"/>
    </row>
    <row r="3431">
      <c r="A3431" s="61" t="n"/>
      <c r="B3431" s="16" t="n"/>
      <c r="C3431" s="90" t="n"/>
      <c r="D3431" s="90" t="n"/>
      <c r="E3431" s="90" t="n"/>
      <c r="F3431" s="16" t="n"/>
      <c r="G3431" s="16" t="n"/>
      <c r="H3431" s="63" t="n"/>
      <c r="I3431" s="64" t="n"/>
      <c r="J3431" s="16" t="n"/>
      <c r="K3431" s="16" t="n"/>
      <c r="M3431" s="89" t="n"/>
      <c r="N3431" s="1" t="n"/>
      <c r="O3431" s="1" t="n"/>
      <c r="P3431" s="1" t="n"/>
      <c r="Q3431" s="1" t="n"/>
      <c r="R3431" s="1" t="n"/>
    </row>
    <row r="3432">
      <c r="A3432" s="61" t="n"/>
      <c r="B3432" s="16" t="n"/>
      <c r="C3432" s="90" t="n"/>
      <c r="D3432" s="90" t="n"/>
      <c r="E3432" s="90" t="n"/>
      <c r="F3432" s="16" t="n"/>
      <c r="G3432" s="16" t="n"/>
      <c r="H3432" s="63" t="n"/>
      <c r="I3432" s="64" t="n"/>
      <c r="J3432" s="16" t="n"/>
      <c r="K3432" s="16" t="n"/>
      <c r="M3432" s="89" t="n"/>
      <c r="N3432" s="1" t="n"/>
      <c r="O3432" s="1" t="n"/>
      <c r="P3432" s="1" t="n"/>
      <c r="Q3432" s="1" t="n"/>
      <c r="R3432" s="1" t="n"/>
    </row>
    <row r="3433">
      <c r="A3433" s="61" t="n"/>
      <c r="B3433" s="16" t="n"/>
      <c r="C3433" s="90" t="n"/>
      <c r="D3433" s="90" t="n"/>
      <c r="E3433" s="90" t="n"/>
      <c r="F3433" s="16" t="n"/>
      <c r="G3433" s="16" t="n"/>
      <c r="H3433" s="63" t="n"/>
      <c r="I3433" s="64" t="n"/>
      <c r="J3433" s="16" t="n"/>
      <c r="K3433" s="16" t="n"/>
      <c r="M3433" s="89" t="n"/>
      <c r="N3433" s="1" t="n"/>
      <c r="O3433" s="1" t="n"/>
      <c r="P3433" s="1" t="n"/>
      <c r="Q3433" s="1" t="n"/>
      <c r="R3433" s="1" t="n"/>
    </row>
    <row r="3434">
      <c r="A3434" s="61" t="n"/>
      <c r="B3434" s="16" t="n"/>
      <c r="C3434" s="90" t="n"/>
      <c r="D3434" s="90" t="n"/>
      <c r="E3434" s="90" t="n"/>
      <c r="F3434" s="16" t="n"/>
      <c r="G3434" s="16" t="n"/>
      <c r="H3434" s="63" t="n"/>
      <c r="I3434" s="64" t="n"/>
      <c r="J3434" s="16" t="n"/>
      <c r="K3434" s="16" t="n"/>
      <c r="M3434" s="89" t="n"/>
      <c r="N3434" s="1" t="n"/>
      <c r="O3434" s="1" t="n"/>
      <c r="P3434" s="1" t="n"/>
      <c r="Q3434" s="1" t="n"/>
      <c r="R3434" s="1" t="n"/>
    </row>
    <row r="3435">
      <c r="A3435" s="61" t="n"/>
      <c r="B3435" s="16" t="n"/>
      <c r="C3435" s="90" t="n"/>
      <c r="D3435" s="90" t="n"/>
      <c r="E3435" s="90" t="n"/>
      <c r="F3435" s="16" t="n"/>
      <c r="G3435" s="16" t="n"/>
      <c r="H3435" s="63" t="n"/>
      <c r="I3435" s="64" t="n"/>
      <c r="J3435" s="16" t="n"/>
      <c r="K3435" s="16" t="n"/>
      <c r="M3435" s="89" t="n"/>
      <c r="N3435" s="1" t="n"/>
      <c r="O3435" s="1" t="n"/>
      <c r="P3435" s="1" t="n"/>
      <c r="Q3435" s="1" t="n"/>
      <c r="R3435" s="1" t="n"/>
    </row>
    <row r="3436">
      <c r="A3436" s="61" t="n"/>
      <c r="B3436" s="16" t="n"/>
      <c r="C3436" s="90" t="n"/>
      <c r="D3436" s="90" t="n"/>
      <c r="E3436" s="90" t="n"/>
      <c r="F3436" s="16" t="n"/>
      <c r="G3436" s="16" t="n"/>
      <c r="H3436" s="63" t="n"/>
      <c r="I3436" s="64" t="n"/>
      <c r="J3436" s="16" t="n"/>
      <c r="K3436" s="16" t="n"/>
      <c r="M3436" s="89" t="n"/>
      <c r="N3436" s="1" t="n"/>
      <c r="O3436" s="1" t="n"/>
      <c r="P3436" s="1" t="n"/>
      <c r="Q3436" s="1" t="n"/>
      <c r="R3436" s="1" t="n"/>
    </row>
    <row r="3437">
      <c r="A3437" s="61" t="n"/>
      <c r="B3437" s="16" t="n"/>
      <c r="C3437" s="90" t="n"/>
      <c r="D3437" s="90" t="n"/>
      <c r="E3437" s="90" t="n"/>
      <c r="F3437" s="16" t="n"/>
      <c r="G3437" s="16" t="n"/>
      <c r="H3437" s="63" t="n"/>
      <c r="I3437" s="64" t="n"/>
      <c r="J3437" s="16" t="n"/>
      <c r="K3437" s="16" t="n"/>
      <c r="M3437" s="89" t="n"/>
      <c r="N3437" s="1" t="n"/>
      <c r="O3437" s="1" t="n"/>
      <c r="P3437" s="1" t="n"/>
      <c r="Q3437" s="1" t="n"/>
      <c r="R3437" s="1" t="n"/>
    </row>
    <row r="3438">
      <c r="A3438" s="61" t="n"/>
      <c r="B3438" s="16" t="n"/>
      <c r="C3438" s="90" t="n"/>
      <c r="D3438" s="90" t="n"/>
      <c r="E3438" s="90" t="n"/>
      <c r="F3438" s="16" t="n"/>
      <c r="G3438" s="16" t="n"/>
      <c r="H3438" s="63" t="n"/>
      <c r="I3438" s="64" t="n"/>
      <c r="J3438" s="16" t="n"/>
      <c r="K3438" s="16" t="n"/>
      <c r="M3438" s="89" t="n"/>
      <c r="N3438" s="1" t="n"/>
      <c r="O3438" s="1" t="n"/>
      <c r="P3438" s="1" t="n"/>
      <c r="Q3438" s="1" t="n"/>
      <c r="R3438" s="1" t="n"/>
    </row>
    <row r="3439">
      <c r="A3439" s="61" t="n"/>
      <c r="B3439" s="16" t="n"/>
      <c r="C3439" s="90" t="n"/>
      <c r="D3439" s="90" t="n"/>
      <c r="E3439" s="90" t="n"/>
      <c r="F3439" s="16" t="n"/>
      <c r="G3439" s="16" t="n"/>
      <c r="H3439" s="63" t="n"/>
      <c r="I3439" s="64" t="n"/>
      <c r="J3439" s="16" t="n"/>
      <c r="K3439" s="16" t="n"/>
      <c r="M3439" s="89" t="n"/>
      <c r="N3439" s="1" t="n"/>
      <c r="O3439" s="1" t="n"/>
      <c r="P3439" s="1" t="n"/>
      <c r="Q3439" s="1" t="n"/>
      <c r="R3439" s="1" t="n"/>
    </row>
    <row r="3440">
      <c r="A3440" s="61" t="n"/>
      <c r="B3440" s="16" t="n"/>
      <c r="C3440" s="90" t="n"/>
      <c r="D3440" s="90" t="n"/>
      <c r="E3440" s="90" t="n"/>
      <c r="F3440" s="16" t="n"/>
      <c r="G3440" s="16" t="n"/>
      <c r="H3440" s="63" t="n"/>
      <c r="I3440" s="64" t="n"/>
      <c r="J3440" s="16" t="n"/>
      <c r="K3440" s="16" t="n"/>
      <c r="M3440" s="89" t="n"/>
      <c r="N3440" s="1" t="n"/>
      <c r="O3440" s="1" t="n"/>
      <c r="P3440" s="1" t="n"/>
      <c r="Q3440" s="1" t="n"/>
      <c r="R3440" s="1" t="n"/>
    </row>
    <row r="3441">
      <c r="A3441" s="61" t="n"/>
      <c r="B3441" s="16" t="n"/>
      <c r="C3441" s="90" t="n"/>
      <c r="D3441" s="90" t="n"/>
      <c r="E3441" s="90" t="n"/>
      <c r="F3441" s="16" t="n"/>
      <c r="G3441" s="16" t="n"/>
      <c r="H3441" s="63" t="n"/>
      <c r="I3441" s="64" t="n"/>
      <c r="J3441" s="16" t="n"/>
      <c r="K3441" s="16" t="n"/>
      <c r="M3441" s="89" t="n"/>
      <c r="N3441" s="1" t="n"/>
      <c r="O3441" s="1" t="n"/>
      <c r="P3441" s="1" t="n"/>
      <c r="Q3441" s="1" t="n"/>
      <c r="R3441" s="1" t="n"/>
    </row>
    <row r="3442">
      <c r="A3442" s="61" t="n"/>
      <c r="B3442" s="16" t="n"/>
      <c r="C3442" s="90" t="n"/>
      <c r="D3442" s="90" t="n"/>
      <c r="E3442" s="90" t="n"/>
      <c r="F3442" s="16" t="n"/>
      <c r="G3442" s="16" t="n"/>
      <c r="H3442" s="63" t="n"/>
      <c r="I3442" s="64" t="n"/>
      <c r="J3442" s="16" t="n"/>
      <c r="K3442" s="16" t="n"/>
      <c r="M3442" s="89" t="n"/>
      <c r="N3442" s="1" t="n"/>
      <c r="O3442" s="1" t="n"/>
      <c r="P3442" s="1" t="n"/>
      <c r="Q3442" s="1" t="n"/>
      <c r="R3442" s="1" t="n"/>
    </row>
    <row r="3443">
      <c r="A3443" s="61" t="n"/>
      <c r="B3443" s="16" t="n"/>
      <c r="C3443" s="90" t="n"/>
      <c r="D3443" s="90" t="n"/>
      <c r="E3443" s="90" t="n"/>
      <c r="F3443" s="16" t="n"/>
      <c r="G3443" s="16" t="n"/>
      <c r="H3443" s="63" t="n"/>
      <c r="I3443" s="64" t="n"/>
      <c r="J3443" s="16" t="n"/>
      <c r="K3443" s="16" t="n"/>
      <c r="M3443" s="89" t="n"/>
      <c r="N3443" s="1" t="n"/>
      <c r="O3443" s="1" t="n"/>
      <c r="P3443" s="1" t="n"/>
      <c r="Q3443" s="1" t="n"/>
      <c r="R3443" s="1" t="n"/>
    </row>
    <row r="3444">
      <c r="A3444" s="61" t="n"/>
      <c r="B3444" s="16" t="n"/>
      <c r="C3444" s="90" t="n"/>
      <c r="D3444" s="90" t="n"/>
      <c r="E3444" s="90" t="n"/>
      <c r="F3444" s="16" t="n"/>
      <c r="G3444" s="16" t="n"/>
      <c r="H3444" s="63" t="n"/>
      <c r="I3444" s="64" t="n"/>
      <c r="J3444" s="16" t="n"/>
      <c r="K3444" s="16" t="n"/>
      <c r="M3444" s="89" t="n"/>
      <c r="N3444" s="1" t="n"/>
      <c r="O3444" s="1" t="n"/>
      <c r="P3444" s="1" t="n"/>
      <c r="Q3444" s="1" t="n"/>
      <c r="R3444" s="1" t="n"/>
    </row>
    <row r="3445">
      <c r="A3445" s="61" t="n"/>
      <c r="B3445" s="16" t="n"/>
      <c r="C3445" s="90" t="n"/>
      <c r="D3445" s="90" t="n"/>
      <c r="E3445" s="90" t="n"/>
      <c r="F3445" s="16" t="n"/>
      <c r="G3445" s="16" t="n"/>
      <c r="H3445" s="63" t="n"/>
      <c r="I3445" s="64" t="n"/>
      <c r="J3445" s="16" t="n"/>
      <c r="K3445" s="16" t="n"/>
      <c r="M3445" s="89" t="n"/>
      <c r="N3445" s="1" t="n"/>
      <c r="O3445" s="1" t="n"/>
      <c r="P3445" s="1" t="n"/>
      <c r="Q3445" s="1" t="n"/>
      <c r="R3445" s="1" t="n"/>
    </row>
    <row r="3446">
      <c r="A3446" s="61" t="n"/>
      <c r="B3446" s="16" t="n"/>
      <c r="C3446" s="90" t="n"/>
      <c r="D3446" s="90" t="n"/>
      <c r="E3446" s="90" t="n"/>
      <c r="F3446" s="16" t="n"/>
      <c r="G3446" s="16" t="n"/>
      <c r="H3446" s="63" t="n"/>
      <c r="I3446" s="64" t="n"/>
      <c r="J3446" s="16" t="n"/>
      <c r="K3446" s="16" t="n"/>
      <c r="M3446" s="89" t="n"/>
      <c r="N3446" s="1" t="n"/>
      <c r="O3446" s="1" t="n"/>
      <c r="P3446" s="1" t="n"/>
      <c r="Q3446" s="1" t="n"/>
      <c r="R3446" s="1" t="n"/>
    </row>
    <row r="3447">
      <c r="A3447" s="61" t="n"/>
      <c r="B3447" s="16" t="n"/>
      <c r="C3447" s="90" t="n"/>
      <c r="D3447" s="90" t="n"/>
      <c r="E3447" s="90" t="n"/>
      <c r="F3447" s="16" t="n"/>
      <c r="G3447" s="16" t="n"/>
      <c r="H3447" s="63" t="n"/>
      <c r="I3447" s="64" t="n"/>
      <c r="J3447" s="16" t="n"/>
      <c r="K3447" s="16" t="n"/>
      <c r="M3447" s="89" t="n"/>
      <c r="N3447" s="1" t="n"/>
      <c r="O3447" s="1" t="n"/>
      <c r="P3447" s="1" t="n"/>
      <c r="Q3447" s="1" t="n"/>
      <c r="R3447" s="1" t="n"/>
    </row>
    <row r="3448">
      <c r="A3448" s="61" t="n"/>
      <c r="B3448" s="16" t="n"/>
      <c r="C3448" s="90" t="n"/>
      <c r="D3448" s="90" t="n"/>
      <c r="E3448" s="90" t="n"/>
      <c r="F3448" s="16" t="n"/>
      <c r="G3448" s="16" t="n"/>
      <c r="H3448" s="63" t="n"/>
      <c r="I3448" s="64" t="n"/>
      <c r="J3448" s="16" t="n"/>
      <c r="K3448" s="16" t="n"/>
      <c r="M3448" s="89" t="n"/>
      <c r="N3448" s="1" t="n"/>
      <c r="O3448" s="1" t="n"/>
      <c r="P3448" s="1" t="n"/>
      <c r="Q3448" s="1" t="n"/>
      <c r="R3448" s="1" t="n"/>
    </row>
    <row r="3449">
      <c r="A3449" s="61" t="n"/>
      <c r="B3449" s="16" t="n"/>
      <c r="C3449" s="90" t="n"/>
      <c r="D3449" s="90" t="n"/>
      <c r="E3449" s="90" t="n"/>
      <c r="F3449" s="16" t="n"/>
      <c r="G3449" s="16" t="n"/>
      <c r="H3449" s="63" t="n"/>
      <c r="I3449" s="64" t="n"/>
      <c r="J3449" s="16" t="n"/>
      <c r="K3449" s="16" t="n"/>
      <c r="M3449" s="89" t="n"/>
      <c r="N3449" s="1" t="n"/>
      <c r="O3449" s="1" t="n"/>
      <c r="P3449" s="1" t="n"/>
      <c r="Q3449" s="1" t="n"/>
      <c r="R3449" s="1" t="n"/>
    </row>
    <row r="3450">
      <c r="A3450" s="61" t="n"/>
      <c r="B3450" s="16" t="n"/>
      <c r="C3450" s="90" t="n"/>
      <c r="D3450" s="90" t="n"/>
      <c r="E3450" s="90" t="n"/>
      <c r="F3450" s="16" t="n"/>
      <c r="G3450" s="16" t="n"/>
      <c r="H3450" s="63" t="n"/>
      <c r="I3450" s="64" t="n"/>
      <c r="J3450" s="16" t="n"/>
      <c r="K3450" s="16" t="n"/>
      <c r="M3450" s="89" t="n"/>
      <c r="N3450" s="1" t="n"/>
      <c r="O3450" s="1" t="n"/>
      <c r="P3450" s="1" t="n"/>
      <c r="Q3450" s="1" t="n"/>
      <c r="R3450" s="1" t="n"/>
    </row>
    <row r="3451">
      <c r="A3451" s="61" t="n"/>
      <c r="B3451" s="16" t="n"/>
      <c r="C3451" s="90" t="n"/>
      <c r="D3451" s="90" t="n"/>
      <c r="E3451" s="90" t="n"/>
      <c r="F3451" s="16" t="n"/>
      <c r="G3451" s="16" t="n"/>
      <c r="H3451" s="63" t="n"/>
      <c r="I3451" s="64" t="n"/>
      <c r="J3451" s="16" t="n"/>
      <c r="K3451" s="16" t="n"/>
      <c r="M3451" s="89" t="n"/>
      <c r="N3451" s="1" t="n"/>
      <c r="O3451" s="1" t="n"/>
      <c r="P3451" s="1" t="n"/>
      <c r="Q3451" s="1" t="n"/>
      <c r="R3451" s="1" t="n"/>
    </row>
    <row r="3452">
      <c r="A3452" s="61" t="n"/>
      <c r="B3452" s="16" t="n"/>
      <c r="C3452" s="90" t="n"/>
      <c r="D3452" s="90" t="n"/>
      <c r="E3452" s="90" t="n"/>
      <c r="F3452" s="16" t="n"/>
      <c r="G3452" s="16" t="n"/>
      <c r="H3452" s="63" t="n"/>
      <c r="I3452" s="64" t="n"/>
      <c r="J3452" s="16" t="n"/>
      <c r="K3452" s="16" t="n"/>
      <c r="M3452" s="89" t="n"/>
      <c r="N3452" s="1" t="n"/>
      <c r="O3452" s="1" t="n"/>
      <c r="P3452" s="1" t="n"/>
      <c r="Q3452" s="1" t="n"/>
      <c r="R3452" s="1" t="n"/>
    </row>
    <row r="3453">
      <c r="A3453" s="61" t="n"/>
      <c r="B3453" s="16" t="n"/>
      <c r="C3453" s="90" t="n"/>
      <c r="D3453" s="90" t="n"/>
      <c r="E3453" s="90" t="n"/>
      <c r="F3453" s="16" t="n"/>
      <c r="G3453" s="16" t="n"/>
      <c r="H3453" s="63" t="n"/>
      <c r="I3453" s="64" t="n"/>
      <c r="J3453" s="16" t="n"/>
      <c r="K3453" s="16" t="n"/>
      <c r="M3453" s="89" t="n"/>
      <c r="N3453" s="1" t="n"/>
      <c r="O3453" s="1" t="n"/>
      <c r="P3453" s="1" t="n"/>
      <c r="Q3453" s="1" t="n"/>
      <c r="R3453" s="1" t="n"/>
    </row>
    <row r="3454">
      <c r="A3454" s="61" t="n"/>
      <c r="B3454" s="16" t="n"/>
      <c r="C3454" s="90" t="n"/>
      <c r="D3454" s="90" t="n"/>
      <c r="E3454" s="90" t="n"/>
      <c r="F3454" s="16" t="n"/>
      <c r="G3454" s="16" t="n"/>
      <c r="H3454" s="63" t="n"/>
      <c r="I3454" s="64" t="n"/>
      <c r="J3454" s="16" t="n"/>
      <c r="K3454" s="16" t="n"/>
      <c r="M3454" s="89" t="n"/>
      <c r="N3454" s="1" t="n"/>
      <c r="O3454" s="1" t="n"/>
      <c r="P3454" s="1" t="n"/>
      <c r="Q3454" s="1" t="n"/>
      <c r="R3454" s="1" t="n"/>
    </row>
    <row r="3455">
      <c r="A3455" s="61" t="n"/>
      <c r="B3455" s="16" t="n"/>
      <c r="C3455" s="90" t="n"/>
      <c r="D3455" s="90" t="n"/>
      <c r="E3455" s="90" t="n"/>
      <c r="F3455" s="16" t="n"/>
      <c r="G3455" s="16" t="n"/>
      <c r="H3455" s="63" t="n"/>
      <c r="I3455" s="64" t="n"/>
      <c r="J3455" s="16" t="n"/>
      <c r="K3455" s="16" t="n"/>
      <c r="M3455" s="89" t="n"/>
      <c r="N3455" s="1" t="n"/>
      <c r="O3455" s="1" t="n"/>
      <c r="P3455" s="1" t="n"/>
      <c r="Q3455" s="1" t="n"/>
      <c r="R3455" s="1" t="n"/>
    </row>
    <row r="3456">
      <c r="A3456" s="61" t="n"/>
      <c r="B3456" s="16" t="n"/>
      <c r="C3456" s="90" t="n"/>
      <c r="D3456" s="90" t="n"/>
      <c r="E3456" s="90" t="n"/>
      <c r="F3456" s="16" t="n"/>
      <c r="G3456" s="16" t="n"/>
      <c r="H3456" s="63" t="n"/>
      <c r="I3456" s="64" t="n"/>
      <c r="J3456" s="16" t="n"/>
      <c r="K3456" s="16" t="n"/>
      <c r="M3456" s="89" t="n"/>
      <c r="N3456" s="1" t="n"/>
      <c r="O3456" s="1" t="n"/>
      <c r="P3456" s="1" t="n"/>
      <c r="Q3456" s="1" t="n"/>
      <c r="R3456" s="1" t="n"/>
    </row>
    <row r="3457">
      <c r="A3457" s="61" t="n"/>
      <c r="B3457" s="16" t="n"/>
      <c r="C3457" s="90" t="n"/>
      <c r="D3457" s="90" t="n"/>
      <c r="E3457" s="90" t="n"/>
      <c r="F3457" s="16" t="n"/>
      <c r="G3457" s="16" t="n"/>
      <c r="H3457" s="63" t="n"/>
      <c r="I3457" s="64" t="n"/>
      <c r="J3457" s="16" t="n"/>
      <c r="K3457" s="16" t="n"/>
      <c r="M3457" s="89" t="n"/>
      <c r="N3457" s="1" t="n"/>
      <c r="O3457" s="1" t="n"/>
      <c r="P3457" s="1" t="n"/>
      <c r="Q3457" s="1" t="n"/>
      <c r="R3457" s="1" t="n"/>
    </row>
    <row r="3458">
      <c r="A3458" s="61" t="n"/>
      <c r="B3458" s="16" t="n"/>
      <c r="C3458" s="90" t="n"/>
      <c r="D3458" s="90" t="n"/>
      <c r="E3458" s="90" t="n"/>
      <c r="F3458" s="16" t="n"/>
      <c r="G3458" s="16" t="n"/>
      <c r="H3458" s="63" t="n"/>
      <c r="I3458" s="64" t="n"/>
      <c r="J3458" s="16" t="n"/>
      <c r="K3458" s="16" t="n"/>
      <c r="M3458" s="89" t="n"/>
      <c r="N3458" s="1" t="n"/>
      <c r="O3458" s="1" t="n"/>
      <c r="P3458" s="1" t="n"/>
      <c r="Q3458" s="1" t="n"/>
      <c r="R3458" s="1" t="n"/>
    </row>
    <row r="3459">
      <c r="A3459" s="61" t="n"/>
      <c r="B3459" s="16" t="n"/>
      <c r="C3459" s="90" t="n"/>
      <c r="D3459" s="90" t="n"/>
      <c r="E3459" s="90" t="n"/>
      <c r="F3459" s="16" t="n"/>
      <c r="G3459" s="16" t="n"/>
      <c r="H3459" s="63" t="n"/>
      <c r="I3459" s="64" t="n"/>
      <c r="J3459" s="16" t="n"/>
      <c r="K3459" s="16" t="n"/>
      <c r="M3459" s="89" t="n"/>
      <c r="N3459" s="1" t="n"/>
      <c r="O3459" s="1" t="n"/>
      <c r="P3459" s="1" t="n"/>
      <c r="Q3459" s="1" t="n"/>
      <c r="R3459" s="1" t="n"/>
    </row>
    <row r="3460">
      <c r="A3460" s="61" t="n"/>
      <c r="B3460" s="16" t="n"/>
      <c r="C3460" s="90" t="n"/>
      <c r="D3460" s="90" t="n"/>
      <c r="E3460" s="90" t="n"/>
      <c r="F3460" s="16" t="n"/>
      <c r="G3460" s="16" t="n"/>
      <c r="H3460" s="63" t="n"/>
      <c r="I3460" s="64" t="n"/>
      <c r="J3460" s="16" t="n"/>
      <c r="K3460" s="16" t="n"/>
      <c r="M3460" s="89" t="n"/>
      <c r="N3460" s="1" t="n"/>
      <c r="O3460" s="1" t="n"/>
      <c r="P3460" s="1" t="n"/>
      <c r="Q3460" s="1" t="n"/>
      <c r="R3460" s="1" t="n"/>
    </row>
    <row r="3461">
      <c r="A3461" s="61" t="n"/>
      <c r="B3461" s="16" t="n"/>
      <c r="C3461" s="90" t="n"/>
      <c r="D3461" s="90" t="n"/>
      <c r="E3461" s="90" t="n"/>
      <c r="F3461" s="16" t="n"/>
      <c r="G3461" s="16" t="n"/>
      <c r="H3461" s="63" t="n"/>
      <c r="I3461" s="64" t="n"/>
      <c r="J3461" s="16" t="n"/>
      <c r="K3461" s="16" t="n"/>
      <c r="M3461" s="89" t="n"/>
      <c r="N3461" s="1" t="n"/>
      <c r="O3461" s="1" t="n"/>
      <c r="P3461" s="1" t="n"/>
      <c r="Q3461" s="1" t="n"/>
      <c r="R3461" s="1" t="n"/>
    </row>
    <row r="3462">
      <c r="A3462" s="61" t="n"/>
      <c r="B3462" s="16" t="n"/>
      <c r="C3462" s="90" t="n"/>
      <c r="D3462" s="90" t="n"/>
      <c r="E3462" s="90" t="n"/>
      <c r="F3462" s="16" t="n"/>
      <c r="G3462" s="16" t="n"/>
      <c r="H3462" s="63" t="n"/>
      <c r="I3462" s="64" t="n"/>
      <c r="J3462" s="16" t="n"/>
      <c r="K3462" s="16" t="n"/>
      <c r="M3462" s="89" t="n"/>
      <c r="N3462" s="1" t="n"/>
      <c r="O3462" s="1" t="n"/>
      <c r="P3462" s="1" t="n"/>
      <c r="Q3462" s="1" t="n"/>
      <c r="R3462" s="1" t="n"/>
    </row>
    <row r="3463">
      <c r="A3463" s="61" t="n"/>
      <c r="B3463" s="16" t="n"/>
      <c r="C3463" s="90" t="n"/>
      <c r="D3463" s="90" t="n"/>
      <c r="E3463" s="90" t="n"/>
      <c r="F3463" s="16" t="n"/>
      <c r="G3463" s="16" t="n"/>
      <c r="H3463" s="63" t="n"/>
      <c r="I3463" s="64" t="n"/>
      <c r="J3463" s="16" t="n"/>
      <c r="K3463" s="16" t="n"/>
      <c r="M3463" s="89" t="n"/>
      <c r="N3463" s="1" t="n"/>
      <c r="O3463" s="1" t="n"/>
      <c r="P3463" s="1" t="n"/>
      <c r="Q3463" s="1" t="n"/>
      <c r="R3463" s="1" t="n"/>
    </row>
    <row r="3464">
      <c r="A3464" s="61" t="n"/>
      <c r="B3464" s="16" t="n"/>
      <c r="C3464" s="90" t="n"/>
      <c r="D3464" s="90" t="n"/>
      <c r="E3464" s="90" t="n"/>
      <c r="F3464" s="16" t="n"/>
      <c r="G3464" s="16" t="n"/>
      <c r="H3464" s="63" t="n"/>
      <c r="I3464" s="64" t="n"/>
      <c r="J3464" s="16" t="n"/>
      <c r="K3464" s="16" t="n"/>
      <c r="M3464" s="89" t="n"/>
      <c r="N3464" s="1" t="n"/>
      <c r="O3464" s="1" t="n"/>
      <c r="P3464" s="1" t="n"/>
      <c r="Q3464" s="1" t="n"/>
      <c r="R3464" s="1" t="n"/>
    </row>
    <row r="3465">
      <c r="A3465" s="61" t="n"/>
      <c r="B3465" s="16" t="n"/>
      <c r="C3465" s="90" t="n"/>
      <c r="D3465" s="90" t="n"/>
      <c r="E3465" s="90" t="n"/>
      <c r="F3465" s="16" t="n"/>
      <c r="G3465" s="16" t="n"/>
      <c r="H3465" s="63" t="n"/>
      <c r="I3465" s="64" t="n"/>
      <c r="J3465" s="16" t="n"/>
      <c r="K3465" s="16" t="n"/>
      <c r="M3465" s="89" t="n"/>
      <c r="N3465" s="1" t="n"/>
      <c r="O3465" s="1" t="n"/>
      <c r="P3465" s="1" t="n"/>
      <c r="Q3465" s="1" t="n"/>
      <c r="R3465" s="1" t="n"/>
    </row>
    <row r="3466">
      <c r="A3466" s="61" t="n"/>
      <c r="B3466" s="16" t="n"/>
      <c r="C3466" s="90" t="n"/>
      <c r="D3466" s="90" t="n"/>
      <c r="E3466" s="90" t="n"/>
      <c r="F3466" s="16" t="n"/>
      <c r="G3466" s="16" t="n"/>
      <c r="H3466" s="63" t="n"/>
      <c r="I3466" s="64" t="n"/>
      <c r="J3466" s="16" t="n"/>
      <c r="K3466" s="16" t="n"/>
      <c r="M3466" s="89" t="n"/>
      <c r="N3466" s="1" t="n"/>
      <c r="O3466" s="1" t="n"/>
      <c r="P3466" s="1" t="n"/>
      <c r="Q3466" s="1" t="n"/>
      <c r="R3466" s="1" t="n"/>
    </row>
    <row r="3467">
      <c r="A3467" s="61" t="n"/>
      <c r="B3467" s="16" t="n"/>
      <c r="C3467" s="90" t="n"/>
      <c r="D3467" s="90" t="n"/>
      <c r="E3467" s="90" t="n"/>
      <c r="F3467" s="16" t="n"/>
      <c r="G3467" s="16" t="n"/>
      <c r="H3467" s="63" t="n"/>
      <c r="I3467" s="64" t="n"/>
      <c r="J3467" s="16" t="n"/>
      <c r="K3467" s="16" t="n"/>
      <c r="M3467" s="89" t="n"/>
      <c r="N3467" s="1" t="n"/>
      <c r="O3467" s="1" t="n"/>
      <c r="P3467" s="1" t="n"/>
      <c r="Q3467" s="1" t="n"/>
      <c r="R3467" s="1" t="n"/>
    </row>
    <row r="3468">
      <c r="A3468" s="61" t="n"/>
      <c r="B3468" s="16" t="n"/>
      <c r="C3468" s="90" t="n"/>
      <c r="D3468" s="90" t="n"/>
      <c r="E3468" s="90" t="n"/>
      <c r="F3468" s="16" t="n"/>
      <c r="G3468" s="16" t="n"/>
      <c r="H3468" s="63" t="n"/>
      <c r="I3468" s="64" t="n"/>
      <c r="J3468" s="16" t="n"/>
      <c r="K3468" s="16" t="n"/>
      <c r="M3468" s="89" t="n"/>
      <c r="N3468" s="1" t="n"/>
      <c r="O3468" s="1" t="n"/>
      <c r="P3468" s="1" t="n"/>
      <c r="Q3468" s="1" t="n"/>
      <c r="R3468" s="1" t="n"/>
    </row>
    <row r="3469">
      <c r="A3469" s="61" t="n"/>
      <c r="B3469" s="16" t="n"/>
      <c r="C3469" s="90" t="n"/>
      <c r="D3469" s="90" t="n"/>
      <c r="E3469" s="90" t="n"/>
      <c r="F3469" s="16" t="n"/>
      <c r="G3469" s="16" t="n"/>
      <c r="H3469" s="63" t="n"/>
      <c r="I3469" s="64" t="n"/>
      <c r="J3469" s="16" t="n"/>
      <c r="K3469" s="16" t="n"/>
      <c r="M3469" s="89" t="n"/>
      <c r="N3469" s="1" t="n"/>
      <c r="O3469" s="1" t="n"/>
      <c r="P3469" s="1" t="n"/>
      <c r="Q3469" s="1" t="n"/>
      <c r="R3469" s="1" t="n"/>
    </row>
    <row r="3470">
      <c r="A3470" s="61" t="n"/>
      <c r="B3470" s="16" t="n"/>
      <c r="C3470" s="90" t="n"/>
      <c r="D3470" s="90" t="n"/>
      <c r="E3470" s="90" t="n"/>
      <c r="F3470" s="16" t="n"/>
      <c r="G3470" s="16" t="n"/>
      <c r="H3470" s="63" t="n"/>
      <c r="I3470" s="64" t="n"/>
      <c r="J3470" s="16" t="n"/>
      <c r="K3470" s="16" t="n"/>
      <c r="M3470" s="89" t="n"/>
      <c r="N3470" s="1" t="n"/>
      <c r="O3470" s="1" t="n"/>
      <c r="P3470" s="1" t="n"/>
      <c r="Q3470" s="1" t="n"/>
      <c r="R3470" s="1" t="n"/>
    </row>
    <row r="3471">
      <c r="A3471" s="61" t="n"/>
      <c r="B3471" s="16" t="n"/>
      <c r="C3471" s="90" t="n"/>
      <c r="D3471" s="90" t="n"/>
      <c r="E3471" s="90" t="n"/>
      <c r="F3471" s="16" t="n"/>
      <c r="G3471" s="16" t="n"/>
      <c r="H3471" s="63" t="n"/>
      <c r="I3471" s="64" t="n"/>
      <c r="J3471" s="16" t="n"/>
      <c r="K3471" s="16" t="n"/>
      <c r="M3471" s="89" t="n"/>
      <c r="N3471" s="1" t="n"/>
      <c r="O3471" s="1" t="n"/>
      <c r="P3471" s="1" t="n"/>
      <c r="Q3471" s="1" t="n"/>
      <c r="R3471" s="1" t="n"/>
    </row>
    <row r="3472">
      <c r="A3472" s="61" t="n"/>
      <c r="B3472" s="16" t="n"/>
      <c r="C3472" s="90" t="n"/>
      <c r="D3472" s="90" t="n"/>
      <c r="E3472" s="90" t="n"/>
      <c r="F3472" s="16" t="n"/>
      <c r="G3472" s="16" t="n"/>
      <c r="H3472" s="63" t="n"/>
      <c r="I3472" s="64" t="n"/>
      <c r="J3472" s="16" t="n"/>
      <c r="K3472" s="16" t="n"/>
      <c r="M3472" s="89" t="n"/>
      <c r="N3472" s="1" t="n"/>
      <c r="O3472" s="1" t="n"/>
      <c r="P3472" s="1" t="n"/>
      <c r="Q3472" s="1" t="n"/>
      <c r="R3472" s="1" t="n"/>
    </row>
    <row r="3473">
      <c r="A3473" s="61" t="n"/>
      <c r="B3473" s="16" t="n"/>
      <c r="C3473" s="90" t="n"/>
      <c r="D3473" s="90" t="n"/>
      <c r="E3473" s="90" t="n"/>
      <c r="F3473" s="16" t="n"/>
      <c r="G3473" s="16" t="n"/>
      <c r="H3473" s="63" t="n"/>
      <c r="I3473" s="64" t="n"/>
      <c r="J3473" s="16" t="n"/>
      <c r="K3473" s="16" t="n"/>
      <c r="M3473" s="89" t="n"/>
      <c r="N3473" s="1" t="n"/>
      <c r="O3473" s="1" t="n"/>
      <c r="P3473" s="1" t="n"/>
      <c r="Q3473" s="1" t="n"/>
      <c r="R3473" s="1" t="n"/>
    </row>
    <row r="3474">
      <c r="A3474" s="61" t="n"/>
      <c r="B3474" s="16" t="n"/>
      <c r="C3474" s="90" t="n"/>
      <c r="D3474" s="90" t="n"/>
      <c r="E3474" s="90" t="n"/>
      <c r="F3474" s="16" t="n"/>
      <c r="G3474" s="16" t="n"/>
      <c r="H3474" s="63" t="n"/>
      <c r="I3474" s="64" t="n"/>
      <c r="J3474" s="16" t="n"/>
      <c r="K3474" s="16" t="n"/>
      <c r="M3474" s="89" t="n"/>
      <c r="N3474" s="1" t="n"/>
      <c r="O3474" s="1" t="n"/>
      <c r="P3474" s="1" t="n"/>
      <c r="Q3474" s="1" t="n"/>
      <c r="R3474" s="1" t="n"/>
    </row>
    <row r="3475">
      <c r="A3475" s="61" t="n"/>
      <c r="B3475" s="16" t="n"/>
      <c r="C3475" s="90" t="n"/>
      <c r="D3475" s="90" t="n"/>
      <c r="E3475" s="90" t="n"/>
      <c r="F3475" s="16" t="n"/>
      <c r="G3475" s="16" t="n"/>
      <c r="H3475" s="63" t="n"/>
      <c r="I3475" s="64" t="n"/>
      <c r="J3475" s="16" t="n"/>
      <c r="K3475" s="16" t="n"/>
      <c r="M3475" s="89" t="n"/>
      <c r="N3475" s="1" t="n"/>
      <c r="O3475" s="1" t="n"/>
      <c r="P3475" s="1" t="n"/>
      <c r="Q3475" s="1" t="n"/>
      <c r="R3475" s="1" t="n"/>
    </row>
    <row r="3476">
      <c r="A3476" s="61" t="n"/>
      <c r="B3476" s="16" t="n"/>
      <c r="C3476" s="90" t="n"/>
      <c r="D3476" s="90" t="n"/>
      <c r="E3476" s="90" t="n"/>
      <c r="F3476" s="16" t="n"/>
      <c r="G3476" s="16" t="n"/>
      <c r="H3476" s="63" t="n"/>
      <c r="I3476" s="64" t="n"/>
      <c r="J3476" s="16" t="n"/>
      <c r="K3476" s="16" t="n"/>
      <c r="M3476" s="89" t="n"/>
      <c r="N3476" s="1" t="n"/>
      <c r="O3476" s="1" t="n"/>
      <c r="P3476" s="1" t="n"/>
      <c r="Q3476" s="1" t="n"/>
      <c r="R3476" s="1" t="n"/>
    </row>
    <row r="3477">
      <c r="A3477" s="61" t="n"/>
      <c r="B3477" s="16" t="n"/>
      <c r="C3477" s="90" t="n"/>
      <c r="D3477" s="90" t="n"/>
      <c r="E3477" s="90" t="n"/>
      <c r="F3477" s="16" t="n"/>
      <c r="G3477" s="16" t="n"/>
      <c r="H3477" s="63" t="n"/>
      <c r="I3477" s="64" t="n"/>
      <c r="J3477" s="16" t="n"/>
      <c r="K3477" s="16" t="n"/>
      <c r="M3477" s="89" t="n"/>
      <c r="N3477" s="1" t="n"/>
      <c r="O3477" s="1" t="n"/>
      <c r="P3477" s="1" t="n"/>
      <c r="Q3477" s="1" t="n"/>
      <c r="R3477" s="1" t="n"/>
    </row>
    <row r="3478">
      <c r="A3478" s="61" t="n"/>
      <c r="B3478" s="16" t="n"/>
      <c r="C3478" s="90" t="n"/>
      <c r="D3478" s="90" t="n"/>
      <c r="E3478" s="90" t="n"/>
      <c r="F3478" s="16" t="n"/>
      <c r="G3478" s="16" t="n"/>
      <c r="H3478" s="63" t="n"/>
      <c r="I3478" s="64" t="n"/>
      <c r="J3478" s="16" t="n"/>
      <c r="K3478" s="16" t="n"/>
      <c r="M3478" s="89" t="n"/>
      <c r="N3478" s="1" t="n"/>
      <c r="O3478" s="1" t="n"/>
      <c r="P3478" s="1" t="n"/>
      <c r="Q3478" s="1" t="n"/>
      <c r="R3478" s="1" t="n"/>
    </row>
    <row r="3479">
      <c r="A3479" s="61" t="n"/>
      <c r="B3479" s="16" t="n"/>
      <c r="C3479" s="90" t="n"/>
      <c r="D3479" s="90" t="n"/>
      <c r="E3479" s="90" t="n"/>
      <c r="F3479" s="16" t="n"/>
      <c r="G3479" s="16" t="n"/>
      <c r="H3479" s="63" t="n"/>
      <c r="I3479" s="64" t="n"/>
      <c r="J3479" s="16" t="n"/>
      <c r="K3479" s="16" t="n"/>
      <c r="M3479" s="89" t="n"/>
      <c r="N3479" s="1" t="n"/>
      <c r="O3479" s="1" t="n"/>
      <c r="P3479" s="1" t="n"/>
      <c r="Q3479" s="1" t="n"/>
      <c r="R3479" s="1" t="n"/>
    </row>
    <row r="3480">
      <c r="A3480" s="61" t="n"/>
      <c r="B3480" s="16" t="n"/>
      <c r="C3480" s="90" t="n"/>
      <c r="D3480" s="90" t="n"/>
      <c r="E3480" s="90" t="n"/>
      <c r="F3480" s="16" t="n"/>
      <c r="G3480" s="16" t="n"/>
      <c r="H3480" s="63" t="n"/>
      <c r="I3480" s="64" t="n"/>
      <c r="J3480" s="16" t="n"/>
      <c r="K3480" s="16" t="n"/>
      <c r="M3480" s="89" t="n"/>
      <c r="N3480" s="1" t="n"/>
      <c r="O3480" s="1" t="n"/>
      <c r="P3480" s="1" t="n"/>
      <c r="Q3480" s="1" t="n"/>
      <c r="R3480" s="1" t="n"/>
    </row>
    <row r="3481">
      <c r="A3481" s="61" t="n"/>
      <c r="B3481" s="16" t="n"/>
      <c r="C3481" s="90" t="n"/>
      <c r="D3481" s="90" t="n"/>
      <c r="E3481" s="90" t="n"/>
      <c r="F3481" s="16" t="n"/>
      <c r="G3481" s="16" t="n"/>
      <c r="H3481" s="63" t="n"/>
      <c r="I3481" s="64" t="n"/>
      <c r="J3481" s="16" t="n"/>
      <c r="K3481" s="16" t="n"/>
      <c r="M3481" s="89" t="n"/>
      <c r="N3481" s="1" t="n"/>
      <c r="O3481" s="1" t="n"/>
      <c r="P3481" s="1" t="n"/>
      <c r="Q3481" s="1" t="n"/>
      <c r="R3481" s="1" t="n"/>
    </row>
    <row r="3482">
      <c r="A3482" s="61" t="n"/>
      <c r="B3482" s="16" t="n"/>
      <c r="C3482" s="90" t="n"/>
      <c r="D3482" s="90" t="n"/>
      <c r="E3482" s="90" t="n"/>
      <c r="F3482" s="16" t="n"/>
      <c r="G3482" s="16" t="n"/>
      <c r="H3482" s="63" t="n"/>
      <c r="I3482" s="64" t="n"/>
      <c r="J3482" s="16" t="n"/>
      <c r="K3482" s="16" t="n"/>
      <c r="M3482" s="89" t="n"/>
      <c r="N3482" s="1" t="n"/>
      <c r="O3482" s="1" t="n"/>
      <c r="P3482" s="1" t="n"/>
      <c r="Q3482" s="1" t="n"/>
      <c r="R3482" s="1" t="n"/>
    </row>
    <row r="3483">
      <c r="A3483" s="61" t="n"/>
      <c r="B3483" s="16" t="n"/>
      <c r="C3483" s="90" t="n"/>
      <c r="D3483" s="90" t="n"/>
      <c r="E3483" s="90" t="n"/>
      <c r="F3483" s="16" t="n"/>
      <c r="G3483" s="16" t="n"/>
      <c r="H3483" s="63" t="n"/>
      <c r="I3483" s="64" t="n"/>
      <c r="J3483" s="16" t="n"/>
      <c r="K3483" s="16" t="n"/>
      <c r="M3483" s="89" t="n"/>
      <c r="N3483" s="1" t="n"/>
      <c r="O3483" s="1" t="n"/>
      <c r="P3483" s="1" t="n"/>
      <c r="Q3483" s="1" t="n"/>
      <c r="R3483" s="1" t="n"/>
    </row>
    <row r="3484">
      <c r="A3484" s="61" t="n"/>
      <c r="B3484" s="16" t="n"/>
      <c r="C3484" s="90" t="n"/>
      <c r="D3484" s="90" t="n"/>
      <c r="E3484" s="90" t="n"/>
      <c r="F3484" s="16" t="n"/>
      <c r="G3484" s="16" t="n"/>
      <c r="H3484" s="63" t="n"/>
      <c r="I3484" s="64" t="n"/>
      <c r="J3484" s="16" t="n"/>
      <c r="K3484" s="16" t="n"/>
      <c r="M3484" s="89" t="n"/>
      <c r="N3484" s="1" t="n"/>
      <c r="O3484" s="1" t="n"/>
      <c r="P3484" s="1" t="n"/>
      <c r="Q3484" s="1" t="n"/>
      <c r="R3484" s="1" t="n"/>
    </row>
    <row r="3485">
      <c r="A3485" s="61" t="n"/>
      <c r="B3485" s="16" t="n"/>
      <c r="C3485" s="90" t="n"/>
      <c r="D3485" s="90" t="n"/>
      <c r="E3485" s="90" t="n"/>
      <c r="F3485" s="16" t="n"/>
      <c r="G3485" s="16" t="n"/>
      <c r="H3485" s="63" t="n"/>
      <c r="I3485" s="64" t="n"/>
      <c r="J3485" s="16" t="n"/>
      <c r="K3485" s="16" t="n"/>
      <c r="M3485" s="89" t="n"/>
      <c r="N3485" s="1" t="n"/>
      <c r="O3485" s="1" t="n"/>
      <c r="P3485" s="1" t="n"/>
      <c r="Q3485" s="1" t="n"/>
      <c r="R3485" s="1" t="n"/>
    </row>
    <row r="3486">
      <c r="A3486" s="61" t="n"/>
      <c r="B3486" s="16" t="n"/>
      <c r="C3486" s="90" t="n"/>
      <c r="D3486" s="90" t="n"/>
      <c r="E3486" s="90" t="n"/>
      <c r="F3486" s="16" t="n"/>
      <c r="G3486" s="16" t="n"/>
      <c r="H3486" s="63" t="n"/>
      <c r="I3486" s="64" t="n"/>
      <c r="J3486" s="16" t="n"/>
      <c r="K3486" s="16" t="n"/>
      <c r="M3486" s="89" t="n"/>
      <c r="N3486" s="1" t="n"/>
      <c r="O3486" s="1" t="n"/>
      <c r="P3486" s="1" t="n"/>
      <c r="Q3486" s="1" t="n"/>
      <c r="R3486" s="1" t="n"/>
    </row>
    <row r="3487">
      <c r="A3487" s="61" t="n"/>
      <c r="B3487" s="16" t="n"/>
      <c r="C3487" s="90" t="n"/>
      <c r="D3487" s="90" t="n"/>
      <c r="E3487" s="90" t="n"/>
      <c r="F3487" s="16" t="n"/>
      <c r="G3487" s="16" t="n"/>
      <c r="H3487" s="63" t="n"/>
      <c r="I3487" s="64" t="n"/>
      <c r="J3487" s="16" t="n"/>
      <c r="K3487" s="16" t="n"/>
      <c r="M3487" s="89" t="n"/>
      <c r="N3487" s="1" t="n"/>
      <c r="O3487" s="1" t="n"/>
      <c r="P3487" s="1" t="n"/>
      <c r="Q3487" s="1" t="n"/>
      <c r="R3487" s="1" t="n"/>
    </row>
    <row r="3488">
      <c r="A3488" s="61" t="n"/>
      <c r="B3488" s="16" t="n"/>
      <c r="C3488" s="90" t="n"/>
      <c r="D3488" s="90" t="n"/>
      <c r="E3488" s="90" t="n"/>
      <c r="F3488" s="16" t="n"/>
      <c r="G3488" s="16" t="n"/>
      <c r="H3488" s="63" t="n"/>
      <c r="I3488" s="64" t="n"/>
      <c r="J3488" s="16" t="n"/>
      <c r="K3488" s="16" t="n"/>
      <c r="M3488" s="89" t="n"/>
      <c r="N3488" s="1" t="n"/>
      <c r="O3488" s="1" t="n"/>
      <c r="P3488" s="1" t="n"/>
      <c r="Q3488" s="1" t="n"/>
      <c r="R3488" s="1" t="n"/>
    </row>
    <row r="3489">
      <c r="A3489" s="61" t="n"/>
      <c r="B3489" s="16" t="n"/>
      <c r="C3489" s="90" t="n"/>
      <c r="D3489" s="90" t="n"/>
      <c r="E3489" s="90" t="n"/>
      <c r="F3489" s="16" t="n"/>
      <c r="G3489" s="16" t="n"/>
      <c r="H3489" s="63" t="n"/>
      <c r="I3489" s="64" t="n"/>
      <c r="J3489" s="16" t="n"/>
      <c r="K3489" s="16" t="n"/>
      <c r="M3489" s="89" t="n"/>
      <c r="N3489" s="1" t="n"/>
      <c r="O3489" s="1" t="n"/>
      <c r="P3489" s="1" t="n"/>
      <c r="Q3489" s="1" t="n"/>
      <c r="R3489" s="1" t="n"/>
    </row>
    <row r="3490">
      <c r="A3490" s="61" t="n"/>
      <c r="B3490" s="16" t="n"/>
      <c r="C3490" s="90" t="n"/>
      <c r="D3490" s="90" t="n"/>
      <c r="E3490" s="90" t="n"/>
      <c r="F3490" s="16" t="n"/>
      <c r="G3490" s="16" t="n"/>
      <c r="H3490" s="63" t="n"/>
      <c r="I3490" s="64" t="n"/>
      <c r="J3490" s="16" t="n"/>
      <c r="K3490" s="16" t="n"/>
      <c r="M3490" s="89" t="n"/>
      <c r="N3490" s="1" t="n"/>
      <c r="O3490" s="1" t="n"/>
      <c r="P3490" s="1" t="n"/>
      <c r="Q3490" s="1" t="n"/>
      <c r="R3490" s="1" t="n"/>
    </row>
    <row r="3491">
      <c r="A3491" s="61" t="n"/>
      <c r="B3491" s="16" t="n"/>
      <c r="C3491" s="90" t="n"/>
      <c r="D3491" s="90" t="n"/>
      <c r="E3491" s="90" t="n"/>
      <c r="F3491" s="16" t="n"/>
      <c r="G3491" s="16" t="n"/>
      <c r="H3491" s="63" t="n"/>
      <c r="I3491" s="64" t="n"/>
      <c r="J3491" s="16" t="n"/>
      <c r="K3491" s="16" t="n"/>
      <c r="M3491" s="89" t="n"/>
      <c r="N3491" s="1" t="n"/>
      <c r="O3491" s="1" t="n"/>
      <c r="P3491" s="1" t="n"/>
      <c r="Q3491" s="1" t="n"/>
      <c r="R3491" s="1" t="n"/>
    </row>
    <row r="3492">
      <c r="A3492" s="61" t="n"/>
      <c r="B3492" s="16" t="n"/>
      <c r="C3492" s="90" t="n"/>
      <c r="D3492" s="90" t="n"/>
      <c r="E3492" s="90" t="n"/>
      <c r="F3492" s="16" t="n"/>
      <c r="G3492" s="16" t="n"/>
      <c r="H3492" s="63" t="n"/>
      <c r="I3492" s="64" t="n"/>
      <c r="J3492" s="16" t="n"/>
      <c r="K3492" s="16" t="n"/>
      <c r="M3492" s="89" t="n"/>
      <c r="N3492" s="1" t="n"/>
      <c r="O3492" s="1" t="n"/>
      <c r="P3492" s="1" t="n"/>
      <c r="Q3492" s="1" t="n"/>
      <c r="R3492" s="1" t="n"/>
    </row>
    <row r="3493">
      <c r="A3493" s="61" t="n"/>
      <c r="B3493" s="16" t="n"/>
      <c r="C3493" s="90" t="n"/>
      <c r="D3493" s="90" t="n"/>
      <c r="E3493" s="90" t="n"/>
      <c r="F3493" s="16" t="n"/>
      <c r="G3493" s="16" t="n"/>
      <c r="H3493" s="63" t="n"/>
      <c r="I3493" s="64" t="n"/>
      <c r="J3493" s="16" t="n"/>
      <c r="K3493" s="16" t="n"/>
      <c r="M3493" s="89" t="n"/>
      <c r="N3493" s="1" t="n"/>
      <c r="O3493" s="1" t="n"/>
      <c r="P3493" s="1" t="n"/>
      <c r="Q3493" s="1" t="n"/>
      <c r="R3493" s="1" t="n"/>
    </row>
    <row r="3494">
      <c r="A3494" s="61" t="n"/>
      <c r="B3494" s="16" t="n"/>
      <c r="C3494" s="90" t="n"/>
      <c r="D3494" s="90" t="n"/>
      <c r="E3494" s="90" t="n"/>
      <c r="F3494" s="16" t="n"/>
      <c r="G3494" s="16" t="n"/>
      <c r="H3494" s="63" t="n"/>
      <c r="I3494" s="64" t="n"/>
      <c r="J3494" s="16" t="n"/>
      <c r="K3494" s="16" t="n"/>
      <c r="M3494" s="89" t="n"/>
      <c r="N3494" s="1" t="n"/>
      <c r="O3494" s="1" t="n"/>
      <c r="P3494" s="1" t="n"/>
      <c r="Q3494" s="1" t="n"/>
      <c r="R3494" s="1" t="n"/>
    </row>
    <row r="3495">
      <c r="A3495" s="61" t="n"/>
      <c r="B3495" s="16" t="n"/>
      <c r="C3495" s="90" t="n"/>
      <c r="D3495" s="90" t="n"/>
      <c r="E3495" s="90" t="n"/>
      <c r="F3495" s="16" t="n"/>
      <c r="G3495" s="16" t="n"/>
      <c r="H3495" s="63" t="n"/>
      <c r="I3495" s="64" t="n"/>
      <c r="J3495" s="16" t="n"/>
      <c r="K3495" s="16" t="n"/>
      <c r="M3495" s="89" t="n"/>
      <c r="N3495" s="1" t="n"/>
      <c r="O3495" s="1" t="n"/>
      <c r="P3495" s="1" t="n"/>
      <c r="Q3495" s="1" t="n"/>
      <c r="R3495" s="1" t="n"/>
    </row>
    <row r="3496">
      <c r="A3496" s="61" t="n"/>
      <c r="B3496" s="16" t="n"/>
      <c r="C3496" s="90" t="n"/>
      <c r="D3496" s="90" t="n"/>
      <c r="E3496" s="90" t="n"/>
      <c r="F3496" s="16" t="n"/>
      <c r="G3496" s="16" t="n"/>
      <c r="H3496" s="63" t="n"/>
      <c r="I3496" s="64" t="n"/>
      <c r="J3496" s="16" t="n"/>
      <c r="K3496" s="16" t="n"/>
      <c r="M3496" s="89" t="n"/>
      <c r="N3496" s="1" t="n"/>
      <c r="O3496" s="1" t="n"/>
      <c r="P3496" s="1" t="n"/>
      <c r="Q3496" s="1" t="n"/>
      <c r="R3496" s="1" t="n"/>
    </row>
    <row r="3497">
      <c r="A3497" s="61" t="n"/>
      <c r="B3497" s="16" t="n"/>
      <c r="C3497" s="90" t="n"/>
      <c r="D3497" s="90" t="n"/>
      <c r="E3497" s="90" t="n"/>
      <c r="F3497" s="16" t="n"/>
      <c r="G3497" s="16" t="n"/>
      <c r="H3497" s="63" t="n"/>
      <c r="I3497" s="64" t="n"/>
      <c r="J3497" s="16" t="n"/>
      <c r="K3497" s="16" t="n"/>
      <c r="M3497" s="89" t="n"/>
      <c r="N3497" s="1" t="n"/>
      <c r="O3497" s="1" t="n"/>
      <c r="P3497" s="1" t="n"/>
      <c r="Q3497" s="1" t="n"/>
      <c r="R3497" s="1" t="n"/>
    </row>
    <row r="3498">
      <c r="A3498" s="61" t="n"/>
      <c r="B3498" s="16" t="n"/>
      <c r="C3498" s="90" t="n"/>
      <c r="D3498" s="90" t="n"/>
      <c r="E3498" s="90" t="n"/>
      <c r="F3498" s="16" t="n"/>
      <c r="G3498" s="16" t="n"/>
      <c r="H3498" s="63" t="n"/>
      <c r="I3498" s="64" t="n"/>
      <c r="J3498" s="16" t="n"/>
      <c r="K3498" s="16" t="n"/>
      <c r="M3498" s="89" t="n"/>
      <c r="N3498" s="1" t="n"/>
      <c r="O3498" s="1" t="n"/>
      <c r="P3498" s="1" t="n"/>
      <c r="Q3498" s="1" t="n"/>
      <c r="R3498" s="1" t="n"/>
    </row>
    <row r="3499">
      <c r="A3499" s="61" t="n"/>
      <c r="B3499" s="16" t="n"/>
      <c r="C3499" s="90" t="n"/>
      <c r="D3499" s="90" t="n"/>
      <c r="E3499" s="90" t="n"/>
      <c r="F3499" s="16" t="n"/>
      <c r="G3499" s="16" t="n"/>
      <c r="H3499" s="63" t="n"/>
      <c r="I3499" s="64" t="n"/>
      <c r="J3499" s="16" t="n"/>
      <c r="K3499" s="16" t="n"/>
      <c r="M3499" s="89" t="n"/>
      <c r="N3499" s="1" t="n"/>
      <c r="O3499" s="1" t="n"/>
      <c r="P3499" s="1" t="n"/>
      <c r="Q3499" s="1" t="n"/>
      <c r="R3499" s="1" t="n"/>
    </row>
    <row r="3500">
      <c r="A3500" s="61" t="n"/>
      <c r="B3500" s="16" t="n"/>
      <c r="C3500" s="90" t="n"/>
      <c r="D3500" s="90" t="n"/>
      <c r="E3500" s="90" t="n"/>
      <c r="F3500" s="16" t="n"/>
      <c r="G3500" s="16" t="n"/>
      <c r="H3500" s="63" t="n"/>
      <c r="I3500" s="64" t="n"/>
      <c r="J3500" s="16" t="n"/>
      <c r="K3500" s="16" t="n"/>
      <c r="M3500" s="89" t="n"/>
      <c r="N3500" s="1" t="n"/>
      <c r="O3500" s="1" t="n"/>
      <c r="P3500" s="1" t="n"/>
      <c r="Q3500" s="1" t="n"/>
      <c r="R3500" s="1" t="n"/>
    </row>
    <row r="3501">
      <c r="A3501" s="61" t="n"/>
      <c r="B3501" s="16" t="n"/>
      <c r="C3501" s="90" t="n"/>
      <c r="D3501" s="90" t="n"/>
      <c r="E3501" s="90" t="n"/>
      <c r="F3501" s="16" t="n"/>
      <c r="G3501" s="16" t="n"/>
      <c r="H3501" s="63" t="n"/>
      <c r="I3501" s="64" t="n"/>
      <c r="J3501" s="16" t="n"/>
      <c r="K3501" s="16" t="n"/>
      <c r="M3501" s="89" t="n"/>
      <c r="N3501" s="1" t="n"/>
      <c r="O3501" s="1" t="n"/>
      <c r="P3501" s="1" t="n"/>
      <c r="Q3501" s="1" t="n"/>
      <c r="R3501" s="1" t="n"/>
    </row>
    <row r="3502">
      <c r="A3502" s="61" t="n"/>
      <c r="B3502" s="16" t="n"/>
      <c r="C3502" s="90" t="n"/>
      <c r="D3502" s="90" t="n"/>
      <c r="E3502" s="90" t="n"/>
      <c r="F3502" s="16" t="n"/>
      <c r="G3502" s="16" t="n"/>
      <c r="H3502" s="63" t="n"/>
      <c r="I3502" s="64" t="n"/>
      <c r="J3502" s="16" t="n"/>
      <c r="K3502" s="16" t="n"/>
      <c r="M3502" s="89" t="n"/>
      <c r="N3502" s="1" t="n"/>
      <c r="O3502" s="1" t="n"/>
      <c r="P3502" s="1" t="n"/>
      <c r="Q3502" s="1" t="n"/>
      <c r="R3502" s="1" t="n"/>
    </row>
    <row r="3503">
      <c r="A3503" s="61" t="n"/>
      <c r="B3503" s="16" t="n"/>
      <c r="C3503" s="90" t="n"/>
      <c r="D3503" s="90" t="n"/>
      <c r="E3503" s="90" t="n"/>
      <c r="F3503" s="16" t="n"/>
      <c r="G3503" s="16" t="n"/>
      <c r="H3503" s="63" t="n"/>
      <c r="I3503" s="64" t="n"/>
      <c r="J3503" s="16" t="n"/>
      <c r="K3503" s="16" t="n"/>
      <c r="M3503" s="89" t="n"/>
      <c r="N3503" s="1" t="n"/>
      <c r="O3503" s="1" t="n"/>
      <c r="P3503" s="1" t="n"/>
      <c r="Q3503" s="1" t="n"/>
      <c r="R3503" s="1" t="n"/>
    </row>
    <row r="3504">
      <c r="A3504" s="61" t="n"/>
      <c r="B3504" s="16" t="n"/>
      <c r="C3504" s="90" t="n"/>
      <c r="D3504" s="90" t="n"/>
      <c r="E3504" s="90" t="n"/>
      <c r="F3504" s="16" t="n"/>
      <c r="G3504" s="16" t="n"/>
      <c r="H3504" s="63" t="n"/>
      <c r="I3504" s="64" t="n"/>
      <c r="J3504" s="16" t="n"/>
      <c r="K3504" s="16" t="n"/>
      <c r="M3504" s="89" t="n"/>
      <c r="N3504" s="1" t="n"/>
      <c r="O3504" s="1" t="n"/>
      <c r="P3504" s="1" t="n"/>
      <c r="Q3504" s="1" t="n"/>
      <c r="R3504" s="1" t="n"/>
    </row>
    <row r="3505">
      <c r="A3505" s="61" t="n"/>
      <c r="B3505" s="16" t="n"/>
      <c r="C3505" s="90" t="n"/>
      <c r="D3505" s="90" t="n"/>
      <c r="E3505" s="90" t="n"/>
      <c r="F3505" s="16" t="n"/>
      <c r="G3505" s="16" t="n"/>
      <c r="H3505" s="63" t="n"/>
      <c r="I3505" s="64" t="n"/>
      <c r="J3505" s="16" t="n"/>
      <c r="K3505" s="16" t="n"/>
      <c r="M3505" s="89" t="n"/>
      <c r="N3505" s="1" t="n"/>
      <c r="O3505" s="1" t="n"/>
      <c r="P3505" s="1" t="n"/>
      <c r="Q3505" s="1" t="n"/>
      <c r="R3505" s="1" t="n"/>
    </row>
    <row r="3506">
      <c r="A3506" s="61" t="n"/>
      <c r="B3506" s="16" t="n"/>
      <c r="C3506" s="90" t="n"/>
      <c r="D3506" s="90" t="n"/>
      <c r="E3506" s="90" t="n"/>
      <c r="F3506" s="16" t="n"/>
      <c r="G3506" s="16" t="n"/>
      <c r="H3506" s="63" t="n"/>
      <c r="I3506" s="64" t="n"/>
      <c r="J3506" s="16" t="n"/>
      <c r="K3506" s="16" t="n"/>
      <c r="M3506" s="89" t="n"/>
      <c r="N3506" s="1" t="n"/>
      <c r="O3506" s="1" t="n"/>
      <c r="P3506" s="1" t="n"/>
      <c r="Q3506" s="1" t="n"/>
      <c r="R3506" s="1" t="n"/>
    </row>
    <row r="3507">
      <c r="A3507" s="61" t="n"/>
      <c r="B3507" s="16" t="n"/>
      <c r="C3507" s="90" t="n"/>
      <c r="D3507" s="90" t="n"/>
      <c r="E3507" s="90" t="n"/>
      <c r="F3507" s="16" t="n"/>
      <c r="G3507" s="16" t="n"/>
      <c r="H3507" s="63" t="n"/>
      <c r="I3507" s="64" t="n"/>
      <c r="J3507" s="16" t="n"/>
      <c r="K3507" s="16" t="n"/>
      <c r="M3507" s="89" t="n"/>
      <c r="N3507" s="1" t="n"/>
      <c r="O3507" s="1" t="n"/>
      <c r="P3507" s="1" t="n"/>
      <c r="Q3507" s="1" t="n"/>
      <c r="R3507" s="1" t="n"/>
    </row>
    <row r="3508">
      <c r="A3508" s="61" t="n"/>
      <c r="B3508" s="16" t="n"/>
      <c r="C3508" s="90" t="n"/>
      <c r="D3508" s="90" t="n"/>
      <c r="E3508" s="90" t="n"/>
      <c r="F3508" s="16" t="n"/>
      <c r="G3508" s="16" t="n"/>
      <c r="H3508" s="63" t="n"/>
      <c r="I3508" s="64" t="n"/>
      <c r="J3508" s="16" t="n"/>
      <c r="K3508" s="16" t="n"/>
      <c r="M3508" s="89" t="n"/>
      <c r="N3508" s="1" t="n"/>
      <c r="O3508" s="1" t="n"/>
      <c r="P3508" s="1" t="n"/>
      <c r="Q3508" s="1" t="n"/>
      <c r="R3508" s="1" t="n"/>
    </row>
    <row r="3509">
      <c r="A3509" s="61" t="n"/>
      <c r="B3509" s="16" t="n"/>
      <c r="C3509" s="90" t="n"/>
      <c r="D3509" s="90" t="n"/>
      <c r="E3509" s="90" t="n"/>
      <c r="F3509" s="16" t="n"/>
      <c r="G3509" s="16" t="n"/>
      <c r="H3509" s="63" t="n"/>
      <c r="I3509" s="64" t="n"/>
      <c r="J3509" s="16" t="n"/>
      <c r="K3509" s="16" t="n"/>
      <c r="M3509" s="89" t="n"/>
      <c r="N3509" s="1" t="n"/>
      <c r="O3509" s="1" t="n"/>
      <c r="P3509" s="1" t="n"/>
      <c r="Q3509" s="1" t="n"/>
      <c r="R3509" s="1" t="n"/>
    </row>
    <row r="3510">
      <c r="A3510" s="61" t="n"/>
      <c r="B3510" s="16" t="n"/>
      <c r="C3510" s="90" t="n"/>
      <c r="D3510" s="90" t="n"/>
      <c r="E3510" s="90" t="n"/>
      <c r="F3510" s="16" t="n"/>
      <c r="G3510" s="16" t="n"/>
      <c r="H3510" s="63" t="n"/>
      <c r="I3510" s="64" t="n"/>
      <c r="J3510" s="16" t="n"/>
      <c r="K3510" s="16" t="n"/>
      <c r="M3510" s="89" t="n"/>
      <c r="N3510" s="1" t="n"/>
      <c r="O3510" s="1" t="n"/>
      <c r="P3510" s="1" t="n"/>
      <c r="Q3510" s="1" t="n"/>
      <c r="R3510" s="1" t="n"/>
    </row>
    <row r="3511">
      <c r="A3511" s="61" t="n"/>
      <c r="B3511" s="16" t="n"/>
      <c r="C3511" s="90" t="n"/>
      <c r="D3511" s="90" t="n"/>
      <c r="E3511" s="90" t="n"/>
      <c r="F3511" s="16" t="n"/>
      <c r="G3511" s="16" t="n"/>
      <c r="H3511" s="63" t="n"/>
      <c r="I3511" s="64" t="n"/>
      <c r="J3511" s="16" t="n"/>
      <c r="K3511" s="16" t="n"/>
      <c r="M3511" s="89" t="n"/>
      <c r="N3511" s="1" t="n"/>
      <c r="O3511" s="1" t="n"/>
      <c r="P3511" s="1" t="n"/>
      <c r="Q3511" s="1" t="n"/>
      <c r="R3511" s="1" t="n"/>
    </row>
    <row r="3512">
      <c r="A3512" s="61" t="n"/>
      <c r="B3512" s="16" t="n"/>
      <c r="C3512" s="90" t="n"/>
      <c r="D3512" s="90" t="n"/>
      <c r="E3512" s="90" t="n"/>
      <c r="F3512" s="16" t="n"/>
      <c r="G3512" s="16" t="n"/>
      <c r="H3512" s="63" t="n"/>
      <c r="I3512" s="64" t="n"/>
      <c r="J3512" s="16" t="n"/>
      <c r="K3512" s="16" t="n"/>
      <c r="M3512" s="89" t="n"/>
      <c r="N3512" s="1" t="n"/>
      <c r="O3512" s="1" t="n"/>
      <c r="P3512" s="1" t="n"/>
      <c r="Q3512" s="1" t="n"/>
      <c r="R3512" s="1" t="n"/>
    </row>
    <row r="3513">
      <c r="A3513" s="61" t="n"/>
      <c r="B3513" s="16" t="n"/>
      <c r="C3513" s="90" t="n"/>
      <c r="D3513" s="90" t="n"/>
      <c r="E3513" s="90" t="n"/>
      <c r="F3513" s="16" t="n"/>
      <c r="G3513" s="16" t="n"/>
      <c r="H3513" s="63" t="n"/>
      <c r="I3513" s="64" t="n"/>
      <c r="J3513" s="16" t="n"/>
      <c r="K3513" s="16" t="n"/>
      <c r="M3513" s="89" t="n"/>
      <c r="N3513" s="1" t="n"/>
      <c r="O3513" s="1" t="n"/>
      <c r="P3513" s="1" t="n"/>
      <c r="Q3513" s="1" t="n"/>
      <c r="R3513" s="1" t="n"/>
    </row>
    <row r="3514">
      <c r="A3514" s="61" t="n"/>
      <c r="B3514" s="16" t="n"/>
      <c r="C3514" s="90" t="n"/>
      <c r="D3514" s="90" t="n"/>
      <c r="E3514" s="90" t="n"/>
      <c r="F3514" s="16" t="n"/>
      <c r="G3514" s="16" t="n"/>
      <c r="H3514" s="63" t="n"/>
      <c r="I3514" s="64" t="n"/>
      <c r="J3514" s="16" t="n"/>
      <c r="K3514" s="16" t="n"/>
      <c r="M3514" s="89" t="n"/>
      <c r="N3514" s="1" t="n"/>
      <c r="O3514" s="1" t="n"/>
      <c r="P3514" s="1" t="n"/>
      <c r="Q3514" s="1" t="n"/>
      <c r="R3514" s="1" t="n"/>
    </row>
    <row r="3515">
      <c r="A3515" s="61" t="n"/>
      <c r="B3515" s="16" t="n"/>
      <c r="C3515" s="90" t="n"/>
      <c r="D3515" s="90" t="n"/>
      <c r="E3515" s="90" t="n"/>
      <c r="F3515" s="16" t="n"/>
      <c r="G3515" s="16" t="n"/>
      <c r="H3515" s="63" t="n"/>
      <c r="I3515" s="64" t="n"/>
      <c r="J3515" s="16" t="n"/>
      <c r="K3515" s="16" t="n"/>
      <c r="M3515" s="89" t="n"/>
      <c r="N3515" s="1" t="n"/>
      <c r="O3515" s="1" t="n"/>
      <c r="P3515" s="1" t="n"/>
      <c r="Q3515" s="1" t="n"/>
      <c r="R3515" s="1" t="n"/>
    </row>
    <row r="3516">
      <c r="A3516" s="61" t="n"/>
      <c r="B3516" s="16" t="n"/>
      <c r="C3516" s="90" t="n"/>
      <c r="D3516" s="90" t="n"/>
      <c r="E3516" s="90" t="n"/>
      <c r="F3516" s="16" t="n"/>
      <c r="G3516" s="16" t="n"/>
      <c r="H3516" s="63" t="n"/>
      <c r="I3516" s="64" t="n"/>
      <c r="J3516" s="16" t="n"/>
      <c r="K3516" s="16" t="n"/>
      <c r="M3516" s="89" t="n"/>
      <c r="N3516" s="1" t="n"/>
      <c r="O3516" s="1" t="n"/>
      <c r="P3516" s="1" t="n"/>
      <c r="Q3516" s="1" t="n"/>
      <c r="R3516" s="1" t="n"/>
    </row>
    <row r="3517">
      <c r="A3517" s="61" t="n"/>
      <c r="B3517" s="16" t="n"/>
      <c r="C3517" s="90" t="n"/>
      <c r="D3517" s="90" t="n"/>
      <c r="E3517" s="90" t="n"/>
      <c r="F3517" s="16" t="n"/>
      <c r="G3517" s="16" t="n"/>
      <c r="H3517" s="63" t="n"/>
      <c r="I3517" s="64" t="n"/>
      <c r="J3517" s="16" t="n"/>
      <c r="K3517" s="16" t="n"/>
      <c r="M3517" s="89" t="n"/>
      <c r="N3517" s="1" t="n"/>
      <c r="O3517" s="1" t="n"/>
      <c r="P3517" s="1" t="n"/>
      <c r="Q3517" s="1" t="n"/>
      <c r="R3517" s="1" t="n"/>
    </row>
    <row r="3518">
      <c r="A3518" s="61" t="n"/>
      <c r="B3518" s="16" t="n"/>
      <c r="C3518" s="90" t="n"/>
      <c r="D3518" s="90" t="n"/>
      <c r="E3518" s="90" t="n"/>
      <c r="F3518" s="16" t="n"/>
      <c r="G3518" s="16" t="n"/>
      <c r="H3518" s="63" t="n"/>
      <c r="I3518" s="64" t="n"/>
      <c r="J3518" s="16" t="n"/>
      <c r="K3518" s="16" t="n"/>
      <c r="M3518" s="89" t="n"/>
      <c r="N3518" s="1" t="n"/>
      <c r="O3518" s="1" t="n"/>
      <c r="P3518" s="1" t="n"/>
      <c r="Q3518" s="1" t="n"/>
      <c r="R3518" s="1" t="n"/>
    </row>
    <row r="3519">
      <c r="A3519" s="61" t="n"/>
      <c r="B3519" s="16" t="n"/>
      <c r="C3519" s="90" t="n"/>
      <c r="D3519" s="90" t="n"/>
      <c r="E3519" s="90" t="n"/>
      <c r="F3519" s="16" t="n"/>
      <c r="G3519" s="16" t="n"/>
      <c r="H3519" s="63" t="n"/>
      <c r="I3519" s="64" t="n"/>
      <c r="J3519" s="16" t="n"/>
      <c r="K3519" s="16" t="n"/>
      <c r="M3519" s="89" t="n"/>
      <c r="N3519" s="1" t="n"/>
      <c r="O3519" s="1" t="n"/>
      <c r="P3519" s="1" t="n"/>
      <c r="Q3519" s="1" t="n"/>
      <c r="R3519" s="1" t="n"/>
    </row>
    <row r="3520">
      <c r="A3520" s="61" t="n"/>
      <c r="B3520" s="16" t="n"/>
      <c r="C3520" s="90" t="n"/>
      <c r="D3520" s="90" t="n"/>
      <c r="E3520" s="90" t="n"/>
      <c r="F3520" s="16" t="n"/>
      <c r="G3520" s="16" t="n"/>
      <c r="H3520" s="63" t="n"/>
      <c r="I3520" s="64" t="n"/>
      <c r="J3520" s="16" t="n"/>
      <c r="K3520" s="16" t="n"/>
      <c r="M3520" s="89" t="n"/>
      <c r="N3520" s="1" t="n"/>
      <c r="O3520" s="1" t="n"/>
      <c r="P3520" s="1" t="n"/>
      <c r="Q3520" s="1" t="n"/>
      <c r="R3520" s="1" t="n"/>
    </row>
    <row r="3521">
      <c r="A3521" s="61" t="n"/>
      <c r="B3521" s="16" t="n"/>
      <c r="C3521" s="90" t="n"/>
      <c r="D3521" s="90" t="n"/>
      <c r="E3521" s="90" t="n"/>
      <c r="F3521" s="16" t="n"/>
      <c r="G3521" s="16" t="n"/>
      <c r="H3521" s="63" t="n"/>
      <c r="I3521" s="64" t="n"/>
      <c r="J3521" s="16" t="n"/>
      <c r="K3521" s="16" t="n"/>
      <c r="M3521" s="89" t="n"/>
      <c r="N3521" s="1" t="n"/>
      <c r="O3521" s="1" t="n"/>
      <c r="P3521" s="1" t="n"/>
      <c r="Q3521" s="1" t="n"/>
      <c r="R3521" s="1" t="n"/>
    </row>
    <row r="3522">
      <c r="A3522" s="61" t="n"/>
      <c r="B3522" s="16" t="n"/>
      <c r="C3522" s="90" t="n"/>
      <c r="D3522" s="90" t="n"/>
      <c r="E3522" s="90" t="n"/>
      <c r="F3522" s="16" t="n"/>
      <c r="G3522" s="16" t="n"/>
      <c r="H3522" s="63" t="n"/>
      <c r="I3522" s="64" t="n"/>
      <c r="J3522" s="16" t="n"/>
      <c r="K3522" s="16" t="n"/>
      <c r="M3522" s="89" t="n"/>
      <c r="N3522" s="1" t="n"/>
      <c r="O3522" s="1" t="n"/>
      <c r="P3522" s="1" t="n"/>
      <c r="Q3522" s="1" t="n"/>
      <c r="R3522" s="1" t="n"/>
    </row>
    <row r="3523">
      <c r="A3523" s="61" t="n"/>
      <c r="B3523" s="16" t="n"/>
      <c r="C3523" s="90" t="n"/>
      <c r="D3523" s="90" t="n"/>
      <c r="E3523" s="90" t="n"/>
      <c r="F3523" s="16" t="n"/>
      <c r="G3523" s="16" t="n"/>
      <c r="H3523" s="63" t="n"/>
      <c r="I3523" s="64" t="n"/>
      <c r="J3523" s="16" t="n"/>
      <c r="K3523" s="16" t="n"/>
      <c r="M3523" s="89" t="n"/>
      <c r="N3523" s="1" t="n"/>
      <c r="O3523" s="1" t="n"/>
      <c r="P3523" s="1" t="n"/>
      <c r="Q3523" s="1" t="n"/>
      <c r="R3523" s="1" t="n"/>
    </row>
    <row r="3524">
      <c r="A3524" s="61" t="n"/>
      <c r="B3524" s="16" t="n"/>
      <c r="C3524" s="90" t="n"/>
      <c r="D3524" s="90" t="n"/>
      <c r="E3524" s="90" t="n"/>
      <c r="F3524" s="16" t="n"/>
      <c r="G3524" s="16" t="n"/>
      <c r="H3524" s="63" t="n"/>
      <c r="I3524" s="64" t="n"/>
      <c r="J3524" s="16" t="n"/>
      <c r="K3524" s="16" t="n"/>
      <c r="M3524" s="89" t="n"/>
      <c r="N3524" s="1" t="n"/>
      <c r="O3524" s="1" t="n"/>
      <c r="P3524" s="1" t="n"/>
      <c r="Q3524" s="1" t="n"/>
      <c r="R3524" s="1" t="n"/>
    </row>
    <row r="3525">
      <c r="A3525" s="61" t="n"/>
      <c r="B3525" s="16" t="n"/>
      <c r="C3525" s="90" t="n"/>
      <c r="D3525" s="90" t="n"/>
      <c r="E3525" s="90" t="n"/>
      <c r="F3525" s="16" t="n"/>
      <c r="G3525" s="16" t="n"/>
      <c r="H3525" s="63" t="n"/>
      <c r="I3525" s="64" t="n"/>
      <c r="J3525" s="16" t="n"/>
      <c r="K3525" s="16" t="n"/>
      <c r="M3525" s="89" t="n"/>
      <c r="N3525" s="1" t="n"/>
      <c r="O3525" s="1" t="n"/>
      <c r="P3525" s="1" t="n"/>
      <c r="Q3525" s="1" t="n"/>
      <c r="R3525" s="1" t="n"/>
    </row>
    <row r="3526">
      <c r="A3526" s="61" t="n"/>
      <c r="B3526" s="16" t="n"/>
      <c r="C3526" s="90" t="n"/>
      <c r="D3526" s="90" t="n"/>
      <c r="E3526" s="90" t="n"/>
      <c r="F3526" s="16" t="n"/>
      <c r="G3526" s="16" t="n"/>
      <c r="H3526" s="63" t="n"/>
      <c r="I3526" s="64" t="n"/>
      <c r="J3526" s="16" t="n"/>
      <c r="K3526" s="16" t="n"/>
      <c r="M3526" s="89" t="n"/>
      <c r="N3526" s="1" t="n"/>
      <c r="O3526" s="1" t="n"/>
      <c r="P3526" s="1" t="n"/>
      <c r="Q3526" s="1" t="n"/>
      <c r="R3526" s="1" t="n"/>
    </row>
    <row r="3527">
      <c r="A3527" s="61" t="n"/>
      <c r="B3527" s="16" t="n"/>
      <c r="C3527" s="90" t="n"/>
      <c r="D3527" s="90" t="n"/>
      <c r="E3527" s="90" t="n"/>
      <c r="F3527" s="16" t="n"/>
      <c r="G3527" s="16" t="n"/>
      <c r="H3527" s="63" t="n"/>
      <c r="I3527" s="64" t="n"/>
      <c r="J3527" s="16" t="n"/>
      <c r="K3527" s="16" t="n"/>
      <c r="M3527" s="89" t="n"/>
      <c r="N3527" s="1" t="n"/>
      <c r="O3527" s="1" t="n"/>
      <c r="P3527" s="1" t="n"/>
      <c r="Q3527" s="1" t="n"/>
      <c r="R3527" s="1" t="n"/>
    </row>
    <row r="3528">
      <c r="A3528" s="61" t="n"/>
      <c r="B3528" s="16" t="n"/>
      <c r="C3528" s="90" t="n"/>
      <c r="D3528" s="90" t="n"/>
      <c r="E3528" s="90" t="n"/>
      <c r="F3528" s="16" t="n"/>
      <c r="G3528" s="16" t="n"/>
      <c r="H3528" s="63" t="n"/>
      <c r="I3528" s="64" t="n"/>
      <c r="J3528" s="16" t="n"/>
      <c r="K3528" s="16" t="n"/>
      <c r="M3528" s="89" t="n"/>
      <c r="N3528" s="1" t="n"/>
      <c r="O3528" s="1" t="n"/>
      <c r="P3528" s="1" t="n"/>
      <c r="Q3528" s="1" t="n"/>
      <c r="R3528" s="1" t="n"/>
    </row>
    <row r="3529">
      <c r="A3529" s="61" t="n"/>
      <c r="B3529" s="16" t="n"/>
      <c r="C3529" s="90" t="n"/>
      <c r="D3529" s="90" t="n"/>
      <c r="E3529" s="90" t="n"/>
      <c r="F3529" s="16" t="n"/>
      <c r="G3529" s="16" t="n"/>
      <c r="H3529" s="63" t="n"/>
      <c r="I3529" s="64" t="n"/>
      <c r="J3529" s="16" t="n"/>
      <c r="K3529" s="16" t="n"/>
      <c r="M3529" s="89" t="n"/>
      <c r="N3529" s="1" t="n"/>
      <c r="O3529" s="1" t="n"/>
      <c r="P3529" s="1" t="n"/>
      <c r="Q3529" s="1" t="n"/>
      <c r="R3529" s="1" t="n"/>
    </row>
    <row r="3530">
      <c r="A3530" s="61" t="n"/>
      <c r="B3530" s="16" t="n"/>
      <c r="C3530" s="90" t="n"/>
      <c r="D3530" s="90" t="n"/>
      <c r="E3530" s="90" t="n"/>
      <c r="F3530" s="16" t="n"/>
      <c r="G3530" s="16" t="n"/>
      <c r="H3530" s="63" t="n"/>
      <c r="I3530" s="64" t="n"/>
      <c r="J3530" s="16" t="n"/>
      <c r="K3530" s="16" t="n"/>
      <c r="M3530" s="89" t="n"/>
      <c r="N3530" s="1" t="n"/>
      <c r="O3530" s="1" t="n"/>
      <c r="P3530" s="1" t="n"/>
      <c r="Q3530" s="1" t="n"/>
      <c r="R3530" s="1" t="n"/>
    </row>
    <row r="3531">
      <c r="A3531" s="61" t="n"/>
      <c r="B3531" s="16" t="n"/>
      <c r="C3531" s="90" t="n"/>
      <c r="D3531" s="90" t="n"/>
      <c r="E3531" s="90" t="n"/>
      <c r="F3531" s="16" t="n"/>
      <c r="G3531" s="16" t="n"/>
      <c r="H3531" s="63" t="n"/>
      <c r="I3531" s="64" t="n"/>
      <c r="J3531" s="16" t="n"/>
      <c r="K3531" s="16" t="n"/>
      <c r="M3531" s="89" t="n"/>
      <c r="N3531" s="1" t="n"/>
      <c r="O3531" s="1" t="n"/>
      <c r="P3531" s="1" t="n"/>
      <c r="Q3531" s="1" t="n"/>
      <c r="R3531" s="1" t="n"/>
    </row>
    <row r="3532">
      <c r="A3532" s="61" t="n"/>
      <c r="B3532" s="16" t="n"/>
      <c r="C3532" s="90" t="n"/>
      <c r="D3532" s="90" t="n"/>
      <c r="E3532" s="90" t="n"/>
      <c r="F3532" s="16" t="n"/>
      <c r="G3532" s="16" t="n"/>
      <c r="H3532" s="63" t="n"/>
      <c r="I3532" s="64" t="n"/>
      <c r="J3532" s="16" t="n"/>
      <c r="K3532" s="16" t="n"/>
      <c r="M3532" s="89" t="n"/>
      <c r="N3532" s="1" t="n"/>
      <c r="O3532" s="1" t="n"/>
      <c r="P3532" s="1" t="n"/>
      <c r="Q3532" s="1" t="n"/>
      <c r="R3532" s="1" t="n"/>
    </row>
    <row r="3533">
      <c r="A3533" s="61" t="n"/>
      <c r="B3533" s="16" t="n"/>
      <c r="C3533" s="90" t="n"/>
      <c r="D3533" s="90" t="n"/>
      <c r="E3533" s="90" t="n"/>
      <c r="F3533" s="16" t="n"/>
      <c r="G3533" s="16" t="n"/>
      <c r="H3533" s="63" t="n"/>
      <c r="I3533" s="64" t="n"/>
      <c r="J3533" s="16" t="n"/>
      <c r="K3533" s="16" t="n"/>
      <c r="M3533" s="89" t="n"/>
      <c r="N3533" s="1" t="n"/>
      <c r="O3533" s="1" t="n"/>
      <c r="P3533" s="1" t="n"/>
      <c r="Q3533" s="1" t="n"/>
      <c r="R3533" s="1" t="n"/>
    </row>
    <row r="3534">
      <c r="A3534" s="61" t="n"/>
      <c r="B3534" s="16" t="n"/>
      <c r="C3534" s="90" t="n"/>
      <c r="D3534" s="90" t="n"/>
      <c r="E3534" s="90" t="n"/>
      <c r="F3534" s="16" t="n"/>
      <c r="G3534" s="16" t="n"/>
      <c r="H3534" s="63" t="n"/>
      <c r="I3534" s="64" t="n"/>
      <c r="J3534" s="16" t="n"/>
      <c r="K3534" s="16" t="n"/>
      <c r="M3534" s="89" t="n"/>
      <c r="N3534" s="1" t="n"/>
      <c r="O3534" s="1" t="n"/>
      <c r="P3534" s="1" t="n"/>
      <c r="Q3534" s="1" t="n"/>
      <c r="R3534" s="1" t="n"/>
    </row>
    <row r="3535">
      <c r="A3535" s="61" t="n"/>
      <c r="B3535" s="16" t="n"/>
      <c r="C3535" s="90" t="n"/>
      <c r="D3535" s="90" t="n"/>
      <c r="E3535" s="90" t="n"/>
      <c r="F3535" s="16" t="n"/>
      <c r="G3535" s="16" t="n"/>
      <c r="H3535" s="63" t="n"/>
      <c r="I3535" s="64" t="n"/>
      <c r="J3535" s="16" t="n"/>
      <c r="K3535" s="16" t="n"/>
      <c r="M3535" s="89" t="n"/>
      <c r="N3535" s="1" t="n"/>
      <c r="O3535" s="1" t="n"/>
      <c r="P3535" s="1" t="n"/>
      <c r="Q3535" s="1" t="n"/>
      <c r="R3535" s="1" t="n"/>
    </row>
    <row r="3536">
      <c r="A3536" s="61" t="n"/>
      <c r="B3536" s="16" t="n"/>
      <c r="C3536" s="90" t="n"/>
      <c r="D3536" s="90" t="n"/>
      <c r="E3536" s="90" t="n"/>
      <c r="F3536" s="16" t="n"/>
      <c r="G3536" s="16" t="n"/>
      <c r="H3536" s="63" t="n"/>
      <c r="I3536" s="64" t="n"/>
      <c r="J3536" s="16" t="n"/>
      <c r="K3536" s="16" t="n"/>
      <c r="M3536" s="89" t="n"/>
      <c r="N3536" s="1" t="n"/>
      <c r="O3536" s="1" t="n"/>
      <c r="P3536" s="1" t="n"/>
      <c r="Q3536" s="1" t="n"/>
      <c r="R3536" s="1" t="n"/>
    </row>
    <row r="3537">
      <c r="A3537" s="61" t="n"/>
      <c r="B3537" s="16" t="n"/>
      <c r="C3537" s="90" t="n"/>
      <c r="D3537" s="90" t="n"/>
      <c r="E3537" s="90" t="n"/>
      <c r="F3537" s="16" t="n"/>
      <c r="G3537" s="16" t="n"/>
      <c r="H3537" s="63" t="n"/>
      <c r="I3537" s="64" t="n"/>
      <c r="J3537" s="16" t="n"/>
      <c r="K3537" s="16" t="n"/>
      <c r="M3537" s="89" t="n"/>
      <c r="N3537" s="1" t="n"/>
      <c r="O3537" s="1" t="n"/>
      <c r="P3537" s="1" t="n"/>
      <c r="Q3537" s="1" t="n"/>
      <c r="R3537" s="1" t="n"/>
    </row>
    <row r="3538">
      <c r="A3538" s="61" t="n"/>
      <c r="B3538" s="16" t="n"/>
      <c r="C3538" s="90" t="n"/>
      <c r="D3538" s="90" t="n"/>
      <c r="E3538" s="90" t="n"/>
      <c r="F3538" s="16" t="n"/>
      <c r="G3538" s="16" t="n"/>
      <c r="H3538" s="63" t="n"/>
      <c r="I3538" s="64" t="n"/>
      <c r="J3538" s="16" t="n"/>
      <c r="K3538" s="16" t="n"/>
      <c r="M3538" s="89" t="n"/>
      <c r="N3538" s="1" t="n"/>
      <c r="O3538" s="1" t="n"/>
      <c r="P3538" s="1" t="n"/>
      <c r="Q3538" s="1" t="n"/>
      <c r="R3538" s="1" t="n"/>
    </row>
    <row r="3539">
      <c r="A3539" s="61" t="n"/>
      <c r="B3539" s="16" t="n"/>
      <c r="C3539" s="90" t="n"/>
      <c r="D3539" s="90" t="n"/>
      <c r="E3539" s="90" t="n"/>
      <c r="F3539" s="16" t="n"/>
      <c r="G3539" s="16" t="n"/>
      <c r="H3539" s="63" t="n"/>
      <c r="I3539" s="64" t="n"/>
      <c r="J3539" s="16" t="n"/>
      <c r="K3539" s="16" t="n"/>
      <c r="M3539" s="89" t="n"/>
      <c r="N3539" s="1" t="n"/>
      <c r="O3539" s="1" t="n"/>
      <c r="P3539" s="1" t="n"/>
      <c r="Q3539" s="1" t="n"/>
      <c r="R3539" s="1" t="n"/>
    </row>
    <row r="3540">
      <c r="A3540" s="61" t="n"/>
      <c r="B3540" s="16" t="n"/>
      <c r="C3540" s="90" t="n"/>
      <c r="D3540" s="90" t="n"/>
      <c r="E3540" s="90" t="n"/>
      <c r="F3540" s="16" t="n"/>
      <c r="G3540" s="16" t="n"/>
      <c r="H3540" s="63" t="n"/>
      <c r="I3540" s="64" t="n"/>
      <c r="J3540" s="16" t="n"/>
      <c r="K3540" s="16" t="n"/>
      <c r="M3540" s="89" t="n"/>
      <c r="N3540" s="1" t="n"/>
      <c r="O3540" s="1" t="n"/>
      <c r="P3540" s="1" t="n"/>
      <c r="Q3540" s="1" t="n"/>
      <c r="R3540" s="1" t="n"/>
    </row>
    <row r="3541">
      <c r="A3541" s="61" t="n"/>
      <c r="B3541" s="16" t="n"/>
      <c r="C3541" s="90" t="n"/>
      <c r="D3541" s="90" t="n"/>
      <c r="E3541" s="90" t="n"/>
      <c r="F3541" s="16" t="n"/>
      <c r="G3541" s="16" t="n"/>
      <c r="H3541" s="63" t="n"/>
      <c r="I3541" s="64" t="n"/>
      <c r="J3541" s="16" t="n"/>
      <c r="K3541" s="16" t="n"/>
      <c r="M3541" s="89" t="n"/>
      <c r="N3541" s="1" t="n"/>
      <c r="O3541" s="1" t="n"/>
      <c r="P3541" s="1" t="n"/>
      <c r="Q3541" s="1" t="n"/>
      <c r="R3541" s="1" t="n"/>
    </row>
    <row r="3542">
      <c r="A3542" s="61" t="n"/>
      <c r="B3542" s="16" t="n"/>
      <c r="C3542" s="90" t="n"/>
      <c r="D3542" s="90" t="n"/>
      <c r="E3542" s="90" t="n"/>
      <c r="F3542" s="16" t="n"/>
      <c r="G3542" s="16" t="n"/>
      <c r="H3542" s="63" t="n"/>
      <c r="I3542" s="64" t="n"/>
      <c r="J3542" s="16" t="n"/>
      <c r="K3542" s="16" t="n"/>
      <c r="M3542" s="89" t="n"/>
      <c r="N3542" s="1" t="n"/>
      <c r="O3542" s="1" t="n"/>
      <c r="P3542" s="1" t="n"/>
      <c r="Q3542" s="1" t="n"/>
      <c r="R3542" s="1" t="n"/>
    </row>
    <row r="3543">
      <c r="A3543" s="61" t="n"/>
      <c r="B3543" s="16" t="n"/>
      <c r="C3543" s="90" t="n"/>
      <c r="D3543" s="90" t="n"/>
      <c r="E3543" s="90" t="n"/>
      <c r="F3543" s="16" t="n"/>
      <c r="G3543" s="16" t="n"/>
      <c r="H3543" s="63" t="n"/>
      <c r="I3543" s="64" t="n"/>
      <c r="J3543" s="16" t="n"/>
      <c r="K3543" s="16" t="n"/>
      <c r="M3543" s="89" t="n"/>
      <c r="N3543" s="1" t="n"/>
      <c r="O3543" s="1" t="n"/>
      <c r="P3543" s="1" t="n"/>
      <c r="Q3543" s="1" t="n"/>
      <c r="R3543" s="1" t="n"/>
    </row>
    <row r="3544">
      <c r="A3544" s="61" t="n"/>
      <c r="B3544" s="16" t="n"/>
      <c r="C3544" s="90" t="n"/>
      <c r="D3544" s="90" t="n"/>
      <c r="E3544" s="90" t="n"/>
      <c r="F3544" s="16" t="n"/>
      <c r="G3544" s="16" t="n"/>
      <c r="H3544" s="63" t="n"/>
      <c r="I3544" s="64" t="n"/>
      <c r="J3544" s="16" t="n"/>
      <c r="K3544" s="16" t="n"/>
      <c r="M3544" s="89" t="n"/>
      <c r="N3544" s="1" t="n"/>
      <c r="O3544" s="1" t="n"/>
      <c r="P3544" s="1" t="n"/>
      <c r="Q3544" s="1" t="n"/>
      <c r="R3544" s="1" t="n"/>
    </row>
    <row r="3545">
      <c r="A3545" s="61" t="n"/>
      <c r="B3545" s="16" t="n"/>
      <c r="C3545" s="90" t="n"/>
      <c r="D3545" s="90" t="n"/>
      <c r="E3545" s="90" t="n"/>
      <c r="F3545" s="16" t="n"/>
      <c r="G3545" s="16" t="n"/>
      <c r="H3545" s="63" t="n"/>
      <c r="I3545" s="64" t="n"/>
      <c r="J3545" s="16" t="n"/>
      <c r="K3545" s="16" t="n"/>
      <c r="M3545" s="89" t="n"/>
      <c r="N3545" s="1" t="n"/>
      <c r="O3545" s="1" t="n"/>
      <c r="P3545" s="1" t="n"/>
      <c r="Q3545" s="1" t="n"/>
      <c r="R3545" s="1" t="n"/>
    </row>
    <row r="3546">
      <c r="A3546" s="61" t="n"/>
      <c r="B3546" s="16" t="n"/>
      <c r="C3546" s="90" t="n"/>
      <c r="D3546" s="90" t="n"/>
      <c r="E3546" s="90" t="n"/>
      <c r="F3546" s="16" t="n"/>
      <c r="G3546" s="16" t="n"/>
      <c r="H3546" s="63" t="n"/>
      <c r="I3546" s="64" t="n"/>
      <c r="J3546" s="16" t="n"/>
      <c r="K3546" s="16" t="n"/>
      <c r="M3546" s="89" t="n"/>
      <c r="N3546" s="1" t="n"/>
      <c r="O3546" s="1" t="n"/>
      <c r="P3546" s="1" t="n"/>
      <c r="Q3546" s="1" t="n"/>
      <c r="R3546" s="1" t="n"/>
    </row>
    <row r="3547">
      <c r="A3547" s="61" t="n"/>
      <c r="B3547" s="16" t="n"/>
      <c r="C3547" s="90" t="n"/>
      <c r="D3547" s="90" t="n"/>
      <c r="E3547" s="90" t="n"/>
      <c r="F3547" s="16" t="n"/>
      <c r="G3547" s="16" t="n"/>
      <c r="H3547" s="63" t="n"/>
      <c r="I3547" s="64" t="n"/>
      <c r="J3547" s="16" t="n"/>
      <c r="K3547" s="16" t="n"/>
      <c r="M3547" s="89" t="n"/>
      <c r="N3547" s="1" t="n"/>
      <c r="O3547" s="1" t="n"/>
      <c r="P3547" s="1" t="n"/>
      <c r="Q3547" s="1" t="n"/>
      <c r="R3547" s="1" t="n"/>
    </row>
    <row r="3548">
      <c r="A3548" s="61" t="n"/>
      <c r="B3548" s="16" t="n"/>
      <c r="C3548" s="90" t="n"/>
      <c r="D3548" s="90" t="n"/>
      <c r="E3548" s="90" t="n"/>
      <c r="F3548" s="16" t="n"/>
      <c r="G3548" s="16" t="n"/>
      <c r="H3548" s="63" t="n"/>
      <c r="I3548" s="64" t="n"/>
      <c r="J3548" s="16" t="n"/>
      <c r="K3548" s="16" t="n"/>
      <c r="M3548" s="89" t="n"/>
      <c r="N3548" s="1" t="n"/>
      <c r="O3548" s="1" t="n"/>
      <c r="P3548" s="1" t="n"/>
      <c r="Q3548" s="1" t="n"/>
      <c r="R3548" s="1" t="n"/>
    </row>
    <row r="3549">
      <c r="A3549" s="61" t="n"/>
      <c r="B3549" s="16" t="n"/>
      <c r="C3549" s="90" t="n"/>
      <c r="D3549" s="90" t="n"/>
      <c r="E3549" s="90" t="n"/>
      <c r="F3549" s="16" t="n"/>
      <c r="G3549" s="16" t="n"/>
      <c r="H3549" s="63" t="n"/>
      <c r="I3549" s="64" t="n"/>
      <c r="J3549" s="16" t="n"/>
      <c r="K3549" s="16" t="n"/>
      <c r="M3549" s="89" t="n"/>
      <c r="N3549" s="1" t="n"/>
      <c r="O3549" s="1" t="n"/>
      <c r="P3549" s="1" t="n"/>
      <c r="Q3549" s="1" t="n"/>
      <c r="R3549" s="1" t="n"/>
    </row>
    <row r="3550">
      <c r="A3550" s="61" t="n"/>
      <c r="B3550" s="16" t="n"/>
      <c r="C3550" s="90" t="n"/>
      <c r="D3550" s="90" t="n"/>
      <c r="E3550" s="90" t="n"/>
      <c r="F3550" s="16" t="n"/>
      <c r="G3550" s="16" t="n"/>
      <c r="H3550" s="63" t="n"/>
      <c r="I3550" s="64" t="n"/>
      <c r="J3550" s="16" t="n"/>
      <c r="K3550" s="16" t="n"/>
      <c r="M3550" s="89" t="n"/>
      <c r="N3550" s="1" t="n"/>
      <c r="O3550" s="1" t="n"/>
      <c r="P3550" s="1" t="n"/>
      <c r="Q3550" s="1" t="n"/>
      <c r="R3550" s="1" t="n"/>
    </row>
    <row r="3551">
      <c r="A3551" s="61" t="n"/>
      <c r="B3551" s="16" t="n"/>
      <c r="C3551" s="90" t="n"/>
      <c r="D3551" s="90" t="n"/>
      <c r="E3551" s="90" t="n"/>
      <c r="F3551" s="16" t="n"/>
      <c r="G3551" s="16" t="n"/>
      <c r="H3551" s="63" t="n"/>
      <c r="I3551" s="64" t="n"/>
      <c r="J3551" s="16" t="n"/>
      <c r="K3551" s="16" t="n"/>
      <c r="M3551" s="89" t="n"/>
      <c r="N3551" s="1" t="n"/>
      <c r="O3551" s="1" t="n"/>
      <c r="P3551" s="1" t="n"/>
      <c r="Q3551" s="1" t="n"/>
      <c r="R3551" s="1" t="n"/>
    </row>
    <row r="3552">
      <c r="A3552" s="61" t="n"/>
      <c r="B3552" s="16" t="n"/>
      <c r="C3552" s="90" t="n"/>
      <c r="D3552" s="90" t="n"/>
      <c r="E3552" s="90" t="n"/>
      <c r="F3552" s="16" t="n"/>
      <c r="G3552" s="16" t="n"/>
      <c r="H3552" s="63" t="n"/>
      <c r="I3552" s="64" t="n"/>
      <c r="J3552" s="16" t="n"/>
      <c r="K3552" s="16" t="n"/>
      <c r="M3552" s="89" t="n"/>
      <c r="N3552" s="1" t="n"/>
      <c r="O3552" s="1" t="n"/>
      <c r="P3552" s="1" t="n"/>
      <c r="Q3552" s="1" t="n"/>
      <c r="R3552" s="1" t="n"/>
    </row>
    <row r="3553">
      <c r="A3553" s="61" t="n"/>
      <c r="B3553" s="16" t="n"/>
      <c r="C3553" s="90" t="n"/>
      <c r="D3553" s="90" t="n"/>
      <c r="E3553" s="90" t="n"/>
      <c r="F3553" s="16" t="n"/>
      <c r="G3553" s="16" t="n"/>
      <c r="H3553" s="63" t="n"/>
      <c r="I3553" s="64" t="n"/>
      <c r="J3553" s="16" t="n"/>
      <c r="K3553" s="16" t="n"/>
      <c r="M3553" s="89" t="n"/>
      <c r="N3553" s="1" t="n"/>
      <c r="O3553" s="1" t="n"/>
      <c r="P3553" s="1" t="n"/>
      <c r="Q3553" s="1" t="n"/>
      <c r="R3553" s="1" t="n"/>
    </row>
    <row r="3554">
      <c r="A3554" s="61" t="n"/>
      <c r="B3554" s="16" t="n"/>
      <c r="C3554" s="90" t="n"/>
      <c r="D3554" s="90" t="n"/>
      <c r="E3554" s="90" t="n"/>
      <c r="F3554" s="16" t="n"/>
      <c r="G3554" s="16" t="n"/>
      <c r="H3554" s="63" t="n"/>
      <c r="I3554" s="64" t="n"/>
      <c r="J3554" s="16" t="n"/>
      <c r="K3554" s="16" t="n"/>
      <c r="M3554" s="89" t="n"/>
      <c r="N3554" s="1" t="n"/>
      <c r="O3554" s="1" t="n"/>
      <c r="P3554" s="1" t="n"/>
      <c r="Q3554" s="1" t="n"/>
      <c r="R3554" s="1" t="n"/>
    </row>
    <row r="3555">
      <c r="A3555" s="61" t="n"/>
      <c r="B3555" s="16" t="n"/>
      <c r="C3555" s="90" t="n"/>
      <c r="D3555" s="90" t="n"/>
      <c r="E3555" s="90" t="n"/>
      <c r="F3555" s="16" t="n"/>
      <c r="G3555" s="16" t="n"/>
      <c r="H3555" s="63" t="n"/>
      <c r="I3555" s="64" t="n"/>
      <c r="J3555" s="16" t="n"/>
      <c r="K3555" s="16" t="n"/>
      <c r="M3555" s="89" t="n"/>
      <c r="N3555" s="1" t="n"/>
      <c r="O3555" s="1" t="n"/>
      <c r="P3555" s="1" t="n"/>
      <c r="Q3555" s="1" t="n"/>
      <c r="R3555" s="1" t="n"/>
    </row>
    <row r="3556">
      <c r="A3556" s="61" t="n"/>
      <c r="B3556" s="16" t="n"/>
      <c r="C3556" s="90" t="n"/>
      <c r="D3556" s="90" t="n"/>
      <c r="E3556" s="90" t="n"/>
      <c r="F3556" s="16" t="n"/>
      <c r="G3556" s="16" t="n"/>
      <c r="H3556" s="63" t="n"/>
      <c r="I3556" s="64" t="n"/>
      <c r="J3556" s="16" t="n"/>
      <c r="K3556" s="16" t="n"/>
      <c r="M3556" s="89" t="n"/>
      <c r="N3556" s="1" t="n"/>
      <c r="O3556" s="1" t="n"/>
      <c r="P3556" s="1" t="n"/>
      <c r="Q3556" s="1" t="n"/>
      <c r="R3556" s="1" t="n"/>
    </row>
    <row r="3557">
      <c r="A3557" s="61" t="n"/>
      <c r="B3557" s="16" t="n"/>
      <c r="C3557" s="90" t="n"/>
      <c r="D3557" s="90" t="n"/>
      <c r="E3557" s="90" t="n"/>
      <c r="F3557" s="16" t="n"/>
      <c r="G3557" s="16" t="n"/>
      <c r="H3557" s="63" t="n"/>
      <c r="I3557" s="64" t="n"/>
      <c r="J3557" s="16" t="n"/>
      <c r="K3557" s="16" t="n"/>
      <c r="M3557" s="89" t="n"/>
      <c r="N3557" s="1" t="n"/>
      <c r="O3557" s="1" t="n"/>
      <c r="P3557" s="1" t="n"/>
      <c r="Q3557" s="1" t="n"/>
      <c r="R3557" s="1" t="n"/>
    </row>
    <row r="3558">
      <c r="A3558" s="61" t="n"/>
      <c r="B3558" s="16" t="n"/>
      <c r="C3558" s="90" t="n"/>
      <c r="D3558" s="90" t="n"/>
      <c r="E3558" s="90" t="n"/>
      <c r="F3558" s="16" t="n"/>
      <c r="G3558" s="16" t="n"/>
      <c r="H3558" s="63" t="n"/>
      <c r="I3558" s="64" t="n"/>
      <c r="J3558" s="16" t="n"/>
      <c r="K3558" s="16" t="n"/>
      <c r="M3558" s="89" t="n"/>
      <c r="N3558" s="1" t="n"/>
      <c r="O3558" s="1" t="n"/>
      <c r="P3558" s="1" t="n"/>
      <c r="Q3558" s="1" t="n"/>
      <c r="R3558" s="1" t="n"/>
    </row>
    <row r="3559">
      <c r="A3559" s="61" t="n"/>
      <c r="B3559" s="16" t="n"/>
      <c r="C3559" s="90" t="n"/>
      <c r="D3559" s="90" t="n"/>
      <c r="E3559" s="90" t="n"/>
      <c r="F3559" s="16" t="n"/>
      <c r="G3559" s="16" t="n"/>
      <c r="H3559" s="63" t="n"/>
      <c r="I3559" s="64" t="n"/>
      <c r="J3559" s="16" t="n"/>
      <c r="K3559" s="16" t="n"/>
      <c r="M3559" s="89" t="n"/>
      <c r="N3559" s="1" t="n"/>
      <c r="O3559" s="1" t="n"/>
      <c r="P3559" s="1" t="n"/>
      <c r="Q3559" s="1" t="n"/>
      <c r="R3559" s="1" t="n"/>
    </row>
    <row r="3560">
      <c r="A3560" s="61" t="n"/>
      <c r="B3560" s="16" t="n"/>
      <c r="C3560" s="90" t="n"/>
      <c r="D3560" s="90" t="n"/>
      <c r="E3560" s="90" t="n"/>
      <c r="F3560" s="16" t="n"/>
      <c r="G3560" s="16" t="n"/>
      <c r="H3560" s="63" t="n"/>
      <c r="I3560" s="64" t="n"/>
      <c r="J3560" s="16" t="n"/>
      <c r="K3560" s="16" t="n"/>
      <c r="M3560" s="89" t="n"/>
      <c r="N3560" s="1" t="n"/>
      <c r="O3560" s="1" t="n"/>
      <c r="P3560" s="1" t="n"/>
      <c r="Q3560" s="1" t="n"/>
      <c r="R3560" s="1" t="n"/>
    </row>
    <row r="3561">
      <c r="A3561" s="61" t="n"/>
      <c r="B3561" s="16" t="n"/>
      <c r="C3561" s="90" t="n"/>
      <c r="D3561" s="90" t="n"/>
      <c r="E3561" s="90" t="n"/>
      <c r="F3561" s="16" t="n"/>
      <c r="G3561" s="16" t="n"/>
      <c r="H3561" s="63" t="n"/>
      <c r="I3561" s="64" t="n"/>
      <c r="J3561" s="16" t="n"/>
      <c r="K3561" s="16" t="n"/>
      <c r="M3561" s="89" t="n"/>
      <c r="N3561" s="1" t="n"/>
      <c r="O3561" s="1" t="n"/>
      <c r="P3561" s="1" t="n"/>
      <c r="Q3561" s="1" t="n"/>
      <c r="R3561" s="1" t="n"/>
    </row>
    <row r="3562">
      <c r="A3562" s="61" t="n"/>
      <c r="B3562" s="16" t="n"/>
      <c r="C3562" s="90" t="n"/>
      <c r="D3562" s="90" t="n"/>
      <c r="E3562" s="90" t="n"/>
      <c r="F3562" s="16" t="n"/>
      <c r="G3562" s="16" t="n"/>
      <c r="H3562" s="63" t="n"/>
      <c r="I3562" s="64" t="n"/>
      <c r="J3562" s="16" t="n"/>
      <c r="K3562" s="16" t="n"/>
      <c r="M3562" s="89" t="n"/>
      <c r="N3562" s="1" t="n"/>
      <c r="O3562" s="1" t="n"/>
      <c r="P3562" s="1" t="n"/>
      <c r="Q3562" s="1" t="n"/>
      <c r="R3562" s="1" t="n"/>
    </row>
    <row r="3563">
      <c r="A3563" s="61" t="n"/>
      <c r="B3563" s="16" t="n"/>
      <c r="C3563" s="90" t="n"/>
      <c r="D3563" s="90" t="n"/>
      <c r="E3563" s="90" t="n"/>
      <c r="F3563" s="16" t="n"/>
      <c r="G3563" s="16" t="n"/>
      <c r="H3563" s="63" t="n"/>
      <c r="I3563" s="64" t="n"/>
      <c r="J3563" s="16" t="n"/>
      <c r="K3563" s="16" t="n"/>
      <c r="M3563" s="89" t="n"/>
      <c r="N3563" s="1" t="n"/>
      <c r="O3563" s="1" t="n"/>
      <c r="P3563" s="1" t="n"/>
      <c r="Q3563" s="1" t="n"/>
      <c r="R3563" s="1" t="n"/>
    </row>
    <row r="3564">
      <c r="A3564" s="61" t="n"/>
      <c r="B3564" s="16" t="n"/>
      <c r="C3564" s="90" t="n"/>
      <c r="D3564" s="90" t="n"/>
      <c r="E3564" s="90" t="n"/>
      <c r="F3564" s="16" t="n"/>
      <c r="G3564" s="16" t="n"/>
      <c r="H3564" s="63" t="n"/>
      <c r="I3564" s="64" t="n"/>
      <c r="J3564" s="16" t="n"/>
      <c r="K3564" s="16" t="n"/>
      <c r="M3564" s="89" t="n"/>
      <c r="N3564" s="1" t="n"/>
      <c r="O3564" s="1" t="n"/>
      <c r="P3564" s="1" t="n"/>
      <c r="Q3564" s="1" t="n"/>
      <c r="R3564" s="1" t="n"/>
    </row>
    <row r="3565">
      <c r="A3565" s="61" t="n"/>
      <c r="B3565" s="16" t="n"/>
      <c r="C3565" s="90" t="n"/>
      <c r="D3565" s="90" t="n"/>
      <c r="E3565" s="90" t="n"/>
      <c r="F3565" s="16" t="n"/>
      <c r="G3565" s="16" t="n"/>
      <c r="H3565" s="63" t="n"/>
      <c r="I3565" s="64" t="n"/>
      <c r="J3565" s="16" t="n"/>
      <c r="K3565" s="16" t="n"/>
      <c r="M3565" s="89" t="n"/>
      <c r="N3565" s="1" t="n"/>
      <c r="O3565" s="1" t="n"/>
      <c r="P3565" s="1" t="n"/>
      <c r="Q3565" s="1" t="n"/>
      <c r="R3565" s="1" t="n"/>
    </row>
    <row r="3566">
      <c r="A3566" s="61" t="n"/>
      <c r="B3566" s="16" t="n"/>
      <c r="C3566" s="90" t="n"/>
      <c r="D3566" s="90" t="n"/>
      <c r="E3566" s="90" t="n"/>
      <c r="F3566" s="16" t="n"/>
      <c r="G3566" s="16" t="n"/>
      <c r="H3566" s="63" t="n"/>
      <c r="I3566" s="64" t="n"/>
      <c r="J3566" s="16" t="n"/>
      <c r="K3566" s="16" t="n"/>
      <c r="M3566" s="89" t="n"/>
      <c r="N3566" s="1" t="n"/>
      <c r="O3566" s="1" t="n"/>
      <c r="P3566" s="1" t="n"/>
      <c r="Q3566" s="1" t="n"/>
      <c r="R3566" s="1" t="n"/>
    </row>
    <row r="3567">
      <c r="A3567" s="61" t="n"/>
      <c r="B3567" s="16" t="n"/>
      <c r="C3567" s="90" t="n"/>
      <c r="D3567" s="90" t="n"/>
      <c r="E3567" s="90" t="n"/>
      <c r="F3567" s="16" t="n"/>
      <c r="G3567" s="16" t="n"/>
      <c r="H3567" s="63" t="n"/>
      <c r="I3567" s="64" t="n"/>
      <c r="J3567" s="16" t="n"/>
      <c r="K3567" s="16" t="n"/>
      <c r="M3567" s="89" t="n"/>
      <c r="N3567" s="1" t="n"/>
      <c r="O3567" s="1" t="n"/>
      <c r="P3567" s="1" t="n"/>
      <c r="Q3567" s="1" t="n"/>
      <c r="R3567" s="1" t="n"/>
    </row>
    <row r="3568">
      <c r="A3568" s="61" t="n"/>
      <c r="B3568" s="16" t="n"/>
      <c r="C3568" s="90" t="n"/>
      <c r="D3568" s="90" t="n"/>
      <c r="E3568" s="90" t="n"/>
      <c r="F3568" s="16" t="n"/>
      <c r="G3568" s="16" t="n"/>
      <c r="H3568" s="63" t="n"/>
      <c r="I3568" s="64" t="n"/>
      <c r="J3568" s="16" t="n"/>
      <c r="K3568" s="16" t="n"/>
      <c r="M3568" s="89" t="n"/>
      <c r="N3568" s="1" t="n"/>
      <c r="O3568" s="1" t="n"/>
      <c r="P3568" s="1" t="n"/>
      <c r="Q3568" s="1" t="n"/>
      <c r="R3568" s="1" t="n"/>
    </row>
    <row r="3569">
      <c r="A3569" s="61" t="n"/>
      <c r="B3569" s="16" t="n"/>
      <c r="C3569" s="90" t="n"/>
      <c r="D3569" s="90" t="n"/>
      <c r="E3569" s="90" t="n"/>
      <c r="F3569" s="16" t="n"/>
      <c r="G3569" s="16" t="n"/>
      <c r="H3569" s="63" t="n"/>
      <c r="I3569" s="64" t="n"/>
      <c r="J3569" s="16" t="n"/>
      <c r="K3569" s="16" t="n"/>
      <c r="M3569" s="89" t="n"/>
      <c r="N3569" s="1" t="n"/>
      <c r="O3569" s="1" t="n"/>
      <c r="P3569" s="1" t="n"/>
      <c r="Q3569" s="1" t="n"/>
      <c r="R3569" s="1" t="n"/>
    </row>
    <row r="3570">
      <c r="A3570" s="61" t="n"/>
      <c r="B3570" s="16" t="n"/>
      <c r="C3570" s="90" t="n"/>
      <c r="D3570" s="90" t="n"/>
      <c r="E3570" s="90" t="n"/>
      <c r="F3570" s="16" t="n"/>
      <c r="G3570" s="16" t="n"/>
      <c r="H3570" s="63" t="n"/>
      <c r="I3570" s="64" t="n"/>
      <c r="J3570" s="16" t="n"/>
      <c r="K3570" s="16" t="n"/>
      <c r="M3570" s="89" t="n"/>
      <c r="N3570" s="1" t="n"/>
      <c r="O3570" s="1" t="n"/>
      <c r="P3570" s="1" t="n"/>
      <c r="Q3570" s="1" t="n"/>
      <c r="R3570" s="1" t="n"/>
    </row>
    <row r="3571">
      <c r="A3571" s="61" t="n"/>
      <c r="B3571" s="16" t="n"/>
      <c r="C3571" s="90" t="n"/>
      <c r="D3571" s="90" t="n"/>
      <c r="E3571" s="90" t="n"/>
      <c r="F3571" s="16" t="n"/>
      <c r="G3571" s="16" t="n"/>
      <c r="H3571" s="63" t="n"/>
      <c r="I3571" s="64" t="n"/>
      <c r="J3571" s="16" t="n"/>
      <c r="K3571" s="16" t="n"/>
      <c r="M3571" s="89" t="n"/>
      <c r="N3571" s="1" t="n"/>
      <c r="O3571" s="1" t="n"/>
      <c r="P3571" s="1" t="n"/>
      <c r="Q3571" s="1" t="n"/>
      <c r="R3571" s="1" t="n"/>
    </row>
    <row r="3572">
      <c r="A3572" s="61" t="n"/>
      <c r="B3572" s="16" t="n"/>
      <c r="C3572" s="90" t="n"/>
      <c r="D3572" s="90" t="n"/>
      <c r="E3572" s="90" t="n"/>
      <c r="F3572" s="16" t="n"/>
      <c r="G3572" s="16" t="n"/>
      <c r="H3572" s="63" t="n"/>
      <c r="I3572" s="64" t="n"/>
      <c r="J3572" s="16" t="n"/>
      <c r="K3572" s="16" t="n"/>
      <c r="M3572" s="89" t="n"/>
      <c r="N3572" s="1" t="n"/>
      <c r="O3572" s="1" t="n"/>
      <c r="P3572" s="1" t="n"/>
      <c r="Q3572" s="1" t="n"/>
      <c r="R3572" s="1" t="n"/>
    </row>
    <row r="3573">
      <c r="A3573" s="61" t="n"/>
      <c r="B3573" s="16" t="n"/>
      <c r="C3573" s="90" t="n"/>
      <c r="D3573" s="90" t="n"/>
      <c r="E3573" s="90" t="n"/>
      <c r="F3573" s="16" t="n"/>
      <c r="G3573" s="16" t="n"/>
      <c r="H3573" s="63" t="n"/>
      <c r="I3573" s="64" t="n"/>
      <c r="J3573" s="16" t="n"/>
      <c r="K3573" s="16" t="n"/>
      <c r="M3573" s="89" t="n"/>
      <c r="N3573" s="1" t="n"/>
      <c r="O3573" s="1" t="n"/>
      <c r="P3573" s="1" t="n"/>
      <c r="Q3573" s="1" t="n"/>
      <c r="R3573" s="1" t="n"/>
    </row>
    <row r="3574">
      <c r="A3574" s="61" t="n"/>
      <c r="B3574" s="16" t="n"/>
      <c r="C3574" s="90" t="n"/>
      <c r="D3574" s="90" t="n"/>
      <c r="E3574" s="90" t="n"/>
      <c r="F3574" s="16" t="n"/>
      <c r="G3574" s="16" t="n"/>
      <c r="H3574" s="63" t="n"/>
      <c r="I3574" s="64" t="n"/>
      <c r="J3574" s="16" t="n"/>
      <c r="K3574" s="16" t="n"/>
      <c r="M3574" s="89" t="n"/>
      <c r="N3574" s="1" t="n"/>
      <c r="O3574" s="1" t="n"/>
      <c r="P3574" s="1" t="n"/>
      <c r="Q3574" s="1" t="n"/>
      <c r="R3574" s="1" t="n"/>
    </row>
    <row r="3575">
      <c r="A3575" s="61" t="n"/>
      <c r="B3575" s="16" t="n"/>
      <c r="C3575" s="90" t="n"/>
      <c r="D3575" s="90" t="n"/>
      <c r="E3575" s="90" t="n"/>
      <c r="F3575" s="16" t="n"/>
      <c r="G3575" s="16" t="n"/>
      <c r="H3575" s="63" t="n"/>
      <c r="I3575" s="64" t="n"/>
      <c r="J3575" s="16" t="n"/>
      <c r="K3575" s="16" t="n"/>
      <c r="M3575" s="89" t="n"/>
      <c r="N3575" s="1" t="n"/>
      <c r="O3575" s="1" t="n"/>
      <c r="P3575" s="1" t="n"/>
      <c r="Q3575" s="1" t="n"/>
      <c r="R3575" s="1" t="n"/>
    </row>
    <row r="3576">
      <c r="A3576" s="61" t="n"/>
      <c r="B3576" s="16" t="n"/>
      <c r="C3576" s="90" t="n"/>
      <c r="D3576" s="90" t="n"/>
      <c r="E3576" s="90" t="n"/>
      <c r="F3576" s="16" t="n"/>
      <c r="G3576" s="16" t="n"/>
      <c r="H3576" s="63" t="n"/>
      <c r="I3576" s="64" t="n"/>
      <c r="J3576" s="16" t="n"/>
      <c r="K3576" s="16" t="n"/>
      <c r="M3576" s="89" t="n"/>
      <c r="N3576" s="1" t="n"/>
      <c r="O3576" s="1" t="n"/>
      <c r="P3576" s="1" t="n"/>
      <c r="Q3576" s="1" t="n"/>
      <c r="R3576" s="1" t="n"/>
    </row>
    <row r="3577">
      <c r="A3577" s="61" t="n"/>
      <c r="B3577" s="16" t="n"/>
      <c r="C3577" s="90" t="n"/>
      <c r="D3577" s="90" t="n"/>
      <c r="E3577" s="90" t="n"/>
      <c r="F3577" s="16" t="n"/>
      <c r="G3577" s="16" t="n"/>
      <c r="H3577" s="63" t="n"/>
      <c r="I3577" s="64" t="n"/>
      <c r="J3577" s="16" t="n"/>
      <c r="K3577" s="16" t="n"/>
      <c r="M3577" s="89" t="n"/>
      <c r="N3577" s="1" t="n"/>
      <c r="O3577" s="1" t="n"/>
      <c r="P3577" s="1" t="n"/>
      <c r="Q3577" s="1" t="n"/>
      <c r="R3577" s="1" t="n"/>
    </row>
    <row r="3578">
      <c r="A3578" s="61" t="n"/>
      <c r="B3578" s="16" t="n"/>
      <c r="C3578" s="90" t="n"/>
      <c r="D3578" s="90" t="n"/>
      <c r="E3578" s="90" t="n"/>
      <c r="F3578" s="16" t="n"/>
      <c r="G3578" s="16" t="n"/>
      <c r="H3578" s="63" t="n"/>
      <c r="I3578" s="64" t="n"/>
      <c r="J3578" s="16" t="n"/>
      <c r="K3578" s="16" t="n"/>
      <c r="M3578" s="89" t="n"/>
      <c r="N3578" s="1" t="n"/>
      <c r="O3578" s="1" t="n"/>
      <c r="P3578" s="1" t="n"/>
      <c r="Q3578" s="1" t="n"/>
      <c r="R3578" s="1" t="n"/>
    </row>
    <row r="3579">
      <c r="A3579" s="61" t="n"/>
      <c r="B3579" s="16" t="n"/>
      <c r="C3579" s="90" t="n"/>
      <c r="D3579" s="90" t="n"/>
      <c r="E3579" s="90" t="n"/>
      <c r="F3579" s="16" t="n"/>
      <c r="G3579" s="16" t="n"/>
      <c r="H3579" s="63" t="n"/>
      <c r="I3579" s="64" t="n"/>
      <c r="J3579" s="16" t="n"/>
      <c r="K3579" s="16" t="n"/>
      <c r="M3579" s="89" t="n"/>
      <c r="N3579" s="1" t="n"/>
      <c r="O3579" s="1" t="n"/>
      <c r="P3579" s="1" t="n"/>
      <c r="Q3579" s="1" t="n"/>
      <c r="R3579" s="1" t="n"/>
    </row>
    <row r="3580">
      <c r="A3580" s="61" t="n"/>
      <c r="B3580" s="16" t="n"/>
      <c r="C3580" s="90" t="n"/>
      <c r="D3580" s="90" t="n"/>
      <c r="E3580" s="90" t="n"/>
      <c r="F3580" s="16" t="n"/>
      <c r="G3580" s="16" t="n"/>
      <c r="H3580" s="63" t="n"/>
      <c r="I3580" s="64" t="n"/>
      <c r="J3580" s="16" t="n"/>
      <c r="K3580" s="16" t="n"/>
      <c r="M3580" s="89" t="n"/>
      <c r="N3580" s="1" t="n"/>
      <c r="O3580" s="1" t="n"/>
      <c r="P3580" s="1" t="n"/>
      <c r="Q3580" s="1" t="n"/>
      <c r="R3580" s="1" t="n"/>
    </row>
    <row r="3581">
      <c r="A3581" s="61" t="n"/>
      <c r="B3581" s="16" t="n"/>
      <c r="C3581" s="90" t="n"/>
      <c r="D3581" s="90" t="n"/>
      <c r="E3581" s="90" t="n"/>
      <c r="F3581" s="16" t="n"/>
      <c r="G3581" s="16" t="n"/>
      <c r="H3581" s="63" t="n"/>
      <c r="I3581" s="64" t="n"/>
      <c r="J3581" s="16" t="n"/>
      <c r="K3581" s="16" t="n"/>
      <c r="M3581" s="89" t="n"/>
      <c r="N3581" s="1" t="n"/>
      <c r="O3581" s="1" t="n"/>
      <c r="P3581" s="1" t="n"/>
      <c r="Q3581" s="1" t="n"/>
      <c r="R3581" s="1" t="n"/>
    </row>
    <row r="3582">
      <c r="A3582" s="61" t="n"/>
      <c r="B3582" s="16" t="n"/>
      <c r="C3582" s="90" t="n"/>
      <c r="D3582" s="90" t="n"/>
      <c r="E3582" s="90" t="n"/>
      <c r="F3582" s="16" t="n"/>
      <c r="G3582" s="16" t="n"/>
      <c r="H3582" s="63" t="n"/>
      <c r="I3582" s="64" t="n"/>
      <c r="J3582" s="16" t="n"/>
      <c r="K3582" s="16" t="n"/>
      <c r="M3582" s="89" t="n"/>
      <c r="N3582" s="1" t="n"/>
      <c r="O3582" s="1" t="n"/>
      <c r="P3582" s="1" t="n"/>
      <c r="Q3582" s="1" t="n"/>
      <c r="R3582" s="1" t="n"/>
    </row>
    <row r="3583">
      <c r="A3583" s="61" t="n"/>
      <c r="B3583" s="16" t="n"/>
      <c r="C3583" s="90" t="n"/>
      <c r="D3583" s="90" t="n"/>
      <c r="E3583" s="90" t="n"/>
      <c r="F3583" s="16" t="n"/>
      <c r="G3583" s="16" t="n"/>
      <c r="H3583" s="63" t="n"/>
      <c r="I3583" s="64" t="n"/>
      <c r="J3583" s="16" t="n"/>
      <c r="K3583" s="16" t="n"/>
      <c r="M3583" s="89" t="n"/>
      <c r="N3583" s="1" t="n"/>
      <c r="O3583" s="1" t="n"/>
      <c r="P3583" s="1" t="n"/>
      <c r="Q3583" s="1" t="n"/>
      <c r="R3583" s="1" t="n"/>
    </row>
    <row r="3584">
      <c r="A3584" s="61" t="n"/>
      <c r="B3584" s="16" t="n"/>
      <c r="C3584" s="90" t="n"/>
      <c r="D3584" s="90" t="n"/>
      <c r="E3584" s="90" t="n"/>
      <c r="F3584" s="16" t="n"/>
      <c r="G3584" s="16" t="n"/>
      <c r="H3584" s="63" t="n"/>
      <c r="I3584" s="64" t="n"/>
      <c r="J3584" s="16" t="n"/>
      <c r="K3584" s="16" t="n"/>
      <c r="M3584" s="89" t="n"/>
      <c r="N3584" s="1" t="n"/>
      <c r="O3584" s="1" t="n"/>
      <c r="P3584" s="1" t="n"/>
      <c r="Q3584" s="1" t="n"/>
      <c r="R3584" s="1" t="n"/>
    </row>
    <row r="3585">
      <c r="A3585" s="61" t="n"/>
      <c r="B3585" s="16" t="n"/>
      <c r="C3585" s="90" t="n"/>
      <c r="D3585" s="90" t="n"/>
      <c r="E3585" s="90" t="n"/>
      <c r="F3585" s="16" t="n"/>
      <c r="G3585" s="16" t="n"/>
      <c r="H3585" s="63" t="n"/>
      <c r="I3585" s="64" t="n"/>
      <c r="J3585" s="16" t="n"/>
      <c r="K3585" s="16" t="n"/>
      <c r="M3585" s="89" t="n"/>
      <c r="N3585" s="1" t="n"/>
      <c r="O3585" s="1" t="n"/>
      <c r="P3585" s="1" t="n"/>
      <c r="Q3585" s="1" t="n"/>
      <c r="R3585" s="1" t="n"/>
    </row>
    <row r="3586">
      <c r="A3586" s="61" t="n"/>
      <c r="B3586" s="16" t="n"/>
      <c r="C3586" s="90" t="n"/>
      <c r="D3586" s="90" t="n"/>
      <c r="E3586" s="90" t="n"/>
      <c r="F3586" s="16" t="n"/>
      <c r="G3586" s="16" t="n"/>
      <c r="H3586" s="63" t="n"/>
      <c r="I3586" s="64" t="n"/>
      <c r="J3586" s="16" t="n"/>
      <c r="K3586" s="16" t="n"/>
      <c r="M3586" s="89" t="n"/>
      <c r="N3586" s="1" t="n"/>
      <c r="O3586" s="1" t="n"/>
      <c r="P3586" s="1" t="n"/>
      <c r="Q3586" s="1" t="n"/>
      <c r="R3586" s="1" t="n"/>
    </row>
    <row r="3587">
      <c r="A3587" s="61" t="n"/>
      <c r="B3587" s="16" t="n"/>
      <c r="C3587" s="90" t="n"/>
      <c r="D3587" s="90" t="n"/>
      <c r="E3587" s="90" t="n"/>
      <c r="F3587" s="16" t="n"/>
      <c r="G3587" s="16" t="n"/>
      <c r="H3587" s="63" t="n"/>
      <c r="I3587" s="64" t="n"/>
      <c r="J3587" s="16" t="n"/>
      <c r="K3587" s="16" t="n"/>
      <c r="M3587" s="89" t="n"/>
      <c r="N3587" s="1" t="n"/>
      <c r="O3587" s="1" t="n"/>
      <c r="P3587" s="1" t="n"/>
      <c r="Q3587" s="1" t="n"/>
      <c r="R3587" s="1" t="n"/>
    </row>
    <row r="3588">
      <c r="A3588" s="61" t="n"/>
      <c r="B3588" s="16" t="n"/>
      <c r="C3588" s="90" t="n"/>
      <c r="D3588" s="90" t="n"/>
      <c r="E3588" s="90" t="n"/>
      <c r="F3588" s="16" t="n"/>
      <c r="G3588" s="16" t="n"/>
      <c r="H3588" s="63" t="n"/>
      <c r="I3588" s="64" t="n"/>
      <c r="J3588" s="16" t="n"/>
      <c r="K3588" s="16" t="n"/>
      <c r="M3588" s="89" t="n"/>
      <c r="N3588" s="1" t="n"/>
      <c r="O3588" s="1" t="n"/>
      <c r="P3588" s="1" t="n"/>
      <c r="Q3588" s="1" t="n"/>
      <c r="R3588" s="1" t="n"/>
    </row>
    <row r="3589">
      <c r="A3589" s="61" t="n"/>
      <c r="B3589" s="16" t="n"/>
      <c r="C3589" s="90" t="n"/>
      <c r="D3589" s="90" t="n"/>
      <c r="E3589" s="90" t="n"/>
      <c r="F3589" s="16" t="n"/>
      <c r="G3589" s="16" t="n"/>
      <c r="H3589" s="63" t="n"/>
      <c r="I3589" s="64" t="n"/>
      <c r="J3589" s="16" t="n"/>
      <c r="K3589" s="16" t="n"/>
      <c r="M3589" s="89" t="n"/>
      <c r="N3589" s="1" t="n"/>
      <c r="O3589" s="1" t="n"/>
      <c r="P3589" s="1" t="n"/>
      <c r="Q3589" s="1" t="n"/>
      <c r="R3589" s="1" t="n"/>
    </row>
    <row r="3590">
      <c r="A3590" s="61" t="n"/>
      <c r="B3590" s="16" t="n"/>
      <c r="C3590" s="90" t="n"/>
      <c r="D3590" s="90" t="n"/>
      <c r="E3590" s="90" t="n"/>
      <c r="F3590" s="16" t="n"/>
      <c r="G3590" s="16" t="n"/>
      <c r="H3590" s="63" t="n"/>
      <c r="I3590" s="64" t="n"/>
      <c r="J3590" s="16" t="n"/>
      <c r="K3590" s="16" t="n"/>
      <c r="M3590" s="89" t="n"/>
      <c r="N3590" s="1" t="n"/>
      <c r="O3590" s="1" t="n"/>
      <c r="P3590" s="1" t="n"/>
      <c r="Q3590" s="1" t="n"/>
      <c r="R3590" s="1" t="n"/>
    </row>
    <row r="3591">
      <c r="A3591" s="61" t="n"/>
      <c r="B3591" s="16" t="n"/>
      <c r="C3591" s="90" t="n"/>
      <c r="D3591" s="90" t="n"/>
      <c r="E3591" s="90" t="n"/>
      <c r="F3591" s="16" t="n"/>
      <c r="G3591" s="16" t="n"/>
      <c r="H3591" s="63" t="n"/>
      <c r="I3591" s="64" t="n"/>
      <c r="J3591" s="16" t="n"/>
      <c r="K3591" s="16" t="n"/>
      <c r="M3591" s="89" t="n"/>
      <c r="N3591" s="1" t="n"/>
      <c r="O3591" s="1" t="n"/>
      <c r="P3591" s="1" t="n"/>
      <c r="Q3591" s="1" t="n"/>
      <c r="R3591" s="1" t="n"/>
    </row>
    <row r="3592">
      <c r="A3592" s="61" t="n"/>
      <c r="B3592" s="16" t="n"/>
      <c r="C3592" s="90" t="n"/>
      <c r="D3592" s="90" t="n"/>
      <c r="E3592" s="90" t="n"/>
      <c r="F3592" s="16" t="n"/>
      <c r="G3592" s="16" t="n"/>
      <c r="H3592" s="63" t="n"/>
      <c r="I3592" s="64" t="n"/>
      <c r="J3592" s="16" t="n"/>
      <c r="K3592" s="16" t="n"/>
      <c r="M3592" s="89" t="n"/>
      <c r="N3592" s="1" t="n"/>
      <c r="O3592" s="1" t="n"/>
      <c r="P3592" s="1" t="n"/>
      <c r="Q3592" s="1" t="n"/>
      <c r="R3592" s="1" t="n"/>
    </row>
    <row r="3593">
      <c r="A3593" s="61" t="n"/>
      <c r="B3593" s="16" t="n"/>
      <c r="C3593" s="90" t="n"/>
      <c r="D3593" s="90" t="n"/>
      <c r="E3593" s="90" t="n"/>
      <c r="F3593" s="16" t="n"/>
      <c r="G3593" s="16" t="n"/>
      <c r="H3593" s="63" t="n"/>
      <c r="I3593" s="64" t="n"/>
      <c r="J3593" s="16" t="n"/>
      <c r="K3593" s="16" t="n"/>
      <c r="M3593" s="89" t="n"/>
      <c r="N3593" s="1" t="n"/>
      <c r="O3593" s="1" t="n"/>
      <c r="P3593" s="1" t="n"/>
      <c r="Q3593" s="1" t="n"/>
      <c r="R3593" s="1" t="n"/>
    </row>
    <row r="3594">
      <c r="A3594" s="61" t="n"/>
      <c r="B3594" s="16" t="n"/>
      <c r="C3594" s="90" t="n"/>
      <c r="D3594" s="90" t="n"/>
      <c r="E3594" s="90" t="n"/>
      <c r="F3594" s="16" t="n"/>
      <c r="G3594" s="16" t="n"/>
      <c r="H3594" s="63" t="n"/>
      <c r="I3594" s="64" t="n"/>
      <c r="J3594" s="16" t="n"/>
      <c r="K3594" s="16" t="n"/>
      <c r="M3594" s="89" t="n"/>
      <c r="N3594" s="1" t="n"/>
      <c r="O3594" s="1" t="n"/>
      <c r="P3594" s="1" t="n"/>
      <c r="Q3594" s="1" t="n"/>
      <c r="R3594" s="1" t="n"/>
    </row>
    <row r="3595">
      <c r="A3595" s="61" t="n"/>
      <c r="B3595" s="16" t="n"/>
      <c r="C3595" s="90" t="n"/>
      <c r="D3595" s="90" t="n"/>
      <c r="E3595" s="90" t="n"/>
      <c r="F3595" s="16" t="n"/>
      <c r="G3595" s="16" t="n"/>
      <c r="H3595" s="63" t="n"/>
      <c r="I3595" s="64" t="n"/>
      <c r="J3595" s="16" t="n"/>
      <c r="K3595" s="16" t="n"/>
      <c r="M3595" s="89" t="n"/>
      <c r="N3595" s="1" t="n"/>
      <c r="O3595" s="1" t="n"/>
      <c r="P3595" s="1" t="n"/>
      <c r="Q3595" s="1" t="n"/>
      <c r="R3595" s="1" t="n"/>
    </row>
    <row r="3596">
      <c r="A3596" s="61" t="n"/>
      <c r="B3596" s="16" t="n"/>
      <c r="C3596" s="90" t="n"/>
      <c r="D3596" s="90" t="n"/>
      <c r="E3596" s="90" t="n"/>
      <c r="F3596" s="16" t="n"/>
      <c r="G3596" s="16" t="n"/>
      <c r="H3596" s="63" t="n"/>
      <c r="I3596" s="64" t="n"/>
      <c r="J3596" s="16" t="n"/>
      <c r="K3596" s="16" t="n"/>
      <c r="M3596" s="89" t="n"/>
      <c r="N3596" s="1" t="n"/>
      <c r="O3596" s="1" t="n"/>
      <c r="P3596" s="1" t="n"/>
      <c r="Q3596" s="1" t="n"/>
      <c r="R3596" s="1" t="n"/>
    </row>
    <row r="3597">
      <c r="A3597" s="61" t="n"/>
      <c r="B3597" s="16" t="n"/>
      <c r="C3597" s="90" t="n"/>
      <c r="D3597" s="90" t="n"/>
      <c r="E3597" s="90" t="n"/>
      <c r="F3597" s="16" t="n"/>
      <c r="G3597" s="16" t="n"/>
      <c r="H3597" s="63" t="n"/>
      <c r="I3597" s="64" t="n"/>
      <c r="J3597" s="16" t="n"/>
      <c r="K3597" s="16" t="n"/>
      <c r="M3597" s="89" t="n"/>
      <c r="N3597" s="1" t="n"/>
      <c r="O3597" s="1" t="n"/>
      <c r="P3597" s="1" t="n"/>
      <c r="Q3597" s="1" t="n"/>
      <c r="R3597" s="1" t="n"/>
    </row>
    <row r="3598">
      <c r="A3598" s="61" t="n"/>
      <c r="B3598" s="16" t="n"/>
      <c r="C3598" s="90" t="n"/>
      <c r="D3598" s="90" t="n"/>
      <c r="E3598" s="90" t="n"/>
      <c r="F3598" s="16" t="n"/>
      <c r="G3598" s="16" t="n"/>
      <c r="H3598" s="63" t="n"/>
      <c r="I3598" s="64" t="n"/>
      <c r="J3598" s="16" t="n"/>
      <c r="K3598" s="16" t="n"/>
      <c r="M3598" s="89" t="n"/>
      <c r="N3598" s="1" t="n"/>
      <c r="O3598" s="1" t="n"/>
      <c r="P3598" s="1" t="n"/>
      <c r="Q3598" s="1" t="n"/>
      <c r="R3598" s="1" t="n"/>
    </row>
    <row r="3599">
      <c r="A3599" s="61" t="n"/>
      <c r="B3599" s="16" t="n"/>
      <c r="C3599" s="90" t="n"/>
      <c r="D3599" s="90" t="n"/>
      <c r="E3599" s="90" t="n"/>
      <c r="F3599" s="16" t="n"/>
      <c r="G3599" s="16" t="n"/>
      <c r="H3599" s="63" t="n"/>
      <c r="I3599" s="64" t="n"/>
      <c r="J3599" s="16" t="n"/>
      <c r="K3599" s="16" t="n"/>
      <c r="M3599" s="89" t="n"/>
      <c r="N3599" s="1" t="n"/>
      <c r="O3599" s="1" t="n"/>
      <c r="P3599" s="1" t="n"/>
      <c r="Q3599" s="1" t="n"/>
      <c r="R3599" s="1" t="n"/>
    </row>
    <row r="3600">
      <c r="A3600" s="61" t="n"/>
      <c r="B3600" s="16" t="n"/>
      <c r="C3600" s="90" t="n"/>
      <c r="D3600" s="90" t="n"/>
      <c r="E3600" s="90" t="n"/>
      <c r="F3600" s="16" t="n"/>
      <c r="G3600" s="16" t="n"/>
      <c r="H3600" s="63" t="n"/>
      <c r="I3600" s="64" t="n"/>
      <c r="J3600" s="16" t="n"/>
      <c r="K3600" s="16" t="n"/>
      <c r="M3600" s="89" t="n"/>
      <c r="N3600" s="1" t="n"/>
      <c r="O3600" s="1" t="n"/>
      <c r="P3600" s="1" t="n"/>
      <c r="Q3600" s="1" t="n"/>
      <c r="R3600" s="1" t="n"/>
    </row>
    <row r="3601">
      <c r="A3601" s="61" t="n"/>
      <c r="B3601" s="16" t="n"/>
      <c r="C3601" s="90" t="n"/>
      <c r="D3601" s="90" t="n"/>
      <c r="E3601" s="90" t="n"/>
      <c r="F3601" s="16" t="n"/>
      <c r="G3601" s="16" t="n"/>
      <c r="H3601" s="63" t="n"/>
      <c r="I3601" s="64" t="n"/>
      <c r="J3601" s="16" t="n"/>
      <c r="K3601" s="16" t="n"/>
      <c r="M3601" s="89" t="n"/>
      <c r="N3601" s="1" t="n"/>
      <c r="O3601" s="1" t="n"/>
      <c r="P3601" s="1" t="n"/>
      <c r="Q3601" s="1" t="n"/>
      <c r="R3601" s="1" t="n"/>
    </row>
    <row r="3602">
      <c r="A3602" s="61" t="n"/>
      <c r="B3602" s="16" t="n"/>
      <c r="C3602" s="90" t="n"/>
      <c r="D3602" s="90" t="n"/>
      <c r="E3602" s="90" t="n"/>
      <c r="F3602" s="16" t="n"/>
      <c r="G3602" s="16" t="n"/>
      <c r="H3602" s="63" t="n"/>
      <c r="I3602" s="64" t="n"/>
      <c r="J3602" s="16" t="n"/>
      <c r="K3602" s="16" t="n"/>
      <c r="M3602" s="89" t="n"/>
      <c r="N3602" s="1" t="n"/>
      <c r="O3602" s="1" t="n"/>
      <c r="P3602" s="1" t="n"/>
      <c r="Q3602" s="1" t="n"/>
      <c r="R3602" s="1" t="n"/>
    </row>
    <row r="3603">
      <c r="A3603" s="61" t="n"/>
      <c r="B3603" s="16" t="n"/>
      <c r="C3603" s="90" t="n"/>
      <c r="D3603" s="90" t="n"/>
      <c r="E3603" s="90" t="n"/>
      <c r="F3603" s="16" t="n"/>
      <c r="G3603" s="16" t="n"/>
      <c r="H3603" s="63" t="n"/>
      <c r="I3603" s="64" t="n"/>
      <c r="J3603" s="16" t="n"/>
      <c r="K3603" s="16" t="n"/>
      <c r="M3603" s="89" t="n"/>
      <c r="N3603" s="1" t="n"/>
      <c r="O3603" s="1" t="n"/>
      <c r="P3603" s="1" t="n"/>
      <c r="Q3603" s="1" t="n"/>
      <c r="R3603" s="1" t="n"/>
    </row>
    <row r="3604">
      <c r="A3604" s="61" t="n"/>
      <c r="B3604" s="16" t="n"/>
      <c r="C3604" s="90" t="n"/>
      <c r="D3604" s="90" t="n"/>
      <c r="E3604" s="90" t="n"/>
      <c r="F3604" s="16" t="n"/>
      <c r="G3604" s="16" t="n"/>
      <c r="H3604" s="63" t="n"/>
      <c r="I3604" s="64" t="n"/>
      <c r="J3604" s="16" t="n"/>
      <c r="K3604" s="16" t="n"/>
      <c r="M3604" s="89" t="n"/>
      <c r="N3604" s="1" t="n"/>
      <c r="O3604" s="1" t="n"/>
      <c r="P3604" s="1" t="n"/>
      <c r="Q3604" s="1" t="n"/>
      <c r="R3604" s="1" t="n"/>
    </row>
    <row r="3605">
      <c r="A3605" s="61" t="n"/>
      <c r="B3605" s="16" t="n"/>
      <c r="C3605" s="90" t="n"/>
      <c r="D3605" s="90" t="n"/>
      <c r="E3605" s="90" t="n"/>
      <c r="F3605" s="16" t="n"/>
      <c r="G3605" s="16" t="n"/>
      <c r="H3605" s="63" t="n"/>
      <c r="I3605" s="64" t="n"/>
      <c r="J3605" s="16" t="n"/>
      <c r="K3605" s="16" t="n"/>
      <c r="M3605" s="89" t="n"/>
      <c r="N3605" s="1" t="n"/>
      <c r="O3605" s="1" t="n"/>
      <c r="P3605" s="1" t="n"/>
      <c r="Q3605" s="1" t="n"/>
      <c r="R3605" s="1" t="n"/>
    </row>
    <row r="3606">
      <c r="A3606" s="61" t="n"/>
      <c r="B3606" s="16" t="n"/>
      <c r="C3606" s="90" t="n"/>
      <c r="D3606" s="90" t="n"/>
      <c r="E3606" s="90" t="n"/>
      <c r="F3606" s="16" t="n"/>
      <c r="G3606" s="16" t="n"/>
      <c r="H3606" s="63" t="n"/>
      <c r="I3606" s="64" t="n"/>
      <c r="J3606" s="16" t="n"/>
      <c r="K3606" s="16" t="n"/>
      <c r="M3606" s="89" t="n"/>
      <c r="N3606" s="1" t="n"/>
      <c r="O3606" s="1" t="n"/>
      <c r="P3606" s="1" t="n"/>
      <c r="Q3606" s="1" t="n"/>
      <c r="R3606" s="1" t="n"/>
    </row>
    <row r="3607">
      <c r="A3607" s="61" t="n"/>
      <c r="B3607" s="16" t="n"/>
      <c r="C3607" s="90" t="n"/>
      <c r="D3607" s="90" t="n"/>
      <c r="E3607" s="90" t="n"/>
      <c r="F3607" s="16" t="n"/>
      <c r="G3607" s="16" t="n"/>
      <c r="H3607" s="63" t="n"/>
      <c r="I3607" s="64" t="n"/>
      <c r="J3607" s="16" t="n"/>
      <c r="K3607" s="16" t="n"/>
      <c r="M3607" s="89" t="n"/>
      <c r="N3607" s="1" t="n"/>
      <c r="O3607" s="1" t="n"/>
      <c r="P3607" s="1" t="n"/>
      <c r="Q3607" s="1" t="n"/>
      <c r="R3607" s="1" t="n"/>
    </row>
    <row r="3608">
      <c r="A3608" s="61" t="n"/>
      <c r="B3608" s="16" t="n"/>
      <c r="C3608" s="90" t="n"/>
      <c r="D3608" s="90" t="n"/>
      <c r="E3608" s="90" t="n"/>
      <c r="F3608" s="16" t="n"/>
      <c r="G3608" s="16" t="n"/>
      <c r="H3608" s="63" t="n"/>
      <c r="I3608" s="64" t="n"/>
      <c r="J3608" s="16" t="n"/>
      <c r="K3608" s="16" t="n"/>
      <c r="M3608" s="89" t="n"/>
      <c r="N3608" s="1" t="n"/>
      <c r="O3608" s="1" t="n"/>
      <c r="P3608" s="1" t="n"/>
      <c r="Q3608" s="1" t="n"/>
      <c r="R3608" s="1" t="n"/>
    </row>
    <row r="3609">
      <c r="A3609" s="61" t="n"/>
      <c r="B3609" s="16" t="n"/>
      <c r="C3609" s="90" t="n"/>
      <c r="D3609" s="90" t="n"/>
      <c r="E3609" s="90" t="n"/>
      <c r="F3609" s="16" t="n"/>
      <c r="G3609" s="16" t="n"/>
      <c r="H3609" s="63" t="n"/>
      <c r="I3609" s="64" t="n"/>
      <c r="J3609" s="16" t="n"/>
      <c r="K3609" s="16" t="n"/>
      <c r="M3609" s="89" t="n"/>
      <c r="N3609" s="1" t="n"/>
      <c r="O3609" s="1" t="n"/>
      <c r="P3609" s="1" t="n"/>
      <c r="Q3609" s="1" t="n"/>
      <c r="R3609" s="1" t="n"/>
    </row>
    <row r="3610">
      <c r="A3610" s="61" t="n"/>
      <c r="B3610" s="16" t="n"/>
      <c r="C3610" s="90" t="n"/>
      <c r="D3610" s="90" t="n"/>
      <c r="E3610" s="90" t="n"/>
      <c r="F3610" s="16" t="n"/>
      <c r="G3610" s="16" t="n"/>
      <c r="H3610" s="63" t="n"/>
      <c r="I3610" s="64" t="n"/>
      <c r="J3610" s="16" t="n"/>
      <c r="K3610" s="16" t="n"/>
      <c r="M3610" s="89" t="n"/>
      <c r="N3610" s="1" t="n"/>
      <c r="O3610" s="1" t="n"/>
      <c r="P3610" s="1" t="n"/>
      <c r="Q3610" s="1" t="n"/>
      <c r="R3610" s="1" t="n"/>
    </row>
    <row r="3611">
      <c r="A3611" s="61" t="n"/>
      <c r="B3611" s="16" t="n"/>
      <c r="C3611" s="90" t="n"/>
      <c r="D3611" s="90" t="n"/>
      <c r="E3611" s="90" t="n"/>
      <c r="F3611" s="16" t="n"/>
      <c r="G3611" s="16" t="n"/>
      <c r="H3611" s="63" t="n"/>
      <c r="I3611" s="64" t="n"/>
      <c r="J3611" s="16" t="n"/>
      <c r="K3611" s="16" t="n"/>
      <c r="M3611" s="89" t="n"/>
      <c r="N3611" s="1" t="n"/>
      <c r="O3611" s="1" t="n"/>
      <c r="P3611" s="1" t="n"/>
      <c r="Q3611" s="1" t="n"/>
      <c r="R3611" s="1" t="n"/>
    </row>
    <row r="3612">
      <c r="A3612" s="61" t="n"/>
      <c r="B3612" s="16" t="n"/>
      <c r="C3612" s="90" t="n"/>
      <c r="D3612" s="90" t="n"/>
      <c r="E3612" s="90" t="n"/>
      <c r="F3612" s="16" t="n"/>
      <c r="G3612" s="16" t="n"/>
      <c r="H3612" s="63" t="n"/>
      <c r="I3612" s="64" t="n"/>
      <c r="J3612" s="16" t="n"/>
      <c r="K3612" s="16" t="n"/>
      <c r="M3612" s="89" t="n"/>
      <c r="N3612" s="1" t="n"/>
      <c r="O3612" s="1" t="n"/>
      <c r="P3612" s="1" t="n"/>
      <c r="Q3612" s="1" t="n"/>
      <c r="R3612" s="1" t="n"/>
    </row>
    <row r="3613">
      <c r="A3613" s="61" t="n"/>
      <c r="B3613" s="16" t="n"/>
      <c r="C3613" s="90" t="n"/>
      <c r="D3613" s="90" t="n"/>
      <c r="E3613" s="90" t="n"/>
      <c r="F3613" s="16" t="n"/>
      <c r="G3613" s="16" t="n"/>
      <c r="H3613" s="63" t="n"/>
      <c r="I3613" s="64" t="n"/>
      <c r="J3613" s="16" t="n"/>
      <c r="K3613" s="16" t="n"/>
      <c r="M3613" s="89" t="n"/>
      <c r="N3613" s="1" t="n"/>
      <c r="O3613" s="1" t="n"/>
      <c r="P3613" s="1" t="n"/>
      <c r="Q3613" s="1" t="n"/>
      <c r="R3613" s="1" t="n"/>
    </row>
    <row r="3614">
      <c r="A3614" s="61" t="n"/>
      <c r="B3614" s="16" t="n"/>
      <c r="C3614" s="90" t="n"/>
      <c r="D3614" s="90" t="n"/>
      <c r="E3614" s="90" t="n"/>
      <c r="F3614" s="16" t="n"/>
      <c r="G3614" s="16" t="n"/>
      <c r="H3614" s="63" t="n"/>
      <c r="I3614" s="64" t="n"/>
      <c r="J3614" s="16" t="n"/>
      <c r="K3614" s="16" t="n"/>
      <c r="M3614" s="89" t="n"/>
      <c r="N3614" s="1" t="n"/>
      <c r="O3614" s="1" t="n"/>
      <c r="P3614" s="1" t="n"/>
      <c r="Q3614" s="1" t="n"/>
      <c r="R3614" s="1" t="n"/>
    </row>
    <row r="3615">
      <c r="A3615" s="61" t="n"/>
      <c r="B3615" s="16" t="n"/>
      <c r="C3615" s="90" t="n"/>
      <c r="D3615" s="90" t="n"/>
      <c r="E3615" s="90" t="n"/>
      <c r="F3615" s="16" t="n"/>
      <c r="G3615" s="16" t="n"/>
      <c r="H3615" s="63" t="n"/>
      <c r="I3615" s="64" t="n"/>
      <c r="J3615" s="16" t="n"/>
      <c r="K3615" s="16" t="n"/>
      <c r="M3615" s="89" t="n"/>
      <c r="N3615" s="1" t="n"/>
      <c r="O3615" s="1" t="n"/>
      <c r="P3615" s="1" t="n"/>
      <c r="Q3615" s="1" t="n"/>
      <c r="R3615" s="1" t="n"/>
    </row>
    <row r="3616">
      <c r="A3616" s="61" t="n"/>
      <c r="B3616" s="16" t="n"/>
      <c r="C3616" s="90" t="n"/>
      <c r="D3616" s="90" t="n"/>
      <c r="E3616" s="90" t="n"/>
      <c r="F3616" s="16" t="n"/>
      <c r="G3616" s="16" t="n"/>
      <c r="H3616" s="63" t="n"/>
      <c r="I3616" s="64" t="n"/>
      <c r="J3616" s="16" t="n"/>
      <c r="K3616" s="16" t="n"/>
      <c r="M3616" s="89" t="n"/>
      <c r="N3616" s="1" t="n"/>
      <c r="O3616" s="1" t="n"/>
      <c r="P3616" s="1" t="n"/>
      <c r="Q3616" s="1" t="n"/>
      <c r="R3616" s="1" t="n"/>
    </row>
    <row r="3617">
      <c r="A3617" s="61" t="n"/>
      <c r="B3617" s="16" t="n"/>
      <c r="C3617" s="90" t="n"/>
      <c r="D3617" s="90" t="n"/>
      <c r="E3617" s="90" t="n"/>
      <c r="F3617" s="16" t="n"/>
      <c r="G3617" s="16" t="n"/>
      <c r="H3617" s="63" t="n"/>
      <c r="I3617" s="64" t="n"/>
      <c r="J3617" s="16" t="n"/>
      <c r="K3617" s="16" t="n"/>
      <c r="M3617" s="89" t="n"/>
      <c r="N3617" s="1" t="n"/>
      <c r="O3617" s="1" t="n"/>
      <c r="P3617" s="1" t="n"/>
      <c r="Q3617" s="1" t="n"/>
      <c r="R3617" s="1" t="n"/>
    </row>
    <row r="3618">
      <c r="A3618" s="61" t="n"/>
      <c r="B3618" s="16" t="n"/>
      <c r="C3618" s="90" t="n"/>
      <c r="D3618" s="90" t="n"/>
      <c r="E3618" s="90" t="n"/>
      <c r="F3618" s="16" t="n"/>
      <c r="G3618" s="16" t="n"/>
      <c r="H3618" s="63" t="n"/>
      <c r="I3618" s="64" t="n"/>
      <c r="J3618" s="16" t="n"/>
      <c r="K3618" s="16" t="n"/>
      <c r="M3618" s="89" t="n"/>
      <c r="N3618" s="1" t="n"/>
      <c r="O3618" s="1" t="n"/>
      <c r="P3618" s="1" t="n"/>
      <c r="Q3618" s="1" t="n"/>
      <c r="R3618" s="1" t="n"/>
    </row>
    <row r="3619">
      <c r="A3619" s="61" t="n"/>
      <c r="B3619" s="16" t="n"/>
      <c r="C3619" s="90" t="n"/>
      <c r="D3619" s="90" t="n"/>
      <c r="E3619" s="90" t="n"/>
      <c r="F3619" s="16" t="n"/>
      <c r="G3619" s="16" t="n"/>
      <c r="H3619" s="63" t="n"/>
      <c r="I3619" s="64" t="n"/>
      <c r="J3619" s="16" t="n"/>
      <c r="K3619" s="16" t="n"/>
      <c r="M3619" s="89" t="n"/>
      <c r="N3619" s="1" t="n"/>
      <c r="O3619" s="1" t="n"/>
      <c r="P3619" s="1" t="n"/>
      <c r="Q3619" s="1" t="n"/>
      <c r="R3619" s="1" t="n"/>
    </row>
    <row r="3620">
      <c r="A3620" s="61" t="n"/>
      <c r="B3620" s="16" t="n"/>
      <c r="C3620" s="90" t="n"/>
      <c r="D3620" s="90" t="n"/>
      <c r="E3620" s="90" t="n"/>
      <c r="F3620" s="16" t="n"/>
      <c r="G3620" s="16" t="n"/>
      <c r="H3620" s="63" t="n"/>
      <c r="I3620" s="64" t="n"/>
      <c r="J3620" s="16" t="n"/>
      <c r="K3620" s="16" t="n"/>
      <c r="M3620" s="89" t="n"/>
      <c r="N3620" s="1" t="n"/>
      <c r="O3620" s="1" t="n"/>
      <c r="P3620" s="1" t="n"/>
      <c r="Q3620" s="1" t="n"/>
      <c r="R3620" s="1" t="n"/>
    </row>
    <row r="3621">
      <c r="A3621" s="61" t="n"/>
      <c r="B3621" s="16" t="n"/>
      <c r="C3621" s="90" t="n"/>
      <c r="D3621" s="90" t="n"/>
      <c r="E3621" s="90" t="n"/>
      <c r="F3621" s="16" t="n"/>
      <c r="G3621" s="16" t="n"/>
      <c r="H3621" s="63" t="n"/>
      <c r="I3621" s="64" t="n"/>
      <c r="J3621" s="16" t="n"/>
      <c r="K3621" s="16" t="n"/>
      <c r="M3621" s="89" t="n"/>
      <c r="N3621" s="1" t="n"/>
      <c r="O3621" s="1" t="n"/>
      <c r="P3621" s="1" t="n"/>
      <c r="Q3621" s="1" t="n"/>
      <c r="R3621" s="1" t="n"/>
    </row>
    <row r="3622">
      <c r="A3622" s="61" t="n"/>
      <c r="B3622" s="16" t="n"/>
      <c r="C3622" s="90" t="n"/>
      <c r="D3622" s="90" t="n"/>
      <c r="E3622" s="90" t="n"/>
      <c r="F3622" s="16" t="n"/>
      <c r="G3622" s="16" t="n"/>
      <c r="H3622" s="63" t="n"/>
      <c r="I3622" s="64" t="n"/>
      <c r="J3622" s="16" t="n"/>
      <c r="K3622" s="16" t="n"/>
      <c r="M3622" s="89" t="n"/>
      <c r="N3622" s="1" t="n"/>
      <c r="O3622" s="1" t="n"/>
      <c r="P3622" s="1" t="n"/>
      <c r="Q3622" s="1" t="n"/>
      <c r="R3622" s="1" t="n"/>
    </row>
    <row r="3623">
      <c r="A3623" s="61" t="n"/>
      <c r="B3623" s="16" t="n"/>
      <c r="C3623" s="90" t="n"/>
      <c r="D3623" s="90" t="n"/>
      <c r="E3623" s="90" t="n"/>
      <c r="F3623" s="16" t="n"/>
      <c r="G3623" s="16" t="n"/>
      <c r="H3623" s="63" t="n"/>
      <c r="I3623" s="64" t="n"/>
      <c r="J3623" s="16" t="n"/>
      <c r="K3623" s="16" t="n"/>
      <c r="M3623" s="89" t="n"/>
      <c r="N3623" s="1" t="n"/>
      <c r="O3623" s="1" t="n"/>
      <c r="P3623" s="1" t="n"/>
      <c r="Q3623" s="1" t="n"/>
      <c r="R3623" s="1" t="n"/>
    </row>
    <row r="3624">
      <c r="A3624" s="61" t="n"/>
      <c r="B3624" s="16" t="n"/>
      <c r="C3624" s="90" t="n"/>
      <c r="D3624" s="90" t="n"/>
      <c r="E3624" s="90" t="n"/>
      <c r="F3624" s="16" t="n"/>
      <c r="G3624" s="16" t="n"/>
      <c r="H3624" s="63" t="n"/>
      <c r="I3624" s="64" t="n"/>
      <c r="J3624" s="16" t="n"/>
      <c r="K3624" s="16" t="n"/>
      <c r="M3624" s="89" t="n"/>
      <c r="N3624" s="1" t="n"/>
      <c r="O3624" s="1" t="n"/>
      <c r="P3624" s="1" t="n"/>
      <c r="Q3624" s="1" t="n"/>
      <c r="R3624" s="1" t="n"/>
    </row>
    <row r="3625">
      <c r="A3625" s="61" t="n"/>
      <c r="B3625" s="16" t="n"/>
      <c r="C3625" s="90" t="n"/>
      <c r="D3625" s="90" t="n"/>
      <c r="E3625" s="90" t="n"/>
      <c r="F3625" s="16" t="n"/>
      <c r="G3625" s="16" t="n"/>
      <c r="H3625" s="63" t="n"/>
      <c r="I3625" s="64" t="n"/>
      <c r="J3625" s="16" t="n"/>
      <c r="K3625" s="16" t="n"/>
      <c r="M3625" s="89" t="n"/>
      <c r="N3625" s="1" t="n"/>
      <c r="O3625" s="1" t="n"/>
      <c r="P3625" s="1" t="n"/>
      <c r="Q3625" s="1" t="n"/>
      <c r="R3625" s="1" t="n"/>
    </row>
    <row r="3626">
      <c r="A3626" s="61" t="n"/>
      <c r="B3626" s="16" t="n"/>
      <c r="C3626" s="90" t="n"/>
      <c r="D3626" s="90" t="n"/>
      <c r="E3626" s="90" t="n"/>
      <c r="F3626" s="16" t="n"/>
      <c r="G3626" s="16" t="n"/>
      <c r="H3626" s="63" t="n"/>
      <c r="I3626" s="64" t="n"/>
      <c r="J3626" s="16" t="n"/>
      <c r="K3626" s="16" t="n"/>
      <c r="M3626" s="89" t="n"/>
      <c r="N3626" s="1" t="n"/>
      <c r="O3626" s="1" t="n"/>
      <c r="P3626" s="1" t="n"/>
      <c r="Q3626" s="1" t="n"/>
      <c r="R3626" s="1" t="n"/>
    </row>
    <row r="3627">
      <c r="A3627" s="61" t="n"/>
      <c r="B3627" s="16" t="n"/>
      <c r="C3627" s="90" t="n"/>
      <c r="D3627" s="90" t="n"/>
      <c r="E3627" s="90" t="n"/>
      <c r="F3627" s="16" t="n"/>
      <c r="G3627" s="16" t="n"/>
      <c r="H3627" s="63" t="n"/>
      <c r="I3627" s="64" t="n"/>
      <c r="J3627" s="16" t="n"/>
      <c r="K3627" s="16" t="n"/>
      <c r="M3627" s="89" t="n"/>
      <c r="N3627" s="1" t="n"/>
      <c r="O3627" s="1" t="n"/>
      <c r="P3627" s="1" t="n"/>
      <c r="Q3627" s="1" t="n"/>
      <c r="R3627" s="1" t="n"/>
    </row>
    <row r="3628">
      <c r="A3628" s="61" t="n"/>
      <c r="B3628" s="16" t="n"/>
      <c r="C3628" s="90" t="n"/>
      <c r="D3628" s="90" t="n"/>
      <c r="E3628" s="90" t="n"/>
      <c r="F3628" s="16" t="n"/>
      <c r="G3628" s="16" t="n"/>
      <c r="H3628" s="63" t="n"/>
      <c r="I3628" s="64" t="n"/>
      <c r="J3628" s="16" t="n"/>
      <c r="K3628" s="16" t="n"/>
      <c r="M3628" s="89" t="n"/>
      <c r="N3628" s="1" t="n"/>
      <c r="O3628" s="1" t="n"/>
      <c r="P3628" s="1" t="n"/>
      <c r="Q3628" s="1" t="n"/>
      <c r="R3628" s="1" t="n"/>
    </row>
    <row r="3629">
      <c r="A3629" s="61" t="n"/>
      <c r="B3629" s="16" t="n"/>
      <c r="C3629" s="90" t="n"/>
      <c r="D3629" s="90" t="n"/>
      <c r="E3629" s="90" t="n"/>
      <c r="F3629" s="16" t="n"/>
      <c r="G3629" s="16" t="n"/>
      <c r="H3629" s="63" t="n"/>
      <c r="I3629" s="64" t="n"/>
      <c r="J3629" s="16" t="n"/>
      <c r="K3629" s="16" t="n"/>
      <c r="M3629" s="89" t="n"/>
      <c r="N3629" s="1" t="n"/>
      <c r="O3629" s="1" t="n"/>
      <c r="P3629" s="1" t="n"/>
      <c r="Q3629" s="1" t="n"/>
      <c r="R3629" s="1" t="n"/>
    </row>
    <row r="3630">
      <c r="A3630" s="61" t="n"/>
      <c r="B3630" s="16" t="n"/>
      <c r="C3630" s="90" t="n"/>
      <c r="D3630" s="90" t="n"/>
      <c r="E3630" s="90" t="n"/>
      <c r="F3630" s="16" t="n"/>
      <c r="G3630" s="16" t="n"/>
      <c r="H3630" s="63" t="n"/>
      <c r="I3630" s="64" t="n"/>
      <c r="J3630" s="16" t="n"/>
      <c r="K3630" s="16" t="n"/>
      <c r="M3630" s="89" t="n"/>
      <c r="N3630" s="1" t="n"/>
      <c r="O3630" s="1" t="n"/>
      <c r="P3630" s="1" t="n"/>
      <c r="Q3630" s="1" t="n"/>
      <c r="R3630" s="1" t="n"/>
    </row>
    <row r="3631">
      <c r="A3631" s="61" t="n"/>
      <c r="B3631" s="16" t="n"/>
      <c r="C3631" s="90" t="n"/>
      <c r="D3631" s="90" t="n"/>
      <c r="E3631" s="90" t="n"/>
      <c r="F3631" s="16" t="n"/>
      <c r="G3631" s="16" t="n"/>
      <c r="H3631" s="63" t="n"/>
      <c r="I3631" s="64" t="n"/>
      <c r="J3631" s="16" t="n"/>
      <c r="K3631" s="16" t="n"/>
      <c r="M3631" s="89" t="n"/>
      <c r="N3631" s="1" t="n"/>
      <c r="O3631" s="1" t="n"/>
      <c r="P3631" s="1" t="n"/>
      <c r="Q3631" s="1" t="n"/>
      <c r="R3631" s="1" t="n"/>
    </row>
    <row r="3632">
      <c r="A3632" s="61" t="n"/>
      <c r="B3632" s="16" t="n"/>
      <c r="C3632" s="90" t="n"/>
      <c r="D3632" s="90" t="n"/>
      <c r="E3632" s="90" t="n"/>
      <c r="F3632" s="16" t="n"/>
      <c r="G3632" s="16" t="n"/>
      <c r="H3632" s="63" t="n"/>
      <c r="I3632" s="64" t="n"/>
      <c r="J3632" s="16" t="n"/>
      <c r="K3632" s="16" t="n"/>
      <c r="M3632" s="89" t="n"/>
      <c r="N3632" s="1" t="n"/>
      <c r="O3632" s="1" t="n"/>
      <c r="P3632" s="1" t="n"/>
      <c r="Q3632" s="1" t="n"/>
      <c r="R3632" s="1" t="n"/>
    </row>
    <row r="3633">
      <c r="A3633" s="61" t="n"/>
      <c r="B3633" s="16" t="n"/>
      <c r="C3633" s="90" t="n"/>
      <c r="D3633" s="90" t="n"/>
      <c r="E3633" s="90" t="n"/>
      <c r="F3633" s="16" t="n"/>
      <c r="G3633" s="16" t="n"/>
      <c r="H3633" s="63" t="n"/>
      <c r="I3633" s="64" t="n"/>
      <c r="J3633" s="16" t="n"/>
      <c r="K3633" s="16" t="n"/>
      <c r="M3633" s="89" t="n"/>
      <c r="N3633" s="1" t="n"/>
      <c r="O3633" s="1" t="n"/>
      <c r="P3633" s="1" t="n"/>
      <c r="Q3633" s="1" t="n"/>
      <c r="R3633" s="1" t="n"/>
    </row>
    <row r="3634">
      <c r="A3634" s="61" t="n"/>
      <c r="B3634" s="16" t="n"/>
      <c r="C3634" s="90" t="n"/>
      <c r="D3634" s="90" t="n"/>
      <c r="E3634" s="90" t="n"/>
      <c r="F3634" s="16" t="n"/>
      <c r="G3634" s="16" t="n"/>
      <c r="H3634" s="63" t="n"/>
      <c r="I3634" s="64" t="n"/>
      <c r="J3634" s="16" t="n"/>
      <c r="K3634" s="16" t="n"/>
      <c r="M3634" s="89" t="n"/>
      <c r="N3634" s="1" t="n"/>
      <c r="O3634" s="1" t="n"/>
      <c r="P3634" s="1" t="n"/>
      <c r="Q3634" s="1" t="n"/>
      <c r="R3634" s="1" t="n"/>
    </row>
    <row r="3635">
      <c r="A3635" s="61" t="n"/>
      <c r="B3635" s="16" t="n"/>
      <c r="C3635" s="90" t="n"/>
      <c r="D3635" s="90" t="n"/>
      <c r="E3635" s="90" t="n"/>
      <c r="F3635" s="16" t="n"/>
      <c r="G3635" s="16" t="n"/>
      <c r="H3635" s="63" t="n"/>
      <c r="I3635" s="64" t="n"/>
      <c r="J3635" s="16" t="n"/>
      <c r="K3635" s="16" t="n"/>
      <c r="M3635" s="89" t="n"/>
      <c r="N3635" s="1" t="n"/>
      <c r="O3635" s="1" t="n"/>
      <c r="P3635" s="1" t="n"/>
      <c r="Q3635" s="1" t="n"/>
      <c r="R3635" s="1" t="n"/>
    </row>
    <row r="3636">
      <c r="A3636" s="61" t="n"/>
      <c r="B3636" s="16" t="n"/>
      <c r="C3636" s="90" t="n"/>
      <c r="D3636" s="90" t="n"/>
      <c r="E3636" s="90" t="n"/>
      <c r="F3636" s="16" t="n"/>
      <c r="G3636" s="16" t="n"/>
      <c r="H3636" s="63" t="n"/>
      <c r="I3636" s="64" t="n"/>
      <c r="J3636" s="16" t="n"/>
      <c r="K3636" s="16" t="n"/>
      <c r="M3636" s="89" t="n"/>
      <c r="N3636" s="1" t="n"/>
      <c r="O3636" s="1" t="n"/>
      <c r="P3636" s="1" t="n"/>
      <c r="Q3636" s="1" t="n"/>
      <c r="R3636" s="1" t="n"/>
    </row>
    <row r="3637">
      <c r="A3637" s="61" t="n"/>
      <c r="B3637" s="16" t="n"/>
      <c r="C3637" s="90" t="n"/>
      <c r="D3637" s="90" t="n"/>
      <c r="E3637" s="90" t="n"/>
      <c r="F3637" s="16" t="n"/>
      <c r="G3637" s="16" t="n"/>
      <c r="H3637" s="63" t="n"/>
      <c r="I3637" s="64" t="n"/>
      <c r="J3637" s="16" t="n"/>
      <c r="K3637" s="16" t="n"/>
      <c r="M3637" s="89" t="n"/>
      <c r="N3637" s="1" t="n"/>
      <c r="O3637" s="1" t="n"/>
      <c r="P3637" s="1" t="n"/>
      <c r="Q3637" s="1" t="n"/>
      <c r="R3637" s="1" t="n"/>
    </row>
    <row r="3638">
      <c r="A3638" s="61" t="n"/>
      <c r="B3638" s="16" t="n"/>
      <c r="C3638" s="90" t="n"/>
      <c r="D3638" s="90" t="n"/>
      <c r="E3638" s="90" t="n"/>
      <c r="F3638" s="16" t="n"/>
      <c r="G3638" s="16" t="n"/>
      <c r="H3638" s="63" t="n"/>
      <c r="I3638" s="64" t="n"/>
      <c r="J3638" s="16" t="n"/>
      <c r="K3638" s="16" t="n"/>
      <c r="M3638" s="89" t="n"/>
      <c r="N3638" s="1" t="n"/>
      <c r="O3638" s="1" t="n"/>
      <c r="P3638" s="1" t="n"/>
      <c r="Q3638" s="1" t="n"/>
      <c r="R3638" s="1" t="n"/>
    </row>
    <row r="3639">
      <c r="A3639" s="61" t="n"/>
      <c r="B3639" s="16" t="n"/>
      <c r="C3639" s="90" t="n"/>
      <c r="D3639" s="90" t="n"/>
      <c r="E3639" s="90" t="n"/>
      <c r="F3639" s="16" t="n"/>
      <c r="G3639" s="16" t="n"/>
      <c r="H3639" s="63" t="n"/>
      <c r="I3639" s="64" t="n"/>
      <c r="J3639" s="16" t="n"/>
      <c r="K3639" s="16" t="n"/>
      <c r="M3639" s="89" t="n"/>
      <c r="N3639" s="1" t="n"/>
      <c r="O3639" s="1" t="n"/>
      <c r="P3639" s="1" t="n"/>
      <c r="Q3639" s="1" t="n"/>
      <c r="R3639" s="1" t="n"/>
    </row>
    <row r="3640">
      <c r="A3640" s="61" t="n"/>
      <c r="B3640" s="16" t="n"/>
      <c r="C3640" s="90" t="n"/>
      <c r="D3640" s="90" t="n"/>
      <c r="E3640" s="90" t="n"/>
      <c r="F3640" s="16" t="n"/>
      <c r="G3640" s="16" t="n"/>
      <c r="H3640" s="63" t="n"/>
      <c r="I3640" s="64" t="n"/>
      <c r="J3640" s="16" t="n"/>
      <c r="K3640" s="16" t="n"/>
      <c r="M3640" s="89" t="n"/>
      <c r="N3640" s="1" t="n"/>
      <c r="O3640" s="1" t="n"/>
      <c r="P3640" s="1" t="n"/>
      <c r="Q3640" s="1" t="n"/>
      <c r="R3640" s="1" t="n"/>
    </row>
    <row r="3641">
      <c r="A3641" s="61" t="n"/>
      <c r="B3641" s="16" t="n"/>
      <c r="C3641" s="90" t="n"/>
      <c r="D3641" s="90" t="n"/>
      <c r="E3641" s="90" t="n"/>
      <c r="F3641" s="16" t="n"/>
      <c r="G3641" s="16" t="n"/>
      <c r="H3641" s="63" t="n"/>
      <c r="I3641" s="64" t="n"/>
      <c r="J3641" s="16" t="n"/>
      <c r="K3641" s="16" t="n"/>
      <c r="M3641" s="89" t="n"/>
      <c r="N3641" s="1" t="n"/>
      <c r="O3641" s="1" t="n"/>
      <c r="P3641" s="1" t="n"/>
      <c r="Q3641" s="1" t="n"/>
      <c r="R3641" s="1" t="n"/>
    </row>
    <row r="3642">
      <c r="A3642" s="61" t="n"/>
      <c r="B3642" s="16" t="n"/>
      <c r="C3642" s="90" t="n"/>
      <c r="D3642" s="90" t="n"/>
      <c r="E3642" s="90" t="n"/>
      <c r="F3642" s="16" t="n"/>
      <c r="G3642" s="16" t="n"/>
      <c r="H3642" s="63" t="n"/>
      <c r="I3642" s="64" t="n"/>
      <c r="J3642" s="16" t="n"/>
      <c r="K3642" s="16" t="n"/>
      <c r="M3642" s="89" t="n"/>
      <c r="N3642" s="1" t="n"/>
      <c r="O3642" s="1" t="n"/>
      <c r="P3642" s="1" t="n"/>
      <c r="Q3642" s="1" t="n"/>
      <c r="R3642" s="1" t="n"/>
    </row>
    <row r="3643">
      <c r="A3643" s="61" t="n"/>
      <c r="B3643" s="16" t="n"/>
      <c r="C3643" s="90" t="n"/>
      <c r="D3643" s="90" t="n"/>
      <c r="E3643" s="90" t="n"/>
      <c r="F3643" s="16" t="n"/>
      <c r="G3643" s="16" t="n"/>
      <c r="H3643" s="63" t="n"/>
      <c r="I3643" s="64" t="n"/>
      <c r="J3643" s="16" t="n"/>
      <c r="K3643" s="16" t="n"/>
      <c r="M3643" s="89" t="n"/>
      <c r="N3643" s="1" t="n"/>
      <c r="O3643" s="1" t="n"/>
      <c r="P3643" s="1" t="n"/>
      <c r="Q3643" s="1" t="n"/>
      <c r="R3643" s="1" t="n"/>
    </row>
    <row r="3644">
      <c r="A3644" s="61" t="n"/>
      <c r="B3644" s="16" t="n"/>
      <c r="C3644" s="90" t="n"/>
      <c r="D3644" s="90" t="n"/>
      <c r="E3644" s="90" t="n"/>
      <c r="F3644" s="16" t="n"/>
      <c r="G3644" s="16" t="n"/>
      <c r="H3644" s="63" t="n"/>
      <c r="I3644" s="64" t="n"/>
      <c r="J3644" s="16" t="n"/>
      <c r="K3644" s="16" t="n"/>
      <c r="M3644" s="89" t="n"/>
      <c r="N3644" s="1" t="n"/>
      <c r="O3644" s="1" t="n"/>
      <c r="P3644" s="1" t="n"/>
      <c r="Q3644" s="1" t="n"/>
      <c r="R3644" s="1" t="n"/>
    </row>
    <row r="3645">
      <c r="A3645" s="61" t="n"/>
      <c r="B3645" s="16" t="n"/>
      <c r="C3645" s="90" t="n"/>
      <c r="D3645" s="90" t="n"/>
      <c r="E3645" s="90" t="n"/>
      <c r="F3645" s="16" t="n"/>
      <c r="G3645" s="16" t="n"/>
      <c r="H3645" s="63" t="n"/>
      <c r="I3645" s="64" t="n"/>
      <c r="J3645" s="16" t="n"/>
      <c r="K3645" s="16" t="n"/>
      <c r="M3645" s="89" t="n"/>
      <c r="N3645" s="1" t="n"/>
      <c r="O3645" s="1" t="n"/>
      <c r="P3645" s="1" t="n"/>
      <c r="Q3645" s="1" t="n"/>
      <c r="R3645" s="1" t="n"/>
    </row>
    <row r="3646">
      <c r="A3646" s="61" t="n"/>
      <c r="B3646" s="16" t="n"/>
      <c r="C3646" s="90" t="n"/>
      <c r="D3646" s="90" t="n"/>
      <c r="E3646" s="90" t="n"/>
      <c r="F3646" s="16" t="n"/>
      <c r="G3646" s="16" t="n"/>
      <c r="H3646" s="63" t="n"/>
      <c r="I3646" s="64" t="n"/>
      <c r="J3646" s="16" t="n"/>
      <c r="K3646" s="16" t="n"/>
      <c r="M3646" s="89" t="n"/>
      <c r="N3646" s="1" t="n"/>
      <c r="O3646" s="1" t="n"/>
      <c r="P3646" s="1" t="n"/>
      <c r="Q3646" s="1" t="n"/>
      <c r="R3646" s="1" t="n"/>
    </row>
    <row r="3647">
      <c r="A3647" s="61" t="n"/>
      <c r="B3647" s="16" t="n"/>
      <c r="C3647" s="90" t="n"/>
      <c r="D3647" s="90" t="n"/>
      <c r="E3647" s="90" t="n"/>
      <c r="F3647" s="16" t="n"/>
      <c r="G3647" s="16" t="n"/>
      <c r="H3647" s="63" t="n"/>
      <c r="I3647" s="64" t="n"/>
      <c r="J3647" s="16" t="n"/>
      <c r="K3647" s="16" t="n"/>
      <c r="M3647" s="89" t="n"/>
      <c r="N3647" s="1" t="n"/>
      <c r="O3647" s="1" t="n"/>
      <c r="P3647" s="1" t="n"/>
      <c r="Q3647" s="1" t="n"/>
      <c r="R3647" s="1" t="n"/>
    </row>
    <row r="3648">
      <c r="A3648" s="61" t="n"/>
      <c r="B3648" s="16" t="n"/>
      <c r="C3648" s="90" t="n"/>
      <c r="D3648" s="90" t="n"/>
      <c r="E3648" s="90" t="n"/>
      <c r="F3648" s="16" t="n"/>
      <c r="G3648" s="16" t="n"/>
      <c r="H3648" s="63" t="n"/>
      <c r="I3648" s="64" t="n"/>
      <c r="J3648" s="16" t="n"/>
      <c r="K3648" s="16" t="n"/>
      <c r="M3648" s="89" t="n"/>
      <c r="N3648" s="1" t="n"/>
      <c r="O3648" s="1" t="n"/>
      <c r="P3648" s="1" t="n"/>
      <c r="Q3648" s="1" t="n"/>
      <c r="R3648" s="1" t="n"/>
    </row>
    <row r="3649">
      <c r="A3649" s="61" t="n"/>
      <c r="B3649" s="16" t="n"/>
      <c r="C3649" s="90" t="n"/>
      <c r="D3649" s="90" t="n"/>
      <c r="E3649" s="90" t="n"/>
      <c r="F3649" s="16" t="n"/>
      <c r="G3649" s="16" t="n"/>
      <c r="H3649" s="63" t="n"/>
      <c r="I3649" s="64" t="n"/>
      <c r="J3649" s="16" t="n"/>
      <c r="K3649" s="16" t="n"/>
      <c r="M3649" s="89" t="n"/>
      <c r="N3649" s="1" t="n"/>
      <c r="O3649" s="1" t="n"/>
      <c r="P3649" s="1" t="n"/>
      <c r="Q3649" s="1" t="n"/>
      <c r="R3649" s="1" t="n"/>
    </row>
    <row r="3650">
      <c r="A3650" s="61" t="n"/>
      <c r="B3650" s="16" t="n"/>
      <c r="C3650" s="90" t="n"/>
      <c r="D3650" s="90" t="n"/>
      <c r="E3650" s="90" t="n"/>
      <c r="F3650" s="16" t="n"/>
      <c r="G3650" s="16" t="n"/>
      <c r="H3650" s="63" t="n"/>
      <c r="I3650" s="64" t="n"/>
      <c r="J3650" s="16" t="n"/>
      <c r="K3650" s="16" t="n"/>
      <c r="M3650" s="89" t="n"/>
      <c r="N3650" s="1" t="n"/>
      <c r="O3650" s="1" t="n"/>
      <c r="P3650" s="1" t="n"/>
      <c r="Q3650" s="1" t="n"/>
      <c r="R3650" s="1" t="n"/>
    </row>
    <row r="3651">
      <c r="A3651" s="61" t="n"/>
      <c r="B3651" s="16" t="n"/>
      <c r="C3651" s="90" t="n"/>
      <c r="D3651" s="90" t="n"/>
      <c r="E3651" s="90" t="n"/>
      <c r="F3651" s="16" t="n"/>
      <c r="G3651" s="16" t="n"/>
      <c r="H3651" s="63" t="n"/>
      <c r="I3651" s="64" t="n"/>
      <c r="J3651" s="16" t="n"/>
      <c r="K3651" s="16" t="n"/>
      <c r="M3651" s="89" t="n"/>
      <c r="N3651" s="1" t="n"/>
      <c r="O3651" s="1" t="n"/>
      <c r="P3651" s="1" t="n"/>
      <c r="Q3651" s="1" t="n"/>
      <c r="R3651" s="1" t="n"/>
    </row>
    <row r="3652">
      <c r="A3652" s="61" t="n"/>
      <c r="B3652" s="16" t="n"/>
      <c r="C3652" s="90" t="n"/>
      <c r="D3652" s="90" t="n"/>
      <c r="E3652" s="90" t="n"/>
      <c r="F3652" s="16" t="n"/>
      <c r="G3652" s="16" t="n"/>
      <c r="H3652" s="63" t="n"/>
      <c r="I3652" s="64" t="n"/>
      <c r="J3652" s="16" t="n"/>
      <c r="K3652" s="16" t="n"/>
      <c r="M3652" s="89" t="n"/>
      <c r="N3652" s="1" t="n"/>
      <c r="O3652" s="1" t="n"/>
      <c r="P3652" s="1" t="n"/>
      <c r="Q3652" s="1" t="n"/>
      <c r="R3652" s="1" t="n"/>
    </row>
    <row r="3653">
      <c r="A3653" s="61" t="n"/>
      <c r="B3653" s="16" t="n"/>
      <c r="C3653" s="90" t="n"/>
      <c r="D3653" s="90" t="n"/>
      <c r="E3653" s="90" t="n"/>
      <c r="F3653" s="16" t="n"/>
      <c r="G3653" s="16" t="n"/>
      <c r="H3653" s="63" t="n"/>
      <c r="I3653" s="64" t="n"/>
      <c r="J3653" s="16" t="n"/>
      <c r="K3653" s="16" t="n"/>
      <c r="M3653" s="89" t="n"/>
      <c r="N3653" s="1" t="n"/>
      <c r="O3653" s="1" t="n"/>
      <c r="P3653" s="1" t="n"/>
      <c r="Q3653" s="1" t="n"/>
      <c r="R3653" s="1" t="n"/>
    </row>
    <row r="3654">
      <c r="A3654" s="61" t="n"/>
      <c r="B3654" s="16" t="n"/>
      <c r="C3654" s="90" t="n"/>
      <c r="D3654" s="90" t="n"/>
      <c r="E3654" s="90" t="n"/>
      <c r="F3654" s="16" t="n"/>
      <c r="G3654" s="16" t="n"/>
      <c r="H3654" s="63" t="n"/>
      <c r="I3654" s="64" t="n"/>
      <c r="J3654" s="16" t="n"/>
      <c r="K3654" s="16" t="n"/>
      <c r="M3654" s="89" t="n"/>
      <c r="N3654" s="1" t="n"/>
      <c r="O3654" s="1" t="n"/>
      <c r="P3654" s="1" t="n"/>
      <c r="Q3654" s="1" t="n"/>
      <c r="R3654" s="1" t="n"/>
    </row>
    <row r="3655">
      <c r="A3655" s="61" t="n"/>
      <c r="B3655" s="16" t="n"/>
      <c r="C3655" s="90" t="n"/>
      <c r="D3655" s="90" t="n"/>
      <c r="E3655" s="90" t="n"/>
      <c r="F3655" s="16" t="n"/>
      <c r="G3655" s="16" t="n"/>
      <c r="H3655" s="63" t="n"/>
      <c r="I3655" s="64" t="n"/>
      <c r="J3655" s="16" t="n"/>
      <c r="K3655" s="16" t="n"/>
      <c r="M3655" s="89" t="n"/>
      <c r="N3655" s="1" t="n"/>
      <c r="O3655" s="1" t="n"/>
      <c r="P3655" s="1" t="n"/>
      <c r="Q3655" s="1" t="n"/>
      <c r="R3655" s="1" t="n"/>
    </row>
    <row r="3656">
      <c r="A3656" s="61" t="n"/>
      <c r="B3656" s="16" t="n"/>
      <c r="C3656" s="90" t="n"/>
      <c r="D3656" s="90" t="n"/>
      <c r="E3656" s="90" t="n"/>
      <c r="F3656" s="16" t="n"/>
      <c r="G3656" s="16" t="n"/>
      <c r="H3656" s="63" t="n"/>
      <c r="I3656" s="64" t="n"/>
      <c r="J3656" s="16" t="n"/>
      <c r="K3656" s="16" t="n"/>
      <c r="M3656" s="89" t="n"/>
      <c r="N3656" s="1" t="n"/>
      <c r="O3656" s="1" t="n"/>
      <c r="P3656" s="1" t="n"/>
      <c r="Q3656" s="1" t="n"/>
      <c r="R3656" s="1" t="n"/>
    </row>
    <row r="3657">
      <c r="A3657" s="61" t="n"/>
      <c r="B3657" s="16" t="n"/>
      <c r="C3657" s="90" t="n"/>
      <c r="D3657" s="90" t="n"/>
      <c r="E3657" s="90" t="n"/>
      <c r="F3657" s="16" t="n"/>
      <c r="G3657" s="16" t="n"/>
      <c r="H3657" s="63" t="n"/>
      <c r="I3657" s="64" t="n"/>
      <c r="J3657" s="16" t="n"/>
      <c r="K3657" s="16" t="n"/>
      <c r="M3657" s="89" t="n"/>
      <c r="N3657" s="1" t="n"/>
      <c r="O3657" s="1" t="n"/>
      <c r="P3657" s="1" t="n"/>
      <c r="Q3657" s="1" t="n"/>
      <c r="R3657" s="1" t="n"/>
    </row>
    <row r="3658">
      <c r="A3658" s="61" t="n"/>
      <c r="B3658" s="16" t="n"/>
      <c r="C3658" s="90" t="n"/>
      <c r="D3658" s="90" t="n"/>
      <c r="E3658" s="90" t="n"/>
      <c r="F3658" s="16" t="n"/>
      <c r="G3658" s="16" t="n"/>
      <c r="H3658" s="63" t="n"/>
      <c r="I3658" s="64" t="n"/>
      <c r="J3658" s="16" t="n"/>
      <c r="K3658" s="16" t="n"/>
      <c r="M3658" s="89" t="n"/>
      <c r="N3658" s="1" t="n"/>
      <c r="O3658" s="1" t="n"/>
      <c r="P3658" s="1" t="n"/>
      <c r="Q3658" s="1" t="n"/>
      <c r="R3658" s="1" t="n"/>
    </row>
    <row r="3659">
      <c r="A3659" s="61" t="n"/>
      <c r="B3659" s="16" t="n"/>
      <c r="C3659" s="90" t="n"/>
      <c r="D3659" s="90" t="n"/>
      <c r="E3659" s="90" t="n"/>
      <c r="F3659" s="16" t="n"/>
      <c r="G3659" s="16" t="n"/>
      <c r="H3659" s="63" t="n"/>
      <c r="I3659" s="64" t="n"/>
      <c r="J3659" s="16" t="n"/>
      <c r="K3659" s="16" t="n"/>
      <c r="M3659" s="89" t="n"/>
      <c r="N3659" s="1" t="n"/>
      <c r="O3659" s="1" t="n"/>
      <c r="P3659" s="1" t="n"/>
      <c r="Q3659" s="1" t="n"/>
      <c r="R3659" s="1" t="n"/>
    </row>
    <row r="3660">
      <c r="A3660" s="61" t="n"/>
      <c r="B3660" s="16" t="n"/>
      <c r="C3660" s="90" t="n"/>
      <c r="D3660" s="90" t="n"/>
      <c r="E3660" s="90" t="n"/>
      <c r="F3660" s="16" t="n"/>
      <c r="G3660" s="16" t="n"/>
      <c r="H3660" s="63" t="n"/>
      <c r="I3660" s="64" t="n"/>
      <c r="J3660" s="16" t="n"/>
      <c r="K3660" s="16" t="n"/>
      <c r="M3660" s="89" t="n"/>
      <c r="N3660" s="1" t="n"/>
      <c r="O3660" s="1" t="n"/>
      <c r="P3660" s="1" t="n"/>
      <c r="Q3660" s="1" t="n"/>
      <c r="R3660" s="1" t="n"/>
    </row>
    <row r="3661">
      <c r="A3661" s="61" t="n"/>
      <c r="B3661" s="16" t="n"/>
      <c r="C3661" s="90" t="n"/>
      <c r="D3661" s="90" t="n"/>
      <c r="E3661" s="90" t="n"/>
      <c r="F3661" s="16" t="n"/>
      <c r="G3661" s="16" t="n"/>
      <c r="H3661" s="63" t="n"/>
      <c r="I3661" s="64" t="n"/>
      <c r="J3661" s="16" t="n"/>
      <c r="K3661" s="16" t="n"/>
      <c r="M3661" s="89" t="n"/>
      <c r="N3661" s="1" t="n"/>
      <c r="O3661" s="1" t="n"/>
      <c r="P3661" s="1" t="n"/>
      <c r="Q3661" s="1" t="n"/>
      <c r="R3661" s="1" t="n"/>
    </row>
    <row r="3662">
      <c r="A3662" s="61" t="n"/>
      <c r="B3662" s="16" t="n"/>
      <c r="C3662" s="90" t="n"/>
      <c r="D3662" s="90" t="n"/>
      <c r="E3662" s="90" t="n"/>
      <c r="F3662" s="16" t="n"/>
      <c r="G3662" s="16" t="n"/>
      <c r="H3662" s="63" t="n"/>
      <c r="I3662" s="64" t="n"/>
      <c r="J3662" s="16" t="n"/>
      <c r="K3662" s="16" t="n"/>
      <c r="M3662" s="89" t="n"/>
      <c r="N3662" s="1" t="n"/>
      <c r="O3662" s="1" t="n"/>
      <c r="P3662" s="1" t="n"/>
      <c r="Q3662" s="1" t="n"/>
      <c r="R3662" s="1" t="n"/>
    </row>
    <row r="3663">
      <c r="A3663" s="61" t="n"/>
      <c r="B3663" s="16" t="n"/>
      <c r="C3663" s="90" t="n"/>
      <c r="D3663" s="90" t="n"/>
      <c r="E3663" s="90" t="n"/>
      <c r="F3663" s="16" t="n"/>
      <c r="G3663" s="16" t="n"/>
      <c r="H3663" s="63" t="n"/>
      <c r="I3663" s="64" t="n"/>
      <c r="J3663" s="16" t="n"/>
      <c r="K3663" s="16" t="n"/>
      <c r="M3663" s="89" t="n"/>
      <c r="N3663" s="1" t="n"/>
      <c r="O3663" s="1" t="n"/>
      <c r="P3663" s="1" t="n"/>
      <c r="Q3663" s="1" t="n"/>
      <c r="R3663" s="1" t="n"/>
    </row>
    <row r="3664">
      <c r="A3664" s="61" t="n"/>
      <c r="B3664" s="16" t="n"/>
      <c r="C3664" s="90" t="n"/>
      <c r="D3664" s="90" t="n"/>
      <c r="E3664" s="90" t="n"/>
      <c r="F3664" s="16" t="n"/>
      <c r="G3664" s="16" t="n"/>
      <c r="H3664" s="63" t="n"/>
      <c r="I3664" s="64" t="n"/>
      <c r="J3664" s="16" t="n"/>
      <c r="K3664" s="16" t="n"/>
      <c r="M3664" s="89" t="n"/>
      <c r="N3664" s="1" t="n"/>
      <c r="O3664" s="1" t="n"/>
      <c r="P3664" s="1" t="n"/>
      <c r="Q3664" s="1" t="n"/>
      <c r="R3664" s="1" t="n"/>
    </row>
    <row r="3665">
      <c r="A3665" s="61" t="n"/>
      <c r="B3665" s="16" t="n"/>
      <c r="C3665" s="90" t="n"/>
      <c r="D3665" s="90" t="n"/>
      <c r="E3665" s="90" t="n"/>
      <c r="F3665" s="16" t="n"/>
      <c r="G3665" s="16" t="n"/>
      <c r="H3665" s="63" t="n"/>
      <c r="I3665" s="64" t="n"/>
      <c r="J3665" s="16" t="n"/>
      <c r="K3665" s="16" t="n"/>
      <c r="M3665" s="89" t="n"/>
      <c r="N3665" s="1" t="n"/>
      <c r="O3665" s="1" t="n"/>
      <c r="P3665" s="1" t="n"/>
      <c r="Q3665" s="1" t="n"/>
      <c r="R3665" s="1" t="n"/>
    </row>
    <row r="3666">
      <c r="A3666" s="61" t="n"/>
      <c r="B3666" s="16" t="n"/>
      <c r="C3666" s="90" t="n"/>
      <c r="D3666" s="90" t="n"/>
      <c r="E3666" s="90" t="n"/>
      <c r="F3666" s="16" t="n"/>
      <c r="G3666" s="16" t="n"/>
      <c r="H3666" s="63" t="n"/>
      <c r="I3666" s="64" t="n"/>
      <c r="J3666" s="16" t="n"/>
      <c r="K3666" s="16" t="n"/>
      <c r="M3666" s="89" t="n"/>
      <c r="N3666" s="1" t="n"/>
      <c r="O3666" s="1" t="n"/>
      <c r="P3666" s="1" t="n"/>
      <c r="Q3666" s="1" t="n"/>
      <c r="R3666" s="1" t="n"/>
    </row>
    <row r="3667">
      <c r="A3667" s="61" t="n"/>
      <c r="B3667" s="16" t="n"/>
      <c r="C3667" s="90" t="n"/>
      <c r="D3667" s="90" t="n"/>
      <c r="E3667" s="90" t="n"/>
      <c r="F3667" s="16" t="n"/>
      <c r="G3667" s="16" t="n"/>
      <c r="H3667" s="63" t="n"/>
      <c r="I3667" s="64" t="n"/>
      <c r="J3667" s="16" t="n"/>
      <c r="K3667" s="16" t="n"/>
      <c r="M3667" s="89" t="n"/>
      <c r="N3667" s="1" t="n"/>
      <c r="O3667" s="1" t="n"/>
      <c r="P3667" s="1" t="n"/>
      <c r="Q3667" s="1" t="n"/>
      <c r="R3667" s="1" t="n"/>
    </row>
    <row r="3668">
      <c r="A3668" s="61" t="n"/>
      <c r="B3668" s="16" t="n"/>
      <c r="C3668" s="90" t="n"/>
      <c r="D3668" s="90" t="n"/>
      <c r="E3668" s="90" t="n"/>
      <c r="F3668" s="16" t="n"/>
      <c r="G3668" s="16" t="n"/>
      <c r="H3668" s="63" t="n"/>
      <c r="I3668" s="64" t="n"/>
      <c r="J3668" s="16" t="n"/>
      <c r="K3668" s="16" t="n"/>
      <c r="M3668" s="89" t="n"/>
      <c r="N3668" s="1" t="n"/>
      <c r="O3668" s="1" t="n"/>
      <c r="P3668" s="1" t="n"/>
      <c r="Q3668" s="1" t="n"/>
      <c r="R3668" s="1" t="n"/>
    </row>
    <row r="3669">
      <c r="A3669" s="61" t="n"/>
      <c r="B3669" s="16" t="n"/>
      <c r="C3669" s="90" t="n"/>
      <c r="D3669" s="90" t="n"/>
      <c r="E3669" s="90" t="n"/>
      <c r="F3669" s="16" t="n"/>
      <c r="G3669" s="16" t="n"/>
      <c r="H3669" s="63" t="n"/>
      <c r="I3669" s="64" t="n"/>
      <c r="J3669" s="16" t="n"/>
      <c r="K3669" s="16" t="n"/>
      <c r="M3669" s="89" t="n"/>
      <c r="N3669" s="1" t="n"/>
      <c r="O3669" s="1" t="n"/>
      <c r="P3669" s="1" t="n"/>
      <c r="Q3669" s="1" t="n"/>
      <c r="R3669" s="1" t="n"/>
    </row>
    <row r="3670">
      <c r="A3670" s="61" t="n"/>
      <c r="B3670" s="16" t="n"/>
      <c r="C3670" s="90" t="n"/>
      <c r="D3670" s="90" t="n"/>
      <c r="E3670" s="90" t="n"/>
      <c r="F3670" s="16" t="n"/>
      <c r="G3670" s="16" t="n"/>
      <c r="H3670" s="63" t="n"/>
      <c r="I3670" s="64" t="n"/>
      <c r="J3670" s="16" t="n"/>
      <c r="K3670" s="16" t="n"/>
      <c r="M3670" s="89" t="n"/>
      <c r="N3670" s="1" t="n"/>
      <c r="O3670" s="1" t="n"/>
      <c r="P3670" s="1" t="n"/>
      <c r="Q3670" s="1" t="n"/>
      <c r="R3670" s="1" t="n"/>
    </row>
    <row r="3671">
      <c r="A3671" s="61" t="n"/>
      <c r="B3671" s="16" t="n"/>
      <c r="C3671" s="90" t="n"/>
      <c r="D3671" s="90" t="n"/>
      <c r="E3671" s="90" t="n"/>
      <c r="F3671" s="16" t="n"/>
      <c r="G3671" s="16" t="n"/>
      <c r="H3671" s="63" t="n"/>
      <c r="I3671" s="64" t="n"/>
      <c r="J3671" s="16" t="n"/>
      <c r="K3671" s="16" t="n"/>
      <c r="M3671" s="89" t="n"/>
      <c r="N3671" s="1" t="n"/>
      <c r="O3671" s="1" t="n"/>
      <c r="P3671" s="1" t="n"/>
      <c r="Q3671" s="1" t="n"/>
      <c r="R3671" s="1" t="n"/>
    </row>
    <row r="3672">
      <c r="A3672" s="61" t="n"/>
      <c r="B3672" s="16" t="n"/>
      <c r="C3672" s="90" t="n"/>
      <c r="D3672" s="90" t="n"/>
      <c r="E3672" s="90" t="n"/>
      <c r="F3672" s="16" t="n"/>
      <c r="G3672" s="16" t="n"/>
      <c r="H3672" s="63" t="n"/>
      <c r="I3672" s="64" t="n"/>
      <c r="J3672" s="16" t="n"/>
      <c r="K3672" s="16" t="n"/>
      <c r="M3672" s="89" t="n"/>
      <c r="N3672" s="1" t="n"/>
      <c r="O3672" s="1" t="n"/>
      <c r="P3672" s="1" t="n"/>
      <c r="Q3672" s="1" t="n"/>
      <c r="R3672" s="1" t="n"/>
    </row>
    <row r="3673">
      <c r="A3673" s="61" t="n"/>
      <c r="B3673" s="16" t="n"/>
      <c r="C3673" s="90" t="n"/>
      <c r="D3673" s="90" t="n"/>
      <c r="E3673" s="90" t="n"/>
      <c r="F3673" s="16" t="n"/>
      <c r="G3673" s="16" t="n"/>
      <c r="H3673" s="63" t="n"/>
      <c r="I3673" s="64" t="n"/>
      <c r="J3673" s="16" t="n"/>
      <c r="K3673" s="16" t="n"/>
      <c r="M3673" s="89" t="n"/>
      <c r="N3673" s="1" t="n"/>
      <c r="O3673" s="1" t="n"/>
      <c r="P3673" s="1" t="n"/>
      <c r="Q3673" s="1" t="n"/>
      <c r="R3673" s="1" t="n"/>
    </row>
    <row r="3674">
      <c r="A3674" s="61" t="n"/>
      <c r="B3674" s="16" t="n"/>
      <c r="C3674" s="90" t="n"/>
      <c r="D3674" s="90" t="n"/>
      <c r="E3674" s="90" t="n"/>
      <c r="F3674" s="16" t="n"/>
      <c r="G3674" s="16" t="n"/>
      <c r="H3674" s="63" t="n"/>
      <c r="I3674" s="64" t="n"/>
      <c r="J3674" s="16" t="n"/>
      <c r="K3674" s="16" t="n"/>
      <c r="M3674" s="89" t="n"/>
      <c r="N3674" s="1" t="n"/>
      <c r="O3674" s="1" t="n"/>
      <c r="P3674" s="1" t="n"/>
      <c r="Q3674" s="1" t="n"/>
      <c r="R3674" s="1" t="n"/>
    </row>
    <row r="3675">
      <c r="A3675" s="61" t="n"/>
      <c r="B3675" s="16" t="n"/>
      <c r="C3675" s="90" t="n"/>
      <c r="D3675" s="90" t="n"/>
      <c r="E3675" s="90" t="n"/>
      <c r="F3675" s="16" t="n"/>
      <c r="G3675" s="16" t="n"/>
      <c r="H3675" s="63" t="n"/>
      <c r="I3675" s="64" t="n"/>
      <c r="J3675" s="16" t="n"/>
      <c r="K3675" s="16" t="n"/>
      <c r="M3675" s="89" t="n"/>
      <c r="N3675" s="1" t="n"/>
      <c r="O3675" s="1" t="n"/>
      <c r="P3675" s="1" t="n"/>
      <c r="Q3675" s="1" t="n"/>
      <c r="R3675" s="1" t="n"/>
    </row>
    <row r="3676">
      <c r="A3676" s="61" t="n"/>
      <c r="B3676" s="16" t="n"/>
      <c r="C3676" s="90" t="n"/>
      <c r="D3676" s="90" t="n"/>
      <c r="E3676" s="90" t="n"/>
      <c r="F3676" s="16" t="n"/>
      <c r="G3676" s="16" t="n"/>
      <c r="H3676" s="63" t="n"/>
      <c r="I3676" s="64" t="n"/>
      <c r="J3676" s="16" t="n"/>
      <c r="K3676" s="16" t="n"/>
      <c r="M3676" s="89" t="n"/>
      <c r="N3676" s="1" t="n"/>
      <c r="O3676" s="1" t="n"/>
      <c r="P3676" s="1" t="n"/>
      <c r="Q3676" s="1" t="n"/>
      <c r="R3676" s="1" t="n"/>
    </row>
    <row r="3677">
      <c r="A3677" s="61" t="n"/>
      <c r="B3677" s="16" t="n"/>
      <c r="C3677" s="90" t="n"/>
      <c r="D3677" s="90" t="n"/>
      <c r="E3677" s="90" t="n"/>
      <c r="F3677" s="16" t="n"/>
      <c r="G3677" s="16" t="n"/>
      <c r="H3677" s="63" t="n"/>
      <c r="I3677" s="64" t="n"/>
      <c r="J3677" s="16" t="n"/>
      <c r="K3677" s="16" t="n"/>
      <c r="M3677" s="89" t="n"/>
      <c r="N3677" s="1" t="n"/>
      <c r="O3677" s="1" t="n"/>
      <c r="P3677" s="1" t="n"/>
      <c r="Q3677" s="1" t="n"/>
      <c r="R3677" s="1" t="n"/>
    </row>
    <row r="3678">
      <c r="A3678" s="61" t="n"/>
      <c r="B3678" s="16" t="n"/>
      <c r="C3678" s="90" t="n"/>
      <c r="D3678" s="90" t="n"/>
      <c r="E3678" s="90" t="n"/>
      <c r="F3678" s="16" t="n"/>
      <c r="G3678" s="16" t="n"/>
      <c r="H3678" s="63" t="n"/>
      <c r="I3678" s="64" t="n"/>
      <c r="J3678" s="16" t="n"/>
      <c r="K3678" s="16" t="n"/>
      <c r="M3678" s="89" t="n"/>
      <c r="N3678" s="1" t="n"/>
      <c r="O3678" s="1" t="n"/>
      <c r="P3678" s="1" t="n"/>
      <c r="Q3678" s="1" t="n"/>
      <c r="R3678" s="1" t="n"/>
    </row>
    <row r="3679">
      <c r="A3679" s="61" t="n"/>
      <c r="B3679" s="16" t="n"/>
      <c r="C3679" s="90" t="n"/>
      <c r="D3679" s="90" t="n"/>
      <c r="E3679" s="90" t="n"/>
      <c r="F3679" s="16" t="n"/>
      <c r="G3679" s="16" t="n"/>
      <c r="H3679" s="63" t="n"/>
      <c r="I3679" s="64" t="n"/>
      <c r="J3679" s="16" t="n"/>
      <c r="K3679" s="16" t="n"/>
      <c r="M3679" s="89" t="n"/>
      <c r="N3679" s="1" t="n"/>
      <c r="O3679" s="1" t="n"/>
      <c r="P3679" s="1" t="n"/>
      <c r="Q3679" s="1" t="n"/>
      <c r="R3679" s="1" t="n"/>
    </row>
    <row r="3680">
      <c r="A3680" s="61" t="n"/>
      <c r="B3680" s="16" t="n"/>
      <c r="C3680" s="90" t="n"/>
      <c r="D3680" s="90" t="n"/>
      <c r="E3680" s="90" t="n"/>
      <c r="F3680" s="16" t="n"/>
      <c r="G3680" s="16" t="n"/>
      <c r="H3680" s="63" t="n"/>
      <c r="I3680" s="64" t="n"/>
      <c r="J3680" s="16" t="n"/>
      <c r="K3680" s="16" t="n"/>
      <c r="M3680" s="89" t="n"/>
      <c r="N3680" s="1" t="n"/>
      <c r="O3680" s="1" t="n"/>
      <c r="P3680" s="1" t="n"/>
      <c r="Q3680" s="1" t="n"/>
      <c r="R3680" s="1" t="n"/>
    </row>
    <row r="3681">
      <c r="A3681" s="61" t="n"/>
      <c r="B3681" s="16" t="n"/>
      <c r="C3681" s="90" t="n"/>
      <c r="D3681" s="90" t="n"/>
      <c r="E3681" s="90" t="n"/>
      <c r="F3681" s="16" t="n"/>
      <c r="G3681" s="16" t="n"/>
      <c r="H3681" s="63" t="n"/>
      <c r="I3681" s="64" t="n"/>
      <c r="J3681" s="16" t="n"/>
      <c r="K3681" s="16" t="n"/>
      <c r="M3681" s="89" t="n"/>
      <c r="N3681" s="1" t="n"/>
      <c r="O3681" s="1" t="n"/>
      <c r="P3681" s="1" t="n"/>
      <c r="Q3681" s="1" t="n"/>
      <c r="R3681" s="1" t="n"/>
    </row>
    <row r="3682">
      <c r="A3682" s="61" t="n"/>
      <c r="B3682" s="16" t="n"/>
      <c r="C3682" s="90" t="n"/>
      <c r="D3682" s="90" t="n"/>
      <c r="E3682" s="90" t="n"/>
      <c r="F3682" s="16" t="n"/>
      <c r="G3682" s="16" t="n"/>
      <c r="H3682" s="63" t="n"/>
      <c r="I3682" s="64" t="n"/>
      <c r="J3682" s="16" t="n"/>
      <c r="K3682" s="16" t="n"/>
      <c r="M3682" s="89" t="n"/>
      <c r="N3682" s="1" t="n"/>
      <c r="O3682" s="1" t="n"/>
      <c r="P3682" s="1" t="n"/>
      <c r="Q3682" s="1" t="n"/>
      <c r="R3682" s="1" t="n"/>
    </row>
    <row r="3683">
      <c r="A3683" s="61" t="n"/>
      <c r="B3683" s="16" t="n"/>
      <c r="C3683" s="90" t="n"/>
      <c r="D3683" s="90" t="n"/>
      <c r="E3683" s="90" t="n"/>
      <c r="F3683" s="16" t="n"/>
      <c r="G3683" s="16" t="n"/>
      <c r="H3683" s="63" t="n"/>
      <c r="I3683" s="64" t="n"/>
      <c r="J3683" s="16" t="n"/>
      <c r="K3683" s="16" t="n"/>
      <c r="M3683" s="89" t="n"/>
      <c r="N3683" s="1" t="n"/>
      <c r="O3683" s="1" t="n"/>
      <c r="P3683" s="1" t="n"/>
      <c r="Q3683" s="1" t="n"/>
      <c r="R3683" s="1" t="n"/>
    </row>
    <row r="3684">
      <c r="A3684" s="61" t="n"/>
      <c r="B3684" s="16" t="n"/>
      <c r="C3684" s="90" t="n"/>
      <c r="D3684" s="90" t="n"/>
      <c r="E3684" s="90" t="n"/>
      <c r="F3684" s="16" t="n"/>
      <c r="G3684" s="16" t="n"/>
      <c r="H3684" s="63" t="n"/>
      <c r="I3684" s="64" t="n"/>
      <c r="J3684" s="16" t="n"/>
      <c r="K3684" s="16" t="n"/>
      <c r="M3684" s="89" t="n"/>
      <c r="N3684" s="1" t="n"/>
      <c r="O3684" s="1" t="n"/>
      <c r="P3684" s="1" t="n"/>
      <c r="Q3684" s="1" t="n"/>
      <c r="R3684" s="1" t="n"/>
    </row>
    <row r="3685">
      <c r="A3685" s="61" t="n"/>
      <c r="B3685" s="16" t="n"/>
      <c r="C3685" s="90" t="n"/>
      <c r="D3685" s="90" t="n"/>
      <c r="E3685" s="90" t="n"/>
      <c r="F3685" s="16" t="n"/>
      <c r="G3685" s="16" t="n"/>
      <c r="H3685" s="63" t="n"/>
      <c r="I3685" s="64" t="n"/>
      <c r="J3685" s="16" t="n"/>
      <c r="K3685" s="16" t="n"/>
      <c r="M3685" s="89" t="n"/>
      <c r="N3685" s="1" t="n"/>
      <c r="O3685" s="1" t="n"/>
      <c r="P3685" s="1" t="n"/>
      <c r="Q3685" s="1" t="n"/>
      <c r="R3685" s="1" t="n"/>
    </row>
    <row r="3686">
      <c r="A3686" s="61" t="n"/>
      <c r="B3686" s="16" t="n"/>
      <c r="C3686" s="90" t="n"/>
      <c r="D3686" s="90" t="n"/>
      <c r="E3686" s="90" t="n"/>
      <c r="F3686" s="16" t="n"/>
      <c r="G3686" s="16" t="n"/>
      <c r="H3686" s="63" t="n"/>
      <c r="I3686" s="64" t="n"/>
      <c r="J3686" s="16" t="n"/>
      <c r="K3686" s="16" t="n"/>
      <c r="M3686" s="89" t="n"/>
      <c r="N3686" s="1" t="n"/>
      <c r="O3686" s="1" t="n"/>
      <c r="P3686" s="1" t="n"/>
      <c r="Q3686" s="1" t="n"/>
      <c r="R3686" s="1" t="n"/>
    </row>
    <row r="3687">
      <c r="A3687" s="61" t="n"/>
      <c r="B3687" s="16" t="n"/>
      <c r="C3687" s="90" t="n"/>
      <c r="D3687" s="90" t="n"/>
      <c r="E3687" s="90" t="n"/>
      <c r="F3687" s="16" t="n"/>
      <c r="G3687" s="16" t="n"/>
      <c r="H3687" s="63" t="n"/>
      <c r="I3687" s="64" t="n"/>
      <c r="J3687" s="16" t="n"/>
      <c r="K3687" s="16" t="n"/>
      <c r="M3687" s="89" t="n"/>
      <c r="N3687" s="1" t="n"/>
      <c r="O3687" s="1" t="n"/>
      <c r="P3687" s="1" t="n"/>
      <c r="Q3687" s="1" t="n"/>
      <c r="R3687" s="1" t="n"/>
    </row>
    <row r="3688">
      <c r="A3688" s="61" t="n"/>
      <c r="B3688" s="16" t="n"/>
      <c r="C3688" s="90" t="n"/>
      <c r="D3688" s="90" t="n"/>
      <c r="E3688" s="90" t="n"/>
      <c r="F3688" s="16" t="n"/>
      <c r="G3688" s="16" t="n"/>
      <c r="H3688" s="63" t="n"/>
      <c r="I3688" s="64" t="n"/>
      <c r="J3688" s="16" t="n"/>
      <c r="K3688" s="16" t="n"/>
      <c r="M3688" s="89" t="n"/>
      <c r="N3688" s="1" t="n"/>
      <c r="O3688" s="1" t="n"/>
      <c r="P3688" s="1" t="n"/>
      <c r="Q3688" s="1" t="n"/>
      <c r="R3688" s="1" t="n"/>
    </row>
    <row r="3689">
      <c r="A3689" s="61" t="n"/>
      <c r="B3689" s="16" t="n"/>
      <c r="C3689" s="90" t="n"/>
      <c r="D3689" s="90" t="n"/>
      <c r="E3689" s="90" t="n"/>
      <c r="F3689" s="16" t="n"/>
      <c r="G3689" s="16" t="n"/>
      <c r="H3689" s="63" t="n"/>
      <c r="I3689" s="64" t="n"/>
      <c r="J3689" s="16" t="n"/>
      <c r="K3689" s="16" t="n"/>
      <c r="M3689" s="89" t="n"/>
      <c r="N3689" s="1" t="n"/>
      <c r="O3689" s="1" t="n"/>
      <c r="P3689" s="1" t="n"/>
      <c r="Q3689" s="1" t="n"/>
      <c r="R3689" s="1" t="n"/>
    </row>
    <row r="3690">
      <c r="A3690" s="61" t="n"/>
      <c r="B3690" s="16" t="n"/>
      <c r="C3690" s="90" t="n"/>
      <c r="D3690" s="90" t="n"/>
      <c r="E3690" s="90" t="n"/>
      <c r="F3690" s="16" t="n"/>
      <c r="G3690" s="16" t="n"/>
      <c r="H3690" s="63" t="n"/>
      <c r="I3690" s="64" t="n"/>
      <c r="J3690" s="16" t="n"/>
      <c r="K3690" s="16" t="n"/>
      <c r="M3690" s="89" t="n"/>
      <c r="N3690" s="1" t="n"/>
      <c r="O3690" s="1" t="n"/>
      <c r="P3690" s="1" t="n"/>
      <c r="Q3690" s="1" t="n"/>
      <c r="R3690" s="1" t="n"/>
    </row>
    <row r="3691">
      <c r="A3691" s="61" t="n"/>
      <c r="B3691" s="16" t="n"/>
      <c r="C3691" s="90" t="n"/>
      <c r="D3691" s="90" t="n"/>
      <c r="E3691" s="90" t="n"/>
      <c r="F3691" s="16" t="n"/>
      <c r="G3691" s="16" t="n"/>
      <c r="H3691" s="63" t="n"/>
      <c r="I3691" s="64" t="n"/>
      <c r="J3691" s="16" t="n"/>
      <c r="K3691" s="16" t="n"/>
      <c r="M3691" s="89" t="n"/>
      <c r="N3691" s="1" t="n"/>
      <c r="O3691" s="1" t="n"/>
      <c r="P3691" s="1" t="n"/>
      <c r="Q3691" s="1" t="n"/>
      <c r="R3691" s="1" t="n"/>
    </row>
    <row r="3692">
      <c r="A3692" s="61" t="n"/>
      <c r="B3692" s="16" t="n"/>
      <c r="C3692" s="90" t="n"/>
      <c r="D3692" s="90" t="n"/>
      <c r="E3692" s="90" t="n"/>
      <c r="F3692" s="16" t="n"/>
      <c r="G3692" s="16" t="n"/>
      <c r="H3692" s="63" t="n"/>
      <c r="I3692" s="64" t="n"/>
      <c r="J3692" s="16" t="n"/>
      <c r="K3692" s="16" t="n"/>
      <c r="M3692" s="89" t="n"/>
      <c r="N3692" s="1" t="n"/>
      <c r="O3692" s="1" t="n"/>
      <c r="P3692" s="1" t="n"/>
      <c r="Q3692" s="1" t="n"/>
      <c r="R3692" s="1" t="n"/>
    </row>
    <row r="3693">
      <c r="A3693" s="61" t="n"/>
      <c r="B3693" s="16" t="n"/>
      <c r="C3693" s="90" t="n"/>
      <c r="D3693" s="90" t="n"/>
      <c r="E3693" s="90" t="n"/>
      <c r="F3693" s="16" t="n"/>
      <c r="G3693" s="16" t="n"/>
      <c r="H3693" s="63" t="n"/>
      <c r="I3693" s="64" t="n"/>
      <c r="J3693" s="16" t="n"/>
      <c r="K3693" s="16" t="n"/>
      <c r="M3693" s="89" t="n"/>
      <c r="N3693" s="1" t="n"/>
      <c r="O3693" s="1" t="n"/>
      <c r="P3693" s="1" t="n"/>
      <c r="Q3693" s="1" t="n"/>
      <c r="R3693" s="1" t="n"/>
    </row>
    <row r="3694">
      <c r="A3694" s="61" t="n"/>
      <c r="B3694" s="16" t="n"/>
      <c r="C3694" s="90" t="n"/>
      <c r="D3694" s="90" t="n"/>
      <c r="E3694" s="90" t="n"/>
      <c r="F3694" s="16" t="n"/>
      <c r="G3694" s="16" t="n"/>
      <c r="H3694" s="63" t="n"/>
      <c r="I3694" s="64" t="n"/>
      <c r="J3694" s="16" t="n"/>
      <c r="K3694" s="16" t="n"/>
      <c r="M3694" s="89" t="n"/>
      <c r="N3694" s="1" t="n"/>
      <c r="O3694" s="1" t="n"/>
      <c r="P3694" s="1" t="n"/>
      <c r="Q3694" s="1" t="n"/>
      <c r="R3694" s="1" t="n"/>
    </row>
    <row r="3695">
      <c r="A3695" s="61" t="n"/>
      <c r="B3695" s="16" t="n"/>
      <c r="C3695" s="90" t="n"/>
      <c r="D3695" s="90" t="n"/>
      <c r="E3695" s="90" t="n"/>
      <c r="F3695" s="16" t="n"/>
      <c r="G3695" s="16" t="n"/>
      <c r="H3695" s="63" t="n"/>
      <c r="I3695" s="64" t="n"/>
      <c r="J3695" s="16" t="n"/>
      <c r="K3695" s="16" t="n"/>
      <c r="M3695" s="89" t="n"/>
      <c r="N3695" s="1" t="n"/>
      <c r="O3695" s="1" t="n"/>
      <c r="P3695" s="1" t="n"/>
      <c r="Q3695" s="1" t="n"/>
      <c r="R3695" s="1" t="n"/>
    </row>
    <row r="3696">
      <c r="A3696" s="61" t="n"/>
      <c r="B3696" s="16" t="n"/>
      <c r="C3696" s="90" t="n"/>
      <c r="D3696" s="90" t="n"/>
      <c r="E3696" s="90" t="n"/>
      <c r="F3696" s="16" t="n"/>
      <c r="G3696" s="16" t="n"/>
      <c r="H3696" s="63" t="n"/>
      <c r="I3696" s="64" t="n"/>
      <c r="J3696" s="16" t="n"/>
      <c r="K3696" s="16" t="n"/>
      <c r="M3696" s="89" t="n"/>
      <c r="N3696" s="1" t="n"/>
      <c r="O3696" s="1" t="n"/>
      <c r="P3696" s="1" t="n"/>
      <c r="Q3696" s="1" t="n"/>
      <c r="R3696" s="1" t="n"/>
    </row>
    <row r="3697">
      <c r="A3697" s="61" t="n"/>
      <c r="B3697" s="16" t="n"/>
      <c r="C3697" s="90" t="n"/>
      <c r="D3697" s="90" t="n"/>
      <c r="E3697" s="90" t="n"/>
      <c r="F3697" s="16" t="n"/>
      <c r="G3697" s="16" t="n"/>
      <c r="H3697" s="63" t="n"/>
      <c r="I3697" s="64" t="n"/>
      <c r="J3697" s="16" t="n"/>
      <c r="K3697" s="16" t="n"/>
      <c r="M3697" s="89" t="n"/>
      <c r="N3697" s="1" t="n"/>
      <c r="O3697" s="1" t="n"/>
      <c r="P3697" s="1" t="n"/>
      <c r="Q3697" s="1" t="n"/>
      <c r="R3697" s="1" t="n"/>
    </row>
    <row r="3698">
      <c r="A3698" s="61" t="n"/>
      <c r="B3698" s="16" t="n"/>
      <c r="C3698" s="90" t="n"/>
      <c r="D3698" s="90" t="n"/>
      <c r="E3698" s="90" t="n"/>
      <c r="F3698" s="16" t="n"/>
      <c r="G3698" s="16" t="n"/>
      <c r="H3698" s="63" t="n"/>
      <c r="I3698" s="64" t="n"/>
      <c r="J3698" s="16" t="n"/>
      <c r="K3698" s="16" t="n"/>
      <c r="M3698" s="89" t="n"/>
      <c r="N3698" s="1" t="n"/>
      <c r="O3698" s="1" t="n"/>
      <c r="P3698" s="1" t="n"/>
      <c r="Q3698" s="1" t="n"/>
      <c r="R3698" s="1" t="n"/>
    </row>
    <row r="3699">
      <c r="A3699" s="61" t="n"/>
      <c r="B3699" s="16" t="n"/>
      <c r="C3699" s="90" t="n"/>
      <c r="D3699" s="90" t="n"/>
      <c r="E3699" s="90" t="n"/>
      <c r="F3699" s="16" t="n"/>
      <c r="G3699" s="16" t="n"/>
      <c r="H3699" s="63" t="n"/>
      <c r="I3699" s="64" t="n"/>
      <c r="J3699" s="16" t="n"/>
      <c r="K3699" s="16" t="n"/>
      <c r="M3699" s="89" t="n"/>
      <c r="N3699" s="1" t="n"/>
      <c r="O3699" s="1" t="n"/>
      <c r="P3699" s="1" t="n"/>
      <c r="Q3699" s="1" t="n"/>
      <c r="R3699" s="1" t="n"/>
    </row>
    <row r="3700">
      <c r="A3700" s="61" t="n"/>
      <c r="B3700" s="16" t="n"/>
      <c r="C3700" s="90" t="n"/>
      <c r="D3700" s="90" t="n"/>
      <c r="E3700" s="90" t="n"/>
      <c r="F3700" s="16" t="n"/>
      <c r="G3700" s="16" t="n"/>
      <c r="H3700" s="63" t="n"/>
      <c r="I3700" s="64" t="n"/>
      <c r="J3700" s="16" t="n"/>
      <c r="K3700" s="16" t="n"/>
      <c r="M3700" s="89" t="n"/>
      <c r="N3700" s="1" t="n"/>
      <c r="O3700" s="1" t="n"/>
      <c r="P3700" s="1" t="n"/>
      <c r="Q3700" s="1" t="n"/>
      <c r="R3700" s="1" t="n"/>
    </row>
    <row r="3701">
      <c r="A3701" s="61" t="n"/>
      <c r="B3701" s="16" t="n"/>
      <c r="C3701" s="90" t="n"/>
      <c r="D3701" s="90" t="n"/>
      <c r="E3701" s="90" t="n"/>
      <c r="F3701" s="16" t="n"/>
      <c r="G3701" s="16" t="n"/>
      <c r="H3701" s="63" t="n"/>
      <c r="I3701" s="64" t="n"/>
      <c r="J3701" s="16" t="n"/>
      <c r="K3701" s="16" t="n"/>
      <c r="M3701" s="89" t="n"/>
      <c r="N3701" s="1" t="n"/>
      <c r="O3701" s="1" t="n"/>
      <c r="P3701" s="1" t="n"/>
      <c r="Q3701" s="1" t="n"/>
      <c r="R3701" s="1" t="n"/>
    </row>
    <row r="3702">
      <c r="A3702" s="61" t="n"/>
      <c r="B3702" s="16" t="n"/>
      <c r="C3702" s="90" t="n"/>
      <c r="D3702" s="90" t="n"/>
      <c r="E3702" s="90" t="n"/>
      <c r="F3702" s="16" t="n"/>
      <c r="G3702" s="16" t="n"/>
      <c r="H3702" s="63" t="n"/>
      <c r="I3702" s="64" t="n"/>
      <c r="J3702" s="16" t="n"/>
      <c r="K3702" s="16" t="n"/>
      <c r="M3702" s="89" t="n"/>
      <c r="N3702" s="1" t="n"/>
      <c r="O3702" s="1" t="n"/>
      <c r="P3702" s="1" t="n"/>
      <c r="Q3702" s="1" t="n"/>
      <c r="R3702" s="1" t="n"/>
    </row>
    <row r="3703">
      <c r="A3703" s="61" t="n"/>
      <c r="B3703" s="16" t="n"/>
      <c r="C3703" s="90" t="n"/>
      <c r="D3703" s="90" t="n"/>
      <c r="E3703" s="90" t="n"/>
      <c r="F3703" s="16" t="n"/>
      <c r="G3703" s="16" t="n"/>
      <c r="H3703" s="63" t="n"/>
      <c r="I3703" s="64" t="n"/>
      <c r="J3703" s="16" t="n"/>
      <c r="K3703" s="16" t="n"/>
      <c r="M3703" s="89" t="n"/>
      <c r="N3703" s="1" t="n"/>
      <c r="O3703" s="1" t="n"/>
      <c r="P3703" s="1" t="n"/>
      <c r="Q3703" s="1" t="n"/>
      <c r="R3703" s="1" t="n"/>
    </row>
    <row r="3704">
      <c r="A3704" s="61" t="n"/>
      <c r="B3704" s="16" t="n"/>
      <c r="C3704" s="90" t="n"/>
      <c r="D3704" s="90" t="n"/>
      <c r="E3704" s="90" t="n"/>
      <c r="F3704" s="16" t="n"/>
      <c r="G3704" s="16" t="n"/>
      <c r="H3704" s="63" t="n"/>
      <c r="I3704" s="64" t="n"/>
      <c r="J3704" s="16" t="n"/>
      <c r="K3704" s="16" t="n"/>
      <c r="M3704" s="89" t="n"/>
      <c r="N3704" s="1" t="n"/>
      <c r="O3704" s="1" t="n"/>
      <c r="P3704" s="1" t="n"/>
      <c r="Q3704" s="1" t="n"/>
      <c r="R3704" s="1" t="n"/>
    </row>
    <row r="3705">
      <c r="A3705" s="61" t="n"/>
      <c r="B3705" s="16" t="n"/>
      <c r="C3705" s="90" t="n"/>
      <c r="D3705" s="90" t="n"/>
      <c r="E3705" s="90" t="n"/>
      <c r="F3705" s="16" t="n"/>
      <c r="G3705" s="16" t="n"/>
      <c r="H3705" s="63" t="n"/>
      <c r="I3705" s="64" t="n"/>
      <c r="J3705" s="16" t="n"/>
      <c r="K3705" s="16" t="n"/>
      <c r="M3705" s="89" t="n"/>
      <c r="N3705" s="1" t="n"/>
      <c r="O3705" s="1" t="n"/>
      <c r="P3705" s="1" t="n"/>
      <c r="Q3705" s="1" t="n"/>
      <c r="R3705" s="1" t="n"/>
    </row>
    <row r="3706">
      <c r="A3706" s="61" t="n"/>
      <c r="B3706" s="16" t="n"/>
      <c r="C3706" s="90" t="n"/>
      <c r="D3706" s="90" t="n"/>
      <c r="E3706" s="90" t="n"/>
      <c r="F3706" s="16" t="n"/>
      <c r="G3706" s="16" t="n"/>
      <c r="H3706" s="63" t="n"/>
      <c r="I3706" s="64" t="n"/>
      <c r="J3706" s="16" t="n"/>
      <c r="K3706" s="16" t="n"/>
      <c r="M3706" s="89" t="n"/>
      <c r="N3706" s="1" t="n"/>
      <c r="O3706" s="1" t="n"/>
      <c r="P3706" s="1" t="n"/>
      <c r="Q3706" s="1" t="n"/>
      <c r="R3706" s="1" t="n"/>
    </row>
    <row r="3707">
      <c r="A3707" s="61" t="n"/>
      <c r="B3707" s="16" t="n"/>
      <c r="C3707" s="90" t="n"/>
      <c r="D3707" s="90" t="n"/>
      <c r="E3707" s="90" t="n"/>
      <c r="F3707" s="16" t="n"/>
      <c r="G3707" s="16" t="n"/>
      <c r="H3707" s="63" t="n"/>
      <c r="I3707" s="64" t="n"/>
      <c r="J3707" s="16" t="n"/>
      <c r="K3707" s="16" t="n"/>
      <c r="M3707" s="89" t="n"/>
      <c r="N3707" s="1" t="n"/>
      <c r="O3707" s="1" t="n"/>
      <c r="P3707" s="1" t="n"/>
      <c r="Q3707" s="1" t="n"/>
      <c r="R3707" s="1" t="n"/>
    </row>
    <row r="3708">
      <c r="A3708" s="61" t="n"/>
      <c r="B3708" s="16" t="n"/>
      <c r="C3708" s="90" t="n"/>
      <c r="D3708" s="90" t="n"/>
      <c r="E3708" s="90" t="n"/>
      <c r="F3708" s="16" t="n"/>
      <c r="G3708" s="16" t="n"/>
      <c r="H3708" s="63" t="n"/>
      <c r="I3708" s="64" t="n"/>
      <c r="J3708" s="16" t="n"/>
      <c r="K3708" s="16" t="n"/>
      <c r="M3708" s="89" t="n"/>
      <c r="N3708" s="1" t="n"/>
      <c r="O3708" s="1" t="n"/>
      <c r="P3708" s="1" t="n"/>
      <c r="Q3708" s="1" t="n"/>
      <c r="R3708" s="1" t="n"/>
    </row>
    <row r="3709">
      <c r="A3709" s="61" t="n"/>
      <c r="B3709" s="16" t="n"/>
      <c r="C3709" s="90" t="n"/>
      <c r="D3709" s="90" t="n"/>
      <c r="E3709" s="90" t="n"/>
      <c r="F3709" s="16" t="n"/>
      <c r="G3709" s="16" t="n"/>
      <c r="H3709" s="63" t="n"/>
      <c r="I3709" s="64" t="n"/>
      <c r="J3709" s="16" t="n"/>
      <c r="K3709" s="16" t="n"/>
      <c r="M3709" s="89" t="n"/>
      <c r="N3709" s="1" t="n"/>
      <c r="O3709" s="1" t="n"/>
      <c r="P3709" s="1" t="n"/>
      <c r="Q3709" s="1" t="n"/>
      <c r="R3709" s="1" t="n"/>
    </row>
    <row r="3710">
      <c r="A3710" s="61" t="n"/>
      <c r="B3710" s="16" t="n"/>
      <c r="C3710" s="90" t="n"/>
      <c r="D3710" s="90" t="n"/>
      <c r="E3710" s="90" t="n"/>
      <c r="F3710" s="16" t="n"/>
      <c r="G3710" s="16" t="n"/>
      <c r="H3710" s="63" t="n"/>
      <c r="I3710" s="64" t="n"/>
      <c r="J3710" s="16" t="n"/>
      <c r="K3710" s="16" t="n"/>
      <c r="M3710" s="89" t="n"/>
      <c r="N3710" s="1" t="n"/>
      <c r="O3710" s="1" t="n"/>
      <c r="P3710" s="1" t="n"/>
      <c r="Q3710" s="1" t="n"/>
      <c r="R3710" s="1" t="n"/>
    </row>
    <row r="3711">
      <c r="A3711" s="61" t="n"/>
      <c r="B3711" s="16" t="n"/>
      <c r="C3711" s="90" t="n"/>
      <c r="D3711" s="90" t="n"/>
      <c r="E3711" s="90" t="n"/>
      <c r="F3711" s="16" t="n"/>
      <c r="G3711" s="16" t="n"/>
      <c r="H3711" s="63" t="n"/>
      <c r="I3711" s="64" t="n"/>
      <c r="J3711" s="16" t="n"/>
      <c r="K3711" s="16" t="n"/>
      <c r="M3711" s="89" t="n"/>
      <c r="N3711" s="1" t="n"/>
      <c r="O3711" s="1" t="n"/>
      <c r="P3711" s="1" t="n"/>
      <c r="Q3711" s="1" t="n"/>
      <c r="R3711" s="1" t="n"/>
    </row>
    <row r="3712">
      <c r="A3712" s="61" t="n"/>
      <c r="B3712" s="16" t="n"/>
      <c r="C3712" s="90" t="n"/>
      <c r="D3712" s="90" t="n"/>
      <c r="E3712" s="90" t="n"/>
      <c r="F3712" s="16" t="n"/>
      <c r="G3712" s="16" t="n"/>
      <c r="H3712" s="63" t="n"/>
      <c r="I3712" s="64" t="n"/>
      <c r="J3712" s="16" t="n"/>
      <c r="K3712" s="16" t="n"/>
      <c r="M3712" s="89" t="n"/>
      <c r="N3712" s="1" t="n"/>
      <c r="O3712" s="1" t="n"/>
      <c r="P3712" s="1" t="n"/>
      <c r="Q3712" s="1" t="n"/>
      <c r="R3712" s="1" t="n"/>
    </row>
    <row r="3713">
      <c r="A3713" s="61" t="n"/>
      <c r="B3713" s="16" t="n"/>
      <c r="C3713" s="90" t="n"/>
      <c r="D3713" s="90" t="n"/>
      <c r="E3713" s="90" t="n"/>
      <c r="F3713" s="16" t="n"/>
      <c r="G3713" s="16" t="n"/>
      <c r="H3713" s="63" t="n"/>
      <c r="I3713" s="64" t="n"/>
      <c r="J3713" s="16" t="n"/>
      <c r="K3713" s="16" t="n"/>
      <c r="M3713" s="89" t="n"/>
      <c r="N3713" s="1" t="n"/>
      <c r="O3713" s="1" t="n"/>
      <c r="P3713" s="1" t="n"/>
      <c r="Q3713" s="1" t="n"/>
      <c r="R3713" s="1" t="n"/>
    </row>
    <row r="3714">
      <c r="A3714" s="61" t="n"/>
      <c r="B3714" s="16" t="n"/>
      <c r="C3714" s="90" t="n"/>
      <c r="D3714" s="90" t="n"/>
      <c r="E3714" s="90" t="n"/>
      <c r="F3714" s="16" t="n"/>
      <c r="G3714" s="16" t="n"/>
      <c r="H3714" s="63" t="n"/>
      <c r="I3714" s="64" t="n"/>
      <c r="J3714" s="16" t="n"/>
      <c r="K3714" s="16" t="n"/>
      <c r="M3714" s="89" t="n"/>
      <c r="N3714" s="1" t="n"/>
      <c r="O3714" s="1" t="n"/>
      <c r="P3714" s="1" t="n"/>
      <c r="Q3714" s="1" t="n"/>
      <c r="R3714" s="1" t="n"/>
    </row>
    <row r="3715">
      <c r="A3715" s="61" t="n"/>
      <c r="B3715" s="16" t="n"/>
      <c r="C3715" s="90" t="n"/>
      <c r="D3715" s="90" t="n"/>
      <c r="E3715" s="90" t="n"/>
      <c r="F3715" s="16" t="n"/>
      <c r="G3715" s="16" t="n"/>
      <c r="H3715" s="63" t="n"/>
      <c r="I3715" s="64" t="n"/>
      <c r="J3715" s="16" t="n"/>
      <c r="K3715" s="16" t="n"/>
      <c r="M3715" s="89" t="n"/>
      <c r="N3715" s="1" t="n"/>
      <c r="O3715" s="1" t="n"/>
      <c r="P3715" s="1" t="n"/>
      <c r="Q3715" s="1" t="n"/>
      <c r="R3715" s="1" t="n"/>
    </row>
    <row r="3716">
      <c r="A3716" s="61" t="n"/>
      <c r="B3716" s="16" t="n"/>
      <c r="C3716" s="90" t="n"/>
      <c r="D3716" s="90" t="n"/>
      <c r="E3716" s="90" t="n"/>
      <c r="F3716" s="16" t="n"/>
      <c r="G3716" s="16" t="n"/>
      <c r="H3716" s="63" t="n"/>
      <c r="I3716" s="64" t="n"/>
      <c r="J3716" s="16" t="n"/>
      <c r="K3716" s="16" t="n"/>
      <c r="M3716" s="89" t="n"/>
      <c r="N3716" s="1" t="n"/>
      <c r="O3716" s="1" t="n"/>
      <c r="P3716" s="1" t="n"/>
      <c r="Q3716" s="1" t="n"/>
      <c r="R3716" s="1" t="n"/>
    </row>
    <row r="3717">
      <c r="A3717" s="61" t="n"/>
      <c r="B3717" s="16" t="n"/>
      <c r="C3717" s="90" t="n"/>
      <c r="D3717" s="90" t="n"/>
      <c r="E3717" s="90" t="n"/>
      <c r="F3717" s="16" t="n"/>
      <c r="G3717" s="16" t="n"/>
      <c r="H3717" s="63" t="n"/>
      <c r="I3717" s="64" t="n"/>
      <c r="J3717" s="16" t="n"/>
      <c r="K3717" s="16" t="n"/>
      <c r="M3717" s="89" t="n"/>
      <c r="N3717" s="1" t="n"/>
      <c r="O3717" s="1" t="n"/>
      <c r="P3717" s="1" t="n"/>
      <c r="Q3717" s="1" t="n"/>
      <c r="R3717" s="1" t="n"/>
    </row>
    <row r="3718">
      <c r="A3718" s="61" t="n"/>
      <c r="B3718" s="16" t="n"/>
      <c r="C3718" s="90" t="n"/>
      <c r="D3718" s="90" t="n"/>
      <c r="E3718" s="90" t="n"/>
      <c r="F3718" s="16" t="n"/>
      <c r="G3718" s="16" t="n"/>
      <c r="H3718" s="63" t="n"/>
      <c r="I3718" s="64" t="n"/>
      <c r="J3718" s="16" t="n"/>
      <c r="K3718" s="16" t="n"/>
      <c r="M3718" s="89" t="n"/>
      <c r="N3718" s="1" t="n"/>
      <c r="O3718" s="1" t="n"/>
      <c r="P3718" s="1" t="n"/>
      <c r="Q3718" s="1" t="n"/>
      <c r="R3718" s="1" t="n"/>
    </row>
    <row r="3719">
      <c r="A3719" s="61" t="n"/>
      <c r="B3719" s="16" t="n"/>
      <c r="C3719" s="90" t="n"/>
      <c r="D3719" s="90" t="n"/>
      <c r="E3719" s="90" t="n"/>
      <c r="F3719" s="16" t="n"/>
      <c r="G3719" s="16" t="n"/>
      <c r="H3719" s="63" t="n"/>
      <c r="I3719" s="64" t="n"/>
      <c r="J3719" s="16" t="n"/>
      <c r="K3719" s="16" t="n"/>
      <c r="M3719" s="89" t="n"/>
      <c r="N3719" s="1" t="n"/>
      <c r="O3719" s="1" t="n"/>
      <c r="P3719" s="1" t="n"/>
      <c r="Q3719" s="1" t="n"/>
      <c r="R3719" s="1" t="n"/>
    </row>
    <row r="3720">
      <c r="A3720" s="61" t="n"/>
      <c r="B3720" s="16" t="n"/>
      <c r="C3720" s="90" t="n"/>
      <c r="D3720" s="90" t="n"/>
      <c r="E3720" s="90" t="n"/>
      <c r="F3720" s="16" t="n"/>
      <c r="G3720" s="16" t="n"/>
      <c r="H3720" s="63" t="n"/>
      <c r="I3720" s="64" t="n"/>
      <c r="J3720" s="16" t="n"/>
      <c r="K3720" s="16" t="n"/>
      <c r="M3720" s="89" t="n"/>
      <c r="N3720" s="1" t="n"/>
      <c r="O3720" s="1" t="n"/>
      <c r="P3720" s="1" t="n"/>
      <c r="Q3720" s="1" t="n"/>
      <c r="R3720" s="1" t="n"/>
    </row>
    <row r="3721">
      <c r="A3721" s="61" t="n"/>
      <c r="B3721" s="16" t="n"/>
      <c r="C3721" s="90" t="n"/>
      <c r="D3721" s="90" t="n"/>
      <c r="E3721" s="90" t="n"/>
      <c r="F3721" s="16" t="n"/>
      <c r="G3721" s="16" t="n"/>
      <c r="H3721" s="63" t="n"/>
      <c r="I3721" s="64" t="n"/>
      <c r="J3721" s="16" t="n"/>
      <c r="K3721" s="16" t="n"/>
      <c r="M3721" s="89" t="n"/>
      <c r="N3721" s="1" t="n"/>
      <c r="O3721" s="1" t="n"/>
      <c r="P3721" s="1" t="n"/>
      <c r="Q3721" s="1" t="n"/>
      <c r="R3721" s="1" t="n"/>
    </row>
    <row r="3722">
      <c r="A3722" s="61" t="n"/>
      <c r="B3722" s="16" t="n"/>
      <c r="C3722" s="90" t="n"/>
      <c r="D3722" s="90" t="n"/>
      <c r="E3722" s="90" t="n"/>
      <c r="F3722" s="16" t="n"/>
      <c r="G3722" s="16" t="n"/>
      <c r="H3722" s="63" t="n"/>
      <c r="I3722" s="64" t="n"/>
      <c r="J3722" s="16" t="n"/>
      <c r="K3722" s="16" t="n"/>
      <c r="M3722" s="89" t="n"/>
      <c r="N3722" s="1" t="n"/>
      <c r="O3722" s="1" t="n"/>
      <c r="P3722" s="1" t="n"/>
      <c r="Q3722" s="1" t="n"/>
      <c r="R3722" s="1" t="n"/>
    </row>
    <row r="3723">
      <c r="A3723" s="61" t="n"/>
      <c r="B3723" s="16" t="n"/>
      <c r="C3723" s="90" t="n"/>
      <c r="D3723" s="90" t="n"/>
      <c r="E3723" s="90" t="n"/>
      <c r="F3723" s="16" t="n"/>
      <c r="G3723" s="16" t="n"/>
      <c r="H3723" s="63" t="n"/>
      <c r="I3723" s="64" t="n"/>
      <c r="J3723" s="16" t="n"/>
      <c r="K3723" s="16" t="n"/>
      <c r="M3723" s="89" t="n"/>
      <c r="N3723" s="1" t="n"/>
      <c r="O3723" s="1" t="n"/>
      <c r="P3723" s="1" t="n"/>
      <c r="Q3723" s="1" t="n"/>
      <c r="R3723" s="1" t="n"/>
    </row>
    <row r="3724">
      <c r="A3724" s="61" t="n"/>
      <c r="B3724" s="16" t="n"/>
      <c r="C3724" s="90" t="n"/>
      <c r="D3724" s="90" t="n"/>
      <c r="E3724" s="90" t="n"/>
      <c r="F3724" s="16" t="n"/>
      <c r="G3724" s="16" t="n"/>
      <c r="H3724" s="63" t="n"/>
      <c r="I3724" s="64" t="n"/>
      <c r="J3724" s="16" t="n"/>
      <c r="K3724" s="16" t="n"/>
      <c r="M3724" s="89" t="n"/>
      <c r="N3724" s="1" t="n"/>
      <c r="O3724" s="1" t="n"/>
      <c r="P3724" s="1" t="n"/>
      <c r="Q3724" s="1" t="n"/>
      <c r="R3724" s="1" t="n"/>
    </row>
    <row r="3725">
      <c r="A3725" s="61" t="n"/>
      <c r="B3725" s="16" t="n"/>
      <c r="C3725" s="90" t="n"/>
      <c r="D3725" s="90" t="n"/>
      <c r="E3725" s="90" t="n"/>
      <c r="F3725" s="16" t="n"/>
      <c r="G3725" s="16" t="n"/>
      <c r="H3725" s="63" t="n"/>
      <c r="I3725" s="64" t="n"/>
      <c r="J3725" s="16" t="n"/>
      <c r="K3725" s="16" t="n"/>
      <c r="M3725" s="89" t="n"/>
      <c r="N3725" s="1" t="n"/>
      <c r="O3725" s="1" t="n"/>
      <c r="P3725" s="1" t="n"/>
      <c r="Q3725" s="1" t="n"/>
      <c r="R3725" s="1" t="n"/>
    </row>
    <row r="3726">
      <c r="A3726" s="61" t="n"/>
      <c r="B3726" s="16" t="n"/>
      <c r="C3726" s="90" t="n"/>
      <c r="D3726" s="90" t="n"/>
      <c r="E3726" s="90" t="n"/>
      <c r="F3726" s="16" t="n"/>
      <c r="G3726" s="16" t="n"/>
      <c r="H3726" s="63" t="n"/>
      <c r="I3726" s="64" t="n"/>
      <c r="J3726" s="16" t="n"/>
      <c r="K3726" s="16" t="n"/>
      <c r="M3726" s="89" t="n"/>
      <c r="N3726" s="1" t="n"/>
      <c r="O3726" s="1" t="n"/>
      <c r="P3726" s="1" t="n"/>
      <c r="Q3726" s="1" t="n"/>
      <c r="R3726" s="1" t="n"/>
    </row>
    <row r="3727">
      <c r="A3727" s="61" t="n"/>
      <c r="B3727" s="16" t="n"/>
      <c r="C3727" s="90" t="n"/>
      <c r="D3727" s="90" t="n"/>
      <c r="E3727" s="90" t="n"/>
      <c r="F3727" s="16" t="n"/>
      <c r="G3727" s="16" t="n"/>
      <c r="H3727" s="63" t="n"/>
      <c r="I3727" s="64" t="n"/>
      <c r="J3727" s="16" t="n"/>
      <c r="K3727" s="16" t="n"/>
      <c r="M3727" s="89" t="n"/>
      <c r="N3727" s="1" t="n"/>
      <c r="O3727" s="1" t="n"/>
      <c r="P3727" s="1" t="n"/>
      <c r="Q3727" s="1" t="n"/>
      <c r="R3727" s="1" t="n"/>
    </row>
    <row r="3728">
      <c r="A3728" s="61" t="n"/>
      <c r="B3728" s="16" t="n"/>
      <c r="C3728" s="90" t="n"/>
      <c r="D3728" s="90" t="n"/>
      <c r="E3728" s="90" t="n"/>
      <c r="F3728" s="16" t="n"/>
      <c r="G3728" s="16" t="n"/>
      <c r="H3728" s="63" t="n"/>
      <c r="I3728" s="64" t="n"/>
      <c r="J3728" s="16" t="n"/>
      <c r="K3728" s="16" t="n"/>
      <c r="M3728" s="89" t="n"/>
      <c r="N3728" s="1" t="n"/>
      <c r="O3728" s="1" t="n"/>
      <c r="P3728" s="1" t="n"/>
      <c r="Q3728" s="1" t="n"/>
      <c r="R3728" s="1" t="n"/>
    </row>
    <row r="3729">
      <c r="A3729" s="61" t="n"/>
      <c r="B3729" s="16" t="n"/>
      <c r="C3729" s="90" t="n"/>
      <c r="D3729" s="90" t="n"/>
      <c r="E3729" s="90" t="n"/>
      <c r="F3729" s="16" t="n"/>
      <c r="G3729" s="16" t="n"/>
      <c r="H3729" s="63" t="n"/>
      <c r="I3729" s="64" t="n"/>
      <c r="J3729" s="16" t="n"/>
      <c r="K3729" s="16" t="n"/>
      <c r="M3729" s="89" t="n"/>
      <c r="N3729" s="1" t="n"/>
      <c r="O3729" s="1" t="n"/>
      <c r="P3729" s="1" t="n"/>
      <c r="Q3729" s="1" t="n"/>
      <c r="R3729" s="1" t="n"/>
    </row>
    <row r="3730">
      <c r="A3730" s="61" t="n"/>
      <c r="B3730" s="16" t="n"/>
      <c r="C3730" s="90" t="n"/>
      <c r="D3730" s="90" t="n"/>
      <c r="E3730" s="90" t="n"/>
      <c r="F3730" s="16" t="n"/>
      <c r="G3730" s="16" t="n"/>
      <c r="H3730" s="63" t="n"/>
      <c r="I3730" s="64" t="n"/>
      <c r="J3730" s="16" t="n"/>
      <c r="K3730" s="16" t="n"/>
      <c r="M3730" s="89" t="n"/>
      <c r="N3730" s="1" t="n"/>
      <c r="O3730" s="1" t="n"/>
      <c r="P3730" s="1" t="n"/>
      <c r="Q3730" s="1" t="n"/>
      <c r="R3730" s="1" t="n"/>
    </row>
    <row r="3731">
      <c r="A3731" s="61" t="n"/>
      <c r="B3731" s="16" t="n"/>
      <c r="C3731" s="90" t="n"/>
      <c r="D3731" s="90" t="n"/>
      <c r="E3731" s="90" t="n"/>
      <c r="F3731" s="16" t="n"/>
      <c r="G3731" s="16" t="n"/>
      <c r="H3731" s="63" t="n"/>
      <c r="I3731" s="64" t="n"/>
      <c r="J3731" s="16" t="n"/>
      <c r="K3731" s="16" t="n"/>
      <c r="M3731" s="89" t="n"/>
      <c r="N3731" s="1" t="n"/>
      <c r="O3731" s="1" t="n"/>
      <c r="P3731" s="1" t="n"/>
      <c r="Q3731" s="1" t="n"/>
      <c r="R3731" s="1" t="n"/>
    </row>
    <row r="3732">
      <c r="A3732" s="61" t="n"/>
      <c r="B3732" s="16" t="n"/>
      <c r="C3732" s="90" t="n"/>
      <c r="D3732" s="90" t="n"/>
      <c r="E3732" s="90" t="n"/>
      <c r="F3732" s="16" t="n"/>
      <c r="G3732" s="16" t="n"/>
      <c r="H3732" s="63" t="n"/>
      <c r="I3732" s="64" t="n"/>
      <c r="J3732" s="16" t="n"/>
      <c r="K3732" s="16" t="n"/>
      <c r="M3732" s="89" t="n"/>
      <c r="N3732" s="1" t="n"/>
      <c r="O3732" s="1" t="n"/>
      <c r="P3732" s="1" t="n"/>
      <c r="Q3732" s="1" t="n"/>
      <c r="R3732" s="1" t="n"/>
    </row>
    <row r="3733">
      <c r="A3733" s="61" t="n"/>
      <c r="B3733" s="16" t="n"/>
      <c r="C3733" s="90" t="n"/>
      <c r="D3733" s="90" t="n"/>
      <c r="E3733" s="90" t="n"/>
      <c r="F3733" s="16" t="n"/>
      <c r="G3733" s="16" t="n"/>
      <c r="H3733" s="63" t="n"/>
      <c r="I3733" s="64" t="n"/>
      <c r="J3733" s="16" t="n"/>
      <c r="K3733" s="16" t="n"/>
      <c r="M3733" s="89" t="n"/>
      <c r="N3733" s="1" t="n"/>
      <c r="O3733" s="1" t="n"/>
      <c r="P3733" s="1" t="n"/>
      <c r="Q3733" s="1" t="n"/>
      <c r="R3733" s="1" t="n"/>
    </row>
    <row r="3734">
      <c r="A3734" s="61" t="n"/>
      <c r="B3734" s="16" t="n"/>
      <c r="C3734" s="90" t="n"/>
      <c r="D3734" s="90" t="n"/>
      <c r="E3734" s="90" t="n"/>
      <c r="F3734" s="16" t="n"/>
      <c r="G3734" s="16" t="n"/>
      <c r="H3734" s="63" t="n"/>
      <c r="I3734" s="64" t="n"/>
      <c r="J3734" s="16" t="n"/>
      <c r="K3734" s="16" t="n"/>
      <c r="M3734" s="89" t="n"/>
      <c r="N3734" s="1" t="n"/>
      <c r="O3734" s="1" t="n"/>
      <c r="P3734" s="1" t="n"/>
      <c r="Q3734" s="1" t="n"/>
      <c r="R3734" s="1" t="n"/>
    </row>
    <row r="3735">
      <c r="A3735" s="61" t="n"/>
      <c r="B3735" s="16" t="n"/>
      <c r="C3735" s="90" t="n"/>
      <c r="D3735" s="90" t="n"/>
      <c r="E3735" s="90" t="n"/>
      <c r="F3735" s="16" t="n"/>
      <c r="G3735" s="16" t="n"/>
      <c r="H3735" s="63" t="n"/>
      <c r="I3735" s="64" t="n"/>
      <c r="J3735" s="16" t="n"/>
      <c r="K3735" s="16" t="n"/>
      <c r="M3735" s="89" t="n"/>
      <c r="N3735" s="1" t="n"/>
      <c r="O3735" s="1" t="n"/>
      <c r="P3735" s="1" t="n"/>
      <c r="Q3735" s="1" t="n"/>
      <c r="R3735" s="1" t="n"/>
    </row>
    <row r="3736">
      <c r="A3736" s="61" t="n"/>
      <c r="B3736" s="16" t="n"/>
      <c r="C3736" s="90" t="n"/>
      <c r="D3736" s="90" t="n"/>
      <c r="E3736" s="90" t="n"/>
      <c r="F3736" s="16" t="n"/>
      <c r="G3736" s="16" t="n"/>
      <c r="H3736" s="63" t="n"/>
      <c r="I3736" s="64" t="n"/>
      <c r="J3736" s="16" t="n"/>
      <c r="K3736" s="16" t="n"/>
      <c r="M3736" s="89" t="n"/>
      <c r="N3736" s="1" t="n"/>
      <c r="O3736" s="1" t="n"/>
      <c r="P3736" s="1" t="n"/>
      <c r="Q3736" s="1" t="n"/>
      <c r="R3736" s="1" t="n"/>
    </row>
    <row r="3737">
      <c r="A3737" s="61" t="n"/>
      <c r="B3737" s="16" t="n"/>
      <c r="C3737" s="90" t="n"/>
      <c r="D3737" s="90" t="n"/>
      <c r="E3737" s="90" t="n"/>
      <c r="F3737" s="16" t="n"/>
      <c r="G3737" s="16" t="n"/>
      <c r="H3737" s="63" t="n"/>
      <c r="I3737" s="64" t="n"/>
      <c r="J3737" s="16" t="n"/>
      <c r="K3737" s="16" t="n"/>
      <c r="M3737" s="89" t="n"/>
      <c r="N3737" s="1" t="n"/>
      <c r="O3737" s="1" t="n"/>
      <c r="P3737" s="1" t="n"/>
      <c r="Q3737" s="1" t="n"/>
      <c r="R3737" s="1" t="n"/>
    </row>
    <row r="3738">
      <c r="A3738" s="61" t="n"/>
      <c r="B3738" s="16" t="n"/>
      <c r="C3738" s="90" t="n"/>
      <c r="D3738" s="90" t="n"/>
      <c r="E3738" s="90" t="n"/>
      <c r="F3738" s="16" t="n"/>
      <c r="G3738" s="16" t="n"/>
      <c r="H3738" s="63" t="n"/>
      <c r="I3738" s="64" t="n"/>
      <c r="J3738" s="16" t="n"/>
      <c r="K3738" s="16" t="n"/>
      <c r="M3738" s="89" t="n"/>
      <c r="N3738" s="1" t="n"/>
      <c r="O3738" s="1" t="n"/>
      <c r="P3738" s="1" t="n"/>
      <c r="Q3738" s="1" t="n"/>
      <c r="R3738" s="1" t="n"/>
    </row>
    <row r="3739">
      <c r="A3739" s="61" t="n"/>
      <c r="B3739" s="16" t="n"/>
      <c r="C3739" s="90" t="n"/>
      <c r="D3739" s="90" t="n"/>
      <c r="E3739" s="90" t="n"/>
      <c r="F3739" s="16" t="n"/>
      <c r="G3739" s="16" t="n"/>
      <c r="H3739" s="63" t="n"/>
      <c r="I3739" s="64" t="n"/>
      <c r="J3739" s="16" t="n"/>
      <c r="K3739" s="16" t="n"/>
      <c r="M3739" s="89" t="n"/>
      <c r="N3739" s="1" t="n"/>
      <c r="O3739" s="1" t="n"/>
      <c r="P3739" s="1" t="n"/>
      <c r="Q3739" s="1" t="n"/>
      <c r="R3739" s="1" t="n"/>
    </row>
    <row r="3740">
      <c r="A3740" s="61" t="n"/>
      <c r="B3740" s="16" t="n"/>
      <c r="C3740" s="90" t="n"/>
      <c r="D3740" s="90" t="n"/>
      <c r="E3740" s="90" t="n"/>
      <c r="F3740" s="16" t="n"/>
      <c r="G3740" s="16" t="n"/>
      <c r="H3740" s="63" t="n"/>
      <c r="I3740" s="64" t="n"/>
      <c r="J3740" s="16" t="n"/>
      <c r="K3740" s="16" t="n"/>
      <c r="M3740" s="89" t="n"/>
      <c r="N3740" s="1" t="n"/>
      <c r="O3740" s="1" t="n"/>
      <c r="P3740" s="1" t="n"/>
      <c r="Q3740" s="1" t="n"/>
      <c r="R3740" s="1" t="n"/>
    </row>
    <row r="3741">
      <c r="A3741" s="61" t="n"/>
      <c r="B3741" s="16" t="n"/>
      <c r="C3741" s="90" t="n"/>
      <c r="D3741" s="90" t="n"/>
      <c r="E3741" s="90" t="n"/>
      <c r="F3741" s="16" t="n"/>
      <c r="G3741" s="16" t="n"/>
      <c r="H3741" s="63" t="n"/>
      <c r="I3741" s="64" t="n"/>
      <c r="J3741" s="16" t="n"/>
      <c r="K3741" s="16" t="n"/>
      <c r="M3741" s="89" t="n"/>
      <c r="N3741" s="1" t="n"/>
      <c r="O3741" s="1" t="n"/>
      <c r="P3741" s="1" t="n"/>
      <c r="Q3741" s="1" t="n"/>
      <c r="R3741" s="1" t="n"/>
    </row>
    <row r="3742">
      <c r="A3742" s="61" t="n"/>
      <c r="B3742" s="16" t="n"/>
      <c r="C3742" s="90" t="n"/>
      <c r="D3742" s="90" t="n"/>
      <c r="E3742" s="90" t="n"/>
      <c r="F3742" s="16" t="n"/>
      <c r="G3742" s="16" t="n"/>
      <c r="H3742" s="63" t="n"/>
      <c r="I3742" s="64" t="n"/>
      <c r="J3742" s="16" t="n"/>
      <c r="K3742" s="16" t="n"/>
      <c r="M3742" s="89" t="n"/>
      <c r="N3742" s="1" t="n"/>
      <c r="O3742" s="1" t="n"/>
      <c r="P3742" s="1" t="n"/>
      <c r="Q3742" s="1" t="n"/>
      <c r="R3742" s="1" t="n"/>
    </row>
    <row r="3743">
      <c r="A3743" s="61" t="n"/>
      <c r="B3743" s="16" t="n"/>
      <c r="C3743" s="90" t="n"/>
      <c r="D3743" s="90" t="n"/>
      <c r="E3743" s="90" t="n"/>
      <c r="F3743" s="16" t="n"/>
      <c r="G3743" s="16" t="n"/>
      <c r="H3743" s="63" t="n"/>
      <c r="I3743" s="64" t="n"/>
      <c r="J3743" s="16" t="n"/>
      <c r="K3743" s="16" t="n"/>
      <c r="M3743" s="89" t="n"/>
      <c r="N3743" s="1" t="n"/>
      <c r="O3743" s="1" t="n"/>
      <c r="P3743" s="1" t="n"/>
      <c r="Q3743" s="1" t="n"/>
      <c r="R3743" s="1" t="n"/>
    </row>
    <row r="3744">
      <c r="A3744" s="61" t="n"/>
      <c r="B3744" s="16" t="n"/>
      <c r="C3744" s="90" t="n"/>
      <c r="D3744" s="90" t="n"/>
      <c r="E3744" s="90" t="n"/>
      <c r="F3744" s="16" t="n"/>
      <c r="G3744" s="16" t="n"/>
      <c r="H3744" s="63" t="n"/>
      <c r="I3744" s="64" t="n"/>
      <c r="J3744" s="16" t="n"/>
      <c r="K3744" s="16" t="n"/>
      <c r="M3744" s="89" t="n"/>
      <c r="N3744" s="1" t="n"/>
      <c r="O3744" s="1" t="n"/>
      <c r="P3744" s="1" t="n"/>
      <c r="Q3744" s="1" t="n"/>
      <c r="R3744" s="1" t="n"/>
    </row>
    <row r="3745">
      <c r="A3745" s="61" t="n"/>
      <c r="B3745" s="16" t="n"/>
      <c r="C3745" s="90" t="n"/>
      <c r="D3745" s="90" t="n"/>
      <c r="E3745" s="90" t="n"/>
      <c r="F3745" s="16" t="n"/>
      <c r="G3745" s="16" t="n"/>
      <c r="H3745" s="63" t="n"/>
      <c r="I3745" s="64" t="n"/>
      <c r="J3745" s="16" t="n"/>
      <c r="K3745" s="16" t="n"/>
      <c r="M3745" s="89" t="n"/>
      <c r="N3745" s="1" t="n"/>
      <c r="O3745" s="1" t="n"/>
      <c r="P3745" s="1" t="n"/>
      <c r="Q3745" s="1" t="n"/>
      <c r="R3745" s="1" t="n"/>
    </row>
    <row r="3746">
      <c r="A3746" s="61" t="n"/>
      <c r="B3746" s="16" t="n"/>
      <c r="C3746" s="90" t="n"/>
      <c r="D3746" s="90" t="n"/>
      <c r="E3746" s="90" t="n"/>
      <c r="F3746" s="16" t="n"/>
      <c r="G3746" s="16" t="n"/>
      <c r="H3746" s="63" t="n"/>
      <c r="I3746" s="64" t="n"/>
      <c r="J3746" s="16" t="n"/>
      <c r="K3746" s="16" t="n"/>
      <c r="M3746" s="89" t="n"/>
      <c r="N3746" s="1" t="n"/>
      <c r="O3746" s="1" t="n"/>
      <c r="P3746" s="1" t="n"/>
      <c r="Q3746" s="1" t="n"/>
      <c r="R3746" s="1" t="n"/>
    </row>
    <row r="3747">
      <c r="A3747" s="61" t="n"/>
      <c r="B3747" s="16" t="n"/>
      <c r="C3747" s="90" t="n"/>
      <c r="D3747" s="90" t="n"/>
      <c r="E3747" s="90" t="n"/>
      <c r="F3747" s="16" t="n"/>
      <c r="G3747" s="16" t="n"/>
      <c r="H3747" s="63" t="n"/>
      <c r="I3747" s="64" t="n"/>
      <c r="J3747" s="16" t="n"/>
      <c r="K3747" s="16" t="n"/>
      <c r="M3747" s="89" t="n"/>
      <c r="N3747" s="1" t="n"/>
      <c r="O3747" s="1" t="n"/>
      <c r="P3747" s="1" t="n"/>
      <c r="Q3747" s="1" t="n"/>
      <c r="R3747" s="1" t="n"/>
    </row>
    <row r="3748">
      <c r="A3748" s="61" t="n"/>
      <c r="B3748" s="16" t="n"/>
      <c r="C3748" s="90" t="n"/>
      <c r="D3748" s="90" t="n"/>
      <c r="E3748" s="90" t="n"/>
      <c r="F3748" s="16" t="n"/>
      <c r="G3748" s="16" t="n"/>
      <c r="H3748" s="63" t="n"/>
      <c r="I3748" s="64" t="n"/>
      <c r="J3748" s="16" t="n"/>
      <c r="K3748" s="16" t="n"/>
      <c r="M3748" s="89" t="n"/>
      <c r="N3748" s="1" t="n"/>
      <c r="O3748" s="1" t="n"/>
      <c r="P3748" s="1" t="n"/>
      <c r="Q3748" s="1" t="n"/>
      <c r="R3748" s="1" t="n"/>
    </row>
    <row r="3749">
      <c r="A3749" s="61" t="n"/>
      <c r="B3749" s="16" t="n"/>
      <c r="C3749" s="90" t="n"/>
      <c r="D3749" s="90" t="n"/>
      <c r="E3749" s="90" t="n"/>
      <c r="F3749" s="16" t="n"/>
      <c r="G3749" s="16" t="n"/>
      <c r="H3749" s="63" t="n"/>
      <c r="I3749" s="64" t="n"/>
      <c r="J3749" s="16" t="n"/>
      <c r="K3749" s="16" t="n"/>
      <c r="M3749" s="89" t="n"/>
      <c r="N3749" s="1" t="n"/>
      <c r="O3749" s="1" t="n"/>
      <c r="P3749" s="1" t="n"/>
      <c r="Q3749" s="1" t="n"/>
      <c r="R3749" s="1" t="n"/>
    </row>
    <row r="3750">
      <c r="A3750" s="61" t="n"/>
      <c r="B3750" s="16" t="n"/>
      <c r="C3750" s="90" t="n"/>
      <c r="D3750" s="90" t="n"/>
      <c r="E3750" s="90" t="n"/>
      <c r="F3750" s="16" t="n"/>
      <c r="G3750" s="16" t="n"/>
      <c r="H3750" s="63" t="n"/>
      <c r="I3750" s="64" t="n"/>
      <c r="J3750" s="16" t="n"/>
      <c r="K3750" s="16" t="n"/>
      <c r="M3750" s="89" t="n"/>
      <c r="N3750" s="1" t="n"/>
      <c r="O3750" s="1" t="n"/>
      <c r="P3750" s="1" t="n"/>
      <c r="Q3750" s="1" t="n"/>
      <c r="R3750" s="1" t="n"/>
    </row>
    <row r="3751">
      <c r="A3751" s="61" t="n"/>
      <c r="B3751" s="16" t="n"/>
      <c r="C3751" s="90" t="n"/>
      <c r="D3751" s="90" t="n"/>
      <c r="E3751" s="90" t="n"/>
      <c r="F3751" s="16" t="n"/>
      <c r="G3751" s="16" t="n"/>
      <c r="H3751" s="63" t="n"/>
      <c r="I3751" s="64" t="n"/>
      <c r="J3751" s="16" t="n"/>
      <c r="K3751" s="16" t="n"/>
      <c r="M3751" s="89" t="n"/>
      <c r="N3751" s="1" t="n"/>
      <c r="O3751" s="1" t="n"/>
      <c r="P3751" s="1" t="n"/>
      <c r="Q3751" s="1" t="n"/>
      <c r="R3751" s="1" t="n"/>
    </row>
    <row r="3752">
      <c r="A3752" s="61" t="n"/>
      <c r="B3752" s="16" t="n"/>
      <c r="C3752" s="90" t="n"/>
      <c r="D3752" s="90" t="n"/>
      <c r="E3752" s="90" t="n"/>
      <c r="F3752" s="16" t="n"/>
      <c r="G3752" s="16" t="n"/>
      <c r="H3752" s="63" t="n"/>
      <c r="I3752" s="64" t="n"/>
      <c r="J3752" s="16" t="n"/>
      <c r="K3752" s="16" t="n"/>
      <c r="M3752" s="89" t="n"/>
      <c r="N3752" s="1" t="n"/>
      <c r="O3752" s="1" t="n"/>
      <c r="P3752" s="1" t="n"/>
      <c r="Q3752" s="1" t="n"/>
      <c r="R3752" s="1" t="n"/>
    </row>
    <row r="3753">
      <c r="A3753" s="61" t="n"/>
      <c r="B3753" s="16" t="n"/>
      <c r="C3753" s="90" t="n"/>
      <c r="D3753" s="90" t="n"/>
      <c r="E3753" s="90" t="n"/>
      <c r="F3753" s="16" t="n"/>
      <c r="G3753" s="16" t="n"/>
      <c r="H3753" s="63" t="n"/>
      <c r="I3753" s="64" t="n"/>
      <c r="J3753" s="16" t="n"/>
      <c r="K3753" s="16" t="n"/>
      <c r="M3753" s="89" t="n"/>
      <c r="N3753" s="1" t="n"/>
      <c r="O3753" s="1" t="n"/>
      <c r="P3753" s="1" t="n"/>
      <c r="Q3753" s="1" t="n"/>
      <c r="R3753" s="1" t="n"/>
    </row>
    <row r="3754">
      <c r="A3754" s="61" t="n"/>
      <c r="B3754" s="16" t="n"/>
      <c r="C3754" s="90" t="n"/>
      <c r="D3754" s="90" t="n"/>
      <c r="E3754" s="90" t="n"/>
      <c r="F3754" s="16" t="n"/>
      <c r="G3754" s="16" t="n"/>
      <c r="H3754" s="63" t="n"/>
      <c r="I3754" s="64" t="n"/>
      <c r="J3754" s="16" t="n"/>
      <c r="K3754" s="16" t="n"/>
      <c r="M3754" s="89" t="n"/>
      <c r="N3754" s="1" t="n"/>
      <c r="O3754" s="1" t="n"/>
      <c r="P3754" s="1" t="n"/>
      <c r="Q3754" s="1" t="n"/>
      <c r="R3754" s="1" t="n"/>
    </row>
    <row r="3755">
      <c r="A3755" s="61" t="n"/>
      <c r="B3755" s="16" t="n"/>
      <c r="C3755" s="90" t="n"/>
      <c r="D3755" s="90" t="n"/>
      <c r="E3755" s="90" t="n"/>
      <c r="F3755" s="16" t="n"/>
      <c r="G3755" s="16" t="n"/>
      <c r="H3755" s="63" t="n"/>
      <c r="I3755" s="64" t="n"/>
      <c r="J3755" s="16" t="n"/>
      <c r="K3755" s="16" t="n"/>
      <c r="M3755" s="89" t="n"/>
      <c r="N3755" s="1" t="n"/>
      <c r="O3755" s="1" t="n"/>
      <c r="P3755" s="1" t="n"/>
      <c r="Q3755" s="1" t="n"/>
      <c r="R3755" s="1" t="n"/>
    </row>
    <row r="3756">
      <c r="A3756" s="61" t="n"/>
      <c r="B3756" s="16" t="n"/>
      <c r="C3756" s="90" t="n"/>
      <c r="D3756" s="90" t="n"/>
      <c r="E3756" s="90" t="n"/>
      <c r="F3756" s="16" t="n"/>
      <c r="G3756" s="16" t="n"/>
      <c r="H3756" s="63" t="n"/>
      <c r="I3756" s="64" t="n"/>
      <c r="J3756" s="16" t="n"/>
      <c r="K3756" s="16" t="n"/>
      <c r="M3756" s="89" t="n"/>
      <c r="N3756" s="1" t="n"/>
      <c r="O3756" s="1" t="n"/>
      <c r="P3756" s="1" t="n"/>
      <c r="Q3756" s="1" t="n"/>
      <c r="R3756" s="1" t="n"/>
    </row>
    <row r="3757">
      <c r="A3757" s="61" t="n"/>
      <c r="B3757" s="16" t="n"/>
      <c r="C3757" s="90" t="n"/>
      <c r="D3757" s="90" t="n"/>
      <c r="E3757" s="90" t="n"/>
      <c r="F3757" s="16" t="n"/>
      <c r="G3757" s="16" t="n"/>
      <c r="H3757" s="63" t="n"/>
      <c r="I3757" s="64" t="n"/>
      <c r="J3757" s="16" t="n"/>
      <c r="K3757" s="16" t="n"/>
      <c r="M3757" s="89" t="n"/>
      <c r="N3757" s="1" t="n"/>
      <c r="O3757" s="1" t="n"/>
      <c r="P3757" s="1" t="n"/>
      <c r="Q3757" s="1" t="n"/>
      <c r="R3757" s="1" t="n"/>
    </row>
    <row r="3758">
      <c r="A3758" s="61" t="n"/>
      <c r="B3758" s="16" t="n"/>
      <c r="C3758" s="90" t="n"/>
      <c r="D3758" s="90" t="n"/>
      <c r="E3758" s="90" t="n"/>
      <c r="F3758" s="16" t="n"/>
      <c r="G3758" s="16" t="n"/>
      <c r="H3758" s="63" t="n"/>
      <c r="I3758" s="64" t="n"/>
      <c r="J3758" s="16" t="n"/>
      <c r="K3758" s="16" t="n"/>
      <c r="M3758" s="89" t="n"/>
      <c r="N3758" s="1" t="n"/>
      <c r="O3758" s="1" t="n"/>
      <c r="P3758" s="1" t="n"/>
      <c r="Q3758" s="1" t="n"/>
      <c r="R3758" s="1" t="n"/>
    </row>
    <row r="3759">
      <c r="A3759" s="61" t="n"/>
      <c r="B3759" s="16" t="n"/>
      <c r="C3759" s="90" t="n"/>
      <c r="D3759" s="90" t="n"/>
      <c r="E3759" s="90" t="n"/>
      <c r="F3759" s="16" t="n"/>
      <c r="G3759" s="16" t="n"/>
      <c r="H3759" s="63" t="n"/>
      <c r="I3759" s="64" t="n"/>
      <c r="J3759" s="16" t="n"/>
      <c r="K3759" s="16" t="n"/>
      <c r="M3759" s="89" t="n"/>
      <c r="N3759" s="1" t="n"/>
      <c r="O3759" s="1" t="n"/>
      <c r="P3759" s="1" t="n"/>
      <c r="Q3759" s="1" t="n"/>
      <c r="R3759" s="1" t="n"/>
    </row>
    <row r="3760">
      <c r="A3760" s="61" t="n"/>
      <c r="B3760" s="16" t="n"/>
      <c r="C3760" s="90" t="n"/>
      <c r="D3760" s="90" t="n"/>
      <c r="E3760" s="90" t="n"/>
      <c r="F3760" s="16" t="n"/>
      <c r="G3760" s="16" t="n"/>
      <c r="H3760" s="63" t="n"/>
      <c r="I3760" s="64" t="n"/>
      <c r="J3760" s="16" t="n"/>
      <c r="K3760" s="16" t="n"/>
      <c r="M3760" s="89" t="n"/>
      <c r="N3760" s="1" t="n"/>
      <c r="O3760" s="1" t="n"/>
      <c r="P3760" s="1" t="n"/>
      <c r="Q3760" s="1" t="n"/>
      <c r="R3760" s="1" t="n"/>
    </row>
    <row r="3761">
      <c r="A3761" s="61" t="n"/>
      <c r="B3761" s="16" t="n"/>
      <c r="C3761" s="90" t="n"/>
      <c r="D3761" s="90" t="n"/>
      <c r="E3761" s="90" t="n"/>
      <c r="F3761" s="16" t="n"/>
      <c r="G3761" s="16" t="n"/>
      <c r="H3761" s="63" t="n"/>
      <c r="I3761" s="64" t="n"/>
      <c r="J3761" s="16" t="n"/>
      <c r="K3761" s="16" t="n"/>
      <c r="M3761" s="89" t="n"/>
      <c r="N3761" s="1" t="n"/>
      <c r="O3761" s="1" t="n"/>
      <c r="P3761" s="1" t="n"/>
      <c r="Q3761" s="1" t="n"/>
      <c r="R3761" s="1" t="n"/>
    </row>
    <row r="3762">
      <c r="A3762" s="61" t="n"/>
      <c r="B3762" s="16" t="n"/>
      <c r="C3762" s="90" t="n"/>
      <c r="D3762" s="90" t="n"/>
      <c r="E3762" s="90" t="n"/>
      <c r="F3762" s="16" t="n"/>
      <c r="G3762" s="16" t="n"/>
      <c r="H3762" s="63" t="n"/>
      <c r="I3762" s="64" t="n"/>
      <c r="J3762" s="16" t="n"/>
      <c r="K3762" s="16" t="n"/>
      <c r="M3762" s="89" t="n"/>
      <c r="N3762" s="1" t="n"/>
      <c r="O3762" s="1" t="n"/>
      <c r="P3762" s="1" t="n"/>
      <c r="Q3762" s="1" t="n"/>
      <c r="R3762" s="1" t="n"/>
    </row>
    <row r="3763">
      <c r="A3763" s="61" t="n"/>
      <c r="B3763" s="16" t="n"/>
      <c r="C3763" s="90" t="n"/>
      <c r="D3763" s="90" t="n"/>
      <c r="E3763" s="90" t="n"/>
      <c r="F3763" s="16" t="n"/>
      <c r="G3763" s="16" t="n"/>
      <c r="H3763" s="63" t="n"/>
      <c r="I3763" s="64" t="n"/>
      <c r="J3763" s="16" t="n"/>
      <c r="K3763" s="16" t="n"/>
      <c r="M3763" s="89" t="n"/>
      <c r="N3763" s="1" t="n"/>
      <c r="O3763" s="1" t="n"/>
      <c r="P3763" s="1" t="n"/>
      <c r="Q3763" s="1" t="n"/>
      <c r="R3763" s="1" t="n"/>
    </row>
    <row r="3764">
      <c r="A3764" s="61" t="n"/>
      <c r="B3764" s="16" t="n"/>
      <c r="C3764" s="90" t="n"/>
      <c r="D3764" s="90" t="n"/>
      <c r="E3764" s="90" t="n"/>
      <c r="F3764" s="16" t="n"/>
      <c r="G3764" s="16" t="n"/>
      <c r="H3764" s="63" t="n"/>
      <c r="I3764" s="64" t="n"/>
      <c r="J3764" s="16" t="n"/>
      <c r="K3764" s="16" t="n"/>
      <c r="M3764" s="89" t="n"/>
      <c r="N3764" s="1" t="n"/>
      <c r="O3764" s="1" t="n"/>
      <c r="P3764" s="1" t="n"/>
      <c r="Q3764" s="1" t="n"/>
      <c r="R3764" s="1" t="n"/>
    </row>
    <row r="3765">
      <c r="A3765" s="61" t="n"/>
      <c r="B3765" s="16" t="n"/>
      <c r="C3765" s="90" t="n"/>
      <c r="D3765" s="90" t="n"/>
      <c r="E3765" s="90" t="n"/>
      <c r="F3765" s="16" t="n"/>
      <c r="G3765" s="16" t="n"/>
      <c r="H3765" s="63" t="n"/>
      <c r="I3765" s="64" t="n"/>
      <c r="J3765" s="16" t="n"/>
      <c r="K3765" s="16" t="n"/>
      <c r="M3765" s="89" t="n"/>
      <c r="N3765" s="1" t="n"/>
      <c r="O3765" s="1" t="n"/>
      <c r="P3765" s="1" t="n"/>
      <c r="Q3765" s="1" t="n"/>
      <c r="R3765" s="1" t="n"/>
    </row>
    <row r="3766">
      <c r="A3766" s="61" t="n"/>
      <c r="B3766" s="16" t="n"/>
      <c r="C3766" s="90" t="n"/>
      <c r="D3766" s="90" t="n"/>
      <c r="E3766" s="90" t="n"/>
      <c r="F3766" s="16" t="n"/>
      <c r="G3766" s="16" t="n"/>
      <c r="H3766" s="63" t="n"/>
      <c r="I3766" s="64" t="n"/>
      <c r="J3766" s="16" t="n"/>
      <c r="K3766" s="16" t="n"/>
      <c r="M3766" s="89" t="n"/>
      <c r="N3766" s="1" t="n"/>
      <c r="O3766" s="1" t="n"/>
      <c r="P3766" s="1" t="n"/>
      <c r="Q3766" s="1" t="n"/>
      <c r="R3766" s="1" t="n"/>
    </row>
    <row r="3767">
      <c r="A3767" s="61" t="n"/>
      <c r="B3767" s="16" t="n"/>
      <c r="C3767" s="90" t="n"/>
      <c r="D3767" s="90" t="n"/>
      <c r="E3767" s="90" t="n"/>
      <c r="F3767" s="16" t="n"/>
      <c r="G3767" s="16" t="n"/>
      <c r="H3767" s="63" t="n"/>
      <c r="I3767" s="64" t="n"/>
      <c r="J3767" s="16" t="n"/>
      <c r="K3767" s="16" t="n"/>
      <c r="M3767" s="89" t="n"/>
      <c r="N3767" s="1" t="n"/>
      <c r="O3767" s="1" t="n"/>
      <c r="P3767" s="1" t="n"/>
      <c r="Q3767" s="1" t="n"/>
      <c r="R3767" s="1" t="n"/>
    </row>
    <row r="3768">
      <c r="A3768" s="61" t="n"/>
      <c r="B3768" s="16" t="n"/>
      <c r="C3768" s="90" t="n"/>
      <c r="D3768" s="90" t="n"/>
      <c r="E3768" s="90" t="n"/>
      <c r="F3768" s="16" t="n"/>
      <c r="G3768" s="16" t="n"/>
      <c r="H3768" s="63" t="n"/>
      <c r="I3768" s="64" t="n"/>
      <c r="J3768" s="16" t="n"/>
      <c r="K3768" s="16" t="n"/>
      <c r="M3768" s="89" t="n"/>
      <c r="N3768" s="1" t="n"/>
      <c r="O3768" s="1" t="n"/>
      <c r="P3768" s="1" t="n"/>
      <c r="Q3768" s="1" t="n"/>
      <c r="R3768" s="1" t="n"/>
    </row>
    <row r="3769">
      <c r="A3769" s="61" t="n"/>
      <c r="B3769" s="16" t="n"/>
      <c r="C3769" s="90" t="n"/>
      <c r="D3769" s="90" t="n"/>
      <c r="E3769" s="90" t="n"/>
      <c r="F3769" s="16" t="n"/>
      <c r="G3769" s="16" t="n"/>
      <c r="H3769" s="63" t="n"/>
      <c r="I3769" s="64" t="n"/>
      <c r="J3769" s="16" t="n"/>
      <c r="K3769" s="16" t="n"/>
      <c r="M3769" s="89" t="n"/>
      <c r="N3769" s="1" t="n"/>
      <c r="O3769" s="1" t="n"/>
      <c r="P3769" s="1" t="n"/>
      <c r="Q3769" s="1" t="n"/>
      <c r="R3769" s="1" t="n"/>
    </row>
    <row r="3770">
      <c r="A3770" s="61" t="n"/>
      <c r="B3770" s="16" t="n"/>
      <c r="C3770" s="90" t="n"/>
      <c r="D3770" s="90" t="n"/>
      <c r="E3770" s="90" t="n"/>
      <c r="F3770" s="16" t="n"/>
      <c r="G3770" s="16" t="n"/>
      <c r="H3770" s="63" t="n"/>
      <c r="I3770" s="64" t="n"/>
      <c r="J3770" s="16" t="n"/>
      <c r="K3770" s="16" t="n"/>
      <c r="M3770" s="89" t="n"/>
      <c r="N3770" s="1" t="n"/>
      <c r="O3770" s="1" t="n"/>
      <c r="P3770" s="1" t="n"/>
      <c r="Q3770" s="1" t="n"/>
      <c r="R3770" s="1" t="n"/>
    </row>
    <row r="3771">
      <c r="A3771" s="61" t="n"/>
      <c r="B3771" s="16" t="n"/>
      <c r="C3771" s="90" t="n"/>
      <c r="D3771" s="90" t="n"/>
      <c r="E3771" s="90" t="n"/>
      <c r="F3771" s="16" t="n"/>
      <c r="G3771" s="16" t="n"/>
      <c r="H3771" s="63" t="n"/>
      <c r="I3771" s="64" t="n"/>
      <c r="J3771" s="16" t="n"/>
      <c r="K3771" s="16" t="n"/>
      <c r="M3771" s="89" t="n"/>
      <c r="N3771" s="1" t="n"/>
      <c r="O3771" s="1" t="n"/>
      <c r="P3771" s="1" t="n"/>
      <c r="Q3771" s="1" t="n"/>
      <c r="R3771" s="1" t="n"/>
    </row>
    <row r="3772">
      <c r="A3772" s="61" t="n"/>
      <c r="B3772" s="16" t="n"/>
      <c r="C3772" s="90" t="n"/>
      <c r="D3772" s="90" t="n"/>
      <c r="E3772" s="90" t="n"/>
      <c r="F3772" s="16" t="n"/>
      <c r="G3772" s="16" t="n"/>
      <c r="H3772" s="63" t="n"/>
      <c r="I3772" s="64" t="n"/>
      <c r="J3772" s="16" t="n"/>
      <c r="K3772" s="16" t="n"/>
      <c r="M3772" s="89" t="n"/>
      <c r="N3772" s="1" t="n"/>
      <c r="O3772" s="1" t="n"/>
      <c r="P3772" s="1" t="n"/>
      <c r="Q3772" s="1" t="n"/>
      <c r="R3772" s="1" t="n"/>
    </row>
    <row r="3773">
      <c r="A3773" s="61" t="n"/>
      <c r="B3773" s="16" t="n"/>
      <c r="C3773" s="90" t="n"/>
      <c r="D3773" s="90" t="n"/>
      <c r="E3773" s="90" t="n"/>
      <c r="F3773" s="16" t="n"/>
      <c r="G3773" s="16" t="n"/>
      <c r="H3773" s="63" t="n"/>
      <c r="I3773" s="64" t="n"/>
      <c r="J3773" s="16" t="n"/>
      <c r="K3773" s="16" t="n"/>
      <c r="M3773" s="89" t="n"/>
      <c r="N3773" s="1" t="n"/>
      <c r="O3773" s="1" t="n"/>
      <c r="P3773" s="1" t="n"/>
      <c r="Q3773" s="1" t="n"/>
      <c r="R3773" s="1" t="n"/>
    </row>
    <row r="3774">
      <c r="A3774" s="61" t="n"/>
      <c r="B3774" s="16" t="n"/>
      <c r="C3774" s="90" t="n"/>
      <c r="D3774" s="90" t="n"/>
      <c r="E3774" s="90" t="n"/>
      <c r="F3774" s="16" t="n"/>
      <c r="G3774" s="16" t="n"/>
      <c r="H3774" s="63" t="n"/>
      <c r="I3774" s="64" t="n"/>
      <c r="J3774" s="16" t="n"/>
      <c r="K3774" s="16" t="n"/>
      <c r="M3774" s="89" t="n"/>
      <c r="N3774" s="1" t="n"/>
      <c r="O3774" s="1" t="n"/>
      <c r="P3774" s="1" t="n"/>
      <c r="Q3774" s="1" t="n"/>
      <c r="R3774" s="1" t="n"/>
    </row>
    <row r="3775">
      <c r="A3775" s="61" t="n"/>
      <c r="B3775" s="16" t="n"/>
      <c r="C3775" s="90" t="n"/>
      <c r="D3775" s="90" t="n"/>
      <c r="E3775" s="90" t="n"/>
      <c r="F3775" s="16" t="n"/>
      <c r="G3775" s="16" t="n"/>
      <c r="H3775" s="63" t="n"/>
      <c r="I3775" s="64" t="n"/>
      <c r="J3775" s="16" t="n"/>
      <c r="K3775" s="16" t="n"/>
      <c r="M3775" s="89" t="n"/>
      <c r="N3775" s="1" t="n"/>
      <c r="O3775" s="1" t="n"/>
      <c r="P3775" s="1" t="n"/>
      <c r="Q3775" s="1" t="n"/>
      <c r="R3775" s="1" t="n"/>
    </row>
    <row r="3776">
      <c r="A3776" s="61" t="n"/>
      <c r="B3776" s="16" t="n"/>
      <c r="C3776" s="90" t="n"/>
      <c r="D3776" s="90" t="n"/>
      <c r="E3776" s="90" t="n"/>
      <c r="F3776" s="16" t="n"/>
      <c r="G3776" s="16" t="n"/>
      <c r="H3776" s="63" t="n"/>
      <c r="I3776" s="64" t="n"/>
      <c r="J3776" s="16" t="n"/>
      <c r="K3776" s="16" t="n"/>
      <c r="M3776" s="89" t="n"/>
      <c r="N3776" s="1" t="n"/>
      <c r="O3776" s="1" t="n"/>
      <c r="P3776" s="1" t="n"/>
      <c r="Q3776" s="1" t="n"/>
      <c r="R3776" s="1" t="n"/>
    </row>
    <row r="3777">
      <c r="A3777" s="61" t="n"/>
      <c r="B3777" s="16" t="n"/>
      <c r="C3777" s="90" t="n"/>
      <c r="D3777" s="90" t="n"/>
      <c r="E3777" s="90" t="n"/>
      <c r="F3777" s="16" t="n"/>
      <c r="G3777" s="16" t="n"/>
      <c r="H3777" s="63" t="n"/>
      <c r="I3777" s="64" t="n"/>
      <c r="J3777" s="16" t="n"/>
      <c r="K3777" s="16" t="n"/>
      <c r="M3777" s="89" t="n"/>
      <c r="N3777" s="1" t="n"/>
      <c r="O3777" s="1" t="n"/>
      <c r="P3777" s="1" t="n"/>
      <c r="Q3777" s="1" t="n"/>
      <c r="R3777" s="1" t="n"/>
    </row>
    <row r="3778">
      <c r="A3778" s="61" t="n"/>
      <c r="B3778" s="16" t="n"/>
      <c r="C3778" s="90" t="n"/>
      <c r="D3778" s="90" t="n"/>
      <c r="E3778" s="90" t="n"/>
      <c r="F3778" s="16" t="n"/>
      <c r="G3778" s="16" t="n"/>
      <c r="H3778" s="63" t="n"/>
      <c r="I3778" s="64" t="n"/>
      <c r="J3778" s="16" t="n"/>
      <c r="K3778" s="16" t="n"/>
      <c r="M3778" s="89" t="n"/>
      <c r="N3778" s="1" t="n"/>
      <c r="O3778" s="1" t="n"/>
      <c r="P3778" s="1" t="n"/>
      <c r="Q3778" s="1" t="n"/>
      <c r="R3778" s="1" t="n"/>
    </row>
    <row r="3779">
      <c r="A3779" s="61" t="n"/>
      <c r="B3779" s="16" t="n"/>
      <c r="C3779" s="90" t="n"/>
      <c r="D3779" s="90" t="n"/>
      <c r="E3779" s="90" t="n"/>
      <c r="F3779" s="16" t="n"/>
      <c r="G3779" s="16" t="n"/>
      <c r="H3779" s="63" t="n"/>
      <c r="I3779" s="64" t="n"/>
      <c r="J3779" s="16" t="n"/>
      <c r="K3779" s="16" t="n"/>
      <c r="M3779" s="89" t="n"/>
      <c r="N3779" s="1" t="n"/>
      <c r="O3779" s="1" t="n"/>
      <c r="P3779" s="1" t="n"/>
      <c r="Q3779" s="1" t="n"/>
      <c r="R3779" s="1" t="n"/>
    </row>
    <row r="3780">
      <c r="A3780" s="61" t="n"/>
      <c r="B3780" s="16" t="n"/>
      <c r="C3780" s="90" t="n"/>
      <c r="D3780" s="90" t="n"/>
      <c r="E3780" s="90" t="n"/>
      <c r="F3780" s="16" t="n"/>
      <c r="G3780" s="16" t="n"/>
      <c r="H3780" s="63" t="n"/>
      <c r="I3780" s="64" t="n"/>
      <c r="J3780" s="16" t="n"/>
      <c r="K3780" s="16" t="n"/>
      <c r="M3780" s="89" t="n"/>
      <c r="N3780" s="1" t="n"/>
      <c r="O3780" s="1" t="n"/>
      <c r="P3780" s="1" t="n"/>
      <c r="Q3780" s="1" t="n"/>
      <c r="R3780" s="1" t="n"/>
    </row>
    <row r="3781">
      <c r="A3781" s="61" t="n"/>
      <c r="B3781" s="16" t="n"/>
      <c r="C3781" s="90" t="n"/>
      <c r="D3781" s="90" t="n"/>
      <c r="E3781" s="90" t="n"/>
      <c r="F3781" s="16" t="n"/>
      <c r="G3781" s="16" t="n"/>
      <c r="H3781" s="63" t="n"/>
      <c r="I3781" s="64" t="n"/>
      <c r="J3781" s="16" t="n"/>
      <c r="K3781" s="16" t="n"/>
      <c r="M3781" s="89" t="n"/>
      <c r="N3781" s="1" t="n"/>
      <c r="O3781" s="1" t="n"/>
      <c r="P3781" s="1" t="n"/>
      <c r="Q3781" s="1" t="n"/>
      <c r="R3781" s="1" t="n"/>
    </row>
    <row r="3782">
      <c r="A3782" s="61" t="n"/>
      <c r="B3782" s="16" t="n"/>
      <c r="C3782" s="90" t="n"/>
      <c r="D3782" s="90" t="n"/>
      <c r="E3782" s="90" t="n"/>
      <c r="F3782" s="16" t="n"/>
      <c r="G3782" s="16" t="n"/>
      <c r="H3782" s="63" t="n"/>
      <c r="I3782" s="64" t="n"/>
      <c r="J3782" s="16" t="n"/>
      <c r="K3782" s="16" t="n"/>
      <c r="M3782" s="89" t="n"/>
      <c r="N3782" s="1" t="n"/>
      <c r="O3782" s="1" t="n"/>
      <c r="P3782" s="1" t="n"/>
      <c r="Q3782" s="1" t="n"/>
      <c r="R3782" s="1" t="n"/>
    </row>
    <row r="3783">
      <c r="A3783" s="61" t="n"/>
      <c r="B3783" s="16" t="n"/>
      <c r="C3783" s="90" t="n"/>
      <c r="D3783" s="90" t="n"/>
      <c r="E3783" s="90" t="n"/>
      <c r="F3783" s="16" t="n"/>
      <c r="G3783" s="16" t="n"/>
      <c r="H3783" s="63" t="n"/>
      <c r="I3783" s="64" t="n"/>
      <c r="J3783" s="16" t="n"/>
      <c r="K3783" s="16" t="n"/>
      <c r="M3783" s="89" t="n"/>
      <c r="N3783" s="1" t="n"/>
      <c r="O3783" s="1" t="n"/>
      <c r="P3783" s="1" t="n"/>
      <c r="Q3783" s="1" t="n"/>
      <c r="R3783" s="1" t="n"/>
    </row>
    <row r="3784">
      <c r="A3784" s="61" t="n"/>
      <c r="B3784" s="16" t="n"/>
      <c r="C3784" s="90" t="n"/>
      <c r="D3784" s="90" t="n"/>
      <c r="E3784" s="90" t="n"/>
      <c r="F3784" s="16" t="n"/>
      <c r="G3784" s="16" t="n"/>
      <c r="H3784" s="63" t="n"/>
      <c r="I3784" s="64" t="n"/>
      <c r="J3784" s="16" t="n"/>
      <c r="K3784" s="16" t="n"/>
      <c r="M3784" s="89" t="n"/>
      <c r="N3784" s="1" t="n"/>
      <c r="O3784" s="1" t="n"/>
      <c r="P3784" s="1" t="n"/>
      <c r="Q3784" s="1" t="n"/>
      <c r="R3784" s="1" t="n"/>
    </row>
    <row r="3785">
      <c r="A3785" s="61" t="n"/>
      <c r="B3785" s="16" t="n"/>
      <c r="C3785" s="90" t="n"/>
      <c r="D3785" s="90" t="n"/>
      <c r="E3785" s="90" t="n"/>
      <c r="F3785" s="16" t="n"/>
      <c r="G3785" s="16" t="n"/>
      <c r="H3785" s="63" t="n"/>
      <c r="I3785" s="64" t="n"/>
      <c r="J3785" s="16" t="n"/>
      <c r="K3785" s="16" t="n"/>
      <c r="M3785" s="89" t="n"/>
      <c r="N3785" s="1" t="n"/>
      <c r="O3785" s="1" t="n"/>
      <c r="P3785" s="1" t="n"/>
      <c r="Q3785" s="1" t="n"/>
      <c r="R3785" s="1" t="n"/>
    </row>
    <row r="3786">
      <c r="A3786" s="61" t="n"/>
      <c r="B3786" s="16" t="n"/>
      <c r="C3786" s="90" t="n"/>
      <c r="D3786" s="90" t="n"/>
      <c r="E3786" s="90" t="n"/>
      <c r="F3786" s="16" t="n"/>
      <c r="G3786" s="16" t="n"/>
      <c r="H3786" s="63" t="n"/>
      <c r="I3786" s="64" t="n"/>
      <c r="J3786" s="16" t="n"/>
      <c r="K3786" s="16" t="n"/>
      <c r="M3786" s="89" t="n"/>
      <c r="N3786" s="1" t="n"/>
      <c r="O3786" s="1" t="n"/>
      <c r="P3786" s="1" t="n"/>
      <c r="Q3786" s="1" t="n"/>
      <c r="R3786" s="1" t="n"/>
    </row>
    <row r="3787">
      <c r="A3787" s="61" t="n"/>
      <c r="B3787" s="16" t="n"/>
      <c r="C3787" s="90" t="n"/>
      <c r="D3787" s="90" t="n"/>
      <c r="E3787" s="90" t="n"/>
      <c r="F3787" s="16" t="n"/>
      <c r="G3787" s="16" t="n"/>
      <c r="H3787" s="63" t="n"/>
      <c r="I3787" s="64" t="n"/>
      <c r="J3787" s="16" t="n"/>
      <c r="K3787" s="16" t="n"/>
      <c r="M3787" s="89" t="n"/>
      <c r="N3787" s="1" t="n"/>
      <c r="O3787" s="1" t="n"/>
      <c r="P3787" s="1" t="n"/>
      <c r="Q3787" s="1" t="n"/>
      <c r="R3787" s="1" t="n"/>
    </row>
    <row r="3788">
      <c r="A3788" s="61" t="n"/>
      <c r="B3788" s="16" t="n"/>
      <c r="C3788" s="90" t="n"/>
      <c r="D3788" s="90" t="n"/>
      <c r="E3788" s="90" t="n"/>
      <c r="F3788" s="16" t="n"/>
      <c r="G3788" s="16" t="n"/>
      <c r="H3788" s="63" t="n"/>
      <c r="I3788" s="64" t="n"/>
      <c r="J3788" s="16" t="n"/>
      <c r="K3788" s="16" t="n"/>
      <c r="M3788" s="89" t="n"/>
      <c r="N3788" s="1" t="n"/>
      <c r="O3788" s="1" t="n"/>
      <c r="P3788" s="1" t="n"/>
      <c r="Q3788" s="1" t="n"/>
      <c r="R3788" s="1" t="n"/>
    </row>
    <row r="3789">
      <c r="A3789" s="61" t="n"/>
      <c r="B3789" s="16" t="n"/>
      <c r="C3789" s="90" t="n"/>
      <c r="D3789" s="90" t="n"/>
      <c r="E3789" s="90" t="n"/>
      <c r="F3789" s="16" t="n"/>
      <c r="G3789" s="16" t="n"/>
      <c r="H3789" s="63" t="n"/>
      <c r="I3789" s="64" t="n"/>
      <c r="J3789" s="16" t="n"/>
      <c r="K3789" s="16" t="n"/>
      <c r="M3789" s="89" t="n"/>
      <c r="N3789" s="1" t="n"/>
      <c r="O3789" s="1" t="n"/>
      <c r="P3789" s="1" t="n"/>
      <c r="Q3789" s="1" t="n"/>
      <c r="R3789" s="1" t="n"/>
    </row>
    <row r="3790">
      <c r="A3790" s="61" t="n"/>
      <c r="B3790" s="16" t="n"/>
      <c r="C3790" s="90" t="n"/>
      <c r="D3790" s="90" t="n"/>
      <c r="E3790" s="90" t="n"/>
      <c r="F3790" s="16" t="n"/>
      <c r="G3790" s="16" t="n"/>
      <c r="H3790" s="63" t="n"/>
      <c r="I3790" s="64" t="n"/>
      <c r="J3790" s="16" t="n"/>
      <c r="K3790" s="16" t="n"/>
      <c r="M3790" s="89" t="n"/>
      <c r="N3790" s="1" t="n"/>
      <c r="O3790" s="1" t="n"/>
      <c r="P3790" s="1" t="n"/>
      <c r="Q3790" s="1" t="n"/>
      <c r="R3790" s="1" t="n"/>
    </row>
    <row r="3791">
      <c r="A3791" s="61" t="n"/>
      <c r="B3791" s="16" t="n"/>
      <c r="C3791" s="90" t="n"/>
      <c r="D3791" s="90" t="n"/>
      <c r="E3791" s="90" t="n"/>
      <c r="F3791" s="16" t="n"/>
      <c r="G3791" s="16" t="n"/>
      <c r="H3791" s="63" t="n"/>
      <c r="I3791" s="64" t="n"/>
      <c r="J3791" s="16" t="n"/>
      <c r="K3791" s="16" t="n"/>
      <c r="M3791" s="89" t="n"/>
      <c r="N3791" s="1" t="n"/>
      <c r="O3791" s="1" t="n"/>
      <c r="P3791" s="1" t="n"/>
      <c r="Q3791" s="1" t="n"/>
      <c r="R3791" s="1" t="n"/>
    </row>
    <row r="3792">
      <c r="A3792" s="61" t="n"/>
      <c r="B3792" s="16" t="n"/>
      <c r="C3792" s="90" t="n"/>
      <c r="D3792" s="90" t="n"/>
      <c r="E3792" s="90" t="n"/>
      <c r="F3792" s="16" t="n"/>
      <c r="G3792" s="16" t="n"/>
      <c r="H3792" s="63" t="n"/>
      <c r="I3792" s="64" t="n"/>
      <c r="J3792" s="16" t="n"/>
      <c r="K3792" s="16" t="n"/>
      <c r="M3792" s="89" t="n"/>
      <c r="N3792" s="1" t="n"/>
      <c r="O3792" s="1" t="n"/>
      <c r="P3792" s="1" t="n"/>
      <c r="Q3792" s="1" t="n"/>
      <c r="R3792" s="1" t="n"/>
    </row>
    <row r="3793">
      <c r="A3793" s="61" t="n"/>
      <c r="B3793" s="16" t="n"/>
      <c r="C3793" s="90" t="n"/>
      <c r="D3793" s="90" t="n"/>
      <c r="E3793" s="90" t="n"/>
      <c r="F3793" s="16" t="n"/>
      <c r="G3793" s="16" t="n"/>
      <c r="H3793" s="63" t="n"/>
      <c r="I3793" s="64" t="n"/>
      <c r="J3793" s="16" t="n"/>
      <c r="K3793" s="16" t="n"/>
      <c r="M3793" s="89" t="n"/>
      <c r="N3793" s="1" t="n"/>
      <c r="O3793" s="1" t="n"/>
      <c r="P3793" s="1" t="n"/>
      <c r="Q3793" s="1" t="n"/>
      <c r="R3793" s="1" t="n"/>
    </row>
    <row r="3794">
      <c r="A3794" s="61" t="n"/>
      <c r="B3794" s="16" t="n"/>
      <c r="C3794" s="90" t="n"/>
      <c r="D3794" s="90" t="n"/>
      <c r="E3794" s="90" t="n"/>
      <c r="F3794" s="16" t="n"/>
      <c r="G3794" s="16" t="n"/>
      <c r="H3794" s="63" t="n"/>
      <c r="I3794" s="64" t="n"/>
      <c r="J3794" s="16" t="n"/>
      <c r="K3794" s="16" t="n"/>
      <c r="M3794" s="89" t="n"/>
      <c r="N3794" s="1" t="n"/>
      <c r="O3794" s="1" t="n"/>
      <c r="P3794" s="1" t="n"/>
      <c r="Q3794" s="1" t="n"/>
      <c r="R3794" s="1" t="n"/>
    </row>
    <row r="3795">
      <c r="A3795" s="61" t="n"/>
      <c r="B3795" s="16" t="n"/>
      <c r="C3795" s="90" t="n"/>
      <c r="D3795" s="90" t="n"/>
      <c r="E3795" s="90" t="n"/>
      <c r="F3795" s="16" t="n"/>
      <c r="G3795" s="16" t="n"/>
      <c r="H3795" s="63" t="n"/>
      <c r="I3795" s="64" t="n"/>
      <c r="J3795" s="16" t="n"/>
      <c r="K3795" s="16" t="n"/>
      <c r="M3795" s="89" t="n"/>
      <c r="N3795" s="1" t="n"/>
      <c r="O3795" s="1" t="n"/>
      <c r="P3795" s="1" t="n"/>
      <c r="Q3795" s="1" t="n"/>
      <c r="R3795" s="1" t="n"/>
    </row>
    <row r="3796">
      <c r="A3796" s="61" t="n"/>
      <c r="B3796" s="16" t="n"/>
      <c r="C3796" s="90" t="n"/>
      <c r="D3796" s="90" t="n"/>
      <c r="E3796" s="90" t="n"/>
      <c r="F3796" s="16" t="n"/>
      <c r="G3796" s="16" t="n"/>
      <c r="H3796" s="63" t="n"/>
      <c r="I3796" s="64" t="n"/>
      <c r="J3796" s="16" t="n"/>
      <c r="K3796" s="16" t="n"/>
      <c r="M3796" s="89" t="n"/>
      <c r="N3796" s="1" t="n"/>
      <c r="O3796" s="1" t="n"/>
      <c r="P3796" s="1" t="n"/>
      <c r="Q3796" s="1" t="n"/>
      <c r="R3796" s="1" t="n"/>
    </row>
    <row r="3797">
      <c r="A3797" s="61" t="n"/>
      <c r="B3797" s="16" t="n"/>
      <c r="C3797" s="90" t="n"/>
      <c r="D3797" s="90" t="n"/>
      <c r="E3797" s="90" t="n"/>
      <c r="F3797" s="16" t="n"/>
      <c r="G3797" s="16" t="n"/>
      <c r="H3797" s="63" t="n"/>
      <c r="I3797" s="64" t="n"/>
      <c r="J3797" s="16" t="n"/>
      <c r="K3797" s="16" t="n"/>
      <c r="M3797" s="89" t="n"/>
      <c r="N3797" s="1" t="n"/>
      <c r="O3797" s="1" t="n"/>
      <c r="P3797" s="1" t="n"/>
      <c r="Q3797" s="1" t="n"/>
      <c r="R3797" s="1" t="n"/>
    </row>
    <row r="3798">
      <c r="A3798" s="61" t="n"/>
      <c r="B3798" s="16" t="n"/>
      <c r="C3798" s="90" t="n"/>
      <c r="D3798" s="90" t="n"/>
      <c r="E3798" s="90" t="n"/>
      <c r="F3798" s="16" t="n"/>
      <c r="G3798" s="16" t="n"/>
      <c r="H3798" s="63" t="n"/>
      <c r="I3798" s="64" t="n"/>
      <c r="J3798" s="16" t="n"/>
      <c r="K3798" s="16" t="n"/>
      <c r="M3798" s="89" t="n"/>
      <c r="N3798" s="1" t="n"/>
      <c r="O3798" s="1" t="n"/>
      <c r="P3798" s="1" t="n"/>
      <c r="Q3798" s="1" t="n"/>
      <c r="R3798" s="1" t="n"/>
    </row>
    <row r="3799">
      <c r="A3799" s="61" t="n"/>
      <c r="B3799" s="16" t="n"/>
      <c r="C3799" s="90" t="n"/>
      <c r="D3799" s="90" t="n"/>
      <c r="E3799" s="90" t="n"/>
      <c r="F3799" s="16" t="n"/>
      <c r="G3799" s="16" t="n"/>
      <c r="H3799" s="63" t="n"/>
      <c r="I3799" s="64" t="n"/>
      <c r="J3799" s="16" t="n"/>
      <c r="K3799" s="16" t="n"/>
      <c r="M3799" s="89" t="n"/>
      <c r="N3799" s="1" t="n"/>
      <c r="O3799" s="1" t="n"/>
      <c r="P3799" s="1" t="n"/>
      <c r="Q3799" s="1" t="n"/>
      <c r="R3799" s="1" t="n"/>
    </row>
    <row r="3800">
      <c r="A3800" s="61" t="n"/>
      <c r="B3800" s="16" t="n"/>
      <c r="C3800" s="90" t="n"/>
      <c r="D3800" s="90" t="n"/>
      <c r="E3800" s="90" t="n"/>
      <c r="F3800" s="16" t="n"/>
      <c r="G3800" s="16" t="n"/>
      <c r="H3800" s="63" t="n"/>
      <c r="I3800" s="64" t="n"/>
      <c r="J3800" s="16" t="n"/>
      <c r="K3800" s="16" t="n"/>
      <c r="M3800" s="89" t="n"/>
      <c r="N3800" s="1" t="n"/>
      <c r="O3800" s="1" t="n"/>
      <c r="P3800" s="1" t="n"/>
      <c r="Q3800" s="1" t="n"/>
      <c r="R3800" s="1" t="n"/>
    </row>
    <row r="3801">
      <c r="A3801" s="61" t="n"/>
      <c r="B3801" s="16" t="n"/>
      <c r="C3801" s="90" t="n"/>
      <c r="D3801" s="90" t="n"/>
      <c r="E3801" s="90" t="n"/>
      <c r="F3801" s="16" t="n"/>
      <c r="G3801" s="16" t="n"/>
      <c r="H3801" s="63" t="n"/>
      <c r="I3801" s="64" t="n"/>
      <c r="J3801" s="16" t="n"/>
      <c r="K3801" s="16" t="n"/>
      <c r="M3801" s="89" t="n"/>
      <c r="N3801" s="1" t="n"/>
      <c r="O3801" s="1" t="n"/>
      <c r="P3801" s="1" t="n"/>
      <c r="Q3801" s="1" t="n"/>
      <c r="R3801" s="1" t="n"/>
    </row>
    <row r="3802">
      <c r="A3802" s="61" t="n"/>
      <c r="B3802" s="16" t="n"/>
      <c r="C3802" s="90" t="n"/>
      <c r="D3802" s="90" t="n"/>
      <c r="E3802" s="90" t="n"/>
      <c r="F3802" s="16" t="n"/>
      <c r="G3802" s="16" t="n"/>
      <c r="H3802" s="63" t="n"/>
      <c r="I3802" s="64" t="n"/>
      <c r="J3802" s="16" t="n"/>
      <c r="K3802" s="16" t="n"/>
      <c r="M3802" s="89" t="n"/>
      <c r="N3802" s="1" t="n"/>
      <c r="O3802" s="1" t="n"/>
      <c r="P3802" s="1" t="n"/>
      <c r="Q3802" s="1" t="n"/>
      <c r="R3802" s="1" t="n"/>
    </row>
    <row r="3803">
      <c r="A3803" s="61" t="n"/>
      <c r="B3803" s="16" t="n"/>
      <c r="C3803" s="90" t="n"/>
      <c r="D3803" s="90" t="n"/>
      <c r="E3803" s="90" t="n"/>
      <c r="F3803" s="16" t="n"/>
      <c r="G3803" s="16" t="n"/>
      <c r="H3803" s="63" t="n"/>
      <c r="I3803" s="64" t="n"/>
      <c r="J3803" s="16" t="n"/>
      <c r="K3803" s="16" t="n"/>
      <c r="M3803" s="89" t="n"/>
      <c r="N3803" s="1" t="n"/>
      <c r="O3803" s="1" t="n"/>
      <c r="P3803" s="1" t="n"/>
      <c r="Q3803" s="1" t="n"/>
      <c r="R3803" s="1" t="n"/>
    </row>
    <row r="3804">
      <c r="A3804" s="61" t="n"/>
      <c r="B3804" s="16" t="n"/>
      <c r="C3804" s="90" t="n"/>
      <c r="D3804" s="90" t="n"/>
      <c r="E3804" s="90" t="n"/>
      <c r="F3804" s="16" t="n"/>
      <c r="G3804" s="16" t="n"/>
      <c r="H3804" s="63" t="n"/>
      <c r="I3804" s="64" t="n"/>
      <c r="J3804" s="16" t="n"/>
      <c r="K3804" s="16" t="n"/>
      <c r="M3804" s="89" t="n"/>
      <c r="N3804" s="1" t="n"/>
      <c r="O3804" s="1" t="n"/>
      <c r="P3804" s="1" t="n"/>
      <c r="Q3804" s="1" t="n"/>
      <c r="R3804" s="1" t="n"/>
    </row>
    <row r="3805">
      <c r="A3805" s="61" t="n"/>
      <c r="B3805" s="16" t="n"/>
      <c r="C3805" s="90" t="n"/>
      <c r="D3805" s="90" t="n"/>
      <c r="E3805" s="90" t="n"/>
      <c r="F3805" s="16" t="n"/>
      <c r="G3805" s="16" t="n"/>
      <c r="H3805" s="63" t="n"/>
      <c r="I3805" s="64" t="n"/>
      <c r="J3805" s="16" t="n"/>
      <c r="K3805" s="16" t="n"/>
      <c r="M3805" s="89" t="n"/>
      <c r="N3805" s="1" t="n"/>
      <c r="O3805" s="1" t="n"/>
      <c r="P3805" s="1" t="n"/>
      <c r="Q3805" s="1" t="n"/>
      <c r="R3805" s="1" t="n"/>
    </row>
    <row r="3806">
      <c r="A3806" s="61" t="n"/>
      <c r="B3806" s="16" t="n"/>
      <c r="C3806" s="90" t="n"/>
      <c r="D3806" s="90" t="n"/>
      <c r="E3806" s="90" t="n"/>
      <c r="F3806" s="16" t="n"/>
      <c r="G3806" s="16" t="n"/>
      <c r="H3806" s="63" t="n"/>
      <c r="I3806" s="64" t="n"/>
      <c r="J3806" s="16" t="n"/>
      <c r="K3806" s="16" t="n"/>
      <c r="M3806" s="89" t="n"/>
      <c r="N3806" s="1" t="n"/>
      <c r="O3806" s="1" t="n"/>
      <c r="P3806" s="1" t="n"/>
      <c r="Q3806" s="1" t="n"/>
      <c r="R3806" s="1" t="n"/>
    </row>
    <row r="3807">
      <c r="A3807" s="61" t="n"/>
      <c r="B3807" s="16" t="n"/>
      <c r="C3807" s="90" t="n"/>
      <c r="D3807" s="90" t="n"/>
      <c r="E3807" s="90" t="n"/>
      <c r="F3807" s="16" t="n"/>
      <c r="G3807" s="16" t="n"/>
      <c r="H3807" s="63" t="n"/>
      <c r="I3807" s="64" t="n"/>
      <c r="J3807" s="16" t="n"/>
      <c r="K3807" s="16" t="n"/>
      <c r="M3807" s="89" t="n"/>
      <c r="N3807" s="1" t="n"/>
      <c r="O3807" s="1" t="n"/>
      <c r="P3807" s="1" t="n"/>
      <c r="Q3807" s="1" t="n"/>
      <c r="R3807" s="1" t="n"/>
    </row>
    <row r="3808">
      <c r="A3808" s="61" t="n"/>
      <c r="B3808" s="16" t="n"/>
      <c r="C3808" s="90" t="n"/>
      <c r="D3808" s="90" t="n"/>
      <c r="E3808" s="90" t="n"/>
      <c r="F3808" s="16" t="n"/>
      <c r="G3808" s="16" t="n"/>
      <c r="H3808" s="63" t="n"/>
      <c r="I3808" s="64" t="n"/>
      <c r="J3808" s="16" t="n"/>
      <c r="K3808" s="16" t="n"/>
      <c r="M3808" s="89" t="n"/>
      <c r="N3808" s="1" t="n"/>
      <c r="O3808" s="1" t="n"/>
      <c r="P3808" s="1" t="n"/>
      <c r="Q3808" s="1" t="n"/>
      <c r="R3808" s="1" t="n"/>
    </row>
    <row r="3809">
      <c r="A3809" s="61" t="n"/>
      <c r="B3809" s="16" t="n"/>
      <c r="C3809" s="90" t="n"/>
      <c r="D3809" s="90" t="n"/>
      <c r="E3809" s="90" t="n"/>
      <c r="F3809" s="16" t="n"/>
      <c r="G3809" s="16" t="n"/>
      <c r="H3809" s="63" t="n"/>
      <c r="I3809" s="64" t="n"/>
      <c r="J3809" s="16" t="n"/>
      <c r="K3809" s="16" t="n"/>
      <c r="M3809" s="89" t="n"/>
      <c r="N3809" s="1" t="n"/>
      <c r="O3809" s="1" t="n"/>
      <c r="P3809" s="1" t="n"/>
      <c r="Q3809" s="1" t="n"/>
      <c r="R3809" s="1" t="n"/>
    </row>
    <row r="3810">
      <c r="A3810" s="61" t="n"/>
      <c r="B3810" s="16" t="n"/>
      <c r="C3810" s="90" t="n"/>
      <c r="D3810" s="90" t="n"/>
      <c r="E3810" s="90" t="n"/>
      <c r="F3810" s="16" t="n"/>
      <c r="G3810" s="16" t="n"/>
      <c r="H3810" s="63" t="n"/>
      <c r="I3810" s="64" t="n"/>
      <c r="J3810" s="16" t="n"/>
      <c r="K3810" s="16" t="n"/>
      <c r="M3810" s="89" t="n"/>
      <c r="N3810" s="1" t="n"/>
      <c r="O3810" s="1" t="n"/>
      <c r="P3810" s="1" t="n"/>
      <c r="Q3810" s="1" t="n"/>
      <c r="R3810" s="1" t="n"/>
    </row>
    <row r="3811">
      <c r="A3811" s="61" t="n"/>
      <c r="B3811" s="16" t="n"/>
      <c r="C3811" s="90" t="n"/>
      <c r="D3811" s="90" t="n"/>
      <c r="E3811" s="90" t="n"/>
      <c r="F3811" s="16" t="n"/>
      <c r="G3811" s="16" t="n"/>
      <c r="H3811" s="63" t="n"/>
      <c r="I3811" s="64" t="n"/>
      <c r="J3811" s="16" t="n"/>
      <c r="K3811" s="16" t="n"/>
      <c r="M3811" s="89" t="n"/>
      <c r="N3811" s="1" t="n"/>
      <c r="O3811" s="1" t="n"/>
      <c r="P3811" s="1" t="n"/>
      <c r="Q3811" s="1" t="n"/>
      <c r="R3811" s="1" t="n"/>
    </row>
    <row r="3812">
      <c r="A3812" s="61" t="n"/>
      <c r="B3812" s="16" t="n"/>
      <c r="C3812" s="90" t="n"/>
      <c r="D3812" s="90" t="n"/>
      <c r="E3812" s="90" t="n"/>
      <c r="F3812" s="16" t="n"/>
      <c r="G3812" s="16" t="n"/>
      <c r="H3812" s="63" t="n"/>
      <c r="I3812" s="64" t="n"/>
      <c r="J3812" s="16" t="n"/>
      <c r="K3812" s="16" t="n"/>
      <c r="M3812" s="89" t="n"/>
      <c r="N3812" s="1" t="n"/>
      <c r="O3812" s="1" t="n"/>
      <c r="P3812" s="1" t="n"/>
      <c r="Q3812" s="1" t="n"/>
      <c r="R3812" s="1" t="n"/>
    </row>
    <row r="3813">
      <c r="A3813" s="61" t="n"/>
      <c r="B3813" s="16" t="n"/>
      <c r="C3813" s="90" t="n"/>
      <c r="D3813" s="90" t="n"/>
      <c r="E3813" s="90" t="n"/>
      <c r="F3813" s="16" t="n"/>
      <c r="G3813" s="16" t="n"/>
      <c r="H3813" s="63" t="n"/>
      <c r="I3813" s="64" t="n"/>
      <c r="J3813" s="16" t="n"/>
      <c r="K3813" s="16" t="n"/>
      <c r="M3813" s="89" t="n"/>
      <c r="N3813" s="1" t="n"/>
      <c r="O3813" s="1" t="n"/>
      <c r="P3813" s="1" t="n"/>
      <c r="Q3813" s="1" t="n"/>
      <c r="R3813" s="1" t="n"/>
    </row>
    <row r="3814">
      <c r="A3814" s="61" t="n"/>
      <c r="B3814" s="16" t="n"/>
      <c r="C3814" s="90" t="n"/>
      <c r="D3814" s="90" t="n"/>
      <c r="E3814" s="90" t="n"/>
      <c r="F3814" s="16" t="n"/>
      <c r="G3814" s="16" t="n"/>
      <c r="H3814" s="63" t="n"/>
      <c r="I3814" s="64" t="n"/>
      <c r="J3814" s="16" t="n"/>
      <c r="K3814" s="16" t="n"/>
      <c r="M3814" s="89" t="n"/>
      <c r="N3814" s="1" t="n"/>
      <c r="O3814" s="1" t="n"/>
      <c r="P3814" s="1" t="n"/>
      <c r="Q3814" s="1" t="n"/>
      <c r="R3814" s="1" t="n"/>
    </row>
    <row r="3815">
      <c r="A3815" s="61" t="n"/>
      <c r="B3815" s="16" t="n"/>
      <c r="C3815" s="90" t="n"/>
      <c r="D3815" s="90" t="n"/>
      <c r="E3815" s="90" t="n"/>
      <c r="F3815" s="16" t="n"/>
      <c r="G3815" s="16" t="n"/>
      <c r="H3815" s="63" t="n"/>
      <c r="I3815" s="64" t="n"/>
      <c r="J3815" s="16" t="n"/>
      <c r="K3815" s="16" t="n"/>
      <c r="M3815" s="89" t="n"/>
      <c r="N3815" s="1" t="n"/>
      <c r="O3815" s="1" t="n"/>
      <c r="P3815" s="1" t="n"/>
      <c r="Q3815" s="1" t="n"/>
      <c r="R3815" s="1" t="n"/>
    </row>
    <row r="3816">
      <c r="A3816" s="61" t="n"/>
      <c r="B3816" s="16" t="n"/>
      <c r="C3816" s="90" t="n"/>
      <c r="D3816" s="90" t="n"/>
      <c r="E3816" s="90" t="n"/>
      <c r="F3816" s="16" t="n"/>
      <c r="G3816" s="16" t="n"/>
      <c r="H3816" s="63" t="n"/>
      <c r="I3816" s="64" t="n"/>
      <c r="J3816" s="16" t="n"/>
      <c r="K3816" s="16" t="n"/>
      <c r="M3816" s="89" t="n"/>
      <c r="N3816" s="1" t="n"/>
      <c r="O3816" s="1" t="n"/>
      <c r="P3816" s="1" t="n"/>
      <c r="Q3816" s="1" t="n"/>
      <c r="R3816" s="1" t="n"/>
    </row>
    <row r="3817">
      <c r="A3817" s="61" t="n"/>
      <c r="B3817" s="16" t="n"/>
      <c r="C3817" s="90" t="n"/>
      <c r="D3817" s="90" t="n"/>
      <c r="E3817" s="90" t="n"/>
      <c r="F3817" s="16" t="n"/>
      <c r="G3817" s="16" t="n"/>
      <c r="H3817" s="63" t="n"/>
      <c r="I3817" s="64" t="n"/>
      <c r="J3817" s="16" t="n"/>
      <c r="K3817" s="16" t="n"/>
      <c r="M3817" s="89" t="n"/>
      <c r="N3817" s="1" t="n"/>
      <c r="O3817" s="1" t="n"/>
      <c r="P3817" s="1" t="n"/>
      <c r="Q3817" s="1" t="n"/>
      <c r="R3817" s="1" t="n"/>
    </row>
    <row r="3818">
      <c r="A3818" s="61" t="n"/>
      <c r="B3818" s="16" t="n"/>
      <c r="C3818" s="90" t="n"/>
      <c r="D3818" s="90" t="n"/>
      <c r="E3818" s="90" t="n"/>
      <c r="F3818" s="16" t="n"/>
      <c r="G3818" s="16" t="n"/>
      <c r="H3818" s="63" t="n"/>
      <c r="I3818" s="64" t="n"/>
      <c r="J3818" s="16" t="n"/>
      <c r="K3818" s="16" t="n"/>
      <c r="M3818" s="89" t="n"/>
      <c r="N3818" s="1" t="n"/>
      <c r="O3818" s="1" t="n"/>
      <c r="P3818" s="1" t="n"/>
      <c r="Q3818" s="1" t="n"/>
      <c r="R3818" s="1" t="n"/>
    </row>
    <row r="3819">
      <c r="A3819" s="61" t="n"/>
      <c r="B3819" s="16" t="n"/>
      <c r="C3819" s="90" t="n"/>
      <c r="D3819" s="90" t="n"/>
      <c r="E3819" s="90" t="n"/>
      <c r="F3819" s="16" t="n"/>
      <c r="G3819" s="16" t="n"/>
      <c r="H3819" s="63" t="n"/>
      <c r="I3819" s="64" t="n"/>
      <c r="J3819" s="16" t="n"/>
      <c r="K3819" s="16" t="n"/>
      <c r="M3819" s="89" t="n"/>
      <c r="N3819" s="1" t="n"/>
      <c r="O3819" s="1" t="n"/>
      <c r="P3819" s="1" t="n"/>
      <c r="Q3819" s="1" t="n"/>
      <c r="R3819" s="1" t="n"/>
    </row>
    <row r="3820">
      <c r="A3820" s="61" t="n"/>
      <c r="B3820" s="16" t="n"/>
      <c r="C3820" s="90" t="n"/>
      <c r="D3820" s="90" t="n"/>
      <c r="E3820" s="90" t="n"/>
      <c r="F3820" s="16" t="n"/>
      <c r="G3820" s="16" t="n"/>
      <c r="H3820" s="63" t="n"/>
      <c r="I3820" s="64" t="n"/>
      <c r="J3820" s="16" t="n"/>
      <c r="K3820" s="16" t="n"/>
      <c r="M3820" s="89" t="n"/>
      <c r="N3820" s="1" t="n"/>
      <c r="O3820" s="1" t="n"/>
      <c r="P3820" s="1" t="n"/>
      <c r="Q3820" s="1" t="n"/>
      <c r="R3820" s="1" t="n"/>
    </row>
    <row r="3821">
      <c r="A3821" s="61" t="n"/>
      <c r="B3821" s="16" t="n"/>
      <c r="C3821" s="90" t="n"/>
      <c r="D3821" s="90" t="n"/>
      <c r="E3821" s="90" t="n"/>
      <c r="F3821" s="16" t="n"/>
      <c r="G3821" s="16" t="n"/>
      <c r="H3821" s="63" t="n"/>
      <c r="I3821" s="64" t="n"/>
      <c r="J3821" s="16" t="n"/>
      <c r="K3821" s="16" t="n"/>
      <c r="M3821" s="89" t="n"/>
      <c r="N3821" s="1" t="n"/>
      <c r="O3821" s="1" t="n"/>
      <c r="P3821" s="1" t="n"/>
      <c r="Q3821" s="1" t="n"/>
      <c r="R3821" s="1" t="n"/>
    </row>
    <row r="3822">
      <c r="A3822" s="61" t="n"/>
      <c r="B3822" s="16" t="n"/>
      <c r="C3822" s="90" t="n"/>
      <c r="D3822" s="90" t="n"/>
      <c r="E3822" s="90" t="n"/>
      <c r="F3822" s="16" t="n"/>
      <c r="G3822" s="16" t="n"/>
      <c r="H3822" s="63" t="n"/>
      <c r="I3822" s="64" t="n"/>
      <c r="J3822" s="16" t="n"/>
      <c r="K3822" s="16" t="n"/>
      <c r="M3822" s="89" t="n"/>
      <c r="N3822" s="1" t="n"/>
      <c r="O3822" s="1" t="n"/>
      <c r="P3822" s="1" t="n"/>
      <c r="Q3822" s="1" t="n"/>
      <c r="R3822" s="1" t="n"/>
    </row>
    <row r="3823">
      <c r="A3823" s="61" t="n"/>
      <c r="B3823" s="16" t="n"/>
      <c r="C3823" s="90" t="n"/>
      <c r="D3823" s="90" t="n"/>
      <c r="E3823" s="90" t="n"/>
      <c r="F3823" s="16" t="n"/>
      <c r="G3823" s="16" t="n"/>
      <c r="H3823" s="63" t="n"/>
      <c r="I3823" s="64" t="n"/>
      <c r="J3823" s="16" t="n"/>
      <c r="K3823" s="16" t="n"/>
      <c r="M3823" s="89" t="n"/>
      <c r="N3823" s="1" t="n"/>
      <c r="O3823" s="1" t="n"/>
      <c r="P3823" s="1" t="n"/>
      <c r="Q3823" s="1" t="n"/>
      <c r="R3823" s="1" t="n"/>
    </row>
    <row r="3824">
      <c r="A3824" s="61" t="n"/>
      <c r="B3824" s="16" t="n"/>
      <c r="C3824" s="90" t="n"/>
      <c r="D3824" s="90" t="n"/>
      <c r="E3824" s="90" t="n"/>
      <c r="F3824" s="16" t="n"/>
      <c r="G3824" s="16" t="n"/>
      <c r="H3824" s="63" t="n"/>
      <c r="I3824" s="64" t="n"/>
      <c r="J3824" s="16" t="n"/>
      <c r="K3824" s="16" t="n"/>
      <c r="M3824" s="89" t="n"/>
      <c r="N3824" s="1" t="n"/>
      <c r="O3824" s="1" t="n"/>
      <c r="P3824" s="1" t="n"/>
      <c r="Q3824" s="1" t="n"/>
      <c r="R3824" s="1" t="n"/>
    </row>
    <row r="3825">
      <c r="A3825" s="61" t="n"/>
      <c r="B3825" s="16" t="n"/>
      <c r="C3825" s="90" t="n"/>
      <c r="D3825" s="90" t="n"/>
      <c r="E3825" s="90" t="n"/>
      <c r="F3825" s="16" t="n"/>
      <c r="G3825" s="16" t="n"/>
      <c r="H3825" s="63" t="n"/>
      <c r="I3825" s="64" t="n"/>
      <c r="J3825" s="16" t="n"/>
      <c r="K3825" s="16" t="n"/>
      <c r="M3825" s="89" t="n"/>
      <c r="N3825" s="1" t="n"/>
      <c r="O3825" s="1" t="n"/>
      <c r="P3825" s="1" t="n"/>
      <c r="Q3825" s="1" t="n"/>
      <c r="R3825" s="1" t="n"/>
    </row>
    <row r="3826">
      <c r="A3826" s="61" t="n"/>
      <c r="B3826" s="16" t="n"/>
      <c r="C3826" s="90" t="n"/>
      <c r="D3826" s="90" t="n"/>
      <c r="E3826" s="90" t="n"/>
      <c r="F3826" s="16" t="n"/>
      <c r="G3826" s="16" t="n"/>
      <c r="H3826" s="63" t="n"/>
      <c r="I3826" s="64" t="n"/>
      <c r="J3826" s="16" t="n"/>
      <c r="K3826" s="16" t="n"/>
      <c r="M3826" s="89" t="n"/>
      <c r="N3826" s="1" t="n"/>
      <c r="O3826" s="1" t="n"/>
      <c r="P3826" s="1" t="n"/>
      <c r="Q3826" s="1" t="n"/>
      <c r="R3826" s="1" t="n"/>
    </row>
    <row r="3827">
      <c r="A3827" s="61" t="n"/>
      <c r="B3827" s="16" t="n"/>
      <c r="C3827" s="90" t="n"/>
      <c r="D3827" s="90" t="n"/>
      <c r="E3827" s="90" t="n"/>
      <c r="F3827" s="16" t="n"/>
      <c r="G3827" s="16" t="n"/>
      <c r="H3827" s="63" t="n"/>
      <c r="I3827" s="64" t="n"/>
      <c r="J3827" s="16" t="n"/>
      <c r="K3827" s="16" t="n"/>
      <c r="M3827" s="89" t="n"/>
      <c r="N3827" s="1" t="n"/>
      <c r="O3827" s="1" t="n"/>
      <c r="P3827" s="1" t="n"/>
      <c r="Q3827" s="1" t="n"/>
      <c r="R3827" s="1" t="n"/>
    </row>
    <row r="3828">
      <c r="A3828" s="61" t="n"/>
      <c r="B3828" s="16" t="n"/>
      <c r="C3828" s="90" t="n"/>
      <c r="D3828" s="90" t="n"/>
      <c r="E3828" s="90" t="n"/>
      <c r="F3828" s="16" t="n"/>
      <c r="G3828" s="16" t="n"/>
      <c r="H3828" s="63" t="n"/>
      <c r="I3828" s="64" t="n"/>
      <c r="J3828" s="16" t="n"/>
      <c r="K3828" s="16" t="n"/>
      <c r="M3828" s="89" t="n"/>
      <c r="N3828" s="1" t="n"/>
      <c r="O3828" s="1" t="n"/>
      <c r="P3828" s="1" t="n"/>
      <c r="Q3828" s="1" t="n"/>
      <c r="R3828" s="1" t="n"/>
    </row>
    <row r="3829">
      <c r="A3829" s="61" t="n"/>
      <c r="B3829" s="16" t="n"/>
      <c r="C3829" s="90" t="n"/>
      <c r="D3829" s="90" t="n"/>
      <c r="E3829" s="90" t="n"/>
      <c r="F3829" s="16" t="n"/>
      <c r="G3829" s="16" t="n"/>
      <c r="H3829" s="63" t="n"/>
      <c r="I3829" s="64" t="n"/>
      <c r="J3829" s="16" t="n"/>
      <c r="K3829" s="16" t="n"/>
      <c r="M3829" s="89" t="n"/>
      <c r="N3829" s="1" t="n"/>
      <c r="O3829" s="1" t="n"/>
      <c r="P3829" s="1" t="n"/>
      <c r="Q3829" s="1" t="n"/>
      <c r="R3829" s="1" t="n"/>
    </row>
    <row r="3830">
      <c r="A3830" s="61" t="n"/>
      <c r="B3830" s="16" t="n"/>
      <c r="C3830" s="90" t="n"/>
      <c r="D3830" s="90" t="n"/>
      <c r="E3830" s="90" t="n"/>
      <c r="F3830" s="16" t="n"/>
      <c r="G3830" s="16" t="n"/>
      <c r="H3830" s="63" t="n"/>
      <c r="I3830" s="64" t="n"/>
      <c r="J3830" s="16" t="n"/>
      <c r="K3830" s="16" t="n"/>
      <c r="M3830" s="89" t="n"/>
      <c r="N3830" s="1" t="n"/>
      <c r="O3830" s="1" t="n"/>
      <c r="P3830" s="1" t="n"/>
      <c r="Q3830" s="1" t="n"/>
      <c r="R3830" s="1" t="n"/>
    </row>
    <row r="3831">
      <c r="A3831" s="61" t="n"/>
      <c r="B3831" s="16" t="n"/>
      <c r="C3831" s="90" t="n"/>
      <c r="D3831" s="90" t="n"/>
      <c r="E3831" s="90" t="n"/>
      <c r="F3831" s="16" t="n"/>
      <c r="G3831" s="16" t="n"/>
      <c r="H3831" s="63" t="n"/>
      <c r="I3831" s="64" t="n"/>
      <c r="J3831" s="16" t="n"/>
      <c r="K3831" s="16" t="n"/>
      <c r="M3831" s="89" t="n"/>
      <c r="N3831" s="1" t="n"/>
      <c r="O3831" s="1" t="n"/>
      <c r="P3831" s="1" t="n"/>
      <c r="Q3831" s="1" t="n"/>
      <c r="R3831" s="1" t="n"/>
    </row>
    <row r="3832">
      <c r="A3832" s="61" t="n"/>
      <c r="B3832" s="16" t="n"/>
      <c r="C3832" s="90" t="n"/>
      <c r="D3832" s="90" t="n"/>
      <c r="E3832" s="90" t="n"/>
      <c r="F3832" s="16" t="n"/>
      <c r="G3832" s="16" t="n"/>
      <c r="H3832" s="63" t="n"/>
      <c r="I3832" s="64" t="n"/>
      <c r="J3832" s="16" t="n"/>
      <c r="K3832" s="16" t="n"/>
      <c r="M3832" s="89" t="n"/>
      <c r="N3832" s="1" t="n"/>
      <c r="O3832" s="1" t="n"/>
      <c r="P3832" s="1" t="n"/>
      <c r="Q3832" s="1" t="n"/>
      <c r="R3832" s="1" t="n"/>
    </row>
    <row r="3833">
      <c r="A3833" s="61" t="n"/>
      <c r="B3833" s="16" t="n"/>
      <c r="C3833" s="90" t="n"/>
      <c r="D3833" s="90" t="n"/>
      <c r="E3833" s="90" t="n"/>
      <c r="F3833" s="16" t="n"/>
      <c r="G3833" s="16" t="n"/>
      <c r="H3833" s="63" t="n"/>
      <c r="I3833" s="64" t="n"/>
      <c r="J3833" s="16" t="n"/>
      <c r="K3833" s="16" t="n"/>
      <c r="M3833" s="89" t="n"/>
      <c r="N3833" s="1" t="n"/>
      <c r="O3833" s="1" t="n"/>
      <c r="P3833" s="1" t="n"/>
      <c r="Q3833" s="1" t="n"/>
      <c r="R3833" s="1" t="n"/>
    </row>
    <row r="3834">
      <c r="A3834" s="61" t="n"/>
      <c r="B3834" s="16" t="n"/>
      <c r="C3834" s="90" t="n"/>
      <c r="D3834" s="90" t="n"/>
      <c r="E3834" s="90" t="n"/>
      <c r="F3834" s="16" t="n"/>
      <c r="G3834" s="16" t="n"/>
      <c r="H3834" s="63" t="n"/>
      <c r="I3834" s="64" t="n"/>
      <c r="J3834" s="16" t="n"/>
      <c r="K3834" s="16" t="n"/>
      <c r="M3834" s="89" t="n"/>
      <c r="N3834" s="1" t="n"/>
      <c r="O3834" s="1" t="n"/>
      <c r="P3834" s="1" t="n"/>
      <c r="Q3834" s="1" t="n"/>
      <c r="R3834" s="1" t="n"/>
    </row>
    <row r="3835">
      <c r="A3835" s="61" t="n"/>
      <c r="B3835" s="16" t="n"/>
      <c r="C3835" s="90" t="n"/>
      <c r="D3835" s="90" t="n"/>
      <c r="E3835" s="90" t="n"/>
      <c r="F3835" s="16" t="n"/>
      <c r="G3835" s="16" t="n"/>
      <c r="H3835" s="63" t="n"/>
      <c r="I3835" s="64" t="n"/>
      <c r="J3835" s="16" t="n"/>
      <c r="K3835" s="16" t="n"/>
      <c r="M3835" s="89" t="n"/>
      <c r="N3835" s="1" t="n"/>
      <c r="O3835" s="1" t="n"/>
      <c r="P3835" s="1" t="n"/>
      <c r="Q3835" s="1" t="n"/>
      <c r="R3835" s="1" t="n"/>
    </row>
    <row r="3836">
      <c r="A3836" s="61" t="n"/>
      <c r="B3836" s="16" t="n"/>
      <c r="C3836" s="90" t="n"/>
      <c r="D3836" s="90" t="n"/>
      <c r="E3836" s="90" t="n"/>
      <c r="F3836" s="16" t="n"/>
      <c r="G3836" s="16" t="n"/>
      <c r="H3836" s="63" t="n"/>
      <c r="I3836" s="64" t="n"/>
      <c r="J3836" s="16" t="n"/>
      <c r="K3836" s="16" t="n"/>
      <c r="M3836" s="89" t="n"/>
      <c r="N3836" s="1" t="n"/>
      <c r="O3836" s="1" t="n"/>
      <c r="P3836" s="1" t="n"/>
      <c r="Q3836" s="1" t="n"/>
      <c r="R3836" s="1" t="n"/>
    </row>
    <row r="3837">
      <c r="A3837" s="61" t="n"/>
      <c r="B3837" s="16" t="n"/>
      <c r="C3837" s="90" t="n"/>
      <c r="D3837" s="90" t="n"/>
      <c r="E3837" s="90" t="n"/>
      <c r="F3837" s="16" t="n"/>
      <c r="G3837" s="16" t="n"/>
      <c r="H3837" s="63" t="n"/>
      <c r="I3837" s="64" t="n"/>
      <c r="J3837" s="16" t="n"/>
      <c r="K3837" s="16" t="n"/>
      <c r="M3837" s="89" t="n"/>
      <c r="N3837" s="1" t="n"/>
      <c r="O3837" s="1" t="n"/>
      <c r="P3837" s="1" t="n"/>
      <c r="Q3837" s="1" t="n"/>
      <c r="R3837" s="1" t="n"/>
    </row>
    <row r="3838">
      <c r="A3838" s="61" t="n"/>
      <c r="B3838" s="16" t="n"/>
      <c r="C3838" s="90" t="n"/>
      <c r="D3838" s="90" t="n"/>
      <c r="E3838" s="90" t="n"/>
      <c r="F3838" s="16" t="n"/>
      <c r="G3838" s="16" t="n"/>
      <c r="H3838" s="63" t="n"/>
      <c r="I3838" s="64" t="n"/>
      <c r="J3838" s="16" t="n"/>
      <c r="K3838" s="16" t="n"/>
      <c r="M3838" s="89" t="n"/>
      <c r="N3838" s="1" t="n"/>
      <c r="O3838" s="1" t="n"/>
      <c r="P3838" s="1" t="n"/>
      <c r="Q3838" s="1" t="n"/>
      <c r="R3838" s="1" t="n"/>
    </row>
    <row r="3839">
      <c r="A3839" s="61" t="n"/>
      <c r="B3839" s="16" t="n"/>
      <c r="C3839" s="90" t="n"/>
      <c r="D3839" s="90" t="n"/>
      <c r="E3839" s="90" t="n"/>
      <c r="F3839" s="16" t="n"/>
      <c r="G3839" s="16" t="n"/>
      <c r="H3839" s="63" t="n"/>
      <c r="I3839" s="64" t="n"/>
      <c r="J3839" s="16" t="n"/>
      <c r="K3839" s="16" t="n"/>
      <c r="M3839" s="89" t="n"/>
      <c r="N3839" s="1" t="n"/>
      <c r="O3839" s="1" t="n"/>
      <c r="P3839" s="1" t="n"/>
      <c r="Q3839" s="1" t="n"/>
      <c r="R3839" s="1" t="n"/>
    </row>
    <row r="3840">
      <c r="A3840" s="61" t="n"/>
      <c r="B3840" s="16" t="n"/>
      <c r="C3840" s="90" t="n"/>
      <c r="D3840" s="90" t="n"/>
      <c r="E3840" s="90" t="n"/>
      <c r="F3840" s="16" t="n"/>
      <c r="G3840" s="16" t="n"/>
      <c r="H3840" s="63" t="n"/>
      <c r="I3840" s="64" t="n"/>
      <c r="J3840" s="16" t="n"/>
      <c r="K3840" s="16" t="n"/>
      <c r="M3840" s="89" t="n"/>
      <c r="N3840" s="1" t="n"/>
      <c r="O3840" s="1" t="n"/>
      <c r="P3840" s="1" t="n"/>
      <c r="Q3840" s="1" t="n"/>
      <c r="R3840" s="1" t="n"/>
    </row>
    <row r="3841">
      <c r="A3841" s="61" t="n"/>
      <c r="B3841" s="16" t="n"/>
      <c r="C3841" s="90" t="n"/>
      <c r="D3841" s="90" t="n"/>
      <c r="E3841" s="90" t="n"/>
      <c r="F3841" s="16" t="n"/>
      <c r="G3841" s="16" t="n"/>
      <c r="H3841" s="63" t="n"/>
      <c r="I3841" s="64" t="n"/>
      <c r="J3841" s="16" t="n"/>
      <c r="K3841" s="16" t="n"/>
      <c r="M3841" s="89" t="n"/>
      <c r="N3841" s="1" t="n"/>
      <c r="O3841" s="1" t="n"/>
      <c r="P3841" s="1" t="n"/>
      <c r="Q3841" s="1" t="n"/>
      <c r="R3841" s="1" t="n"/>
    </row>
    <row r="3842">
      <c r="A3842" s="61" t="n"/>
      <c r="B3842" s="16" t="n"/>
      <c r="C3842" s="90" t="n"/>
      <c r="D3842" s="90" t="n"/>
      <c r="E3842" s="90" t="n"/>
      <c r="F3842" s="16" t="n"/>
      <c r="G3842" s="16" t="n"/>
      <c r="H3842" s="63" t="n"/>
      <c r="I3842" s="64" t="n"/>
      <c r="J3842" s="16" t="n"/>
      <c r="K3842" s="16" t="n"/>
      <c r="M3842" s="89" t="n"/>
      <c r="N3842" s="1" t="n"/>
      <c r="O3842" s="1" t="n"/>
      <c r="P3842" s="1" t="n"/>
      <c r="Q3842" s="1" t="n"/>
      <c r="R3842" s="1" t="n"/>
    </row>
    <row r="3843">
      <c r="A3843" s="61" t="n"/>
      <c r="B3843" s="16" t="n"/>
      <c r="C3843" s="90" t="n"/>
      <c r="D3843" s="90" t="n"/>
      <c r="E3843" s="90" t="n"/>
      <c r="F3843" s="16" t="n"/>
      <c r="G3843" s="16" t="n"/>
      <c r="H3843" s="63" t="n"/>
      <c r="I3843" s="64" t="n"/>
      <c r="J3843" s="16" t="n"/>
      <c r="K3843" s="16" t="n"/>
      <c r="M3843" s="89" t="n"/>
      <c r="N3843" s="1" t="n"/>
      <c r="O3843" s="1" t="n"/>
      <c r="P3843" s="1" t="n"/>
      <c r="Q3843" s="1" t="n"/>
      <c r="R3843" s="1" t="n"/>
    </row>
    <row r="3844">
      <c r="A3844" s="61" t="n"/>
      <c r="B3844" s="16" t="n"/>
      <c r="C3844" s="90" t="n"/>
      <c r="D3844" s="90" t="n"/>
      <c r="E3844" s="90" t="n"/>
      <c r="F3844" s="16" t="n"/>
      <c r="G3844" s="16" t="n"/>
      <c r="H3844" s="63" t="n"/>
      <c r="I3844" s="64" t="n"/>
      <c r="J3844" s="16" t="n"/>
      <c r="K3844" s="16" t="n"/>
      <c r="M3844" s="89" t="n"/>
      <c r="N3844" s="1" t="n"/>
      <c r="O3844" s="1" t="n"/>
      <c r="P3844" s="1" t="n"/>
      <c r="Q3844" s="1" t="n"/>
      <c r="R3844" s="1" t="n"/>
    </row>
    <row r="3845">
      <c r="A3845" s="61" t="n"/>
      <c r="B3845" s="16" t="n"/>
      <c r="C3845" s="90" t="n"/>
      <c r="D3845" s="90" t="n"/>
      <c r="E3845" s="90" t="n"/>
      <c r="F3845" s="16" t="n"/>
      <c r="G3845" s="16" t="n"/>
      <c r="H3845" s="63" t="n"/>
      <c r="I3845" s="64" t="n"/>
      <c r="J3845" s="16" t="n"/>
      <c r="K3845" s="16" t="n"/>
      <c r="M3845" s="89" t="n"/>
      <c r="N3845" s="1" t="n"/>
      <c r="O3845" s="1" t="n"/>
      <c r="P3845" s="1" t="n"/>
      <c r="Q3845" s="1" t="n"/>
      <c r="R3845" s="1" t="n"/>
    </row>
    <row r="3846">
      <c r="A3846" s="61" t="n"/>
      <c r="B3846" s="16" t="n"/>
      <c r="C3846" s="90" t="n"/>
      <c r="D3846" s="90" t="n"/>
      <c r="E3846" s="90" t="n"/>
      <c r="F3846" s="16" t="n"/>
      <c r="G3846" s="16" t="n"/>
      <c r="H3846" s="63" t="n"/>
      <c r="I3846" s="64" t="n"/>
      <c r="J3846" s="16" t="n"/>
      <c r="K3846" s="16" t="n"/>
      <c r="M3846" s="89" t="n"/>
      <c r="N3846" s="1" t="n"/>
      <c r="O3846" s="1" t="n"/>
      <c r="P3846" s="1" t="n"/>
      <c r="Q3846" s="1" t="n"/>
      <c r="R3846" s="1" t="n"/>
    </row>
    <row r="3847">
      <c r="A3847" s="61" t="n"/>
      <c r="B3847" s="16" t="n"/>
      <c r="C3847" s="90" t="n"/>
      <c r="D3847" s="90" t="n"/>
      <c r="E3847" s="90" t="n"/>
      <c r="F3847" s="16" t="n"/>
      <c r="G3847" s="16" t="n"/>
      <c r="H3847" s="63" t="n"/>
      <c r="I3847" s="64" t="n"/>
      <c r="J3847" s="16" t="n"/>
      <c r="K3847" s="16" t="n"/>
      <c r="M3847" s="89" t="n"/>
      <c r="N3847" s="1" t="n"/>
      <c r="O3847" s="1" t="n"/>
      <c r="P3847" s="1" t="n"/>
      <c r="Q3847" s="1" t="n"/>
      <c r="R3847" s="1" t="n"/>
    </row>
    <row r="3848">
      <c r="A3848" s="61" t="n"/>
      <c r="B3848" s="16" t="n"/>
      <c r="C3848" s="90" t="n"/>
      <c r="D3848" s="90" t="n"/>
      <c r="E3848" s="90" t="n"/>
      <c r="F3848" s="16" t="n"/>
      <c r="G3848" s="16" t="n"/>
      <c r="H3848" s="63" t="n"/>
      <c r="I3848" s="64" t="n"/>
      <c r="J3848" s="16" t="n"/>
      <c r="K3848" s="16" t="n"/>
      <c r="M3848" s="89" t="n"/>
      <c r="N3848" s="1" t="n"/>
      <c r="O3848" s="1" t="n"/>
      <c r="P3848" s="1" t="n"/>
      <c r="Q3848" s="1" t="n"/>
      <c r="R3848" s="1" t="n"/>
    </row>
    <row r="3849">
      <c r="A3849" s="61" t="n"/>
      <c r="B3849" s="16" t="n"/>
      <c r="C3849" s="90" t="n"/>
      <c r="D3849" s="90" t="n"/>
      <c r="E3849" s="90" t="n"/>
      <c r="F3849" s="16" t="n"/>
      <c r="G3849" s="16" t="n"/>
      <c r="H3849" s="63" t="n"/>
      <c r="I3849" s="64" t="n"/>
      <c r="J3849" s="16" t="n"/>
      <c r="K3849" s="16" t="n"/>
      <c r="M3849" s="89" t="n"/>
      <c r="N3849" s="1" t="n"/>
      <c r="O3849" s="1" t="n"/>
      <c r="P3849" s="1" t="n"/>
      <c r="Q3849" s="1" t="n"/>
      <c r="R3849" s="1" t="n"/>
    </row>
    <row r="3850">
      <c r="A3850" s="61" t="n"/>
      <c r="B3850" s="16" t="n"/>
      <c r="C3850" s="90" t="n"/>
      <c r="D3850" s="90" t="n"/>
      <c r="E3850" s="90" t="n"/>
      <c r="F3850" s="16" t="n"/>
      <c r="G3850" s="16" t="n"/>
      <c r="H3850" s="63" t="n"/>
      <c r="I3850" s="64" t="n"/>
      <c r="J3850" s="16" t="n"/>
      <c r="K3850" s="16" t="n"/>
      <c r="M3850" s="89" t="n"/>
      <c r="N3850" s="1" t="n"/>
      <c r="O3850" s="1" t="n"/>
      <c r="P3850" s="1" t="n"/>
      <c r="Q3850" s="1" t="n"/>
      <c r="R3850" s="1" t="n"/>
    </row>
    <row r="3851">
      <c r="A3851" s="61" t="n"/>
      <c r="B3851" s="16" t="n"/>
      <c r="C3851" s="90" t="n"/>
      <c r="D3851" s="90" t="n"/>
      <c r="E3851" s="90" t="n"/>
      <c r="F3851" s="16" t="n"/>
      <c r="G3851" s="16" t="n"/>
      <c r="H3851" s="63" t="n"/>
      <c r="I3851" s="64" t="n"/>
      <c r="J3851" s="16" t="n"/>
      <c r="K3851" s="16" t="n"/>
      <c r="M3851" s="89" t="n"/>
      <c r="N3851" s="1" t="n"/>
      <c r="O3851" s="1" t="n"/>
      <c r="P3851" s="1" t="n"/>
      <c r="Q3851" s="1" t="n"/>
      <c r="R3851" s="1" t="n"/>
    </row>
    <row r="3852">
      <c r="A3852" s="61" t="n"/>
      <c r="B3852" s="16" t="n"/>
      <c r="C3852" s="90" t="n"/>
      <c r="D3852" s="90" t="n"/>
      <c r="E3852" s="90" t="n"/>
      <c r="F3852" s="16" t="n"/>
      <c r="G3852" s="16" t="n"/>
      <c r="H3852" s="63" t="n"/>
      <c r="I3852" s="64" t="n"/>
      <c r="J3852" s="16" t="n"/>
      <c r="K3852" s="16" t="n"/>
      <c r="M3852" s="89" t="n"/>
      <c r="N3852" s="1" t="n"/>
      <c r="O3852" s="1" t="n"/>
      <c r="P3852" s="1" t="n"/>
      <c r="Q3852" s="1" t="n"/>
      <c r="R3852" s="1" t="n"/>
    </row>
    <row r="3853">
      <c r="A3853" s="61" t="n"/>
      <c r="B3853" s="16" t="n"/>
      <c r="C3853" s="90" t="n"/>
      <c r="D3853" s="90" t="n"/>
      <c r="E3853" s="90" t="n"/>
      <c r="F3853" s="16" t="n"/>
      <c r="G3853" s="16" t="n"/>
      <c r="H3853" s="63" t="n"/>
      <c r="I3853" s="64" t="n"/>
      <c r="J3853" s="16" t="n"/>
      <c r="K3853" s="16" t="n"/>
      <c r="M3853" s="89" t="n"/>
      <c r="N3853" s="1" t="n"/>
      <c r="O3853" s="1" t="n"/>
      <c r="P3853" s="1" t="n"/>
      <c r="Q3853" s="1" t="n"/>
      <c r="R3853" s="1" t="n"/>
    </row>
    <row r="3854">
      <c r="A3854" s="61" t="n"/>
      <c r="B3854" s="16" t="n"/>
      <c r="C3854" s="90" t="n"/>
      <c r="D3854" s="90" t="n"/>
      <c r="E3854" s="90" t="n"/>
      <c r="F3854" s="16" t="n"/>
      <c r="G3854" s="16" t="n"/>
      <c r="H3854" s="63" t="n"/>
      <c r="I3854" s="64" t="n"/>
      <c r="J3854" s="16" t="n"/>
      <c r="K3854" s="16" t="n"/>
      <c r="M3854" s="89" t="n"/>
      <c r="N3854" s="1" t="n"/>
      <c r="O3854" s="1" t="n"/>
      <c r="P3854" s="1" t="n"/>
      <c r="Q3854" s="1" t="n"/>
      <c r="R3854" s="1" t="n"/>
    </row>
    <row r="3855">
      <c r="A3855" s="61" t="n"/>
      <c r="B3855" s="16" t="n"/>
      <c r="C3855" s="90" t="n"/>
      <c r="D3855" s="90" t="n"/>
      <c r="E3855" s="90" t="n"/>
      <c r="F3855" s="16" t="n"/>
      <c r="G3855" s="16" t="n"/>
      <c r="H3855" s="63" t="n"/>
      <c r="I3855" s="64" t="n"/>
      <c r="J3855" s="16" t="n"/>
      <c r="K3855" s="16" t="n"/>
      <c r="M3855" s="89" t="n"/>
      <c r="N3855" s="1" t="n"/>
      <c r="O3855" s="1" t="n"/>
      <c r="P3855" s="1" t="n"/>
      <c r="Q3855" s="1" t="n"/>
      <c r="R3855" s="1" t="n"/>
    </row>
    <row r="3856">
      <c r="A3856" s="61" t="n"/>
      <c r="B3856" s="16" t="n"/>
      <c r="C3856" s="90" t="n"/>
      <c r="D3856" s="90" t="n"/>
      <c r="E3856" s="90" t="n"/>
      <c r="F3856" s="16" t="n"/>
      <c r="G3856" s="16" t="n"/>
      <c r="H3856" s="63" t="n"/>
      <c r="I3856" s="64" t="n"/>
      <c r="J3856" s="16" t="n"/>
      <c r="K3856" s="16" t="n"/>
      <c r="M3856" s="89" t="n"/>
      <c r="N3856" s="1" t="n"/>
      <c r="O3856" s="1" t="n"/>
      <c r="P3856" s="1" t="n"/>
      <c r="Q3856" s="1" t="n"/>
      <c r="R3856" s="1" t="n"/>
    </row>
    <row r="3857">
      <c r="A3857" s="61" t="n"/>
      <c r="B3857" s="16" t="n"/>
      <c r="C3857" s="90" t="n"/>
      <c r="D3857" s="90" t="n"/>
      <c r="E3857" s="90" t="n"/>
      <c r="F3857" s="16" t="n"/>
      <c r="G3857" s="16" t="n"/>
      <c r="H3857" s="63" t="n"/>
      <c r="I3857" s="64" t="n"/>
      <c r="J3857" s="16" t="n"/>
      <c r="K3857" s="16" t="n"/>
      <c r="M3857" s="89" t="n"/>
      <c r="N3857" s="1" t="n"/>
      <c r="O3857" s="1" t="n"/>
      <c r="P3857" s="1" t="n"/>
      <c r="Q3857" s="1" t="n"/>
      <c r="R3857" s="1" t="n"/>
    </row>
    <row r="3858">
      <c r="A3858" s="61" t="n"/>
      <c r="B3858" s="16" t="n"/>
      <c r="C3858" s="90" t="n"/>
      <c r="D3858" s="90" t="n"/>
      <c r="E3858" s="90" t="n"/>
      <c r="F3858" s="16" t="n"/>
      <c r="G3858" s="16" t="n"/>
      <c r="H3858" s="63" t="n"/>
      <c r="I3858" s="64" t="n"/>
      <c r="J3858" s="16" t="n"/>
      <c r="K3858" s="16" t="n"/>
      <c r="M3858" s="89" t="n"/>
      <c r="N3858" s="1" t="n"/>
      <c r="O3858" s="1" t="n"/>
      <c r="P3858" s="1" t="n"/>
      <c r="Q3858" s="1" t="n"/>
      <c r="R3858" s="1" t="n"/>
    </row>
    <row r="3859">
      <c r="A3859" s="61" t="n"/>
      <c r="B3859" s="16" t="n"/>
      <c r="C3859" s="90" t="n"/>
      <c r="D3859" s="90" t="n"/>
      <c r="E3859" s="90" t="n"/>
      <c r="F3859" s="16" t="n"/>
      <c r="G3859" s="16" t="n"/>
      <c r="H3859" s="63" t="n"/>
      <c r="I3859" s="64" t="n"/>
      <c r="J3859" s="16" t="n"/>
      <c r="K3859" s="16" t="n"/>
      <c r="M3859" s="89" t="n"/>
      <c r="N3859" s="1" t="n"/>
      <c r="O3859" s="1" t="n"/>
      <c r="P3859" s="1" t="n"/>
      <c r="Q3859" s="1" t="n"/>
      <c r="R3859" s="1" t="n"/>
    </row>
    <row r="3860">
      <c r="A3860" s="61" t="n"/>
      <c r="B3860" s="16" t="n"/>
      <c r="C3860" s="90" t="n"/>
      <c r="D3860" s="90" t="n"/>
      <c r="E3860" s="90" t="n"/>
      <c r="F3860" s="16" t="n"/>
      <c r="G3860" s="16" t="n"/>
      <c r="H3860" s="63" t="n"/>
      <c r="I3860" s="64" t="n"/>
      <c r="J3860" s="16" t="n"/>
      <c r="K3860" s="16" t="n"/>
      <c r="M3860" s="89" t="n"/>
      <c r="N3860" s="1" t="n"/>
      <c r="O3860" s="1" t="n"/>
      <c r="P3860" s="1" t="n"/>
      <c r="Q3860" s="1" t="n"/>
      <c r="R3860" s="1" t="n"/>
    </row>
    <row r="3861">
      <c r="A3861" s="61" t="n"/>
      <c r="B3861" s="16" t="n"/>
      <c r="C3861" s="90" t="n"/>
      <c r="D3861" s="90" t="n"/>
      <c r="E3861" s="90" t="n"/>
      <c r="F3861" s="16" t="n"/>
      <c r="G3861" s="16" t="n"/>
      <c r="H3861" s="63" t="n"/>
      <c r="I3861" s="64" t="n"/>
      <c r="J3861" s="16" t="n"/>
      <c r="K3861" s="16" t="n"/>
      <c r="M3861" s="89" t="n"/>
      <c r="N3861" s="1" t="n"/>
      <c r="O3861" s="1" t="n"/>
      <c r="P3861" s="1" t="n"/>
      <c r="Q3861" s="1" t="n"/>
      <c r="R3861" s="1" t="n"/>
    </row>
    <row r="3862">
      <c r="A3862" s="61" t="n"/>
      <c r="B3862" s="16" t="n"/>
      <c r="C3862" s="90" t="n"/>
      <c r="D3862" s="90" t="n"/>
      <c r="E3862" s="90" t="n"/>
      <c r="F3862" s="16" t="n"/>
      <c r="G3862" s="16" t="n"/>
      <c r="H3862" s="63" t="n"/>
      <c r="I3862" s="64" t="n"/>
      <c r="J3862" s="16" t="n"/>
      <c r="K3862" s="16" t="n"/>
      <c r="M3862" s="89" t="n"/>
      <c r="N3862" s="1" t="n"/>
      <c r="O3862" s="1" t="n"/>
      <c r="P3862" s="1" t="n"/>
      <c r="Q3862" s="1" t="n"/>
      <c r="R3862" s="1" t="n"/>
    </row>
    <row r="3863">
      <c r="A3863" s="61" t="n"/>
      <c r="B3863" s="16" t="n"/>
      <c r="C3863" s="90" t="n"/>
      <c r="D3863" s="90" t="n"/>
      <c r="E3863" s="90" t="n"/>
      <c r="F3863" s="16" t="n"/>
      <c r="G3863" s="16" t="n"/>
      <c r="H3863" s="63" t="n"/>
      <c r="I3863" s="64" t="n"/>
      <c r="J3863" s="16" t="n"/>
      <c r="K3863" s="16" t="n"/>
      <c r="M3863" s="89" t="n"/>
      <c r="N3863" s="1" t="n"/>
      <c r="O3863" s="1" t="n"/>
      <c r="P3863" s="1" t="n"/>
      <c r="Q3863" s="1" t="n"/>
      <c r="R3863" s="1" t="n"/>
    </row>
    <row r="3864">
      <c r="A3864" s="61" t="n"/>
      <c r="B3864" s="16" t="n"/>
      <c r="C3864" s="90" t="n"/>
      <c r="D3864" s="90" t="n"/>
      <c r="E3864" s="90" t="n"/>
      <c r="F3864" s="16" t="n"/>
      <c r="G3864" s="16" t="n"/>
      <c r="H3864" s="63" t="n"/>
      <c r="I3864" s="64" t="n"/>
      <c r="J3864" s="16" t="n"/>
      <c r="K3864" s="16" t="n"/>
      <c r="M3864" s="89" t="n"/>
      <c r="N3864" s="1" t="n"/>
      <c r="O3864" s="1" t="n"/>
      <c r="P3864" s="1" t="n"/>
      <c r="Q3864" s="1" t="n"/>
      <c r="R3864" s="1" t="n"/>
    </row>
    <row r="3865">
      <c r="A3865" s="61" t="n"/>
      <c r="B3865" s="16" t="n"/>
      <c r="C3865" s="90" t="n"/>
      <c r="D3865" s="90" t="n"/>
      <c r="E3865" s="90" t="n"/>
      <c r="F3865" s="16" t="n"/>
      <c r="G3865" s="16" t="n"/>
      <c r="H3865" s="63" t="n"/>
      <c r="I3865" s="64" t="n"/>
      <c r="J3865" s="16" t="n"/>
      <c r="K3865" s="16" t="n"/>
      <c r="M3865" s="89" t="n"/>
      <c r="N3865" s="1" t="n"/>
      <c r="O3865" s="1" t="n"/>
      <c r="P3865" s="1" t="n"/>
      <c r="Q3865" s="1" t="n"/>
      <c r="R3865" s="1" t="n"/>
    </row>
    <row r="3866">
      <c r="A3866" s="61" t="n"/>
      <c r="B3866" s="16" t="n"/>
      <c r="C3866" s="90" t="n"/>
      <c r="D3866" s="90" t="n"/>
      <c r="E3866" s="90" t="n"/>
      <c r="F3866" s="16" t="n"/>
      <c r="G3866" s="16" t="n"/>
      <c r="H3866" s="63" t="n"/>
      <c r="I3866" s="64" t="n"/>
      <c r="J3866" s="16" t="n"/>
      <c r="K3866" s="16" t="n"/>
      <c r="M3866" s="89" t="n"/>
      <c r="N3866" s="1" t="n"/>
      <c r="O3866" s="1" t="n"/>
      <c r="P3866" s="1" t="n"/>
      <c r="Q3866" s="1" t="n"/>
      <c r="R3866" s="1" t="n"/>
    </row>
    <row r="3867">
      <c r="A3867" s="61" t="n"/>
      <c r="B3867" s="16" t="n"/>
      <c r="C3867" s="90" t="n"/>
      <c r="D3867" s="90" t="n"/>
      <c r="E3867" s="90" t="n"/>
      <c r="F3867" s="16" t="n"/>
      <c r="G3867" s="16" t="n"/>
      <c r="H3867" s="63" t="n"/>
      <c r="I3867" s="64" t="n"/>
      <c r="J3867" s="16" t="n"/>
      <c r="K3867" s="16" t="n"/>
      <c r="M3867" s="89" t="n"/>
      <c r="N3867" s="1" t="n"/>
      <c r="O3867" s="1" t="n"/>
      <c r="P3867" s="1" t="n"/>
      <c r="Q3867" s="1" t="n"/>
      <c r="R3867" s="1" t="n"/>
    </row>
    <row r="3868">
      <c r="A3868" s="61" t="n"/>
      <c r="B3868" s="16" t="n"/>
      <c r="C3868" s="90" t="n"/>
      <c r="D3868" s="90" t="n"/>
      <c r="E3868" s="90" t="n"/>
      <c r="F3868" s="16" t="n"/>
      <c r="G3868" s="16" t="n"/>
      <c r="H3868" s="63" t="n"/>
      <c r="I3868" s="64" t="n"/>
      <c r="J3868" s="16" t="n"/>
      <c r="K3868" s="16" t="n"/>
      <c r="M3868" s="89" t="n"/>
      <c r="N3868" s="1" t="n"/>
      <c r="O3868" s="1" t="n"/>
      <c r="P3868" s="1" t="n"/>
      <c r="Q3868" s="1" t="n"/>
      <c r="R3868" s="1" t="n"/>
    </row>
    <row r="3869">
      <c r="A3869" s="61" t="n"/>
      <c r="B3869" s="16" t="n"/>
      <c r="C3869" s="90" t="n"/>
      <c r="D3869" s="90" t="n"/>
      <c r="E3869" s="90" t="n"/>
      <c r="F3869" s="16" t="n"/>
      <c r="G3869" s="16" t="n"/>
      <c r="H3869" s="63" t="n"/>
      <c r="I3869" s="64" t="n"/>
      <c r="J3869" s="16" t="n"/>
      <c r="K3869" s="16" t="n"/>
      <c r="M3869" s="89" t="n"/>
      <c r="N3869" s="1" t="n"/>
      <c r="O3869" s="1" t="n"/>
      <c r="P3869" s="1" t="n"/>
      <c r="Q3869" s="1" t="n"/>
      <c r="R3869" s="1" t="n"/>
    </row>
    <row r="3870">
      <c r="A3870" s="61" t="n"/>
      <c r="B3870" s="16" t="n"/>
      <c r="C3870" s="90" t="n"/>
      <c r="D3870" s="90" t="n"/>
      <c r="E3870" s="90" t="n"/>
      <c r="F3870" s="16" t="n"/>
      <c r="G3870" s="16" t="n"/>
      <c r="H3870" s="63" t="n"/>
      <c r="I3870" s="64" t="n"/>
      <c r="J3870" s="16" t="n"/>
      <c r="K3870" s="16" t="n"/>
      <c r="M3870" s="89" t="n"/>
      <c r="N3870" s="1" t="n"/>
      <c r="O3870" s="1" t="n"/>
      <c r="P3870" s="1" t="n"/>
      <c r="Q3870" s="1" t="n"/>
      <c r="R3870" s="1" t="n"/>
    </row>
    <row r="3871">
      <c r="A3871" s="61" t="n"/>
      <c r="B3871" s="16" t="n"/>
      <c r="C3871" s="90" t="n"/>
      <c r="D3871" s="90" t="n"/>
      <c r="E3871" s="90" t="n"/>
      <c r="F3871" s="16" t="n"/>
      <c r="G3871" s="16" t="n"/>
      <c r="H3871" s="63" t="n"/>
      <c r="I3871" s="64" t="n"/>
      <c r="J3871" s="16" t="n"/>
      <c r="K3871" s="16" t="n"/>
      <c r="M3871" s="89" t="n"/>
      <c r="N3871" s="1" t="n"/>
      <c r="O3871" s="1" t="n"/>
      <c r="P3871" s="1" t="n"/>
      <c r="Q3871" s="1" t="n"/>
      <c r="R3871" s="1" t="n"/>
    </row>
    <row r="3872">
      <c r="A3872" s="61" t="n"/>
      <c r="B3872" s="16" t="n"/>
      <c r="C3872" s="90" t="n"/>
      <c r="D3872" s="90" t="n"/>
      <c r="E3872" s="90" t="n"/>
      <c r="F3872" s="16" t="n"/>
      <c r="G3872" s="16" t="n"/>
      <c r="H3872" s="63" t="n"/>
      <c r="I3872" s="64" t="n"/>
      <c r="J3872" s="16" t="n"/>
      <c r="K3872" s="16" t="n"/>
      <c r="M3872" s="89" t="n"/>
      <c r="N3872" s="1" t="n"/>
      <c r="O3872" s="1" t="n"/>
      <c r="P3872" s="1" t="n"/>
      <c r="Q3872" s="1" t="n"/>
      <c r="R3872" s="1" t="n"/>
    </row>
    <row r="3873">
      <c r="A3873" s="61" t="n"/>
      <c r="B3873" s="16" t="n"/>
      <c r="C3873" s="90" t="n"/>
      <c r="D3873" s="90" t="n"/>
      <c r="E3873" s="90" t="n"/>
      <c r="F3873" s="16" t="n"/>
      <c r="G3873" s="16" t="n"/>
      <c r="H3873" s="63" t="n"/>
      <c r="I3873" s="64" t="n"/>
      <c r="J3873" s="16" t="n"/>
      <c r="K3873" s="16" t="n"/>
      <c r="M3873" s="89" t="n"/>
      <c r="N3873" s="1" t="n"/>
      <c r="O3873" s="1" t="n"/>
      <c r="P3873" s="1" t="n"/>
      <c r="Q3873" s="1" t="n"/>
      <c r="R3873" s="1" t="n"/>
    </row>
    <row r="3874">
      <c r="A3874" s="61" t="n"/>
      <c r="B3874" s="16" t="n"/>
      <c r="C3874" s="90" t="n"/>
      <c r="D3874" s="90" t="n"/>
      <c r="E3874" s="90" t="n"/>
      <c r="F3874" s="16" t="n"/>
      <c r="G3874" s="16" t="n"/>
      <c r="H3874" s="63" t="n"/>
      <c r="I3874" s="64" t="n"/>
      <c r="J3874" s="16" t="n"/>
      <c r="K3874" s="16" t="n"/>
      <c r="M3874" s="89" t="n"/>
      <c r="N3874" s="1" t="n"/>
      <c r="O3874" s="1" t="n"/>
      <c r="P3874" s="1" t="n"/>
      <c r="Q3874" s="1" t="n"/>
      <c r="R3874" s="1" t="n"/>
    </row>
    <row r="3875">
      <c r="A3875" s="61" t="n"/>
      <c r="B3875" s="16" t="n"/>
      <c r="C3875" s="90" t="n"/>
      <c r="D3875" s="90" t="n"/>
      <c r="E3875" s="90" t="n"/>
      <c r="F3875" s="16" t="n"/>
      <c r="G3875" s="16" t="n"/>
      <c r="H3875" s="63" t="n"/>
      <c r="I3875" s="64" t="n"/>
      <c r="J3875" s="16" t="n"/>
      <c r="K3875" s="16" t="n"/>
      <c r="M3875" s="89" t="n"/>
      <c r="N3875" s="1" t="n"/>
      <c r="O3875" s="1" t="n"/>
      <c r="P3875" s="1" t="n"/>
      <c r="Q3875" s="1" t="n"/>
      <c r="R3875" s="1" t="n"/>
    </row>
    <row r="3876">
      <c r="A3876" s="61" t="n"/>
      <c r="B3876" s="16" t="n"/>
      <c r="C3876" s="90" t="n"/>
      <c r="D3876" s="90" t="n"/>
      <c r="E3876" s="90" t="n"/>
      <c r="F3876" s="16" t="n"/>
      <c r="G3876" s="16" t="n"/>
      <c r="H3876" s="63" t="n"/>
      <c r="I3876" s="64" t="n"/>
      <c r="J3876" s="16" t="n"/>
      <c r="K3876" s="16" t="n"/>
      <c r="M3876" s="89" t="n"/>
      <c r="N3876" s="1" t="n"/>
      <c r="O3876" s="1" t="n"/>
      <c r="P3876" s="1" t="n"/>
      <c r="Q3876" s="1" t="n"/>
      <c r="R3876" s="1" t="n"/>
    </row>
    <row r="3877">
      <c r="A3877" s="61" t="n"/>
      <c r="B3877" s="16" t="n"/>
      <c r="C3877" s="90" t="n"/>
      <c r="D3877" s="90" t="n"/>
      <c r="E3877" s="90" t="n"/>
      <c r="F3877" s="16" t="n"/>
      <c r="G3877" s="16" t="n"/>
      <c r="H3877" s="63" t="n"/>
      <c r="I3877" s="64" t="n"/>
      <c r="J3877" s="16" t="n"/>
      <c r="K3877" s="16" t="n"/>
      <c r="M3877" s="89" t="n"/>
      <c r="N3877" s="1" t="n"/>
      <c r="O3877" s="1" t="n"/>
      <c r="P3877" s="1" t="n"/>
      <c r="Q3877" s="1" t="n"/>
      <c r="R3877" s="1" t="n"/>
    </row>
    <row r="3878">
      <c r="A3878" s="61" t="n"/>
      <c r="B3878" s="16" t="n"/>
      <c r="C3878" s="90" t="n"/>
      <c r="D3878" s="90" t="n"/>
      <c r="E3878" s="90" t="n"/>
      <c r="F3878" s="16" t="n"/>
      <c r="G3878" s="16" t="n"/>
      <c r="H3878" s="63" t="n"/>
      <c r="I3878" s="64" t="n"/>
      <c r="J3878" s="16" t="n"/>
      <c r="K3878" s="16" t="n"/>
      <c r="M3878" s="89" t="n"/>
      <c r="N3878" s="1" t="n"/>
      <c r="O3878" s="1" t="n"/>
      <c r="P3878" s="1" t="n"/>
      <c r="Q3878" s="1" t="n"/>
      <c r="R3878" s="1" t="n"/>
    </row>
    <row r="3879">
      <c r="A3879" s="61" t="n"/>
      <c r="B3879" s="16" t="n"/>
      <c r="C3879" s="90" t="n"/>
      <c r="D3879" s="90" t="n"/>
      <c r="E3879" s="90" t="n"/>
      <c r="F3879" s="16" t="n"/>
      <c r="G3879" s="16" t="n"/>
      <c r="H3879" s="63" t="n"/>
      <c r="I3879" s="64" t="n"/>
      <c r="J3879" s="16" t="n"/>
      <c r="K3879" s="16" t="n"/>
      <c r="M3879" s="89" t="n"/>
      <c r="N3879" s="1" t="n"/>
      <c r="O3879" s="1" t="n"/>
      <c r="P3879" s="1" t="n"/>
      <c r="Q3879" s="1" t="n"/>
      <c r="R3879" s="1" t="n"/>
    </row>
    <row r="3880">
      <c r="A3880" s="61" t="n"/>
      <c r="B3880" s="16" t="n"/>
      <c r="C3880" s="90" t="n"/>
      <c r="D3880" s="90" t="n"/>
      <c r="E3880" s="90" t="n"/>
      <c r="F3880" s="16" t="n"/>
      <c r="G3880" s="16" t="n"/>
      <c r="H3880" s="63" t="n"/>
      <c r="I3880" s="64" t="n"/>
      <c r="J3880" s="16" t="n"/>
      <c r="K3880" s="16" t="n"/>
      <c r="M3880" s="89" t="n"/>
      <c r="N3880" s="1" t="n"/>
      <c r="O3880" s="1" t="n"/>
      <c r="P3880" s="1" t="n"/>
      <c r="Q3880" s="1" t="n"/>
      <c r="R3880" s="1" t="n"/>
    </row>
    <row r="3881">
      <c r="A3881" s="61" t="n"/>
      <c r="B3881" s="16" t="n"/>
      <c r="C3881" s="90" t="n"/>
      <c r="D3881" s="90" t="n"/>
      <c r="E3881" s="90" t="n"/>
      <c r="F3881" s="16" t="n"/>
      <c r="G3881" s="16" t="n"/>
      <c r="H3881" s="63" t="n"/>
      <c r="I3881" s="64" t="n"/>
      <c r="J3881" s="16" t="n"/>
      <c r="K3881" s="16" t="n"/>
      <c r="M3881" s="89" t="n"/>
      <c r="N3881" s="1" t="n"/>
      <c r="O3881" s="1" t="n"/>
      <c r="P3881" s="1" t="n"/>
      <c r="Q3881" s="1" t="n"/>
      <c r="R3881" s="1" t="n"/>
    </row>
    <row r="3882">
      <c r="A3882" s="61" t="n"/>
      <c r="B3882" s="16" t="n"/>
      <c r="C3882" s="90" t="n"/>
      <c r="D3882" s="90" t="n"/>
      <c r="E3882" s="90" t="n"/>
      <c r="F3882" s="16" t="n"/>
      <c r="G3882" s="16" t="n"/>
      <c r="H3882" s="63" t="n"/>
      <c r="I3882" s="64" t="n"/>
      <c r="J3882" s="16" t="n"/>
      <c r="K3882" s="16" t="n"/>
      <c r="M3882" s="89" t="n"/>
      <c r="N3882" s="1" t="n"/>
      <c r="O3882" s="1" t="n"/>
      <c r="P3882" s="1" t="n"/>
      <c r="Q3882" s="1" t="n"/>
      <c r="R3882" s="1" t="n"/>
    </row>
    <row r="3883">
      <c r="A3883" s="61" t="n"/>
      <c r="B3883" s="16" t="n"/>
      <c r="C3883" s="90" t="n"/>
      <c r="D3883" s="90" t="n"/>
      <c r="E3883" s="90" t="n"/>
      <c r="F3883" s="16" t="n"/>
      <c r="G3883" s="16" t="n"/>
      <c r="H3883" s="63" t="n"/>
      <c r="I3883" s="64" t="n"/>
      <c r="J3883" s="16" t="n"/>
      <c r="K3883" s="16" t="n"/>
      <c r="M3883" s="89" t="n"/>
      <c r="N3883" s="1" t="n"/>
      <c r="O3883" s="1" t="n"/>
      <c r="P3883" s="1" t="n"/>
      <c r="Q3883" s="1" t="n"/>
      <c r="R3883" s="1" t="n"/>
    </row>
    <row r="3884">
      <c r="A3884" s="61" t="n"/>
      <c r="B3884" s="16" t="n"/>
      <c r="C3884" s="90" t="n"/>
      <c r="D3884" s="90" t="n"/>
      <c r="E3884" s="90" t="n"/>
      <c r="F3884" s="16" t="n"/>
      <c r="G3884" s="16" t="n"/>
      <c r="H3884" s="63" t="n"/>
      <c r="I3884" s="64" t="n"/>
      <c r="J3884" s="16" t="n"/>
      <c r="K3884" s="16" t="n"/>
      <c r="M3884" s="89" t="n"/>
      <c r="N3884" s="1" t="n"/>
      <c r="O3884" s="1" t="n"/>
      <c r="P3884" s="1" t="n"/>
      <c r="Q3884" s="1" t="n"/>
      <c r="R3884" s="1" t="n"/>
    </row>
    <row r="3885">
      <c r="A3885" s="61" t="n"/>
      <c r="B3885" s="16" t="n"/>
      <c r="C3885" s="90" t="n"/>
      <c r="D3885" s="90" t="n"/>
      <c r="E3885" s="90" t="n"/>
      <c r="F3885" s="16" t="n"/>
      <c r="G3885" s="16" t="n"/>
      <c r="H3885" s="63" t="n"/>
      <c r="I3885" s="64" t="n"/>
      <c r="J3885" s="16" t="n"/>
      <c r="K3885" s="16" t="n"/>
      <c r="M3885" s="89" t="n"/>
      <c r="N3885" s="1" t="n"/>
      <c r="O3885" s="1" t="n"/>
      <c r="P3885" s="1" t="n"/>
      <c r="Q3885" s="1" t="n"/>
      <c r="R3885" s="1" t="n"/>
    </row>
    <row r="3886">
      <c r="A3886" s="61" t="n"/>
      <c r="B3886" s="16" t="n"/>
      <c r="C3886" s="90" t="n"/>
      <c r="D3886" s="90" t="n"/>
      <c r="E3886" s="90" t="n"/>
      <c r="F3886" s="16" t="n"/>
      <c r="G3886" s="16" t="n"/>
      <c r="H3886" s="63" t="n"/>
      <c r="I3886" s="64" t="n"/>
      <c r="J3886" s="16" t="n"/>
      <c r="K3886" s="16" t="n"/>
      <c r="M3886" s="89" t="n"/>
      <c r="N3886" s="1" t="n"/>
      <c r="O3886" s="1" t="n"/>
      <c r="P3886" s="1" t="n"/>
      <c r="Q3886" s="1" t="n"/>
      <c r="R3886" s="1" t="n"/>
    </row>
    <row r="3887">
      <c r="A3887" s="61" t="n"/>
      <c r="B3887" s="16" t="n"/>
      <c r="C3887" s="90" t="n"/>
      <c r="D3887" s="90" t="n"/>
      <c r="E3887" s="90" t="n"/>
      <c r="F3887" s="16" t="n"/>
      <c r="G3887" s="16" t="n"/>
      <c r="H3887" s="63" t="n"/>
      <c r="I3887" s="64" t="n"/>
      <c r="J3887" s="16" t="n"/>
      <c r="K3887" s="16" t="n"/>
      <c r="M3887" s="89" t="n"/>
      <c r="N3887" s="1" t="n"/>
      <c r="O3887" s="1" t="n"/>
      <c r="P3887" s="1" t="n"/>
      <c r="Q3887" s="1" t="n"/>
      <c r="R3887" s="1" t="n"/>
    </row>
    <row r="3888">
      <c r="A3888" s="61" t="n"/>
      <c r="B3888" s="16" t="n"/>
      <c r="C3888" s="90" t="n"/>
      <c r="D3888" s="90" t="n"/>
      <c r="E3888" s="90" t="n"/>
      <c r="F3888" s="16" t="n"/>
      <c r="G3888" s="16" t="n"/>
      <c r="H3888" s="63" t="n"/>
      <c r="I3888" s="64" t="n"/>
      <c r="J3888" s="16" t="n"/>
      <c r="K3888" s="16" t="n"/>
      <c r="M3888" s="89" t="n"/>
      <c r="N3888" s="1" t="n"/>
      <c r="O3888" s="1" t="n"/>
      <c r="P3888" s="1" t="n"/>
      <c r="Q3888" s="1" t="n"/>
      <c r="R3888" s="1" t="n"/>
    </row>
    <row r="3889">
      <c r="A3889" s="61" t="n"/>
      <c r="B3889" s="16" t="n"/>
      <c r="C3889" s="90" t="n"/>
      <c r="D3889" s="90" t="n"/>
      <c r="E3889" s="90" t="n"/>
      <c r="F3889" s="16" t="n"/>
      <c r="G3889" s="16" t="n"/>
      <c r="H3889" s="63" t="n"/>
      <c r="I3889" s="64" t="n"/>
      <c r="J3889" s="16" t="n"/>
      <c r="K3889" s="16" t="n"/>
      <c r="M3889" s="89" t="n"/>
      <c r="N3889" s="1" t="n"/>
      <c r="O3889" s="1" t="n"/>
      <c r="P3889" s="1" t="n"/>
      <c r="Q3889" s="1" t="n"/>
      <c r="R3889" s="1" t="n"/>
    </row>
    <row r="3890">
      <c r="A3890" s="61" t="n"/>
      <c r="B3890" s="16" t="n"/>
      <c r="C3890" s="90" t="n"/>
      <c r="D3890" s="90" t="n"/>
      <c r="E3890" s="90" t="n"/>
      <c r="F3890" s="16" t="n"/>
      <c r="G3890" s="16" t="n"/>
      <c r="H3890" s="63" t="n"/>
      <c r="I3890" s="64" t="n"/>
      <c r="J3890" s="16" t="n"/>
      <c r="K3890" s="16" t="n"/>
      <c r="M3890" s="89" t="n"/>
      <c r="N3890" s="1" t="n"/>
      <c r="O3890" s="1" t="n"/>
      <c r="P3890" s="1" t="n"/>
      <c r="Q3890" s="1" t="n"/>
      <c r="R3890" s="1" t="n"/>
    </row>
    <row r="3891">
      <c r="A3891" s="61" t="n"/>
      <c r="B3891" s="16" t="n"/>
      <c r="C3891" s="90" t="n"/>
      <c r="D3891" s="90" t="n"/>
      <c r="E3891" s="90" t="n"/>
      <c r="F3891" s="16" t="n"/>
      <c r="G3891" s="16" t="n"/>
      <c r="H3891" s="63" t="n"/>
      <c r="I3891" s="64" t="n"/>
      <c r="J3891" s="16" t="n"/>
      <c r="K3891" s="16" t="n"/>
      <c r="M3891" s="89" t="n"/>
      <c r="N3891" s="1" t="n"/>
      <c r="O3891" s="1" t="n"/>
      <c r="P3891" s="1" t="n"/>
      <c r="Q3891" s="1" t="n"/>
      <c r="R3891" s="1" t="n"/>
    </row>
    <row r="3892">
      <c r="A3892" s="61" t="n"/>
      <c r="B3892" s="16" t="n"/>
      <c r="C3892" s="90" t="n"/>
      <c r="D3892" s="90" t="n"/>
      <c r="E3892" s="90" t="n"/>
      <c r="F3892" s="16" t="n"/>
      <c r="G3892" s="16" t="n"/>
      <c r="H3892" s="63" t="n"/>
      <c r="I3892" s="64" t="n"/>
      <c r="J3892" s="16" t="n"/>
      <c r="K3892" s="16" t="n"/>
      <c r="M3892" s="89" t="n"/>
      <c r="N3892" s="1" t="n"/>
      <c r="O3892" s="1" t="n"/>
      <c r="P3892" s="1" t="n"/>
      <c r="Q3892" s="1" t="n"/>
      <c r="R3892" s="1" t="n"/>
    </row>
    <row r="3893">
      <c r="A3893" s="61" t="n"/>
      <c r="B3893" s="16" t="n"/>
      <c r="C3893" s="90" t="n"/>
      <c r="D3893" s="90" t="n"/>
      <c r="E3893" s="90" t="n"/>
      <c r="F3893" s="16" t="n"/>
      <c r="G3893" s="16" t="n"/>
      <c r="H3893" s="63" t="n"/>
      <c r="I3893" s="64" t="n"/>
      <c r="J3893" s="16" t="n"/>
      <c r="K3893" s="16" t="n"/>
      <c r="M3893" s="89" t="n"/>
      <c r="N3893" s="1" t="n"/>
      <c r="O3893" s="1" t="n"/>
      <c r="P3893" s="1" t="n"/>
      <c r="Q3893" s="1" t="n"/>
      <c r="R3893" s="1" t="n"/>
    </row>
    <row r="3894">
      <c r="A3894" s="61" t="n"/>
      <c r="B3894" s="16" t="n"/>
      <c r="C3894" s="90" t="n"/>
      <c r="D3894" s="90" t="n"/>
      <c r="E3894" s="90" t="n"/>
      <c r="F3894" s="16" t="n"/>
      <c r="G3894" s="16" t="n"/>
      <c r="H3894" s="63" t="n"/>
      <c r="I3894" s="64" t="n"/>
      <c r="J3894" s="16" t="n"/>
      <c r="K3894" s="16" t="n"/>
      <c r="M3894" s="89" t="n"/>
      <c r="N3894" s="1" t="n"/>
      <c r="O3894" s="1" t="n"/>
      <c r="P3894" s="1" t="n"/>
      <c r="Q3894" s="1" t="n"/>
      <c r="R3894" s="1" t="n"/>
    </row>
    <row r="3895">
      <c r="A3895" s="61" t="n"/>
      <c r="B3895" s="16" t="n"/>
      <c r="C3895" s="90" t="n"/>
      <c r="D3895" s="90" t="n"/>
      <c r="E3895" s="90" t="n"/>
      <c r="F3895" s="16" t="n"/>
      <c r="G3895" s="16" t="n"/>
      <c r="H3895" s="63" t="n"/>
      <c r="I3895" s="64" t="n"/>
      <c r="J3895" s="16" t="n"/>
      <c r="K3895" s="16" t="n"/>
      <c r="M3895" s="89" t="n"/>
      <c r="N3895" s="1" t="n"/>
      <c r="O3895" s="1" t="n"/>
      <c r="P3895" s="1" t="n"/>
      <c r="Q3895" s="1" t="n"/>
      <c r="R3895" s="1" t="n"/>
    </row>
    <row r="3896">
      <c r="A3896" s="61" t="n"/>
      <c r="B3896" s="16" t="n"/>
      <c r="C3896" s="90" t="n"/>
      <c r="D3896" s="90" t="n"/>
      <c r="E3896" s="90" t="n"/>
      <c r="F3896" s="16" t="n"/>
      <c r="G3896" s="16" t="n"/>
      <c r="H3896" s="63" t="n"/>
      <c r="I3896" s="64" t="n"/>
      <c r="J3896" s="16" t="n"/>
      <c r="K3896" s="16" t="n"/>
      <c r="M3896" s="89" t="n"/>
      <c r="N3896" s="1" t="n"/>
      <c r="O3896" s="1" t="n"/>
      <c r="P3896" s="1" t="n"/>
      <c r="Q3896" s="1" t="n"/>
      <c r="R3896" s="1" t="n"/>
    </row>
    <row r="3897">
      <c r="A3897" s="61" t="n"/>
      <c r="B3897" s="16" t="n"/>
      <c r="C3897" s="90" t="n"/>
      <c r="D3897" s="90" t="n"/>
      <c r="E3897" s="90" t="n"/>
      <c r="F3897" s="16" t="n"/>
      <c r="G3897" s="16" t="n"/>
      <c r="H3897" s="63" t="n"/>
      <c r="I3897" s="64" t="n"/>
      <c r="J3897" s="16" t="n"/>
      <c r="K3897" s="16" t="n"/>
      <c r="M3897" s="89" t="n"/>
      <c r="N3897" s="1" t="n"/>
      <c r="O3897" s="1" t="n"/>
      <c r="P3897" s="1" t="n"/>
      <c r="Q3897" s="1" t="n"/>
      <c r="R3897" s="1" t="n"/>
    </row>
    <row r="3898">
      <c r="A3898" s="61" t="n"/>
      <c r="B3898" s="16" t="n"/>
      <c r="C3898" s="90" t="n"/>
      <c r="D3898" s="90" t="n"/>
      <c r="E3898" s="90" t="n"/>
      <c r="F3898" s="16" t="n"/>
      <c r="G3898" s="16" t="n"/>
      <c r="H3898" s="63" t="n"/>
      <c r="I3898" s="64" t="n"/>
      <c r="J3898" s="16" t="n"/>
      <c r="K3898" s="16" t="n"/>
      <c r="M3898" s="89" t="n"/>
      <c r="N3898" s="1" t="n"/>
      <c r="O3898" s="1" t="n"/>
      <c r="P3898" s="1" t="n"/>
      <c r="Q3898" s="1" t="n"/>
      <c r="R3898" s="1" t="n"/>
    </row>
    <row r="3899">
      <c r="A3899" s="61" t="n"/>
      <c r="B3899" s="16" t="n"/>
      <c r="C3899" s="90" t="n"/>
      <c r="D3899" s="90" t="n"/>
      <c r="E3899" s="90" t="n"/>
      <c r="F3899" s="16" t="n"/>
      <c r="G3899" s="16" t="n"/>
      <c r="H3899" s="63" t="n"/>
      <c r="I3899" s="64" t="n"/>
      <c r="J3899" s="16" t="n"/>
      <c r="K3899" s="16" t="n"/>
      <c r="M3899" s="89" t="n"/>
      <c r="N3899" s="1" t="n"/>
      <c r="O3899" s="1" t="n"/>
      <c r="P3899" s="1" t="n"/>
      <c r="Q3899" s="1" t="n"/>
      <c r="R3899" s="1" t="n"/>
    </row>
    <row r="3900">
      <c r="A3900" s="61" t="n"/>
      <c r="B3900" s="16" t="n"/>
      <c r="C3900" s="90" t="n"/>
      <c r="D3900" s="90" t="n"/>
      <c r="E3900" s="90" t="n"/>
      <c r="F3900" s="16" t="n"/>
      <c r="G3900" s="16" t="n"/>
      <c r="H3900" s="63" t="n"/>
      <c r="I3900" s="64" t="n"/>
      <c r="J3900" s="16" t="n"/>
      <c r="K3900" s="16" t="n"/>
      <c r="M3900" s="89" t="n"/>
      <c r="N3900" s="1" t="n"/>
      <c r="O3900" s="1" t="n"/>
      <c r="P3900" s="1" t="n"/>
      <c r="Q3900" s="1" t="n"/>
      <c r="R3900" s="1" t="n"/>
    </row>
    <row r="3901">
      <c r="A3901" s="61" t="n"/>
      <c r="B3901" s="16" t="n"/>
      <c r="C3901" s="90" t="n"/>
      <c r="D3901" s="90" t="n"/>
      <c r="E3901" s="90" t="n"/>
      <c r="F3901" s="16" t="n"/>
      <c r="G3901" s="16" t="n"/>
      <c r="H3901" s="63" t="n"/>
      <c r="I3901" s="64" t="n"/>
      <c r="J3901" s="16" t="n"/>
      <c r="K3901" s="16" t="n"/>
      <c r="M3901" s="89" t="n"/>
      <c r="N3901" s="1" t="n"/>
      <c r="O3901" s="1" t="n"/>
      <c r="P3901" s="1" t="n"/>
      <c r="Q3901" s="1" t="n"/>
      <c r="R3901" s="1" t="n"/>
    </row>
    <row r="3902">
      <c r="A3902" s="61" t="n"/>
      <c r="B3902" s="16" t="n"/>
      <c r="C3902" s="90" t="n"/>
      <c r="D3902" s="90" t="n"/>
      <c r="E3902" s="90" t="n"/>
      <c r="F3902" s="16" t="n"/>
      <c r="G3902" s="16" t="n"/>
      <c r="H3902" s="63" t="n"/>
      <c r="I3902" s="64" t="n"/>
      <c r="J3902" s="16" t="n"/>
      <c r="K3902" s="16" t="n"/>
      <c r="M3902" s="89" t="n"/>
      <c r="N3902" s="1" t="n"/>
      <c r="O3902" s="1" t="n"/>
      <c r="P3902" s="1" t="n"/>
      <c r="Q3902" s="1" t="n"/>
      <c r="R3902" s="1" t="n"/>
    </row>
    <row r="3903">
      <c r="A3903" s="61" t="n"/>
      <c r="B3903" s="16" t="n"/>
      <c r="C3903" s="90" t="n"/>
      <c r="D3903" s="90" t="n"/>
      <c r="E3903" s="90" t="n"/>
      <c r="F3903" s="16" t="n"/>
      <c r="G3903" s="16" t="n"/>
      <c r="H3903" s="63" t="n"/>
      <c r="I3903" s="64" t="n"/>
      <c r="J3903" s="16" t="n"/>
      <c r="K3903" s="16" t="n"/>
      <c r="M3903" s="89" t="n"/>
      <c r="N3903" s="1" t="n"/>
      <c r="O3903" s="1" t="n"/>
      <c r="P3903" s="1" t="n"/>
      <c r="Q3903" s="1" t="n"/>
      <c r="R3903" s="1" t="n"/>
    </row>
    <row r="3904">
      <c r="A3904" s="61" t="n"/>
      <c r="B3904" s="16" t="n"/>
      <c r="C3904" s="90" t="n"/>
      <c r="D3904" s="90" t="n"/>
      <c r="E3904" s="90" t="n"/>
      <c r="F3904" s="16" t="n"/>
      <c r="G3904" s="16" t="n"/>
      <c r="H3904" s="63" t="n"/>
      <c r="I3904" s="64" t="n"/>
      <c r="J3904" s="16" t="n"/>
      <c r="K3904" s="16" t="n"/>
      <c r="M3904" s="89" t="n"/>
      <c r="N3904" s="1" t="n"/>
      <c r="O3904" s="1" t="n"/>
      <c r="P3904" s="1" t="n"/>
      <c r="Q3904" s="1" t="n"/>
      <c r="R3904" s="1" t="n"/>
    </row>
    <row r="3905">
      <c r="A3905" s="61" t="n"/>
      <c r="B3905" s="16" t="n"/>
      <c r="C3905" s="90" t="n"/>
      <c r="D3905" s="90" t="n"/>
      <c r="E3905" s="90" t="n"/>
      <c r="F3905" s="16" t="n"/>
      <c r="G3905" s="16" t="n"/>
      <c r="H3905" s="63" t="n"/>
      <c r="I3905" s="64" t="n"/>
      <c r="J3905" s="16" t="n"/>
      <c r="K3905" s="16" t="n"/>
      <c r="M3905" s="89" t="n"/>
      <c r="N3905" s="1" t="n"/>
      <c r="O3905" s="1" t="n"/>
      <c r="P3905" s="1" t="n"/>
      <c r="Q3905" s="1" t="n"/>
      <c r="R3905" s="1" t="n"/>
    </row>
    <row r="3906">
      <c r="A3906" s="61" t="n"/>
      <c r="B3906" s="16" t="n"/>
      <c r="C3906" s="90" t="n"/>
      <c r="D3906" s="90" t="n"/>
      <c r="E3906" s="90" t="n"/>
      <c r="F3906" s="16" t="n"/>
      <c r="G3906" s="16" t="n"/>
      <c r="H3906" s="63" t="n"/>
      <c r="I3906" s="64" t="n"/>
      <c r="J3906" s="16" t="n"/>
      <c r="K3906" s="16" t="n"/>
      <c r="M3906" s="89" t="n"/>
      <c r="N3906" s="1" t="n"/>
      <c r="O3906" s="1" t="n"/>
      <c r="P3906" s="1" t="n"/>
      <c r="Q3906" s="1" t="n"/>
      <c r="R3906" s="1" t="n"/>
    </row>
    <row r="3907">
      <c r="A3907" s="61" t="n"/>
      <c r="B3907" s="16" t="n"/>
      <c r="C3907" s="90" t="n"/>
      <c r="D3907" s="90" t="n"/>
      <c r="E3907" s="90" t="n"/>
      <c r="F3907" s="16" t="n"/>
      <c r="G3907" s="16" t="n"/>
      <c r="H3907" s="63" t="n"/>
      <c r="I3907" s="64" t="n"/>
      <c r="J3907" s="16" t="n"/>
      <c r="K3907" s="16" t="n"/>
      <c r="M3907" s="89" t="n"/>
      <c r="N3907" s="1" t="n"/>
      <c r="O3907" s="1" t="n"/>
      <c r="P3907" s="1" t="n"/>
      <c r="Q3907" s="1" t="n"/>
      <c r="R3907" s="1" t="n"/>
    </row>
    <row r="3908">
      <c r="A3908" s="61" t="n"/>
      <c r="B3908" s="16" t="n"/>
      <c r="C3908" s="90" t="n"/>
      <c r="D3908" s="90" t="n"/>
      <c r="E3908" s="90" t="n"/>
      <c r="F3908" s="16" t="n"/>
      <c r="G3908" s="16" t="n"/>
      <c r="H3908" s="63" t="n"/>
      <c r="I3908" s="64" t="n"/>
      <c r="J3908" s="16" t="n"/>
      <c r="K3908" s="16" t="n"/>
      <c r="M3908" s="89" t="n"/>
      <c r="N3908" s="1" t="n"/>
      <c r="O3908" s="1" t="n"/>
      <c r="P3908" s="1" t="n"/>
      <c r="Q3908" s="1" t="n"/>
      <c r="R3908" s="1" t="n"/>
    </row>
    <row r="3909">
      <c r="A3909" s="61" t="n"/>
      <c r="B3909" s="16" t="n"/>
      <c r="C3909" s="90" t="n"/>
      <c r="D3909" s="90" t="n"/>
      <c r="E3909" s="90" t="n"/>
      <c r="F3909" s="16" t="n"/>
      <c r="G3909" s="16" t="n"/>
      <c r="H3909" s="63" t="n"/>
      <c r="I3909" s="64" t="n"/>
      <c r="J3909" s="16" t="n"/>
      <c r="K3909" s="16" t="n"/>
      <c r="M3909" s="89" t="n"/>
      <c r="N3909" s="1" t="n"/>
      <c r="O3909" s="1" t="n"/>
      <c r="P3909" s="1" t="n"/>
      <c r="Q3909" s="1" t="n"/>
      <c r="R3909" s="1" t="n"/>
    </row>
    <row r="3910">
      <c r="A3910" s="61" t="n"/>
      <c r="B3910" s="16" t="n"/>
      <c r="C3910" s="90" t="n"/>
      <c r="D3910" s="90" t="n"/>
      <c r="E3910" s="90" t="n"/>
      <c r="F3910" s="16" t="n"/>
      <c r="G3910" s="16" t="n"/>
      <c r="H3910" s="63" t="n"/>
      <c r="I3910" s="64" t="n"/>
      <c r="J3910" s="16" t="n"/>
      <c r="K3910" s="16" t="n"/>
      <c r="M3910" s="89" t="n"/>
      <c r="N3910" s="1" t="n"/>
      <c r="O3910" s="1" t="n"/>
      <c r="P3910" s="1" t="n"/>
      <c r="Q3910" s="1" t="n"/>
      <c r="R3910" s="1" t="n"/>
    </row>
    <row r="3911">
      <c r="A3911" s="61" t="n"/>
      <c r="B3911" s="16" t="n"/>
      <c r="C3911" s="90" t="n"/>
      <c r="D3911" s="90" t="n"/>
      <c r="E3911" s="90" t="n"/>
      <c r="F3911" s="16" t="n"/>
      <c r="G3911" s="16" t="n"/>
      <c r="H3911" s="63" t="n"/>
      <c r="I3911" s="64" t="n"/>
      <c r="J3911" s="16" t="n"/>
      <c r="K3911" s="16" t="n"/>
      <c r="M3911" s="89" t="n"/>
      <c r="N3911" s="1" t="n"/>
      <c r="O3911" s="1" t="n"/>
      <c r="P3911" s="1" t="n"/>
      <c r="Q3911" s="1" t="n"/>
      <c r="R3911" s="1" t="n"/>
    </row>
    <row r="3912">
      <c r="A3912" s="61" t="n"/>
      <c r="B3912" s="16" t="n"/>
      <c r="C3912" s="90" t="n"/>
      <c r="D3912" s="90" t="n"/>
      <c r="E3912" s="90" t="n"/>
      <c r="F3912" s="16" t="n"/>
      <c r="G3912" s="16" t="n"/>
      <c r="H3912" s="63" t="n"/>
      <c r="I3912" s="64" t="n"/>
      <c r="J3912" s="16" t="n"/>
      <c r="K3912" s="16" t="n"/>
      <c r="M3912" s="89" t="n"/>
      <c r="N3912" s="1" t="n"/>
      <c r="O3912" s="1" t="n"/>
      <c r="P3912" s="1" t="n"/>
      <c r="Q3912" s="1" t="n"/>
      <c r="R3912" s="1" t="n"/>
    </row>
    <row r="3913">
      <c r="A3913" s="61" t="n"/>
      <c r="B3913" s="16" t="n"/>
      <c r="C3913" s="90" t="n"/>
      <c r="D3913" s="90" t="n"/>
      <c r="E3913" s="90" t="n"/>
      <c r="F3913" s="16" t="n"/>
      <c r="G3913" s="16" t="n"/>
      <c r="H3913" s="63" t="n"/>
      <c r="I3913" s="64" t="n"/>
      <c r="J3913" s="16" t="n"/>
      <c r="K3913" s="16" t="n"/>
      <c r="M3913" s="89" t="n"/>
      <c r="N3913" s="1" t="n"/>
      <c r="O3913" s="1" t="n"/>
      <c r="P3913" s="1" t="n"/>
      <c r="Q3913" s="1" t="n"/>
      <c r="R3913" s="1" t="n"/>
    </row>
    <row r="3914">
      <c r="A3914" s="61" t="n"/>
      <c r="B3914" s="16" t="n"/>
      <c r="C3914" s="90" t="n"/>
      <c r="D3914" s="90" t="n"/>
      <c r="E3914" s="90" t="n"/>
      <c r="F3914" s="16" t="n"/>
      <c r="G3914" s="16" t="n"/>
      <c r="H3914" s="63" t="n"/>
      <c r="I3914" s="64" t="n"/>
      <c r="J3914" s="16" t="n"/>
      <c r="K3914" s="16" t="n"/>
      <c r="M3914" s="89" t="n"/>
      <c r="N3914" s="1" t="n"/>
      <c r="O3914" s="1" t="n"/>
      <c r="P3914" s="1" t="n"/>
      <c r="Q3914" s="1" t="n"/>
      <c r="R3914" s="1" t="n"/>
    </row>
    <row r="3915">
      <c r="A3915" s="61" t="n"/>
      <c r="B3915" s="16" t="n"/>
      <c r="C3915" s="90" t="n"/>
      <c r="D3915" s="90" t="n"/>
      <c r="E3915" s="90" t="n"/>
      <c r="F3915" s="16" t="n"/>
      <c r="G3915" s="16" t="n"/>
      <c r="H3915" s="63" t="n"/>
      <c r="I3915" s="64" t="n"/>
      <c r="J3915" s="16" t="n"/>
      <c r="K3915" s="16" t="n"/>
      <c r="M3915" s="89" t="n"/>
      <c r="N3915" s="1" t="n"/>
      <c r="O3915" s="1" t="n"/>
      <c r="P3915" s="1" t="n"/>
      <c r="Q3915" s="1" t="n"/>
      <c r="R3915" s="1" t="n"/>
    </row>
    <row r="3916">
      <c r="A3916" s="61" t="n"/>
      <c r="B3916" s="16" t="n"/>
      <c r="C3916" s="90" t="n"/>
      <c r="D3916" s="90" t="n"/>
      <c r="E3916" s="90" t="n"/>
      <c r="F3916" s="16" t="n"/>
      <c r="G3916" s="16" t="n"/>
      <c r="H3916" s="63" t="n"/>
      <c r="I3916" s="64" t="n"/>
      <c r="J3916" s="16" t="n"/>
      <c r="K3916" s="16" t="n"/>
      <c r="M3916" s="89" t="n"/>
      <c r="N3916" s="1" t="n"/>
      <c r="O3916" s="1" t="n"/>
      <c r="P3916" s="1" t="n"/>
      <c r="Q3916" s="1" t="n"/>
      <c r="R3916" s="1" t="n"/>
    </row>
    <row r="3917">
      <c r="A3917" s="61" t="n"/>
      <c r="B3917" s="16" t="n"/>
      <c r="C3917" s="90" t="n"/>
      <c r="D3917" s="90" t="n"/>
      <c r="E3917" s="90" t="n"/>
      <c r="F3917" s="16" t="n"/>
      <c r="G3917" s="16" t="n"/>
      <c r="H3917" s="63" t="n"/>
      <c r="I3917" s="64" t="n"/>
      <c r="J3917" s="16" t="n"/>
      <c r="K3917" s="16" t="n"/>
      <c r="M3917" s="89" t="n"/>
      <c r="N3917" s="1" t="n"/>
      <c r="O3917" s="1" t="n"/>
      <c r="P3917" s="1" t="n"/>
      <c r="Q3917" s="1" t="n"/>
      <c r="R3917" s="1" t="n"/>
    </row>
    <row r="3918">
      <c r="A3918" s="61" t="n"/>
      <c r="B3918" s="16" t="n"/>
      <c r="C3918" s="90" t="n"/>
      <c r="D3918" s="90" t="n"/>
      <c r="E3918" s="90" t="n"/>
      <c r="F3918" s="16" t="n"/>
      <c r="G3918" s="16" t="n"/>
      <c r="H3918" s="63" t="n"/>
      <c r="I3918" s="64" t="n"/>
      <c r="J3918" s="16" t="n"/>
      <c r="K3918" s="16" t="n"/>
      <c r="M3918" s="89" t="n"/>
      <c r="N3918" s="1" t="n"/>
      <c r="O3918" s="1" t="n"/>
      <c r="P3918" s="1" t="n"/>
      <c r="Q3918" s="1" t="n"/>
      <c r="R3918" s="1" t="n"/>
    </row>
    <row r="3919">
      <c r="A3919" s="61" t="n"/>
      <c r="B3919" s="16" t="n"/>
      <c r="C3919" s="90" t="n"/>
      <c r="D3919" s="90" t="n"/>
      <c r="E3919" s="90" t="n"/>
      <c r="F3919" s="16" t="n"/>
      <c r="G3919" s="16" t="n"/>
      <c r="H3919" s="63" t="n"/>
      <c r="I3919" s="64" t="n"/>
      <c r="J3919" s="16" t="n"/>
      <c r="K3919" s="16" t="n"/>
      <c r="M3919" s="89" t="n"/>
      <c r="N3919" s="1" t="n"/>
      <c r="O3919" s="1" t="n"/>
      <c r="P3919" s="1" t="n"/>
      <c r="Q3919" s="1" t="n"/>
      <c r="R3919" s="1" t="n"/>
    </row>
    <row r="3920">
      <c r="A3920" s="61" t="n"/>
      <c r="B3920" s="16" t="n"/>
      <c r="C3920" s="90" t="n"/>
      <c r="D3920" s="90" t="n"/>
      <c r="E3920" s="90" t="n"/>
      <c r="F3920" s="16" t="n"/>
      <c r="G3920" s="16" t="n"/>
      <c r="H3920" s="63" t="n"/>
      <c r="I3920" s="64" t="n"/>
      <c r="J3920" s="16" t="n"/>
      <c r="K3920" s="16" t="n"/>
      <c r="M3920" s="89" t="n"/>
      <c r="N3920" s="1" t="n"/>
      <c r="O3920" s="1" t="n"/>
      <c r="P3920" s="1" t="n"/>
      <c r="Q3920" s="1" t="n"/>
      <c r="R3920" s="1" t="n"/>
    </row>
    <row r="3921">
      <c r="A3921" s="61" t="n"/>
      <c r="B3921" s="16" t="n"/>
      <c r="C3921" s="90" t="n"/>
      <c r="D3921" s="90" t="n"/>
      <c r="E3921" s="90" t="n"/>
      <c r="F3921" s="16" t="n"/>
      <c r="G3921" s="16" t="n"/>
      <c r="H3921" s="63" t="n"/>
      <c r="I3921" s="64" t="n"/>
      <c r="J3921" s="16" t="n"/>
      <c r="K3921" s="16" t="n"/>
      <c r="M3921" s="89" t="n"/>
      <c r="N3921" s="1" t="n"/>
      <c r="O3921" s="1" t="n"/>
      <c r="P3921" s="1" t="n"/>
      <c r="Q3921" s="1" t="n"/>
      <c r="R3921" s="1" t="n"/>
    </row>
    <row r="3922">
      <c r="A3922" s="61" t="n"/>
      <c r="B3922" s="16" t="n"/>
      <c r="C3922" s="90" t="n"/>
      <c r="D3922" s="90" t="n"/>
      <c r="E3922" s="90" t="n"/>
      <c r="F3922" s="16" t="n"/>
      <c r="G3922" s="16" t="n"/>
      <c r="H3922" s="63" t="n"/>
      <c r="I3922" s="64" t="n"/>
      <c r="J3922" s="16" t="n"/>
      <c r="K3922" s="16" t="n"/>
      <c r="M3922" s="89" t="n"/>
      <c r="N3922" s="1" t="n"/>
      <c r="O3922" s="1" t="n"/>
      <c r="P3922" s="1" t="n"/>
      <c r="Q3922" s="1" t="n"/>
      <c r="R3922" s="1" t="n"/>
    </row>
    <row r="3923">
      <c r="A3923" s="61" t="n"/>
      <c r="B3923" s="16" t="n"/>
      <c r="C3923" s="90" t="n"/>
      <c r="D3923" s="90" t="n"/>
      <c r="E3923" s="90" t="n"/>
      <c r="F3923" s="16" t="n"/>
      <c r="G3923" s="16" t="n"/>
      <c r="H3923" s="63" t="n"/>
      <c r="I3923" s="64" t="n"/>
      <c r="J3923" s="16" t="n"/>
      <c r="K3923" s="16" t="n"/>
      <c r="M3923" s="89" t="n"/>
      <c r="N3923" s="1" t="n"/>
      <c r="O3923" s="1" t="n"/>
      <c r="P3923" s="1" t="n"/>
      <c r="Q3923" s="1" t="n"/>
      <c r="R3923" s="1" t="n"/>
    </row>
    <row r="3924">
      <c r="A3924" s="61" t="n"/>
      <c r="B3924" s="16" t="n"/>
      <c r="C3924" s="90" t="n"/>
      <c r="D3924" s="90" t="n"/>
      <c r="E3924" s="90" t="n"/>
      <c r="F3924" s="16" t="n"/>
      <c r="G3924" s="16" t="n"/>
      <c r="H3924" s="63" t="n"/>
      <c r="I3924" s="64" t="n"/>
      <c r="J3924" s="16" t="n"/>
      <c r="K3924" s="16" t="n"/>
      <c r="M3924" s="89" t="n"/>
      <c r="N3924" s="1" t="n"/>
      <c r="O3924" s="1" t="n"/>
      <c r="P3924" s="1" t="n"/>
      <c r="Q3924" s="1" t="n"/>
      <c r="R3924" s="1" t="n"/>
    </row>
    <row r="3925">
      <c r="A3925" s="61" t="n"/>
      <c r="B3925" s="16" t="n"/>
      <c r="C3925" s="90" t="n"/>
      <c r="D3925" s="90" t="n"/>
      <c r="E3925" s="90" t="n"/>
      <c r="F3925" s="16" t="n"/>
      <c r="G3925" s="16" t="n"/>
      <c r="H3925" s="63" t="n"/>
      <c r="I3925" s="64" t="n"/>
      <c r="J3925" s="16" t="n"/>
      <c r="K3925" s="16" t="n"/>
      <c r="M3925" s="89" t="n"/>
      <c r="N3925" s="1" t="n"/>
      <c r="O3925" s="1" t="n"/>
      <c r="P3925" s="1" t="n"/>
      <c r="Q3925" s="1" t="n"/>
      <c r="R3925" s="1" t="n"/>
    </row>
    <row r="3926">
      <c r="A3926" s="61" t="n"/>
      <c r="B3926" s="16" t="n"/>
      <c r="C3926" s="90" t="n"/>
      <c r="D3926" s="90" t="n"/>
      <c r="E3926" s="90" t="n"/>
      <c r="F3926" s="16" t="n"/>
      <c r="G3926" s="16" t="n"/>
      <c r="H3926" s="63" t="n"/>
      <c r="I3926" s="64" t="n"/>
      <c r="J3926" s="16" t="n"/>
      <c r="K3926" s="16" t="n"/>
      <c r="M3926" s="89" t="n"/>
      <c r="N3926" s="1" t="n"/>
      <c r="O3926" s="1" t="n"/>
      <c r="P3926" s="1" t="n"/>
      <c r="Q3926" s="1" t="n"/>
      <c r="R3926" s="1" t="n"/>
    </row>
    <row r="3927">
      <c r="A3927" s="61" t="n"/>
      <c r="B3927" s="16" t="n"/>
      <c r="C3927" s="90" t="n"/>
      <c r="D3927" s="90" t="n"/>
      <c r="E3927" s="90" t="n"/>
      <c r="F3927" s="16" t="n"/>
      <c r="G3927" s="16" t="n"/>
      <c r="H3927" s="63" t="n"/>
      <c r="I3927" s="64" t="n"/>
      <c r="J3927" s="16" t="n"/>
      <c r="K3927" s="16" t="n"/>
      <c r="M3927" s="89" t="n"/>
      <c r="N3927" s="1" t="n"/>
      <c r="O3927" s="1" t="n"/>
      <c r="P3927" s="1" t="n"/>
      <c r="Q3927" s="1" t="n"/>
      <c r="R3927" s="1" t="n"/>
    </row>
    <row r="3928">
      <c r="A3928" s="61" t="n"/>
      <c r="B3928" s="16" t="n"/>
      <c r="C3928" s="90" t="n"/>
      <c r="D3928" s="90" t="n"/>
      <c r="E3928" s="90" t="n"/>
      <c r="F3928" s="16" t="n"/>
      <c r="G3928" s="16" t="n"/>
      <c r="H3928" s="63" t="n"/>
      <c r="I3928" s="64" t="n"/>
      <c r="J3928" s="16" t="n"/>
      <c r="K3928" s="16" t="n"/>
      <c r="M3928" s="89" t="n"/>
      <c r="N3928" s="1" t="n"/>
      <c r="O3928" s="1" t="n"/>
      <c r="P3928" s="1" t="n"/>
      <c r="Q3928" s="1" t="n"/>
      <c r="R3928" s="1" t="n"/>
    </row>
    <row r="3929">
      <c r="A3929" s="61" t="n"/>
      <c r="B3929" s="16" t="n"/>
      <c r="C3929" s="90" t="n"/>
      <c r="D3929" s="90" t="n"/>
      <c r="E3929" s="90" t="n"/>
      <c r="F3929" s="16" t="n"/>
      <c r="G3929" s="16" t="n"/>
      <c r="H3929" s="63" t="n"/>
      <c r="I3929" s="64" t="n"/>
      <c r="J3929" s="16" t="n"/>
      <c r="K3929" s="16" t="n"/>
      <c r="M3929" s="89" t="n"/>
      <c r="N3929" s="1" t="n"/>
      <c r="O3929" s="1" t="n"/>
      <c r="P3929" s="1" t="n"/>
      <c r="Q3929" s="1" t="n"/>
      <c r="R3929" s="1" t="n"/>
    </row>
    <row r="3930">
      <c r="A3930" s="61" t="n"/>
      <c r="B3930" s="16" t="n"/>
      <c r="C3930" s="90" t="n"/>
      <c r="D3930" s="90" t="n"/>
      <c r="E3930" s="90" t="n"/>
      <c r="F3930" s="16" t="n"/>
      <c r="G3930" s="16" t="n"/>
      <c r="H3930" s="63" t="n"/>
      <c r="I3930" s="64" t="n"/>
      <c r="J3930" s="16" t="n"/>
      <c r="K3930" s="16" t="n"/>
      <c r="M3930" s="89" t="n"/>
      <c r="N3930" s="1" t="n"/>
      <c r="O3930" s="1" t="n"/>
      <c r="P3930" s="1" t="n"/>
      <c r="Q3930" s="1" t="n"/>
      <c r="R3930" s="1" t="n"/>
    </row>
    <row r="3931">
      <c r="A3931" s="61" t="n"/>
      <c r="B3931" s="16" t="n"/>
      <c r="C3931" s="90" t="n"/>
      <c r="D3931" s="90" t="n"/>
      <c r="E3931" s="90" t="n"/>
      <c r="F3931" s="16" t="n"/>
      <c r="G3931" s="16" t="n"/>
      <c r="H3931" s="63" t="n"/>
      <c r="I3931" s="64" t="n"/>
      <c r="J3931" s="16" t="n"/>
      <c r="K3931" s="16" t="n"/>
      <c r="M3931" s="89" t="n"/>
      <c r="N3931" s="1" t="n"/>
      <c r="O3931" s="1" t="n"/>
      <c r="P3931" s="1" t="n"/>
      <c r="Q3931" s="1" t="n"/>
      <c r="R3931" s="1" t="n"/>
    </row>
    <row r="3932">
      <c r="A3932" s="61" t="n"/>
      <c r="B3932" s="16" t="n"/>
      <c r="C3932" s="90" t="n"/>
      <c r="D3932" s="90" t="n"/>
      <c r="E3932" s="90" t="n"/>
      <c r="F3932" s="16" t="n"/>
      <c r="G3932" s="16" t="n"/>
      <c r="H3932" s="63" t="n"/>
      <c r="I3932" s="64" t="n"/>
      <c r="J3932" s="16" t="n"/>
      <c r="K3932" s="16" t="n"/>
      <c r="M3932" s="89" t="n"/>
      <c r="N3932" s="1" t="n"/>
      <c r="O3932" s="1" t="n"/>
      <c r="P3932" s="1" t="n"/>
      <c r="Q3932" s="1" t="n"/>
      <c r="R3932" s="1" t="n"/>
    </row>
    <row r="3933">
      <c r="A3933" s="61" t="n"/>
      <c r="B3933" s="16" t="n"/>
      <c r="C3933" s="90" t="n"/>
      <c r="D3933" s="90" t="n"/>
      <c r="E3933" s="90" t="n"/>
      <c r="F3933" s="16" t="n"/>
      <c r="G3933" s="16" t="n"/>
      <c r="H3933" s="63" t="n"/>
      <c r="I3933" s="64" t="n"/>
      <c r="J3933" s="16" t="n"/>
      <c r="K3933" s="16" t="n"/>
      <c r="M3933" s="89" t="n"/>
      <c r="N3933" s="1" t="n"/>
      <c r="O3933" s="1" t="n"/>
      <c r="P3933" s="1" t="n"/>
      <c r="Q3933" s="1" t="n"/>
      <c r="R3933" s="1" t="n"/>
    </row>
    <row r="3934">
      <c r="A3934" s="61" t="n"/>
      <c r="B3934" s="16" t="n"/>
      <c r="C3934" s="90" t="n"/>
      <c r="D3934" s="90" t="n"/>
      <c r="E3934" s="90" t="n"/>
      <c r="F3934" s="16" t="n"/>
      <c r="G3934" s="16" t="n"/>
      <c r="H3934" s="63" t="n"/>
      <c r="I3934" s="64" t="n"/>
      <c r="J3934" s="16" t="n"/>
      <c r="K3934" s="16" t="n"/>
      <c r="M3934" s="89" t="n"/>
      <c r="N3934" s="1" t="n"/>
      <c r="O3934" s="1" t="n"/>
      <c r="P3934" s="1" t="n"/>
      <c r="Q3934" s="1" t="n"/>
      <c r="R3934" s="1" t="n"/>
    </row>
    <row r="3935">
      <c r="A3935" s="61" t="n"/>
      <c r="B3935" s="16" t="n"/>
      <c r="C3935" s="90" t="n"/>
      <c r="D3935" s="90" t="n"/>
      <c r="E3935" s="90" t="n"/>
      <c r="F3935" s="16" t="n"/>
      <c r="G3935" s="16" t="n"/>
      <c r="H3935" s="63" t="n"/>
      <c r="I3935" s="64" t="n"/>
      <c r="J3935" s="16" t="n"/>
      <c r="K3935" s="16" t="n"/>
      <c r="M3935" s="89" t="n"/>
      <c r="N3935" s="1" t="n"/>
      <c r="O3935" s="1" t="n"/>
      <c r="P3935" s="1" t="n"/>
      <c r="Q3935" s="1" t="n"/>
      <c r="R3935" s="1" t="n"/>
    </row>
    <row r="3936">
      <c r="A3936" s="61" t="n"/>
      <c r="B3936" s="16" t="n"/>
      <c r="C3936" s="90" t="n"/>
      <c r="D3936" s="90" t="n"/>
      <c r="E3936" s="90" t="n"/>
      <c r="F3936" s="16" t="n"/>
      <c r="G3936" s="16" t="n"/>
      <c r="H3936" s="63" t="n"/>
      <c r="I3936" s="64" t="n"/>
      <c r="J3936" s="16" t="n"/>
      <c r="K3936" s="16" t="n"/>
      <c r="M3936" s="89" t="n"/>
      <c r="N3936" s="1" t="n"/>
      <c r="O3936" s="1" t="n"/>
      <c r="P3936" s="1" t="n"/>
      <c r="Q3936" s="1" t="n"/>
      <c r="R3936" s="1" t="n"/>
    </row>
    <row r="3937">
      <c r="A3937" s="61" t="n"/>
      <c r="B3937" s="16" t="n"/>
      <c r="C3937" s="90" t="n"/>
      <c r="D3937" s="90" t="n"/>
      <c r="E3937" s="90" t="n"/>
      <c r="F3937" s="16" t="n"/>
      <c r="G3937" s="16" t="n"/>
      <c r="H3937" s="63" t="n"/>
      <c r="I3937" s="64" t="n"/>
      <c r="J3937" s="16" t="n"/>
      <c r="K3937" s="16" t="n"/>
      <c r="M3937" s="89" t="n"/>
      <c r="N3937" s="1" t="n"/>
      <c r="O3937" s="1" t="n"/>
      <c r="P3937" s="1" t="n"/>
      <c r="Q3937" s="1" t="n"/>
      <c r="R3937" s="1" t="n"/>
    </row>
    <row r="3938">
      <c r="A3938" s="61" t="n"/>
      <c r="B3938" s="16" t="n"/>
      <c r="C3938" s="90" t="n"/>
      <c r="D3938" s="90" t="n"/>
      <c r="E3938" s="90" t="n"/>
      <c r="F3938" s="16" t="n"/>
      <c r="G3938" s="16" t="n"/>
      <c r="H3938" s="63" t="n"/>
      <c r="I3938" s="64" t="n"/>
      <c r="J3938" s="16" t="n"/>
      <c r="K3938" s="16" t="n"/>
      <c r="M3938" s="89" t="n"/>
      <c r="N3938" s="1" t="n"/>
      <c r="O3938" s="1" t="n"/>
      <c r="P3938" s="1" t="n"/>
      <c r="Q3938" s="1" t="n"/>
      <c r="R3938" s="1" t="n"/>
    </row>
    <row r="3939">
      <c r="A3939" s="61" t="n"/>
      <c r="B3939" s="16" t="n"/>
      <c r="C3939" s="90" t="n"/>
      <c r="D3939" s="90" t="n"/>
      <c r="E3939" s="90" t="n"/>
      <c r="F3939" s="16" t="n"/>
      <c r="G3939" s="16" t="n"/>
      <c r="H3939" s="63" t="n"/>
      <c r="I3939" s="64" t="n"/>
      <c r="J3939" s="16" t="n"/>
      <c r="K3939" s="16" t="n"/>
      <c r="M3939" s="89" t="n"/>
      <c r="N3939" s="1" t="n"/>
      <c r="O3939" s="1" t="n"/>
      <c r="P3939" s="1" t="n"/>
      <c r="Q3939" s="1" t="n"/>
      <c r="R3939" s="1" t="n"/>
    </row>
    <row r="3940">
      <c r="A3940" s="61" t="n"/>
      <c r="B3940" s="16" t="n"/>
      <c r="C3940" s="90" t="n"/>
      <c r="D3940" s="90" t="n"/>
      <c r="E3940" s="90" t="n"/>
      <c r="F3940" s="16" t="n"/>
      <c r="G3940" s="16" t="n"/>
      <c r="H3940" s="63" t="n"/>
      <c r="I3940" s="64" t="n"/>
      <c r="J3940" s="16" t="n"/>
      <c r="K3940" s="16" t="n"/>
      <c r="M3940" s="89" t="n"/>
      <c r="N3940" s="1" t="n"/>
      <c r="O3940" s="1" t="n"/>
      <c r="P3940" s="1" t="n"/>
      <c r="Q3940" s="1" t="n"/>
      <c r="R3940" s="1" t="n"/>
    </row>
    <row r="3941">
      <c r="A3941" s="61" t="n"/>
      <c r="B3941" s="16" t="n"/>
      <c r="C3941" s="90" t="n"/>
      <c r="D3941" s="90" t="n"/>
      <c r="E3941" s="90" t="n"/>
      <c r="F3941" s="16" t="n"/>
      <c r="G3941" s="16" t="n"/>
      <c r="H3941" s="63" t="n"/>
      <c r="I3941" s="64" t="n"/>
      <c r="J3941" s="16" t="n"/>
      <c r="K3941" s="16" t="n"/>
      <c r="M3941" s="89" t="n"/>
      <c r="N3941" s="1" t="n"/>
      <c r="O3941" s="1" t="n"/>
      <c r="P3941" s="1" t="n"/>
      <c r="Q3941" s="1" t="n"/>
      <c r="R3941" s="1" t="n"/>
    </row>
    <row r="3942">
      <c r="A3942" s="61" t="n"/>
      <c r="B3942" s="16" t="n"/>
      <c r="C3942" s="90" t="n"/>
      <c r="D3942" s="90" t="n"/>
      <c r="E3942" s="90" t="n"/>
      <c r="F3942" s="16" t="n"/>
      <c r="G3942" s="16" t="n"/>
      <c r="H3942" s="63" t="n"/>
      <c r="I3942" s="64" t="n"/>
      <c r="J3942" s="16" t="n"/>
      <c r="K3942" s="16" t="n"/>
      <c r="M3942" s="89" t="n"/>
      <c r="N3942" s="1" t="n"/>
      <c r="O3942" s="1" t="n"/>
      <c r="P3942" s="1" t="n"/>
      <c r="Q3942" s="1" t="n"/>
      <c r="R3942" s="1" t="n"/>
    </row>
    <row r="3943">
      <c r="A3943" s="61" t="n"/>
      <c r="B3943" s="16" t="n"/>
      <c r="C3943" s="90" t="n"/>
      <c r="D3943" s="90" t="n"/>
      <c r="E3943" s="90" t="n"/>
      <c r="F3943" s="16" t="n"/>
      <c r="G3943" s="16" t="n"/>
      <c r="H3943" s="63" t="n"/>
      <c r="I3943" s="64" t="n"/>
      <c r="J3943" s="16" t="n"/>
      <c r="K3943" s="16" t="n"/>
      <c r="M3943" s="89" t="n"/>
      <c r="N3943" s="1" t="n"/>
      <c r="O3943" s="1" t="n"/>
      <c r="P3943" s="1" t="n"/>
      <c r="Q3943" s="1" t="n"/>
      <c r="R3943" s="1" t="n"/>
    </row>
    <row r="3944">
      <c r="A3944" s="61" t="n"/>
      <c r="B3944" s="16" t="n"/>
      <c r="C3944" s="90" t="n"/>
      <c r="D3944" s="90" t="n"/>
      <c r="E3944" s="90" t="n"/>
      <c r="F3944" s="16" t="n"/>
      <c r="G3944" s="16" t="n"/>
      <c r="H3944" s="63" t="n"/>
      <c r="I3944" s="64" t="n"/>
      <c r="J3944" s="16" t="n"/>
      <c r="K3944" s="16" t="n"/>
      <c r="M3944" s="89" t="n"/>
      <c r="N3944" s="1" t="n"/>
      <c r="O3944" s="1" t="n"/>
      <c r="P3944" s="1" t="n"/>
      <c r="Q3944" s="1" t="n"/>
      <c r="R3944" s="1" t="n"/>
    </row>
    <row r="3945">
      <c r="A3945" s="61" t="n"/>
      <c r="B3945" s="16" t="n"/>
      <c r="C3945" s="90" t="n"/>
      <c r="D3945" s="90" t="n"/>
      <c r="E3945" s="90" t="n"/>
      <c r="F3945" s="16" t="n"/>
      <c r="G3945" s="16" t="n"/>
      <c r="H3945" s="63" t="n"/>
      <c r="I3945" s="64" t="n"/>
      <c r="J3945" s="16" t="n"/>
      <c r="K3945" s="16" t="n"/>
      <c r="M3945" s="89" t="n"/>
      <c r="N3945" s="1" t="n"/>
      <c r="O3945" s="1" t="n"/>
      <c r="P3945" s="1" t="n"/>
      <c r="Q3945" s="1" t="n"/>
      <c r="R3945" s="1" t="n"/>
    </row>
    <row r="3946">
      <c r="A3946" s="61" t="n"/>
      <c r="B3946" s="16" t="n"/>
      <c r="C3946" s="90" t="n"/>
      <c r="D3946" s="90" t="n"/>
      <c r="E3946" s="90" t="n"/>
      <c r="F3946" s="16" t="n"/>
      <c r="G3946" s="16" t="n"/>
      <c r="H3946" s="63" t="n"/>
      <c r="I3946" s="64" t="n"/>
      <c r="J3946" s="16" t="n"/>
      <c r="K3946" s="16" t="n"/>
      <c r="M3946" s="89" t="n"/>
      <c r="N3946" s="1" t="n"/>
      <c r="O3946" s="1" t="n"/>
      <c r="P3946" s="1" t="n"/>
      <c r="Q3946" s="1" t="n"/>
      <c r="R3946" s="1" t="n"/>
    </row>
    <row r="3947">
      <c r="A3947" s="61" t="n"/>
      <c r="B3947" s="16" t="n"/>
      <c r="C3947" s="90" t="n"/>
      <c r="D3947" s="90" t="n"/>
      <c r="E3947" s="90" t="n"/>
      <c r="F3947" s="16" t="n"/>
      <c r="G3947" s="16" t="n"/>
      <c r="H3947" s="63" t="n"/>
      <c r="I3947" s="64" t="n"/>
      <c r="J3947" s="16" t="n"/>
      <c r="K3947" s="16" t="n"/>
      <c r="M3947" s="89" t="n"/>
      <c r="N3947" s="1" t="n"/>
      <c r="O3947" s="1" t="n"/>
      <c r="P3947" s="1" t="n"/>
      <c r="Q3947" s="1" t="n"/>
      <c r="R3947" s="1" t="n"/>
    </row>
    <row r="3948">
      <c r="A3948" s="61" t="n"/>
      <c r="B3948" s="16" t="n"/>
      <c r="C3948" s="90" t="n"/>
      <c r="D3948" s="90" t="n"/>
      <c r="E3948" s="90" t="n"/>
      <c r="F3948" s="16" t="n"/>
      <c r="G3948" s="16" t="n"/>
      <c r="H3948" s="63" t="n"/>
      <c r="I3948" s="64" t="n"/>
      <c r="J3948" s="16" t="n"/>
      <c r="K3948" s="16" t="n"/>
      <c r="M3948" s="89" t="n"/>
      <c r="N3948" s="1" t="n"/>
      <c r="O3948" s="1" t="n"/>
      <c r="P3948" s="1" t="n"/>
      <c r="Q3948" s="1" t="n"/>
      <c r="R3948" s="1" t="n"/>
    </row>
    <row r="3949">
      <c r="A3949" s="61" t="n"/>
      <c r="B3949" s="16" t="n"/>
      <c r="C3949" s="90" t="n"/>
      <c r="D3949" s="90" t="n"/>
      <c r="E3949" s="90" t="n"/>
      <c r="F3949" s="16" t="n"/>
      <c r="G3949" s="16" t="n"/>
      <c r="H3949" s="63" t="n"/>
      <c r="I3949" s="64" t="n"/>
      <c r="J3949" s="16" t="n"/>
      <c r="K3949" s="16" t="n"/>
      <c r="M3949" s="89" t="n"/>
      <c r="N3949" s="1" t="n"/>
      <c r="O3949" s="1" t="n"/>
      <c r="P3949" s="1" t="n"/>
      <c r="Q3949" s="1" t="n"/>
      <c r="R3949" s="1" t="n"/>
    </row>
    <row r="3950">
      <c r="A3950" s="61" t="n"/>
      <c r="B3950" s="16" t="n"/>
      <c r="C3950" s="90" t="n"/>
      <c r="D3950" s="90" t="n"/>
      <c r="E3950" s="90" t="n"/>
      <c r="F3950" s="16" t="n"/>
      <c r="G3950" s="16" t="n"/>
      <c r="H3950" s="63" t="n"/>
      <c r="I3950" s="64" t="n"/>
      <c r="J3950" s="16" t="n"/>
      <c r="K3950" s="16" t="n"/>
      <c r="M3950" s="89" t="n"/>
      <c r="N3950" s="1" t="n"/>
      <c r="O3950" s="1" t="n"/>
      <c r="P3950" s="1" t="n"/>
      <c r="Q3950" s="1" t="n"/>
      <c r="R3950" s="1" t="n"/>
    </row>
    <row r="3951">
      <c r="A3951" s="61" t="n"/>
      <c r="B3951" s="16" t="n"/>
      <c r="C3951" s="90" t="n"/>
      <c r="D3951" s="90" t="n"/>
      <c r="E3951" s="90" t="n"/>
      <c r="F3951" s="16" t="n"/>
      <c r="G3951" s="16" t="n"/>
      <c r="H3951" s="63" t="n"/>
      <c r="I3951" s="64" t="n"/>
      <c r="J3951" s="16" t="n"/>
      <c r="K3951" s="16" t="n"/>
      <c r="M3951" s="89" t="n"/>
      <c r="N3951" s="1" t="n"/>
      <c r="O3951" s="1" t="n"/>
      <c r="P3951" s="1" t="n"/>
      <c r="Q3951" s="1" t="n"/>
      <c r="R3951" s="1" t="n"/>
    </row>
    <row r="3952">
      <c r="A3952" s="61" t="n"/>
      <c r="B3952" s="16" t="n"/>
      <c r="C3952" s="90" t="n"/>
      <c r="D3952" s="90" t="n"/>
      <c r="E3952" s="90" t="n"/>
      <c r="F3952" s="16" t="n"/>
      <c r="G3952" s="16" t="n"/>
      <c r="H3952" s="63" t="n"/>
      <c r="I3952" s="64" t="n"/>
      <c r="J3952" s="16" t="n"/>
      <c r="K3952" s="16" t="n"/>
      <c r="M3952" s="89" t="n"/>
      <c r="N3952" s="1" t="n"/>
      <c r="O3952" s="1" t="n"/>
      <c r="P3952" s="1" t="n"/>
      <c r="Q3952" s="1" t="n"/>
      <c r="R3952" s="1" t="n"/>
    </row>
    <row r="3953">
      <c r="A3953" s="61" t="n"/>
      <c r="B3953" s="16" t="n"/>
      <c r="C3953" s="90" t="n"/>
      <c r="D3953" s="90" t="n"/>
      <c r="E3953" s="90" t="n"/>
      <c r="F3953" s="16" t="n"/>
      <c r="G3953" s="16" t="n"/>
      <c r="H3953" s="63" t="n"/>
      <c r="I3953" s="64" t="n"/>
      <c r="J3953" s="16" t="n"/>
      <c r="K3953" s="16" t="n"/>
      <c r="M3953" s="89" t="n"/>
      <c r="N3953" s="1" t="n"/>
      <c r="O3953" s="1" t="n"/>
      <c r="P3953" s="1" t="n"/>
      <c r="Q3953" s="1" t="n"/>
      <c r="R3953" s="1" t="n"/>
    </row>
    <row r="3954">
      <c r="A3954" s="61" t="n"/>
      <c r="B3954" s="16" t="n"/>
      <c r="C3954" s="90" t="n"/>
      <c r="D3954" s="90" t="n"/>
      <c r="E3954" s="90" t="n"/>
      <c r="F3954" s="16" t="n"/>
      <c r="G3954" s="16" t="n"/>
      <c r="H3954" s="63" t="n"/>
      <c r="I3954" s="64" t="n"/>
      <c r="J3954" s="16" t="n"/>
      <c r="K3954" s="16" t="n"/>
      <c r="M3954" s="89" t="n"/>
      <c r="N3954" s="1" t="n"/>
      <c r="O3954" s="1" t="n"/>
      <c r="P3954" s="1" t="n"/>
      <c r="Q3954" s="1" t="n"/>
      <c r="R3954" s="1" t="n"/>
    </row>
    <row r="3955">
      <c r="A3955" s="61" t="n"/>
      <c r="B3955" s="16" t="n"/>
      <c r="C3955" s="90" t="n"/>
      <c r="D3955" s="90" t="n"/>
      <c r="E3955" s="90" t="n"/>
      <c r="F3955" s="16" t="n"/>
      <c r="G3955" s="16" t="n"/>
      <c r="H3955" s="63" t="n"/>
      <c r="I3955" s="64" t="n"/>
      <c r="J3955" s="16" t="n"/>
      <c r="K3955" s="16" t="n"/>
      <c r="M3955" s="89" t="n"/>
      <c r="N3955" s="1" t="n"/>
      <c r="O3955" s="1" t="n"/>
      <c r="P3955" s="1" t="n"/>
      <c r="Q3955" s="1" t="n"/>
      <c r="R3955" s="1" t="n"/>
    </row>
    <row r="3956">
      <c r="A3956" s="61" t="n"/>
      <c r="B3956" s="16" t="n"/>
      <c r="C3956" s="90" t="n"/>
      <c r="D3956" s="90" t="n"/>
      <c r="E3956" s="90" t="n"/>
      <c r="F3956" s="16" t="n"/>
      <c r="G3956" s="16" t="n"/>
      <c r="H3956" s="63" t="n"/>
      <c r="I3956" s="64" t="n"/>
      <c r="J3956" s="16" t="n"/>
      <c r="K3956" s="16" t="n"/>
      <c r="M3956" s="89" t="n"/>
      <c r="N3956" s="1" t="n"/>
      <c r="O3956" s="1" t="n"/>
      <c r="P3956" s="1" t="n"/>
      <c r="Q3956" s="1" t="n"/>
      <c r="R3956" s="1" t="n"/>
    </row>
    <row r="3957">
      <c r="A3957" s="61" t="n"/>
      <c r="B3957" s="16" t="n"/>
      <c r="C3957" s="90" t="n"/>
      <c r="D3957" s="90" t="n"/>
      <c r="E3957" s="90" t="n"/>
      <c r="F3957" s="16" t="n"/>
      <c r="G3957" s="16" t="n"/>
      <c r="H3957" s="63" t="n"/>
      <c r="I3957" s="64" t="n"/>
      <c r="J3957" s="16" t="n"/>
      <c r="K3957" s="16" t="n"/>
      <c r="M3957" s="89" t="n"/>
      <c r="N3957" s="1" t="n"/>
      <c r="O3957" s="1" t="n"/>
      <c r="P3957" s="1" t="n"/>
      <c r="Q3957" s="1" t="n"/>
      <c r="R3957" s="1" t="n"/>
    </row>
    <row r="3958">
      <c r="A3958" s="61" t="n"/>
      <c r="B3958" s="16" t="n"/>
      <c r="C3958" s="90" t="n"/>
      <c r="D3958" s="90" t="n"/>
      <c r="E3958" s="90" t="n"/>
      <c r="F3958" s="16" t="n"/>
      <c r="G3958" s="16" t="n"/>
      <c r="H3958" s="63" t="n"/>
      <c r="I3958" s="64" t="n"/>
      <c r="J3958" s="16" t="n"/>
      <c r="K3958" s="16" t="n"/>
      <c r="M3958" s="89" t="n"/>
      <c r="N3958" s="1" t="n"/>
      <c r="O3958" s="1" t="n"/>
      <c r="P3958" s="1" t="n"/>
      <c r="Q3958" s="1" t="n"/>
      <c r="R3958" s="1" t="n"/>
    </row>
    <row r="3959">
      <c r="A3959" s="61" t="n"/>
      <c r="B3959" s="16" t="n"/>
      <c r="C3959" s="90" t="n"/>
      <c r="D3959" s="90" t="n"/>
      <c r="E3959" s="90" t="n"/>
      <c r="F3959" s="16" t="n"/>
      <c r="G3959" s="16" t="n"/>
      <c r="H3959" s="63" t="n"/>
      <c r="I3959" s="64" t="n"/>
      <c r="J3959" s="16" t="n"/>
      <c r="K3959" s="16" t="n"/>
      <c r="M3959" s="89" t="n"/>
      <c r="N3959" s="1" t="n"/>
      <c r="O3959" s="1" t="n"/>
      <c r="P3959" s="1" t="n"/>
      <c r="Q3959" s="1" t="n"/>
      <c r="R3959" s="1" t="n"/>
    </row>
    <row r="3960">
      <c r="A3960" s="61" t="n"/>
      <c r="B3960" s="16" t="n"/>
      <c r="C3960" s="90" t="n"/>
      <c r="D3960" s="90" t="n"/>
      <c r="E3960" s="90" t="n"/>
      <c r="F3960" s="16" t="n"/>
      <c r="G3960" s="16" t="n"/>
      <c r="H3960" s="63" t="n"/>
      <c r="I3960" s="64" t="n"/>
      <c r="J3960" s="16" t="n"/>
      <c r="K3960" s="16" t="n"/>
      <c r="M3960" s="89" t="n"/>
      <c r="N3960" s="1" t="n"/>
      <c r="O3960" s="1" t="n"/>
      <c r="P3960" s="1" t="n"/>
      <c r="Q3960" s="1" t="n"/>
      <c r="R3960" s="1" t="n"/>
    </row>
    <row r="3961">
      <c r="A3961" s="61" t="n"/>
      <c r="B3961" s="16" t="n"/>
      <c r="C3961" s="90" t="n"/>
      <c r="D3961" s="90" t="n"/>
      <c r="E3961" s="90" t="n"/>
      <c r="F3961" s="16" t="n"/>
      <c r="G3961" s="16" t="n"/>
      <c r="H3961" s="63" t="n"/>
      <c r="I3961" s="64" t="n"/>
      <c r="J3961" s="16" t="n"/>
      <c r="K3961" s="16" t="n"/>
      <c r="M3961" s="89" t="n"/>
      <c r="N3961" s="1" t="n"/>
      <c r="O3961" s="1" t="n"/>
      <c r="P3961" s="1" t="n"/>
      <c r="Q3961" s="1" t="n"/>
      <c r="R3961" s="1" t="n"/>
    </row>
    <row r="3962">
      <c r="A3962" s="61" t="n"/>
      <c r="B3962" s="16" t="n"/>
      <c r="C3962" s="90" t="n"/>
      <c r="D3962" s="90" t="n"/>
      <c r="E3962" s="90" t="n"/>
      <c r="F3962" s="16" t="n"/>
      <c r="G3962" s="16" t="n"/>
      <c r="H3962" s="63" t="n"/>
      <c r="I3962" s="64" t="n"/>
      <c r="J3962" s="16" t="n"/>
      <c r="K3962" s="16" t="n"/>
      <c r="M3962" s="89" t="n"/>
      <c r="N3962" s="1" t="n"/>
      <c r="O3962" s="1" t="n"/>
      <c r="P3962" s="1" t="n"/>
      <c r="Q3962" s="1" t="n"/>
      <c r="R3962" s="1" t="n"/>
    </row>
    <row r="3963">
      <c r="A3963" s="61" t="n"/>
      <c r="B3963" s="16" t="n"/>
      <c r="C3963" s="90" t="n"/>
      <c r="D3963" s="90" t="n"/>
      <c r="E3963" s="90" t="n"/>
      <c r="F3963" s="16" t="n"/>
      <c r="G3963" s="16" t="n"/>
      <c r="H3963" s="63" t="n"/>
      <c r="I3963" s="64" t="n"/>
      <c r="J3963" s="16" t="n"/>
      <c r="K3963" s="16" t="n"/>
      <c r="M3963" s="89" t="n"/>
      <c r="N3963" s="1" t="n"/>
      <c r="O3963" s="1" t="n"/>
      <c r="P3963" s="1" t="n"/>
      <c r="Q3963" s="1" t="n"/>
      <c r="R3963" s="1" t="n"/>
    </row>
    <row r="3964">
      <c r="A3964" s="61" t="n"/>
      <c r="B3964" s="16" t="n"/>
      <c r="C3964" s="90" t="n"/>
      <c r="D3964" s="90" t="n"/>
      <c r="E3964" s="90" t="n"/>
      <c r="F3964" s="16" t="n"/>
      <c r="G3964" s="16" t="n"/>
      <c r="H3964" s="63" t="n"/>
      <c r="I3964" s="64" t="n"/>
      <c r="J3964" s="16" t="n"/>
      <c r="K3964" s="16" t="n"/>
      <c r="M3964" s="89" t="n"/>
      <c r="N3964" s="1" t="n"/>
      <c r="O3964" s="1" t="n"/>
      <c r="P3964" s="1" t="n"/>
      <c r="Q3964" s="1" t="n"/>
      <c r="R3964" s="1" t="n"/>
    </row>
    <row r="3965">
      <c r="A3965" s="61" t="n"/>
      <c r="B3965" s="16" t="n"/>
      <c r="C3965" s="90" t="n"/>
      <c r="D3965" s="90" t="n"/>
      <c r="E3965" s="90" t="n"/>
      <c r="F3965" s="16" t="n"/>
      <c r="G3965" s="16" t="n"/>
      <c r="H3965" s="63" t="n"/>
      <c r="I3965" s="64" t="n"/>
      <c r="J3965" s="16" t="n"/>
      <c r="K3965" s="16" t="n"/>
      <c r="M3965" s="89" t="n"/>
      <c r="N3965" s="1" t="n"/>
      <c r="O3965" s="1" t="n"/>
      <c r="P3965" s="1" t="n"/>
      <c r="Q3965" s="1" t="n"/>
      <c r="R3965" s="1" t="n"/>
    </row>
    <row r="3966">
      <c r="A3966" s="61" t="n"/>
      <c r="B3966" s="16" t="n"/>
      <c r="C3966" s="90" t="n"/>
      <c r="D3966" s="90" t="n"/>
      <c r="E3966" s="90" t="n"/>
      <c r="F3966" s="16" t="n"/>
      <c r="G3966" s="16" t="n"/>
      <c r="H3966" s="63" t="n"/>
      <c r="I3966" s="64" t="n"/>
      <c r="J3966" s="16" t="n"/>
      <c r="K3966" s="16" t="n"/>
      <c r="M3966" s="89" t="n"/>
      <c r="N3966" s="1" t="n"/>
      <c r="O3966" s="1" t="n"/>
      <c r="P3966" s="1" t="n"/>
      <c r="Q3966" s="1" t="n"/>
      <c r="R3966" s="1" t="n"/>
    </row>
    <row r="3967">
      <c r="A3967" s="61" t="n"/>
      <c r="B3967" s="16" t="n"/>
      <c r="C3967" s="90" t="n"/>
      <c r="D3967" s="90" t="n"/>
      <c r="E3967" s="90" t="n"/>
      <c r="F3967" s="16" t="n"/>
      <c r="G3967" s="16" t="n"/>
      <c r="H3967" s="63" t="n"/>
      <c r="I3967" s="64" t="n"/>
      <c r="J3967" s="16" t="n"/>
      <c r="K3967" s="16" t="n"/>
      <c r="M3967" s="89" t="n"/>
      <c r="N3967" s="1" t="n"/>
      <c r="O3967" s="1" t="n"/>
      <c r="P3967" s="1" t="n"/>
      <c r="Q3967" s="1" t="n"/>
      <c r="R3967" s="1" t="n"/>
    </row>
    <row r="3968">
      <c r="A3968" s="61" t="n"/>
      <c r="B3968" s="16" t="n"/>
      <c r="C3968" s="90" t="n"/>
      <c r="D3968" s="90" t="n"/>
      <c r="E3968" s="90" t="n"/>
      <c r="F3968" s="16" t="n"/>
      <c r="G3968" s="16" t="n"/>
      <c r="H3968" s="63" t="n"/>
      <c r="I3968" s="64" t="n"/>
      <c r="J3968" s="16" t="n"/>
      <c r="K3968" s="16" t="n"/>
      <c r="M3968" s="89" t="n"/>
      <c r="N3968" s="1" t="n"/>
      <c r="O3968" s="1" t="n"/>
      <c r="P3968" s="1" t="n"/>
      <c r="Q3968" s="1" t="n"/>
      <c r="R3968" s="1" t="n"/>
    </row>
    <row r="3969">
      <c r="A3969" s="61" t="n"/>
      <c r="B3969" s="16" t="n"/>
      <c r="C3969" s="90" t="n"/>
      <c r="D3969" s="90" t="n"/>
      <c r="E3969" s="90" t="n"/>
      <c r="F3969" s="16" t="n"/>
      <c r="G3969" s="16" t="n"/>
      <c r="H3969" s="63" t="n"/>
      <c r="I3969" s="64" t="n"/>
      <c r="J3969" s="16" t="n"/>
      <c r="K3969" s="16" t="n"/>
      <c r="M3969" s="89" t="n"/>
      <c r="N3969" s="1" t="n"/>
      <c r="O3969" s="1" t="n"/>
      <c r="P3969" s="1" t="n"/>
      <c r="Q3969" s="1" t="n"/>
      <c r="R3969" s="1" t="n"/>
    </row>
    <row r="3970">
      <c r="A3970" s="61" t="n"/>
      <c r="B3970" s="16" t="n"/>
      <c r="C3970" s="90" t="n"/>
      <c r="D3970" s="90" t="n"/>
      <c r="E3970" s="90" t="n"/>
      <c r="F3970" s="16" t="n"/>
      <c r="G3970" s="16" t="n"/>
      <c r="H3970" s="63" t="n"/>
      <c r="I3970" s="64" t="n"/>
      <c r="J3970" s="16" t="n"/>
      <c r="K3970" s="16" t="n"/>
      <c r="M3970" s="89" t="n"/>
      <c r="N3970" s="1" t="n"/>
      <c r="O3970" s="1" t="n"/>
      <c r="P3970" s="1" t="n"/>
      <c r="Q3970" s="1" t="n"/>
      <c r="R3970" s="1" t="n"/>
    </row>
    <row r="3971">
      <c r="A3971" s="61" t="n"/>
      <c r="B3971" s="16" t="n"/>
      <c r="C3971" s="90" t="n"/>
      <c r="D3971" s="90" t="n"/>
      <c r="E3971" s="90" t="n"/>
      <c r="F3971" s="16" t="n"/>
      <c r="G3971" s="16" t="n"/>
      <c r="H3971" s="63" t="n"/>
      <c r="I3971" s="64" t="n"/>
      <c r="J3971" s="16" t="n"/>
      <c r="K3971" s="16" t="n"/>
      <c r="M3971" s="89" t="n"/>
      <c r="N3971" s="1" t="n"/>
      <c r="O3971" s="1" t="n"/>
      <c r="P3971" s="1" t="n"/>
      <c r="Q3971" s="1" t="n"/>
      <c r="R3971" s="1" t="n"/>
    </row>
    <row r="3972">
      <c r="A3972" s="61" t="n"/>
      <c r="B3972" s="16" t="n"/>
      <c r="C3972" s="90" t="n"/>
      <c r="D3972" s="90" t="n"/>
      <c r="E3972" s="90" t="n"/>
      <c r="F3972" s="16" t="n"/>
      <c r="G3972" s="16" t="n"/>
      <c r="H3972" s="63" t="n"/>
      <c r="I3972" s="64" t="n"/>
      <c r="J3972" s="16" t="n"/>
      <c r="K3972" s="16" t="n"/>
      <c r="M3972" s="89" t="n"/>
      <c r="N3972" s="1" t="n"/>
      <c r="O3972" s="1" t="n"/>
      <c r="P3972" s="1" t="n"/>
      <c r="Q3972" s="1" t="n"/>
      <c r="R3972" s="1" t="n"/>
    </row>
    <row r="3973">
      <c r="A3973" s="61" t="n"/>
      <c r="B3973" s="16" t="n"/>
      <c r="C3973" s="90" t="n"/>
      <c r="D3973" s="90" t="n"/>
      <c r="E3973" s="90" t="n"/>
      <c r="F3973" s="16" t="n"/>
      <c r="G3973" s="16" t="n"/>
      <c r="H3973" s="63" t="n"/>
      <c r="I3973" s="64" t="n"/>
      <c r="J3973" s="16" t="n"/>
      <c r="K3973" s="16" t="n"/>
      <c r="M3973" s="89" t="n"/>
      <c r="N3973" s="1" t="n"/>
      <c r="O3973" s="1" t="n"/>
      <c r="P3973" s="1" t="n"/>
      <c r="Q3973" s="1" t="n"/>
      <c r="R3973" s="1" t="n"/>
    </row>
    <row r="3974">
      <c r="A3974" s="61" t="n"/>
      <c r="B3974" s="16" t="n"/>
      <c r="C3974" s="90" t="n"/>
      <c r="D3974" s="90" t="n"/>
      <c r="E3974" s="90" t="n"/>
      <c r="F3974" s="16" t="n"/>
      <c r="G3974" s="16" t="n"/>
      <c r="H3974" s="63" t="n"/>
      <c r="I3974" s="64" t="n"/>
      <c r="J3974" s="16" t="n"/>
      <c r="K3974" s="16" t="n"/>
      <c r="M3974" s="89" t="n"/>
      <c r="N3974" s="1" t="n"/>
      <c r="O3974" s="1" t="n"/>
      <c r="P3974" s="1" t="n"/>
      <c r="Q3974" s="1" t="n"/>
      <c r="R3974" s="1" t="n"/>
    </row>
    <row r="3975">
      <c r="A3975" s="61" t="n"/>
      <c r="B3975" s="16" t="n"/>
      <c r="C3975" s="90" t="n"/>
      <c r="D3975" s="90" t="n"/>
      <c r="E3975" s="90" t="n"/>
      <c r="F3975" s="16" t="n"/>
      <c r="G3975" s="16" t="n"/>
      <c r="H3975" s="63" t="n"/>
      <c r="I3975" s="64" t="n"/>
      <c r="J3975" s="16" t="n"/>
      <c r="K3975" s="16" t="n"/>
      <c r="M3975" s="89" t="n"/>
      <c r="N3975" s="1" t="n"/>
      <c r="O3975" s="1" t="n"/>
      <c r="P3975" s="1" t="n"/>
      <c r="Q3975" s="1" t="n"/>
      <c r="R3975" s="1" t="n"/>
    </row>
    <row r="3976">
      <c r="A3976" s="61" t="n"/>
      <c r="B3976" s="16" t="n"/>
      <c r="C3976" s="90" t="n"/>
      <c r="D3976" s="90" t="n"/>
      <c r="E3976" s="90" t="n"/>
      <c r="F3976" s="16" t="n"/>
      <c r="G3976" s="16" t="n"/>
      <c r="H3976" s="63" t="n"/>
      <c r="I3976" s="64" t="n"/>
      <c r="J3976" s="16" t="n"/>
      <c r="K3976" s="16" t="n"/>
      <c r="M3976" s="89" t="n"/>
      <c r="N3976" s="1" t="n"/>
      <c r="O3976" s="1" t="n"/>
      <c r="P3976" s="1" t="n"/>
      <c r="Q3976" s="1" t="n"/>
      <c r="R3976" s="1" t="n"/>
    </row>
    <row r="3977">
      <c r="A3977" s="61" t="n"/>
      <c r="B3977" s="16" t="n"/>
      <c r="C3977" s="90" t="n"/>
      <c r="D3977" s="90" t="n"/>
      <c r="E3977" s="90" t="n"/>
      <c r="F3977" s="16" t="n"/>
      <c r="G3977" s="16" t="n"/>
      <c r="H3977" s="63" t="n"/>
      <c r="I3977" s="64" t="n"/>
      <c r="J3977" s="16" t="n"/>
      <c r="K3977" s="16" t="n"/>
      <c r="M3977" s="89" t="n"/>
      <c r="N3977" s="1" t="n"/>
      <c r="O3977" s="1" t="n"/>
      <c r="P3977" s="1" t="n"/>
      <c r="Q3977" s="1" t="n"/>
      <c r="R3977" s="1" t="n"/>
    </row>
    <row r="3978">
      <c r="A3978" s="61" t="n"/>
      <c r="B3978" s="16" t="n"/>
      <c r="C3978" s="90" t="n"/>
      <c r="D3978" s="90" t="n"/>
      <c r="E3978" s="90" t="n"/>
      <c r="F3978" s="16" t="n"/>
      <c r="G3978" s="16" t="n"/>
      <c r="H3978" s="63" t="n"/>
      <c r="I3978" s="64" t="n"/>
      <c r="J3978" s="16" t="n"/>
      <c r="K3978" s="16" t="n"/>
      <c r="M3978" s="89" t="n"/>
      <c r="N3978" s="1" t="n"/>
      <c r="O3978" s="1" t="n"/>
      <c r="P3978" s="1" t="n"/>
      <c r="Q3978" s="1" t="n"/>
      <c r="R3978" s="1" t="n"/>
    </row>
    <row r="3979">
      <c r="A3979" s="61" t="n"/>
      <c r="B3979" s="16" t="n"/>
      <c r="C3979" s="90" t="n"/>
      <c r="D3979" s="90" t="n"/>
      <c r="E3979" s="90" t="n"/>
      <c r="F3979" s="16" t="n"/>
      <c r="G3979" s="16" t="n"/>
      <c r="H3979" s="63" t="n"/>
      <c r="I3979" s="64" t="n"/>
      <c r="J3979" s="16" t="n"/>
      <c r="K3979" s="16" t="n"/>
      <c r="M3979" s="89" t="n"/>
      <c r="N3979" s="1" t="n"/>
      <c r="O3979" s="1" t="n"/>
      <c r="P3979" s="1" t="n"/>
      <c r="Q3979" s="1" t="n"/>
      <c r="R3979" s="1" t="n"/>
    </row>
    <row r="3980">
      <c r="A3980" s="61" t="n"/>
      <c r="B3980" s="16" t="n"/>
      <c r="C3980" s="90" t="n"/>
      <c r="D3980" s="90" t="n"/>
      <c r="E3980" s="90" t="n"/>
      <c r="F3980" s="16" t="n"/>
      <c r="G3980" s="16" t="n"/>
      <c r="H3980" s="63" t="n"/>
      <c r="I3980" s="64" t="n"/>
      <c r="J3980" s="16" t="n"/>
      <c r="K3980" s="16" t="n"/>
      <c r="M3980" s="89" t="n"/>
      <c r="N3980" s="1" t="n"/>
      <c r="O3980" s="1" t="n"/>
      <c r="P3980" s="1" t="n"/>
      <c r="Q3980" s="1" t="n"/>
      <c r="R3980" s="1" t="n"/>
    </row>
    <row r="3981">
      <c r="A3981" s="61" t="n"/>
      <c r="B3981" s="16" t="n"/>
      <c r="C3981" s="90" t="n"/>
      <c r="D3981" s="90" t="n"/>
      <c r="E3981" s="90" t="n"/>
      <c r="F3981" s="16" t="n"/>
      <c r="G3981" s="16" t="n"/>
      <c r="H3981" s="63" t="n"/>
      <c r="I3981" s="64" t="n"/>
      <c r="J3981" s="16" t="n"/>
      <c r="K3981" s="16" t="n"/>
      <c r="M3981" s="89" t="n"/>
      <c r="N3981" s="1" t="n"/>
      <c r="O3981" s="1" t="n"/>
      <c r="P3981" s="1" t="n"/>
      <c r="Q3981" s="1" t="n"/>
      <c r="R3981" s="1" t="n"/>
    </row>
    <row r="3982">
      <c r="A3982" s="61" t="n"/>
      <c r="B3982" s="16" t="n"/>
      <c r="C3982" s="90" t="n"/>
      <c r="D3982" s="90" t="n"/>
      <c r="E3982" s="90" t="n"/>
      <c r="F3982" s="16" t="n"/>
      <c r="G3982" s="16" t="n"/>
      <c r="H3982" s="63" t="n"/>
      <c r="I3982" s="64" t="n"/>
      <c r="J3982" s="16" t="n"/>
      <c r="K3982" s="16" t="n"/>
      <c r="M3982" s="89" t="n"/>
      <c r="N3982" s="1" t="n"/>
      <c r="O3982" s="1" t="n"/>
      <c r="P3982" s="1" t="n"/>
      <c r="Q3982" s="1" t="n"/>
      <c r="R3982" s="1" t="n"/>
    </row>
    <row r="3983">
      <c r="A3983" s="61" t="n"/>
      <c r="B3983" s="16" t="n"/>
      <c r="C3983" s="90" t="n"/>
      <c r="D3983" s="90" t="n"/>
      <c r="E3983" s="90" t="n"/>
      <c r="F3983" s="16" t="n"/>
      <c r="G3983" s="16" t="n"/>
      <c r="H3983" s="63" t="n"/>
      <c r="I3983" s="64" t="n"/>
      <c r="J3983" s="16" t="n"/>
      <c r="K3983" s="16" t="n"/>
      <c r="M3983" s="89" t="n"/>
      <c r="N3983" s="1" t="n"/>
      <c r="O3983" s="1" t="n"/>
      <c r="P3983" s="1" t="n"/>
      <c r="Q3983" s="1" t="n"/>
      <c r="R3983" s="1" t="n"/>
    </row>
    <row r="3984">
      <c r="A3984" s="61" t="n"/>
      <c r="B3984" s="16" t="n"/>
      <c r="C3984" s="90" t="n"/>
      <c r="D3984" s="90" t="n"/>
      <c r="E3984" s="90" t="n"/>
      <c r="F3984" s="16" t="n"/>
      <c r="G3984" s="16" t="n"/>
      <c r="H3984" s="63" t="n"/>
      <c r="I3984" s="64" t="n"/>
      <c r="J3984" s="16" t="n"/>
      <c r="K3984" s="16" t="n"/>
      <c r="M3984" s="89" t="n"/>
      <c r="N3984" s="1" t="n"/>
      <c r="O3984" s="1" t="n"/>
      <c r="P3984" s="1" t="n"/>
      <c r="Q3984" s="1" t="n"/>
      <c r="R3984" s="1" t="n"/>
    </row>
    <row r="3985">
      <c r="A3985" s="61" t="n"/>
      <c r="B3985" s="16" t="n"/>
      <c r="C3985" s="90" t="n"/>
      <c r="D3985" s="90" t="n"/>
      <c r="E3985" s="90" t="n"/>
      <c r="F3985" s="16" t="n"/>
      <c r="G3985" s="16" t="n"/>
      <c r="H3985" s="63" t="n"/>
      <c r="I3985" s="64" t="n"/>
      <c r="J3985" s="16" t="n"/>
      <c r="K3985" s="16" t="n"/>
      <c r="M3985" s="89" t="n"/>
      <c r="N3985" s="1" t="n"/>
      <c r="O3985" s="1" t="n"/>
      <c r="P3985" s="1" t="n"/>
      <c r="Q3985" s="1" t="n"/>
      <c r="R3985" s="1" t="n"/>
    </row>
    <row r="3986">
      <c r="A3986" s="61" t="n"/>
      <c r="B3986" s="16" t="n"/>
      <c r="C3986" s="90" t="n"/>
      <c r="D3986" s="90" t="n"/>
      <c r="E3986" s="90" t="n"/>
      <c r="F3986" s="16" t="n"/>
      <c r="G3986" s="16" t="n"/>
      <c r="H3986" s="63" t="n"/>
      <c r="I3986" s="64" t="n"/>
      <c r="J3986" s="16" t="n"/>
      <c r="K3986" s="16" t="n"/>
      <c r="M3986" s="89" t="n"/>
      <c r="N3986" s="1" t="n"/>
      <c r="O3986" s="1" t="n"/>
      <c r="P3986" s="1" t="n"/>
      <c r="Q3986" s="1" t="n"/>
      <c r="R3986" s="1" t="n"/>
    </row>
    <row r="3987">
      <c r="A3987" s="61" t="n"/>
      <c r="B3987" s="16" t="n"/>
      <c r="C3987" s="90" t="n"/>
      <c r="D3987" s="90" t="n"/>
      <c r="E3987" s="90" t="n"/>
      <c r="F3987" s="16" t="n"/>
      <c r="G3987" s="16" t="n"/>
      <c r="H3987" s="63" t="n"/>
      <c r="I3987" s="64" t="n"/>
      <c r="J3987" s="16" t="n"/>
      <c r="K3987" s="16" t="n"/>
      <c r="M3987" s="89" t="n"/>
      <c r="N3987" s="1" t="n"/>
      <c r="O3987" s="1" t="n"/>
      <c r="P3987" s="1" t="n"/>
      <c r="Q3987" s="1" t="n"/>
      <c r="R3987" s="1" t="n"/>
    </row>
    <row r="3988">
      <c r="A3988" s="61" t="n"/>
      <c r="B3988" s="16" t="n"/>
      <c r="C3988" s="90" t="n"/>
      <c r="D3988" s="90" t="n"/>
      <c r="E3988" s="90" t="n"/>
      <c r="F3988" s="16" t="n"/>
      <c r="G3988" s="16" t="n"/>
      <c r="H3988" s="63" t="n"/>
      <c r="I3988" s="64" t="n"/>
      <c r="J3988" s="16" t="n"/>
      <c r="K3988" s="16" t="n"/>
      <c r="M3988" s="89" t="n"/>
      <c r="N3988" s="1" t="n"/>
      <c r="O3988" s="1" t="n"/>
      <c r="P3988" s="1" t="n"/>
      <c r="Q3988" s="1" t="n"/>
      <c r="R3988" s="1" t="n"/>
    </row>
    <row r="3989">
      <c r="A3989" s="61" t="n"/>
      <c r="B3989" s="16" t="n"/>
      <c r="C3989" s="90" t="n"/>
      <c r="D3989" s="90" t="n"/>
      <c r="E3989" s="90" t="n"/>
      <c r="F3989" s="16" t="n"/>
      <c r="G3989" s="16" t="n"/>
      <c r="H3989" s="63" t="n"/>
      <c r="I3989" s="64" t="n"/>
      <c r="J3989" s="16" t="n"/>
      <c r="K3989" s="16" t="n"/>
      <c r="M3989" s="89" t="n"/>
      <c r="N3989" s="1" t="n"/>
      <c r="O3989" s="1" t="n"/>
      <c r="P3989" s="1" t="n"/>
      <c r="Q3989" s="1" t="n"/>
      <c r="R3989" s="1" t="n"/>
    </row>
    <row r="3990">
      <c r="A3990" s="61" t="n"/>
      <c r="B3990" s="16" t="n"/>
      <c r="C3990" s="90" t="n"/>
      <c r="D3990" s="90" t="n"/>
      <c r="E3990" s="90" t="n"/>
      <c r="F3990" s="16" t="n"/>
      <c r="G3990" s="16" t="n"/>
      <c r="H3990" s="63" t="n"/>
      <c r="I3990" s="64" t="n"/>
      <c r="J3990" s="16" t="n"/>
      <c r="K3990" s="16" t="n"/>
      <c r="M3990" s="89" t="n"/>
      <c r="N3990" s="1" t="n"/>
      <c r="O3990" s="1" t="n"/>
      <c r="P3990" s="1" t="n"/>
      <c r="Q3990" s="1" t="n"/>
      <c r="R3990" s="1" t="n"/>
    </row>
    <row r="3991">
      <c r="A3991" s="61" t="n"/>
      <c r="B3991" s="16" t="n"/>
      <c r="C3991" s="90" t="n"/>
      <c r="D3991" s="90" t="n"/>
      <c r="E3991" s="90" t="n"/>
      <c r="F3991" s="16" t="n"/>
      <c r="G3991" s="16" t="n"/>
      <c r="H3991" s="63" t="n"/>
      <c r="I3991" s="64" t="n"/>
      <c r="J3991" s="16" t="n"/>
      <c r="K3991" s="16" t="n"/>
      <c r="M3991" s="89" t="n"/>
      <c r="N3991" s="1" t="n"/>
      <c r="O3991" s="1" t="n"/>
      <c r="P3991" s="1" t="n"/>
      <c r="Q3991" s="1" t="n"/>
      <c r="R3991" s="1" t="n"/>
    </row>
    <row r="3992">
      <c r="A3992" s="61" t="n"/>
      <c r="B3992" s="16" t="n"/>
      <c r="C3992" s="90" t="n"/>
      <c r="D3992" s="90" t="n"/>
      <c r="E3992" s="90" t="n"/>
      <c r="F3992" s="16" t="n"/>
      <c r="G3992" s="16" t="n"/>
      <c r="H3992" s="63" t="n"/>
      <c r="I3992" s="64" t="n"/>
      <c r="J3992" s="16" t="n"/>
      <c r="K3992" s="16" t="n"/>
      <c r="M3992" s="89" t="n"/>
      <c r="N3992" s="1" t="n"/>
      <c r="O3992" s="1" t="n"/>
      <c r="P3992" s="1" t="n"/>
      <c r="Q3992" s="1" t="n"/>
      <c r="R3992" s="1" t="n"/>
    </row>
    <row r="3993">
      <c r="A3993" s="61" t="n"/>
      <c r="B3993" s="16" t="n"/>
      <c r="C3993" s="90" t="n"/>
      <c r="D3993" s="90" t="n"/>
      <c r="E3993" s="90" t="n"/>
      <c r="F3993" s="16" t="n"/>
      <c r="G3993" s="16" t="n"/>
      <c r="H3993" s="63" t="n"/>
      <c r="I3993" s="64" t="n"/>
      <c r="J3993" s="16" t="n"/>
      <c r="K3993" s="16" t="n"/>
      <c r="M3993" s="89" t="n"/>
      <c r="N3993" s="1" t="n"/>
      <c r="O3993" s="1" t="n"/>
      <c r="P3993" s="1" t="n"/>
      <c r="Q3993" s="1" t="n"/>
      <c r="R3993" s="1" t="n"/>
    </row>
    <row r="3994">
      <c r="A3994" s="61" t="n"/>
      <c r="B3994" s="16" t="n"/>
      <c r="C3994" s="90" t="n"/>
      <c r="D3994" s="90" t="n"/>
      <c r="E3994" s="90" t="n"/>
      <c r="F3994" s="16" t="n"/>
      <c r="G3994" s="16" t="n"/>
      <c r="H3994" s="63" t="n"/>
      <c r="I3994" s="64" t="n"/>
      <c r="J3994" s="16" t="n"/>
      <c r="K3994" s="16" t="n"/>
      <c r="M3994" s="89" t="n"/>
      <c r="N3994" s="1" t="n"/>
      <c r="O3994" s="1" t="n"/>
      <c r="P3994" s="1" t="n"/>
      <c r="Q3994" s="1" t="n"/>
      <c r="R3994" s="1" t="n"/>
    </row>
    <row r="3995">
      <c r="A3995" s="61" t="n"/>
      <c r="B3995" s="16" t="n"/>
      <c r="C3995" s="90" t="n"/>
      <c r="D3995" s="90" t="n"/>
      <c r="E3995" s="90" t="n"/>
      <c r="F3995" s="16" t="n"/>
      <c r="G3995" s="16" t="n"/>
      <c r="H3995" s="63" t="n"/>
      <c r="I3995" s="64" t="n"/>
      <c r="J3995" s="16" t="n"/>
      <c r="K3995" s="16" t="n"/>
      <c r="M3995" s="89" t="n"/>
      <c r="N3995" s="1" t="n"/>
      <c r="O3995" s="1" t="n"/>
      <c r="P3995" s="1" t="n"/>
      <c r="Q3995" s="1" t="n"/>
      <c r="R3995" s="1" t="n"/>
    </row>
    <row r="3996">
      <c r="A3996" s="61" t="n"/>
      <c r="B3996" s="16" t="n"/>
      <c r="C3996" s="90" t="n"/>
      <c r="D3996" s="90" t="n"/>
      <c r="E3996" s="90" t="n"/>
      <c r="F3996" s="16" t="n"/>
      <c r="G3996" s="16" t="n"/>
      <c r="H3996" s="63" t="n"/>
      <c r="I3996" s="64" t="n"/>
      <c r="J3996" s="16" t="n"/>
      <c r="K3996" s="16" t="n"/>
      <c r="M3996" s="89" t="n"/>
      <c r="N3996" s="1" t="n"/>
      <c r="O3996" s="1" t="n"/>
      <c r="P3996" s="1" t="n"/>
      <c r="Q3996" s="1" t="n"/>
      <c r="R3996" s="1" t="n"/>
    </row>
    <row r="3997">
      <c r="A3997" s="61" t="n"/>
      <c r="B3997" s="16" t="n"/>
      <c r="C3997" s="90" t="n"/>
      <c r="D3997" s="90" t="n"/>
      <c r="E3997" s="90" t="n"/>
      <c r="F3997" s="16" t="n"/>
      <c r="G3997" s="16" t="n"/>
      <c r="H3997" s="63" t="n"/>
      <c r="I3997" s="64" t="n"/>
      <c r="J3997" s="16" t="n"/>
      <c r="K3997" s="16" t="n"/>
      <c r="M3997" s="89" t="n"/>
      <c r="N3997" s="1" t="n"/>
      <c r="O3997" s="1" t="n"/>
      <c r="P3997" s="1" t="n"/>
      <c r="Q3997" s="1" t="n"/>
      <c r="R3997" s="1" t="n"/>
    </row>
    <row r="3998">
      <c r="A3998" s="61" t="n"/>
      <c r="B3998" s="16" t="n"/>
      <c r="C3998" s="90" t="n"/>
      <c r="D3998" s="90" t="n"/>
      <c r="E3998" s="90" t="n"/>
      <c r="F3998" s="16" t="n"/>
      <c r="G3998" s="16" t="n"/>
      <c r="H3998" s="63" t="n"/>
      <c r="I3998" s="64" t="n"/>
      <c r="J3998" s="16" t="n"/>
      <c r="K3998" s="16" t="n"/>
      <c r="M3998" s="89" t="n"/>
      <c r="N3998" s="1" t="n"/>
      <c r="O3998" s="1" t="n"/>
      <c r="P3998" s="1" t="n"/>
      <c r="Q3998" s="1" t="n"/>
      <c r="R3998" s="1" t="n"/>
    </row>
    <row r="3999">
      <c r="A3999" s="61" t="n"/>
      <c r="B3999" s="16" t="n"/>
      <c r="C3999" s="90" t="n"/>
      <c r="D3999" s="90" t="n"/>
      <c r="E3999" s="90" t="n"/>
      <c r="F3999" s="16" t="n"/>
      <c r="G3999" s="16" t="n"/>
      <c r="H3999" s="63" t="n"/>
      <c r="I3999" s="64" t="n"/>
      <c r="J3999" s="16" t="n"/>
      <c r="K3999" s="16" t="n"/>
      <c r="M3999" s="89" t="n"/>
      <c r="N3999" s="1" t="n"/>
      <c r="O3999" s="1" t="n"/>
      <c r="P3999" s="1" t="n"/>
      <c r="Q3999" s="1" t="n"/>
      <c r="R3999" s="1" t="n"/>
    </row>
    <row r="4000">
      <c r="A4000" s="61" t="n"/>
      <c r="B4000" s="16" t="n"/>
      <c r="C4000" s="90" t="n"/>
      <c r="D4000" s="90" t="n"/>
      <c r="E4000" s="90" t="n"/>
      <c r="F4000" s="16" t="n"/>
      <c r="G4000" s="16" t="n"/>
      <c r="H4000" s="63" t="n"/>
      <c r="I4000" s="64" t="n"/>
      <c r="J4000" s="16" t="n"/>
      <c r="K4000" s="16" t="n"/>
      <c r="M4000" s="89" t="n"/>
      <c r="N4000" s="1" t="n"/>
      <c r="O4000" s="1" t="n"/>
      <c r="P4000" s="1" t="n"/>
      <c r="Q4000" s="1" t="n"/>
      <c r="R4000" s="1" t="n"/>
    </row>
    <row r="4001">
      <c r="A4001" s="61" t="n"/>
      <c r="B4001" s="16" t="n"/>
      <c r="C4001" s="90" t="n"/>
      <c r="D4001" s="90" t="n"/>
      <c r="E4001" s="90" t="n"/>
      <c r="F4001" s="16" t="n"/>
      <c r="G4001" s="16" t="n"/>
      <c r="H4001" s="63" t="n"/>
      <c r="I4001" s="64" t="n"/>
      <c r="J4001" s="16" t="n"/>
      <c r="K4001" s="16" t="n"/>
      <c r="M4001" s="89" t="n"/>
      <c r="N4001" s="1" t="n"/>
      <c r="O4001" s="1" t="n"/>
      <c r="P4001" s="1" t="n"/>
      <c r="Q4001" s="1" t="n"/>
      <c r="R4001" s="1" t="n"/>
    </row>
    <row r="4002">
      <c r="A4002" s="61" t="n"/>
      <c r="B4002" s="16" t="n"/>
      <c r="C4002" s="90" t="n"/>
      <c r="D4002" s="90" t="n"/>
      <c r="E4002" s="90" t="n"/>
      <c r="F4002" s="16" t="n"/>
      <c r="G4002" s="16" t="n"/>
      <c r="H4002" s="63" t="n"/>
      <c r="I4002" s="64" t="n"/>
      <c r="J4002" s="16" t="n"/>
      <c r="K4002" s="16" t="n"/>
      <c r="M4002" s="89" t="n"/>
      <c r="N4002" s="1" t="n"/>
      <c r="O4002" s="1" t="n"/>
      <c r="P4002" s="1" t="n"/>
      <c r="Q4002" s="1" t="n"/>
      <c r="R4002" s="1" t="n"/>
    </row>
    <row r="4003">
      <c r="A4003" s="61" t="n"/>
      <c r="B4003" s="16" t="n"/>
      <c r="C4003" s="90" t="n"/>
      <c r="D4003" s="90" t="n"/>
      <c r="E4003" s="90" t="n"/>
      <c r="F4003" s="16" t="n"/>
      <c r="G4003" s="16" t="n"/>
      <c r="H4003" s="63" t="n"/>
      <c r="I4003" s="64" t="n"/>
      <c r="J4003" s="16" t="n"/>
      <c r="K4003" s="16" t="n"/>
      <c r="M4003" s="89" t="n"/>
      <c r="N4003" s="1" t="n"/>
      <c r="O4003" s="1" t="n"/>
      <c r="P4003" s="1" t="n"/>
      <c r="Q4003" s="1" t="n"/>
      <c r="R4003" s="1" t="n"/>
    </row>
    <row r="4004">
      <c r="A4004" s="61" t="n"/>
      <c r="B4004" s="16" t="n"/>
      <c r="C4004" s="90" t="n"/>
      <c r="D4004" s="90" t="n"/>
      <c r="E4004" s="90" t="n"/>
      <c r="F4004" s="16" t="n"/>
      <c r="G4004" s="16" t="n"/>
      <c r="H4004" s="63" t="n"/>
      <c r="I4004" s="64" t="n"/>
      <c r="J4004" s="16" t="n"/>
      <c r="K4004" s="16" t="n"/>
      <c r="M4004" s="89" t="n"/>
      <c r="N4004" s="1" t="n"/>
      <c r="O4004" s="1" t="n"/>
      <c r="P4004" s="1" t="n"/>
      <c r="Q4004" s="1" t="n"/>
      <c r="R4004" s="1" t="n"/>
    </row>
    <row r="4005">
      <c r="A4005" s="61" t="n"/>
      <c r="B4005" s="16" t="n"/>
      <c r="C4005" s="90" t="n"/>
      <c r="D4005" s="90" t="n"/>
      <c r="E4005" s="90" t="n"/>
      <c r="F4005" s="16" t="n"/>
      <c r="G4005" s="16" t="n"/>
      <c r="H4005" s="63" t="n"/>
      <c r="I4005" s="64" t="n"/>
      <c r="J4005" s="16" t="n"/>
      <c r="K4005" s="16" t="n"/>
      <c r="M4005" s="89" t="n"/>
      <c r="N4005" s="1" t="n"/>
      <c r="O4005" s="1" t="n"/>
      <c r="P4005" s="1" t="n"/>
      <c r="Q4005" s="1" t="n"/>
      <c r="R4005" s="1" t="n"/>
    </row>
    <row r="4006">
      <c r="A4006" s="61" t="n"/>
      <c r="B4006" s="16" t="n"/>
      <c r="C4006" s="90" t="n"/>
      <c r="D4006" s="90" t="n"/>
      <c r="E4006" s="90" t="n"/>
      <c r="F4006" s="16" t="n"/>
      <c r="G4006" s="16" t="n"/>
      <c r="H4006" s="63" t="n"/>
      <c r="I4006" s="64" t="n"/>
      <c r="J4006" s="16" t="n"/>
      <c r="K4006" s="16" t="n"/>
      <c r="M4006" s="89" t="n"/>
      <c r="N4006" s="1" t="n"/>
      <c r="O4006" s="1" t="n"/>
      <c r="P4006" s="1" t="n"/>
      <c r="Q4006" s="1" t="n"/>
      <c r="R4006" s="1" t="n"/>
    </row>
    <row r="4007">
      <c r="A4007" s="61" t="n"/>
      <c r="B4007" s="16" t="n"/>
      <c r="C4007" s="90" t="n"/>
      <c r="D4007" s="90" t="n"/>
      <c r="E4007" s="90" t="n"/>
      <c r="F4007" s="16" t="n"/>
      <c r="G4007" s="16" t="n"/>
      <c r="H4007" s="63" t="n"/>
      <c r="I4007" s="64" t="n"/>
      <c r="J4007" s="16" t="n"/>
      <c r="K4007" s="16" t="n"/>
      <c r="M4007" s="89" t="n"/>
      <c r="N4007" s="1" t="n"/>
      <c r="O4007" s="1" t="n"/>
      <c r="P4007" s="1" t="n"/>
      <c r="Q4007" s="1" t="n"/>
      <c r="R4007" s="1" t="n"/>
    </row>
    <row r="4008">
      <c r="A4008" s="61" t="n"/>
      <c r="B4008" s="16" t="n"/>
      <c r="C4008" s="90" t="n"/>
      <c r="D4008" s="90" t="n"/>
      <c r="E4008" s="90" t="n"/>
      <c r="F4008" s="16" t="n"/>
      <c r="G4008" s="16" t="n"/>
      <c r="H4008" s="63" t="n"/>
      <c r="I4008" s="64" t="n"/>
      <c r="J4008" s="16" t="n"/>
      <c r="K4008" s="16" t="n"/>
      <c r="M4008" s="89" t="n"/>
      <c r="N4008" s="1" t="n"/>
      <c r="O4008" s="1" t="n"/>
      <c r="P4008" s="1" t="n"/>
      <c r="Q4008" s="1" t="n"/>
      <c r="R4008" s="1" t="n"/>
    </row>
    <row r="4009">
      <c r="A4009" s="61" t="n"/>
      <c r="B4009" s="16" t="n"/>
      <c r="C4009" s="90" t="n"/>
      <c r="D4009" s="90" t="n"/>
      <c r="E4009" s="90" t="n"/>
      <c r="F4009" s="16" t="n"/>
      <c r="G4009" s="16" t="n"/>
      <c r="H4009" s="63" t="n"/>
      <c r="I4009" s="64" t="n"/>
      <c r="J4009" s="16" t="n"/>
      <c r="K4009" s="16" t="n"/>
      <c r="M4009" s="89" t="n"/>
      <c r="N4009" s="1" t="n"/>
      <c r="O4009" s="1" t="n"/>
      <c r="P4009" s="1" t="n"/>
      <c r="Q4009" s="1" t="n"/>
      <c r="R4009" s="1" t="n"/>
    </row>
    <row r="4010">
      <c r="A4010" s="61" t="n"/>
      <c r="B4010" s="16" t="n"/>
      <c r="C4010" s="90" t="n"/>
      <c r="D4010" s="90" t="n"/>
      <c r="E4010" s="90" t="n"/>
      <c r="F4010" s="16" t="n"/>
      <c r="G4010" s="16" t="n"/>
      <c r="H4010" s="63" t="n"/>
      <c r="I4010" s="64" t="n"/>
      <c r="J4010" s="16" t="n"/>
      <c r="K4010" s="16" t="n"/>
      <c r="M4010" s="89" t="n"/>
      <c r="N4010" s="1" t="n"/>
      <c r="O4010" s="1" t="n"/>
      <c r="P4010" s="1" t="n"/>
      <c r="Q4010" s="1" t="n"/>
      <c r="R4010" s="1" t="n"/>
    </row>
    <row r="4011">
      <c r="A4011" s="61" t="n"/>
      <c r="B4011" s="16" t="n"/>
      <c r="C4011" s="90" t="n"/>
      <c r="D4011" s="90" t="n"/>
      <c r="E4011" s="90" t="n"/>
      <c r="F4011" s="16" t="n"/>
      <c r="G4011" s="16" t="n"/>
      <c r="H4011" s="63" t="n"/>
      <c r="I4011" s="64" t="n"/>
      <c r="J4011" s="16" t="n"/>
      <c r="K4011" s="16" t="n"/>
      <c r="M4011" s="89" t="n"/>
      <c r="N4011" s="1" t="n"/>
      <c r="O4011" s="1" t="n"/>
      <c r="P4011" s="1" t="n"/>
      <c r="Q4011" s="1" t="n"/>
      <c r="R4011" s="1" t="n"/>
    </row>
    <row r="4012">
      <c r="A4012" s="61" t="n"/>
      <c r="B4012" s="16" t="n"/>
      <c r="C4012" s="90" t="n"/>
      <c r="D4012" s="90" t="n"/>
      <c r="E4012" s="90" t="n"/>
      <c r="F4012" s="16" t="n"/>
      <c r="G4012" s="16" t="n"/>
      <c r="H4012" s="63" t="n"/>
      <c r="I4012" s="64" t="n"/>
      <c r="J4012" s="16" t="n"/>
      <c r="K4012" s="16" t="n"/>
      <c r="M4012" s="89" t="n"/>
      <c r="N4012" s="1" t="n"/>
      <c r="O4012" s="1" t="n"/>
      <c r="P4012" s="1" t="n"/>
      <c r="Q4012" s="1" t="n"/>
      <c r="R4012" s="1" t="n"/>
    </row>
    <row r="4013">
      <c r="A4013" s="61" t="n"/>
      <c r="B4013" s="16" t="n"/>
      <c r="C4013" s="90" t="n"/>
      <c r="D4013" s="90" t="n"/>
      <c r="E4013" s="90" t="n"/>
      <c r="F4013" s="16" t="n"/>
      <c r="G4013" s="16" t="n"/>
      <c r="H4013" s="63" t="n"/>
      <c r="I4013" s="64" t="n"/>
      <c r="J4013" s="16" t="n"/>
      <c r="K4013" s="16" t="n"/>
      <c r="M4013" s="89" t="n"/>
      <c r="N4013" s="1" t="n"/>
      <c r="O4013" s="1" t="n"/>
      <c r="P4013" s="1" t="n"/>
      <c r="Q4013" s="1" t="n"/>
      <c r="R4013" s="1" t="n"/>
    </row>
    <row r="4014">
      <c r="A4014" s="61" t="n"/>
      <c r="B4014" s="16" t="n"/>
      <c r="C4014" s="90" t="n"/>
      <c r="D4014" s="90" t="n"/>
      <c r="E4014" s="90" t="n"/>
      <c r="F4014" s="16" t="n"/>
      <c r="G4014" s="16" t="n"/>
      <c r="H4014" s="63" t="n"/>
      <c r="I4014" s="64" t="n"/>
      <c r="J4014" s="16" t="n"/>
      <c r="K4014" s="16" t="n"/>
      <c r="M4014" s="89" t="n"/>
      <c r="N4014" s="1" t="n"/>
      <c r="O4014" s="1" t="n"/>
      <c r="P4014" s="1" t="n"/>
      <c r="Q4014" s="1" t="n"/>
      <c r="R4014" s="1" t="n"/>
    </row>
    <row r="4015">
      <c r="A4015" s="61" t="n"/>
      <c r="B4015" s="16" t="n"/>
      <c r="C4015" s="90" t="n"/>
      <c r="D4015" s="90" t="n"/>
      <c r="E4015" s="90" t="n"/>
      <c r="F4015" s="16" t="n"/>
      <c r="G4015" s="16" t="n"/>
      <c r="H4015" s="63" t="n"/>
      <c r="I4015" s="64" t="n"/>
      <c r="J4015" s="16" t="n"/>
      <c r="K4015" s="16" t="n"/>
      <c r="M4015" s="89" t="n"/>
      <c r="N4015" s="1" t="n"/>
      <c r="O4015" s="1" t="n"/>
      <c r="P4015" s="1" t="n"/>
      <c r="Q4015" s="1" t="n"/>
      <c r="R4015" s="1" t="n"/>
    </row>
    <row r="4016">
      <c r="A4016" s="61" t="n"/>
      <c r="B4016" s="16" t="n"/>
      <c r="C4016" s="90" t="n"/>
      <c r="D4016" s="90" t="n"/>
      <c r="E4016" s="90" t="n"/>
      <c r="F4016" s="16" t="n"/>
      <c r="G4016" s="16" t="n"/>
      <c r="H4016" s="63" t="n"/>
      <c r="I4016" s="64" t="n"/>
      <c r="J4016" s="16" t="n"/>
      <c r="K4016" s="16" t="n"/>
      <c r="M4016" s="89" t="n"/>
      <c r="N4016" s="1" t="n"/>
      <c r="O4016" s="1" t="n"/>
      <c r="P4016" s="1" t="n"/>
      <c r="Q4016" s="1" t="n"/>
      <c r="R4016" s="1" t="n"/>
    </row>
    <row r="4017">
      <c r="A4017" s="61" t="n"/>
      <c r="B4017" s="16" t="n"/>
      <c r="C4017" s="90" t="n"/>
      <c r="D4017" s="90" t="n"/>
      <c r="E4017" s="90" t="n"/>
      <c r="F4017" s="16" t="n"/>
      <c r="G4017" s="16" t="n"/>
      <c r="H4017" s="63" t="n"/>
      <c r="I4017" s="64" t="n"/>
      <c r="J4017" s="16" t="n"/>
      <c r="K4017" s="16" t="n"/>
      <c r="M4017" s="89" t="n"/>
      <c r="N4017" s="1" t="n"/>
      <c r="O4017" s="1" t="n"/>
      <c r="P4017" s="1" t="n"/>
      <c r="Q4017" s="1" t="n"/>
      <c r="R4017" s="1" t="n"/>
    </row>
    <row r="4018">
      <c r="A4018" s="61" t="n"/>
      <c r="B4018" s="16" t="n"/>
      <c r="C4018" s="90" t="n"/>
      <c r="D4018" s="90" t="n"/>
      <c r="E4018" s="90" t="n"/>
      <c r="F4018" s="16" t="n"/>
      <c r="G4018" s="16" t="n"/>
      <c r="H4018" s="63" t="n"/>
      <c r="I4018" s="64" t="n"/>
      <c r="J4018" s="16" t="n"/>
      <c r="K4018" s="16" t="n"/>
      <c r="M4018" s="89" t="n"/>
      <c r="N4018" s="1" t="n"/>
      <c r="O4018" s="1" t="n"/>
      <c r="P4018" s="1" t="n"/>
      <c r="Q4018" s="1" t="n"/>
      <c r="R4018" s="1" t="n"/>
    </row>
    <row r="4019">
      <c r="A4019" s="61" t="n"/>
      <c r="B4019" s="16" t="n"/>
      <c r="C4019" s="90" t="n"/>
      <c r="D4019" s="90" t="n"/>
      <c r="E4019" s="90" t="n"/>
      <c r="F4019" s="16" t="n"/>
      <c r="G4019" s="16" t="n"/>
      <c r="H4019" s="63" t="n"/>
      <c r="I4019" s="64" t="n"/>
      <c r="J4019" s="16" t="n"/>
      <c r="K4019" s="16" t="n"/>
      <c r="M4019" s="89" t="n"/>
      <c r="N4019" s="1" t="n"/>
      <c r="O4019" s="1" t="n"/>
      <c r="P4019" s="1" t="n"/>
      <c r="Q4019" s="1" t="n"/>
      <c r="R4019" s="1" t="n"/>
    </row>
    <row r="4020">
      <c r="A4020" s="61" t="n"/>
      <c r="B4020" s="16" t="n"/>
      <c r="C4020" s="90" t="n"/>
      <c r="D4020" s="90" t="n"/>
      <c r="E4020" s="90" t="n"/>
      <c r="F4020" s="16" t="n"/>
      <c r="G4020" s="16" t="n"/>
      <c r="H4020" s="63" t="n"/>
      <c r="I4020" s="64" t="n"/>
      <c r="J4020" s="16" t="n"/>
      <c r="K4020" s="16" t="n"/>
      <c r="M4020" s="89" t="n"/>
      <c r="N4020" s="1" t="n"/>
      <c r="O4020" s="1" t="n"/>
      <c r="P4020" s="1" t="n"/>
      <c r="Q4020" s="1" t="n"/>
      <c r="R4020" s="1" t="n"/>
    </row>
    <row r="4021">
      <c r="A4021" s="61" t="n"/>
      <c r="B4021" s="16" t="n"/>
      <c r="C4021" s="90" t="n"/>
      <c r="D4021" s="90" t="n"/>
      <c r="E4021" s="90" t="n"/>
      <c r="F4021" s="16" t="n"/>
      <c r="G4021" s="16" t="n"/>
      <c r="H4021" s="63" t="n"/>
      <c r="I4021" s="64" t="n"/>
      <c r="J4021" s="16" t="n"/>
      <c r="K4021" s="16" t="n"/>
      <c r="M4021" s="89" t="n"/>
      <c r="N4021" s="1" t="n"/>
      <c r="O4021" s="1" t="n"/>
      <c r="P4021" s="1" t="n"/>
      <c r="Q4021" s="1" t="n"/>
      <c r="R4021" s="1" t="n"/>
    </row>
    <row r="4022">
      <c r="A4022" s="61" t="n"/>
      <c r="B4022" s="16" t="n"/>
      <c r="C4022" s="90" t="n"/>
      <c r="D4022" s="90" t="n"/>
      <c r="E4022" s="90" t="n"/>
      <c r="F4022" s="16" t="n"/>
      <c r="G4022" s="16" t="n"/>
      <c r="H4022" s="63" t="n"/>
      <c r="I4022" s="64" t="n"/>
      <c r="J4022" s="16" t="n"/>
      <c r="K4022" s="16" t="n"/>
      <c r="M4022" s="89" t="n"/>
      <c r="N4022" s="1" t="n"/>
      <c r="O4022" s="1" t="n"/>
      <c r="P4022" s="1" t="n"/>
      <c r="Q4022" s="1" t="n"/>
      <c r="R4022" s="1" t="n"/>
    </row>
    <row r="4023">
      <c r="A4023" s="61" t="n"/>
      <c r="B4023" s="16" t="n"/>
      <c r="C4023" s="90" t="n"/>
      <c r="D4023" s="90" t="n"/>
      <c r="E4023" s="90" t="n"/>
      <c r="F4023" s="16" t="n"/>
      <c r="G4023" s="16" t="n"/>
      <c r="H4023" s="63" t="n"/>
      <c r="I4023" s="64" t="n"/>
      <c r="J4023" s="16" t="n"/>
      <c r="K4023" s="16" t="n"/>
      <c r="M4023" s="89" t="n"/>
      <c r="N4023" s="1" t="n"/>
      <c r="O4023" s="1" t="n"/>
      <c r="P4023" s="1" t="n"/>
      <c r="Q4023" s="1" t="n"/>
      <c r="R4023" s="1" t="n"/>
    </row>
    <row r="4024">
      <c r="A4024" s="61" t="n"/>
      <c r="B4024" s="16" t="n"/>
      <c r="C4024" s="90" t="n"/>
      <c r="D4024" s="90" t="n"/>
      <c r="E4024" s="90" t="n"/>
      <c r="F4024" s="16" t="n"/>
      <c r="G4024" s="16" t="n"/>
      <c r="H4024" s="63" t="n"/>
      <c r="I4024" s="64" t="n"/>
      <c r="J4024" s="16" t="n"/>
      <c r="K4024" s="16" t="n"/>
      <c r="M4024" s="89" t="n"/>
      <c r="N4024" s="1" t="n"/>
      <c r="O4024" s="1" t="n"/>
      <c r="P4024" s="1" t="n"/>
      <c r="Q4024" s="1" t="n"/>
      <c r="R4024" s="1" t="n"/>
    </row>
    <row r="4025">
      <c r="A4025" s="61" t="n"/>
      <c r="B4025" s="16" t="n"/>
      <c r="C4025" s="90" t="n"/>
      <c r="D4025" s="90" t="n"/>
      <c r="E4025" s="90" t="n"/>
      <c r="F4025" s="16" t="n"/>
      <c r="G4025" s="16" t="n"/>
      <c r="H4025" s="63" t="n"/>
      <c r="I4025" s="64" t="n"/>
      <c r="J4025" s="16" t="n"/>
      <c r="K4025" s="16" t="n"/>
      <c r="M4025" s="89" t="n"/>
      <c r="N4025" s="1" t="n"/>
      <c r="O4025" s="1" t="n"/>
      <c r="P4025" s="1" t="n"/>
      <c r="Q4025" s="1" t="n"/>
      <c r="R4025" s="1" t="n"/>
    </row>
    <row r="4026">
      <c r="A4026" s="61" t="n"/>
      <c r="B4026" s="16" t="n"/>
      <c r="C4026" s="90" t="n"/>
      <c r="D4026" s="90" t="n"/>
      <c r="E4026" s="90" t="n"/>
      <c r="F4026" s="16" t="n"/>
      <c r="G4026" s="16" t="n"/>
      <c r="H4026" s="63" t="n"/>
      <c r="I4026" s="64" t="n"/>
      <c r="J4026" s="16" t="n"/>
      <c r="K4026" s="16" t="n"/>
      <c r="M4026" s="89" t="n"/>
      <c r="N4026" s="1" t="n"/>
      <c r="O4026" s="1" t="n"/>
      <c r="P4026" s="1" t="n"/>
      <c r="Q4026" s="1" t="n"/>
      <c r="R4026" s="1" t="n"/>
    </row>
    <row r="4027">
      <c r="A4027" s="61" t="n"/>
      <c r="B4027" s="16" t="n"/>
      <c r="C4027" s="90" t="n"/>
      <c r="D4027" s="90" t="n"/>
      <c r="E4027" s="90" t="n"/>
      <c r="F4027" s="16" t="n"/>
      <c r="G4027" s="16" t="n"/>
      <c r="H4027" s="63" t="n"/>
      <c r="I4027" s="64" t="n"/>
      <c r="J4027" s="16" t="n"/>
      <c r="K4027" s="16" t="n"/>
      <c r="M4027" s="89" t="n"/>
      <c r="N4027" s="1" t="n"/>
      <c r="O4027" s="1" t="n"/>
      <c r="P4027" s="1" t="n"/>
      <c r="Q4027" s="1" t="n"/>
      <c r="R4027" s="1" t="n"/>
    </row>
    <row r="4028">
      <c r="A4028" s="61" t="n"/>
      <c r="B4028" s="16" t="n"/>
      <c r="C4028" s="90" t="n"/>
      <c r="D4028" s="90" t="n"/>
      <c r="E4028" s="90" t="n"/>
      <c r="F4028" s="16" t="n"/>
      <c r="G4028" s="16" t="n"/>
      <c r="H4028" s="63" t="n"/>
      <c r="I4028" s="64" t="n"/>
      <c r="J4028" s="16" t="n"/>
      <c r="K4028" s="16" t="n"/>
      <c r="M4028" s="89" t="n"/>
      <c r="N4028" s="1" t="n"/>
      <c r="O4028" s="1" t="n"/>
      <c r="P4028" s="1" t="n"/>
      <c r="Q4028" s="1" t="n"/>
      <c r="R4028" s="1" t="n"/>
    </row>
    <row r="4029">
      <c r="A4029" s="61" t="n"/>
      <c r="B4029" s="16" t="n"/>
      <c r="C4029" s="90" t="n"/>
      <c r="D4029" s="90" t="n"/>
      <c r="E4029" s="90" t="n"/>
      <c r="F4029" s="16" t="n"/>
      <c r="G4029" s="16" t="n"/>
      <c r="H4029" s="63" t="n"/>
      <c r="I4029" s="64" t="n"/>
      <c r="J4029" s="16" t="n"/>
      <c r="K4029" s="16" t="n"/>
      <c r="M4029" s="89" t="n"/>
      <c r="N4029" s="1" t="n"/>
      <c r="O4029" s="1" t="n"/>
      <c r="P4029" s="1" t="n"/>
      <c r="Q4029" s="1" t="n"/>
      <c r="R4029" s="1" t="n"/>
    </row>
    <row r="4030">
      <c r="A4030" s="61" t="n"/>
      <c r="B4030" s="16" t="n"/>
      <c r="C4030" s="90" t="n"/>
      <c r="D4030" s="90" t="n"/>
      <c r="E4030" s="90" t="n"/>
      <c r="F4030" s="16" t="n"/>
      <c r="G4030" s="16" t="n"/>
      <c r="H4030" s="63" t="n"/>
      <c r="I4030" s="64" t="n"/>
      <c r="J4030" s="16" t="n"/>
      <c r="K4030" s="16" t="n"/>
      <c r="M4030" s="89" t="n"/>
      <c r="N4030" s="1" t="n"/>
      <c r="O4030" s="1" t="n"/>
      <c r="P4030" s="1" t="n"/>
      <c r="Q4030" s="1" t="n"/>
      <c r="R4030" s="1" t="n"/>
    </row>
    <row r="4031">
      <c r="A4031" s="61" t="n"/>
      <c r="B4031" s="16" t="n"/>
      <c r="C4031" s="90" t="n"/>
      <c r="D4031" s="90" t="n"/>
      <c r="E4031" s="90" t="n"/>
      <c r="F4031" s="16" t="n"/>
      <c r="G4031" s="16" t="n"/>
      <c r="H4031" s="63" t="n"/>
      <c r="I4031" s="64" t="n"/>
      <c r="J4031" s="16" t="n"/>
      <c r="K4031" s="16" t="n"/>
      <c r="M4031" s="89" t="n"/>
      <c r="N4031" s="1" t="n"/>
      <c r="O4031" s="1" t="n"/>
      <c r="P4031" s="1" t="n"/>
      <c r="Q4031" s="1" t="n"/>
      <c r="R4031" s="1" t="n"/>
    </row>
    <row r="4032">
      <c r="A4032" s="61" t="n"/>
      <c r="B4032" s="16" t="n"/>
      <c r="C4032" s="90" t="n"/>
      <c r="D4032" s="90" t="n"/>
      <c r="E4032" s="90" t="n"/>
      <c r="F4032" s="16" t="n"/>
      <c r="G4032" s="16" t="n"/>
      <c r="H4032" s="63" t="n"/>
      <c r="I4032" s="64" t="n"/>
      <c r="J4032" s="16" t="n"/>
      <c r="K4032" s="16" t="n"/>
      <c r="M4032" s="89" t="n"/>
      <c r="N4032" s="1" t="n"/>
      <c r="O4032" s="1" t="n"/>
      <c r="P4032" s="1" t="n"/>
      <c r="Q4032" s="1" t="n"/>
      <c r="R4032" s="1" t="n"/>
    </row>
    <row r="4033">
      <c r="A4033" s="61" t="n"/>
      <c r="B4033" s="16" t="n"/>
      <c r="C4033" s="90" t="n"/>
      <c r="D4033" s="90" t="n"/>
      <c r="E4033" s="90" t="n"/>
      <c r="F4033" s="16" t="n"/>
      <c r="G4033" s="16" t="n"/>
      <c r="H4033" s="63" t="n"/>
      <c r="I4033" s="64" t="n"/>
      <c r="J4033" s="16" t="n"/>
      <c r="K4033" s="16" t="n"/>
      <c r="M4033" s="89" t="n"/>
      <c r="N4033" s="1" t="n"/>
      <c r="O4033" s="1" t="n"/>
      <c r="P4033" s="1" t="n"/>
      <c r="Q4033" s="1" t="n"/>
      <c r="R4033" s="1" t="n"/>
    </row>
    <row r="4034">
      <c r="A4034" s="61" t="n"/>
      <c r="B4034" s="16" t="n"/>
      <c r="C4034" s="90" t="n"/>
      <c r="D4034" s="90" t="n"/>
      <c r="E4034" s="90" t="n"/>
      <c r="F4034" s="16" t="n"/>
      <c r="G4034" s="16" t="n"/>
      <c r="H4034" s="63" t="n"/>
      <c r="I4034" s="64" t="n"/>
      <c r="J4034" s="16" t="n"/>
      <c r="K4034" s="16" t="n"/>
      <c r="M4034" s="89" t="n"/>
      <c r="N4034" s="1" t="n"/>
      <c r="O4034" s="1" t="n"/>
      <c r="P4034" s="1" t="n"/>
      <c r="Q4034" s="1" t="n"/>
      <c r="R4034" s="1" t="n"/>
    </row>
    <row r="4035">
      <c r="A4035" s="61" t="n"/>
      <c r="B4035" s="16" t="n"/>
      <c r="C4035" s="90" t="n"/>
      <c r="D4035" s="90" t="n"/>
      <c r="E4035" s="90" t="n"/>
      <c r="F4035" s="16" t="n"/>
      <c r="G4035" s="16" t="n"/>
      <c r="H4035" s="63" t="n"/>
      <c r="I4035" s="64" t="n"/>
      <c r="J4035" s="16" t="n"/>
      <c r="K4035" s="16" t="n"/>
      <c r="M4035" s="89" t="n"/>
      <c r="N4035" s="1" t="n"/>
      <c r="O4035" s="1" t="n"/>
      <c r="P4035" s="1" t="n"/>
      <c r="Q4035" s="1" t="n"/>
      <c r="R4035" s="1" t="n"/>
    </row>
    <row r="4036">
      <c r="A4036" s="61" t="n"/>
      <c r="B4036" s="16" t="n"/>
      <c r="C4036" s="90" t="n"/>
      <c r="D4036" s="90" t="n"/>
      <c r="E4036" s="90" t="n"/>
      <c r="F4036" s="16" t="n"/>
      <c r="G4036" s="16" t="n"/>
      <c r="H4036" s="63" t="n"/>
      <c r="I4036" s="64" t="n"/>
      <c r="J4036" s="16" t="n"/>
      <c r="K4036" s="16" t="n"/>
      <c r="M4036" s="89" t="n"/>
      <c r="N4036" s="1" t="n"/>
      <c r="O4036" s="1" t="n"/>
      <c r="P4036" s="1" t="n"/>
      <c r="Q4036" s="1" t="n"/>
      <c r="R4036" s="1" t="n"/>
    </row>
    <row r="4037">
      <c r="A4037" s="61" t="n"/>
      <c r="B4037" s="16" t="n"/>
      <c r="C4037" s="90" t="n"/>
      <c r="D4037" s="90" t="n"/>
      <c r="E4037" s="90" t="n"/>
      <c r="F4037" s="16" t="n"/>
      <c r="G4037" s="16" t="n"/>
      <c r="H4037" s="63" t="n"/>
      <c r="I4037" s="64" t="n"/>
      <c r="J4037" s="16" t="n"/>
      <c r="K4037" s="16" t="n"/>
      <c r="M4037" s="89" t="n"/>
      <c r="N4037" s="1" t="n"/>
      <c r="O4037" s="1" t="n"/>
      <c r="P4037" s="1" t="n"/>
      <c r="Q4037" s="1" t="n"/>
      <c r="R4037" s="1" t="n"/>
    </row>
    <row r="4038">
      <c r="A4038" s="61" t="n"/>
      <c r="B4038" s="16" t="n"/>
      <c r="C4038" s="90" t="n"/>
      <c r="D4038" s="90" t="n"/>
      <c r="E4038" s="90" t="n"/>
      <c r="F4038" s="16" t="n"/>
      <c r="G4038" s="16" t="n"/>
      <c r="H4038" s="63" t="n"/>
      <c r="I4038" s="64" t="n"/>
      <c r="J4038" s="16" t="n"/>
      <c r="K4038" s="16" t="n"/>
      <c r="M4038" s="89" t="n"/>
      <c r="N4038" s="1" t="n"/>
      <c r="O4038" s="1" t="n"/>
      <c r="P4038" s="1" t="n"/>
      <c r="Q4038" s="1" t="n"/>
      <c r="R4038" s="1" t="n"/>
    </row>
    <row r="4039">
      <c r="A4039" s="61" t="n"/>
      <c r="B4039" s="16" t="n"/>
      <c r="C4039" s="90" t="n"/>
      <c r="D4039" s="90" t="n"/>
      <c r="E4039" s="90" t="n"/>
      <c r="F4039" s="16" t="n"/>
      <c r="G4039" s="16" t="n"/>
      <c r="H4039" s="63" t="n"/>
      <c r="I4039" s="64" t="n"/>
      <c r="J4039" s="16" t="n"/>
      <c r="K4039" s="16" t="n"/>
      <c r="M4039" s="89" t="n"/>
      <c r="N4039" s="1" t="n"/>
      <c r="O4039" s="1" t="n"/>
      <c r="P4039" s="1" t="n"/>
      <c r="Q4039" s="1" t="n"/>
      <c r="R4039" s="1" t="n"/>
    </row>
    <row r="4040">
      <c r="A4040" s="61" t="n"/>
      <c r="B4040" s="16" t="n"/>
      <c r="C4040" s="90" t="n"/>
      <c r="D4040" s="90" t="n"/>
      <c r="E4040" s="90" t="n"/>
      <c r="F4040" s="16" t="n"/>
      <c r="G4040" s="16" t="n"/>
      <c r="H4040" s="63" t="n"/>
      <c r="I4040" s="64" t="n"/>
      <c r="J4040" s="16" t="n"/>
      <c r="K4040" s="16" t="n"/>
      <c r="M4040" s="89" t="n"/>
      <c r="N4040" s="1" t="n"/>
      <c r="O4040" s="1" t="n"/>
      <c r="P4040" s="1" t="n"/>
      <c r="Q4040" s="1" t="n"/>
      <c r="R4040" s="1" t="n"/>
    </row>
    <row r="4041">
      <c r="A4041" s="61" t="n"/>
      <c r="B4041" s="16" t="n"/>
      <c r="C4041" s="90" t="n"/>
      <c r="D4041" s="90" t="n"/>
      <c r="E4041" s="90" t="n"/>
      <c r="F4041" s="16" t="n"/>
      <c r="G4041" s="16" t="n"/>
      <c r="H4041" s="63" t="n"/>
      <c r="I4041" s="64" t="n"/>
      <c r="J4041" s="16" t="n"/>
      <c r="K4041" s="16" t="n"/>
      <c r="M4041" s="89" t="n"/>
      <c r="N4041" s="1" t="n"/>
      <c r="O4041" s="1" t="n"/>
      <c r="P4041" s="1" t="n"/>
      <c r="Q4041" s="1" t="n"/>
      <c r="R4041" s="1" t="n"/>
    </row>
    <row r="4042">
      <c r="A4042" s="61" t="n"/>
      <c r="B4042" s="16" t="n"/>
      <c r="C4042" s="90" t="n"/>
      <c r="D4042" s="90" t="n"/>
      <c r="E4042" s="90" t="n"/>
      <c r="F4042" s="16" t="n"/>
      <c r="G4042" s="16" t="n"/>
      <c r="H4042" s="63" t="n"/>
      <c r="I4042" s="64" t="n"/>
      <c r="J4042" s="16" t="n"/>
      <c r="K4042" s="16" t="n"/>
      <c r="M4042" s="89" t="n"/>
      <c r="N4042" s="1" t="n"/>
      <c r="O4042" s="1" t="n"/>
      <c r="P4042" s="1" t="n"/>
      <c r="Q4042" s="1" t="n"/>
      <c r="R4042" s="1" t="n"/>
    </row>
    <row r="4043">
      <c r="A4043" s="61" t="n"/>
      <c r="B4043" s="16" t="n"/>
      <c r="C4043" s="90" t="n"/>
      <c r="D4043" s="90" t="n"/>
      <c r="E4043" s="90" t="n"/>
      <c r="F4043" s="16" t="n"/>
      <c r="G4043" s="16" t="n"/>
      <c r="H4043" s="63" t="n"/>
      <c r="I4043" s="64" t="n"/>
      <c r="J4043" s="16" t="n"/>
      <c r="K4043" s="16" t="n"/>
      <c r="M4043" s="89" t="n"/>
      <c r="N4043" s="1" t="n"/>
      <c r="O4043" s="1" t="n"/>
      <c r="P4043" s="1" t="n"/>
      <c r="Q4043" s="1" t="n"/>
      <c r="R4043" s="1" t="n"/>
    </row>
    <row r="4044">
      <c r="A4044" s="61" t="n"/>
      <c r="B4044" s="16" t="n"/>
      <c r="C4044" s="90" t="n"/>
      <c r="D4044" s="90" t="n"/>
      <c r="E4044" s="90" t="n"/>
      <c r="F4044" s="16" t="n"/>
      <c r="G4044" s="16" t="n"/>
      <c r="H4044" s="63" t="n"/>
      <c r="I4044" s="64" t="n"/>
      <c r="J4044" s="16" t="n"/>
      <c r="K4044" s="16" t="n"/>
      <c r="M4044" s="89" t="n"/>
      <c r="N4044" s="1" t="n"/>
      <c r="O4044" s="1" t="n"/>
      <c r="P4044" s="1" t="n"/>
      <c r="Q4044" s="1" t="n"/>
      <c r="R4044" s="1" t="n"/>
    </row>
    <row r="4045">
      <c r="A4045" s="61" t="n"/>
      <c r="B4045" s="16" t="n"/>
      <c r="C4045" s="90" t="n"/>
      <c r="D4045" s="90" t="n"/>
      <c r="E4045" s="90" t="n"/>
      <c r="F4045" s="16" t="n"/>
      <c r="G4045" s="16" t="n"/>
      <c r="H4045" s="63" t="n"/>
      <c r="I4045" s="64" t="n"/>
      <c r="J4045" s="16" t="n"/>
      <c r="K4045" s="16" t="n"/>
      <c r="M4045" s="89" t="n"/>
      <c r="N4045" s="1" t="n"/>
      <c r="O4045" s="1" t="n"/>
      <c r="P4045" s="1" t="n"/>
      <c r="Q4045" s="1" t="n"/>
      <c r="R4045" s="1" t="n"/>
    </row>
    <row r="4046">
      <c r="A4046" s="61" t="n"/>
      <c r="B4046" s="16" t="n"/>
      <c r="C4046" s="90" t="n"/>
      <c r="D4046" s="90" t="n"/>
      <c r="E4046" s="90" t="n"/>
      <c r="F4046" s="16" t="n"/>
      <c r="G4046" s="16" t="n"/>
      <c r="H4046" s="63" t="n"/>
      <c r="I4046" s="64" t="n"/>
      <c r="J4046" s="16" t="n"/>
      <c r="K4046" s="16" t="n"/>
      <c r="M4046" s="89" t="n"/>
      <c r="N4046" s="1" t="n"/>
      <c r="O4046" s="1" t="n"/>
      <c r="P4046" s="1" t="n"/>
      <c r="Q4046" s="1" t="n"/>
      <c r="R4046" s="1" t="n"/>
    </row>
    <row r="4047">
      <c r="A4047" s="61" t="n"/>
      <c r="B4047" s="16" t="n"/>
      <c r="C4047" s="90" t="n"/>
      <c r="D4047" s="90" t="n"/>
      <c r="E4047" s="90" t="n"/>
      <c r="F4047" s="16" t="n"/>
      <c r="G4047" s="16" t="n"/>
      <c r="H4047" s="63" t="n"/>
      <c r="I4047" s="64" t="n"/>
      <c r="J4047" s="16" t="n"/>
      <c r="K4047" s="16" t="n"/>
      <c r="M4047" s="89" t="n"/>
      <c r="N4047" s="1" t="n"/>
      <c r="O4047" s="1" t="n"/>
      <c r="P4047" s="1" t="n"/>
      <c r="Q4047" s="1" t="n"/>
      <c r="R4047" s="1" t="n"/>
    </row>
    <row r="4048">
      <c r="A4048" s="61" t="n"/>
      <c r="B4048" s="16" t="n"/>
      <c r="C4048" s="90" t="n"/>
      <c r="D4048" s="90" t="n"/>
      <c r="E4048" s="90" t="n"/>
      <c r="F4048" s="16" t="n"/>
      <c r="G4048" s="16" t="n"/>
      <c r="H4048" s="63" t="n"/>
      <c r="I4048" s="64" t="n"/>
      <c r="J4048" s="16" t="n"/>
      <c r="K4048" s="16" t="n"/>
      <c r="M4048" s="89" t="n"/>
      <c r="N4048" s="1" t="n"/>
      <c r="O4048" s="1" t="n"/>
      <c r="P4048" s="1" t="n"/>
      <c r="Q4048" s="1" t="n"/>
      <c r="R4048" s="1" t="n"/>
    </row>
    <row r="4049">
      <c r="A4049" s="61" t="n"/>
      <c r="B4049" s="16" t="n"/>
      <c r="C4049" s="90" t="n"/>
      <c r="D4049" s="90" t="n"/>
      <c r="E4049" s="90" t="n"/>
      <c r="F4049" s="16" t="n"/>
      <c r="G4049" s="16" t="n"/>
      <c r="H4049" s="63" t="n"/>
      <c r="I4049" s="64" t="n"/>
      <c r="J4049" s="16" t="n"/>
      <c r="K4049" s="16" t="n"/>
      <c r="M4049" s="89" t="n"/>
      <c r="N4049" s="1" t="n"/>
      <c r="O4049" s="1" t="n"/>
      <c r="P4049" s="1" t="n"/>
      <c r="Q4049" s="1" t="n"/>
      <c r="R4049" s="1" t="n"/>
    </row>
    <row r="4050">
      <c r="A4050" s="61" t="n"/>
      <c r="B4050" s="16" t="n"/>
      <c r="C4050" s="90" t="n"/>
      <c r="D4050" s="90" t="n"/>
      <c r="E4050" s="90" t="n"/>
      <c r="F4050" s="16" t="n"/>
      <c r="G4050" s="16" t="n"/>
      <c r="H4050" s="63" t="n"/>
      <c r="I4050" s="64" t="n"/>
      <c r="J4050" s="16" t="n"/>
      <c r="K4050" s="16" t="n"/>
      <c r="M4050" s="89" t="n"/>
      <c r="N4050" s="1" t="n"/>
      <c r="O4050" s="1" t="n"/>
      <c r="P4050" s="1" t="n"/>
      <c r="Q4050" s="1" t="n"/>
      <c r="R4050" s="1" t="n"/>
    </row>
    <row r="4051">
      <c r="A4051" s="61" t="n"/>
      <c r="B4051" s="16" t="n"/>
      <c r="C4051" s="90" t="n"/>
      <c r="D4051" s="90" t="n"/>
      <c r="E4051" s="90" t="n"/>
      <c r="F4051" s="16" t="n"/>
      <c r="G4051" s="16" t="n"/>
      <c r="H4051" s="63" t="n"/>
      <c r="I4051" s="64" t="n"/>
      <c r="J4051" s="16" t="n"/>
      <c r="K4051" s="16" t="n"/>
      <c r="M4051" s="89" t="n"/>
      <c r="N4051" s="1" t="n"/>
      <c r="O4051" s="1" t="n"/>
      <c r="P4051" s="1" t="n"/>
      <c r="Q4051" s="1" t="n"/>
      <c r="R4051" s="1" t="n"/>
    </row>
    <row r="4052">
      <c r="A4052" s="61" t="n"/>
      <c r="B4052" s="16" t="n"/>
      <c r="C4052" s="90" t="n"/>
      <c r="D4052" s="90" t="n"/>
      <c r="E4052" s="90" t="n"/>
      <c r="F4052" s="16" t="n"/>
      <c r="G4052" s="16" t="n"/>
      <c r="H4052" s="63" t="n"/>
      <c r="I4052" s="64" t="n"/>
      <c r="J4052" s="16" t="n"/>
      <c r="K4052" s="16" t="n"/>
      <c r="M4052" s="89" t="n"/>
      <c r="N4052" s="1" t="n"/>
      <c r="O4052" s="1" t="n"/>
      <c r="P4052" s="1" t="n"/>
      <c r="Q4052" s="1" t="n"/>
      <c r="R4052" s="1" t="n"/>
    </row>
    <row r="4053">
      <c r="A4053" s="61" t="n"/>
      <c r="B4053" s="16" t="n"/>
      <c r="C4053" s="90" t="n"/>
      <c r="D4053" s="90" t="n"/>
      <c r="E4053" s="90" t="n"/>
      <c r="F4053" s="16" t="n"/>
      <c r="G4053" s="16" t="n"/>
      <c r="H4053" s="63" t="n"/>
      <c r="I4053" s="64" t="n"/>
      <c r="J4053" s="16" t="n"/>
      <c r="K4053" s="16" t="n"/>
      <c r="M4053" s="89" t="n"/>
      <c r="N4053" s="1" t="n"/>
      <c r="O4053" s="1" t="n"/>
      <c r="P4053" s="1" t="n"/>
      <c r="Q4053" s="1" t="n"/>
      <c r="R4053" s="1" t="n"/>
    </row>
    <row r="4054">
      <c r="A4054" s="61" t="n"/>
      <c r="B4054" s="16" t="n"/>
      <c r="C4054" s="90" t="n"/>
      <c r="D4054" s="90" t="n"/>
      <c r="E4054" s="90" t="n"/>
      <c r="F4054" s="16" t="n"/>
      <c r="G4054" s="16" t="n"/>
      <c r="H4054" s="63" t="n"/>
      <c r="I4054" s="64" t="n"/>
      <c r="J4054" s="16" t="n"/>
      <c r="K4054" s="16" t="n"/>
      <c r="M4054" s="89" t="n"/>
      <c r="N4054" s="1" t="n"/>
      <c r="O4054" s="1" t="n"/>
      <c r="P4054" s="1" t="n"/>
      <c r="Q4054" s="1" t="n"/>
      <c r="R4054" s="1" t="n"/>
    </row>
    <row r="4055">
      <c r="A4055" s="61" t="n"/>
      <c r="B4055" s="16" t="n"/>
      <c r="C4055" s="90" t="n"/>
      <c r="D4055" s="90" t="n"/>
      <c r="E4055" s="90" t="n"/>
      <c r="F4055" s="16" t="n"/>
      <c r="G4055" s="16" t="n"/>
      <c r="H4055" s="63" t="n"/>
      <c r="I4055" s="64" t="n"/>
      <c r="J4055" s="16" t="n"/>
      <c r="K4055" s="16" t="n"/>
      <c r="M4055" s="89" t="n"/>
      <c r="N4055" s="1" t="n"/>
      <c r="O4055" s="1" t="n"/>
      <c r="P4055" s="1" t="n"/>
      <c r="Q4055" s="1" t="n"/>
      <c r="R4055" s="1" t="n"/>
    </row>
    <row r="4056">
      <c r="A4056" s="61" t="n"/>
      <c r="B4056" s="16" t="n"/>
      <c r="C4056" s="90" t="n"/>
      <c r="D4056" s="90" t="n"/>
      <c r="E4056" s="90" t="n"/>
      <c r="F4056" s="16" t="n"/>
      <c r="G4056" s="16" t="n"/>
      <c r="H4056" s="63" t="n"/>
      <c r="I4056" s="64" t="n"/>
      <c r="J4056" s="16" t="n"/>
      <c r="K4056" s="16" t="n"/>
      <c r="M4056" s="89" t="n"/>
      <c r="N4056" s="1" t="n"/>
      <c r="O4056" s="1" t="n"/>
      <c r="P4056" s="1" t="n"/>
      <c r="Q4056" s="1" t="n"/>
      <c r="R4056" s="1" t="n"/>
    </row>
    <row r="4057">
      <c r="A4057" s="61" t="n"/>
      <c r="B4057" s="16" t="n"/>
      <c r="C4057" s="90" t="n"/>
      <c r="D4057" s="90" t="n"/>
      <c r="E4057" s="90" t="n"/>
      <c r="F4057" s="16" t="n"/>
      <c r="G4057" s="16" t="n"/>
      <c r="H4057" s="63" t="n"/>
      <c r="I4057" s="64" t="n"/>
      <c r="J4057" s="16" t="n"/>
      <c r="K4057" s="16" t="n"/>
      <c r="M4057" s="89" t="n"/>
      <c r="N4057" s="1" t="n"/>
      <c r="O4057" s="1" t="n"/>
      <c r="P4057" s="1" t="n"/>
      <c r="Q4057" s="1" t="n"/>
      <c r="R4057" s="1" t="n"/>
    </row>
    <row r="4058">
      <c r="A4058" s="61" t="n"/>
      <c r="B4058" s="16" t="n"/>
      <c r="C4058" s="90" t="n"/>
      <c r="D4058" s="90" t="n"/>
      <c r="E4058" s="90" t="n"/>
      <c r="F4058" s="16" t="n"/>
      <c r="G4058" s="16" t="n"/>
      <c r="H4058" s="63" t="n"/>
      <c r="I4058" s="64" t="n"/>
      <c r="J4058" s="16" t="n"/>
      <c r="K4058" s="16" t="n"/>
      <c r="M4058" s="89" t="n"/>
      <c r="N4058" s="1" t="n"/>
      <c r="O4058" s="1" t="n"/>
      <c r="P4058" s="1" t="n"/>
      <c r="Q4058" s="1" t="n"/>
      <c r="R4058" s="1" t="n"/>
    </row>
    <row r="4059">
      <c r="A4059" s="61" t="n"/>
      <c r="B4059" s="16" t="n"/>
      <c r="C4059" s="90" t="n"/>
      <c r="D4059" s="90" t="n"/>
      <c r="E4059" s="90" t="n"/>
      <c r="F4059" s="16" t="n"/>
      <c r="G4059" s="16" t="n"/>
      <c r="H4059" s="63" t="n"/>
      <c r="I4059" s="64" t="n"/>
      <c r="J4059" s="16" t="n"/>
      <c r="K4059" s="16" t="n"/>
      <c r="M4059" s="89" t="n"/>
      <c r="N4059" s="1" t="n"/>
      <c r="O4059" s="1" t="n"/>
      <c r="P4059" s="1" t="n"/>
      <c r="Q4059" s="1" t="n"/>
      <c r="R4059" s="1" t="n"/>
    </row>
    <row r="4060">
      <c r="A4060" s="61" t="n"/>
      <c r="B4060" s="16" t="n"/>
      <c r="C4060" s="90" t="n"/>
      <c r="D4060" s="90" t="n"/>
      <c r="E4060" s="90" t="n"/>
      <c r="F4060" s="16" t="n"/>
      <c r="G4060" s="16" t="n"/>
      <c r="H4060" s="63" t="n"/>
      <c r="I4060" s="64" t="n"/>
      <c r="J4060" s="16" t="n"/>
      <c r="K4060" s="16" t="n"/>
      <c r="M4060" s="89" t="n"/>
      <c r="N4060" s="1" t="n"/>
      <c r="O4060" s="1" t="n"/>
      <c r="P4060" s="1" t="n"/>
      <c r="Q4060" s="1" t="n"/>
      <c r="R4060" s="1" t="n"/>
    </row>
    <row r="4061">
      <c r="A4061" s="61" t="n"/>
      <c r="B4061" s="16" t="n"/>
      <c r="C4061" s="90" t="n"/>
      <c r="D4061" s="90" t="n"/>
      <c r="E4061" s="90" t="n"/>
      <c r="F4061" s="16" t="n"/>
      <c r="G4061" s="16" t="n"/>
      <c r="H4061" s="63" t="n"/>
      <c r="I4061" s="64" t="n"/>
      <c r="J4061" s="16" t="n"/>
      <c r="K4061" s="16" t="n"/>
      <c r="M4061" s="89" t="n"/>
      <c r="N4061" s="1" t="n"/>
      <c r="O4061" s="1" t="n"/>
      <c r="P4061" s="1" t="n"/>
      <c r="Q4061" s="1" t="n"/>
      <c r="R4061" s="1" t="n"/>
    </row>
    <row r="4062">
      <c r="A4062" s="61" t="n"/>
      <c r="B4062" s="16" t="n"/>
      <c r="C4062" s="90" t="n"/>
      <c r="D4062" s="90" t="n"/>
      <c r="E4062" s="90" t="n"/>
      <c r="F4062" s="16" t="n"/>
      <c r="G4062" s="16" t="n"/>
      <c r="H4062" s="63" t="n"/>
      <c r="I4062" s="64" t="n"/>
      <c r="J4062" s="16" t="n"/>
      <c r="K4062" s="16" t="n"/>
      <c r="M4062" s="89" t="n"/>
      <c r="N4062" s="1" t="n"/>
      <c r="O4062" s="1" t="n"/>
      <c r="P4062" s="1" t="n"/>
      <c r="Q4062" s="1" t="n"/>
      <c r="R4062" s="1" t="n"/>
    </row>
    <row r="4063">
      <c r="A4063" s="61" t="n"/>
      <c r="B4063" s="16" t="n"/>
      <c r="C4063" s="90" t="n"/>
      <c r="D4063" s="90" t="n"/>
      <c r="E4063" s="90" t="n"/>
      <c r="F4063" s="16" t="n"/>
      <c r="G4063" s="16" t="n"/>
      <c r="H4063" s="63" t="n"/>
      <c r="I4063" s="64" t="n"/>
      <c r="J4063" s="16" t="n"/>
      <c r="K4063" s="16" t="n"/>
      <c r="M4063" s="89" t="n"/>
      <c r="N4063" s="1" t="n"/>
      <c r="O4063" s="1" t="n"/>
      <c r="P4063" s="1" t="n"/>
      <c r="Q4063" s="1" t="n"/>
      <c r="R4063" s="1" t="n"/>
    </row>
    <row r="4064">
      <c r="A4064" s="61" t="n"/>
      <c r="B4064" s="16" t="n"/>
      <c r="C4064" s="90" t="n"/>
      <c r="D4064" s="90" t="n"/>
      <c r="E4064" s="90" t="n"/>
      <c r="F4064" s="16" t="n"/>
      <c r="G4064" s="16" t="n"/>
      <c r="H4064" s="63" t="n"/>
      <c r="I4064" s="64" t="n"/>
      <c r="J4064" s="16" t="n"/>
      <c r="K4064" s="16" t="n"/>
      <c r="M4064" s="89" t="n"/>
      <c r="N4064" s="1" t="n"/>
      <c r="O4064" s="1" t="n"/>
      <c r="P4064" s="1" t="n"/>
      <c r="Q4064" s="1" t="n"/>
      <c r="R4064" s="1" t="n"/>
    </row>
    <row r="4065">
      <c r="A4065" s="61" t="n"/>
      <c r="B4065" s="16" t="n"/>
      <c r="C4065" s="90" t="n"/>
      <c r="D4065" s="90" t="n"/>
      <c r="E4065" s="90" t="n"/>
      <c r="F4065" s="16" t="n"/>
      <c r="G4065" s="16" t="n"/>
      <c r="H4065" s="63" t="n"/>
      <c r="I4065" s="64" t="n"/>
      <c r="J4065" s="16" t="n"/>
      <c r="K4065" s="16" t="n"/>
      <c r="M4065" s="89" t="n"/>
      <c r="N4065" s="1" t="n"/>
      <c r="O4065" s="1" t="n"/>
      <c r="P4065" s="1" t="n"/>
      <c r="Q4065" s="1" t="n"/>
      <c r="R4065" s="1" t="n"/>
    </row>
    <row r="4066">
      <c r="A4066" s="61" t="n"/>
      <c r="B4066" s="16" t="n"/>
      <c r="C4066" s="90" t="n"/>
      <c r="D4066" s="90" t="n"/>
      <c r="E4066" s="90" t="n"/>
      <c r="F4066" s="16" t="n"/>
      <c r="G4066" s="16" t="n"/>
      <c r="H4066" s="63" t="n"/>
      <c r="I4066" s="64" t="n"/>
      <c r="J4066" s="16" t="n"/>
      <c r="K4066" s="16" t="n"/>
      <c r="M4066" s="89" t="n"/>
      <c r="N4066" s="1" t="n"/>
      <c r="O4066" s="1" t="n"/>
      <c r="P4066" s="1" t="n"/>
      <c r="Q4066" s="1" t="n"/>
      <c r="R4066" s="1" t="n"/>
    </row>
    <row r="4067">
      <c r="A4067" s="61" t="n"/>
      <c r="B4067" s="16" t="n"/>
      <c r="C4067" s="90" t="n"/>
      <c r="D4067" s="90" t="n"/>
      <c r="E4067" s="90" t="n"/>
      <c r="F4067" s="16" t="n"/>
      <c r="G4067" s="16" t="n"/>
      <c r="H4067" s="63" t="n"/>
      <c r="I4067" s="64" t="n"/>
      <c r="J4067" s="16" t="n"/>
      <c r="K4067" s="16" t="n"/>
      <c r="M4067" s="89" t="n"/>
      <c r="N4067" s="1" t="n"/>
      <c r="O4067" s="1" t="n"/>
      <c r="P4067" s="1" t="n"/>
      <c r="Q4067" s="1" t="n"/>
      <c r="R4067" s="1" t="n"/>
    </row>
    <row r="4068">
      <c r="A4068" s="61" t="n"/>
      <c r="B4068" s="16" t="n"/>
      <c r="C4068" s="90" t="n"/>
      <c r="D4068" s="90" t="n"/>
      <c r="E4068" s="90" t="n"/>
      <c r="F4068" s="16" t="n"/>
      <c r="G4068" s="16" t="n"/>
      <c r="H4068" s="63" t="n"/>
      <c r="I4068" s="64" t="n"/>
      <c r="J4068" s="16" t="n"/>
      <c r="K4068" s="16" t="n"/>
      <c r="M4068" s="89" t="n"/>
      <c r="N4068" s="1" t="n"/>
      <c r="O4068" s="1" t="n"/>
      <c r="P4068" s="1" t="n"/>
      <c r="Q4068" s="1" t="n"/>
      <c r="R4068" s="1" t="n"/>
    </row>
    <row r="4069">
      <c r="A4069" s="61" t="n"/>
      <c r="B4069" s="16" t="n"/>
      <c r="C4069" s="90" t="n"/>
      <c r="D4069" s="90" t="n"/>
      <c r="E4069" s="90" t="n"/>
      <c r="F4069" s="16" t="n"/>
      <c r="G4069" s="16" t="n"/>
      <c r="H4069" s="63" t="n"/>
      <c r="I4069" s="64" t="n"/>
      <c r="J4069" s="16" t="n"/>
      <c r="K4069" s="16" t="n"/>
      <c r="M4069" s="89" t="n"/>
      <c r="N4069" s="1" t="n"/>
      <c r="O4069" s="1" t="n"/>
      <c r="P4069" s="1" t="n"/>
      <c r="Q4069" s="1" t="n"/>
      <c r="R4069" s="1" t="n"/>
    </row>
    <row r="4070">
      <c r="A4070" s="61" t="n"/>
      <c r="B4070" s="16" t="n"/>
      <c r="C4070" s="90" t="n"/>
      <c r="D4070" s="90" t="n"/>
      <c r="E4070" s="90" t="n"/>
      <c r="F4070" s="16" t="n"/>
      <c r="G4070" s="16" t="n"/>
      <c r="H4070" s="63" t="n"/>
      <c r="I4070" s="64" t="n"/>
      <c r="J4070" s="16" t="n"/>
      <c r="K4070" s="16" t="n"/>
      <c r="M4070" s="89" t="n"/>
      <c r="N4070" s="1" t="n"/>
      <c r="O4070" s="1" t="n"/>
      <c r="P4070" s="1" t="n"/>
      <c r="Q4070" s="1" t="n"/>
      <c r="R4070" s="1" t="n"/>
    </row>
    <row r="4071">
      <c r="A4071" s="61" t="n"/>
      <c r="B4071" s="16" t="n"/>
      <c r="C4071" s="90" t="n"/>
      <c r="D4071" s="90" t="n"/>
      <c r="E4071" s="90" t="n"/>
      <c r="F4071" s="16" t="n"/>
      <c r="G4071" s="16" t="n"/>
      <c r="H4071" s="63" t="n"/>
      <c r="I4071" s="64" t="n"/>
      <c r="J4071" s="16" t="n"/>
      <c r="K4071" s="16" t="n"/>
      <c r="M4071" s="89" t="n"/>
      <c r="N4071" s="1" t="n"/>
      <c r="O4071" s="1" t="n"/>
      <c r="P4071" s="1" t="n"/>
      <c r="Q4071" s="1" t="n"/>
      <c r="R4071" s="1" t="n"/>
    </row>
    <row r="4072">
      <c r="A4072" s="61" t="n"/>
      <c r="B4072" s="16" t="n"/>
      <c r="C4072" s="90" t="n"/>
      <c r="D4072" s="90" t="n"/>
      <c r="E4072" s="90" t="n"/>
      <c r="F4072" s="16" t="n"/>
      <c r="G4072" s="16" t="n"/>
      <c r="H4072" s="63" t="n"/>
      <c r="I4072" s="64" t="n"/>
      <c r="J4072" s="16" t="n"/>
      <c r="K4072" s="16" t="n"/>
      <c r="M4072" s="89" t="n"/>
      <c r="N4072" s="1" t="n"/>
      <c r="O4072" s="1" t="n"/>
      <c r="P4072" s="1" t="n"/>
      <c r="Q4072" s="1" t="n"/>
      <c r="R4072" s="1" t="n"/>
    </row>
    <row r="4073">
      <c r="A4073" s="61" t="n"/>
      <c r="B4073" s="16" t="n"/>
      <c r="C4073" s="90" t="n"/>
      <c r="D4073" s="90" t="n"/>
      <c r="E4073" s="90" t="n"/>
      <c r="F4073" s="16" t="n"/>
      <c r="G4073" s="16" t="n"/>
      <c r="H4073" s="63" t="n"/>
      <c r="I4073" s="64" t="n"/>
      <c r="J4073" s="16" t="n"/>
      <c r="K4073" s="16" t="n"/>
      <c r="M4073" s="89" t="n"/>
      <c r="N4073" s="1" t="n"/>
      <c r="O4073" s="1" t="n"/>
      <c r="P4073" s="1" t="n"/>
      <c r="Q4073" s="1" t="n"/>
      <c r="R4073" s="1" t="n"/>
    </row>
    <row r="4074">
      <c r="A4074" s="61" t="n"/>
      <c r="B4074" s="16" t="n"/>
      <c r="C4074" s="90" t="n"/>
      <c r="D4074" s="90" t="n"/>
      <c r="E4074" s="90" t="n"/>
      <c r="F4074" s="16" t="n"/>
      <c r="G4074" s="16" t="n"/>
      <c r="H4074" s="63" t="n"/>
      <c r="I4074" s="64" t="n"/>
      <c r="J4074" s="16" t="n"/>
      <c r="K4074" s="16" t="n"/>
      <c r="M4074" s="89" t="n"/>
      <c r="N4074" s="1" t="n"/>
      <c r="O4074" s="1" t="n"/>
      <c r="P4074" s="1" t="n"/>
      <c r="Q4074" s="1" t="n"/>
      <c r="R4074" s="1" t="n"/>
    </row>
    <row r="4075">
      <c r="A4075" s="61" t="n"/>
      <c r="B4075" s="16" t="n"/>
      <c r="C4075" s="90" t="n"/>
      <c r="D4075" s="90" t="n"/>
      <c r="E4075" s="90" t="n"/>
      <c r="F4075" s="16" t="n"/>
      <c r="G4075" s="16" t="n"/>
      <c r="H4075" s="63" t="n"/>
      <c r="I4075" s="64" t="n"/>
      <c r="J4075" s="16" t="n"/>
      <c r="K4075" s="16" t="n"/>
      <c r="M4075" s="89" t="n"/>
      <c r="N4075" s="1" t="n"/>
      <c r="O4075" s="1" t="n"/>
      <c r="P4075" s="1" t="n"/>
      <c r="Q4075" s="1" t="n"/>
      <c r="R4075" s="1" t="n"/>
    </row>
    <row r="4076">
      <c r="A4076" s="61" t="n"/>
      <c r="B4076" s="16" t="n"/>
      <c r="C4076" s="90" t="n"/>
      <c r="D4076" s="90" t="n"/>
      <c r="E4076" s="90" t="n"/>
      <c r="F4076" s="16" t="n"/>
      <c r="G4076" s="16" t="n"/>
      <c r="H4076" s="63" t="n"/>
      <c r="I4076" s="64" t="n"/>
      <c r="J4076" s="16" t="n"/>
      <c r="K4076" s="16" t="n"/>
      <c r="M4076" s="89" t="n"/>
      <c r="N4076" s="1" t="n"/>
      <c r="O4076" s="1" t="n"/>
      <c r="P4076" s="1" t="n"/>
      <c r="Q4076" s="1" t="n"/>
      <c r="R4076" s="1" t="n"/>
    </row>
    <row r="4077">
      <c r="A4077" s="61" t="n"/>
      <c r="B4077" s="16" t="n"/>
      <c r="C4077" s="90" t="n"/>
      <c r="D4077" s="90" t="n"/>
      <c r="E4077" s="90" t="n"/>
      <c r="F4077" s="16" t="n"/>
      <c r="G4077" s="16" t="n"/>
      <c r="H4077" s="63" t="n"/>
      <c r="I4077" s="64" t="n"/>
      <c r="J4077" s="16" t="n"/>
      <c r="K4077" s="16" t="n"/>
      <c r="M4077" s="89" t="n"/>
      <c r="N4077" s="1" t="n"/>
      <c r="O4077" s="1" t="n"/>
      <c r="P4077" s="1" t="n"/>
      <c r="Q4077" s="1" t="n"/>
      <c r="R4077" s="1" t="n"/>
    </row>
    <row r="4078">
      <c r="A4078" s="61" t="n"/>
      <c r="B4078" s="16" t="n"/>
      <c r="C4078" s="90" t="n"/>
      <c r="D4078" s="90" t="n"/>
      <c r="E4078" s="90" t="n"/>
      <c r="F4078" s="16" t="n"/>
      <c r="G4078" s="16" t="n"/>
      <c r="H4078" s="63" t="n"/>
      <c r="I4078" s="64" t="n"/>
      <c r="J4078" s="16" t="n"/>
      <c r="K4078" s="16" t="n"/>
      <c r="M4078" s="89" t="n"/>
      <c r="N4078" s="1" t="n"/>
      <c r="O4078" s="1" t="n"/>
      <c r="P4078" s="1" t="n"/>
      <c r="Q4078" s="1" t="n"/>
      <c r="R4078" s="1" t="n"/>
    </row>
    <row r="4079">
      <c r="A4079" s="61" t="n"/>
      <c r="B4079" s="16" t="n"/>
      <c r="C4079" s="90" t="n"/>
      <c r="D4079" s="90" t="n"/>
      <c r="E4079" s="90" t="n"/>
      <c r="F4079" s="16" t="n"/>
      <c r="G4079" s="16" t="n"/>
      <c r="H4079" s="63" t="n"/>
      <c r="I4079" s="64" t="n"/>
      <c r="J4079" s="16" t="n"/>
      <c r="K4079" s="16" t="n"/>
      <c r="M4079" s="89" t="n"/>
      <c r="N4079" s="1" t="n"/>
      <c r="O4079" s="1" t="n"/>
      <c r="P4079" s="1" t="n"/>
      <c r="Q4079" s="1" t="n"/>
      <c r="R4079" s="1" t="n"/>
    </row>
    <row r="4080">
      <c r="A4080" s="61" t="n"/>
      <c r="B4080" s="16" t="n"/>
      <c r="C4080" s="90" t="n"/>
      <c r="D4080" s="90" t="n"/>
      <c r="E4080" s="90" t="n"/>
      <c r="F4080" s="16" t="n"/>
      <c r="G4080" s="16" t="n"/>
      <c r="H4080" s="63" t="n"/>
      <c r="I4080" s="64" t="n"/>
      <c r="J4080" s="16" t="n"/>
      <c r="K4080" s="16" t="n"/>
      <c r="M4080" s="89" t="n"/>
      <c r="N4080" s="1" t="n"/>
      <c r="O4080" s="1" t="n"/>
      <c r="P4080" s="1" t="n"/>
      <c r="Q4080" s="1" t="n"/>
      <c r="R4080" s="1" t="n"/>
    </row>
    <row r="4081">
      <c r="A4081" s="61" t="n"/>
      <c r="B4081" s="16" t="n"/>
      <c r="C4081" s="90" t="n"/>
      <c r="D4081" s="90" t="n"/>
      <c r="E4081" s="90" t="n"/>
      <c r="F4081" s="16" t="n"/>
      <c r="G4081" s="16" t="n"/>
      <c r="H4081" s="63" t="n"/>
      <c r="I4081" s="64" t="n"/>
      <c r="J4081" s="16" t="n"/>
      <c r="K4081" s="16" t="n"/>
      <c r="M4081" s="89" t="n"/>
      <c r="N4081" s="1" t="n"/>
      <c r="O4081" s="1" t="n"/>
      <c r="P4081" s="1" t="n"/>
      <c r="Q4081" s="1" t="n"/>
      <c r="R4081" s="1" t="n"/>
    </row>
    <row r="4082">
      <c r="A4082" s="61" t="n"/>
      <c r="B4082" s="16" t="n"/>
      <c r="C4082" s="90" t="n"/>
      <c r="D4082" s="90" t="n"/>
      <c r="E4082" s="90" t="n"/>
      <c r="F4082" s="16" t="n"/>
      <c r="G4082" s="16" t="n"/>
      <c r="H4082" s="63" t="n"/>
      <c r="I4082" s="64" t="n"/>
      <c r="J4082" s="16" t="n"/>
      <c r="K4082" s="16" t="n"/>
      <c r="M4082" s="89" t="n"/>
      <c r="N4082" s="1" t="n"/>
      <c r="O4082" s="1" t="n"/>
      <c r="P4082" s="1" t="n"/>
      <c r="Q4082" s="1" t="n"/>
      <c r="R4082" s="1" t="n"/>
    </row>
    <row r="4083">
      <c r="A4083" s="61" t="n"/>
      <c r="B4083" s="16" t="n"/>
      <c r="C4083" s="90" t="n"/>
      <c r="D4083" s="90" t="n"/>
      <c r="E4083" s="90" t="n"/>
      <c r="F4083" s="16" t="n"/>
      <c r="G4083" s="16" t="n"/>
      <c r="H4083" s="63" t="n"/>
      <c r="I4083" s="64" t="n"/>
      <c r="J4083" s="16" t="n"/>
      <c r="K4083" s="16" t="n"/>
      <c r="M4083" s="89" t="n"/>
      <c r="N4083" s="1" t="n"/>
      <c r="O4083" s="1" t="n"/>
      <c r="P4083" s="1" t="n"/>
      <c r="Q4083" s="1" t="n"/>
      <c r="R4083" s="1" t="n"/>
    </row>
    <row r="4084">
      <c r="A4084" s="61" t="n"/>
      <c r="B4084" s="16" t="n"/>
      <c r="C4084" s="90" t="n"/>
      <c r="D4084" s="90" t="n"/>
      <c r="E4084" s="90" t="n"/>
      <c r="F4084" s="16" t="n"/>
      <c r="G4084" s="16" t="n"/>
      <c r="H4084" s="63" t="n"/>
      <c r="I4084" s="64" t="n"/>
      <c r="J4084" s="16" t="n"/>
      <c r="K4084" s="16" t="n"/>
      <c r="M4084" s="89" t="n"/>
      <c r="N4084" s="1" t="n"/>
      <c r="O4084" s="1" t="n"/>
      <c r="P4084" s="1" t="n"/>
      <c r="Q4084" s="1" t="n"/>
      <c r="R4084" s="1" t="n"/>
    </row>
    <row r="4085">
      <c r="A4085" s="61" t="n"/>
      <c r="B4085" s="16" t="n"/>
      <c r="C4085" s="90" t="n"/>
      <c r="D4085" s="90" t="n"/>
      <c r="E4085" s="90" t="n"/>
      <c r="F4085" s="16" t="n"/>
      <c r="G4085" s="16" t="n"/>
      <c r="H4085" s="63" t="n"/>
      <c r="I4085" s="64" t="n"/>
      <c r="J4085" s="16" t="n"/>
      <c r="K4085" s="16" t="n"/>
      <c r="M4085" s="89" t="n"/>
      <c r="N4085" s="1" t="n"/>
      <c r="O4085" s="1" t="n"/>
      <c r="P4085" s="1" t="n"/>
      <c r="Q4085" s="1" t="n"/>
      <c r="R4085" s="1" t="n"/>
    </row>
    <row r="4086">
      <c r="A4086" s="61" t="n"/>
      <c r="B4086" s="16" t="n"/>
      <c r="C4086" s="90" t="n"/>
      <c r="D4086" s="90" t="n"/>
      <c r="E4086" s="90" t="n"/>
      <c r="F4086" s="16" t="n"/>
      <c r="G4086" s="16" t="n"/>
      <c r="H4086" s="63" t="n"/>
      <c r="I4086" s="64" t="n"/>
      <c r="J4086" s="16" t="n"/>
      <c r="K4086" s="16" t="n"/>
      <c r="M4086" s="89" t="n"/>
      <c r="N4086" s="1" t="n"/>
      <c r="O4086" s="1" t="n"/>
      <c r="P4086" s="1" t="n"/>
      <c r="Q4086" s="1" t="n"/>
      <c r="R4086" s="1" t="n"/>
    </row>
    <row r="4087">
      <c r="A4087" s="61" t="n"/>
      <c r="B4087" s="16" t="n"/>
      <c r="C4087" s="90" t="n"/>
      <c r="D4087" s="90" t="n"/>
      <c r="E4087" s="90" t="n"/>
      <c r="F4087" s="16" t="n"/>
      <c r="G4087" s="16" t="n"/>
      <c r="H4087" s="63" t="n"/>
      <c r="I4087" s="64" t="n"/>
      <c r="J4087" s="16" t="n"/>
      <c r="K4087" s="16" t="n"/>
      <c r="M4087" s="89" t="n"/>
      <c r="N4087" s="1" t="n"/>
      <c r="O4087" s="1" t="n"/>
      <c r="P4087" s="1" t="n"/>
      <c r="Q4087" s="1" t="n"/>
      <c r="R4087" s="1" t="n"/>
    </row>
    <row r="4088">
      <c r="A4088" s="61" t="n"/>
      <c r="B4088" s="16" t="n"/>
      <c r="C4088" s="90" t="n"/>
      <c r="D4088" s="90" t="n"/>
      <c r="E4088" s="90" t="n"/>
      <c r="F4088" s="16" t="n"/>
      <c r="G4088" s="16" t="n"/>
      <c r="H4088" s="63" t="n"/>
      <c r="I4088" s="64" t="n"/>
      <c r="J4088" s="16" t="n"/>
      <c r="K4088" s="16" t="n"/>
      <c r="M4088" s="89" t="n"/>
      <c r="N4088" s="1" t="n"/>
      <c r="O4088" s="1" t="n"/>
      <c r="P4088" s="1" t="n"/>
      <c r="Q4088" s="1" t="n"/>
      <c r="R4088" s="1" t="n"/>
    </row>
    <row r="4089">
      <c r="A4089" s="61" t="n"/>
      <c r="B4089" s="16" t="n"/>
      <c r="C4089" s="90" t="n"/>
      <c r="D4089" s="90" t="n"/>
      <c r="E4089" s="90" t="n"/>
      <c r="F4089" s="16" t="n"/>
      <c r="G4089" s="16" t="n"/>
      <c r="H4089" s="63" t="n"/>
      <c r="I4089" s="64" t="n"/>
      <c r="J4089" s="16" t="n"/>
      <c r="K4089" s="16" t="n"/>
      <c r="M4089" s="89" t="n"/>
      <c r="N4089" s="1" t="n"/>
      <c r="O4089" s="1" t="n"/>
      <c r="P4089" s="1" t="n"/>
      <c r="Q4089" s="1" t="n"/>
      <c r="R4089" s="1" t="n"/>
    </row>
    <row r="4090">
      <c r="A4090" s="61" t="n"/>
      <c r="B4090" s="16" t="n"/>
      <c r="C4090" s="90" t="n"/>
      <c r="D4090" s="90" t="n"/>
      <c r="E4090" s="90" t="n"/>
      <c r="F4090" s="16" t="n"/>
      <c r="G4090" s="16" t="n"/>
      <c r="H4090" s="63" t="n"/>
      <c r="I4090" s="64" t="n"/>
      <c r="J4090" s="16" t="n"/>
      <c r="K4090" s="16" t="n"/>
      <c r="M4090" s="89" t="n"/>
      <c r="N4090" s="1" t="n"/>
      <c r="O4090" s="1" t="n"/>
      <c r="P4090" s="1" t="n"/>
      <c r="Q4090" s="1" t="n"/>
      <c r="R4090" s="1" t="n"/>
    </row>
    <row r="4091">
      <c r="A4091" s="61" t="n"/>
      <c r="B4091" s="16" t="n"/>
      <c r="C4091" s="90" t="n"/>
      <c r="D4091" s="90" t="n"/>
      <c r="E4091" s="90" t="n"/>
      <c r="F4091" s="16" t="n"/>
      <c r="G4091" s="16" t="n"/>
      <c r="H4091" s="63" t="n"/>
      <c r="I4091" s="64" t="n"/>
      <c r="J4091" s="16" t="n"/>
      <c r="K4091" s="16" t="n"/>
      <c r="M4091" s="89" t="n"/>
      <c r="N4091" s="1" t="n"/>
      <c r="O4091" s="1" t="n"/>
      <c r="P4091" s="1" t="n"/>
      <c r="Q4091" s="1" t="n"/>
      <c r="R4091" s="1" t="n"/>
    </row>
    <row r="4092">
      <c r="A4092" s="61" t="n"/>
      <c r="B4092" s="16" t="n"/>
      <c r="C4092" s="90" t="n"/>
      <c r="D4092" s="90" t="n"/>
      <c r="E4092" s="90" t="n"/>
      <c r="F4092" s="16" t="n"/>
      <c r="G4092" s="16" t="n"/>
      <c r="H4092" s="63" t="n"/>
      <c r="I4092" s="64" t="n"/>
      <c r="J4092" s="16" t="n"/>
      <c r="K4092" s="16" t="n"/>
      <c r="M4092" s="89" t="n"/>
      <c r="N4092" s="1" t="n"/>
      <c r="O4092" s="1" t="n"/>
      <c r="P4092" s="1" t="n"/>
      <c r="Q4092" s="1" t="n"/>
      <c r="R4092" s="1" t="n"/>
    </row>
    <row r="4093">
      <c r="A4093" s="61" t="n"/>
      <c r="B4093" s="16" t="n"/>
      <c r="C4093" s="90" t="n"/>
      <c r="D4093" s="90" t="n"/>
      <c r="E4093" s="90" t="n"/>
      <c r="F4093" s="16" t="n"/>
      <c r="G4093" s="16" t="n"/>
      <c r="H4093" s="63" t="n"/>
      <c r="I4093" s="64" t="n"/>
      <c r="J4093" s="16" t="n"/>
      <c r="K4093" s="16" t="n"/>
      <c r="M4093" s="89" t="n"/>
      <c r="N4093" s="1" t="n"/>
      <c r="O4093" s="1" t="n"/>
      <c r="P4093" s="1" t="n"/>
      <c r="Q4093" s="1" t="n"/>
      <c r="R4093" s="1" t="n"/>
    </row>
    <row r="4094">
      <c r="A4094" s="61" t="n"/>
      <c r="B4094" s="16" t="n"/>
      <c r="C4094" s="90" t="n"/>
      <c r="D4094" s="90" t="n"/>
      <c r="E4094" s="90" t="n"/>
      <c r="F4094" s="16" t="n"/>
      <c r="G4094" s="16" t="n"/>
      <c r="H4094" s="63" t="n"/>
      <c r="I4094" s="64" t="n"/>
      <c r="J4094" s="16" t="n"/>
      <c r="K4094" s="16" t="n"/>
      <c r="M4094" s="89" t="n"/>
      <c r="N4094" s="1" t="n"/>
      <c r="O4094" s="1" t="n"/>
      <c r="P4094" s="1" t="n"/>
      <c r="Q4094" s="1" t="n"/>
      <c r="R4094" s="1" t="n"/>
    </row>
    <row r="4095">
      <c r="A4095" s="61" t="n"/>
      <c r="B4095" s="16" t="n"/>
      <c r="C4095" s="90" t="n"/>
      <c r="D4095" s="90" t="n"/>
      <c r="E4095" s="90" t="n"/>
      <c r="F4095" s="16" t="n"/>
      <c r="G4095" s="16" t="n"/>
      <c r="H4095" s="63" t="n"/>
      <c r="I4095" s="64" t="n"/>
      <c r="J4095" s="16" t="n"/>
      <c r="K4095" s="16" t="n"/>
      <c r="M4095" s="89" t="n"/>
      <c r="N4095" s="1" t="n"/>
      <c r="O4095" s="1" t="n"/>
      <c r="P4095" s="1" t="n"/>
      <c r="Q4095" s="1" t="n"/>
      <c r="R4095" s="1" t="n"/>
    </row>
    <row r="4096">
      <c r="A4096" s="61" t="n"/>
      <c r="B4096" s="16" t="n"/>
      <c r="C4096" s="90" t="n"/>
      <c r="D4096" s="90" t="n"/>
      <c r="E4096" s="90" t="n"/>
      <c r="F4096" s="16" t="n"/>
      <c r="G4096" s="16" t="n"/>
      <c r="H4096" s="63" t="n"/>
      <c r="I4096" s="64" t="n"/>
      <c r="J4096" s="16" t="n"/>
      <c r="K4096" s="16" t="n"/>
      <c r="M4096" s="89" t="n"/>
      <c r="N4096" s="1" t="n"/>
      <c r="O4096" s="1" t="n"/>
      <c r="P4096" s="1" t="n"/>
      <c r="Q4096" s="1" t="n"/>
      <c r="R4096" s="1" t="n"/>
    </row>
    <row r="4097">
      <c r="A4097" s="61" t="n"/>
      <c r="B4097" s="16" t="n"/>
      <c r="C4097" s="90" t="n"/>
      <c r="D4097" s="90" t="n"/>
      <c r="E4097" s="90" t="n"/>
      <c r="F4097" s="16" t="n"/>
      <c r="G4097" s="16" t="n"/>
      <c r="H4097" s="63" t="n"/>
      <c r="I4097" s="64" t="n"/>
      <c r="J4097" s="16" t="n"/>
      <c r="K4097" s="16" t="n"/>
      <c r="M4097" s="89" t="n"/>
      <c r="N4097" s="1" t="n"/>
      <c r="O4097" s="1" t="n"/>
      <c r="P4097" s="1" t="n"/>
      <c r="Q4097" s="1" t="n"/>
      <c r="R4097" s="1" t="n"/>
    </row>
    <row r="4098">
      <c r="A4098" s="61" t="n"/>
      <c r="B4098" s="16" t="n"/>
      <c r="C4098" s="90" t="n"/>
      <c r="D4098" s="90" t="n"/>
      <c r="E4098" s="90" t="n"/>
      <c r="F4098" s="16" t="n"/>
      <c r="G4098" s="16" t="n"/>
      <c r="H4098" s="63" t="n"/>
      <c r="I4098" s="64" t="n"/>
      <c r="J4098" s="16" t="n"/>
      <c r="K4098" s="16" t="n"/>
      <c r="M4098" s="89" t="n"/>
      <c r="N4098" s="1" t="n"/>
      <c r="O4098" s="1" t="n"/>
      <c r="P4098" s="1" t="n"/>
      <c r="Q4098" s="1" t="n"/>
      <c r="R4098" s="1" t="n"/>
    </row>
    <row r="4099">
      <c r="A4099" s="61" t="n"/>
      <c r="B4099" s="16" t="n"/>
      <c r="C4099" s="90" t="n"/>
      <c r="D4099" s="90" t="n"/>
      <c r="E4099" s="90" t="n"/>
      <c r="F4099" s="16" t="n"/>
      <c r="G4099" s="16" t="n"/>
      <c r="H4099" s="63" t="n"/>
      <c r="I4099" s="64" t="n"/>
      <c r="J4099" s="16" t="n"/>
      <c r="K4099" s="16" t="n"/>
      <c r="M4099" s="89" t="n"/>
      <c r="N4099" s="1" t="n"/>
      <c r="O4099" s="1" t="n"/>
      <c r="P4099" s="1" t="n"/>
      <c r="Q4099" s="1" t="n"/>
      <c r="R4099" s="1" t="n"/>
    </row>
    <row r="4100">
      <c r="A4100" s="61" t="n"/>
      <c r="B4100" s="16" t="n"/>
      <c r="C4100" s="90" t="n"/>
      <c r="D4100" s="90" t="n"/>
      <c r="E4100" s="90" t="n"/>
      <c r="F4100" s="16" t="n"/>
      <c r="G4100" s="16" t="n"/>
      <c r="H4100" s="63" t="n"/>
      <c r="I4100" s="64" t="n"/>
      <c r="J4100" s="16" t="n"/>
      <c r="K4100" s="16" t="n"/>
      <c r="M4100" s="89" t="n"/>
      <c r="N4100" s="1" t="n"/>
      <c r="O4100" s="1" t="n"/>
      <c r="P4100" s="1" t="n"/>
      <c r="Q4100" s="1" t="n"/>
      <c r="R4100" s="1" t="n"/>
    </row>
    <row r="4101">
      <c r="A4101" s="61" t="n"/>
      <c r="B4101" s="16" t="n"/>
      <c r="C4101" s="90" t="n"/>
      <c r="D4101" s="90" t="n"/>
      <c r="E4101" s="90" t="n"/>
      <c r="F4101" s="16" t="n"/>
      <c r="G4101" s="16" t="n"/>
      <c r="H4101" s="63" t="n"/>
      <c r="I4101" s="64" t="n"/>
      <c r="J4101" s="16" t="n"/>
      <c r="K4101" s="16" t="n"/>
      <c r="M4101" s="89" t="n"/>
      <c r="N4101" s="1" t="n"/>
      <c r="O4101" s="1" t="n"/>
      <c r="P4101" s="1" t="n"/>
      <c r="Q4101" s="1" t="n"/>
      <c r="R4101" s="1" t="n"/>
    </row>
    <row r="4102">
      <c r="A4102" s="61" t="n"/>
      <c r="B4102" s="16" t="n"/>
      <c r="C4102" s="90" t="n"/>
      <c r="D4102" s="90" t="n"/>
      <c r="E4102" s="90" t="n"/>
      <c r="F4102" s="16" t="n"/>
      <c r="G4102" s="16" t="n"/>
      <c r="H4102" s="63" t="n"/>
      <c r="I4102" s="64" t="n"/>
      <c r="J4102" s="16" t="n"/>
      <c r="K4102" s="16" t="n"/>
      <c r="M4102" s="89" t="n"/>
      <c r="N4102" s="1" t="n"/>
      <c r="O4102" s="1" t="n"/>
      <c r="P4102" s="1" t="n"/>
      <c r="Q4102" s="1" t="n"/>
      <c r="R4102" s="1" t="n"/>
    </row>
    <row r="4103">
      <c r="A4103" s="61" t="n"/>
      <c r="B4103" s="16" t="n"/>
      <c r="C4103" s="90" t="n"/>
      <c r="D4103" s="90" t="n"/>
      <c r="E4103" s="90" t="n"/>
      <c r="F4103" s="16" t="n"/>
      <c r="G4103" s="16" t="n"/>
      <c r="H4103" s="63" t="n"/>
      <c r="I4103" s="64" t="n"/>
      <c r="J4103" s="16" t="n"/>
      <c r="K4103" s="16" t="n"/>
      <c r="M4103" s="89" t="n"/>
      <c r="N4103" s="1" t="n"/>
      <c r="O4103" s="1" t="n"/>
      <c r="P4103" s="1" t="n"/>
      <c r="Q4103" s="1" t="n"/>
      <c r="R4103" s="1" t="n"/>
    </row>
    <row r="4104">
      <c r="A4104" s="61" t="n"/>
      <c r="B4104" s="16" t="n"/>
      <c r="C4104" s="90" t="n"/>
      <c r="D4104" s="90" t="n"/>
      <c r="E4104" s="90" t="n"/>
      <c r="F4104" s="16" t="n"/>
      <c r="G4104" s="16" t="n"/>
      <c r="H4104" s="63" t="n"/>
      <c r="I4104" s="64" t="n"/>
      <c r="J4104" s="16" t="n"/>
      <c r="K4104" s="16" t="n"/>
      <c r="M4104" s="89" t="n"/>
      <c r="N4104" s="1" t="n"/>
      <c r="O4104" s="1" t="n"/>
      <c r="P4104" s="1" t="n"/>
      <c r="Q4104" s="1" t="n"/>
      <c r="R4104" s="1" t="n"/>
    </row>
    <row r="4105">
      <c r="A4105" s="61" t="n"/>
      <c r="B4105" s="16" t="n"/>
      <c r="C4105" s="90" t="n"/>
      <c r="D4105" s="90" t="n"/>
      <c r="E4105" s="90" t="n"/>
      <c r="F4105" s="16" t="n"/>
      <c r="G4105" s="16" t="n"/>
      <c r="H4105" s="63" t="n"/>
      <c r="I4105" s="64" t="n"/>
      <c r="J4105" s="16" t="n"/>
      <c r="K4105" s="16" t="n"/>
      <c r="M4105" s="89" t="n"/>
      <c r="N4105" s="1" t="n"/>
      <c r="O4105" s="1" t="n"/>
      <c r="P4105" s="1" t="n"/>
      <c r="Q4105" s="1" t="n"/>
      <c r="R4105" s="1" t="n"/>
    </row>
    <row r="4106">
      <c r="A4106" s="61" t="n"/>
      <c r="B4106" s="16" t="n"/>
      <c r="C4106" s="90" t="n"/>
      <c r="D4106" s="90" t="n"/>
      <c r="E4106" s="90" t="n"/>
      <c r="F4106" s="16" t="n"/>
      <c r="G4106" s="16" t="n"/>
      <c r="H4106" s="63" t="n"/>
      <c r="I4106" s="64" t="n"/>
      <c r="J4106" s="16" t="n"/>
      <c r="K4106" s="16" t="n"/>
      <c r="M4106" s="89" t="n"/>
      <c r="N4106" s="1" t="n"/>
      <c r="O4106" s="1" t="n"/>
      <c r="P4106" s="1" t="n"/>
      <c r="Q4106" s="1" t="n"/>
      <c r="R4106" s="1" t="n"/>
    </row>
    <row r="4107">
      <c r="A4107" s="61" t="n"/>
      <c r="B4107" s="16" t="n"/>
      <c r="C4107" s="90" t="n"/>
      <c r="D4107" s="90" t="n"/>
      <c r="E4107" s="90" t="n"/>
      <c r="F4107" s="16" t="n"/>
      <c r="G4107" s="16" t="n"/>
      <c r="H4107" s="63" t="n"/>
      <c r="I4107" s="64" t="n"/>
      <c r="J4107" s="16" t="n"/>
      <c r="K4107" s="16" t="n"/>
      <c r="M4107" s="89" t="n"/>
      <c r="N4107" s="1" t="n"/>
      <c r="O4107" s="1" t="n"/>
      <c r="P4107" s="1" t="n"/>
      <c r="Q4107" s="1" t="n"/>
      <c r="R4107" s="1" t="n"/>
    </row>
    <row r="4108">
      <c r="A4108" s="61" t="n"/>
      <c r="B4108" s="16" t="n"/>
      <c r="C4108" s="90" t="n"/>
      <c r="D4108" s="90" t="n"/>
      <c r="E4108" s="90" t="n"/>
      <c r="F4108" s="16" t="n"/>
      <c r="G4108" s="16" t="n"/>
      <c r="H4108" s="63" t="n"/>
      <c r="I4108" s="64" t="n"/>
      <c r="J4108" s="16" t="n"/>
      <c r="K4108" s="16" t="n"/>
      <c r="M4108" s="89" t="n"/>
      <c r="N4108" s="1" t="n"/>
      <c r="O4108" s="1" t="n"/>
      <c r="P4108" s="1" t="n"/>
      <c r="Q4108" s="1" t="n"/>
      <c r="R4108" s="1" t="n"/>
    </row>
    <row r="4109">
      <c r="A4109" s="61" t="n"/>
      <c r="B4109" s="16" t="n"/>
      <c r="C4109" s="90" t="n"/>
      <c r="D4109" s="90" t="n"/>
      <c r="E4109" s="90" t="n"/>
      <c r="F4109" s="16" t="n"/>
      <c r="G4109" s="16" t="n"/>
      <c r="H4109" s="63" t="n"/>
      <c r="I4109" s="64" t="n"/>
      <c r="J4109" s="16" t="n"/>
      <c r="K4109" s="16" t="n"/>
      <c r="M4109" s="89" t="n"/>
      <c r="N4109" s="1" t="n"/>
      <c r="O4109" s="1" t="n"/>
      <c r="P4109" s="1" t="n"/>
      <c r="Q4109" s="1" t="n"/>
      <c r="R4109" s="1" t="n"/>
    </row>
    <row r="4110">
      <c r="A4110" s="61" t="n"/>
      <c r="B4110" s="16" t="n"/>
      <c r="C4110" s="90" t="n"/>
      <c r="D4110" s="90" t="n"/>
      <c r="E4110" s="90" t="n"/>
      <c r="F4110" s="16" t="n"/>
      <c r="G4110" s="16" t="n"/>
      <c r="H4110" s="63" t="n"/>
      <c r="I4110" s="64" t="n"/>
      <c r="J4110" s="16" t="n"/>
      <c r="K4110" s="16" t="n"/>
      <c r="M4110" s="89" t="n"/>
      <c r="N4110" s="1" t="n"/>
      <c r="O4110" s="1" t="n"/>
      <c r="P4110" s="1" t="n"/>
      <c r="Q4110" s="1" t="n"/>
      <c r="R4110" s="1" t="n"/>
    </row>
    <row r="4111">
      <c r="A4111" s="61" t="n"/>
      <c r="B4111" s="16" t="n"/>
      <c r="C4111" s="90" t="n"/>
      <c r="D4111" s="90" t="n"/>
      <c r="E4111" s="90" t="n"/>
      <c r="F4111" s="16" t="n"/>
      <c r="G4111" s="16" t="n"/>
      <c r="H4111" s="63" t="n"/>
      <c r="I4111" s="64" t="n"/>
      <c r="J4111" s="16" t="n"/>
      <c r="K4111" s="16" t="n"/>
      <c r="M4111" s="89" t="n"/>
      <c r="N4111" s="1" t="n"/>
      <c r="O4111" s="1" t="n"/>
      <c r="P4111" s="1" t="n"/>
      <c r="Q4111" s="1" t="n"/>
      <c r="R4111" s="1" t="n"/>
    </row>
    <row r="4112">
      <c r="A4112" s="61" t="n"/>
      <c r="B4112" s="16" t="n"/>
      <c r="C4112" s="90" t="n"/>
      <c r="D4112" s="90" t="n"/>
      <c r="E4112" s="90" t="n"/>
      <c r="F4112" s="16" t="n"/>
      <c r="G4112" s="16" t="n"/>
      <c r="H4112" s="63" t="n"/>
      <c r="I4112" s="64" t="n"/>
      <c r="J4112" s="16" t="n"/>
      <c r="K4112" s="16" t="n"/>
      <c r="M4112" s="89" t="n"/>
      <c r="N4112" s="1" t="n"/>
      <c r="O4112" s="1" t="n"/>
      <c r="P4112" s="1" t="n"/>
      <c r="Q4112" s="1" t="n"/>
      <c r="R4112" s="1" t="n"/>
    </row>
    <row r="4113">
      <c r="A4113" s="61" t="n"/>
      <c r="B4113" s="16" t="n"/>
      <c r="C4113" s="90" t="n"/>
      <c r="D4113" s="90" t="n"/>
      <c r="E4113" s="90" t="n"/>
      <c r="F4113" s="16" t="n"/>
      <c r="G4113" s="16" t="n"/>
      <c r="H4113" s="63" t="n"/>
      <c r="I4113" s="64" t="n"/>
      <c r="J4113" s="16" t="n"/>
      <c r="K4113" s="16" t="n"/>
      <c r="M4113" s="89" t="n"/>
      <c r="N4113" s="1" t="n"/>
      <c r="O4113" s="1" t="n"/>
      <c r="P4113" s="1" t="n"/>
      <c r="Q4113" s="1" t="n"/>
      <c r="R4113" s="1" t="n"/>
    </row>
    <row r="4114">
      <c r="A4114" s="61" t="n"/>
      <c r="B4114" s="16" t="n"/>
      <c r="C4114" s="90" t="n"/>
      <c r="D4114" s="90" t="n"/>
      <c r="E4114" s="90" t="n"/>
      <c r="F4114" s="16" t="n"/>
      <c r="G4114" s="16" t="n"/>
      <c r="H4114" s="63" t="n"/>
      <c r="I4114" s="64" t="n"/>
      <c r="J4114" s="16" t="n"/>
      <c r="K4114" s="16" t="n"/>
      <c r="M4114" s="89" t="n"/>
      <c r="N4114" s="1" t="n"/>
      <c r="O4114" s="1" t="n"/>
      <c r="P4114" s="1" t="n"/>
      <c r="Q4114" s="1" t="n"/>
      <c r="R4114" s="1" t="n"/>
    </row>
    <row r="4115">
      <c r="A4115" s="61" t="n"/>
      <c r="B4115" s="16" t="n"/>
      <c r="C4115" s="90" t="n"/>
      <c r="D4115" s="90" t="n"/>
      <c r="E4115" s="90" t="n"/>
      <c r="F4115" s="16" t="n"/>
      <c r="G4115" s="16" t="n"/>
      <c r="H4115" s="63" t="n"/>
      <c r="I4115" s="64" t="n"/>
      <c r="J4115" s="16" t="n"/>
      <c r="K4115" s="16" t="n"/>
      <c r="M4115" s="89" t="n"/>
      <c r="N4115" s="1" t="n"/>
      <c r="O4115" s="1" t="n"/>
      <c r="P4115" s="1" t="n"/>
      <c r="Q4115" s="1" t="n"/>
      <c r="R4115" s="1" t="n"/>
    </row>
    <row r="4116">
      <c r="A4116" s="61" t="n"/>
      <c r="B4116" s="16" t="n"/>
      <c r="C4116" s="90" t="n"/>
      <c r="D4116" s="90" t="n"/>
      <c r="E4116" s="90" t="n"/>
      <c r="F4116" s="16" t="n"/>
      <c r="G4116" s="16" t="n"/>
      <c r="H4116" s="63" t="n"/>
      <c r="I4116" s="64" t="n"/>
      <c r="J4116" s="16" t="n"/>
      <c r="K4116" s="16" t="n"/>
      <c r="M4116" s="89" t="n"/>
      <c r="N4116" s="1" t="n"/>
      <c r="O4116" s="1" t="n"/>
      <c r="P4116" s="1" t="n"/>
      <c r="Q4116" s="1" t="n"/>
      <c r="R4116" s="1" t="n"/>
    </row>
    <row r="4117">
      <c r="A4117" s="61" t="n"/>
      <c r="B4117" s="16" t="n"/>
      <c r="C4117" s="90" t="n"/>
      <c r="D4117" s="90" t="n"/>
      <c r="E4117" s="90" t="n"/>
      <c r="F4117" s="16" t="n"/>
      <c r="G4117" s="16" t="n"/>
      <c r="H4117" s="63" t="n"/>
      <c r="I4117" s="64" t="n"/>
      <c r="J4117" s="16" t="n"/>
      <c r="K4117" s="16" t="n"/>
      <c r="M4117" s="89" t="n"/>
      <c r="N4117" s="1" t="n"/>
      <c r="O4117" s="1" t="n"/>
      <c r="P4117" s="1" t="n"/>
      <c r="Q4117" s="1" t="n"/>
      <c r="R4117" s="1" t="n"/>
    </row>
    <row r="4118">
      <c r="A4118" s="61" t="n"/>
      <c r="B4118" s="16" t="n"/>
      <c r="C4118" s="90" t="n"/>
      <c r="D4118" s="90" t="n"/>
      <c r="E4118" s="90" t="n"/>
      <c r="F4118" s="16" t="n"/>
      <c r="G4118" s="16" t="n"/>
      <c r="H4118" s="63" t="n"/>
      <c r="I4118" s="64" t="n"/>
      <c r="J4118" s="16" t="n"/>
      <c r="K4118" s="16" t="n"/>
      <c r="M4118" s="89" t="n"/>
      <c r="N4118" s="1" t="n"/>
      <c r="O4118" s="1" t="n"/>
      <c r="P4118" s="1" t="n"/>
      <c r="Q4118" s="1" t="n"/>
      <c r="R4118" s="1" t="n"/>
    </row>
    <row r="4119">
      <c r="A4119" s="61" t="n"/>
      <c r="B4119" s="16" t="n"/>
      <c r="C4119" s="90" t="n"/>
      <c r="D4119" s="90" t="n"/>
      <c r="E4119" s="90" t="n"/>
      <c r="F4119" s="16" t="n"/>
      <c r="G4119" s="16" t="n"/>
      <c r="H4119" s="63" t="n"/>
      <c r="I4119" s="64" t="n"/>
      <c r="J4119" s="16" t="n"/>
      <c r="K4119" s="16" t="n"/>
      <c r="M4119" s="89" t="n"/>
      <c r="N4119" s="1" t="n"/>
      <c r="O4119" s="1" t="n"/>
      <c r="P4119" s="1" t="n"/>
      <c r="Q4119" s="1" t="n"/>
      <c r="R4119" s="1" t="n"/>
    </row>
    <row r="4120">
      <c r="A4120" s="61" t="n"/>
      <c r="B4120" s="16" t="n"/>
      <c r="C4120" s="90" t="n"/>
      <c r="D4120" s="90" t="n"/>
      <c r="E4120" s="90" t="n"/>
      <c r="F4120" s="16" t="n"/>
      <c r="G4120" s="16" t="n"/>
      <c r="H4120" s="63" t="n"/>
      <c r="I4120" s="64" t="n"/>
      <c r="J4120" s="16" t="n"/>
      <c r="K4120" s="16" t="n"/>
      <c r="M4120" s="89" t="n"/>
      <c r="N4120" s="1" t="n"/>
      <c r="O4120" s="1" t="n"/>
      <c r="P4120" s="1" t="n"/>
      <c r="Q4120" s="1" t="n"/>
      <c r="R4120" s="1" t="n"/>
    </row>
    <row r="4121">
      <c r="A4121" s="61" t="n"/>
      <c r="B4121" s="16" t="n"/>
      <c r="C4121" s="90" t="n"/>
      <c r="D4121" s="90" t="n"/>
      <c r="E4121" s="90" t="n"/>
      <c r="F4121" s="16" t="n"/>
      <c r="G4121" s="16" t="n"/>
      <c r="H4121" s="63" t="n"/>
      <c r="I4121" s="64" t="n"/>
      <c r="J4121" s="16" t="n"/>
      <c r="K4121" s="16" t="n"/>
      <c r="M4121" s="89" t="n"/>
      <c r="N4121" s="1" t="n"/>
      <c r="O4121" s="1" t="n"/>
      <c r="P4121" s="1" t="n"/>
      <c r="Q4121" s="1" t="n"/>
      <c r="R4121" s="1" t="n"/>
    </row>
    <row r="4122">
      <c r="A4122" s="61" t="n"/>
      <c r="B4122" s="16" t="n"/>
      <c r="C4122" s="90" t="n"/>
      <c r="D4122" s="90" t="n"/>
      <c r="E4122" s="90" t="n"/>
      <c r="F4122" s="16" t="n"/>
      <c r="G4122" s="16" t="n"/>
      <c r="H4122" s="63" t="n"/>
      <c r="I4122" s="64" t="n"/>
      <c r="J4122" s="16" t="n"/>
      <c r="K4122" s="16" t="n"/>
      <c r="M4122" s="89" t="n"/>
      <c r="N4122" s="1" t="n"/>
      <c r="O4122" s="1" t="n"/>
      <c r="P4122" s="1" t="n"/>
      <c r="Q4122" s="1" t="n"/>
      <c r="R4122" s="1" t="n"/>
    </row>
    <row r="4123">
      <c r="A4123" s="61" t="n"/>
      <c r="B4123" s="16" t="n"/>
      <c r="C4123" s="90" t="n"/>
      <c r="D4123" s="90" t="n"/>
      <c r="E4123" s="90" t="n"/>
      <c r="F4123" s="16" t="n"/>
      <c r="G4123" s="16" t="n"/>
      <c r="H4123" s="63" t="n"/>
      <c r="I4123" s="64" t="n"/>
      <c r="J4123" s="16" t="n"/>
      <c r="K4123" s="16" t="n"/>
      <c r="M4123" s="89" t="n"/>
      <c r="N4123" s="1" t="n"/>
      <c r="O4123" s="1" t="n"/>
      <c r="P4123" s="1" t="n"/>
      <c r="Q4123" s="1" t="n"/>
      <c r="R4123" s="1" t="n"/>
    </row>
    <row r="4124">
      <c r="A4124" s="61" t="n"/>
      <c r="B4124" s="16" t="n"/>
      <c r="C4124" s="90" t="n"/>
      <c r="D4124" s="90" t="n"/>
      <c r="E4124" s="90" t="n"/>
      <c r="F4124" s="16" t="n"/>
      <c r="G4124" s="16" t="n"/>
      <c r="H4124" s="63" t="n"/>
      <c r="I4124" s="64" t="n"/>
      <c r="J4124" s="16" t="n"/>
      <c r="K4124" s="16" t="n"/>
      <c r="M4124" s="89" t="n"/>
      <c r="N4124" s="1" t="n"/>
      <c r="O4124" s="1" t="n"/>
      <c r="P4124" s="1" t="n"/>
      <c r="Q4124" s="1" t="n"/>
      <c r="R4124" s="1" t="n"/>
    </row>
    <row r="4125">
      <c r="A4125" s="61" t="n"/>
      <c r="B4125" s="16" t="n"/>
      <c r="C4125" s="90" t="n"/>
      <c r="D4125" s="90" t="n"/>
      <c r="E4125" s="90" t="n"/>
      <c r="F4125" s="16" t="n"/>
      <c r="G4125" s="16" t="n"/>
      <c r="H4125" s="63" t="n"/>
      <c r="I4125" s="64" t="n"/>
      <c r="J4125" s="16" t="n"/>
      <c r="K4125" s="16" t="n"/>
      <c r="M4125" s="89" t="n"/>
      <c r="N4125" s="1" t="n"/>
      <c r="O4125" s="1" t="n"/>
      <c r="P4125" s="1" t="n"/>
      <c r="Q4125" s="1" t="n"/>
      <c r="R4125" s="1" t="n"/>
    </row>
    <row r="4126">
      <c r="A4126" s="61" t="n"/>
      <c r="B4126" s="16" t="n"/>
      <c r="C4126" s="90" t="n"/>
      <c r="D4126" s="90" t="n"/>
      <c r="E4126" s="90" t="n"/>
      <c r="F4126" s="16" t="n"/>
      <c r="G4126" s="16" t="n"/>
      <c r="H4126" s="63" t="n"/>
      <c r="I4126" s="64" t="n"/>
      <c r="J4126" s="16" t="n"/>
      <c r="K4126" s="16" t="n"/>
      <c r="M4126" s="89" t="n"/>
      <c r="N4126" s="1" t="n"/>
      <c r="O4126" s="1" t="n"/>
      <c r="P4126" s="1" t="n"/>
      <c r="Q4126" s="1" t="n"/>
      <c r="R4126" s="1" t="n"/>
    </row>
    <row r="4127">
      <c r="A4127" s="61" t="n"/>
      <c r="B4127" s="16" t="n"/>
      <c r="C4127" s="90" t="n"/>
      <c r="D4127" s="90" t="n"/>
      <c r="E4127" s="90" t="n"/>
      <c r="F4127" s="16" t="n"/>
      <c r="G4127" s="16" t="n"/>
      <c r="H4127" s="63" t="n"/>
      <c r="I4127" s="64" t="n"/>
      <c r="J4127" s="16" t="n"/>
      <c r="K4127" s="16" t="n"/>
      <c r="M4127" s="89" t="n"/>
      <c r="N4127" s="1" t="n"/>
      <c r="O4127" s="1" t="n"/>
      <c r="P4127" s="1" t="n"/>
      <c r="Q4127" s="1" t="n"/>
      <c r="R4127" s="1" t="n"/>
    </row>
    <row r="4128">
      <c r="A4128" s="61" t="n"/>
      <c r="B4128" s="16" t="n"/>
      <c r="C4128" s="90" t="n"/>
      <c r="D4128" s="90" t="n"/>
      <c r="E4128" s="90" t="n"/>
      <c r="F4128" s="16" t="n"/>
      <c r="G4128" s="16" t="n"/>
      <c r="H4128" s="63" t="n"/>
      <c r="I4128" s="64" t="n"/>
      <c r="J4128" s="16" t="n"/>
      <c r="K4128" s="16" t="n"/>
      <c r="M4128" s="89" t="n"/>
      <c r="N4128" s="1" t="n"/>
      <c r="O4128" s="1" t="n"/>
      <c r="P4128" s="1" t="n"/>
      <c r="Q4128" s="1" t="n"/>
      <c r="R4128" s="1" t="n"/>
    </row>
    <row r="4129">
      <c r="A4129" s="61" t="n"/>
      <c r="B4129" s="16" t="n"/>
      <c r="C4129" s="90" t="n"/>
      <c r="D4129" s="90" t="n"/>
      <c r="E4129" s="90" t="n"/>
      <c r="F4129" s="16" t="n"/>
      <c r="G4129" s="16" t="n"/>
      <c r="H4129" s="63" t="n"/>
      <c r="I4129" s="64" t="n"/>
      <c r="J4129" s="16" t="n"/>
      <c r="K4129" s="16" t="n"/>
      <c r="M4129" s="89" t="n"/>
      <c r="N4129" s="1" t="n"/>
      <c r="O4129" s="1" t="n"/>
      <c r="P4129" s="1" t="n"/>
      <c r="Q4129" s="1" t="n"/>
      <c r="R4129" s="1" t="n"/>
    </row>
    <row r="4130">
      <c r="A4130" s="61" t="n"/>
      <c r="B4130" s="16" t="n"/>
      <c r="C4130" s="90" t="n"/>
      <c r="D4130" s="90" t="n"/>
      <c r="E4130" s="90" t="n"/>
      <c r="F4130" s="16" t="n"/>
      <c r="G4130" s="16" t="n"/>
      <c r="H4130" s="63" t="n"/>
      <c r="I4130" s="64" t="n"/>
      <c r="J4130" s="16" t="n"/>
      <c r="K4130" s="16" t="n"/>
      <c r="M4130" s="89" t="n"/>
      <c r="N4130" s="1" t="n"/>
      <c r="O4130" s="1" t="n"/>
      <c r="P4130" s="1" t="n"/>
      <c r="Q4130" s="1" t="n"/>
      <c r="R4130" s="1" t="n"/>
    </row>
    <row r="4131">
      <c r="A4131" s="61" t="n"/>
      <c r="B4131" s="16" t="n"/>
      <c r="C4131" s="90" t="n"/>
      <c r="D4131" s="90" t="n"/>
      <c r="E4131" s="90" t="n"/>
      <c r="F4131" s="16" t="n"/>
      <c r="G4131" s="16" t="n"/>
      <c r="H4131" s="63" t="n"/>
      <c r="I4131" s="64" t="n"/>
      <c r="J4131" s="16" t="n"/>
      <c r="K4131" s="16" t="n"/>
      <c r="M4131" s="89" t="n"/>
      <c r="N4131" s="1" t="n"/>
      <c r="O4131" s="1" t="n"/>
      <c r="P4131" s="1" t="n"/>
      <c r="Q4131" s="1" t="n"/>
      <c r="R4131" s="1" t="n"/>
    </row>
    <row r="4132">
      <c r="A4132" s="61" t="n"/>
      <c r="B4132" s="16" t="n"/>
      <c r="C4132" s="90" t="n"/>
      <c r="D4132" s="90" t="n"/>
      <c r="E4132" s="90" t="n"/>
      <c r="F4132" s="16" t="n"/>
      <c r="G4132" s="16" t="n"/>
      <c r="H4132" s="63" t="n"/>
      <c r="I4132" s="64" t="n"/>
      <c r="J4132" s="16" t="n"/>
      <c r="K4132" s="16" t="n"/>
      <c r="M4132" s="89" t="n"/>
      <c r="N4132" s="1" t="n"/>
      <c r="O4132" s="1" t="n"/>
      <c r="P4132" s="1" t="n"/>
      <c r="Q4132" s="1" t="n"/>
      <c r="R4132" s="1" t="n"/>
    </row>
    <row r="4133">
      <c r="A4133" s="61" t="n"/>
      <c r="B4133" s="16" t="n"/>
      <c r="C4133" s="90" t="n"/>
      <c r="D4133" s="90" t="n"/>
      <c r="E4133" s="90" t="n"/>
      <c r="F4133" s="16" t="n"/>
      <c r="G4133" s="16" t="n"/>
      <c r="H4133" s="63" t="n"/>
      <c r="I4133" s="64" t="n"/>
      <c r="J4133" s="16" t="n"/>
      <c r="K4133" s="16" t="n"/>
      <c r="M4133" s="89" t="n"/>
      <c r="N4133" s="1" t="n"/>
      <c r="O4133" s="1" t="n"/>
      <c r="P4133" s="1" t="n"/>
      <c r="Q4133" s="1" t="n"/>
      <c r="R4133" s="1" t="n"/>
    </row>
    <row r="4134">
      <c r="A4134" s="61" t="n"/>
      <c r="B4134" s="16" t="n"/>
      <c r="C4134" s="90" t="n"/>
      <c r="D4134" s="90" t="n"/>
      <c r="E4134" s="90" t="n"/>
      <c r="F4134" s="16" t="n"/>
      <c r="G4134" s="16" t="n"/>
      <c r="H4134" s="63" t="n"/>
      <c r="I4134" s="64" t="n"/>
      <c r="J4134" s="16" t="n"/>
      <c r="K4134" s="16" t="n"/>
      <c r="M4134" s="89" t="n"/>
      <c r="N4134" s="1" t="n"/>
      <c r="O4134" s="1" t="n"/>
      <c r="P4134" s="1" t="n"/>
      <c r="Q4134" s="1" t="n"/>
      <c r="R4134" s="1" t="n"/>
    </row>
    <row r="4135">
      <c r="A4135" s="61" t="n"/>
      <c r="B4135" s="16" t="n"/>
      <c r="C4135" s="90" t="n"/>
      <c r="D4135" s="90" t="n"/>
      <c r="E4135" s="90" t="n"/>
      <c r="F4135" s="16" t="n"/>
      <c r="G4135" s="16" t="n"/>
      <c r="H4135" s="63" t="n"/>
      <c r="I4135" s="64" t="n"/>
      <c r="J4135" s="16" t="n"/>
      <c r="K4135" s="16" t="n"/>
      <c r="M4135" s="89" t="n"/>
      <c r="N4135" s="1" t="n"/>
      <c r="O4135" s="1" t="n"/>
      <c r="P4135" s="1" t="n"/>
      <c r="Q4135" s="1" t="n"/>
      <c r="R4135" s="1" t="n"/>
    </row>
    <row r="4136">
      <c r="A4136" s="61" t="n"/>
      <c r="B4136" s="16" t="n"/>
      <c r="C4136" s="90" t="n"/>
      <c r="D4136" s="90" t="n"/>
      <c r="E4136" s="90" t="n"/>
      <c r="F4136" s="16" t="n"/>
      <c r="G4136" s="16" t="n"/>
      <c r="H4136" s="63" t="n"/>
      <c r="I4136" s="64" t="n"/>
      <c r="J4136" s="16" t="n"/>
      <c r="K4136" s="16" t="n"/>
      <c r="M4136" s="89" t="n"/>
      <c r="N4136" s="1" t="n"/>
      <c r="O4136" s="1" t="n"/>
      <c r="P4136" s="1" t="n"/>
      <c r="Q4136" s="1" t="n"/>
      <c r="R4136" s="1" t="n"/>
    </row>
    <row r="4137">
      <c r="A4137" s="61" t="n"/>
      <c r="B4137" s="16" t="n"/>
      <c r="C4137" s="90" t="n"/>
      <c r="D4137" s="90" t="n"/>
      <c r="E4137" s="90" t="n"/>
      <c r="F4137" s="16" t="n"/>
      <c r="G4137" s="16" t="n"/>
      <c r="H4137" s="63" t="n"/>
      <c r="I4137" s="64" t="n"/>
      <c r="J4137" s="16" t="n"/>
      <c r="K4137" s="16" t="n"/>
      <c r="M4137" s="89" t="n"/>
      <c r="N4137" s="1" t="n"/>
      <c r="O4137" s="1" t="n"/>
      <c r="P4137" s="1" t="n"/>
      <c r="Q4137" s="1" t="n"/>
      <c r="R4137" s="1" t="n"/>
    </row>
    <row r="4138">
      <c r="A4138" s="61" t="n"/>
      <c r="B4138" s="16" t="n"/>
      <c r="C4138" s="90" t="n"/>
      <c r="D4138" s="90" t="n"/>
      <c r="E4138" s="90" t="n"/>
      <c r="F4138" s="16" t="n"/>
      <c r="G4138" s="16" t="n"/>
      <c r="H4138" s="63" t="n"/>
      <c r="I4138" s="64" t="n"/>
      <c r="J4138" s="16" t="n"/>
      <c r="K4138" s="16" t="n"/>
      <c r="M4138" s="89" t="n"/>
      <c r="N4138" s="1" t="n"/>
      <c r="O4138" s="1" t="n"/>
      <c r="P4138" s="1" t="n"/>
      <c r="Q4138" s="1" t="n"/>
      <c r="R4138" s="1" t="n"/>
    </row>
    <row r="4139">
      <c r="A4139" s="61" t="n"/>
      <c r="B4139" s="16" t="n"/>
      <c r="C4139" s="90" t="n"/>
      <c r="D4139" s="90" t="n"/>
      <c r="E4139" s="90" t="n"/>
      <c r="F4139" s="16" t="n"/>
      <c r="G4139" s="16" t="n"/>
      <c r="H4139" s="63" t="n"/>
      <c r="I4139" s="64" t="n"/>
      <c r="J4139" s="16" t="n"/>
      <c r="K4139" s="16" t="n"/>
      <c r="M4139" s="89" t="n"/>
      <c r="N4139" s="1" t="n"/>
      <c r="O4139" s="1" t="n"/>
      <c r="P4139" s="1" t="n"/>
      <c r="Q4139" s="1" t="n"/>
      <c r="R4139" s="1" t="n"/>
    </row>
    <row r="4140">
      <c r="A4140" s="61" t="n"/>
      <c r="B4140" s="16" t="n"/>
      <c r="C4140" s="90" t="n"/>
      <c r="D4140" s="90" t="n"/>
      <c r="E4140" s="90" t="n"/>
      <c r="F4140" s="16" t="n"/>
      <c r="G4140" s="16" t="n"/>
      <c r="H4140" s="63" t="n"/>
      <c r="I4140" s="64" t="n"/>
      <c r="J4140" s="16" t="n"/>
      <c r="K4140" s="16" t="n"/>
      <c r="M4140" s="89" t="n"/>
      <c r="N4140" s="1" t="n"/>
      <c r="O4140" s="1" t="n"/>
      <c r="P4140" s="1" t="n"/>
      <c r="Q4140" s="1" t="n"/>
      <c r="R4140" s="1" t="n"/>
    </row>
    <row r="4141">
      <c r="A4141" s="61" t="n"/>
      <c r="B4141" s="16" t="n"/>
      <c r="C4141" s="90" t="n"/>
      <c r="D4141" s="90" t="n"/>
      <c r="E4141" s="90" t="n"/>
      <c r="F4141" s="16" t="n"/>
      <c r="G4141" s="16" t="n"/>
      <c r="H4141" s="63" t="n"/>
      <c r="I4141" s="64" t="n"/>
      <c r="J4141" s="16" t="n"/>
      <c r="K4141" s="16" t="n"/>
      <c r="M4141" s="89" t="n"/>
      <c r="N4141" s="1" t="n"/>
      <c r="O4141" s="1" t="n"/>
      <c r="P4141" s="1" t="n"/>
      <c r="Q4141" s="1" t="n"/>
      <c r="R4141" s="1" t="n"/>
    </row>
    <row r="4142">
      <c r="A4142" s="61" t="n"/>
      <c r="B4142" s="16" t="n"/>
      <c r="C4142" s="90" t="n"/>
      <c r="D4142" s="90" t="n"/>
      <c r="E4142" s="90" t="n"/>
      <c r="F4142" s="16" t="n"/>
      <c r="G4142" s="16" t="n"/>
      <c r="H4142" s="63" t="n"/>
      <c r="I4142" s="64" t="n"/>
      <c r="J4142" s="16" t="n"/>
      <c r="K4142" s="16" t="n"/>
      <c r="M4142" s="89" t="n"/>
      <c r="N4142" s="1" t="n"/>
      <c r="O4142" s="1" t="n"/>
      <c r="P4142" s="1" t="n"/>
      <c r="Q4142" s="1" t="n"/>
      <c r="R4142" s="1" t="n"/>
    </row>
    <row r="4143">
      <c r="A4143" s="61" t="n"/>
      <c r="B4143" s="16" t="n"/>
      <c r="C4143" s="90" t="n"/>
      <c r="D4143" s="90" t="n"/>
      <c r="E4143" s="90" t="n"/>
      <c r="F4143" s="16" t="n"/>
      <c r="G4143" s="16" t="n"/>
      <c r="H4143" s="63" t="n"/>
      <c r="I4143" s="64" t="n"/>
      <c r="J4143" s="16" t="n"/>
      <c r="K4143" s="16" t="n"/>
      <c r="M4143" s="89" t="n"/>
      <c r="N4143" s="1" t="n"/>
      <c r="O4143" s="1" t="n"/>
      <c r="P4143" s="1" t="n"/>
      <c r="Q4143" s="1" t="n"/>
      <c r="R4143" s="1" t="n"/>
    </row>
    <row r="4144">
      <c r="A4144" s="61" t="n"/>
      <c r="B4144" s="16" t="n"/>
      <c r="C4144" s="90" t="n"/>
      <c r="D4144" s="90" t="n"/>
      <c r="E4144" s="90" t="n"/>
      <c r="F4144" s="16" t="n"/>
      <c r="G4144" s="16" t="n"/>
      <c r="H4144" s="63" t="n"/>
      <c r="I4144" s="64" t="n"/>
      <c r="J4144" s="16" t="n"/>
      <c r="K4144" s="16" t="n"/>
      <c r="M4144" s="89" t="n"/>
      <c r="N4144" s="1" t="n"/>
      <c r="O4144" s="1" t="n"/>
      <c r="P4144" s="1" t="n"/>
      <c r="Q4144" s="1" t="n"/>
      <c r="R4144" s="1" t="n"/>
    </row>
    <row r="4145">
      <c r="A4145" s="61" t="n"/>
      <c r="B4145" s="16" t="n"/>
      <c r="C4145" s="90" t="n"/>
      <c r="D4145" s="90" t="n"/>
      <c r="E4145" s="90" t="n"/>
      <c r="F4145" s="16" t="n"/>
      <c r="G4145" s="16" t="n"/>
      <c r="H4145" s="63" t="n"/>
      <c r="I4145" s="64" t="n"/>
      <c r="J4145" s="16" t="n"/>
      <c r="K4145" s="16" t="n"/>
      <c r="M4145" s="89" t="n"/>
      <c r="N4145" s="1" t="n"/>
      <c r="O4145" s="1" t="n"/>
      <c r="P4145" s="1" t="n"/>
      <c r="Q4145" s="1" t="n"/>
      <c r="R4145" s="1" t="n"/>
    </row>
    <row r="4146">
      <c r="A4146" s="61" t="n"/>
      <c r="B4146" s="16" t="n"/>
      <c r="C4146" s="90" t="n"/>
      <c r="D4146" s="90" t="n"/>
      <c r="E4146" s="90" t="n"/>
      <c r="F4146" s="16" t="n"/>
      <c r="G4146" s="16" t="n"/>
      <c r="H4146" s="63" t="n"/>
      <c r="I4146" s="64" t="n"/>
      <c r="J4146" s="16" t="n"/>
      <c r="K4146" s="16" t="n"/>
      <c r="M4146" s="89" t="n"/>
      <c r="N4146" s="1" t="n"/>
      <c r="O4146" s="1" t="n"/>
      <c r="P4146" s="1" t="n"/>
      <c r="Q4146" s="1" t="n"/>
      <c r="R4146" s="1" t="n"/>
    </row>
    <row r="4147">
      <c r="A4147" s="61" t="n"/>
      <c r="B4147" s="16" t="n"/>
      <c r="C4147" s="90" t="n"/>
      <c r="D4147" s="90" t="n"/>
      <c r="E4147" s="90" t="n"/>
      <c r="F4147" s="16" t="n"/>
      <c r="G4147" s="16" t="n"/>
      <c r="H4147" s="63" t="n"/>
      <c r="I4147" s="64" t="n"/>
      <c r="J4147" s="16" t="n"/>
      <c r="K4147" s="16" t="n"/>
      <c r="M4147" s="89" t="n"/>
      <c r="N4147" s="1" t="n"/>
      <c r="O4147" s="1" t="n"/>
      <c r="P4147" s="1" t="n"/>
      <c r="Q4147" s="1" t="n"/>
      <c r="R4147" s="1" t="n"/>
    </row>
    <row r="4148">
      <c r="A4148" s="61" t="n"/>
      <c r="B4148" s="16" t="n"/>
      <c r="C4148" s="90" t="n"/>
      <c r="D4148" s="90" t="n"/>
      <c r="E4148" s="90" t="n"/>
      <c r="F4148" s="16" t="n"/>
      <c r="G4148" s="16" t="n"/>
      <c r="H4148" s="63" t="n"/>
      <c r="I4148" s="64" t="n"/>
      <c r="J4148" s="16" t="n"/>
      <c r="K4148" s="16" t="n"/>
      <c r="M4148" s="89" t="n"/>
      <c r="N4148" s="1" t="n"/>
      <c r="O4148" s="1" t="n"/>
      <c r="P4148" s="1" t="n"/>
      <c r="Q4148" s="1" t="n"/>
      <c r="R4148" s="1" t="n"/>
    </row>
    <row r="4149">
      <c r="A4149" s="61" t="n"/>
      <c r="B4149" s="16" t="n"/>
      <c r="C4149" s="90" t="n"/>
      <c r="D4149" s="90" t="n"/>
      <c r="E4149" s="90" t="n"/>
      <c r="F4149" s="16" t="n"/>
      <c r="G4149" s="16" t="n"/>
      <c r="H4149" s="63" t="n"/>
      <c r="I4149" s="64" t="n"/>
      <c r="J4149" s="16" t="n"/>
      <c r="K4149" s="16" t="n"/>
      <c r="M4149" s="89" t="n"/>
      <c r="N4149" s="1" t="n"/>
      <c r="O4149" s="1" t="n"/>
      <c r="P4149" s="1" t="n"/>
      <c r="Q4149" s="1" t="n"/>
      <c r="R4149" s="1" t="n"/>
    </row>
    <row r="4150">
      <c r="A4150" s="61" t="n"/>
      <c r="B4150" s="16" t="n"/>
      <c r="C4150" s="90" t="n"/>
      <c r="D4150" s="90" t="n"/>
      <c r="E4150" s="90" t="n"/>
      <c r="F4150" s="16" t="n"/>
      <c r="G4150" s="16" t="n"/>
      <c r="H4150" s="63" t="n"/>
      <c r="I4150" s="64" t="n"/>
      <c r="J4150" s="16" t="n"/>
      <c r="K4150" s="16" t="n"/>
      <c r="M4150" s="89" t="n"/>
      <c r="N4150" s="1" t="n"/>
      <c r="O4150" s="1" t="n"/>
      <c r="P4150" s="1" t="n"/>
      <c r="Q4150" s="1" t="n"/>
      <c r="R4150" s="1" t="n"/>
    </row>
    <row r="4151">
      <c r="A4151" s="61" t="n"/>
      <c r="B4151" s="16" t="n"/>
      <c r="C4151" s="90" t="n"/>
      <c r="D4151" s="90" t="n"/>
      <c r="E4151" s="90" t="n"/>
      <c r="F4151" s="16" t="n"/>
      <c r="G4151" s="16" t="n"/>
      <c r="H4151" s="63" t="n"/>
      <c r="I4151" s="64" t="n"/>
      <c r="J4151" s="16" t="n"/>
      <c r="K4151" s="16" t="n"/>
      <c r="M4151" s="89" t="n"/>
      <c r="N4151" s="1" t="n"/>
      <c r="O4151" s="1" t="n"/>
      <c r="P4151" s="1" t="n"/>
      <c r="Q4151" s="1" t="n"/>
      <c r="R4151" s="1" t="n"/>
    </row>
    <row r="4152">
      <c r="A4152" s="61" t="n"/>
      <c r="B4152" s="16" t="n"/>
      <c r="C4152" s="90" t="n"/>
      <c r="D4152" s="90" t="n"/>
      <c r="E4152" s="90" t="n"/>
      <c r="F4152" s="16" t="n"/>
      <c r="G4152" s="16" t="n"/>
      <c r="H4152" s="63" t="n"/>
      <c r="I4152" s="64" t="n"/>
      <c r="J4152" s="16" t="n"/>
      <c r="K4152" s="16" t="n"/>
      <c r="M4152" s="89" t="n"/>
      <c r="N4152" s="1" t="n"/>
      <c r="O4152" s="1" t="n"/>
      <c r="P4152" s="1" t="n"/>
      <c r="Q4152" s="1" t="n"/>
      <c r="R4152" s="1" t="n"/>
    </row>
    <row r="4153">
      <c r="A4153" s="61" t="n"/>
      <c r="B4153" s="16" t="n"/>
      <c r="C4153" s="90" t="n"/>
      <c r="D4153" s="90" t="n"/>
      <c r="E4153" s="90" t="n"/>
      <c r="F4153" s="16" t="n"/>
      <c r="G4153" s="16" t="n"/>
      <c r="H4153" s="63" t="n"/>
      <c r="I4153" s="64" t="n"/>
      <c r="J4153" s="16" t="n"/>
      <c r="K4153" s="16" t="n"/>
      <c r="M4153" s="89" t="n"/>
      <c r="N4153" s="1" t="n"/>
      <c r="O4153" s="1" t="n"/>
      <c r="P4153" s="1" t="n"/>
      <c r="Q4153" s="1" t="n"/>
      <c r="R4153" s="1" t="n"/>
    </row>
    <row r="4154">
      <c r="A4154" s="61" t="n"/>
      <c r="B4154" s="16" t="n"/>
      <c r="C4154" s="90" t="n"/>
      <c r="D4154" s="90" t="n"/>
      <c r="E4154" s="90" t="n"/>
      <c r="F4154" s="16" t="n"/>
      <c r="G4154" s="16" t="n"/>
      <c r="H4154" s="63" t="n"/>
      <c r="I4154" s="64" t="n"/>
      <c r="J4154" s="16" t="n"/>
      <c r="K4154" s="16" t="n"/>
      <c r="M4154" s="89" t="n"/>
      <c r="N4154" s="1" t="n"/>
      <c r="O4154" s="1" t="n"/>
      <c r="P4154" s="1" t="n"/>
      <c r="Q4154" s="1" t="n"/>
      <c r="R4154" s="1" t="n"/>
    </row>
    <row r="4155">
      <c r="A4155" s="61" t="n"/>
      <c r="B4155" s="16" t="n"/>
      <c r="C4155" s="90" t="n"/>
      <c r="D4155" s="90" t="n"/>
      <c r="E4155" s="90" t="n"/>
      <c r="F4155" s="16" t="n"/>
      <c r="G4155" s="16" t="n"/>
      <c r="H4155" s="63" t="n"/>
      <c r="I4155" s="64" t="n"/>
      <c r="J4155" s="16" t="n"/>
      <c r="K4155" s="16" t="n"/>
      <c r="M4155" s="89" t="n"/>
      <c r="N4155" s="1" t="n"/>
      <c r="O4155" s="1" t="n"/>
      <c r="P4155" s="1" t="n"/>
      <c r="Q4155" s="1" t="n"/>
      <c r="R4155" s="1" t="n"/>
    </row>
    <row r="4156">
      <c r="A4156" s="61" t="n"/>
      <c r="B4156" s="16" t="n"/>
      <c r="C4156" s="90" t="n"/>
      <c r="D4156" s="90" t="n"/>
      <c r="E4156" s="90" t="n"/>
      <c r="F4156" s="16" t="n"/>
      <c r="G4156" s="16" t="n"/>
      <c r="H4156" s="63" t="n"/>
      <c r="I4156" s="64" t="n"/>
      <c r="J4156" s="16" t="n"/>
      <c r="K4156" s="16" t="n"/>
      <c r="M4156" s="89" t="n"/>
      <c r="N4156" s="1" t="n"/>
      <c r="O4156" s="1" t="n"/>
      <c r="P4156" s="1" t="n"/>
      <c r="Q4156" s="1" t="n"/>
      <c r="R4156" s="1" t="n"/>
    </row>
    <row r="4157">
      <c r="A4157" s="61" t="n"/>
      <c r="B4157" s="16" t="n"/>
      <c r="C4157" s="90" t="n"/>
      <c r="D4157" s="90" t="n"/>
      <c r="E4157" s="90" t="n"/>
      <c r="F4157" s="16" t="n"/>
      <c r="G4157" s="16" t="n"/>
      <c r="H4157" s="63" t="n"/>
      <c r="I4157" s="64" t="n"/>
      <c r="J4157" s="16" t="n"/>
      <c r="K4157" s="16" t="n"/>
      <c r="M4157" s="89" t="n"/>
      <c r="N4157" s="1" t="n"/>
      <c r="O4157" s="1" t="n"/>
      <c r="P4157" s="1" t="n"/>
      <c r="Q4157" s="1" t="n"/>
      <c r="R4157" s="1" t="n"/>
    </row>
    <row r="4158">
      <c r="A4158" s="61" t="n"/>
      <c r="B4158" s="16" t="n"/>
      <c r="C4158" s="90" t="n"/>
      <c r="D4158" s="90" t="n"/>
      <c r="E4158" s="90" t="n"/>
      <c r="F4158" s="16" t="n"/>
      <c r="G4158" s="16" t="n"/>
      <c r="H4158" s="63" t="n"/>
      <c r="I4158" s="64" t="n"/>
      <c r="J4158" s="16" t="n"/>
      <c r="K4158" s="16" t="n"/>
      <c r="M4158" s="89" t="n"/>
      <c r="N4158" s="1" t="n"/>
      <c r="O4158" s="1" t="n"/>
      <c r="P4158" s="1" t="n"/>
      <c r="Q4158" s="1" t="n"/>
      <c r="R4158" s="1" t="n"/>
    </row>
    <row r="4159">
      <c r="A4159" s="61" t="n"/>
      <c r="B4159" s="16" t="n"/>
      <c r="C4159" s="90" t="n"/>
      <c r="D4159" s="90" t="n"/>
      <c r="E4159" s="90" t="n"/>
      <c r="F4159" s="16" t="n"/>
      <c r="G4159" s="16" t="n"/>
      <c r="H4159" s="63" t="n"/>
      <c r="I4159" s="64" t="n"/>
      <c r="J4159" s="16" t="n"/>
      <c r="K4159" s="16" t="n"/>
      <c r="M4159" s="89" t="n"/>
      <c r="N4159" s="1" t="n"/>
      <c r="O4159" s="1" t="n"/>
      <c r="P4159" s="1" t="n"/>
      <c r="Q4159" s="1" t="n"/>
      <c r="R4159" s="1" t="n"/>
    </row>
    <row r="4160">
      <c r="A4160" s="61" t="n"/>
      <c r="B4160" s="16" t="n"/>
      <c r="C4160" s="90" t="n"/>
      <c r="D4160" s="90" t="n"/>
      <c r="E4160" s="90" t="n"/>
      <c r="F4160" s="16" t="n"/>
      <c r="G4160" s="16" t="n"/>
      <c r="H4160" s="63" t="n"/>
      <c r="I4160" s="64" t="n"/>
      <c r="J4160" s="16" t="n"/>
      <c r="K4160" s="16" t="n"/>
      <c r="M4160" s="89" t="n"/>
      <c r="N4160" s="1" t="n"/>
      <c r="O4160" s="1" t="n"/>
      <c r="P4160" s="1" t="n"/>
      <c r="Q4160" s="1" t="n"/>
      <c r="R4160" s="1" t="n"/>
    </row>
    <row r="4161">
      <c r="A4161" s="61" t="n"/>
      <c r="B4161" s="16" t="n"/>
      <c r="C4161" s="90" t="n"/>
      <c r="D4161" s="90" t="n"/>
      <c r="E4161" s="90" t="n"/>
      <c r="F4161" s="16" t="n"/>
      <c r="G4161" s="16" t="n"/>
      <c r="H4161" s="63" t="n"/>
      <c r="I4161" s="64" t="n"/>
      <c r="J4161" s="16" t="n"/>
      <c r="K4161" s="16" t="n"/>
      <c r="M4161" s="89" t="n"/>
      <c r="N4161" s="1" t="n"/>
      <c r="O4161" s="1" t="n"/>
      <c r="P4161" s="1" t="n"/>
      <c r="Q4161" s="1" t="n"/>
      <c r="R4161" s="1" t="n"/>
    </row>
    <row r="4162">
      <c r="A4162" s="61" t="n"/>
      <c r="B4162" s="16" t="n"/>
      <c r="C4162" s="90" t="n"/>
      <c r="D4162" s="90" t="n"/>
      <c r="E4162" s="90" t="n"/>
      <c r="F4162" s="16" t="n"/>
      <c r="G4162" s="16" t="n"/>
      <c r="H4162" s="63" t="n"/>
      <c r="I4162" s="64" t="n"/>
      <c r="J4162" s="16" t="n"/>
      <c r="K4162" s="16" t="n"/>
      <c r="M4162" s="89" t="n"/>
      <c r="N4162" s="1" t="n"/>
      <c r="O4162" s="1" t="n"/>
      <c r="P4162" s="1" t="n"/>
      <c r="Q4162" s="1" t="n"/>
      <c r="R4162" s="1" t="n"/>
    </row>
    <row r="4163">
      <c r="A4163" s="61" t="n"/>
      <c r="B4163" s="16" t="n"/>
      <c r="C4163" s="90" t="n"/>
      <c r="D4163" s="90" t="n"/>
      <c r="E4163" s="90" t="n"/>
      <c r="F4163" s="16" t="n"/>
      <c r="G4163" s="16" t="n"/>
      <c r="H4163" s="63" t="n"/>
      <c r="I4163" s="64" t="n"/>
      <c r="J4163" s="16" t="n"/>
      <c r="K4163" s="16" t="n"/>
      <c r="M4163" s="89" t="n"/>
      <c r="N4163" s="1" t="n"/>
      <c r="O4163" s="1" t="n"/>
      <c r="P4163" s="1" t="n"/>
      <c r="Q4163" s="1" t="n"/>
      <c r="R4163" s="1" t="n"/>
    </row>
    <row r="4164">
      <c r="A4164" s="61" t="n"/>
      <c r="B4164" s="16" t="n"/>
      <c r="C4164" s="90" t="n"/>
      <c r="D4164" s="90" t="n"/>
      <c r="E4164" s="90" t="n"/>
      <c r="F4164" s="16" t="n"/>
      <c r="G4164" s="16" t="n"/>
      <c r="H4164" s="63" t="n"/>
      <c r="I4164" s="64" t="n"/>
      <c r="J4164" s="16" t="n"/>
      <c r="K4164" s="16" t="n"/>
      <c r="M4164" s="89" t="n"/>
      <c r="N4164" s="1" t="n"/>
      <c r="O4164" s="1" t="n"/>
      <c r="P4164" s="1" t="n"/>
      <c r="Q4164" s="1" t="n"/>
      <c r="R4164" s="1" t="n"/>
    </row>
    <row r="4165">
      <c r="A4165" s="61" t="n"/>
      <c r="B4165" s="16" t="n"/>
      <c r="C4165" s="90" t="n"/>
      <c r="D4165" s="90" t="n"/>
      <c r="E4165" s="90" t="n"/>
      <c r="F4165" s="16" t="n"/>
      <c r="G4165" s="16" t="n"/>
      <c r="H4165" s="63" t="n"/>
      <c r="I4165" s="64" t="n"/>
      <c r="J4165" s="16" t="n"/>
      <c r="K4165" s="16" t="n"/>
      <c r="M4165" s="89" t="n"/>
      <c r="N4165" s="1" t="n"/>
      <c r="O4165" s="1" t="n"/>
      <c r="P4165" s="1" t="n"/>
      <c r="Q4165" s="1" t="n"/>
      <c r="R4165" s="1" t="n"/>
    </row>
    <row r="4166">
      <c r="A4166" s="61" t="n"/>
      <c r="B4166" s="16" t="n"/>
      <c r="C4166" s="90" t="n"/>
      <c r="D4166" s="90" t="n"/>
      <c r="E4166" s="90" t="n"/>
      <c r="F4166" s="16" t="n"/>
      <c r="G4166" s="16" t="n"/>
      <c r="H4166" s="63" t="n"/>
      <c r="I4166" s="64" t="n"/>
      <c r="J4166" s="16" t="n"/>
      <c r="K4166" s="16" t="n"/>
      <c r="M4166" s="89" t="n"/>
      <c r="N4166" s="1" t="n"/>
      <c r="O4166" s="1" t="n"/>
      <c r="P4166" s="1" t="n"/>
      <c r="Q4166" s="1" t="n"/>
      <c r="R4166" s="1" t="n"/>
    </row>
    <row r="4167">
      <c r="A4167" s="61" t="n"/>
      <c r="B4167" s="16" t="n"/>
      <c r="C4167" s="90" t="n"/>
      <c r="D4167" s="90" t="n"/>
      <c r="E4167" s="90" t="n"/>
      <c r="F4167" s="16" t="n"/>
      <c r="G4167" s="16" t="n"/>
      <c r="H4167" s="63" t="n"/>
      <c r="I4167" s="64" t="n"/>
      <c r="J4167" s="16" t="n"/>
      <c r="K4167" s="16" t="n"/>
      <c r="M4167" s="89" t="n"/>
      <c r="N4167" s="1" t="n"/>
      <c r="O4167" s="1" t="n"/>
      <c r="P4167" s="1" t="n"/>
      <c r="Q4167" s="1" t="n"/>
      <c r="R4167" s="1" t="n"/>
    </row>
    <row r="4168">
      <c r="A4168" s="61" t="n"/>
      <c r="B4168" s="16" t="n"/>
      <c r="C4168" s="90" t="n"/>
      <c r="D4168" s="90" t="n"/>
      <c r="E4168" s="90" t="n"/>
      <c r="F4168" s="16" t="n"/>
      <c r="G4168" s="16" t="n"/>
      <c r="H4168" s="63" t="n"/>
      <c r="I4168" s="64" t="n"/>
      <c r="J4168" s="16" t="n"/>
      <c r="K4168" s="16" t="n"/>
      <c r="M4168" s="89" t="n"/>
      <c r="N4168" s="1" t="n"/>
      <c r="O4168" s="1" t="n"/>
      <c r="P4168" s="1" t="n"/>
      <c r="Q4168" s="1" t="n"/>
      <c r="R4168" s="1" t="n"/>
    </row>
    <row r="4169">
      <c r="A4169" s="61" t="n"/>
      <c r="B4169" s="16" t="n"/>
      <c r="C4169" s="90" t="n"/>
      <c r="D4169" s="90" t="n"/>
      <c r="E4169" s="90" t="n"/>
      <c r="F4169" s="16" t="n"/>
      <c r="G4169" s="16" t="n"/>
      <c r="H4169" s="63" t="n"/>
      <c r="I4169" s="64" t="n"/>
      <c r="J4169" s="16" t="n"/>
      <c r="K4169" s="16" t="n"/>
      <c r="M4169" s="89" t="n"/>
      <c r="N4169" s="1" t="n"/>
      <c r="O4169" s="1" t="n"/>
      <c r="P4169" s="1" t="n"/>
      <c r="Q4169" s="1" t="n"/>
      <c r="R4169" s="1" t="n"/>
    </row>
    <row r="4170">
      <c r="A4170" s="61" t="n"/>
      <c r="B4170" s="16" t="n"/>
      <c r="C4170" s="90" t="n"/>
      <c r="D4170" s="90" t="n"/>
      <c r="E4170" s="90" t="n"/>
      <c r="F4170" s="16" t="n"/>
      <c r="G4170" s="16" t="n"/>
      <c r="H4170" s="63" t="n"/>
      <c r="I4170" s="64" t="n"/>
      <c r="J4170" s="16" t="n"/>
      <c r="K4170" s="16" t="n"/>
      <c r="M4170" s="89" t="n"/>
      <c r="N4170" s="1" t="n"/>
      <c r="O4170" s="1" t="n"/>
      <c r="P4170" s="1" t="n"/>
      <c r="Q4170" s="1" t="n"/>
      <c r="R4170" s="1" t="n"/>
    </row>
    <row r="4171">
      <c r="A4171" s="61" t="n"/>
      <c r="B4171" s="16" t="n"/>
      <c r="C4171" s="90" t="n"/>
      <c r="D4171" s="90" t="n"/>
      <c r="E4171" s="90" t="n"/>
      <c r="F4171" s="16" t="n"/>
      <c r="G4171" s="16" t="n"/>
      <c r="H4171" s="63" t="n"/>
      <c r="I4171" s="64" t="n"/>
      <c r="J4171" s="16" t="n"/>
      <c r="K4171" s="16" t="n"/>
      <c r="M4171" s="89" t="n"/>
      <c r="N4171" s="1" t="n"/>
      <c r="O4171" s="1" t="n"/>
      <c r="P4171" s="1" t="n"/>
      <c r="Q4171" s="1" t="n"/>
      <c r="R4171" s="1" t="n"/>
    </row>
    <row r="4172">
      <c r="A4172" s="61" t="n"/>
      <c r="B4172" s="16" t="n"/>
      <c r="C4172" s="90" t="n"/>
      <c r="D4172" s="90" t="n"/>
      <c r="E4172" s="90" t="n"/>
      <c r="F4172" s="16" t="n"/>
      <c r="G4172" s="16" t="n"/>
      <c r="H4172" s="63" t="n"/>
      <c r="I4172" s="64" t="n"/>
      <c r="J4172" s="16" t="n"/>
      <c r="K4172" s="16" t="n"/>
      <c r="M4172" s="89" t="n"/>
      <c r="N4172" s="1" t="n"/>
      <c r="O4172" s="1" t="n"/>
      <c r="P4172" s="1" t="n"/>
      <c r="Q4172" s="1" t="n"/>
      <c r="R4172" s="1" t="n"/>
    </row>
    <row r="4173">
      <c r="A4173" s="61" t="n"/>
      <c r="B4173" s="16" t="n"/>
      <c r="C4173" s="90" t="n"/>
      <c r="D4173" s="90" t="n"/>
      <c r="E4173" s="90" t="n"/>
      <c r="F4173" s="16" t="n"/>
      <c r="G4173" s="16" t="n"/>
      <c r="H4173" s="63" t="n"/>
      <c r="I4173" s="64" t="n"/>
      <c r="J4173" s="16" t="n"/>
      <c r="K4173" s="16" t="n"/>
      <c r="M4173" s="89" t="n"/>
      <c r="N4173" s="1" t="n"/>
      <c r="O4173" s="1" t="n"/>
      <c r="P4173" s="1" t="n"/>
      <c r="Q4173" s="1" t="n"/>
      <c r="R4173" s="1" t="n"/>
    </row>
    <row r="4174">
      <c r="A4174" s="61" t="n"/>
      <c r="B4174" s="16" t="n"/>
      <c r="C4174" s="90" t="n"/>
      <c r="D4174" s="90" t="n"/>
      <c r="E4174" s="90" t="n"/>
      <c r="F4174" s="16" t="n"/>
      <c r="G4174" s="16" t="n"/>
      <c r="H4174" s="63" t="n"/>
      <c r="I4174" s="64" t="n"/>
      <c r="J4174" s="16" t="n"/>
      <c r="K4174" s="16" t="n"/>
      <c r="M4174" s="89" t="n"/>
      <c r="N4174" s="1" t="n"/>
      <c r="O4174" s="1" t="n"/>
      <c r="P4174" s="1" t="n"/>
      <c r="Q4174" s="1" t="n"/>
      <c r="R4174" s="1" t="n"/>
    </row>
    <row r="4175">
      <c r="A4175" s="61" t="n"/>
      <c r="B4175" s="16" t="n"/>
      <c r="C4175" s="90" t="n"/>
      <c r="D4175" s="90" t="n"/>
      <c r="E4175" s="90" t="n"/>
      <c r="F4175" s="16" t="n"/>
      <c r="G4175" s="16" t="n"/>
      <c r="H4175" s="63" t="n"/>
      <c r="I4175" s="64" t="n"/>
      <c r="J4175" s="16" t="n"/>
      <c r="K4175" s="16" t="n"/>
      <c r="M4175" s="89" t="n"/>
      <c r="N4175" s="1" t="n"/>
      <c r="O4175" s="1" t="n"/>
      <c r="P4175" s="1" t="n"/>
      <c r="Q4175" s="1" t="n"/>
      <c r="R4175" s="1" t="n"/>
    </row>
    <row r="4176">
      <c r="A4176" s="61" t="n"/>
      <c r="B4176" s="16" t="n"/>
      <c r="C4176" s="90" t="n"/>
      <c r="D4176" s="90" t="n"/>
      <c r="E4176" s="90" t="n"/>
      <c r="F4176" s="16" t="n"/>
      <c r="G4176" s="16" t="n"/>
      <c r="H4176" s="63" t="n"/>
      <c r="I4176" s="64" t="n"/>
      <c r="J4176" s="16" t="n"/>
      <c r="K4176" s="16" t="n"/>
      <c r="M4176" s="89" t="n"/>
      <c r="N4176" s="1" t="n"/>
      <c r="O4176" s="1" t="n"/>
      <c r="P4176" s="1" t="n"/>
      <c r="Q4176" s="1" t="n"/>
      <c r="R4176" s="1" t="n"/>
    </row>
    <row r="4177">
      <c r="A4177" s="61" t="n"/>
      <c r="B4177" s="16" t="n"/>
      <c r="C4177" s="90" t="n"/>
      <c r="D4177" s="90" t="n"/>
      <c r="E4177" s="90" t="n"/>
      <c r="F4177" s="16" t="n"/>
      <c r="G4177" s="16" t="n"/>
      <c r="H4177" s="63" t="n"/>
      <c r="I4177" s="64" t="n"/>
      <c r="J4177" s="16" t="n"/>
      <c r="K4177" s="16" t="n"/>
      <c r="M4177" s="89" t="n"/>
      <c r="N4177" s="1" t="n"/>
      <c r="O4177" s="1" t="n"/>
      <c r="P4177" s="1" t="n"/>
      <c r="Q4177" s="1" t="n"/>
      <c r="R4177" s="1" t="n"/>
    </row>
    <row r="4178">
      <c r="A4178" s="61" t="n"/>
      <c r="B4178" s="16" t="n"/>
      <c r="C4178" s="90" t="n"/>
      <c r="D4178" s="90" t="n"/>
      <c r="E4178" s="90" t="n"/>
      <c r="F4178" s="16" t="n"/>
      <c r="G4178" s="16" t="n"/>
      <c r="H4178" s="63" t="n"/>
      <c r="I4178" s="64" t="n"/>
      <c r="J4178" s="16" t="n"/>
      <c r="K4178" s="16" t="n"/>
      <c r="M4178" s="89" t="n"/>
      <c r="N4178" s="1" t="n"/>
      <c r="O4178" s="1" t="n"/>
      <c r="P4178" s="1" t="n"/>
      <c r="Q4178" s="1" t="n"/>
      <c r="R4178" s="1" t="n"/>
    </row>
    <row r="4179">
      <c r="A4179" s="61" t="n"/>
      <c r="B4179" s="16" t="n"/>
      <c r="C4179" s="90" t="n"/>
      <c r="D4179" s="90" t="n"/>
      <c r="E4179" s="90" t="n"/>
      <c r="F4179" s="16" t="n"/>
      <c r="G4179" s="16" t="n"/>
      <c r="H4179" s="63" t="n"/>
      <c r="I4179" s="64" t="n"/>
      <c r="J4179" s="16" t="n"/>
      <c r="K4179" s="16" t="n"/>
      <c r="M4179" s="89" t="n"/>
      <c r="N4179" s="1" t="n"/>
      <c r="O4179" s="1" t="n"/>
      <c r="P4179" s="1" t="n"/>
      <c r="Q4179" s="1" t="n"/>
      <c r="R4179" s="1" t="n"/>
    </row>
    <row r="4180">
      <c r="A4180" s="61" t="n"/>
      <c r="B4180" s="16" t="n"/>
      <c r="C4180" s="90" t="n"/>
      <c r="D4180" s="90" t="n"/>
      <c r="E4180" s="90" t="n"/>
      <c r="F4180" s="16" t="n"/>
      <c r="G4180" s="16" t="n"/>
      <c r="H4180" s="63" t="n"/>
      <c r="I4180" s="64" t="n"/>
      <c r="J4180" s="16" t="n"/>
      <c r="K4180" s="16" t="n"/>
      <c r="M4180" s="89" t="n"/>
      <c r="N4180" s="1" t="n"/>
      <c r="O4180" s="1" t="n"/>
      <c r="P4180" s="1" t="n"/>
      <c r="Q4180" s="1" t="n"/>
      <c r="R4180" s="1" t="n"/>
    </row>
    <row r="4181">
      <c r="A4181" s="61" t="n"/>
      <c r="B4181" s="16" t="n"/>
      <c r="C4181" s="90" t="n"/>
      <c r="D4181" s="90" t="n"/>
      <c r="E4181" s="90" t="n"/>
      <c r="F4181" s="16" t="n"/>
      <c r="G4181" s="16" t="n"/>
      <c r="H4181" s="63" t="n"/>
      <c r="I4181" s="64" t="n"/>
      <c r="J4181" s="16" t="n"/>
      <c r="K4181" s="16" t="n"/>
      <c r="M4181" s="89" t="n"/>
      <c r="N4181" s="1" t="n"/>
      <c r="O4181" s="1" t="n"/>
      <c r="P4181" s="1" t="n"/>
      <c r="Q4181" s="1" t="n"/>
      <c r="R4181" s="1" t="n"/>
    </row>
    <row r="4182">
      <c r="A4182" s="61" t="n"/>
      <c r="B4182" s="16" t="n"/>
      <c r="C4182" s="90" t="n"/>
      <c r="D4182" s="90" t="n"/>
      <c r="E4182" s="90" t="n"/>
      <c r="F4182" s="16" t="n"/>
      <c r="G4182" s="16" t="n"/>
      <c r="H4182" s="63" t="n"/>
      <c r="I4182" s="64" t="n"/>
      <c r="J4182" s="16" t="n"/>
      <c r="K4182" s="16" t="n"/>
      <c r="M4182" s="89" t="n"/>
      <c r="N4182" s="1" t="n"/>
      <c r="O4182" s="1" t="n"/>
      <c r="P4182" s="1" t="n"/>
      <c r="Q4182" s="1" t="n"/>
      <c r="R4182" s="1" t="n"/>
    </row>
    <row r="4183">
      <c r="A4183" s="61" t="n"/>
      <c r="B4183" s="16" t="n"/>
      <c r="C4183" s="90" t="n"/>
      <c r="D4183" s="90" t="n"/>
      <c r="E4183" s="90" t="n"/>
      <c r="F4183" s="16" t="n"/>
      <c r="G4183" s="16" t="n"/>
      <c r="H4183" s="63" t="n"/>
      <c r="I4183" s="64" t="n"/>
      <c r="J4183" s="16" t="n"/>
      <c r="K4183" s="16" t="n"/>
      <c r="M4183" s="89" t="n"/>
      <c r="N4183" s="1" t="n"/>
      <c r="O4183" s="1" t="n"/>
      <c r="P4183" s="1" t="n"/>
      <c r="Q4183" s="1" t="n"/>
      <c r="R4183" s="1" t="n"/>
    </row>
    <row r="4184">
      <c r="A4184" s="61" t="n"/>
      <c r="B4184" s="16" t="n"/>
      <c r="C4184" s="90" t="n"/>
      <c r="D4184" s="90" t="n"/>
      <c r="E4184" s="90" t="n"/>
      <c r="F4184" s="16" t="n"/>
      <c r="G4184" s="16" t="n"/>
      <c r="H4184" s="63" t="n"/>
      <c r="I4184" s="64" t="n"/>
      <c r="J4184" s="16" t="n"/>
      <c r="K4184" s="16" t="n"/>
      <c r="M4184" s="89" t="n"/>
      <c r="N4184" s="1" t="n"/>
      <c r="O4184" s="1" t="n"/>
      <c r="P4184" s="1" t="n"/>
      <c r="Q4184" s="1" t="n"/>
      <c r="R4184" s="1" t="n"/>
    </row>
    <row r="4185">
      <c r="A4185" s="61" t="n"/>
      <c r="B4185" s="16" t="n"/>
      <c r="C4185" s="90" t="n"/>
      <c r="D4185" s="90" t="n"/>
      <c r="E4185" s="90" t="n"/>
      <c r="F4185" s="16" t="n"/>
      <c r="G4185" s="16" t="n"/>
      <c r="H4185" s="63" t="n"/>
      <c r="I4185" s="64" t="n"/>
      <c r="J4185" s="16" t="n"/>
      <c r="K4185" s="16" t="n"/>
      <c r="M4185" s="89" t="n"/>
      <c r="N4185" s="1" t="n"/>
      <c r="O4185" s="1" t="n"/>
      <c r="P4185" s="1" t="n"/>
      <c r="Q4185" s="1" t="n"/>
      <c r="R4185" s="1" t="n"/>
    </row>
    <row r="4186">
      <c r="A4186" s="61" t="n"/>
      <c r="B4186" s="16" t="n"/>
      <c r="C4186" s="90" t="n"/>
      <c r="D4186" s="90" t="n"/>
      <c r="E4186" s="90" t="n"/>
      <c r="F4186" s="16" t="n"/>
      <c r="G4186" s="16" t="n"/>
      <c r="H4186" s="63" t="n"/>
      <c r="I4186" s="64" t="n"/>
      <c r="J4186" s="16" t="n"/>
      <c r="K4186" s="16" t="n"/>
      <c r="M4186" s="89" t="n"/>
      <c r="N4186" s="1" t="n"/>
      <c r="O4186" s="1" t="n"/>
      <c r="P4186" s="1" t="n"/>
      <c r="Q4186" s="1" t="n"/>
      <c r="R4186" s="1" t="n"/>
    </row>
    <row r="4187">
      <c r="A4187" s="61" t="n"/>
      <c r="B4187" s="16" t="n"/>
      <c r="C4187" s="90" t="n"/>
      <c r="D4187" s="90" t="n"/>
      <c r="E4187" s="90" t="n"/>
      <c r="F4187" s="16" t="n"/>
      <c r="G4187" s="16" t="n"/>
      <c r="H4187" s="63" t="n"/>
      <c r="I4187" s="64" t="n"/>
      <c r="J4187" s="16" t="n"/>
      <c r="K4187" s="16" t="n"/>
      <c r="M4187" s="89" t="n"/>
      <c r="N4187" s="1" t="n"/>
      <c r="O4187" s="1" t="n"/>
      <c r="P4187" s="1" t="n"/>
      <c r="Q4187" s="1" t="n"/>
      <c r="R4187" s="1" t="n"/>
    </row>
    <row r="4188">
      <c r="A4188" s="61" t="n"/>
      <c r="B4188" s="16" t="n"/>
      <c r="C4188" s="90" t="n"/>
      <c r="D4188" s="90" t="n"/>
      <c r="E4188" s="90" t="n"/>
      <c r="F4188" s="16" t="n"/>
      <c r="G4188" s="16" t="n"/>
      <c r="H4188" s="63" t="n"/>
      <c r="I4188" s="64" t="n"/>
      <c r="J4188" s="16" t="n"/>
      <c r="K4188" s="16" t="n"/>
      <c r="M4188" s="89" t="n"/>
      <c r="N4188" s="1" t="n"/>
      <c r="O4188" s="1" t="n"/>
      <c r="P4188" s="1" t="n"/>
      <c r="Q4188" s="1" t="n"/>
      <c r="R4188" s="1" t="n"/>
    </row>
    <row r="4189">
      <c r="A4189" s="61" t="n"/>
      <c r="B4189" s="16" t="n"/>
      <c r="C4189" s="90" t="n"/>
      <c r="D4189" s="90" t="n"/>
      <c r="E4189" s="90" t="n"/>
      <c r="F4189" s="16" t="n"/>
      <c r="G4189" s="16" t="n"/>
      <c r="H4189" s="63" t="n"/>
      <c r="I4189" s="64" t="n"/>
      <c r="J4189" s="16" t="n"/>
      <c r="K4189" s="16" t="n"/>
      <c r="M4189" s="89" t="n"/>
      <c r="N4189" s="1" t="n"/>
      <c r="O4189" s="1" t="n"/>
      <c r="P4189" s="1" t="n"/>
      <c r="Q4189" s="1" t="n"/>
      <c r="R4189" s="1" t="n"/>
    </row>
    <row r="4190">
      <c r="A4190" s="61" t="n"/>
      <c r="B4190" s="16" t="n"/>
      <c r="C4190" s="90" t="n"/>
      <c r="D4190" s="90" t="n"/>
      <c r="E4190" s="90" t="n"/>
      <c r="F4190" s="16" t="n"/>
      <c r="G4190" s="16" t="n"/>
      <c r="H4190" s="63" t="n"/>
      <c r="I4190" s="64" t="n"/>
      <c r="J4190" s="16" t="n"/>
      <c r="K4190" s="16" t="n"/>
      <c r="M4190" s="89" t="n"/>
      <c r="N4190" s="1" t="n"/>
      <c r="O4190" s="1" t="n"/>
      <c r="P4190" s="1" t="n"/>
      <c r="Q4190" s="1" t="n"/>
      <c r="R4190" s="1" t="n"/>
    </row>
    <row r="4191">
      <c r="A4191" s="61" t="n"/>
      <c r="B4191" s="16" t="n"/>
      <c r="C4191" s="90" t="n"/>
      <c r="D4191" s="90" t="n"/>
      <c r="E4191" s="90" t="n"/>
      <c r="F4191" s="16" t="n"/>
      <c r="G4191" s="16" t="n"/>
      <c r="H4191" s="63" t="n"/>
      <c r="I4191" s="64" t="n"/>
      <c r="J4191" s="16" t="n"/>
      <c r="K4191" s="16" t="n"/>
      <c r="M4191" s="89" t="n"/>
      <c r="N4191" s="1" t="n"/>
      <c r="O4191" s="1" t="n"/>
      <c r="P4191" s="1" t="n"/>
      <c r="Q4191" s="1" t="n"/>
      <c r="R4191" s="1" t="n"/>
    </row>
    <row r="4192">
      <c r="A4192" s="61" t="n"/>
      <c r="B4192" s="16" t="n"/>
      <c r="C4192" s="90" t="n"/>
      <c r="D4192" s="90" t="n"/>
      <c r="E4192" s="90" t="n"/>
      <c r="F4192" s="16" t="n"/>
      <c r="G4192" s="16" t="n"/>
      <c r="H4192" s="63" t="n"/>
      <c r="I4192" s="64" t="n"/>
      <c r="J4192" s="16" t="n"/>
      <c r="K4192" s="16" t="n"/>
      <c r="M4192" s="89" t="n"/>
      <c r="N4192" s="1" t="n"/>
      <c r="O4192" s="1" t="n"/>
      <c r="P4192" s="1" t="n"/>
      <c r="Q4192" s="1" t="n"/>
      <c r="R4192" s="1" t="n"/>
    </row>
    <row r="4193">
      <c r="A4193" s="61" t="n"/>
      <c r="B4193" s="16" t="n"/>
      <c r="C4193" s="90" t="n"/>
      <c r="D4193" s="90" t="n"/>
      <c r="E4193" s="90" t="n"/>
      <c r="F4193" s="16" t="n"/>
      <c r="G4193" s="16" t="n"/>
      <c r="H4193" s="63" t="n"/>
      <c r="I4193" s="64" t="n"/>
      <c r="J4193" s="16" t="n"/>
      <c r="K4193" s="16" t="n"/>
      <c r="M4193" s="89" t="n"/>
      <c r="N4193" s="1" t="n"/>
      <c r="O4193" s="1" t="n"/>
      <c r="P4193" s="1" t="n"/>
      <c r="Q4193" s="1" t="n"/>
      <c r="R4193" s="1" t="n"/>
    </row>
    <row r="4194">
      <c r="A4194" s="61" t="n"/>
      <c r="B4194" s="16" t="n"/>
      <c r="C4194" s="90" t="n"/>
      <c r="D4194" s="90" t="n"/>
      <c r="E4194" s="90" t="n"/>
      <c r="F4194" s="16" t="n"/>
      <c r="G4194" s="16" t="n"/>
      <c r="H4194" s="63" t="n"/>
      <c r="I4194" s="64" t="n"/>
      <c r="J4194" s="16" t="n"/>
      <c r="K4194" s="16" t="n"/>
      <c r="M4194" s="89" t="n"/>
      <c r="N4194" s="1" t="n"/>
      <c r="O4194" s="1" t="n"/>
      <c r="P4194" s="1" t="n"/>
      <c r="Q4194" s="1" t="n"/>
      <c r="R4194" s="1" t="n"/>
    </row>
    <row r="4195">
      <c r="A4195" s="61" t="n"/>
      <c r="B4195" s="16" t="n"/>
      <c r="C4195" s="90" t="n"/>
      <c r="D4195" s="90" t="n"/>
      <c r="E4195" s="90" t="n"/>
      <c r="F4195" s="16" t="n"/>
      <c r="G4195" s="16" t="n"/>
      <c r="H4195" s="63" t="n"/>
      <c r="I4195" s="64" t="n"/>
      <c r="J4195" s="16" t="n"/>
      <c r="K4195" s="16" t="n"/>
      <c r="M4195" s="89" t="n"/>
      <c r="N4195" s="1" t="n"/>
      <c r="O4195" s="1" t="n"/>
      <c r="P4195" s="1" t="n"/>
      <c r="Q4195" s="1" t="n"/>
      <c r="R4195" s="1" t="n"/>
    </row>
    <row r="4196">
      <c r="A4196" s="61" t="n"/>
      <c r="B4196" s="16" t="n"/>
      <c r="C4196" s="90" t="n"/>
      <c r="D4196" s="90" t="n"/>
      <c r="E4196" s="90" t="n"/>
      <c r="F4196" s="16" t="n"/>
      <c r="G4196" s="16" t="n"/>
      <c r="H4196" s="63" t="n"/>
      <c r="I4196" s="64" t="n"/>
      <c r="J4196" s="16" t="n"/>
      <c r="K4196" s="16" t="n"/>
      <c r="M4196" s="89" t="n"/>
      <c r="N4196" s="1" t="n"/>
      <c r="O4196" s="1" t="n"/>
      <c r="P4196" s="1" t="n"/>
      <c r="Q4196" s="1" t="n"/>
      <c r="R4196" s="1" t="n"/>
    </row>
    <row r="4197">
      <c r="A4197" s="61" t="n"/>
      <c r="B4197" s="16" t="n"/>
      <c r="C4197" s="90" t="n"/>
      <c r="D4197" s="90" t="n"/>
      <c r="E4197" s="90" t="n"/>
      <c r="F4197" s="16" t="n"/>
      <c r="G4197" s="16" t="n"/>
      <c r="H4197" s="63" t="n"/>
      <c r="I4197" s="64" t="n"/>
      <c r="J4197" s="16" t="n"/>
      <c r="K4197" s="16" t="n"/>
      <c r="M4197" s="89" t="n"/>
      <c r="N4197" s="1" t="n"/>
      <c r="O4197" s="1" t="n"/>
      <c r="P4197" s="1" t="n"/>
      <c r="Q4197" s="1" t="n"/>
      <c r="R4197" s="1" t="n"/>
    </row>
    <row r="4198">
      <c r="A4198" s="61" t="n"/>
      <c r="B4198" s="16" t="n"/>
      <c r="C4198" s="90" t="n"/>
      <c r="D4198" s="90" t="n"/>
      <c r="E4198" s="90" t="n"/>
      <c r="F4198" s="16" t="n"/>
      <c r="G4198" s="16" t="n"/>
      <c r="H4198" s="63" t="n"/>
      <c r="I4198" s="64" t="n"/>
      <c r="J4198" s="16" t="n"/>
      <c r="K4198" s="16" t="n"/>
      <c r="M4198" s="89" t="n"/>
      <c r="N4198" s="1" t="n"/>
      <c r="O4198" s="1" t="n"/>
      <c r="P4198" s="1" t="n"/>
      <c r="Q4198" s="1" t="n"/>
      <c r="R4198" s="1" t="n"/>
    </row>
    <row r="4199">
      <c r="A4199" s="61" t="n"/>
      <c r="B4199" s="16" t="n"/>
      <c r="C4199" s="90" t="n"/>
      <c r="D4199" s="90" t="n"/>
      <c r="E4199" s="90" t="n"/>
      <c r="F4199" s="16" t="n"/>
      <c r="G4199" s="16" t="n"/>
      <c r="H4199" s="63" t="n"/>
      <c r="I4199" s="64" t="n"/>
      <c r="J4199" s="16" t="n"/>
      <c r="K4199" s="16" t="n"/>
      <c r="M4199" s="89" t="n"/>
      <c r="N4199" s="1" t="n"/>
      <c r="O4199" s="1" t="n"/>
      <c r="P4199" s="1" t="n"/>
      <c r="Q4199" s="1" t="n"/>
      <c r="R4199" s="1" t="n"/>
    </row>
    <row r="4200">
      <c r="A4200" s="61" t="n"/>
      <c r="B4200" s="16" t="n"/>
      <c r="C4200" s="90" t="n"/>
      <c r="D4200" s="90" t="n"/>
      <c r="E4200" s="90" t="n"/>
      <c r="F4200" s="16" t="n"/>
      <c r="G4200" s="16" t="n"/>
      <c r="H4200" s="63" t="n"/>
      <c r="I4200" s="64" t="n"/>
      <c r="J4200" s="16" t="n"/>
      <c r="K4200" s="16" t="n"/>
      <c r="M4200" s="89" t="n"/>
      <c r="N4200" s="1" t="n"/>
      <c r="O4200" s="1" t="n"/>
      <c r="P4200" s="1" t="n"/>
      <c r="Q4200" s="1" t="n"/>
      <c r="R4200" s="1" t="n"/>
    </row>
    <row r="4201">
      <c r="A4201" s="61" t="n"/>
      <c r="B4201" s="16" t="n"/>
      <c r="C4201" s="90" t="n"/>
      <c r="D4201" s="90" t="n"/>
      <c r="E4201" s="90" t="n"/>
      <c r="F4201" s="16" t="n"/>
      <c r="G4201" s="16" t="n"/>
      <c r="H4201" s="63" t="n"/>
      <c r="I4201" s="64" t="n"/>
      <c r="J4201" s="16" t="n"/>
      <c r="K4201" s="16" t="n"/>
      <c r="M4201" s="89" t="n"/>
      <c r="N4201" s="1" t="n"/>
      <c r="O4201" s="1" t="n"/>
      <c r="P4201" s="1" t="n"/>
      <c r="Q4201" s="1" t="n"/>
      <c r="R4201" s="1" t="n"/>
    </row>
    <row r="4202">
      <c r="A4202" s="61" t="n"/>
      <c r="B4202" s="16" t="n"/>
      <c r="C4202" s="90" t="n"/>
      <c r="D4202" s="90" t="n"/>
      <c r="E4202" s="90" t="n"/>
      <c r="F4202" s="16" t="n"/>
      <c r="G4202" s="16" t="n"/>
      <c r="H4202" s="63" t="n"/>
      <c r="I4202" s="64" t="n"/>
      <c r="J4202" s="16" t="n"/>
      <c r="K4202" s="16" t="n"/>
      <c r="M4202" s="89" t="n"/>
      <c r="N4202" s="1" t="n"/>
      <c r="O4202" s="1" t="n"/>
      <c r="P4202" s="1" t="n"/>
      <c r="Q4202" s="1" t="n"/>
      <c r="R4202" s="1" t="n"/>
    </row>
    <row r="4203">
      <c r="A4203" s="61" t="n"/>
      <c r="B4203" s="16" t="n"/>
      <c r="C4203" s="90" t="n"/>
      <c r="D4203" s="90" t="n"/>
      <c r="E4203" s="90" t="n"/>
      <c r="F4203" s="16" t="n"/>
      <c r="G4203" s="16" t="n"/>
      <c r="H4203" s="63" t="n"/>
      <c r="I4203" s="64" t="n"/>
      <c r="J4203" s="16" t="n"/>
      <c r="K4203" s="16" t="n"/>
      <c r="M4203" s="89" t="n"/>
      <c r="N4203" s="1" t="n"/>
      <c r="O4203" s="1" t="n"/>
      <c r="P4203" s="1" t="n"/>
      <c r="Q4203" s="1" t="n"/>
      <c r="R4203" s="1" t="n"/>
    </row>
    <row r="4204">
      <c r="A4204" s="61" t="n"/>
      <c r="B4204" s="16" t="n"/>
      <c r="C4204" s="90" t="n"/>
      <c r="D4204" s="90" t="n"/>
      <c r="E4204" s="90" t="n"/>
      <c r="F4204" s="16" t="n"/>
      <c r="G4204" s="16" t="n"/>
      <c r="H4204" s="63" t="n"/>
      <c r="I4204" s="64" t="n"/>
      <c r="J4204" s="16" t="n"/>
      <c r="K4204" s="16" t="n"/>
      <c r="M4204" s="89" t="n"/>
      <c r="N4204" s="1" t="n"/>
      <c r="O4204" s="1" t="n"/>
      <c r="P4204" s="1" t="n"/>
      <c r="Q4204" s="1" t="n"/>
      <c r="R4204" s="1" t="n"/>
    </row>
    <row r="4205">
      <c r="A4205" s="61" t="n"/>
      <c r="B4205" s="16" t="n"/>
      <c r="C4205" s="90" t="n"/>
      <c r="D4205" s="90" t="n"/>
      <c r="E4205" s="90" t="n"/>
      <c r="F4205" s="16" t="n"/>
      <c r="G4205" s="16" t="n"/>
      <c r="H4205" s="63" t="n"/>
      <c r="I4205" s="64" t="n"/>
      <c r="J4205" s="16" t="n"/>
      <c r="K4205" s="16" t="n"/>
      <c r="M4205" s="89" t="n"/>
      <c r="N4205" s="1" t="n"/>
      <c r="O4205" s="1" t="n"/>
      <c r="P4205" s="1" t="n"/>
      <c r="Q4205" s="1" t="n"/>
      <c r="R4205" s="1" t="n"/>
    </row>
    <row r="4206">
      <c r="A4206" s="61" t="n"/>
      <c r="B4206" s="16" t="n"/>
      <c r="C4206" s="90" t="n"/>
      <c r="D4206" s="90" t="n"/>
      <c r="E4206" s="90" t="n"/>
      <c r="F4206" s="16" t="n"/>
      <c r="G4206" s="16" t="n"/>
      <c r="H4206" s="63" t="n"/>
      <c r="I4206" s="64" t="n"/>
      <c r="J4206" s="16" t="n"/>
      <c r="K4206" s="16" t="n"/>
      <c r="M4206" s="89" t="n"/>
      <c r="N4206" s="1" t="n"/>
      <c r="O4206" s="1" t="n"/>
      <c r="P4206" s="1" t="n"/>
      <c r="Q4206" s="1" t="n"/>
      <c r="R4206" s="1" t="n"/>
    </row>
    <row r="4207">
      <c r="A4207" s="61" t="n"/>
      <c r="B4207" s="16" t="n"/>
      <c r="C4207" s="90" t="n"/>
      <c r="D4207" s="90" t="n"/>
      <c r="E4207" s="90" t="n"/>
      <c r="F4207" s="16" t="n"/>
      <c r="G4207" s="16" t="n"/>
      <c r="H4207" s="63" t="n"/>
      <c r="I4207" s="64" t="n"/>
      <c r="J4207" s="16" t="n"/>
      <c r="K4207" s="16" t="n"/>
      <c r="M4207" s="89" t="n"/>
      <c r="N4207" s="1" t="n"/>
      <c r="O4207" s="1" t="n"/>
      <c r="P4207" s="1" t="n"/>
      <c r="Q4207" s="1" t="n"/>
      <c r="R4207" s="1" t="n"/>
    </row>
    <row r="4208">
      <c r="A4208" s="61" t="n"/>
      <c r="B4208" s="16" t="n"/>
      <c r="C4208" s="90" t="n"/>
      <c r="D4208" s="90" t="n"/>
      <c r="E4208" s="90" t="n"/>
      <c r="F4208" s="16" t="n"/>
      <c r="G4208" s="16" t="n"/>
      <c r="H4208" s="63" t="n"/>
      <c r="I4208" s="64" t="n"/>
      <c r="J4208" s="16" t="n"/>
      <c r="K4208" s="16" t="n"/>
      <c r="M4208" s="89" t="n"/>
      <c r="N4208" s="1" t="n"/>
      <c r="O4208" s="1" t="n"/>
      <c r="P4208" s="1" t="n"/>
      <c r="Q4208" s="1" t="n"/>
      <c r="R4208" s="1" t="n"/>
    </row>
    <row r="4209">
      <c r="A4209" s="61" t="n"/>
      <c r="B4209" s="16" t="n"/>
      <c r="C4209" s="90" t="n"/>
      <c r="D4209" s="90" t="n"/>
      <c r="E4209" s="90" t="n"/>
      <c r="F4209" s="16" t="n"/>
      <c r="G4209" s="16" t="n"/>
      <c r="H4209" s="63" t="n"/>
      <c r="I4209" s="64" t="n"/>
      <c r="J4209" s="16" t="n"/>
      <c r="K4209" s="16" t="n"/>
      <c r="M4209" s="89" t="n"/>
      <c r="N4209" s="1" t="n"/>
      <c r="O4209" s="1" t="n"/>
      <c r="P4209" s="1" t="n"/>
      <c r="Q4209" s="1" t="n"/>
      <c r="R4209" s="1" t="n"/>
    </row>
    <row r="4210">
      <c r="A4210" s="61" t="n"/>
      <c r="B4210" s="16" t="n"/>
      <c r="C4210" s="90" t="n"/>
      <c r="D4210" s="90" t="n"/>
      <c r="E4210" s="90" t="n"/>
      <c r="F4210" s="16" t="n"/>
      <c r="G4210" s="16" t="n"/>
      <c r="H4210" s="63" t="n"/>
      <c r="I4210" s="64" t="n"/>
      <c r="J4210" s="16" t="n"/>
      <c r="K4210" s="16" t="n"/>
      <c r="M4210" s="89" t="n"/>
      <c r="N4210" s="1" t="n"/>
      <c r="O4210" s="1" t="n"/>
      <c r="P4210" s="1" t="n"/>
      <c r="Q4210" s="1" t="n"/>
      <c r="R4210" s="1" t="n"/>
    </row>
    <row r="4211">
      <c r="A4211" s="61" t="n"/>
      <c r="B4211" s="16" t="n"/>
      <c r="C4211" s="90" t="n"/>
      <c r="D4211" s="90" t="n"/>
      <c r="E4211" s="90" t="n"/>
      <c r="F4211" s="16" t="n"/>
      <c r="G4211" s="16" t="n"/>
      <c r="H4211" s="63" t="n"/>
      <c r="I4211" s="64" t="n"/>
      <c r="J4211" s="16" t="n"/>
      <c r="K4211" s="16" t="n"/>
      <c r="M4211" s="89" t="n"/>
      <c r="N4211" s="1" t="n"/>
      <c r="O4211" s="1" t="n"/>
      <c r="P4211" s="1" t="n"/>
      <c r="Q4211" s="1" t="n"/>
      <c r="R4211" s="1" t="n"/>
    </row>
    <row r="4212">
      <c r="A4212" s="61" t="n"/>
      <c r="B4212" s="16" t="n"/>
      <c r="C4212" s="90" t="n"/>
      <c r="D4212" s="90" t="n"/>
      <c r="E4212" s="90" t="n"/>
      <c r="F4212" s="16" t="n"/>
      <c r="G4212" s="16" t="n"/>
      <c r="H4212" s="63" t="n"/>
      <c r="I4212" s="64" t="n"/>
      <c r="J4212" s="16" t="n"/>
      <c r="K4212" s="16" t="n"/>
      <c r="M4212" s="89" t="n"/>
      <c r="N4212" s="1" t="n"/>
      <c r="O4212" s="1" t="n"/>
      <c r="P4212" s="1" t="n"/>
      <c r="Q4212" s="1" t="n"/>
      <c r="R4212" s="1" t="n"/>
    </row>
    <row r="4213">
      <c r="A4213" s="61" t="n"/>
      <c r="B4213" s="16" t="n"/>
      <c r="C4213" s="90" t="n"/>
      <c r="D4213" s="90" t="n"/>
      <c r="E4213" s="90" t="n"/>
      <c r="F4213" s="16" t="n"/>
      <c r="G4213" s="16" t="n"/>
      <c r="H4213" s="63" t="n"/>
      <c r="I4213" s="64" t="n"/>
      <c r="J4213" s="16" t="n"/>
      <c r="K4213" s="16" t="n"/>
      <c r="M4213" s="89" t="n"/>
      <c r="N4213" s="1" t="n"/>
      <c r="O4213" s="1" t="n"/>
      <c r="P4213" s="1" t="n"/>
      <c r="Q4213" s="1" t="n"/>
      <c r="R4213" s="1" t="n"/>
    </row>
    <row r="4214">
      <c r="A4214" s="61" t="n"/>
      <c r="B4214" s="16" t="n"/>
      <c r="C4214" s="90" t="n"/>
      <c r="D4214" s="90" t="n"/>
      <c r="E4214" s="90" t="n"/>
      <c r="F4214" s="16" t="n"/>
      <c r="G4214" s="16" t="n"/>
      <c r="H4214" s="63" t="n"/>
      <c r="I4214" s="64" t="n"/>
      <c r="J4214" s="16" t="n"/>
      <c r="K4214" s="16" t="n"/>
      <c r="M4214" s="89" t="n"/>
      <c r="N4214" s="1" t="n"/>
      <c r="O4214" s="1" t="n"/>
      <c r="P4214" s="1" t="n"/>
      <c r="Q4214" s="1" t="n"/>
      <c r="R4214" s="1" t="n"/>
    </row>
    <row r="4215">
      <c r="A4215" s="61" t="n"/>
      <c r="B4215" s="16" t="n"/>
      <c r="C4215" s="90" t="n"/>
      <c r="D4215" s="90" t="n"/>
      <c r="E4215" s="90" t="n"/>
      <c r="F4215" s="16" t="n"/>
      <c r="G4215" s="16" t="n"/>
      <c r="H4215" s="63" t="n"/>
      <c r="I4215" s="64" t="n"/>
      <c r="J4215" s="16" t="n"/>
      <c r="K4215" s="16" t="n"/>
      <c r="M4215" s="89" t="n"/>
      <c r="N4215" s="1" t="n"/>
      <c r="O4215" s="1" t="n"/>
      <c r="P4215" s="1" t="n"/>
      <c r="Q4215" s="1" t="n"/>
      <c r="R4215" s="1" t="n"/>
    </row>
    <row r="4216">
      <c r="A4216" s="61" t="n"/>
      <c r="B4216" s="16" t="n"/>
      <c r="C4216" s="90" t="n"/>
      <c r="D4216" s="90" t="n"/>
      <c r="E4216" s="90" t="n"/>
      <c r="F4216" s="16" t="n"/>
      <c r="G4216" s="16" t="n"/>
      <c r="H4216" s="63" t="n"/>
      <c r="I4216" s="64" t="n"/>
      <c r="J4216" s="16" t="n"/>
      <c r="K4216" s="16" t="n"/>
      <c r="M4216" s="89" t="n"/>
      <c r="N4216" s="1" t="n"/>
      <c r="O4216" s="1" t="n"/>
      <c r="P4216" s="1" t="n"/>
      <c r="Q4216" s="1" t="n"/>
      <c r="R4216" s="1" t="n"/>
    </row>
    <row r="4217">
      <c r="A4217" s="61" t="n"/>
      <c r="B4217" s="16" t="n"/>
      <c r="C4217" s="90" t="n"/>
      <c r="D4217" s="90" t="n"/>
      <c r="E4217" s="90" t="n"/>
      <c r="F4217" s="16" t="n"/>
      <c r="G4217" s="16" t="n"/>
      <c r="H4217" s="63" t="n"/>
      <c r="I4217" s="64" t="n"/>
      <c r="J4217" s="16" t="n"/>
      <c r="K4217" s="16" t="n"/>
      <c r="M4217" s="89" t="n"/>
      <c r="N4217" s="1" t="n"/>
      <c r="O4217" s="1" t="n"/>
      <c r="P4217" s="1" t="n"/>
      <c r="Q4217" s="1" t="n"/>
      <c r="R4217" s="1" t="n"/>
    </row>
    <row r="4218">
      <c r="A4218" s="61" t="n"/>
      <c r="B4218" s="16" t="n"/>
      <c r="C4218" s="90" t="n"/>
      <c r="D4218" s="90" t="n"/>
      <c r="E4218" s="90" t="n"/>
      <c r="F4218" s="16" t="n"/>
      <c r="G4218" s="16" t="n"/>
      <c r="H4218" s="63" t="n"/>
      <c r="I4218" s="64" t="n"/>
      <c r="J4218" s="16" t="n"/>
      <c r="K4218" s="16" t="n"/>
      <c r="M4218" s="89" t="n"/>
      <c r="N4218" s="1" t="n"/>
      <c r="O4218" s="1" t="n"/>
      <c r="P4218" s="1" t="n"/>
      <c r="Q4218" s="1" t="n"/>
      <c r="R4218" s="1" t="n"/>
    </row>
    <row r="4219">
      <c r="A4219" s="61" t="n"/>
      <c r="B4219" s="16" t="n"/>
      <c r="C4219" s="90" t="n"/>
      <c r="D4219" s="90" t="n"/>
      <c r="E4219" s="90" t="n"/>
      <c r="F4219" s="16" t="n"/>
      <c r="G4219" s="16" t="n"/>
      <c r="H4219" s="63" t="n"/>
      <c r="I4219" s="64" t="n"/>
      <c r="J4219" s="16" t="n"/>
      <c r="K4219" s="16" t="n"/>
      <c r="M4219" s="89" t="n"/>
      <c r="N4219" s="1" t="n"/>
      <c r="O4219" s="1" t="n"/>
      <c r="P4219" s="1" t="n"/>
      <c r="Q4219" s="1" t="n"/>
      <c r="R4219" s="1" t="n"/>
    </row>
    <row r="4220">
      <c r="A4220" s="61" t="n"/>
      <c r="B4220" s="16" t="n"/>
      <c r="C4220" s="90" t="n"/>
      <c r="D4220" s="90" t="n"/>
      <c r="E4220" s="90" t="n"/>
      <c r="F4220" s="16" t="n"/>
      <c r="G4220" s="16" t="n"/>
      <c r="H4220" s="63" t="n"/>
      <c r="I4220" s="64" t="n"/>
      <c r="J4220" s="16" t="n"/>
      <c r="K4220" s="16" t="n"/>
      <c r="M4220" s="89" t="n"/>
      <c r="N4220" s="1" t="n"/>
      <c r="O4220" s="1" t="n"/>
      <c r="P4220" s="1" t="n"/>
      <c r="Q4220" s="1" t="n"/>
      <c r="R4220" s="1" t="n"/>
    </row>
    <row r="4221">
      <c r="A4221" s="61" t="n"/>
      <c r="B4221" s="16" t="n"/>
      <c r="C4221" s="90" t="n"/>
      <c r="D4221" s="90" t="n"/>
      <c r="E4221" s="90" t="n"/>
      <c r="F4221" s="16" t="n"/>
      <c r="G4221" s="16" t="n"/>
      <c r="H4221" s="63" t="n"/>
      <c r="I4221" s="64" t="n"/>
      <c r="J4221" s="16" t="n"/>
      <c r="K4221" s="16" t="n"/>
      <c r="M4221" s="89" t="n"/>
      <c r="N4221" s="1" t="n"/>
      <c r="O4221" s="1" t="n"/>
      <c r="P4221" s="1" t="n"/>
      <c r="Q4221" s="1" t="n"/>
      <c r="R4221" s="1" t="n"/>
    </row>
    <row r="4222">
      <c r="A4222" s="61" t="n"/>
      <c r="B4222" s="16" t="n"/>
      <c r="C4222" s="90" t="n"/>
      <c r="D4222" s="90" t="n"/>
      <c r="E4222" s="90" t="n"/>
      <c r="F4222" s="16" t="n"/>
      <c r="G4222" s="16" t="n"/>
      <c r="H4222" s="63" t="n"/>
      <c r="I4222" s="64" t="n"/>
      <c r="J4222" s="16" t="n"/>
      <c r="K4222" s="16" t="n"/>
      <c r="M4222" s="89" t="n"/>
      <c r="N4222" s="1" t="n"/>
      <c r="O4222" s="1" t="n"/>
      <c r="P4222" s="1" t="n"/>
      <c r="Q4222" s="1" t="n"/>
      <c r="R4222" s="1" t="n"/>
    </row>
    <row r="4223">
      <c r="A4223" s="61" t="n"/>
      <c r="B4223" s="16" t="n"/>
      <c r="C4223" s="90" t="n"/>
      <c r="D4223" s="90" t="n"/>
      <c r="E4223" s="90" t="n"/>
      <c r="F4223" s="16" t="n"/>
      <c r="G4223" s="16" t="n"/>
      <c r="H4223" s="63" t="n"/>
      <c r="I4223" s="64" t="n"/>
      <c r="J4223" s="16" t="n"/>
      <c r="K4223" s="16" t="n"/>
      <c r="M4223" s="89" t="n"/>
      <c r="N4223" s="1" t="n"/>
      <c r="O4223" s="1" t="n"/>
      <c r="P4223" s="1" t="n"/>
      <c r="Q4223" s="1" t="n"/>
      <c r="R4223" s="1" t="n"/>
    </row>
    <row r="4224">
      <c r="A4224" s="61" t="n"/>
      <c r="B4224" s="16" t="n"/>
      <c r="C4224" s="90" t="n"/>
      <c r="D4224" s="90" t="n"/>
      <c r="E4224" s="90" t="n"/>
      <c r="F4224" s="16" t="n"/>
      <c r="G4224" s="16" t="n"/>
      <c r="H4224" s="63" t="n"/>
      <c r="I4224" s="64" t="n"/>
      <c r="J4224" s="16" t="n"/>
      <c r="K4224" s="16" t="n"/>
      <c r="M4224" s="89" t="n"/>
      <c r="N4224" s="1" t="n"/>
      <c r="O4224" s="1" t="n"/>
      <c r="P4224" s="1" t="n"/>
      <c r="Q4224" s="1" t="n"/>
      <c r="R4224" s="1" t="n"/>
    </row>
    <row r="4225">
      <c r="A4225" s="61" t="n"/>
      <c r="B4225" s="16" t="n"/>
      <c r="C4225" s="90" t="n"/>
      <c r="D4225" s="90" t="n"/>
      <c r="E4225" s="90" t="n"/>
      <c r="F4225" s="16" t="n"/>
      <c r="G4225" s="16" t="n"/>
      <c r="H4225" s="63" t="n"/>
      <c r="I4225" s="64" t="n"/>
      <c r="J4225" s="16" t="n"/>
      <c r="K4225" s="16" t="n"/>
      <c r="M4225" s="89" t="n"/>
      <c r="N4225" s="1" t="n"/>
      <c r="O4225" s="1" t="n"/>
      <c r="P4225" s="1" t="n"/>
      <c r="Q4225" s="1" t="n"/>
      <c r="R4225" s="1" t="n"/>
    </row>
    <row r="4226">
      <c r="A4226" s="61" t="n"/>
      <c r="B4226" s="16" t="n"/>
      <c r="C4226" s="90" t="n"/>
      <c r="D4226" s="90" t="n"/>
      <c r="E4226" s="90" t="n"/>
      <c r="F4226" s="16" t="n"/>
      <c r="G4226" s="16" t="n"/>
      <c r="H4226" s="63" t="n"/>
      <c r="I4226" s="64" t="n"/>
      <c r="J4226" s="16" t="n"/>
      <c r="K4226" s="16" t="n"/>
      <c r="M4226" s="89" t="n"/>
      <c r="N4226" s="1" t="n"/>
      <c r="O4226" s="1" t="n"/>
      <c r="P4226" s="1" t="n"/>
      <c r="Q4226" s="1" t="n"/>
      <c r="R4226" s="1" t="n"/>
    </row>
    <row r="4227">
      <c r="A4227" s="61" t="n"/>
      <c r="B4227" s="16" t="n"/>
      <c r="C4227" s="90" t="n"/>
      <c r="D4227" s="90" t="n"/>
      <c r="E4227" s="90" t="n"/>
      <c r="F4227" s="16" t="n"/>
      <c r="G4227" s="16" t="n"/>
      <c r="H4227" s="63" t="n"/>
      <c r="I4227" s="64" t="n"/>
      <c r="J4227" s="16" t="n"/>
      <c r="K4227" s="16" t="n"/>
      <c r="M4227" s="89" t="n"/>
      <c r="N4227" s="1" t="n"/>
      <c r="O4227" s="1" t="n"/>
      <c r="P4227" s="1" t="n"/>
      <c r="Q4227" s="1" t="n"/>
      <c r="R4227" s="1" t="n"/>
    </row>
    <row r="4228">
      <c r="A4228" s="61" t="n"/>
      <c r="B4228" s="16" t="n"/>
      <c r="C4228" s="90" t="n"/>
      <c r="D4228" s="90" t="n"/>
      <c r="E4228" s="90" t="n"/>
      <c r="F4228" s="16" t="n"/>
      <c r="G4228" s="16" t="n"/>
      <c r="H4228" s="63" t="n"/>
      <c r="I4228" s="64" t="n"/>
      <c r="J4228" s="16" t="n"/>
      <c r="K4228" s="16" t="n"/>
      <c r="M4228" s="89" t="n"/>
      <c r="N4228" s="1" t="n"/>
      <c r="O4228" s="1" t="n"/>
      <c r="P4228" s="1" t="n"/>
      <c r="Q4228" s="1" t="n"/>
      <c r="R4228" s="1" t="n"/>
    </row>
    <row r="4229">
      <c r="A4229" s="61" t="n"/>
      <c r="B4229" s="16" t="n"/>
      <c r="C4229" s="90" t="n"/>
      <c r="D4229" s="90" t="n"/>
      <c r="E4229" s="90" t="n"/>
      <c r="F4229" s="16" t="n"/>
      <c r="G4229" s="16" t="n"/>
      <c r="H4229" s="63" t="n"/>
      <c r="I4229" s="64" t="n"/>
      <c r="J4229" s="16" t="n"/>
      <c r="K4229" s="16" t="n"/>
      <c r="M4229" s="89" t="n"/>
      <c r="N4229" s="1" t="n"/>
      <c r="O4229" s="1" t="n"/>
      <c r="P4229" s="1" t="n"/>
      <c r="Q4229" s="1" t="n"/>
      <c r="R4229" s="1" t="n"/>
    </row>
    <row r="4230">
      <c r="A4230" s="61" t="n"/>
      <c r="B4230" s="16" t="n"/>
      <c r="C4230" s="90" t="n"/>
      <c r="D4230" s="90" t="n"/>
      <c r="E4230" s="90" t="n"/>
      <c r="F4230" s="16" t="n"/>
      <c r="G4230" s="16" t="n"/>
      <c r="H4230" s="63" t="n"/>
      <c r="I4230" s="64" t="n"/>
      <c r="J4230" s="16" t="n"/>
      <c r="K4230" s="16" t="n"/>
      <c r="M4230" s="89" t="n"/>
      <c r="N4230" s="1" t="n"/>
      <c r="O4230" s="1" t="n"/>
      <c r="P4230" s="1" t="n"/>
      <c r="Q4230" s="1" t="n"/>
      <c r="R4230" s="1" t="n"/>
    </row>
    <row r="4231">
      <c r="A4231" s="61" t="n"/>
      <c r="B4231" s="16" t="n"/>
      <c r="C4231" s="90" t="n"/>
      <c r="D4231" s="90" t="n"/>
      <c r="E4231" s="90" t="n"/>
      <c r="F4231" s="16" t="n"/>
      <c r="G4231" s="16" t="n"/>
      <c r="H4231" s="63" t="n"/>
      <c r="I4231" s="64" t="n"/>
      <c r="J4231" s="16" t="n"/>
      <c r="K4231" s="16" t="n"/>
      <c r="M4231" s="89" t="n"/>
      <c r="N4231" s="1" t="n"/>
      <c r="O4231" s="1" t="n"/>
      <c r="P4231" s="1" t="n"/>
      <c r="Q4231" s="1" t="n"/>
      <c r="R4231" s="1" t="n"/>
    </row>
    <row r="4232">
      <c r="A4232" s="61" t="n"/>
      <c r="B4232" s="16" t="n"/>
      <c r="C4232" s="90" t="n"/>
      <c r="D4232" s="90" t="n"/>
      <c r="E4232" s="90" t="n"/>
      <c r="F4232" s="16" t="n"/>
      <c r="G4232" s="16" t="n"/>
      <c r="H4232" s="63" t="n"/>
      <c r="I4232" s="64" t="n"/>
      <c r="J4232" s="16" t="n"/>
      <c r="K4232" s="16" t="n"/>
      <c r="M4232" s="89" t="n"/>
      <c r="N4232" s="1" t="n"/>
      <c r="O4232" s="1" t="n"/>
      <c r="P4232" s="1" t="n"/>
      <c r="Q4232" s="1" t="n"/>
      <c r="R4232" s="1" t="n"/>
    </row>
    <row r="4233">
      <c r="A4233" s="61" t="n"/>
      <c r="B4233" s="16" t="n"/>
      <c r="C4233" s="90" t="n"/>
      <c r="D4233" s="90" t="n"/>
      <c r="E4233" s="90" t="n"/>
      <c r="F4233" s="16" t="n"/>
      <c r="G4233" s="16" t="n"/>
      <c r="H4233" s="63" t="n"/>
      <c r="I4233" s="64" t="n"/>
      <c r="J4233" s="16" t="n"/>
      <c r="K4233" s="16" t="n"/>
      <c r="M4233" s="89" t="n"/>
      <c r="N4233" s="1" t="n"/>
      <c r="O4233" s="1" t="n"/>
      <c r="P4233" s="1" t="n"/>
      <c r="Q4233" s="1" t="n"/>
      <c r="R4233" s="1" t="n"/>
    </row>
    <row r="4234">
      <c r="A4234" s="61" t="n"/>
      <c r="B4234" s="16" t="n"/>
      <c r="C4234" s="90" t="n"/>
      <c r="D4234" s="90" t="n"/>
      <c r="E4234" s="90" t="n"/>
      <c r="F4234" s="16" t="n"/>
      <c r="G4234" s="16" t="n"/>
      <c r="H4234" s="63" t="n"/>
      <c r="I4234" s="64" t="n"/>
      <c r="J4234" s="16" t="n"/>
      <c r="K4234" s="16" t="n"/>
      <c r="M4234" s="89" t="n"/>
      <c r="N4234" s="1" t="n"/>
      <c r="O4234" s="1" t="n"/>
      <c r="P4234" s="1" t="n"/>
      <c r="Q4234" s="1" t="n"/>
      <c r="R4234" s="1" t="n"/>
    </row>
    <row r="4235">
      <c r="A4235" s="61" t="n"/>
      <c r="B4235" s="16" t="n"/>
      <c r="C4235" s="90" t="n"/>
      <c r="D4235" s="90" t="n"/>
      <c r="E4235" s="90" t="n"/>
      <c r="F4235" s="16" t="n"/>
      <c r="G4235" s="16" t="n"/>
      <c r="H4235" s="63" t="n"/>
      <c r="I4235" s="64" t="n"/>
      <c r="J4235" s="16" t="n"/>
      <c r="K4235" s="16" t="n"/>
      <c r="M4235" s="89" t="n"/>
      <c r="N4235" s="1" t="n"/>
      <c r="O4235" s="1" t="n"/>
      <c r="P4235" s="1" t="n"/>
      <c r="Q4235" s="1" t="n"/>
      <c r="R4235" s="1" t="n"/>
    </row>
    <row r="4236">
      <c r="A4236" s="61" t="n"/>
      <c r="B4236" s="16" t="n"/>
      <c r="C4236" s="90" t="n"/>
      <c r="D4236" s="90" t="n"/>
      <c r="E4236" s="90" t="n"/>
      <c r="F4236" s="16" t="n"/>
      <c r="G4236" s="16" t="n"/>
      <c r="H4236" s="63" t="n"/>
      <c r="I4236" s="64" t="n"/>
      <c r="J4236" s="16" t="n"/>
      <c r="K4236" s="16" t="n"/>
      <c r="M4236" s="89" t="n"/>
      <c r="N4236" s="1" t="n"/>
      <c r="O4236" s="1" t="n"/>
      <c r="P4236" s="1" t="n"/>
      <c r="Q4236" s="1" t="n"/>
      <c r="R4236" s="1" t="n"/>
    </row>
    <row r="4237">
      <c r="A4237" s="61" t="n"/>
      <c r="B4237" s="16" t="n"/>
      <c r="C4237" s="90" t="n"/>
      <c r="D4237" s="90" t="n"/>
      <c r="E4237" s="90" t="n"/>
      <c r="F4237" s="16" t="n"/>
      <c r="G4237" s="16" t="n"/>
      <c r="H4237" s="63" t="n"/>
      <c r="I4237" s="64" t="n"/>
      <c r="J4237" s="16" t="n"/>
      <c r="K4237" s="16" t="n"/>
      <c r="M4237" s="89" t="n"/>
      <c r="N4237" s="1" t="n"/>
      <c r="O4237" s="1" t="n"/>
      <c r="P4237" s="1" t="n"/>
      <c r="Q4237" s="1" t="n"/>
      <c r="R4237" s="1" t="n"/>
    </row>
    <row r="4238">
      <c r="A4238" s="61" t="n"/>
      <c r="B4238" s="16" t="n"/>
      <c r="C4238" s="90" t="n"/>
      <c r="D4238" s="90" t="n"/>
      <c r="E4238" s="90" t="n"/>
      <c r="F4238" s="16" t="n"/>
      <c r="G4238" s="16" t="n"/>
      <c r="H4238" s="63" t="n"/>
      <c r="I4238" s="64" t="n"/>
      <c r="J4238" s="16" t="n"/>
      <c r="K4238" s="16" t="n"/>
      <c r="M4238" s="89" t="n"/>
      <c r="N4238" s="1" t="n"/>
      <c r="O4238" s="1" t="n"/>
      <c r="P4238" s="1" t="n"/>
      <c r="Q4238" s="1" t="n"/>
      <c r="R4238" s="1" t="n"/>
    </row>
    <row r="4239">
      <c r="A4239" s="61" t="n"/>
      <c r="B4239" s="16" t="n"/>
      <c r="C4239" s="90" t="n"/>
      <c r="D4239" s="90" t="n"/>
      <c r="E4239" s="90" t="n"/>
      <c r="F4239" s="16" t="n"/>
      <c r="G4239" s="16" t="n"/>
      <c r="H4239" s="63" t="n"/>
      <c r="I4239" s="64" t="n"/>
      <c r="J4239" s="16" t="n"/>
      <c r="K4239" s="16" t="n"/>
      <c r="M4239" s="89" t="n"/>
      <c r="N4239" s="1" t="n"/>
      <c r="O4239" s="1" t="n"/>
      <c r="P4239" s="1" t="n"/>
      <c r="Q4239" s="1" t="n"/>
      <c r="R4239" s="1" t="n"/>
    </row>
    <row r="4240">
      <c r="A4240" s="61" t="n"/>
      <c r="B4240" s="16" t="n"/>
      <c r="C4240" s="90" t="n"/>
      <c r="D4240" s="90" t="n"/>
      <c r="E4240" s="90" t="n"/>
      <c r="F4240" s="16" t="n"/>
      <c r="G4240" s="16" t="n"/>
      <c r="H4240" s="63" t="n"/>
      <c r="I4240" s="64" t="n"/>
      <c r="J4240" s="16" t="n"/>
      <c r="K4240" s="16" t="n"/>
      <c r="M4240" s="89" t="n"/>
      <c r="N4240" s="1" t="n"/>
      <c r="O4240" s="1" t="n"/>
      <c r="P4240" s="1" t="n"/>
      <c r="Q4240" s="1" t="n"/>
      <c r="R4240" s="1" t="n"/>
    </row>
    <row r="4241">
      <c r="A4241" s="61" t="n"/>
      <c r="B4241" s="16" t="n"/>
      <c r="C4241" s="90" t="n"/>
      <c r="D4241" s="90" t="n"/>
      <c r="E4241" s="90" t="n"/>
      <c r="F4241" s="16" t="n"/>
      <c r="G4241" s="16" t="n"/>
      <c r="H4241" s="63" t="n"/>
      <c r="I4241" s="64" t="n"/>
      <c r="J4241" s="16" t="n"/>
      <c r="K4241" s="16" t="n"/>
      <c r="M4241" s="89" t="n"/>
      <c r="N4241" s="1" t="n"/>
      <c r="O4241" s="1" t="n"/>
      <c r="P4241" s="1" t="n"/>
      <c r="Q4241" s="1" t="n"/>
      <c r="R4241" s="1" t="n"/>
    </row>
    <row r="4242">
      <c r="A4242" s="61" t="n"/>
      <c r="B4242" s="16" t="n"/>
      <c r="C4242" s="90" t="n"/>
      <c r="D4242" s="90" t="n"/>
      <c r="E4242" s="90" t="n"/>
      <c r="F4242" s="16" t="n"/>
      <c r="G4242" s="16" t="n"/>
      <c r="H4242" s="63" t="n"/>
      <c r="I4242" s="64" t="n"/>
      <c r="J4242" s="16" t="n"/>
      <c r="K4242" s="16" t="n"/>
      <c r="M4242" s="89" t="n"/>
      <c r="N4242" s="1" t="n"/>
      <c r="O4242" s="1" t="n"/>
      <c r="P4242" s="1" t="n"/>
      <c r="Q4242" s="1" t="n"/>
      <c r="R4242" s="1" t="n"/>
    </row>
    <row r="4243">
      <c r="A4243" s="61" t="n"/>
      <c r="B4243" s="16" t="n"/>
      <c r="C4243" s="90" t="n"/>
      <c r="D4243" s="90" t="n"/>
      <c r="E4243" s="90" t="n"/>
      <c r="F4243" s="16" t="n"/>
      <c r="G4243" s="16" t="n"/>
      <c r="H4243" s="63" t="n"/>
      <c r="I4243" s="64" t="n"/>
      <c r="J4243" s="16" t="n"/>
      <c r="K4243" s="16" t="n"/>
      <c r="M4243" s="89" t="n"/>
      <c r="N4243" s="1" t="n"/>
      <c r="O4243" s="1" t="n"/>
      <c r="P4243" s="1" t="n"/>
      <c r="Q4243" s="1" t="n"/>
      <c r="R4243" s="1" t="n"/>
    </row>
    <row r="4244">
      <c r="A4244" s="61" t="n"/>
      <c r="B4244" s="16" t="n"/>
      <c r="C4244" s="90" t="n"/>
      <c r="D4244" s="90" t="n"/>
      <c r="E4244" s="90" t="n"/>
      <c r="F4244" s="16" t="n"/>
      <c r="G4244" s="16" t="n"/>
      <c r="H4244" s="63" t="n"/>
      <c r="I4244" s="64" t="n"/>
      <c r="J4244" s="16" t="n"/>
      <c r="K4244" s="16" t="n"/>
      <c r="M4244" s="89" t="n"/>
      <c r="N4244" s="1" t="n"/>
      <c r="O4244" s="1" t="n"/>
      <c r="P4244" s="1" t="n"/>
      <c r="Q4244" s="1" t="n"/>
      <c r="R4244" s="1" t="n"/>
    </row>
    <row r="4245">
      <c r="A4245" s="61" t="n"/>
      <c r="B4245" s="16" t="n"/>
      <c r="C4245" s="90" t="n"/>
      <c r="D4245" s="90" t="n"/>
      <c r="E4245" s="90" t="n"/>
      <c r="F4245" s="16" t="n"/>
      <c r="G4245" s="16" t="n"/>
      <c r="H4245" s="63" t="n"/>
      <c r="I4245" s="64" t="n"/>
      <c r="J4245" s="16" t="n"/>
      <c r="K4245" s="16" t="n"/>
      <c r="M4245" s="89" t="n"/>
      <c r="N4245" s="1" t="n"/>
      <c r="O4245" s="1" t="n"/>
      <c r="P4245" s="1" t="n"/>
      <c r="Q4245" s="1" t="n"/>
      <c r="R4245" s="1" t="n"/>
    </row>
    <row r="4246">
      <c r="A4246" s="61" t="n"/>
      <c r="B4246" s="16" t="n"/>
      <c r="C4246" s="90" t="n"/>
      <c r="D4246" s="90" t="n"/>
      <c r="E4246" s="90" t="n"/>
      <c r="F4246" s="16" t="n"/>
      <c r="G4246" s="16" t="n"/>
      <c r="H4246" s="63" t="n"/>
      <c r="I4246" s="64" t="n"/>
      <c r="J4246" s="16" t="n"/>
      <c r="K4246" s="16" t="n"/>
      <c r="M4246" s="89" t="n"/>
      <c r="N4246" s="1" t="n"/>
      <c r="O4246" s="1" t="n"/>
      <c r="P4246" s="1" t="n"/>
      <c r="Q4246" s="1" t="n"/>
      <c r="R4246" s="1" t="n"/>
    </row>
    <row r="4247">
      <c r="A4247" s="61" t="n"/>
      <c r="B4247" s="16" t="n"/>
      <c r="C4247" s="90" t="n"/>
      <c r="D4247" s="90" t="n"/>
      <c r="E4247" s="90" t="n"/>
      <c r="F4247" s="16" t="n"/>
      <c r="G4247" s="16" t="n"/>
      <c r="H4247" s="63" t="n"/>
      <c r="I4247" s="64" t="n"/>
      <c r="J4247" s="16" t="n"/>
      <c r="K4247" s="16" t="n"/>
      <c r="M4247" s="89" t="n"/>
      <c r="N4247" s="1" t="n"/>
      <c r="O4247" s="1" t="n"/>
      <c r="P4247" s="1" t="n"/>
      <c r="Q4247" s="1" t="n"/>
      <c r="R4247" s="1" t="n"/>
    </row>
    <row r="4248">
      <c r="A4248" s="61" t="n"/>
      <c r="B4248" s="16" t="n"/>
      <c r="C4248" s="90" t="n"/>
      <c r="D4248" s="90" t="n"/>
      <c r="E4248" s="90" t="n"/>
      <c r="F4248" s="16" t="n"/>
      <c r="G4248" s="16" t="n"/>
      <c r="H4248" s="63" t="n"/>
      <c r="I4248" s="64" t="n"/>
      <c r="J4248" s="16" t="n"/>
      <c r="K4248" s="16" t="n"/>
      <c r="M4248" s="89" t="n"/>
      <c r="N4248" s="1" t="n"/>
      <c r="O4248" s="1" t="n"/>
      <c r="P4248" s="1" t="n"/>
      <c r="Q4248" s="1" t="n"/>
      <c r="R4248" s="1" t="n"/>
    </row>
    <row r="4249">
      <c r="A4249" s="61" t="n"/>
      <c r="B4249" s="16" t="n"/>
      <c r="C4249" s="90" t="n"/>
      <c r="D4249" s="90" t="n"/>
      <c r="E4249" s="90" t="n"/>
      <c r="F4249" s="16" t="n"/>
      <c r="G4249" s="16" t="n"/>
      <c r="H4249" s="63" t="n"/>
      <c r="I4249" s="64" t="n"/>
      <c r="J4249" s="16" t="n"/>
      <c r="K4249" s="16" t="n"/>
      <c r="M4249" s="89" t="n"/>
      <c r="N4249" s="1" t="n"/>
      <c r="O4249" s="1" t="n"/>
      <c r="P4249" s="1" t="n"/>
      <c r="Q4249" s="1" t="n"/>
      <c r="R4249" s="1" t="n"/>
    </row>
    <row r="4250">
      <c r="A4250" s="61" t="n"/>
      <c r="B4250" s="16" t="n"/>
      <c r="C4250" s="90" t="n"/>
      <c r="D4250" s="90" t="n"/>
      <c r="E4250" s="90" t="n"/>
      <c r="F4250" s="16" t="n"/>
      <c r="G4250" s="16" t="n"/>
      <c r="H4250" s="63" t="n"/>
      <c r="I4250" s="64" t="n"/>
      <c r="J4250" s="16" t="n"/>
      <c r="K4250" s="16" t="n"/>
      <c r="M4250" s="89" t="n"/>
      <c r="N4250" s="1" t="n"/>
      <c r="O4250" s="1" t="n"/>
      <c r="P4250" s="1" t="n"/>
      <c r="Q4250" s="1" t="n"/>
      <c r="R4250" s="1" t="n"/>
    </row>
    <row r="4251">
      <c r="A4251" s="61" t="n"/>
      <c r="B4251" s="16" t="n"/>
      <c r="C4251" s="90" t="n"/>
      <c r="D4251" s="90" t="n"/>
      <c r="E4251" s="90" t="n"/>
      <c r="F4251" s="16" t="n"/>
      <c r="G4251" s="16" t="n"/>
      <c r="H4251" s="63" t="n"/>
      <c r="I4251" s="64" t="n"/>
      <c r="J4251" s="16" t="n"/>
      <c r="K4251" s="16" t="n"/>
      <c r="M4251" s="89" t="n"/>
      <c r="N4251" s="1" t="n"/>
      <c r="O4251" s="1" t="n"/>
      <c r="P4251" s="1" t="n"/>
      <c r="Q4251" s="1" t="n"/>
      <c r="R4251" s="1" t="n"/>
    </row>
    <row r="4252">
      <c r="A4252" s="61" t="n"/>
      <c r="B4252" s="16" t="n"/>
      <c r="C4252" s="90" t="n"/>
      <c r="D4252" s="90" t="n"/>
      <c r="E4252" s="90" t="n"/>
      <c r="F4252" s="16" t="n"/>
      <c r="G4252" s="16" t="n"/>
      <c r="H4252" s="63" t="n"/>
      <c r="I4252" s="64" t="n"/>
      <c r="J4252" s="16" t="n"/>
      <c r="K4252" s="16" t="n"/>
      <c r="M4252" s="89" t="n"/>
      <c r="N4252" s="1" t="n"/>
      <c r="O4252" s="1" t="n"/>
      <c r="P4252" s="1" t="n"/>
      <c r="Q4252" s="1" t="n"/>
      <c r="R4252" s="1" t="n"/>
    </row>
    <row r="4253">
      <c r="A4253" s="61" t="n"/>
      <c r="B4253" s="16" t="n"/>
      <c r="C4253" s="90" t="n"/>
      <c r="D4253" s="90" t="n"/>
      <c r="E4253" s="90" t="n"/>
      <c r="F4253" s="16" t="n"/>
      <c r="G4253" s="16" t="n"/>
      <c r="H4253" s="63" t="n"/>
      <c r="I4253" s="64" t="n"/>
      <c r="J4253" s="16" t="n"/>
      <c r="K4253" s="16" t="n"/>
      <c r="M4253" s="89" t="n"/>
      <c r="N4253" s="1" t="n"/>
      <c r="O4253" s="1" t="n"/>
      <c r="P4253" s="1" t="n"/>
      <c r="Q4253" s="1" t="n"/>
      <c r="R4253" s="1" t="n"/>
    </row>
    <row r="4254">
      <c r="A4254" s="61" t="n"/>
      <c r="B4254" s="16" t="n"/>
      <c r="C4254" s="90" t="n"/>
      <c r="D4254" s="90" t="n"/>
      <c r="E4254" s="90" t="n"/>
      <c r="F4254" s="16" t="n"/>
      <c r="G4254" s="16" t="n"/>
      <c r="H4254" s="63" t="n"/>
      <c r="I4254" s="64" t="n"/>
      <c r="J4254" s="16" t="n"/>
      <c r="K4254" s="16" t="n"/>
      <c r="M4254" s="89" t="n"/>
      <c r="N4254" s="1" t="n"/>
      <c r="O4254" s="1" t="n"/>
      <c r="P4254" s="1" t="n"/>
      <c r="Q4254" s="1" t="n"/>
      <c r="R4254" s="1" t="n"/>
    </row>
    <row r="4255">
      <c r="A4255" s="61" t="n"/>
      <c r="B4255" s="16" t="n"/>
      <c r="C4255" s="90" t="n"/>
      <c r="D4255" s="90" t="n"/>
      <c r="E4255" s="90" t="n"/>
      <c r="F4255" s="16" t="n"/>
      <c r="G4255" s="16" t="n"/>
      <c r="H4255" s="63" t="n"/>
      <c r="I4255" s="64" t="n"/>
      <c r="J4255" s="16" t="n"/>
      <c r="K4255" s="16" t="n"/>
      <c r="M4255" s="89" t="n"/>
      <c r="N4255" s="1" t="n"/>
      <c r="O4255" s="1" t="n"/>
      <c r="P4255" s="1" t="n"/>
      <c r="Q4255" s="1" t="n"/>
      <c r="R4255" s="1" t="n"/>
    </row>
    <row r="4256">
      <c r="A4256" s="61" t="n"/>
      <c r="B4256" s="16" t="n"/>
      <c r="C4256" s="90" t="n"/>
      <c r="D4256" s="90" t="n"/>
      <c r="E4256" s="90" t="n"/>
      <c r="F4256" s="16" t="n"/>
      <c r="G4256" s="16" t="n"/>
      <c r="H4256" s="63" t="n"/>
      <c r="I4256" s="64" t="n"/>
      <c r="J4256" s="16" t="n"/>
      <c r="K4256" s="16" t="n"/>
      <c r="M4256" s="89" t="n"/>
      <c r="N4256" s="1" t="n"/>
      <c r="O4256" s="1" t="n"/>
      <c r="P4256" s="1" t="n"/>
      <c r="Q4256" s="1" t="n"/>
      <c r="R4256" s="1" t="n"/>
    </row>
    <row r="4257">
      <c r="A4257" s="61" t="n"/>
      <c r="B4257" s="16" t="n"/>
      <c r="C4257" s="90" t="n"/>
      <c r="D4257" s="90" t="n"/>
      <c r="E4257" s="90" t="n"/>
      <c r="F4257" s="16" t="n"/>
      <c r="G4257" s="16" t="n"/>
      <c r="H4257" s="63" t="n"/>
      <c r="I4257" s="64" t="n"/>
      <c r="J4257" s="16" t="n"/>
      <c r="K4257" s="16" t="n"/>
      <c r="M4257" s="89" t="n"/>
      <c r="N4257" s="1" t="n"/>
      <c r="O4257" s="1" t="n"/>
      <c r="P4257" s="1" t="n"/>
      <c r="Q4257" s="1" t="n"/>
      <c r="R4257" s="1" t="n"/>
    </row>
    <row r="4258">
      <c r="A4258" s="61" t="n"/>
      <c r="B4258" s="16" t="n"/>
      <c r="C4258" s="90" t="n"/>
      <c r="D4258" s="90" t="n"/>
      <c r="E4258" s="90" t="n"/>
      <c r="F4258" s="16" t="n"/>
      <c r="G4258" s="16" t="n"/>
      <c r="H4258" s="63" t="n"/>
      <c r="I4258" s="64" t="n"/>
      <c r="J4258" s="16" t="n"/>
      <c r="K4258" s="16" t="n"/>
      <c r="M4258" s="89" t="n"/>
      <c r="N4258" s="1" t="n"/>
      <c r="O4258" s="1" t="n"/>
      <c r="P4258" s="1" t="n"/>
      <c r="Q4258" s="1" t="n"/>
      <c r="R4258" s="1" t="n"/>
    </row>
    <row r="4259">
      <c r="A4259" s="61" t="n"/>
      <c r="B4259" s="16" t="n"/>
      <c r="C4259" s="90" t="n"/>
      <c r="D4259" s="90" t="n"/>
      <c r="E4259" s="90" t="n"/>
      <c r="F4259" s="16" t="n"/>
      <c r="G4259" s="16" t="n"/>
      <c r="H4259" s="63" t="n"/>
      <c r="I4259" s="64" t="n"/>
      <c r="J4259" s="16" t="n"/>
      <c r="K4259" s="16" t="n"/>
      <c r="M4259" s="89" t="n"/>
      <c r="N4259" s="1" t="n"/>
      <c r="O4259" s="1" t="n"/>
      <c r="P4259" s="1" t="n"/>
      <c r="Q4259" s="1" t="n"/>
      <c r="R4259" s="1" t="n"/>
    </row>
    <row r="4260">
      <c r="A4260" s="61" t="n"/>
      <c r="B4260" s="16" t="n"/>
      <c r="C4260" s="90" t="n"/>
      <c r="D4260" s="90" t="n"/>
      <c r="E4260" s="90" t="n"/>
      <c r="F4260" s="16" t="n"/>
      <c r="G4260" s="16" t="n"/>
      <c r="H4260" s="63" t="n"/>
      <c r="I4260" s="64" t="n"/>
      <c r="J4260" s="16" t="n"/>
      <c r="K4260" s="16" t="n"/>
      <c r="M4260" s="89" t="n"/>
      <c r="N4260" s="1" t="n"/>
      <c r="O4260" s="1" t="n"/>
      <c r="P4260" s="1" t="n"/>
      <c r="Q4260" s="1" t="n"/>
      <c r="R4260" s="1" t="n"/>
    </row>
    <row r="4261">
      <c r="A4261" s="61" t="n"/>
      <c r="B4261" s="16" t="n"/>
      <c r="C4261" s="90" t="n"/>
      <c r="D4261" s="90" t="n"/>
      <c r="E4261" s="90" t="n"/>
      <c r="F4261" s="16" t="n"/>
      <c r="G4261" s="16" t="n"/>
      <c r="H4261" s="63" t="n"/>
      <c r="I4261" s="64" t="n"/>
      <c r="J4261" s="16" t="n"/>
      <c r="K4261" s="16" t="n"/>
      <c r="M4261" s="89" t="n"/>
      <c r="N4261" s="1" t="n"/>
      <c r="O4261" s="1" t="n"/>
      <c r="P4261" s="1" t="n"/>
      <c r="Q4261" s="1" t="n"/>
      <c r="R4261" s="1" t="n"/>
    </row>
    <row r="4262">
      <c r="A4262" s="61" t="n"/>
      <c r="B4262" s="16" t="n"/>
      <c r="C4262" s="90" t="n"/>
      <c r="D4262" s="90" t="n"/>
      <c r="E4262" s="90" t="n"/>
      <c r="F4262" s="16" t="n"/>
      <c r="G4262" s="16" t="n"/>
      <c r="H4262" s="63" t="n"/>
      <c r="I4262" s="64" t="n"/>
      <c r="J4262" s="16" t="n"/>
      <c r="K4262" s="16" t="n"/>
      <c r="M4262" s="89" t="n"/>
      <c r="N4262" s="1" t="n"/>
      <c r="O4262" s="1" t="n"/>
      <c r="P4262" s="1" t="n"/>
      <c r="Q4262" s="1" t="n"/>
      <c r="R4262" s="1" t="n"/>
    </row>
    <row r="4263">
      <c r="A4263" s="61" t="n"/>
      <c r="B4263" s="16" t="n"/>
      <c r="C4263" s="90" t="n"/>
      <c r="D4263" s="90" t="n"/>
      <c r="E4263" s="90" t="n"/>
      <c r="F4263" s="16" t="n"/>
      <c r="G4263" s="16" t="n"/>
      <c r="H4263" s="63" t="n"/>
      <c r="I4263" s="64" t="n"/>
      <c r="J4263" s="16" t="n"/>
      <c r="K4263" s="16" t="n"/>
      <c r="M4263" s="89" t="n"/>
      <c r="N4263" s="1" t="n"/>
      <c r="O4263" s="1" t="n"/>
      <c r="P4263" s="1" t="n"/>
      <c r="Q4263" s="1" t="n"/>
      <c r="R4263" s="1" t="n"/>
    </row>
    <row r="4264">
      <c r="A4264" s="61" t="n"/>
      <c r="B4264" s="16" t="n"/>
      <c r="C4264" s="90" t="n"/>
      <c r="D4264" s="90" t="n"/>
      <c r="E4264" s="90" t="n"/>
      <c r="F4264" s="16" t="n"/>
      <c r="G4264" s="16" t="n"/>
      <c r="H4264" s="63" t="n"/>
      <c r="I4264" s="64" t="n"/>
      <c r="J4264" s="16" t="n"/>
      <c r="K4264" s="16" t="n"/>
      <c r="M4264" s="89" t="n"/>
      <c r="N4264" s="1" t="n"/>
      <c r="O4264" s="1" t="n"/>
      <c r="P4264" s="1" t="n"/>
      <c r="Q4264" s="1" t="n"/>
      <c r="R4264" s="1" t="n"/>
    </row>
    <row r="4265">
      <c r="A4265" s="61" t="n"/>
      <c r="B4265" s="16" t="n"/>
      <c r="C4265" s="90" t="n"/>
      <c r="D4265" s="90" t="n"/>
      <c r="E4265" s="90" t="n"/>
      <c r="F4265" s="16" t="n"/>
      <c r="G4265" s="16" t="n"/>
      <c r="H4265" s="63" t="n"/>
      <c r="I4265" s="64" t="n"/>
      <c r="J4265" s="16" t="n"/>
      <c r="K4265" s="16" t="n"/>
      <c r="M4265" s="89" t="n"/>
      <c r="N4265" s="1" t="n"/>
      <c r="O4265" s="1" t="n"/>
      <c r="P4265" s="1" t="n"/>
      <c r="Q4265" s="1" t="n"/>
      <c r="R4265" s="1" t="n"/>
    </row>
    <row r="4266">
      <c r="A4266" s="61" t="n"/>
      <c r="B4266" s="16" t="n"/>
      <c r="C4266" s="90" t="n"/>
      <c r="D4266" s="90" t="n"/>
      <c r="E4266" s="90" t="n"/>
      <c r="F4266" s="16" t="n"/>
      <c r="G4266" s="16" t="n"/>
      <c r="H4266" s="63" t="n"/>
      <c r="I4266" s="64" t="n"/>
      <c r="J4266" s="16" t="n"/>
      <c r="K4266" s="16" t="n"/>
      <c r="M4266" s="89" t="n"/>
      <c r="N4266" s="1" t="n"/>
      <c r="O4266" s="1" t="n"/>
      <c r="P4266" s="1" t="n"/>
      <c r="Q4266" s="1" t="n"/>
      <c r="R4266" s="1" t="n"/>
    </row>
    <row r="4267">
      <c r="A4267" s="61" t="n"/>
      <c r="B4267" s="16" t="n"/>
      <c r="C4267" s="90" t="n"/>
      <c r="D4267" s="90" t="n"/>
      <c r="E4267" s="90" t="n"/>
      <c r="F4267" s="16" t="n"/>
      <c r="G4267" s="16" t="n"/>
      <c r="H4267" s="63" t="n"/>
      <c r="I4267" s="64" t="n"/>
      <c r="J4267" s="16" t="n"/>
      <c r="K4267" s="16" t="n"/>
      <c r="M4267" s="89" t="n"/>
      <c r="N4267" s="1" t="n"/>
      <c r="O4267" s="1" t="n"/>
      <c r="P4267" s="1" t="n"/>
      <c r="Q4267" s="1" t="n"/>
      <c r="R4267" s="1" t="n"/>
    </row>
    <row r="4268">
      <c r="A4268" s="61" t="n"/>
      <c r="B4268" s="16" t="n"/>
      <c r="C4268" s="90" t="n"/>
      <c r="D4268" s="90" t="n"/>
      <c r="E4268" s="90" t="n"/>
      <c r="F4268" s="16" t="n"/>
      <c r="G4268" s="16" t="n"/>
      <c r="H4268" s="63" t="n"/>
      <c r="I4268" s="64" t="n"/>
      <c r="J4268" s="16" t="n"/>
      <c r="K4268" s="16" t="n"/>
      <c r="M4268" s="89" t="n"/>
      <c r="N4268" s="1" t="n"/>
      <c r="O4268" s="1" t="n"/>
      <c r="P4268" s="1" t="n"/>
      <c r="Q4268" s="1" t="n"/>
      <c r="R4268" s="1" t="n"/>
    </row>
    <row r="4269">
      <c r="A4269" s="61" t="n"/>
      <c r="B4269" s="16" t="n"/>
      <c r="C4269" s="90" t="n"/>
      <c r="D4269" s="90" t="n"/>
      <c r="E4269" s="90" t="n"/>
      <c r="F4269" s="16" t="n"/>
      <c r="G4269" s="16" t="n"/>
      <c r="H4269" s="63" t="n"/>
      <c r="I4269" s="64" t="n"/>
      <c r="J4269" s="16" t="n"/>
      <c r="K4269" s="16" t="n"/>
      <c r="M4269" s="89" t="n"/>
      <c r="N4269" s="1" t="n"/>
      <c r="O4269" s="1" t="n"/>
      <c r="P4269" s="1" t="n"/>
      <c r="Q4269" s="1" t="n"/>
      <c r="R4269" s="1" t="n"/>
    </row>
    <row r="4270">
      <c r="A4270" s="61" t="n"/>
      <c r="B4270" s="16" t="n"/>
      <c r="C4270" s="90" t="n"/>
      <c r="D4270" s="90" t="n"/>
      <c r="E4270" s="90" t="n"/>
      <c r="F4270" s="16" t="n"/>
      <c r="G4270" s="16" t="n"/>
      <c r="H4270" s="63" t="n"/>
      <c r="I4270" s="64" t="n"/>
      <c r="J4270" s="16" t="n"/>
      <c r="K4270" s="16" t="n"/>
      <c r="M4270" s="89" t="n"/>
      <c r="N4270" s="1" t="n"/>
      <c r="O4270" s="1" t="n"/>
      <c r="P4270" s="1" t="n"/>
      <c r="Q4270" s="1" t="n"/>
      <c r="R4270" s="1" t="n"/>
    </row>
    <row r="4271">
      <c r="A4271" s="61" t="n"/>
      <c r="B4271" s="16" t="n"/>
      <c r="C4271" s="90" t="n"/>
      <c r="D4271" s="90" t="n"/>
      <c r="E4271" s="90" t="n"/>
      <c r="F4271" s="16" t="n"/>
      <c r="G4271" s="16" t="n"/>
      <c r="H4271" s="63" t="n"/>
      <c r="I4271" s="64" t="n"/>
      <c r="J4271" s="16" t="n"/>
      <c r="K4271" s="16" t="n"/>
      <c r="M4271" s="89" t="n"/>
      <c r="N4271" s="1" t="n"/>
      <c r="O4271" s="1" t="n"/>
      <c r="P4271" s="1" t="n"/>
      <c r="Q4271" s="1" t="n"/>
      <c r="R4271" s="1" t="n"/>
    </row>
    <row r="4272">
      <c r="A4272" s="61" t="n"/>
      <c r="B4272" s="16" t="n"/>
      <c r="C4272" s="90" t="n"/>
      <c r="D4272" s="90" t="n"/>
      <c r="E4272" s="90" t="n"/>
      <c r="F4272" s="16" t="n"/>
      <c r="G4272" s="16" t="n"/>
      <c r="H4272" s="63" t="n"/>
      <c r="I4272" s="64" t="n"/>
      <c r="J4272" s="16" t="n"/>
      <c r="K4272" s="16" t="n"/>
      <c r="M4272" s="89" t="n"/>
      <c r="N4272" s="1" t="n"/>
      <c r="O4272" s="1" t="n"/>
      <c r="P4272" s="1" t="n"/>
      <c r="Q4272" s="1" t="n"/>
      <c r="R4272" s="1" t="n"/>
    </row>
    <row r="4273">
      <c r="A4273" s="61" t="n"/>
      <c r="B4273" s="16" t="n"/>
      <c r="C4273" s="90" t="n"/>
      <c r="D4273" s="90" t="n"/>
      <c r="E4273" s="90" t="n"/>
      <c r="F4273" s="16" t="n"/>
      <c r="G4273" s="16" t="n"/>
      <c r="H4273" s="63" t="n"/>
      <c r="I4273" s="64" t="n"/>
      <c r="J4273" s="16" t="n"/>
      <c r="K4273" s="16" t="n"/>
      <c r="M4273" s="89" t="n"/>
      <c r="N4273" s="1" t="n"/>
      <c r="O4273" s="1" t="n"/>
      <c r="P4273" s="1" t="n"/>
      <c r="Q4273" s="1" t="n"/>
      <c r="R4273" s="1" t="n"/>
    </row>
    <row r="4274">
      <c r="A4274" s="61" t="n"/>
      <c r="B4274" s="16" t="n"/>
      <c r="C4274" s="90" t="n"/>
      <c r="D4274" s="90" t="n"/>
      <c r="E4274" s="90" t="n"/>
      <c r="F4274" s="16" t="n"/>
      <c r="G4274" s="16" t="n"/>
      <c r="H4274" s="63" t="n"/>
      <c r="I4274" s="64" t="n"/>
      <c r="J4274" s="16" t="n"/>
      <c r="K4274" s="16" t="n"/>
      <c r="M4274" s="89" t="n"/>
      <c r="N4274" s="1" t="n"/>
      <c r="O4274" s="1" t="n"/>
      <c r="P4274" s="1" t="n"/>
      <c r="Q4274" s="1" t="n"/>
      <c r="R4274" s="1" t="n"/>
    </row>
    <row r="4275">
      <c r="A4275" s="61" t="n"/>
      <c r="B4275" s="16" t="n"/>
      <c r="C4275" s="90" t="n"/>
      <c r="D4275" s="90" t="n"/>
      <c r="E4275" s="90" t="n"/>
      <c r="F4275" s="16" t="n"/>
      <c r="G4275" s="16" t="n"/>
      <c r="H4275" s="63" t="n"/>
      <c r="I4275" s="64" t="n"/>
      <c r="J4275" s="16" t="n"/>
      <c r="K4275" s="16" t="n"/>
      <c r="M4275" s="89" t="n"/>
      <c r="N4275" s="1" t="n"/>
      <c r="O4275" s="1" t="n"/>
      <c r="P4275" s="1" t="n"/>
      <c r="Q4275" s="1" t="n"/>
      <c r="R4275" s="1" t="n"/>
    </row>
    <row r="4276">
      <c r="A4276" s="61" t="n"/>
      <c r="B4276" s="16" t="n"/>
      <c r="C4276" s="90" t="n"/>
      <c r="D4276" s="90" t="n"/>
      <c r="E4276" s="90" t="n"/>
      <c r="F4276" s="16" t="n"/>
      <c r="G4276" s="16" t="n"/>
      <c r="H4276" s="63" t="n"/>
      <c r="I4276" s="64" t="n"/>
      <c r="J4276" s="16" t="n"/>
      <c r="K4276" s="16" t="n"/>
      <c r="M4276" s="89" t="n"/>
      <c r="N4276" s="1" t="n"/>
      <c r="O4276" s="1" t="n"/>
      <c r="P4276" s="1" t="n"/>
      <c r="Q4276" s="1" t="n"/>
      <c r="R4276" s="1" t="n"/>
    </row>
    <row r="4277">
      <c r="A4277" s="61" t="n"/>
      <c r="B4277" s="16" t="n"/>
      <c r="C4277" s="90" t="n"/>
      <c r="D4277" s="90" t="n"/>
      <c r="E4277" s="90" t="n"/>
      <c r="F4277" s="16" t="n"/>
      <c r="G4277" s="16" t="n"/>
      <c r="H4277" s="63" t="n"/>
      <c r="I4277" s="64" t="n"/>
      <c r="J4277" s="16" t="n"/>
      <c r="K4277" s="16" t="n"/>
      <c r="M4277" s="89" t="n"/>
      <c r="N4277" s="1" t="n"/>
      <c r="O4277" s="1" t="n"/>
      <c r="P4277" s="1" t="n"/>
      <c r="Q4277" s="1" t="n"/>
      <c r="R4277" s="1" t="n"/>
    </row>
    <row r="4278">
      <c r="A4278" s="61" t="n"/>
      <c r="B4278" s="16" t="n"/>
      <c r="C4278" s="90" t="n"/>
      <c r="D4278" s="90" t="n"/>
      <c r="E4278" s="90" t="n"/>
      <c r="F4278" s="16" t="n"/>
      <c r="G4278" s="16" t="n"/>
      <c r="H4278" s="63" t="n"/>
      <c r="I4278" s="64" t="n"/>
      <c r="J4278" s="16" t="n"/>
      <c r="K4278" s="16" t="n"/>
      <c r="M4278" s="89" t="n"/>
      <c r="N4278" s="1" t="n"/>
      <c r="O4278" s="1" t="n"/>
      <c r="P4278" s="1" t="n"/>
      <c r="Q4278" s="1" t="n"/>
      <c r="R4278" s="1" t="n"/>
    </row>
    <row r="4279">
      <c r="A4279" s="61" t="n"/>
      <c r="B4279" s="16" t="n"/>
      <c r="C4279" s="90" t="n"/>
      <c r="D4279" s="90" t="n"/>
      <c r="E4279" s="90" t="n"/>
      <c r="F4279" s="16" t="n"/>
      <c r="G4279" s="16" t="n"/>
      <c r="H4279" s="63" t="n"/>
      <c r="I4279" s="64" t="n"/>
      <c r="J4279" s="16" t="n"/>
      <c r="K4279" s="16" t="n"/>
      <c r="M4279" s="89" t="n"/>
      <c r="N4279" s="1" t="n"/>
      <c r="O4279" s="1" t="n"/>
      <c r="P4279" s="1" t="n"/>
      <c r="Q4279" s="1" t="n"/>
      <c r="R4279" s="1" t="n"/>
    </row>
    <row r="4280">
      <c r="A4280" s="61" t="n"/>
      <c r="B4280" s="16" t="n"/>
      <c r="C4280" s="90" t="n"/>
      <c r="D4280" s="90" t="n"/>
      <c r="E4280" s="90" t="n"/>
      <c r="F4280" s="16" t="n"/>
      <c r="G4280" s="16" t="n"/>
      <c r="H4280" s="63" t="n"/>
      <c r="I4280" s="64" t="n"/>
      <c r="J4280" s="16" t="n"/>
      <c r="K4280" s="16" t="n"/>
      <c r="M4280" s="89" t="n"/>
      <c r="N4280" s="1" t="n"/>
      <c r="O4280" s="1" t="n"/>
      <c r="P4280" s="1" t="n"/>
      <c r="Q4280" s="1" t="n"/>
      <c r="R4280" s="1" t="n"/>
    </row>
    <row r="4281">
      <c r="A4281" s="61" t="n"/>
      <c r="B4281" s="16" t="n"/>
      <c r="C4281" s="90" t="n"/>
      <c r="D4281" s="90" t="n"/>
      <c r="E4281" s="90" t="n"/>
      <c r="F4281" s="16" t="n"/>
      <c r="G4281" s="16" t="n"/>
      <c r="H4281" s="63" t="n"/>
      <c r="I4281" s="64" t="n"/>
      <c r="J4281" s="16" t="n"/>
      <c r="K4281" s="16" t="n"/>
      <c r="M4281" s="89" t="n"/>
      <c r="N4281" s="1" t="n"/>
      <c r="O4281" s="1" t="n"/>
      <c r="P4281" s="1" t="n"/>
      <c r="Q4281" s="1" t="n"/>
      <c r="R4281" s="1" t="n"/>
    </row>
    <row r="4282">
      <c r="A4282" s="61" t="n"/>
      <c r="B4282" s="16" t="n"/>
      <c r="C4282" s="90" t="n"/>
      <c r="D4282" s="90" t="n"/>
      <c r="E4282" s="90" t="n"/>
      <c r="F4282" s="16" t="n"/>
      <c r="G4282" s="16" t="n"/>
      <c r="H4282" s="63" t="n"/>
      <c r="I4282" s="64" t="n"/>
      <c r="J4282" s="16" t="n"/>
      <c r="K4282" s="16" t="n"/>
      <c r="M4282" s="89" t="n"/>
      <c r="N4282" s="1" t="n"/>
      <c r="O4282" s="1" t="n"/>
      <c r="P4282" s="1" t="n"/>
      <c r="Q4282" s="1" t="n"/>
      <c r="R4282" s="1" t="n"/>
    </row>
    <row r="4283">
      <c r="A4283" s="61" t="n"/>
      <c r="B4283" s="16" t="n"/>
      <c r="C4283" s="90" t="n"/>
      <c r="D4283" s="90" t="n"/>
      <c r="E4283" s="90" t="n"/>
      <c r="F4283" s="16" t="n"/>
      <c r="G4283" s="16" t="n"/>
      <c r="H4283" s="63" t="n"/>
      <c r="I4283" s="64" t="n"/>
      <c r="J4283" s="16" t="n"/>
      <c r="K4283" s="16" t="n"/>
      <c r="M4283" s="89" t="n"/>
      <c r="N4283" s="1" t="n"/>
      <c r="O4283" s="1" t="n"/>
      <c r="P4283" s="1" t="n"/>
      <c r="Q4283" s="1" t="n"/>
      <c r="R4283" s="1" t="n"/>
    </row>
    <row r="4284">
      <c r="A4284" s="61" t="n"/>
      <c r="B4284" s="16" t="n"/>
      <c r="C4284" s="90" t="n"/>
      <c r="D4284" s="90" t="n"/>
      <c r="E4284" s="90" t="n"/>
      <c r="F4284" s="16" t="n"/>
      <c r="G4284" s="16" t="n"/>
      <c r="H4284" s="63" t="n"/>
      <c r="I4284" s="64" t="n"/>
      <c r="J4284" s="16" t="n"/>
      <c r="K4284" s="16" t="n"/>
      <c r="M4284" s="89" t="n"/>
      <c r="N4284" s="1" t="n"/>
      <c r="O4284" s="1" t="n"/>
      <c r="P4284" s="1" t="n"/>
      <c r="Q4284" s="1" t="n"/>
      <c r="R4284" s="1" t="n"/>
    </row>
    <row r="4285">
      <c r="A4285" s="61" t="n"/>
      <c r="B4285" s="16" t="n"/>
      <c r="C4285" s="90" t="n"/>
      <c r="D4285" s="90" t="n"/>
      <c r="E4285" s="90" t="n"/>
      <c r="F4285" s="16" t="n"/>
      <c r="G4285" s="16" t="n"/>
      <c r="H4285" s="63" t="n"/>
      <c r="I4285" s="64" t="n"/>
      <c r="J4285" s="16" t="n"/>
      <c r="K4285" s="16" t="n"/>
      <c r="M4285" s="89" t="n"/>
      <c r="N4285" s="1" t="n"/>
      <c r="O4285" s="1" t="n"/>
      <c r="P4285" s="1" t="n"/>
      <c r="Q4285" s="1" t="n"/>
      <c r="R4285" s="1" t="n"/>
    </row>
    <row r="4286">
      <c r="A4286" s="61" t="n"/>
      <c r="B4286" s="16" t="n"/>
      <c r="C4286" s="90" t="n"/>
      <c r="D4286" s="90" t="n"/>
      <c r="E4286" s="90" t="n"/>
      <c r="F4286" s="16" t="n"/>
      <c r="G4286" s="16" t="n"/>
      <c r="H4286" s="63" t="n"/>
      <c r="I4286" s="64" t="n"/>
      <c r="J4286" s="16" t="n"/>
      <c r="K4286" s="16" t="n"/>
      <c r="M4286" s="89" t="n"/>
      <c r="N4286" s="1" t="n"/>
      <c r="O4286" s="1" t="n"/>
      <c r="P4286" s="1" t="n"/>
      <c r="Q4286" s="1" t="n"/>
      <c r="R4286" s="1" t="n"/>
    </row>
    <row r="4287">
      <c r="A4287" s="61" t="n"/>
      <c r="B4287" s="16" t="n"/>
      <c r="C4287" s="90" t="n"/>
      <c r="D4287" s="90" t="n"/>
      <c r="E4287" s="90" t="n"/>
      <c r="F4287" s="16" t="n"/>
      <c r="G4287" s="16" t="n"/>
      <c r="H4287" s="63" t="n"/>
      <c r="I4287" s="64" t="n"/>
      <c r="J4287" s="16" t="n"/>
      <c r="K4287" s="16" t="n"/>
      <c r="M4287" s="89" t="n"/>
      <c r="N4287" s="1" t="n"/>
      <c r="O4287" s="1" t="n"/>
      <c r="P4287" s="1" t="n"/>
      <c r="Q4287" s="1" t="n"/>
      <c r="R4287" s="1" t="n"/>
    </row>
    <row r="4288">
      <c r="A4288" s="61" t="n"/>
      <c r="B4288" s="16" t="n"/>
      <c r="C4288" s="90" t="n"/>
      <c r="D4288" s="90" t="n"/>
      <c r="E4288" s="90" t="n"/>
      <c r="F4288" s="16" t="n"/>
      <c r="G4288" s="16" t="n"/>
      <c r="H4288" s="63" t="n"/>
      <c r="I4288" s="64" t="n"/>
      <c r="J4288" s="16" t="n"/>
      <c r="K4288" s="16" t="n"/>
      <c r="M4288" s="89" t="n"/>
      <c r="N4288" s="1" t="n"/>
      <c r="O4288" s="1" t="n"/>
      <c r="P4288" s="1" t="n"/>
      <c r="Q4288" s="1" t="n"/>
      <c r="R4288" s="1" t="n"/>
    </row>
    <row r="4289">
      <c r="A4289" s="61" t="n"/>
      <c r="B4289" s="16" t="n"/>
      <c r="C4289" s="90" t="n"/>
      <c r="D4289" s="90" t="n"/>
      <c r="E4289" s="90" t="n"/>
      <c r="F4289" s="16" t="n"/>
      <c r="G4289" s="16" t="n"/>
      <c r="H4289" s="63" t="n"/>
      <c r="I4289" s="64" t="n"/>
      <c r="J4289" s="16" t="n"/>
      <c r="K4289" s="16" t="n"/>
      <c r="M4289" s="89" t="n"/>
      <c r="N4289" s="1" t="n"/>
      <c r="O4289" s="1" t="n"/>
      <c r="P4289" s="1" t="n"/>
      <c r="Q4289" s="1" t="n"/>
      <c r="R4289" s="1" t="n"/>
    </row>
    <row r="4290">
      <c r="A4290" s="61" t="n"/>
      <c r="B4290" s="16" t="n"/>
      <c r="C4290" s="90" t="n"/>
      <c r="D4290" s="90" t="n"/>
      <c r="E4290" s="90" t="n"/>
      <c r="F4290" s="16" t="n"/>
      <c r="G4290" s="16" t="n"/>
      <c r="H4290" s="63" t="n"/>
      <c r="I4290" s="64" t="n"/>
      <c r="J4290" s="16" t="n"/>
      <c r="K4290" s="16" t="n"/>
      <c r="M4290" s="89" t="n"/>
      <c r="N4290" s="1" t="n"/>
      <c r="O4290" s="1" t="n"/>
      <c r="P4290" s="1" t="n"/>
      <c r="Q4290" s="1" t="n"/>
      <c r="R4290" s="1" t="n"/>
    </row>
    <row r="4291">
      <c r="A4291" s="61" t="n"/>
      <c r="B4291" s="16" t="n"/>
      <c r="C4291" s="90" t="n"/>
      <c r="D4291" s="90" t="n"/>
      <c r="E4291" s="90" t="n"/>
      <c r="F4291" s="16" t="n"/>
      <c r="G4291" s="16" t="n"/>
      <c r="H4291" s="63" t="n"/>
      <c r="I4291" s="64" t="n"/>
      <c r="J4291" s="16" t="n"/>
      <c r="K4291" s="16" t="n"/>
      <c r="M4291" s="89" t="n"/>
      <c r="N4291" s="1" t="n"/>
      <c r="O4291" s="1" t="n"/>
      <c r="P4291" s="1" t="n"/>
      <c r="Q4291" s="1" t="n"/>
      <c r="R4291" s="1" t="n"/>
    </row>
    <row r="4292">
      <c r="A4292" s="61" t="n"/>
      <c r="B4292" s="16" t="n"/>
      <c r="C4292" s="90" t="n"/>
      <c r="D4292" s="90" t="n"/>
      <c r="E4292" s="90" t="n"/>
      <c r="F4292" s="16" t="n"/>
      <c r="G4292" s="16" t="n"/>
      <c r="H4292" s="63" t="n"/>
      <c r="I4292" s="64" t="n"/>
      <c r="J4292" s="16" t="n"/>
      <c r="K4292" s="16" t="n"/>
      <c r="M4292" s="89" t="n"/>
      <c r="N4292" s="1" t="n"/>
      <c r="O4292" s="1" t="n"/>
      <c r="P4292" s="1" t="n"/>
      <c r="Q4292" s="1" t="n"/>
      <c r="R4292" s="1" t="n"/>
    </row>
    <row r="4293">
      <c r="A4293" s="61" t="n"/>
      <c r="B4293" s="16" t="n"/>
      <c r="C4293" s="90" t="n"/>
      <c r="D4293" s="90" t="n"/>
      <c r="E4293" s="90" t="n"/>
      <c r="F4293" s="16" t="n"/>
      <c r="G4293" s="16" t="n"/>
      <c r="H4293" s="63" t="n"/>
      <c r="I4293" s="64" t="n"/>
      <c r="J4293" s="16" t="n"/>
      <c r="K4293" s="16" t="n"/>
      <c r="M4293" s="89" t="n"/>
      <c r="N4293" s="1" t="n"/>
      <c r="O4293" s="1" t="n"/>
      <c r="P4293" s="1" t="n"/>
      <c r="Q4293" s="1" t="n"/>
      <c r="R4293" s="1" t="n"/>
    </row>
    <row r="4294">
      <c r="A4294" s="61" t="n"/>
      <c r="B4294" s="16" t="n"/>
      <c r="C4294" s="90" t="n"/>
      <c r="D4294" s="90" t="n"/>
      <c r="E4294" s="90" t="n"/>
      <c r="F4294" s="16" t="n"/>
      <c r="G4294" s="16" t="n"/>
      <c r="H4294" s="63" t="n"/>
      <c r="I4294" s="64" t="n"/>
      <c r="J4294" s="16" t="n"/>
      <c r="K4294" s="16" t="n"/>
      <c r="M4294" s="89" t="n"/>
      <c r="N4294" s="1" t="n"/>
      <c r="O4294" s="1" t="n"/>
      <c r="P4294" s="1" t="n"/>
      <c r="Q4294" s="1" t="n"/>
      <c r="R4294" s="1" t="n"/>
    </row>
    <row r="4295">
      <c r="A4295" s="61" t="n"/>
      <c r="B4295" s="16" t="n"/>
      <c r="C4295" s="90" t="n"/>
      <c r="D4295" s="90" t="n"/>
      <c r="E4295" s="90" t="n"/>
      <c r="F4295" s="16" t="n"/>
      <c r="G4295" s="16" t="n"/>
      <c r="H4295" s="63" t="n"/>
      <c r="I4295" s="64" t="n"/>
      <c r="J4295" s="16" t="n"/>
      <c r="K4295" s="16" t="n"/>
      <c r="M4295" s="89" t="n"/>
      <c r="N4295" s="1" t="n"/>
      <c r="O4295" s="1" t="n"/>
      <c r="P4295" s="1" t="n"/>
      <c r="Q4295" s="1" t="n"/>
      <c r="R4295" s="1" t="n"/>
    </row>
    <row r="4296">
      <c r="A4296" s="61" t="n"/>
      <c r="B4296" s="16" t="n"/>
      <c r="C4296" s="90" t="n"/>
      <c r="D4296" s="90" t="n"/>
      <c r="E4296" s="90" t="n"/>
      <c r="F4296" s="16" t="n"/>
      <c r="G4296" s="16" t="n"/>
      <c r="H4296" s="63" t="n"/>
      <c r="I4296" s="64" t="n"/>
      <c r="J4296" s="16" t="n"/>
      <c r="K4296" s="16" t="n"/>
      <c r="M4296" s="89" t="n"/>
      <c r="N4296" s="1" t="n"/>
      <c r="O4296" s="1" t="n"/>
      <c r="P4296" s="1" t="n"/>
      <c r="Q4296" s="1" t="n"/>
      <c r="R4296" s="1" t="n"/>
    </row>
    <row r="4297">
      <c r="A4297" s="61" t="n"/>
      <c r="B4297" s="16" t="n"/>
      <c r="C4297" s="90" t="n"/>
      <c r="D4297" s="90" t="n"/>
      <c r="E4297" s="90" t="n"/>
      <c r="F4297" s="16" t="n"/>
      <c r="G4297" s="16" t="n"/>
      <c r="H4297" s="63" t="n"/>
      <c r="I4297" s="64" t="n"/>
      <c r="J4297" s="16" t="n"/>
      <c r="K4297" s="16" t="n"/>
      <c r="M4297" s="89" t="n"/>
      <c r="N4297" s="1" t="n"/>
      <c r="O4297" s="1" t="n"/>
      <c r="P4297" s="1" t="n"/>
      <c r="Q4297" s="1" t="n"/>
      <c r="R4297" s="1" t="n"/>
    </row>
    <row r="4298">
      <c r="A4298" s="61" t="n"/>
      <c r="B4298" s="16" t="n"/>
      <c r="C4298" s="90" t="n"/>
      <c r="D4298" s="90" t="n"/>
      <c r="E4298" s="90" t="n"/>
      <c r="F4298" s="16" t="n"/>
      <c r="G4298" s="16" t="n"/>
      <c r="H4298" s="63" t="n"/>
      <c r="I4298" s="64" t="n"/>
      <c r="J4298" s="16" t="n"/>
      <c r="K4298" s="16" t="n"/>
      <c r="M4298" s="89" t="n"/>
      <c r="N4298" s="1" t="n"/>
      <c r="O4298" s="1" t="n"/>
      <c r="P4298" s="1" t="n"/>
      <c r="Q4298" s="1" t="n"/>
      <c r="R4298" s="1" t="n"/>
    </row>
    <row r="4299">
      <c r="A4299" s="61" t="n"/>
      <c r="B4299" s="16" t="n"/>
      <c r="C4299" s="90" t="n"/>
      <c r="D4299" s="90" t="n"/>
      <c r="E4299" s="90" t="n"/>
      <c r="F4299" s="16" t="n"/>
      <c r="G4299" s="16" t="n"/>
      <c r="H4299" s="63" t="n"/>
      <c r="I4299" s="64" t="n"/>
      <c r="J4299" s="16" t="n"/>
      <c r="K4299" s="16" t="n"/>
      <c r="M4299" s="89" t="n"/>
      <c r="N4299" s="1" t="n"/>
      <c r="O4299" s="1" t="n"/>
      <c r="P4299" s="1" t="n"/>
      <c r="Q4299" s="1" t="n"/>
      <c r="R4299" s="1" t="n"/>
    </row>
    <row r="4300">
      <c r="A4300" s="61" t="n"/>
      <c r="B4300" s="16" t="n"/>
      <c r="C4300" s="90" t="n"/>
      <c r="D4300" s="90" t="n"/>
      <c r="E4300" s="90" t="n"/>
      <c r="F4300" s="16" t="n"/>
      <c r="G4300" s="16" t="n"/>
      <c r="H4300" s="63" t="n"/>
      <c r="I4300" s="64" t="n"/>
      <c r="J4300" s="16" t="n"/>
      <c r="K4300" s="16" t="n"/>
      <c r="M4300" s="89" t="n"/>
      <c r="N4300" s="1" t="n"/>
      <c r="O4300" s="1" t="n"/>
      <c r="P4300" s="1" t="n"/>
      <c r="Q4300" s="1" t="n"/>
      <c r="R4300" s="1" t="n"/>
    </row>
    <row r="4301">
      <c r="A4301" s="61" t="n"/>
      <c r="B4301" s="16" t="n"/>
      <c r="C4301" s="90" t="n"/>
      <c r="D4301" s="90" t="n"/>
      <c r="E4301" s="90" t="n"/>
      <c r="F4301" s="16" t="n"/>
      <c r="G4301" s="16" t="n"/>
      <c r="H4301" s="63" t="n"/>
      <c r="I4301" s="64" t="n"/>
      <c r="J4301" s="16" t="n"/>
      <c r="K4301" s="16" t="n"/>
      <c r="M4301" s="89" t="n"/>
      <c r="N4301" s="1" t="n"/>
      <c r="O4301" s="1" t="n"/>
      <c r="P4301" s="1" t="n"/>
      <c r="Q4301" s="1" t="n"/>
      <c r="R4301" s="1" t="n"/>
    </row>
    <row r="4302">
      <c r="A4302" s="61" t="n"/>
      <c r="B4302" s="16" t="n"/>
      <c r="C4302" s="90" t="n"/>
      <c r="D4302" s="90" t="n"/>
      <c r="E4302" s="90" t="n"/>
      <c r="F4302" s="16" t="n"/>
      <c r="G4302" s="16" t="n"/>
      <c r="H4302" s="63" t="n"/>
      <c r="I4302" s="64" t="n"/>
      <c r="J4302" s="16" t="n"/>
      <c r="K4302" s="16" t="n"/>
      <c r="M4302" s="89" t="n"/>
      <c r="N4302" s="1" t="n"/>
      <c r="O4302" s="1" t="n"/>
      <c r="P4302" s="1" t="n"/>
      <c r="Q4302" s="1" t="n"/>
      <c r="R4302" s="1" t="n"/>
    </row>
    <row r="4303">
      <c r="A4303" s="61" t="n"/>
      <c r="B4303" s="16" t="n"/>
      <c r="C4303" s="90" t="n"/>
      <c r="D4303" s="90" t="n"/>
      <c r="E4303" s="90" t="n"/>
      <c r="F4303" s="16" t="n"/>
      <c r="G4303" s="16" t="n"/>
      <c r="H4303" s="63" t="n"/>
      <c r="I4303" s="64" t="n"/>
      <c r="J4303" s="16" t="n"/>
      <c r="K4303" s="16" t="n"/>
      <c r="M4303" s="89" t="n"/>
      <c r="N4303" s="1" t="n"/>
      <c r="O4303" s="1" t="n"/>
      <c r="P4303" s="1" t="n"/>
      <c r="Q4303" s="1" t="n"/>
      <c r="R4303" s="1" t="n"/>
    </row>
    <row r="4304">
      <c r="A4304" s="61" t="n"/>
      <c r="B4304" s="16" t="n"/>
      <c r="C4304" s="90" t="n"/>
      <c r="D4304" s="90" t="n"/>
      <c r="E4304" s="90" t="n"/>
      <c r="F4304" s="16" t="n"/>
      <c r="G4304" s="16" t="n"/>
      <c r="H4304" s="63" t="n"/>
      <c r="I4304" s="64" t="n"/>
      <c r="J4304" s="16" t="n"/>
      <c r="K4304" s="16" t="n"/>
      <c r="M4304" s="89" t="n"/>
      <c r="N4304" s="1" t="n"/>
      <c r="O4304" s="1" t="n"/>
      <c r="P4304" s="1" t="n"/>
      <c r="Q4304" s="1" t="n"/>
      <c r="R4304" s="1" t="n"/>
    </row>
    <row r="4305">
      <c r="A4305" s="61" t="n"/>
      <c r="B4305" s="16" t="n"/>
      <c r="C4305" s="90" t="n"/>
      <c r="D4305" s="90" t="n"/>
      <c r="E4305" s="90" t="n"/>
      <c r="F4305" s="16" t="n"/>
      <c r="G4305" s="16" t="n"/>
      <c r="H4305" s="63" t="n"/>
      <c r="I4305" s="64" t="n"/>
      <c r="J4305" s="16" t="n"/>
      <c r="K4305" s="16" t="n"/>
      <c r="M4305" s="89" t="n"/>
      <c r="N4305" s="1" t="n"/>
      <c r="O4305" s="1" t="n"/>
      <c r="P4305" s="1" t="n"/>
      <c r="Q4305" s="1" t="n"/>
      <c r="R4305" s="1" t="n"/>
    </row>
    <row r="4306">
      <c r="A4306" s="61" t="n"/>
      <c r="B4306" s="16" t="n"/>
      <c r="C4306" s="90" t="n"/>
      <c r="D4306" s="90" t="n"/>
      <c r="E4306" s="90" t="n"/>
      <c r="F4306" s="16" t="n"/>
      <c r="G4306" s="16" t="n"/>
      <c r="H4306" s="63" t="n"/>
      <c r="I4306" s="64" t="n"/>
      <c r="J4306" s="16" t="n"/>
      <c r="K4306" s="16" t="n"/>
      <c r="M4306" s="89" t="n"/>
      <c r="N4306" s="1" t="n"/>
      <c r="O4306" s="1" t="n"/>
      <c r="P4306" s="1" t="n"/>
      <c r="Q4306" s="1" t="n"/>
      <c r="R4306" s="1" t="n"/>
    </row>
    <row r="4307">
      <c r="A4307" s="61" t="n"/>
      <c r="B4307" s="16" t="n"/>
      <c r="C4307" s="90" t="n"/>
      <c r="D4307" s="90" t="n"/>
      <c r="E4307" s="90" t="n"/>
      <c r="F4307" s="16" t="n"/>
      <c r="G4307" s="16" t="n"/>
      <c r="H4307" s="63" t="n"/>
      <c r="I4307" s="64" t="n"/>
      <c r="J4307" s="16" t="n"/>
      <c r="K4307" s="16" t="n"/>
      <c r="M4307" s="89" t="n"/>
      <c r="N4307" s="1" t="n"/>
      <c r="O4307" s="1" t="n"/>
      <c r="P4307" s="1" t="n"/>
      <c r="Q4307" s="1" t="n"/>
      <c r="R4307" s="1" t="n"/>
    </row>
    <row r="4308">
      <c r="A4308" s="61" t="n"/>
      <c r="B4308" s="16" t="n"/>
      <c r="C4308" s="90" t="n"/>
      <c r="D4308" s="90" t="n"/>
      <c r="E4308" s="90" t="n"/>
      <c r="F4308" s="16" t="n"/>
      <c r="G4308" s="16" t="n"/>
      <c r="H4308" s="63" t="n"/>
      <c r="I4308" s="64" t="n"/>
      <c r="J4308" s="16" t="n"/>
      <c r="K4308" s="16" t="n"/>
      <c r="M4308" s="89" t="n"/>
      <c r="N4308" s="1" t="n"/>
      <c r="O4308" s="1" t="n"/>
      <c r="P4308" s="1" t="n"/>
      <c r="Q4308" s="1" t="n"/>
      <c r="R4308" s="1" t="n"/>
    </row>
    <row r="4309">
      <c r="A4309" s="61" t="n"/>
      <c r="B4309" s="16" t="n"/>
      <c r="C4309" s="90" t="n"/>
      <c r="D4309" s="90" t="n"/>
      <c r="E4309" s="90" t="n"/>
      <c r="F4309" s="16" t="n"/>
      <c r="G4309" s="16" t="n"/>
      <c r="H4309" s="63" t="n"/>
      <c r="I4309" s="64" t="n"/>
      <c r="J4309" s="16" t="n"/>
      <c r="K4309" s="16" t="n"/>
      <c r="M4309" s="89" t="n"/>
      <c r="N4309" s="1" t="n"/>
      <c r="O4309" s="1" t="n"/>
      <c r="P4309" s="1" t="n"/>
      <c r="Q4309" s="1" t="n"/>
      <c r="R4309" s="1" t="n"/>
    </row>
    <row r="4310">
      <c r="A4310" s="61" t="n"/>
      <c r="B4310" s="16" t="n"/>
      <c r="C4310" s="90" t="n"/>
      <c r="D4310" s="90" t="n"/>
      <c r="E4310" s="90" t="n"/>
      <c r="F4310" s="16" t="n"/>
      <c r="G4310" s="16" t="n"/>
      <c r="H4310" s="63" t="n"/>
      <c r="I4310" s="64" t="n"/>
      <c r="J4310" s="16" t="n"/>
      <c r="K4310" s="16" t="n"/>
      <c r="M4310" s="89" t="n"/>
      <c r="N4310" s="1" t="n"/>
      <c r="O4310" s="1" t="n"/>
      <c r="P4310" s="1" t="n"/>
      <c r="Q4310" s="1" t="n"/>
      <c r="R4310" s="1" t="n"/>
    </row>
    <row r="4311">
      <c r="A4311" s="61" t="n"/>
      <c r="B4311" s="16" t="n"/>
      <c r="C4311" s="90" t="n"/>
      <c r="D4311" s="90" t="n"/>
      <c r="E4311" s="90" t="n"/>
      <c r="F4311" s="16" t="n"/>
      <c r="G4311" s="16" t="n"/>
      <c r="H4311" s="63" t="n"/>
      <c r="I4311" s="64" t="n"/>
      <c r="J4311" s="16" t="n"/>
      <c r="K4311" s="16" t="n"/>
      <c r="M4311" s="89" t="n"/>
      <c r="N4311" s="1" t="n"/>
      <c r="O4311" s="1" t="n"/>
      <c r="P4311" s="1" t="n"/>
      <c r="Q4311" s="1" t="n"/>
      <c r="R4311" s="1" t="n"/>
    </row>
    <row r="4312">
      <c r="A4312" s="61" t="n"/>
      <c r="B4312" s="16" t="n"/>
      <c r="C4312" s="90" t="n"/>
      <c r="D4312" s="90" t="n"/>
      <c r="E4312" s="90" t="n"/>
      <c r="F4312" s="16" t="n"/>
      <c r="G4312" s="16" t="n"/>
      <c r="H4312" s="63" t="n"/>
      <c r="I4312" s="64" t="n"/>
      <c r="J4312" s="16" t="n"/>
      <c r="K4312" s="16" t="n"/>
      <c r="M4312" s="89" t="n"/>
      <c r="N4312" s="1" t="n"/>
      <c r="O4312" s="1" t="n"/>
      <c r="P4312" s="1" t="n"/>
      <c r="Q4312" s="1" t="n"/>
      <c r="R4312" s="1" t="n"/>
    </row>
    <row r="4313">
      <c r="A4313" s="61" t="n"/>
      <c r="B4313" s="16" t="n"/>
      <c r="C4313" s="90" t="n"/>
      <c r="D4313" s="90" t="n"/>
      <c r="E4313" s="90" t="n"/>
      <c r="F4313" s="16" t="n"/>
      <c r="G4313" s="16" t="n"/>
      <c r="H4313" s="63" t="n"/>
      <c r="I4313" s="64" t="n"/>
      <c r="J4313" s="16" t="n"/>
      <c r="K4313" s="16" t="n"/>
      <c r="M4313" s="89" t="n"/>
      <c r="N4313" s="1" t="n"/>
      <c r="O4313" s="1" t="n"/>
      <c r="P4313" s="1" t="n"/>
      <c r="Q4313" s="1" t="n"/>
      <c r="R4313" s="1" t="n"/>
    </row>
    <row r="4314">
      <c r="A4314" s="61" t="n"/>
      <c r="B4314" s="16" t="n"/>
      <c r="C4314" s="90" t="n"/>
      <c r="D4314" s="90" t="n"/>
      <c r="E4314" s="90" t="n"/>
      <c r="F4314" s="16" t="n"/>
      <c r="G4314" s="16" t="n"/>
      <c r="H4314" s="63" t="n"/>
      <c r="I4314" s="64" t="n"/>
      <c r="J4314" s="16" t="n"/>
      <c r="K4314" s="16" t="n"/>
      <c r="M4314" s="89" t="n"/>
      <c r="N4314" s="1" t="n"/>
      <c r="O4314" s="1" t="n"/>
      <c r="P4314" s="1" t="n"/>
      <c r="Q4314" s="1" t="n"/>
      <c r="R4314" s="1" t="n"/>
    </row>
    <row r="4315">
      <c r="A4315" s="61" t="n"/>
      <c r="B4315" s="16" t="n"/>
      <c r="C4315" s="90" t="n"/>
      <c r="D4315" s="90" t="n"/>
      <c r="E4315" s="90" t="n"/>
      <c r="F4315" s="16" t="n"/>
      <c r="G4315" s="16" t="n"/>
      <c r="H4315" s="63" t="n"/>
      <c r="I4315" s="64" t="n"/>
      <c r="J4315" s="16" t="n"/>
      <c r="K4315" s="16" t="n"/>
      <c r="M4315" s="89" t="n"/>
      <c r="N4315" s="1" t="n"/>
      <c r="O4315" s="1" t="n"/>
      <c r="P4315" s="1" t="n"/>
      <c r="Q4315" s="1" t="n"/>
      <c r="R4315" s="1" t="n"/>
    </row>
    <row r="4316">
      <c r="A4316" s="61" t="n"/>
      <c r="B4316" s="16" t="n"/>
      <c r="C4316" s="90" t="n"/>
      <c r="D4316" s="90" t="n"/>
      <c r="E4316" s="90" t="n"/>
      <c r="F4316" s="16" t="n"/>
      <c r="G4316" s="16" t="n"/>
      <c r="H4316" s="63" t="n"/>
      <c r="I4316" s="64" t="n"/>
      <c r="J4316" s="16" t="n"/>
      <c r="K4316" s="16" t="n"/>
      <c r="M4316" s="89" t="n"/>
      <c r="N4316" s="1" t="n"/>
      <c r="O4316" s="1" t="n"/>
      <c r="P4316" s="1" t="n"/>
      <c r="Q4316" s="1" t="n"/>
      <c r="R4316" s="1" t="n"/>
    </row>
    <row r="4317">
      <c r="A4317" s="61" t="n"/>
      <c r="B4317" s="16" t="n"/>
      <c r="C4317" s="90" t="n"/>
      <c r="D4317" s="90" t="n"/>
      <c r="E4317" s="90" t="n"/>
      <c r="F4317" s="16" t="n"/>
      <c r="G4317" s="16" t="n"/>
      <c r="H4317" s="63" t="n"/>
      <c r="I4317" s="64" t="n"/>
      <c r="J4317" s="16" t="n"/>
      <c r="K4317" s="16" t="n"/>
      <c r="M4317" s="89" t="n"/>
      <c r="N4317" s="1" t="n"/>
      <c r="O4317" s="1" t="n"/>
      <c r="P4317" s="1" t="n"/>
      <c r="Q4317" s="1" t="n"/>
      <c r="R4317" s="1" t="n"/>
    </row>
    <row r="4318">
      <c r="A4318" s="61" t="n"/>
      <c r="B4318" s="16" t="n"/>
      <c r="C4318" s="90" t="n"/>
      <c r="D4318" s="90" t="n"/>
      <c r="E4318" s="90" t="n"/>
      <c r="F4318" s="16" t="n"/>
      <c r="G4318" s="16" t="n"/>
      <c r="H4318" s="63" t="n"/>
      <c r="I4318" s="64" t="n"/>
      <c r="J4318" s="16" t="n"/>
      <c r="K4318" s="16" t="n"/>
      <c r="M4318" s="89" t="n"/>
      <c r="N4318" s="1" t="n"/>
      <c r="O4318" s="1" t="n"/>
      <c r="P4318" s="1" t="n"/>
      <c r="Q4318" s="1" t="n"/>
      <c r="R4318" s="1" t="n"/>
    </row>
    <row r="4319">
      <c r="A4319" s="61" t="n"/>
      <c r="B4319" s="16" t="n"/>
      <c r="C4319" s="90" t="n"/>
      <c r="D4319" s="90" t="n"/>
      <c r="E4319" s="90" t="n"/>
      <c r="F4319" s="16" t="n"/>
      <c r="G4319" s="16" t="n"/>
      <c r="H4319" s="63" t="n"/>
      <c r="I4319" s="64" t="n"/>
      <c r="J4319" s="16" t="n"/>
      <c r="K4319" s="16" t="n"/>
      <c r="M4319" s="89" t="n"/>
      <c r="N4319" s="1" t="n"/>
      <c r="O4319" s="1" t="n"/>
      <c r="P4319" s="1" t="n"/>
      <c r="Q4319" s="1" t="n"/>
      <c r="R4319" s="1" t="n"/>
    </row>
    <row r="4320">
      <c r="A4320" s="61" t="n"/>
      <c r="B4320" s="16" t="n"/>
      <c r="C4320" s="90" t="n"/>
      <c r="D4320" s="90" t="n"/>
      <c r="E4320" s="90" t="n"/>
      <c r="F4320" s="16" t="n"/>
      <c r="G4320" s="16" t="n"/>
      <c r="H4320" s="63" t="n"/>
      <c r="I4320" s="64" t="n"/>
      <c r="J4320" s="16" t="n"/>
      <c r="K4320" s="16" t="n"/>
      <c r="M4320" s="89" t="n"/>
      <c r="N4320" s="1" t="n"/>
      <c r="O4320" s="1" t="n"/>
      <c r="P4320" s="1" t="n"/>
      <c r="Q4320" s="1" t="n"/>
      <c r="R4320" s="1" t="n"/>
    </row>
    <row r="4321">
      <c r="A4321" s="61" t="n"/>
      <c r="B4321" s="16" t="n"/>
      <c r="C4321" s="90" t="n"/>
      <c r="D4321" s="90" t="n"/>
      <c r="E4321" s="90" t="n"/>
      <c r="F4321" s="16" t="n"/>
      <c r="G4321" s="16" t="n"/>
      <c r="H4321" s="63" t="n"/>
      <c r="I4321" s="64" t="n"/>
      <c r="J4321" s="16" t="n"/>
      <c r="K4321" s="16" t="n"/>
      <c r="M4321" s="89" t="n"/>
      <c r="N4321" s="1" t="n"/>
      <c r="O4321" s="1" t="n"/>
      <c r="P4321" s="1" t="n"/>
      <c r="Q4321" s="1" t="n"/>
      <c r="R4321" s="1" t="n"/>
    </row>
    <row r="4322">
      <c r="A4322" s="61" t="n"/>
      <c r="B4322" s="16" t="n"/>
      <c r="C4322" s="90" t="n"/>
      <c r="D4322" s="90" t="n"/>
      <c r="E4322" s="90" t="n"/>
      <c r="F4322" s="16" t="n"/>
      <c r="G4322" s="16" t="n"/>
      <c r="H4322" s="63" t="n"/>
      <c r="I4322" s="64" t="n"/>
      <c r="J4322" s="16" t="n"/>
      <c r="K4322" s="16" t="n"/>
      <c r="M4322" s="89" t="n"/>
      <c r="N4322" s="1" t="n"/>
      <c r="O4322" s="1" t="n"/>
      <c r="P4322" s="1" t="n"/>
      <c r="Q4322" s="1" t="n"/>
      <c r="R4322" s="1" t="n"/>
    </row>
    <row r="4323">
      <c r="A4323" s="61" t="n"/>
      <c r="B4323" s="16" t="n"/>
      <c r="C4323" s="90" t="n"/>
      <c r="D4323" s="90" t="n"/>
      <c r="E4323" s="90" t="n"/>
      <c r="F4323" s="16" t="n"/>
      <c r="G4323" s="16" t="n"/>
      <c r="H4323" s="63" t="n"/>
      <c r="I4323" s="64" t="n"/>
      <c r="J4323" s="16" t="n"/>
      <c r="K4323" s="16" t="n"/>
      <c r="M4323" s="89" t="n"/>
      <c r="N4323" s="1" t="n"/>
      <c r="O4323" s="1" t="n"/>
      <c r="P4323" s="1" t="n"/>
      <c r="Q4323" s="1" t="n"/>
      <c r="R4323" s="1" t="n"/>
    </row>
    <row r="4324">
      <c r="A4324" s="61" t="n"/>
      <c r="B4324" s="16" t="n"/>
      <c r="C4324" s="90" t="n"/>
      <c r="D4324" s="90" t="n"/>
      <c r="E4324" s="90" t="n"/>
      <c r="F4324" s="16" t="n"/>
      <c r="G4324" s="16" t="n"/>
      <c r="H4324" s="63" t="n"/>
      <c r="I4324" s="64" t="n"/>
      <c r="J4324" s="16" t="n"/>
      <c r="K4324" s="16" t="n"/>
      <c r="M4324" s="89" t="n"/>
      <c r="N4324" s="1" t="n"/>
      <c r="O4324" s="1" t="n"/>
      <c r="P4324" s="1" t="n"/>
      <c r="Q4324" s="1" t="n"/>
      <c r="R4324" s="1" t="n"/>
    </row>
    <row r="4325">
      <c r="A4325" s="61" t="n"/>
      <c r="B4325" s="16" t="n"/>
      <c r="C4325" s="90" t="n"/>
      <c r="D4325" s="90" t="n"/>
      <c r="E4325" s="90" t="n"/>
      <c r="F4325" s="16" t="n"/>
      <c r="G4325" s="16" t="n"/>
      <c r="H4325" s="63" t="n"/>
      <c r="I4325" s="64" t="n"/>
      <c r="J4325" s="16" t="n"/>
      <c r="K4325" s="16" t="n"/>
      <c r="M4325" s="89" t="n"/>
      <c r="N4325" s="1" t="n"/>
      <c r="O4325" s="1" t="n"/>
      <c r="P4325" s="1" t="n"/>
      <c r="Q4325" s="1" t="n"/>
      <c r="R4325" s="1" t="n"/>
    </row>
    <row r="4326">
      <c r="A4326" s="61" t="n"/>
      <c r="B4326" s="16" t="n"/>
      <c r="C4326" s="90" t="n"/>
      <c r="D4326" s="90" t="n"/>
      <c r="E4326" s="90" t="n"/>
      <c r="F4326" s="16" t="n"/>
      <c r="G4326" s="16" t="n"/>
      <c r="H4326" s="63" t="n"/>
      <c r="I4326" s="64" t="n"/>
      <c r="J4326" s="16" t="n"/>
      <c r="K4326" s="16" t="n"/>
      <c r="M4326" s="89" t="n"/>
      <c r="N4326" s="1" t="n"/>
      <c r="O4326" s="1" t="n"/>
      <c r="P4326" s="1" t="n"/>
      <c r="Q4326" s="1" t="n"/>
      <c r="R4326" s="1" t="n"/>
    </row>
    <row r="4327">
      <c r="A4327" s="61" t="n"/>
      <c r="B4327" s="16" t="n"/>
      <c r="C4327" s="90" t="n"/>
      <c r="D4327" s="90" t="n"/>
      <c r="E4327" s="90" t="n"/>
      <c r="F4327" s="16" t="n"/>
      <c r="G4327" s="16" t="n"/>
      <c r="H4327" s="63" t="n"/>
      <c r="I4327" s="64" t="n"/>
      <c r="J4327" s="16" t="n"/>
      <c r="K4327" s="16" t="n"/>
      <c r="M4327" s="89" t="n"/>
      <c r="N4327" s="1" t="n"/>
      <c r="O4327" s="1" t="n"/>
      <c r="P4327" s="1" t="n"/>
      <c r="Q4327" s="1" t="n"/>
      <c r="R4327" s="1" t="n"/>
    </row>
    <row r="4328">
      <c r="A4328" s="61" t="n"/>
      <c r="B4328" s="16" t="n"/>
      <c r="C4328" s="90" t="n"/>
      <c r="D4328" s="90" t="n"/>
      <c r="E4328" s="90" t="n"/>
      <c r="F4328" s="16" t="n"/>
      <c r="G4328" s="16" t="n"/>
      <c r="H4328" s="63" t="n"/>
      <c r="I4328" s="64" t="n"/>
      <c r="J4328" s="16" t="n"/>
      <c r="K4328" s="16" t="n"/>
      <c r="M4328" s="89" t="n"/>
      <c r="N4328" s="1" t="n"/>
      <c r="O4328" s="1" t="n"/>
      <c r="P4328" s="1" t="n"/>
      <c r="Q4328" s="1" t="n"/>
      <c r="R4328" s="1" t="n"/>
    </row>
    <row r="4329">
      <c r="A4329" s="61" t="n"/>
      <c r="B4329" s="16" t="n"/>
      <c r="C4329" s="90" t="n"/>
      <c r="D4329" s="90" t="n"/>
      <c r="E4329" s="90" t="n"/>
      <c r="F4329" s="16" t="n"/>
      <c r="G4329" s="16" t="n"/>
      <c r="H4329" s="63" t="n"/>
      <c r="I4329" s="64" t="n"/>
      <c r="J4329" s="16" t="n"/>
      <c r="K4329" s="16" t="n"/>
      <c r="M4329" s="89" t="n"/>
      <c r="N4329" s="1" t="n"/>
      <c r="O4329" s="1" t="n"/>
      <c r="P4329" s="1" t="n"/>
      <c r="Q4329" s="1" t="n"/>
      <c r="R4329" s="1" t="n"/>
    </row>
    <row r="4330">
      <c r="A4330" s="61" t="n"/>
      <c r="B4330" s="16" t="n"/>
      <c r="C4330" s="90" t="n"/>
      <c r="D4330" s="90" t="n"/>
      <c r="E4330" s="90" t="n"/>
      <c r="F4330" s="16" t="n"/>
      <c r="G4330" s="16" t="n"/>
      <c r="H4330" s="63" t="n"/>
      <c r="I4330" s="64" t="n"/>
      <c r="J4330" s="16" t="n"/>
      <c r="K4330" s="16" t="n"/>
      <c r="M4330" s="89" t="n"/>
      <c r="N4330" s="1" t="n"/>
      <c r="O4330" s="1" t="n"/>
      <c r="P4330" s="1" t="n"/>
      <c r="Q4330" s="1" t="n"/>
      <c r="R4330" s="1" t="n"/>
    </row>
    <row r="4331">
      <c r="A4331" s="61" t="n"/>
      <c r="B4331" s="16" t="n"/>
      <c r="C4331" s="90" t="n"/>
      <c r="D4331" s="90" t="n"/>
      <c r="E4331" s="90" t="n"/>
      <c r="F4331" s="16" t="n"/>
      <c r="G4331" s="16" t="n"/>
      <c r="H4331" s="63" t="n"/>
      <c r="I4331" s="64" t="n"/>
      <c r="J4331" s="16" t="n"/>
      <c r="K4331" s="16" t="n"/>
      <c r="M4331" s="89" t="n"/>
      <c r="N4331" s="1" t="n"/>
      <c r="O4331" s="1" t="n"/>
      <c r="P4331" s="1" t="n"/>
      <c r="Q4331" s="1" t="n"/>
      <c r="R4331" s="1" t="n"/>
    </row>
    <row r="4332">
      <c r="A4332" s="61" t="n"/>
      <c r="B4332" s="16" t="n"/>
      <c r="C4332" s="90" t="n"/>
      <c r="D4332" s="90" t="n"/>
      <c r="E4332" s="90" t="n"/>
      <c r="F4332" s="16" t="n"/>
      <c r="G4332" s="16" t="n"/>
      <c r="H4332" s="63" t="n"/>
      <c r="I4332" s="64" t="n"/>
      <c r="J4332" s="16" t="n"/>
      <c r="K4332" s="16" t="n"/>
      <c r="M4332" s="89" t="n"/>
      <c r="N4332" s="1" t="n"/>
      <c r="O4332" s="1" t="n"/>
      <c r="P4332" s="1" t="n"/>
      <c r="Q4332" s="1" t="n"/>
      <c r="R4332" s="1" t="n"/>
    </row>
    <row r="4333">
      <c r="A4333" s="61" t="n"/>
      <c r="B4333" s="16" t="n"/>
      <c r="C4333" s="90" t="n"/>
      <c r="D4333" s="90" t="n"/>
      <c r="E4333" s="90" t="n"/>
      <c r="F4333" s="16" t="n"/>
      <c r="G4333" s="16" t="n"/>
      <c r="H4333" s="63" t="n"/>
      <c r="I4333" s="64" t="n"/>
      <c r="J4333" s="16" t="n"/>
      <c r="K4333" s="16" t="n"/>
      <c r="M4333" s="89" t="n"/>
      <c r="N4333" s="1" t="n"/>
      <c r="O4333" s="1" t="n"/>
      <c r="P4333" s="1" t="n"/>
      <c r="Q4333" s="1" t="n"/>
      <c r="R4333" s="1" t="n"/>
    </row>
    <row r="4334">
      <c r="A4334" s="61" t="n"/>
      <c r="B4334" s="16" t="n"/>
      <c r="C4334" s="90" t="n"/>
      <c r="D4334" s="90" t="n"/>
      <c r="E4334" s="90" t="n"/>
      <c r="F4334" s="16" t="n"/>
      <c r="G4334" s="16" t="n"/>
      <c r="H4334" s="63" t="n"/>
      <c r="I4334" s="64" t="n"/>
      <c r="J4334" s="16" t="n"/>
      <c r="K4334" s="16" t="n"/>
      <c r="M4334" s="89" t="n"/>
      <c r="N4334" s="1" t="n"/>
      <c r="O4334" s="1" t="n"/>
      <c r="P4334" s="1" t="n"/>
      <c r="Q4334" s="1" t="n"/>
      <c r="R4334" s="1" t="n"/>
    </row>
    <row r="4335">
      <c r="A4335" s="61" t="n"/>
      <c r="B4335" s="16" t="n"/>
      <c r="C4335" s="90" t="n"/>
      <c r="D4335" s="90" t="n"/>
      <c r="E4335" s="90" t="n"/>
      <c r="F4335" s="16" t="n"/>
      <c r="G4335" s="16" t="n"/>
      <c r="H4335" s="63" t="n"/>
      <c r="I4335" s="64" t="n"/>
      <c r="J4335" s="16" t="n"/>
      <c r="K4335" s="16" t="n"/>
      <c r="M4335" s="89" t="n"/>
      <c r="N4335" s="1" t="n"/>
      <c r="O4335" s="1" t="n"/>
      <c r="P4335" s="1" t="n"/>
      <c r="Q4335" s="1" t="n"/>
      <c r="R4335" s="1" t="n"/>
    </row>
    <row r="4336">
      <c r="A4336" s="61" t="n"/>
      <c r="B4336" s="16" t="n"/>
      <c r="C4336" s="90" t="n"/>
      <c r="D4336" s="90" t="n"/>
      <c r="E4336" s="90" t="n"/>
      <c r="F4336" s="16" t="n"/>
      <c r="G4336" s="16" t="n"/>
      <c r="H4336" s="63" t="n"/>
      <c r="I4336" s="64" t="n"/>
      <c r="J4336" s="16" t="n"/>
      <c r="K4336" s="16" t="n"/>
      <c r="M4336" s="89" t="n"/>
      <c r="N4336" s="1" t="n"/>
      <c r="O4336" s="1" t="n"/>
      <c r="P4336" s="1" t="n"/>
      <c r="Q4336" s="1" t="n"/>
      <c r="R4336" s="1" t="n"/>
    </row>
    <row r="4337">
      <c r="A4337" s="61" t="n"/>
      <c r="B4337" s="16" t="n"/>
      <c r="C4337" s="90" t="n"/>
      <c r="D4337" s="90" t="n"/>
      <c r="E4337" s="90" t="n"/>
      <c r="F4337" s="16" t="n"/>
      <c r="G4337" s="16" t="n"/>
      <c r="H4337" s="63" t="n"/>
      <c r="I4337" s="64" t="n"/>
      <c r="J4337" s="16" t="n"/>
      <c r="K4337" s="16" t="n"/>
      <c r="M4337" s="89" t="n"/>
      <c r="N4337" s="1" t="n"/>
      <c r="O4337" s="1" t="n"/>
      <c r="P4337" s="1" t="n"/>
      <c r="Q4337" s="1" t="n"/>
      <c r="R4337" s="1" t="n"/>
    </row>
    <row r="4338">
      <c r="A4338" s="61" t="n"/>
      <c r="B4338" s="16" t="n"/>
      <c r="C4338" s="90" t="n"/>
      <c r="D4338" s="90" t="n"/>
      <c r="E4338" s="90" t="n"/>
      <c r="F4338" s="16" t="n"/>
      <c r="G4338" s="16" t="n"/>
      <c r="H4338" s="63" t="n"/>
      <c r="I4338" s="64" t="n"/>
      <c r="J4338" s="16" t="n"/>
      <c r="K4338" s="16" t="n"/>
      <c r="M4338" s="89" t="n"/>
      <c r="N4338" s="1" t="n"/>
      <c r="O4338" s="1" t="n"/>
      <c r="P4338" s="1" t="n"/>
      <c r="Q4338" s="1" t="n"/>
      <c r="R4338" s="1" t="n"/>
    </row>
    <row r="4339">
      <c r="A4339" s="61" t="n"/>
      <c r="B4339" s="16" t="n"/>
      <c r="C4339" s="90" t="n"/>
      <c r="D4339" s="90" t="n"/>
      <c r="E4339" s="90" t="n"/>
      <c r="F4339" s="16" t="n"/>
      <c r="G4339" s="16" t="n"/>
      <c r="H4339" s="63" t="n"/>
      <c r="I4339" s="64" t="n"/>
      <c r="J4339" s="16" t="n"/>
      <c r="K4339" s="16" t="n"/>
      <c r="M4339" s="89" t="n"/>
      <c r="N4339" s="1" t="n"/>
      <c r="O4339" s="1" t="n"/>
      <c r="P4339" s="1" t="n"/>
      <c r="Q4339" s="1" t="n"/>
      <c r="R4339" s="1" t="n"/>
    </row>
    <row r="4340">
      <c r="A4340" s="61" t="n"/>
      <c r="B4340" s="16" t="n"/>
      <c r="C4340" s="90" t="n"/>
      <c r="D4340" s="90" t="n"/>
      <c r="E4340" s="90" t="n"/>
      <c r="F4340" s="16" t="n"/>
      <c r="G4340" s="16" t="n"/>
      <c r="H4340" s="63" t="n"/>
      <c r="I4340" s="64" t="n"/>
      <c r="J4340" s="16" t="n"/>
      <c r="K4340" s="16" t="n"/>
      <c r="M4340" s="89" t="n"/>
      <c r="N4340" s="1" t="n"/>
      <c r="O4340" s="1" t="n"/>
      <c r="P4340" s="1" t="n"/>
      <c r="Q4340" s="1" t="n"/>
      <c r="R4340" s="1" t="n"/>
    </row>
    <row r="4341">
      <c r="A4341" s="61" t="n"/>
      <c r="B4341" s="16" t="n"/>
      <c r="C4341" s="90" t="n"/>
      <c r="D4341" s="90" t="n"/>
      <c r="E4341" s="90" t="n"/>
      <c r="F4341" s="16" t="n"/>
      <c r="G4341" s="16" t="n"/>
      <c r="H4341" s="63" t="n"/>
      <c r="I4341" s="64" t="n"/>
      <c r="J4341" s="16" t="n"/>
      <c r="K4341" s="16" t="n"/>
      <c r="M4341" s="89" t="n"/>
      <c r="N4341" s="1" t="n"/>
      <c r="O4341" s="1" t="n"/>
      <c r="P4341" s="1" t="n"/>
      <c r="Q4341" s="1" t="n"/>
      <c r="R4341" s="1" t="n"/>
    </row>
    <row r="4342">
      <c r="A4342" s="61" t="n"/>
      <c r="B4342" s="16" t="n"/>
      <c r="C4342" s="90" t="n"/>
      <c r="D4342" s="90" t="n"/>
      <c r="E4342" s="90" t="n"/>
      <c r="F4342" s="16" t="n"/>
      <c r="G4342" s="16" t="n"/>
      <c r="H4342" s="63" t="n"/>
      <c r="I4342" s="64" t="n"/>
      <c r="J4342" s="16" t="n"/>
      <c r="K4342" s="16" t="n"/>
      <c r="M4342" s="89" t="n"/>
      <c r="N4342" s="1" t="n"/>
      <c r="O4342" s="1" t="n"/>
      <c r="P4342" s="1" t="n"/>
      <c r="Q4342" s="1" t="n"/>
      <c r="R4342" s="1" t="n"/>
    </row>
    <row r="4343">
      <c r="A4343" s="61" t="n"/>
      <c r="B4343" s="16" t="n"/>
      <c r="C4343" s="90" t="n"/>
      <c r="D4343" s="90" t="n"/>
      <c r="E4343" s="90" t="n"/>
      <c r="F4343" s="16" t="n"/>
      <c r="G4343" s="16" t="n"/>
      <c r="H4343" s="63" t="n"/>
      <c r="I4343" s="64" t="n"/>
      <c r="J4343" s="16" t="n"/>
      <c r="K4343" s="16" t="n"/>
      <c r="M4343" s="89" t="n"/>
      <c r="N4343" s="1" t="n"/>
      <c r="O4343" s="1" t="n"/>
      <c r="P4343" s="1" t="n"/>
      <c r="Q4343" s="1" t="n"/>
      <c r="R4343" s="1" t="n"/>
    </row>
    <row r="4344">
      <c r="A4344" s="61" t="n"/>
      <c r="B4344" s="16" t="n"/>
      <c r="C4344" s="90" t="n"/>
      <c r="D4344" s="90" t="n"/>
      <c r="E4344" s="90" t="n"/>
      <c r="F4344" s="16" t="n"/>
      <c r="G4344" s="16" t="n"/>
      <c r="H4344" s="63" t="n"/>
      <c r="I4344" s="64" t="n"/>
      <c r="J4344" s="16" t="n"/>
      <c r="K4344" s="16" t="n"/>
      <c r="M4344" s="89" t="n"/>
      <c r="N4344" s="1" t="n"/>
      <c r="O4344" s="1" t="n"/>
      <c r="P4344" s="1" t="n"/>
      <c r="Q4344" s="1" t="n"/>
      <c r="R4344" s="1" t="n"/>
    </row>
    <row r="4345">
      <c r="A4345" s="61" t="n"/>
      <c r="B4345" s="16" t="n"/>
      <c r="C4345" s="90" t="n"/>
      <c r="D4345" s="90" t="n"/>
      <c r="E4345" s="90" t="n"/>
      <c r="F4345" s="16" t="n"/>
      <c r="G4345" s="16" t="n"/>
      <c r="H4345" s="63" t="n"/>
      <c r="I4345" s="64" t="n"/>
      <c r="J4345" s="16" t="n"/>
      <c r="K4345" s="16" t="n"/>
      <c r="M4345" s="89" t="n"/>
      <c r="N4345" s="1" t="n"/>
      <c r="O4345" s="1" t="n"/>
      <c r="P4345" s="1" t="n"/>
      <c r="Q4345" s="1" t="n"/>
      <c r="R4345" s="1" t="n"/>
    </row>
    <row r="4346">
      <c r="A4346" s="61" t="n"/>
      <c r="B4346" s="16" t="n"/>
      <c r="C4346" s="90" t="n"/>
      <c r="D4346" s="90" t="n"/>
      <c r="E4346" s="90" t="n"/>
      <c r="F4346" s="16" t="n"/>
      <c r="G4346" s="16" t="n"/>
      <c r="H4346" s="63" t="n"/>
      <c r="I4346" s="64" t="n"/>
      <c r="J4346" s="16" t="n"/>
      <c r="K4346" s="16" t="n"/>
      <c r="M4346" s="89" t="n"/>
      <c r="N4346" s="1" t="n"/>
      <c r="O4346" s="1" t="n"/>
      <c r="P4346" s="1" t="n"/>
      <c r="Q4346" s="1" t="n"/>
      <c r="R4346" s="1" t="n"/>
    </row>
    <row r="4347">
      <c r="A4347" s="61" t="n"/>
      <c r="B4347" s="16" t="n"/>
      <c r="C4347" s="90" t="n"/>
      <c r="D4347" s="90" t="n"/>
      <c r="E4347" s="90" t="n"/>
      <c r="F4347" s="16" t="n"/>
      <c r="G4347" s="16" t="n"/>
      <c r="H4347" s="63" t="n"/>
      <c r="I4347" s="64" t="n"/>
      <c r="J4347" s="16" t="n"/>
      <c r="K4347" s="16" t="n"/>
      <c r="M4347" s="89" t="n"/>
      <c r="N4347" s="1" t="n"/>
      <c r="O4347" s="1" t="n"/>
      <c r="P4347" s="1" t="n"/>
      <c r="Q4347" s="1" t="n"/>
      <c r="R4347" s="1" t="n"/>
    </row>
    <row r="4348">
      <c r="A4348" s="61" t="n"/>
      <c r="B4348" s="16" t="n"/>
      <c r="C4348" s="90" t="n"/>
      <c r="D4348" s="90" t="n"/>
      <c r="E4348" s="90" t="n"/>
      <c r="F4348" s="16" t="n"/>
      <c r="G4348" s="16" t="n"/>
      <c r="H4348" s="63" t="n"/>
      <c r="I4348" s="64" t="n"/>
      <c r="J4348" s="16" t="n"/>
      <c r="K4348" s="16" t="n"/>
      <c r="M4348" s="89" t="n"/>
      <c r="N4348" s="1" t="n"/>
      <c r="O4348" s="1" t="n"/>
      <c r="P4348" s="1" t="n"/>
      <c r="Q4348" s="1" t="n"/>
      <c r="R4348" s="1" t="n"/>
    </row>
    <row r="4349">
      <c r="A4349" s="61" t="n"/>
      <c r="B4349" s="16" t="n"/>
      <c r="C4349" s="90" t="n"/>
      <c r="D4349" s="90" t="n"/>
      <c r="E4349" s="90" t="n"/>
      <c r="F4349" s="16" t="n"/>
      <c r="G4349" s="16" t="n"/>
      <c r="H4349" s="63" t="n"/>
      <c r="I4349" s="64" t="n"/>
      <c r="J4349" s="16" t="n"/>
      <c r="K4349" s="16" t="n"/>
      <c r="M4349" s="89" t="n"/>
      <c r="N4349" s="1" t="n"/>
      <c r="O4349" s="1" t="n"/>
      <c r="P4349" s="1" t="n"/>
      <c r="Q4349" s="1" t="n"/>
      <c r="R4349" s="1" t="n"/>
    </row>
    <row r="4350">
      <c r="A4350" s="61" t="n"/>
      <c r="B4350" s="16" t="n"/>
      <c r="C4350" s="90" t="n"/>
      <c r="D4350" s="90" t="n"/>
      <c r="E4350" s="90" t="n"/>
      <c r="F4350" s="16" t="n"/>
      <c r="G4350" s="16" t="n"/>
      <c r="H4350" s="63" t="n"/>
      <c r="I4350" s="64" t="n"/>
      <c r="J4350" s="16" t="n"/>
      <c r="K4350" s="16" t="n"/>
      <c r="M4350" s="89" t="n"/>
      <c r="N4350" s="1" t="n"/>
      <c r="O4350" s="1" t="n"/>
      <c r="P4350" s="1" t="n"/>
      <c r="Q4350" s="1" t="n"/>
      <c r="R4350" s="1" t="n"/>
    </row>
    <row r="4351">
      <c r="A4351" s="61" t="n"/>
      <c r="B4351" s="16" t="n"/>
      <c r="C4351" s="90" t="n"/>
      <c r="D4351" s="90" t="n"/>
      <c r="E4351" s="90" t="n"/>
      <c r="F4351" s="16" t="n"/>
      <c r="G4351" s="16" t="n"/>
      <c r="H4351" s="63" t="n"/>
      <c r="I4351" s="64" t="n"/>
      <c r="J4351" s="16" t="n"/>
      <c r="K4351" s="16" t="n"/>
      <c r="M4351" s="89" t="n"/>
      <c r="N4351" s="1" t="n"/>
      <c r="O4351" s="1" t="n"/>
      <c r="P4351" s="1" t="n"/>
      <c r="Q4351" s="1" t="n"/>
      <c r="R4351" s="1" t="n"/>
    </row>
    <row r="4352">
      <c r="A4352" s="61" t="n"/>
      <c r="B4352" s="16" t="n"/>
      <c r="C4352" s="90" t="n"/>
      <c r="D4352" s="90" t="n"/>
      <c r="E4352" s="90" t="n"/>
      <c r="F4352" s="16" t="n"/>
      <c r="G4352" s="16" t="n"/>
      <c r="H4352" s="63" t="n"/>
      <c r="I4352" s="64" t="n"/>
      <c r="J4352" s="16" t="n"/>
      <c r="K4352" s="16" t="n"/>
      <c r="M4352" s="89" t="n"/>
      <c r="N4352" s="1" t="n"/>
      <c r="O4352" s="1" t="n"/>
      <c r="P4352" s="1" t="n"/>
      <c r="Q4352" s="1" t="n"/>
      <c r="R4352" s="1" t="n"/>
    </row>
    <row r="4353">
      <c r="A4353" s="61" t="n"/>
      <c r="B4353" s="16" t="n"/>
      <c r="C4353" s="90" t="n"/>
      <c r="D4353" s="90" t="n"/>
      <c r="E4353" s="90" t="n"/>
      <c r="F4353" s="16" t="n"/>
      <c r="G4353" s="16" t="n"/>
      <c r="H4353" s="63" t="n"/>
      <c r="I4353" s="64" t="n"/>
      <c r="J4353" s="16" t="n"/>
      <c r="K4353" s="16" t="n"/>
      <c r="M4353" s="89" t="n"/>
      <c r="N4353" s="1" t="n"/>
      <c r="O4353" s="1" t="n"/>
      <c r="P4353" s="1" t="n"/>
      <c r="Q4353" s="1" t="n"/>
      <c r="R4353" s="1" t="n"/>
    </row>
    <row r="4354">
      <c r="A4354" s="61" t="n"/>
      <c r="B4354" s="16" t="n"/>
      <c r="C4354" s="90" t="n"/>
      <c r="D4354" s="90" t="n"/>
      <c r="E4354" s="90" t="n"/>
      <c r="F4354" s="16" t="n"/>
      <c r="G4354" s="16" t="n"/>
      <c r="H4354" s="63" t="n"/>
      <c r="I4354" s="64" t="n"/>
      <c r="J4354" s="16" t="n"/>
      <c r="K4354" s="16" t="n"/>
      <c r="M4354" s="89" t="n"/>
      <c r="N4354" s="1" t="n"/>
      <c r="O4354" s="1" t="n"/>
      <c r="P4354" s="1" t="n"/>
      <c r="Q4354" s="1" t="n"/>
      <c r="R4354" s="1" t="n"/>
    </row>
    <row r="4355">
      <c r="A4355" s="61" t="n"/>
      <c r="B4355" s="16" t="n"/>
      <c r="C4355" s="90" t="n"/>
      <c r="D4355" s="90" t="n"/>
      <c r="E4355" s="90" t="n"/>
      <c r="F4355" s="16" t="n"/>
      <c r="G4355" s="16" t="n"/>
      <c r="H4355" s="63" t="n"/>
      <c r="I4355" s="64" t="n"/>
      <c r="J4355" s="16" t="n"/>
      <c r="K4355" s="16" t="n"/>
      <c r="M4355" s="89" t="n"/>
      <c r="N4355" s="1" t="n"/>
      <c r="O4355" s="1" t="n"/>
      <c r="P4355" s="1" t="n"/>
      <c r="Q4355" s="1" t="n"/>
      <c r="R4355" s="1" t="n"/>
    </row>
    <row r="4356">
      <c r="A4356" s="61" t="n"/>
      <c r="B4356" s="16" t="n"/>
      <c r="C4356" s="90" t="n"/>
      <c r="D4356" s="90" t="n"/>
      <c r="E4356" s="90" t="n"/>
      <c r="F4356" s="16" t="n"/>
      <c r="G4356" s="16" t="n"/>
      <c r="H4356" s="63" t="n"/>
      <c r="I4356" s="64" t="n"/>
      <c r="J4356" s="16" t="n"/>
      <c r="K4356" s="16" t="n"/>
      <c r="M4356" s="89" t="n"/>
      <c r="N4356" s="1" t="n"/>
      <c r="O4356" s="1" t="n"/>
      <c r="P4356" s="1" t="n"/>
      <c r="Q4356" s="1" t="n"/>
      <c r="R4356" s="1" t="n"/>
    </row>
    <row r="4357">
      <c r="A4357" s="61" t="n"/>
      <c r="B4357" s="16" t="n"/>
      <c r="C4357" s="90" t="n"/>
      <c r="D4357" s="90" t="n"/>
      <c r="E4357" s="90" t="n"/>
      <c r="F4357" s="16" t="n"/>
      <c r="G4357" s="16" t="n"/>
      <c r="H4357" s="63" t="n"/>
      <c r="I4357" s="64" t="n"/>
      <c r="J4357" s="16" t="n"/>
      <c r="K4357" s="16" t="n"/>
      <c r="M4357" s="89" t="n"/>
      <c r="N4357" s="1" t="n"/>
      <c r="O4357" s="1" t="n"/>
      <c r="P4357" s="1" t="n"/>
      <c r="Q4357" s="1" t="n"/>
      <c r="R4357" s="1" t="n"/>
    </row>
    <row r="4358">
      <c r="A4358" s="61" t="n"/>
      <c r="B4358" s="16" t="n"/>
      <c r="C4358" s="90" t="n"/>
      <c r="D4358" s="90" t="n"/>
      <c r="E4358" s="90" t="n"/>
      <c r="F4358" s="16" t="n"/>
      <c r="G4358" s="16" t="n"/>
      <c r="H4358" s="63" t="n"/>
      <c r="I4358" s="64" t="n"/>
      <c r="J4358" s="16" t="n"/>
      <c r="K4358" s="16" t="n"/>
      <c r="M4358" s="89" t="n"/>
      <c r="N4358" s="1" t="n"/>
      <c r="O4358" s="1" t="n"/>
      <c r="P4358" s="1" t="n"/>
      <c r="Q4358" s="1" t="n"/>
      <c r="R4358" s="1" t="n"/>
    </row>
    <row r="4359">
      <c r="A4359" s="61" t="n"/>
      <c r="B4359" s="16" t="n"/>
      <c r="C4359" s="90" t="n"/>
      <c r="D4359" s="90" t="n"/>
      <c r="E4359" s="90" t="n"/>
      <c r="F4359" s="16" t="n"/>
      <c r="G4359" s="16" t="n"/>
      <c r="H4359" s="63" t="n"/>
      <c r="I4359" s="64" t="n"/>
      <c r="J4359" s="16" t="n"/>
      <c r="K4359" s="16" t="n"/>
      <c r="M4359" s="89" t="n"/>
      <c r="N4359" s="1" t="n"/>
      <c r="O4359" s="1" t="n"/>
      <c r="P4359" s="1" t="n"/>
      <c r="Q4359" s="1" t="n"/>
      <c r="R4359" s="1" t="n"/>
    </row>
    <row r="4360">
      <c r="A4360" s="61" t="n"/>
      <c r="B4360" s="16" t="n"/>
      <c r="C4360" s="90" t="n"/>
      <c r="D4360" s="90" t="n"/>
      <c r="E4360" s="90" t="n"/>
      <c r="F4360" s="16" t="n"/>
      <c r="G4360" s="16" t="n"/>
      <c r="H4360" s="63" t="n"/>
      <c r="I4360" s="64" t="n"/>
      <c r="J4360" s="16" t="n"/>
      <c r="K4360" s="16" t="n"/>
      <c r="M4360" s="89" t="n"/>
      <c r="N4360" s="1" t="n"/>
      <c r="O4360" s="1" t="n"/>
      <c r="P4360" s="1" t="n"/>
      <c r="Q4360" s="1" t="n"/>
      <c r="R4360" s="1" t="n"/>
    </row>
    <row r="4361">
      <c r="A4361" s="61" t="n"/>
      <c r="B4361" s="16" t="n"/>
      <c r="C4361" s="90" t="n"/>
      <c r="D4361" s="90" t="n"/>
      <c r="E4361" s="90" t="n"/>
      <c r="F4361" s="16" t="n"/>
      <c r="G4361" s="16" t="n"/>
      <c r="H4361" s="63" t="n"/>
      <c r="I4361" s="64" t="n"/>
      <c r="J4361" s="16" t="n"/>
      <c r="K4361" s="16" t="n"/>
      <c r="M4361" s="89" t="n"/>
      <c r="N4361" s="1" t="n"/>
      <c r="O4361" s="1" t="n"/>
      <c r="P4361" s="1" t="n"/>
      <c r="Q4361" s="1" t="n"/>
      <c r="R4361" s="1" t="n"/>
    </row>
    <row r="4362">
      <c r="A4362" s="61" t="n"/>
      <c r="B4362" s="16" t="n"/>
      <c r="C4362" s="90" t="n"/>
      <c r="D4362" s="90" t="n"/>
      <c r="E4362" s="90" t="n"/>
      <c r="F4362" s="16" t="n"/>
      <c r="G4362" s="16" t="n"/>
      <c r="H4362" s="63" t="n"/>
      <c r="I4362" s="64" t="n"/>
      <c r="J4362" s="16" t="n"/>
      <c r="K4362" s="16" t="n"/>
      <c r="M4362" s="89" t="n"/>
      <c r="N4362" s="1" t="n"/>
      <c r="O4362" s="1" t="n"/>
      <c r="P4362" s="1" t="n"/>
      <c r="Q4362" s="1" t="n"/>
      <c r="R4362" s="1" t="n"/>
    </row>
    <row r="4363">
      <c r="A4363" s="61" t="n"/>
      <c r="B4363" s="16" t="n"/>
      <c r="C4363" s="90" t="n"/>
      <c r="D4363" s="90" t="n"/>
      <c r="E4363" s="90" t="n"/>
      <c r="F4363" s="16" t="n"/>
      <c r="G4363" s="16" t="n"/>
      <c r="H4363" s="63" t="n"/>
      <c r="I4363" s="64" t="n"/>
      <c r="J4363" s="16" t="n"/>
      <c r="K4363" s="16" t="n"/>
      <c r="M4363" s="89" t="n"/>
      <c r="N4363" s="1" t="n"/>
      <c r="O4363" s="1" t="n"/>
      <c r="P4363" s="1" t="n"/>
      <c r="Q4363" s="1" t="n"/>
      <c r="R4363" s="1" t="n"/>
    </row>
    <row r="4364">
      <c r="A4364" s="61" t="n"/>
      <c r="B4364" s="16" t="n"/>
      <c r="C4364" s="90" t="n"/>
      <c r="D4364" s="90" t="n"/>
      <c r="E4364" s="90" t="n"/>
      <c r="F4364" s="16" t="n"/>
      <c r="G4364" s="16" t="n"/>
      <c r="H4364" s="63" t="n"/>
      <c r="I4364" s="64" t="n"/>
      <c r="J4364" s="16" t="n"/>
      <c r="K4364" s="16" t="n"/>
      <c r="M4364" s="89" t="n"/>
      <c r="N4364" s="1" t="n"/>
      <c r="O4364" s="1" t="n"/>
      <c r="P4364" s="1" t="n"/>
      <c r="Q4364" s="1" t="n"/>
      <c r="R4364" s="1" t="n"/>
    </row>
    <row r="4365">
      <c r="A4365" s="61" t="n"/>
      <c r="B4365" s="16" t="n"/>
      <c r="C4365" s="90" t="n"/>
      <c r="D4365" s="90" t="n"/>
      <c r="E4365" s="90" t="n"/>
      <c r="F4365" s="16" t="n"/>
      <c r="G4365" s="16" t="n"/>
      <c r="H4365" s="63" t="n"/>
      <c r="I4365" s="64" t="n"/>
      <c r="J4365" s="16" t="n"/>
      <c r="K4365" s="16" t="n"/>
      <c r="M4365" s="89" t="n"/>
      <c r="N4365" s="1" t="n"/>
      <c r="O4365" s="1" t="n"/>
      <c r="P4365" s="1" t="n"/>
      <c r="Q4365" s="1" t="n"/>
      <c r="R4365" s="1" t="n"/>
    </row>
    <row r="4366">
      <c r="A4366" s="61" t="n"/>
      <c r="B4366" s="16" t="n"/>
      <c r="C4366" s="90" t="n"/>
      <c r="D4366" s="90" t="n"/>
      <c r="E4366" s="90" t="n"/>
      <c r="F4366" s="16" t="n"/>
      <c r="G4366" s="16" t="n"/>
      <c r="H4366" s="63" t="n"/>
      <c r="I4366" s="64" t="n"/>
      <c r="J4366" s="16" t="n"/>
      <c r="K4366" s="16" t="n"/>
      <c r="M4366" s="89" t="n"/>
      <c r="N4366" s="1" t="n"/>
      <c r="O4366" s="1" t="n"/>
      <c r="P4366" s="1" t="n"/>
      <c r="Q4366" s="1" t="n"/>
      <c r="R4366" s="1" t="n"/>
    </row>
    <row r="4367">
      <c r="A4367" s="61" t="n"/>
      <c r="B4367" s="16" t="n"/>
      <c r="C4367" s="90" t="n"/>
      <c r="D4367" s="90" t="n"/>
      <c r="E4367" s="90" t="n"/>
      <c r="F4367" s="16" t="n"/>
      <c r="G4367" s="16" t="n"/>
      <c r="H4367" s="63" t="n"/>
      <c r="I4367" s="64" t="n"/>
      <c r="J4367" s="16" t="n"/>
      <c r="K4367" s="16" t="n"/>
      <c r="M4367" s="89" t="n"/>
      <c r="N4367" s="1" t="n"/>
      <c r="O4367" s="1" t="n"/>
      <c r="P4367" s="1" t="n"/>
      <c r="Q4367" s="1" t="n"/>
      <c r="R4367" s="1" t="n"/>
    </row>
    <row r="4368">
      <c r="A4368" s="61" t="n"/>
      <c r="B4368" s="16" t="n"/>
      <c r="C4368" s="90" t="n"/>
      <c r="D4368" s="90" t="n"/>
      <c r="E4368" s="90" t="n"/>
      <c r="F4368" s="16" t="n"/>
      <c r="G4368" s="16" t="n"/>
      <c r="H4368" s="63" t="n"/>
      <c r="I4368" s="64" t="n"/>
      <c r="J4368" s="16" t="n"/>
      <c r="K4368" s="16" t="n"/>
      <c r="M4368" s="89" t="n"/>
      <c r="N4368" s="1" t="n"/>
      <c r="O4368" s="1" t="n"/>
      <c r="P4368" s="1" t="n"/>
      <c r="Q4368" s="1" t="n"/>
      <c r="R4368" s="1" t="n"/>
    </row>
    <row r="4369">
      <c r="A4369" s="61" t="n"/>
      <c r="B4369" s="16" t="n"/>
      <c r="C4369" s="90" t="n"/>
      <c r="D4369" s="90" t="n"/>
      <c r="E4369" s="90" t="n"/>
      <c r="F4369" s="16" t="n"/>
      <c r="G4369" s="16" t="n"/>
      <c r="H4369" s="63" t="n"/>
      <c r="I4369" s="64" t="n"/>
      <c r="J4369" s="16" t="n"/>
      <c r="K4369" s="16" t="n"/>
      <c r="M4369" s="89" t="n"/>
      <c r="N4369" s="1" t="n"/>
      <c r="O4369" s="1" t="n"/>
      <c r="P4369" s="1" t="n"/>
      <c r="Q4369" s="1" t="n"/>
      <c r="R4369" s="1" t="n"/>
    </row>
    <row r="4370">
      <c r="A4370" s="61" t="n"/>
      <c r="B4370" s="16" t="n"/>
      <c r="C4370" s="90" t="n"/>
      <c r="D4370" s="90" t="n"/>
      <c r="E4370" s="90" t="n"/>
      <c r="F4370" s="16" t="n"/>
      <c r="G4370" s="16" t="n"/>
      <c r="H4370" s="63" t="n"/>
      <c r="I4370" s="64" t="n"/>
      <c r="J4370" s="16" t="n"/>
      <c r="K4370" s="16" t="n"/>
      <c r="M4370" s="89" t="n"/>
      <c r="N4370" s="1" t="n"/>
      <c r="O4370" s="1" t="n"/>
      <c r="P4370" s="1" t="n"/>
      <c r="Q4370" s="1" t="n"/>
      <c r="R4370" s="1" t="n"/>
    </row>
    <row r="4371">
      <c r="A4371" s="61" t="n"/>
      <c r="B4371" s="16" t="n"/>
      <c r="C4371" s="90" t="n"/>
      <c r="D4371" s="90" t="n"/>
      <c r="E4371" s="90" t="n"/>
      <c r="F4371" s="16" t="n"/>
      <c r="G4371" s="16" t="n"/>
      <c r="H4371" s="63" t="n"/>
      <c r="I4371" s="64" t="n"/>
      <c r="J4371" s="16" t="n"/>
      <c r="K4371" s="16" t="n"/>
      <c r="M4371" s="89" t="n"/>
      <c r="N4371" s="1" t="n"/>
      <c r="O4371" s="1" t="n"/>
      <c r="P4371" s="1" t="n"/>
      <c r="Q4371" s="1" t="n"/>
      <c r="R4371" s="1" t="n"/>
    </row>
    <row r="4372">
      <c r="A4372" s="61" t="n"/>
      <c r="B4372" s="16" t="n"/>
      <c r="C4372" s="90" t="n"/>
      <c r="D4372" s="90" t="n"/>
      <c r="E4372" s="90" t="n"/>
      <c r="F4372" s="16" t="n"/>
      <c r="G4372" s="16" t="n"/>
      <c r="H4372" s="63" t="n"/>
      <c r="I4372" s="64" t="n"/>
      <c r="J4372" s="16" t="n"/>
      <c r="K4372" s="16" t="n"/>
      <c r="M4372" s="89" t="n"/>
      <c r="N4372" s="1" t="n"/>
      <c r="O4372" s="1" t="n"/>
      <c r="P4372" s="1" t="n"/>
      <c r="Q4372" s="1" t="n"/>
      <c r="R4372" s="1" t="n"/>
    </row>
    <row r="4373">
      <c r="A4373" s="61" t="n"/>
      <c r="B4373" s="16" t="n"/>
      <c r="C4373" s="90" t="n"/>
      <c r="D4373" s="90" t="n"/>
      <c r="E4373" s="90" t="n"/>
      <c r="F4373" s="16" t="n"/>
      <c r="G4373" s="16" t="n"/>
      <c r="H4373" s="63" t="n"/>
      <c r="I4373" s="64" t="n"/>
      <c r="J4373" s="16" t="n"/>
      <c r="K4373" s="16" t="n"/>
      <c r="M4373" s="89" t="n"/>
      <c r="N4373" s="1" t="n"/>
      <c r="O4373" s="1" t="n"/>
      <c r="P4373" s="1" t="n"/>
      <c r="Q4373" s="1" t="n"/>
      <c r="R4373" s="1" t="n"/>
    </row>
    <row r="4374">
      <c r="A4374" s="61" t="n"/>
      <c r="B4374" s="16" t="n"/>
      <c r="C4374" s="90" t="n"/>
      <c r="D4374" s="90" t="n"/>
      <c r="E4374" s="90" t="n"/>
      <c r="F4374" s="16" t="n"/>
      <c r="G4374" s="16" t="n"/>
      <c r="H4374" s="63" t="n"/>
      <c r="I4374" s="64" t="n"/>
      <c r="J4374" s="16" t="n"/>
      <c r="K4374" s="16" t="n"/>
      <c r="M4374" s="89" t="n"/>
      <c r="N4374" s="1" t="n"/>
      <c r="O4374" s="1" t="n"/>
      <c r="P4374" s="1" t="n"/>
      <c r="Q4374" s="1" t="n"/>
      <c r="R4374" s="1" t="n"/>
    </row>
    <row r="4375">
      <c r="A4375" s="61" t="n"/>
      <c r="B4375" s="16" t="n"/>
      <c r="C4375" s="90" t="n"/>
      <c r="D4375" s="90" t="n"/>
      <c r="E4375" s="90" t="n"/>
      <c r="F4375" s="16" t="n"/>
      <c r="G4375" s="16" t="n"/>
      <c r="H4375" s="63" t="n"/>
      <c r="I4375" s="64" t="n"/>
      <c r="J4375" s="16" t="n"/>
      <c r="K4375" s="16" t="n"/>
      <c r="M4375" s="89" t="n"/>
      <c r="N4375" s="1" t="n"/>
      <c r="O4375" s="1" t="n"/>
      <c r="P4375" s="1" t="n"/>
      <c r="Q4375" s="1" t="n"/>
      <c r="R4375" s="1" t="n"/>
    </row>
    <row r="4376">
      <c r="A4376" s="61" t="n"/>
      <c r="B4376" s="16" t="n"/>
      <c r="C4376" s="90" t="n"/>
      <c r="D4376" s="90" t="n"/>
      <c r="E4376" s="90" t="n"/>
      <c r="F4376" s="16" t="n"/>
      <c r="G4376" s="16" t="n"/>
      <c r="H4376" s="63" t="n"/>
      <c r="I4376" s="64" t="n"/>
      <c r="J4376" s="16" t="n"/>
      <c r="K4376" s="16" t="n"/>
      <c r="M4376" s="89" t="n"/>
      <c r="N4376" s="1" t="n"/>
      <c r="O4376" s="1" t="n"/>
      <c r="P4376" s="1" t="n"/>
      <c r="Q4376" s="1" t="n"/>
      <c r="R4376" s="1" t="n"/>
    </row>
    <row r="4377">
      <c r="A4377" s="61" t="n"/>
      <c r="B4377" s="16" t="n"/>
      <c r="C4377" s="90" t="n"/>
      <c r="D4377" s="90" t="n"/>
      <c r="E4377" s="90" t="n"/>
      <c r="F4377" s="16" t="n"/>
      <c r="G4377" s="16" t="n"/>
      <c r="H4377" s="63" t="n"/>
      <c r="I4377" s="64" t="n"/>
      <c r="J4377" s="16" t="n"/>
      <c r="K4377" s="16" t="n"/>
      <c r="M4377" s="89" t="n"/>
      <c r="N4377" s="1" t="n"/>
      <c r="O4377" s="1" t="n"/>
      <c r="P4377" s="1" t="n"/>
      <c r="Q4377" s="1" t="n"/>
      <c r="R4377" s="1" t="n"/>
    </row>
    <row r="4378">
      <c r="A4378" s="61" t="n"/>
      <c r="B4378" s="16" t="n"/>
      <c r="C4378" s="90" t="n"/>
      <c r="D4378" s="90" t="n"/>
      <c r="E4378" s="90" t="n"/>
      <c r="F4378" s="16" t="n"/>
      <c r="G4378" s="16" t="n"/>
      <c r="H4378" s="63" t="n"/>
      <c r="I4378" s="64" t="n"/>
      <c r="J4378" s="16" t="n"/>
      <c r="K4378" s="16" t="n"/>
      <c r="M4378" s="89" t="n"/>
      <c r="N4378" s="1" t="n"/>
      <c r="O4378" s="1" t="n"/>
      <c r="P4378" s="1" t="n"/>
      <c r="Q4378" s="1" t="n"/>
      <c r="R4378" s="1" t="n"/>
    </row>
    <row r="4379">
      <c r="A4379" s="61" t="n"/>
      <c r="B4379" s="16" t="n"/>
      <c r="C4379" s="90" t="n"/>
      <c r="D4379" s="90" t="n"/>
      <c r="E4379" s="90" t="n"/>
      <c r="F4379" s="16" t="n"/>
      <c r="G4379" s="16" t="n"/>
      <c r="H4379" s="63" t="n"/>
      <c r="I4379" s="64" t="n"/>
      <c r="J4379" s="16" t="n"/>
      <c r="K4379" s="16" t="n"/>
      <c r="M4379" s="89" t="n"/>
      <c r="N4379" s="1" t="n"/>
      <c r="O4379" s="1" t="n"/>
      <c r="P4379" s="1" t="n"/>
      <c r="Q4379" s="1" t="n"/>
      <c r="R4379" s="1" t="n"/>
    </row>
    <row r="4380">
      <c r="A4380" s="61" t="n"/>
      <c r="B4380" s="16" t="n"/>
      <c r="C4380" s="90" t="n"/>
      <c r="D4380" s="90" t="n"/>
      <c r="E4380" s="90" t="n"/>
      <c r="F4380" s="16" t="n"/>
      <c r="G4380" s="16" t="n"/>
      <c r="H4380" s="63" t="n"/>
      <c r="I4380" s="64" t="n"/>
      <c r="J4380" s="16" t="n"/>
      <c r="K4380" s="16" t="n"/>
      <c r="M4380" s="89" t="n"/>
      <c r="N4380" s="1" t="n"/>
      <c r="O4380" s="1" t="n"/>
      <c r="P4380" s="1" t="n"/>
      <c r="Q4380" s="1" t="n"/>
      <c r="R4380" s="1" t="n"/>
    </row>
    <row r="4381">
      <c r="A4381" s="61" t="n"/>
      <c r="B4381" s="16" t="n"/>
      <c r="C4381" s="90" t="n"/>
      <c r="D4381" s="90" t="n"/>
      <c r="E4381" s="90" t="n"/>
      <c r="F4381" s="16" t="n"/>
      <c r="G4381" s="16" t="n"/>
      <c r="H4381" s="63" t="n"/>
      <c r="I4381" s="64" t="n"/>
      <c r="J4381" s="16" t="n"/>
      <c r="K4381" s="16" t="n"/>
      <c r="M4381" s="89" t="n"/>
      <c r="N4381" s="1" t="n"/>
      <c r="O4381" s="1" t="n"/>
      <c r="P4381" s="1" t="n"/>
      <c r="Q4381" s="1" t="n"/>
      <c r="R4381" s="1" t="n"/>
    </row>
    <row r="4382">
      <c r="A4382" s="61" t="n"/>
      <c r="B4382" s="16" t="n"/>
      <c r="C4382" s="90" t="n"/>
      <c r="D4382" s="90" t="n"/>
      <c r="E4382" s="90" t="n"/>
      <c r="F4382" s="16" t="n"/>
      <c r="G4382" s="16" t="n"/>
      <c r="H4382" s="63" t="n"/>
      <c r="I4382" s="64" t="n"/>
      <c r="J4382" s="16" t="n"/>
      <c r="K4382" s="16" t="n"/>
      <c r="M4382" s="89" t="n"/>
      <c r="N4382" s="1" t="n"/>
      <c r="O4382" s="1" t="n"/>
      <c r="P4382" s="1" t="n"/>
      <c r="Q4382" s="1" t="n"/>
      <c r="R4382" s="1" t="n"/>
    </row>
    <row r="4383">
      <c r="A4383" s="61" t="n"/>
      <c r="B4383" s="16" t="n"/>
      <c r="C4383" s="90" t="n"/>
      <c r="D4383" s="90" t="n"/>
      <c r="E4383" s="90" t="n"/>
      <c r="F4383" s="16" t="n"/>
      <c r="G4383" s="16" t="n"/>
      <c r="H4383" s="63" t="n"/>
      <c r="I4383" s="64" t="n"/>
      <c r="J4383" s="16" t="n"/>
      <c r="K4383" s="16" t="n"/>
      <c r="M4383" s="89" t="n"/>
      <c r="N4383" s="1" t="n"/>
      <c r="O4383" s="1" t="n"/>
      <c r="P4383" s="1" t="n"/>
      <c r="Q4383" s="1" t="n"/>
      <c r="R4383" s="1" t="n"/>
    </row>
    <row r="4384">
      <c r="A4384" s="61" t="n"/>
      <c r="B4384" s="16" t="n"/>
      <c r="C4384" s="90" t="n"/>
      <c r="D4384" s="90" t="n"/>
      <c r="E4384" s="90" t="n"/>
      <c r="F4384" s="16" t="n"/>
      <c r="G4384" s="16" t="n"/>
      <c r="H4384" s="63" t="n"/>
      <c r="I4384" s="64" t="n"/>
      <c r="J4384" s="16" t="n"/>
      <c r="K4384" s="16" t="n"/>
      <c r="M4384" s="89" t="n"/>
      <c r="N4384" s="1" t="n"/>
      <c r="O4384" s="1" t="n"/>
      <c r="P4384" s="1" t="n"/>
      <c r="Q4384" s="1" t="n"/>
      <c r="R4384" s="1" t="n"/>
    </row>
    <row r="4385">
      <c r="A4385" s="61" t="n"/>
      <c r="B4385" s="16" t="n"/>
      <c r="C4385" s="90" t="n"/>
      <c r="D4385" s="90" t="n"/>
      <c r="E4385" s="90" t="n"/>
      <c r="F4385" s="16" t="n"/>
      <c r="G4385" s="16" t="n"/>
      <c r="H4385" s="63" t="n"/>
      <c r="I4385" s="64" t="n"/>
      <c r="J4385" s="16" t="n"/>
      <c r="K4385" s="16" t="n"/>
      <c r="M4385" s="89" t="n"/>
      <c r="N4385" s="1" t="n"/>
      <c r="O4385" s="1" t="n"/>
      <c r="P4385" s="1" t="n"/>
      <c r="Q4385" s="1" t="n"/>
      <c r="R4385" s="1" t="n"/>
    </row>
    <row r="4386">
      <c r="A4386" s="61" t="n"/>
      <c r="B4386" s="16" t="n"/>
      <c r="C4386" s="90" t="n"/>
      <c r="D4386" s="90" t="n"/>
      <c r="E4386" s="90" t="n"/>
      <c r="F4386" s="16" t="n"/>
      <c r="G4386" s="16" t="n"/>
      <c r="H4386" s="63" t="n"/>
      <c r="I4386" s="64" t="n"/>
      <c r="J4386" s="16" t="n"/>
      <c r="K4386" s="16" t="n"/>
      <c r="M4386" s="89" t="n"/>
      <c r="N4386" s="1" t="n"/>
      <c r="O4386" s="1" t="n"/>
      <c r="P4386" s="1" t="n"/>
      <c r="Q4386" s="1" t="n"/>
      <c r="R4386" s="1" t="n"/>
    </row>
    <row r="4387">
      <c r="A4387" s="61" t="n"/>
      <c r="B4387" s="16" t="n"/>
      <c r="C4387" s="90" t="n"/>
      <c r="D4387" s="90" t="n"/>
      <c r="E4387" s="90" t="n"/>
      <c r="F4387" s="16" t="n"/>
      <c r="G4387" s="16" t="n"/>
      <c r="H4387" s="63" t="n"/>
      <c r="I4387" s="64" t="n"/>
      <c r="J4387" s="16" t="n"/>
      <c r="K4387" s="16" t="n"/>
      <c r="M4387" s="89" t="n"/>
      <c r="N4387" s="1" t="n"/>
      <c r="O4387" s="1" t="n"/>
      <c r="P4387" s="1" t="n"/>
      <c r="Q4387" s="1" t="n"/>
      <c r="R4387" s="1" t="n"/>
    </row>
    <row r="4388">
      <c r="A4388" s="61" t="n"/>
      <c r="B4388" s="16" t="n"/>
      <c r="C4388" s="90" t="n"/>
      <c r="D4388" s="90" t="n"/>
      <c r="E4388" s="90" t="n"/>
      <c r="F4388" s="16" t="n"/>
      <c r="G4388" s="16" t="n"/>
      <c r="H4388" s="63" t="n"/>
      <c r="I4388" s="64" t="n"/>
      <c r="J4388" s="16" t="n"/>
      <c r="K4388" s="16" t="n"/>
      <c r="M4388" s="89" t="n"/>
      <c r="N4388" s="1" t="n"/>
      <c r="O4388" s="1" t="n"/>
      <c r="P4388" s="1" t="n"/>
      <c r="Q4388" s="1" t="n"/>
      <c r="R4388" s="1" t="n"/>
    </row>
    <row r="4389">
      <c r="A4389" s="61" t="n"/>
      <c r="B4389" s="16" t="n"/>
      <c r="C4389" s="90" t="n"/>
      <c r="D4389" s="90" t="n"/>
      <c r="E4389" s="90" t="n"/>
      <c r="F4389" s="16" t="n"/>
      <c r="G4389" s="16" t="n"/>
      <c r="H4389" s="63" t="n"/>
      <c r="I4389" s="64" t="n"/>
      <c r="J4389" s="16" t="n"/>
      <c r="K4389" s="16" t="n"/>
      <c r="M4389" s="89" t="n"/>
      <c r="N4389" s="1" t="n"/>
      <c r="O4389" s="1" t="n"/>
      <c r="P4389" s="1" t="n"/>
      <c r="Q4389" s="1" t="n"/>
      <c r="R4389" s="1" t="n"/>
    </row>
    <row r="4390">
      <c r="A4390" s="61" t="n"/>
      <c r="B4390" s="16" t="n"/>
      <c r="C4390" s="90" t="n"/>
      <c r="D4390" s="90" t="n"/>
      <c r="E4390" s="90" t="n"/>
      <c r="F4390" s="16" t="n"/>
      <c r="G4390" s="16" t="n"/>
      <c r="H4390" s="63" t="n"/>
      <c r="I4390" s="64" t="n"/>
      <c r="J4390" s="16" t="n"/>
      <c r="K4390" s="16" t="n"/>
      <c r="M4390" s="89" t="n"/>
      <c r="N4390" s="1" t="n"/>
      <c r="O4390" s="1" t="n"/>
      <c r="P4390" s="1" t="n"/>
      <c r="Q4390" s="1" t="n"/>
      <c r="R4390" s="1" t="n"/>
    </row>
    <row r="4391">
      <c r="A4391" s="61" t="n"/>
      <c r="B4391" s="16" t="n"/>
      <c r="C4391" s="90" t="n"/>
      <c r="D4391" s="90" t="n"/>
      <c r="E4391" s="90" t="n"/>
      <c r="F4391" s="16" t="n"/>
      <c r="G4391" s="16" t="n"/>
      <c r="H4391" s="63" t="n"/>
      <c r="I4391" s="64" t="n"/>
      <c r="J4391" s="16" t="n"/>
      <c r="K4391" s="16" t="n"/>
      <c r="M4391" s="89" t="n"/>
      <c r="N4391" s="1" t="n"/>
      <c r="O4391" s="1" t="n"/>
      <c r="P4391" s="1" t="n"/>
      <c r="Q4391" s="1" t="n"/>
      <c r="R4391" s="1" t="n"/>
    </row>
    <row r="4392">
      <c r="A4392" s="61" t="n"/>
      <c r="B4392" s="16" t="n"/>
      <c r="C4392" s="90" t="n"/>
      <c r="D4392" s="90" t="n"/>
      <c r="E4392" s="90" t="n"/>
      <c r="F4392" s="16" t="n"/>
      <c r="G4392" s="16" t="n"/>
      <c r="H4392" s="63" t="n"/>
      <c r="I4392" s="64" t="n"/>
      <c r="J4392" s="16" t="n"/>
      <c r="K4392" s="16" t="n"/>
      <c r="M4392" s="89" t="n"/>
      <c r="N4392" s="1" t="n"/>
      <c r="O4392" s="1" t="n"/>
      <c r="P4392" s="1" t="n"/>
      <c r="Q4392" s="1" t="n"/>
      <c r="R4392" s="1" t="n"/>
    </row>
    <row r="4393">
      <c r="A4393" s="61" t="n"/>
      <c r="B4393" s="16" t="n"/>
      <c r="C4393" s="90" t="n"/>
      <c r="D4393" s="90" t="n"/>
      <c r="E4393" s="90" t="n"/>
      <c r="F4393" s="16" t="n"/>
      <c r="G4393" s="16" t="n"/>
      <c r="H4393" s="63" t="n"/>
      <c r="I4393" s="64" t="n"/>
      <c r="J4393" s="16" t="n"/>
      <c r="K4393" s="16" t="n"/>
      <c r="M4393" s="89" t="n"/>
      <c r="N4393" s="1" t="n"/>
      <c r="O4393" s="1" t="n"/>
      <c r="P4393" s="1" t="n"/>
      <c r="Q4393" s="1" t="n"/>
      <c r="R4393" s="1" t="n"/>
    </row>
    <row r="4394">
      <c r="A4394" s="61" t="n"/>
      <c r="B4394" s="16" t="n"/>
      <c r="C4394" s="90" t="n"/>
      <c r="D4394" s="90" t="n"/>
      <c r="E4394" s="90" t="n"/>
      <c r="F4394" s="16" t="n"/>
      <c r="G4394" s="16" t="n"/>
      <c r="H4394" s="63" t="n"/>
      <c r="I4394" s="64" t="n"/>
      <c r="J4394" s="16" t="n"/>
      <c r="K4394" s="16" t="n"/>
      <c r="M4394" s="89" t="n"/>
      <c r="N4394" s="1" t="n"/>
      <c r="O4394" s="1" t="n"/>
      <c r="P4394" s="1" t="n"/>
      <c r="Q4394" s="1" t="n"/>
      <c r="R4394" s="1" t="n"/>
    </row>
    <row r="4395">
      <c r="A4395" s="61" t="n"/>
      <c r="B4395" s="16" t="n"/>
      <c r="C4395" s="90" t="n"/>
      <c r="D4395" s="90" t="n"/>
      <c r="E4395" s="90" t="n"/>
      <c r="F4395" s="16" t="n"/>
      <c r="G4395" s="16" t="n"/>
      <c r="H4395" s="63" t="n"/>
      <c r="I4395" s="64" t="n"/>
      <c r="J4395" s="16" t="n"/>
      <c r="K4395" s="16" t="n"/>
      <c r="M4395" s="89" t="n"/>
      <c r="N4395" s="1" t="n"/>
      <c r="O4395" s="1" t="n"/>
      <c r="P4395" s="1" t="n"/>
      <c r="Q4395" s="1" t="n"/>
      <c r="R4395" s="1" t="n"/>
    </row>
    <row r="4396">
      <c r="A4396" s="61" t="n"/>
      <c r="B4396" s="16" t="n"/>
      <c r="C4396" s="90" t="n"/>
      <c r="D4396" s="90" t="n"/>
      <c r="E4396" s="90" t="n"/>
      <c r="F4396" s="16" t="n"/>
      <c r="G4396" s="16" t="n"/>
      <c r="H4396" s="63" t="n"/>
      <c r="I4396" s="64" t="n"/>
      <c r="J4396" s="16" t="n"/>
      <c r="K4396" s="16" t="n"/>
      <c r="M4396" s="89" t="n"/>
      <c r="N4396" s="1" t="n"/>
      <c r="O4396" s="1" t="n"/>
      <c r="P4396" s="1" t="n"/>
      <c r="Q4396" s="1" t="n"/>
      <c r="R4396" s="1" t="n"/>
    </row>
    <row r="4397">
      <c r="A4397" s="61" t="n"/>
      <c r="B4397" s="16" t="n"/>
      <c r="C4397" s="90" t="n"/>
      <c r="D4397" s="90" t="n"/>
      <c r="E4397" s="90" t="n"/>
      <c r="F4397" s="16" t="n"/>
      <c r="G4397" s="16" t="n"/>
      <c r="H4397" s="63" t="n"/>
      <c r="I4397" s="64" t="n"/>
      <c r="J4397" s="16" t="n"/>
      <c r="K4397" s="16" t="n"/>
      <c r="M4397" s="89" t="n"/>
      <c r="N4397" s="1" t="n"/>
      <c r="O4397" s="1" t="n"/>
      <c r="P4397" s="1" t="n"/>
      <c r="Q4397" s="1" t="n"/>
      <c r="R4397" s="1" t="n"/>
    </row>
    <row r="4398">
      <c r="A4398" s="61" t="n"/>
      <c r="B4398" s="16" t="n"/>
      <c r="C4398" s="90" t="n"/>
      <c r="D4398" s="90" t="n"/>
      <c r="E4398" s="90" t="n"/>
      <c r="F4398" s="16" t="n"/>
      <c r="G4398" s="16" t="n"/>
      <c r="H4398" s="63" t="n"/>
      <c r="I4398" s="64" t="n"/>
      <c r="J4398" s="16" t="n"/>
      <c r="K4398" s="16" t="n"/>
      <c r="M4398" s="89" t="n"/>
      <c r="N4398" s="1" t="n"/>
      <c r="O4398" s="1" t="n"/>
      <c r="P4398" s="1" t="n"/>
      <c r="Q4398" s="1" t="n"/>
      <c r="R4398" s="1" t="n"/>
    </row>
    <row r="4399">
      <c r="A4399" s="61" t="n"/>
      <c r="B4399" s="16" t="n"/>
      <c r="C4399" s="90" t="n"/>
      <c r="D4399" s="90" t="n"/>
      <c r="E4399" s="90" t="n"/>
      <c r="F4399" s="16" t="n"/>
      <c r="G4399" s="16" t="n"/>
      <c r="H4399" s="63" t="n"/>
      <c r="I4399" s="64" t="n"/>
      <c r="J4399" s="16" t="n"/>
      <c r="K4399" s="16" t="n"/>
      <c r="M4399" s="89" t="n"/>
      <c r="N4399" s="1" t="n"/>
      <c r="O4399" s="1" t="n"/>
      <c r="P4399" s="1" t="n"/>
      <c r="Q4399" s="1" t="n"/>
      <c r="R4399" s="1" t="n"/>
    </row>
    <row r="4400">
      <c r="A4400" s="61" t="n"/>
      <c r="B4400" s="16" t="n"/>
      <c r="C4400" s="90" t="n"/>
      <c r="D4400" s="90" t="n"/>
      <c r="E4400" s="90" t="n"/>
      <c r="F4400" s="16" t="n"/>
      <c r="G4400" s="16" t="n"/>
      <c r="H4400" s="63" t="n"/>
      <c r="I4400" s="64" t="n"/>
      <c r="J4400" s="16" t="n"/>
      <c r="K4400" s="16" t="n"/>
      <c r="M4400" s="89" t="n"/>
      <c r="N4400" s="1" t="n"/>
      <c r="O4400" s="1" t="n"/>
      <c r="P4400" s="1" t="n"/>
      <c r="Q4400" s="1" t="n"/>
      <c r="R4400" s="1" t="n"/>
    </row>
    <row r="4401">
      <c r="A4401" s="61" t="n"/>
      <c r="B4401" s="16" t="n"/>
      <c r="C4401" s="90" t="n"/>
      <c r="D4401" s="90" t="n"/>
      <c r="E4401" s="90" t="n"/>
      <c r="F4401" s="16" t="n"/>
      <c r="G4401" s="16" t="n"/>
      <c r="H4401" s="63" t="n"/>
      <c r="I4401" s="64" t="n"/>
      <c r="J4401" s="16" t="n"/>
      <c r="K4401" s="16" t="n"/>
      <c r="M4401" s="89" t="n"/>
      <c r="N4401" s="1" t="n"/>
      <c r="O4401" s="1" t="n"/>
      <c r="P4401" s="1" t="n"/>
      <c r="Q4401" s="1" t="n"/>
      <c r="R4401" s="1" t="n"/>
    </row>
    <row r="4402">
      <c r="A4402" s="61" t="n"/>
      <c r="B4402" s="16" t="n"/>
      <c r="C4402" s="90" t="n"/>
      <c r="D4402" s="90" t="n"/>
      <c r="E4402" s="90" t="n"/>
      <c r="F4402" s="16" t="n"/>
      <c r="G4402" s="16" t="n"/>
      <c r="H4402" s="63" t="n"/>
      <c r="I4402" s="64" t="n"/>
      <c r="J4402" s="16" t="n"/>
      <c r="K4402" s="16" t="n"/>
      <c r="M4402" s="89" t="n"/>
      <c r="N4402" s="1" t="n"/>
      <c r="O4402" s="1" t="n"/>
      <c r="P4402" s="1" t="n"/>
      <c r="Q4402" s="1" t="n"/>
      <c r="R4402" s="1" t="n"/>
    </row>
    <row r="4403">
      <c r="A4403" s="61" t="n"/>
      <c r="B4403" s="16" t="n"/>
      <c r="C4403" s="90" t="n"/>
      <c r="D4403" s="90" t="n"/>
      <c r="E4403" s="90" t="n"/>
      <c r="F4403" s="16" t="n"/>
      <c r="G4403" s="16" t="n"/>
      <c r="H4403" s="63" t="n"/>
      <c r="I4403" s="64" t="n"/>
      <c r="J4403" s="16" t="n"/>
      <c r="K4403" s="16" t="n"/>
      <c r="M4403" s="89" t="n"/>
      <c r="N4403" s="1" t="n"/>
      <c r="O4403" s="1" t="n"/>
      <c r="P4403" s="1" t="n"/>
      <c r="Q4403" s="1" t="n"/>
      <c r="R4403" s="1" t="n"/>
    </row>
    <row r="4404">
      <c r="A4404" s="61" t="n"/>
      <c r="B4404" s="16" t="n"/>
      <c r="C4404" s="90" t="n"/>
      <c r="D4404" s="90" t="n"/>
      <c r="E4404" s="90" t="n"/>
      <c r="F4404" s="16" t="n"/>
      <c r="G4404" s="16" t="n"/>
      <c r="H4404" s="63" t="n"/>
      <c r="I4404" s="64" t="n"/>
      <c r="J4404" s="16" t="n"/>
      <c r="K4404" s="16" t="n"/>
      <c r="M4404" s="89" t="n"/>
      <c r="N4404" s="1" t="n"/>
      <c r="O4404" s="1" t="n"/>
      <c r="P4404" s="1" t="n"/>
      <c r="Q4404" s="1" t="n"/>
      <c r="R4404" s="1" t="n"/>
    </row>
    <row r="4405">
      <c r="A4405" s="61" t="n"/>
      <c r="B4405" s="16" t="n"/>
      <c r="C4405" s="90" t="n"/>
      <c r="D4405" s="90" t="n"/>
      <c r="E4405" s="90" t="n"/>
      <c r="F4405" s="16" t="n"/>
      <c r="G4405" s="16" t="n"/>
      <c r="H4405" s="63" t="n"/>
      <c r="I4405" s="64" t="n"/>
      <c r="J4405" s="16" t="n"/>
      <c r="K4405" s="16" t="n"/>
      <c r="M4405" s="89" t="n"/>
      <c r="N4405" s="1" t="n"/>
      <c r="O4405" s="1" t="n"/>
      <c r="P4405" s="1" t="n"/>
      <c r="Q4405" s="1" t="n"/>
      <c r="R4405" s="1" t="n"/>
    </row>
    <row r="4406">
      <c r="A4406" s="61" t="n"/>
      <c r="B4406" s="16" t="n"/>
      <c r="C4406" s="90" t="n"/>
      <c r="D4406" s="90" t="n"/>
      <c r="E4406" s="90" t="n"/>
      <c r="F4406" s="16" t="n"/>
      <c r="G4406" s="16" t="n"/>
      <c r="H4406" s="63" t="n"/>
      <c r="I4406" s="64" t="n"/>
      <c r="J4406" s="16" t="n"/>
      <c r="K4406" s="16" t="n"/>
      <c r="M4406" s="89" t="n"/>
      <c r="N4406" s="1" t="n"/>
      <c r="O4406" s="1" t="n"/>
      <c r="P4406" s="1" t="n"/>
      <c r="Q4406" s="1" t="n"/>
      <c r="R4406" s="1" t="n"/>
    </row>
    <row r="4407">
      <c r="A4407" s="61" t="n"/>
      <c r="B4407" s="16" t="n"/>
      <c r="C4407" s="90" t="n"/>
      <c r="D4407" s="90" t="n"/>
      <c r="E4407" s="90" t="n"/>
      <c r="F4407" s="16" t="n"/>
      <c r="G4407" s="16" t="n"/>
      <c r="H4407" s="63" t="n"/>
      <c r="I4407" s="64" t="n"/>
      <c r="J4407" s="16" t="n"/>
      <c r="K4407" s="16" t="n"/>
      <c r="M4407" s="89" t="n"/>
      <c r="N4407" s="1" t="n"/>
      <c r="O4407" s="1" t="n"/>
      <c r="P4407" s="1" t="n"/>
      <c r="Q4407" s="1" t="n"/>
      <c r="R4407" s="1" t="n"/>
    </row>
    <row r="4408">
      <c r="A4408" s="61" t="n"/>
      <c r="B4408" s="16" t="n"/>
      <c r="C4408" s="90" t="n"/>
      <c r="D4408" s="90" t="n"/>
      <c r="E4408" s="90" t="n"/>
      <c r="F4408" s="16" t="n"/>
      <c r="G4408" s="16" t="n"/>
      <c r="H4408" s="63" t="n"/>
      <c r="I4408" s="64" t="n"/>
      <c r="J4408" s="16" t="n"/>
      <c r="K4408" s="16" t="n"/>
      <c r="M4408" s="89" t="n"/>
      <c r="N4408" s="1" t="n"/>
      <c r="O4408" s="1" t="n"/>
      <c r="P4408" s="1" t="n"/>
      <c r="Q4408" s="1" t="n"/>
      <c r="R4408" s="1" t="n"/>
    </row>
    <row r="4409">
      <c r="A4409" s="61" t="n"/>
      <c r="B4409" s="16" t="n"/>
      <c r="C4409" s="90" t="n"/>
      <c r="D4409" s="90" t="n"/>
      <c r="E4409" s="90" t="n"/>
      <c r="F4409" s="16" t="n"/>
      <c r="G4409" s="16" t="n"/>
      <c r="H4409" s="63" t="n"/>
      <c r="I4409" s="64" t="n"/>
      <c r="J4409" s="16" t="n"/>
      <c r="K4409" s="16" t="n"/>
      <c r="M4409" s="89" t="n"/>
      <c r="N4409" s="1" t="n"/>
      <c r="O4409" s="1" t="n"/>
      <c r="P4409" s="1" t="n"/>
      <c r="Q4409" s="1" t="n"/>
      <c r="R4409" s="1" t="n"/>
    </row>
    <row r="4410">
      <c r="A4410" s="61" t="n"/>
      <c r="B4410" s="16" t="n"/>
      <c r="C4410" s="90" t="n"/>
      <c r="D4410" s="90" t="n"/>
      <c r="E4410" s="90" t="n"/>
      <c r="F4410" s="16" t="n"/>
      <c r="G4410" s="16" t="n"/>
      <c r="H4410" s="63" t="n"/>
      <c r="I4410" s="64" t="n"/>
      <c r="J4410" s="16" t="n"/>
      <c r="K4410" s="16" t="n"/>
      <c r="M4410" s="89" t="n"/>
      <c r="N4410" s="1" t="n"/>
      <c r="O4410" s="1" t="n"/>
      <c r="P4410" s="1" t="n"/>
      <c r="Q4410" s="1" t="n"/>
      <c r="R4410" s="1" t="n"/>
    </row>
    <row r="4411">
      <c r="A4411" s="61" t="n"/>
      <c r="B4411" s="16" t="n"/>
      <c r="C4411" s="90" t="n"/>
      <c r="D4411" s="90" t="n"/>
      <c r="E4411" s="90" t="n"/>
      <c r="F4411" s="16" t="n"/>
      <c r="G4411" s="16" t="n"/>
      <c r="H4411" s="63" t="n"/>
      <c r="I4411" s="64" t="n"/>
      <c r="J4411" s="16" t="n"/>
      <c r="K4411" s="16" t="n"/>
      <c r="M4411" s="89" t="n"/>
      <c r="N4411" s="1" t="n"/>
      <c r="O4411" s="1" t="n"/>
      <c r="P4411" s="1" t="n"/>
      <c r="Q4411" s="1" t="n"/>
      <c r="R4411" s="1" t="n"/>
    </row>
    <row r="4412">
      <c r="A4412" s="61" t="n"/>
      <c r="B4412" s="16" t="n"/>
      <c r="C4412" s="90" t="n"/>
      <c r="D4412" s="90" t="n"/>
      <c r="E4412" s="90" t="n"/>
      <c r="F4412" s="16" t="n"/>
      <c r="G4412" s="16" t="n"/>
      <c r="H4412" s="63" t="n"/>
      <c r="I4412" s="64" t="n"/>
      <c r="J4412" s="16" t="n"/>
      <c r="K4412" s="16" t="n"/>
      <c r="M4412" s="89" t="n"/>
      <c r="N4412" s="1" t="n"/>
      <c r="O4412" s="1" t="n"/>
      <c r="P4412" s="1" t="n"/>
      <c r="Q4412" s="1" t="n"/>
      <c r="R4412" s="1" t="n"/>
    </row>
    <row r="4413">
      <c r="A4413" s="61" t="n"/>
      <c r="B4413" s="16" t="n"/>
      <c r="C4413" s="90" t="n"/>
      <c r="D4413" s="90" t="n"/>
      <c r="E4413" s="90" t="n"/>
      <c r="F4413" s="16" t="n"/>
      <c r="G4413" s="16" t="n"/>
      <c r="H4413" s="63" t="n"/>
      <c r="I4413" s="64" t="n"/>
      <c r="J4413" s="16" t="n"/>
      <c r="K4413" s="16" t="n"/>
      <c r="M4413" s="89" t="n"/>
      <c r="N4413" s="1" t="n"/>
      <c r="O4413" s="1" t="n"/>
      <c r="P4413" s="1" t="n"/>
      <c r="Q4413" s="1" t="n"/>
      <c r="R4413" s="1" t="n"/>
    </row>
    <row r="4414">
      <c r="A4414" s="61" t="n"/>
      <c r="B4414" s="16" t="n"/>
      <c r="C4414" s="90" t="n"/>
      <c r="D4414" s="90" t="n"/>
      <c r="E4414" s="90" t="n"/>
      <c r="F4414" s="16" t="n"/>
      <c r="G4414" s="16" t="n"/>
      <c r="H4414" s="63" t="n"/>
      <c r="I4414" s="64" t="n"/>
      <c r="J4414" s="16" t="n"/>
      <c r="K4414" s="16" t="n"/>
      <c r="M4414" s="89" t="n"/>
      <c r="N4414" s="1" t="n"/>
      <c r="O4414" s="1" t="n"/>
      <c r="P4414" s="1" t="n"/>
      <c r="Q4414" s="1" t="n"/>
      <c r="R4414" s="1" t="n"/>
    </row>
    <row r="4415">
      <c r="A4415" s="61" t="n"/>
      <c r="B4415" s="16" t="n"/>
      <c r="C4415" s="90" t="n"/>
      <c r="D4415" s="90" t="n"/>
      <c r="E4415" s="90" t="n"/>
      <c r="F4415" s="16" t="n"/>
      <c r="G4415" s="16" t="n"/>
      <c r="H4415" s="63" t="n"/>
      <c r="I4415" s="64" t="n"/>
      <c r="J4415" s="16" t="n"/>
      <c r="K4415" s="16" t="n"/>
      <c r="M4415" s="89" t="n"/>
      <c r="N4415" s="1" t="n"/>
      <c r="O4415" s="1" t="n"/>
      <c r="P4415" s="1" t="n"/>
      <c r="Q4415" s="1" t="n"/>
      <c r="R4415" s="1" t="n"/>
    </row>
    <row r="4416">
      <c r="A4416" s="61" t="n"/>
      <c r="B4416" s="16" t="n"/>
      <c r="C4416" s="90" t="n"/>
      <c r="D4416" s="90" t="n"/>
      <c r="E4416" s="90" t="n"/>
      <c r="F4416" s="16" t="n"/>
      <c r="G4416" s="16" t="n"/>
      <c r="H4416" s="63" t="n"/>
      <c r="I4416" s="64" t="n"/>
      <c r="J4416" s="16" t="n"/>
      <c r="K4416" s="16" t="n"/>
      <c r="M4416" s="89" t="n"/>
      <c r="N4416" s="1" t="n"/>
      <c r="O4416" s="1" t="n"/>
      <c r="P4416" s="1" t="n"/>
      <c r="Q4416" s="1" t="n"/>
      <c r="R4416" s="1" t="n"/>
    </row>
    <row r="4417">
      <c r="A4417" s="61" t="n"/>
      <c r="B4417" s="16" t="n"/>
      <c r="C4417" s="90" t="n"/>
      <c r="D4417" s="90" t="n"/>
      <c r="E4417" s="90" t="n"/>
      <c r="F4417" s="16" t="n"/>
      <c r="G4417" s="16" t="n"/>
      <c r="H4417" s="63" t="n"/>
      <c r="I4417" s="64" t="n"/>
      <c r="J4417" s="16" t="n"/>
      <c r="K4417" s="16" t="n"/>
      <c r="M4417" s="89" t="n"/>
      <c r="N4417" s="1" t="n"/>
      <c r="O4417" s="1" t="n"/>
      <c r="P4417" s="1" t="n"/>
      <c r="Q4417" s="1" t="n"/>
      <c r="R4417" s="1" t="n"/>
    </row>
    <row r="4418">
      <c r="A4418" s="61" t="n"/>
      <c r="B4418" s="16" t="n"/>
      <c r="C4418" s="90" t="n"/>
      <c r="D4418" s="90" t="n"/>
      <c r="E4418" s="90" t="n"/>
      <c r="F4418" s="16" t="n"/>
      <c r="G4418" s="16" t="n"/>
      <c r="H4418" s="63" t="n"/>
      <c r="I4418" s="64" t="n"/>
      <c r="J4418" s="16" t="n"/>
      <c r="K4418" s="16" t="n"/>
      <c r="M4418" s="89" t="n"/>
      <c r="N4418" s="1" t="n"/>
      <c r="O4418" s="1" t="n"/>
      <c r="P4418" s="1" t="n"/>
      <c r="Q4418" s="1" t="n"/>
      <c r="R4418" s="1" t="n"/>
    </row>
    <row r="4419">
      <c r="A4419" s="61" t="n"/>
      <c r="B4419" s="16" t="n"/>
      <c r="C4419" s="90" t="n"/>
      <c r="D4419" s="90" t="n"/>
      <c r="E4419" s="90" t="n"/>
      <c r="F4419" s="16" t="n"/>
      <c r="G4419" s="16" t="n"/>
      <c r="H4419" s="63" t="n"/>
      <c r="I4419" s="64" t="n"/>
      <c r="J4419" s="16" t="n"/>
      <c r="K4419" s="16" t="n"/>
      <c r="M4419" s="89" t="n"/>
      <c r="N4419" s="1" t="n"/>
      <c r="O4419" s="1" t="n"/>
      <c r="P4419" s="1" t="n"/>
      <c r="Q4419" s="1" t="n"/>
      <c r="R4419" s="1" t="n"/>
    </row>
    <row r="4420">
      <c r="A4420" s="61" t="n"/>
      <c r="B4420" s="16" t="n"/>
      <c r="C4420" s="90" t="n"/>
      <c r="D4420" s="90" t="n"/>
      <c r="E4420" s="90" t="n"/>
      <c r="F4420" s="16" t="n"/>
      <c r="G4420" s="16" t="n"/>
      <c r="H4420" s="63" t="n"/>
      <c r="I4420" s="64" t="n"/>
      <c r="J4420" s="16" t="n"/>
      <c r="K4420" s="16" t="n"/>
      <c r="M4420" s="89" t="n"/>
      <c r="N4420" s="1" t="n"/>
      <c r="O4420" s="1" t="n"/>
      <c r="P4420" s="1" t="n"/>
      <c r="Q4420" s="1" t="n"/>
      <c r="R4420" s="1" t="n"/>
    </row>
    <row r="4421">
      <c r="A4421" s="61" t="n"/>
      <c r="B4421" s="16" t="n"/>
      <c r="C4421" s="90" t="n"/>
      <c r="D4421" s="90" t="n"/>
      <c r="E4421" s="90" t="n"/>
      <c r="F4421" s="16" t="n"/>
      <c r="G4421" s="16" t="n"/>
      <c r="H4421" s="63" t="n"/>
      <c r="I4421" s="64" t="n"/>
      <c r="J4421" s="16" t="n"/>
      <c r="K4421" s="16" t="n"/>
      <c r="M4421" s="89" t="n"/>
      <c r="N4421" s="1" t="n"/>
      <c r="O4421" s="1" t="n"/>
      <c r="P4421" s="1" t="n"/>
      <c r="Q4421" s="1" t="n"/>
      <c r="R4421" s="1" t="n"/>
    </row>
    <row r="4422">
      <c r="A4422" s="61" t="n"/>
      <c r="B4422" s="16" t="n"/>
      <c r="C4422" s="90" t="n"/>
      <c r="D4422" s="90" t="n"/>
      <c r="E4422" s="90" t="n"/>
      <c r="F4422" s="16" t="n"/>
      <c r="G4422" s="16" t="n"/>
      <c r="H4422" s="63" t="n"/>
      <c r="I4422" s="64" t="n"/>
      <c r="J4422" s="16" t="n"/>
      <c r="K4422" s="16" t="n"/>
      <c r="M4422" s="89" t="n"/>
      <c r="N4422" s="1" t="n"/>
      <c r="O4422" s="1" t="n"/>
      <c r="P4422" s="1" t="n"/>
      <c r="Q4422" s="1" t="n"/>
      <c r="R4422" s="1" t="n"/>
    </row>
    <row r="4423">
      <c r="A4423" s="61" t="n"/>
      <c r="B4423" s="16" t="n"/>
      <c r="C4423" s="90" t="n"/>
      <c r="D4423" s="90" t="n"/>
      <c r="E4423" s="90" t="n"/>
      <c r="F4423" s="16" t="n"/>
      <c r="G4423" s="16" t="n"/>
      <c r="H4423" s="63" t="n"/>
      <c r="I4423" s="64" t="n"/>
      <c r="J4423" s="16" t="n"/>
      <c r="K4423" s="16" t="n"/>
      <c r="M4423" s="89" t="n"/>
      <c r="N4423" s="1" t="n"/>
      <c r="O4423" s="1" t="n"/>
      <c r="P4423" s="1" t="n"/>
      <c r="Q4423" s="1" t="n"/>
      <c r="R4423" s="1" t="n"/>
    </row>
    <row r="4424">
      <c r="A4424" s="61" t="n"/>
      <c r="B4424" s="16" t="n"/>
      <c r="C4424" s="90" t="n"/>
      <c r="D4424" s="90" t="n"/>
      <c r="E4424" s="90" t="n"/>
      <c r="F4424" s="16" t="n"/>
      <c r="G4424" s="16" t="n"/>
      <c r="H4424" s="63" t="n"/>
      <c r="I4424" s="64" t="n"/>
      <c r="J4424" s="16" t="n"/>
      <c r="K4424" s="16" t="n"/>
      <c r="M4424" s="89" t="n"/>
      <c r="N4424" s="1" t="n"/>
      <c r="O4424" s="1" t="n"/>
      <c r="P4424" s="1" t="n"/>
      <c r="Q4424" s="1" t="n"/>
      <c r="R4424" s="1" t="n"/>
    </row>
    <row r="4425">
      <c r="A4425" s="61" t="n"/>
      <c r="B4425" s="16" t="n"/>
      <c r="C4425" s="90" t="n"/>
      <c r="D4425" s="90" t="n"/>
      <c r="E4425" s="90" t="n"/>
      <c r="F4425" s="16" t="n"/>
      <c r="G4425" s="16" t="n"/>
      <c r="H4425" s="63" t="n"/>
      <c r="I4425" s="64" t="n"/>
      <c r="J4425" s="16" t="n"/>
      <c r="K4425" s="16" t="n"/>
      <c r="M4425" s="89" t="n"/>
      <c r="N4425" s="1" t="n"/>
      <c r="O4425" s="1" t="n"/>
      <c r="P4425" s="1" t="n"/>
      <c r="Q4425" s="1" t="n"/>
      <c r="R4425" s="1" t="n"/>
    </row>
    <row r="4426">
      <c r="A4426" s="61" t="n"/>
      <c r="B4426" s="16" t="n"/>
      <c r="C4426" s="90" t="n"/>
      <c r="D4426" s="90" t="n"/>
      <c r="E4426" s="90" t="n"/>
      <c r="F4426" s="16" t="n"/>
      <c r="G4426" s="16" t="n"/>
      <c r="H4426" s="63" t="n"/>
      <c r="I4426" s="64" t="n"/>
      <c r="J4426" s="16" t="n"/>
      <c r="K4426" s="16" t="n"/>
      <c r="M4426" s="89" t="n"/>
      <c r="N4426" s="1" t="n"/>
      <c r="O4426" s="1" t="n"/>
      <c r="P4426" s="1" t="n"/>
      <c r="Q4426" s="1" t="n"/>
      <c r="R4426" s="1" t="n"/>
    </row>
    <row r="4427">
      <c r="A4427" s="61" t="n"/>
      <c r="B4427" s="16" t="n"/>
      <c r="C4427" s="90" t="n"/>
      <c r="D4427" s="90" t="n"/>
      <c r="E4427" s="90" t="n"/>
      <c r="F4427" s="16" t="n"/>
      <c r="G4427" s="16" t="n"/>
      <c r="H4427" s="63" t="n"/>
      <c r="I4427" s="64" t="n"/>
      <c r="J4427" s="16" t="n"/>
      <c r="K4427" s="16" t="n"/>
      <c r="M4427" s="89" t="n"/>
      <c r="N4427" s="1" t="n"/>
      <c r="O4427" s="1" t="n"/>
      <c r="P4427" s="1" t="n"/>
      <c r="Q4427" s="1" t="n"/>
      <c r="R4427" s="1" t="n"/>
    </row>
    <row r="4428">
      <c r="A4428" s="61" t="n"/>
      <c r="B4428" s="16" t="n"/>
      <c r="C4428" s="90" t="n"/>
      <c r="D4428" s="90" t="n"/>
      <c r="E4428" s="90" t="n"/>
      <c r="F4428" s="16" t="n"/>
      <c r="G4428" s="16" t="n"/>
      <c r="H4428" s="63" t="n"/>
      <c r="I4428" s="64" t="n"/>
      <c r="J4428" s="16" t="n"/>
      <c r="K4428" s="16" t="n"/>
      <c r="M4428" s="89" t="n"/>
      <c r="N4428" s="1" t="n"/>
      <c r="O4428" s="1" t="n"/>
      <c r="P4428" s="1" t="n"/>
      <c r="Q4428" s="1" t="n"/>
      <c r="R4428" s="1" t="n"/>
    </row>
    <row r="4429">
      <c r="A4429" s="61" t="n"/>
      <c r="B4429" s="16" t="n"/>
      <c r="C4429" s="90" t="n"/>
      <c r="D4429" s="90" t="n"/>
      <c r="E4429" s="90" t="n"/>
      <c r="F4429" s="16" t="n"/>
      <c r="G4429" s="16" t="n"/>
      <c r="H4429" s="63" t="n"/>
      <c r="I4429" s="64" t="n"/>
      <c r="J4429" s="16" t="n"/>
      <c r="K4429" s="16" t="n"/>
      <c r="M4429" s="89" t="n"/>
      <c r="N4429" s="1" t="n"/>
      <c r="O4429" s="1" t="n"/>
      <c r="P4429" s="1" t="n"/>
      <c r="Q4429" s="1" t="n"/>
      <c r="R4429" s="1" t="n"/>
    </row>
    <row r="4430">
      <c r="A4430" s="61" t="n"/>
      <c r="B4430" s="16" t="n"/>
      <c r="C4430" s="90" t="n"/>
      <c r="D4430" s="90" t="n"/>
      <c r="E4430" s="90" t="n"/>
      <c r="F4430" s="16" t="n"/>
      <c r="G4430" s="16" t="n"/>
      <c r="H4430" s="63" t="n"/>
      <c r="I4430" s="64" t="n"/>
      <c r="J4430" s="16" t="n"/>
      <c r="K4430" s="16" t="n"/>
      <c r="M4430" s="89" t="n"/>
      <c r="N4430" s="1" t="n"/>
      <c r="O4430" s="1" t="n"/>
      <c r="P4430" s="1" t="n"/>
      <c r="Q4430" s="1" t="n"/>
      <c r="R4430" s="1" t="n"/>
    </row>
    <row r="4431">
      <c r="A4431" s="61" t="n"/>
      <c r="B4431" s="16" t="n"/>
      <c r="C4431" s="90" t="n"/>
      <c r="D4431" s="90" t="n"/>
      <c r="E4431" s="90" t="n"/>
      <c r="F4431" s="16" t="n"/>
      <c r="G4431" s="16" t="n"/>
      <c r="H4431" s="63" t="n"/>
      <c r="I4431" s="64" t="n"/>
      <c r="J4431" s="16" t="n"/>
      <c r="K4431" s="16" t="n"/>
      <c r="M4431" s="89" t="n"/>
      <c r="N4431" s="1" t="n"/>
      <c r="O4431" s="1" t="n"/>
      <c r="P4431" s="1" t="n"/>
      <c r="Q4431" s="1" t="n"/>
      <c r="R4431" s="1" t="n"/>
    </row>
    <row r="4432">
      <c r="A4432" s="61" t="n"/>
      <c r="B4432" s="16" t="n"/>
      <c r="C4432" s="90" t="n"/>
      <c r="D4432" s="90" t="n"/>
      <c r="E4432" s="90" t="n"/>
      <c r="F4432" s="16" t="n"/>
      <c r="G4432" s="16" t="n"/>
      <c r="H4432" s="63" t="n"/>
      <c r="I4432" s="64" t="n"/>
      <c r="J4432" s="16" t="n"/>
      <c r="K4432" s="16" t="n"/>
      <c r="M4432" s="89" t="n"/>
      <c r="N4432" s="1" t="n"/>
      <c r="O4432" s="1" t="n"/>
      <c r="P4432" s="1" t="n"/>
      <c r="Q4432" s="1" t="n"/>
      <c r="R4432" s="1" t="n"/>
    </row>
    <row r="4433">
      <c r="A4433" s="61" t="n"/>
      <c r="B4433" s="16" t="n"/>
      <c r="C4433" s="90" t="n"/>
      <c r="D4433" s="90" t="n"/>
      <c r="E4433" s="90" t="n"/>
      <c r="F4433" s="16" t="n"/>
      <c r="G4433" s="16" t="n"/>
      <c r="H4433" s="63" t="n"/>
      <c r="I4433" s="64" t="n"/>
      <c r="J4433" s="16" t="n"/>
      <c r="K4433" s="16" t="n"/>
      <c r="M4433" s="89" t="n"/>
      <c r="N4433" s="1" t="n"/>
      <c r="O4433" s="1" t="n"/>
      <c r="P4433" s="1" t="n"/>
      <c r="Q4433" s="1" t="n"/>
      <c r="R4433" s="1" t="n"/>
    </row>
    <row r="4434">
      <c r="A4434" s="61" t="n"/>
      <c r="B4434" s="16" t="n"/>
      <c r="C4434" s="90" t="n"/>
      <c r="D4434" s="90" t="n"/>
      <c r="E4434" s="90" t="n"/>
      <c r="F4434" s="16" t="n"/>
      <c r="G4434" s="16" t="n"/>
      <c r="H4434" s="63" t="n"/>
      <c r="I4434" s="64" t="n"/>
      <c r="J4434" s="16" t="n"/>
      <c r="K4434" s="16" t="n"/>
      <c r="M4434" s="89" t="n"/>
      <c r="N4434" s="1" t="n"/>
      <c r="O4434" s="1" t="n"/>
      <c r="P4434" s="1" t="n"/>
      <c r="Q4434" s="1" t="n"/>
      <c r="R4434" s="1" t="n"/>
    </row>
    <row r="4435">
      <c r="A4435" s="61" t="n"/>
      <c r="B4435" s="16" t="n"/>
      <c r="C4435" s="90" t="n"/>
      <c r="D4435" s="90" t="n"/>
      <c r="E4435" s="90" t="n"/>
      <c r="F4435" s="16" t="n"/>
      <c r="G4435" s="16" t="n"/>
      <c r="H4435" s="63" t="n"/>
      <c r="I4435" s="64" t="n"/>
      <c r="J4435" s="16" t="n"/>
      <c r="K4435" s="16" t="n"/>
      <c r="M4435" s="89" t="n"/>
      <c r="N4435" s="1" t="n"/>
      <c r="O4435" s="1" t="n"/>
      <c r="P4435" s="1" t="n"/>
      <c r="Q4435" s="1" t="n"/>
      <c r="R4435" s="1" t="n"/>
    </row>
    <row r="4436">
      <c r="A4436" s="61" t="n"/>
      <c r="B4436" s="16" t="n"/>
      <c r="C4436" s="90" t="n"/>
      <c r="D4436" s="90" t="n"/>
      <c r="E4436" s="90" t="n"/>
      <c r="F4436" s="16" t="n"/>
      <c r="G4436" s="16" t="n"/>
      <c r="H4436" s="63" t="n"/>
      <c r="I4436" s="64" t="n"/>
      <c r="J4436" s="16" t="n"/>
      <c r="K4436" s="16" t="n"/>
      <c r="M4436" s="89" t="n"/>
      <c r="N4436" s="1" t="n"/>
      <c r="O4436" s="1" t="n"/>
      <c r="P4436" s="1" t="n"/>
      <c r="Q4436" s="1" t="n"/>
      <c r="R4436" s="1" t="n"/>
    </row>
    <row r="4437">
      <c r="A4437" s="61" t="n"/>
      <c r="B4437" s="16" t="n"/>
      <c r="C4437" s="90" t="n"/>
      <c r="D4437" s="90" t="n"/>
      <c r="E4437" s="90" t="n"/>
      <c r="F4437" s="16" t="n"/>
      <c r="G4437" s="16" t="n"/>
      <c r="H4437" s="63" t="n"/>
      <c r="I4437" s="64" t="n"/>
      <c r="J4437" s="16" t="n"/>
      <c r="K4437" s="16" t="n"/>
      <c r="M4437" s="89" t="n"/>
      <c r="N4437" s="1" t="n"/>
      <c r="O4437" s="1" t="n"/>
      <c r="P4437" s="1" t="n"/>
      <c r="Q4437" s="1" t="n"/>
      <c r="R4437" s="1" t="n"/>
    </row>
    <row r="4438">
      <c r="A4438" s="61" t="n"/>
      <c r="B4438" s="16" t="n"/>
      <c r="C4438" s="90" t="n"/>
      <c r="D4438" s="90" t="n"/>
      <c r="E4438" s="90" t="n"/>
      <c r="F4438" s="16" t="n"/>
      <c r="G4438" s="16" t="n"/>
      <c r="H4438" s="63" t="n"/>
      <c r="I4438" s="64" t="n"/>
      <c r="J4438" s="16" t="n"/>
      <c r="K4438" s="16" t="n"/>
      <c r="M4438" s="89" t="n"/>
      <c r="N4438" s="1" t="n"/>
      <c r="O4438" s="1" t="n"/>
      <c r="P4438" s="1" t="n"/>
      <c r="Q4438" s="1" t="n"/>
      <c r="R4438" s="1" t="n"/>
    </row>
    <row r="4439">
      <c r="A4439" s="61" t="n"/>
      <c r="B4439" s="16" t="n"/>
      <c r="C4439" s="90" t="n"/>
      <c r="D4439" s="90" t="n"/>
      <c r="E4439" s="90" t="n"/>
      <c r="F4439" s="16" t="n"/>
      <c r="G4439" s="16" t="n"/>
      <c r="H4439" s="63" t="n"/>
      <c r="I4439" s="64" t="n"/>
      <c r="J4439" s="16" t="n"/>
      <c r="K4439" s="16" t="n"/>
      <c r="M4439" s="89" t="n"/>
      <c r="N4439" s="1" t="n"/>
      <c r="O4439" s="1" t="n"/>
      <c r="P4439" s="1" t="n"/>
      <c r="Q4439" s="1" t="n"/>
      <c r="R4439" s="1" t="n"/>
    </row>
    <row r="4440">
      <c r="A4440" s="61" t="n"/>
      <c r="B4440" s="16" t="n"/>
      <c r="C4440" s="90" t="n"/>
      <c r="D4440" s="90" t="n"/>
      <c r="E4440" s="90" t="n"/>
      <c r="F4440" s="16" t="n"/>
      <c r="G4440" s="16" t="n"/>
      <c r="H4440" s="63" t="n"/>
      <c r="I4440" s="64" t="n"/>
      <c r="J4440" s="16" t="n"/>
      <c r="K4440" s="16" t="n"/>
      <c r="M4440" s="89" t="n"/>
      <c r="N4440" s="1" t="n"/>
      <c r="O4440" s="1" t="n"/>
      <c r="P4440" s="1" t="n"/>
      <c r="Q4440" s="1" t="n"/>
      <c r="R4440" s="1" t="n"/>
    </row>
    <row r="4441">
      <c r="A4441" s="61" t="n"/>
      <c r="B4441" s="16" t="n"/>
      <c r="C4441" s="90" t="n"/>
      <c r="D4441" s="90" t="n"/>
      <c r="E4441" s="90" t="n"/>
      <c r="F4441" s="16" t="n"/>
      <c r="G4441" s="16" t="n"/>
      <c r="H4441" s="63" t="n"/>
      <c r="I4441" s="64" t="n"/>
      <c r="J4441" s="16" t="n"/>
      <c r="K4441" s="16" t="n"/>
      <c r="M4441" s="89" t="n"/>
      <c r="N4441" s="1" t="n"/>
      <c r="O4441" s="1" t="n"/>
      <c r="P4441" s="1" t="n"/>
      <c r="Q4441" s="1" t="n"/>
      <c r="R4441" s="1" t="n"/>
    </row>
    <row r="4442">
      <c r="A4442" s="61" t="n"/>
      <c r="B4442" s="16" t="n"/>
      <c r="C4442" s="90" t="n"/>
      <c r="D4442" s="90" t="n"/>
      <c r="E4442" s="90" t="n"/>
      <c r="F4442" s="16" t="n"/>
      <c r="G4442" s="16" t="n"/>
      <c r="H4442" s="63" t="n"/>
      <c r="I4442" s="64" t="n"/>
      <c r="J4442" s="16" t="n"/>
      <c r="K4442" s="16" t="n"/>
      <c r="M4442" s="89" t="n"/>
      <c r="N4442" s="1" t="n"/>
      <c r="O4442" s="1" t="n"/>
      <c r="P4442" s="1" t="n"/>
      <c r="Q4442" s="1" t="n"/>
      <c r="R4442" s="1" t="n"/>
    </row>
    <row r="4443">
      <c r="A4443" s="61" t="n"/>
      <c r="B4443" s="16" t="n"/>
      <c r="C4443" s="90" t="n"/>
      <c r="D4443" s="90" t="n"/>
      <c r="E4443" s="90" t="n"/>
      <c r="F4443" s="16" t="n"/>
      <c r="G4443" s="16" t="n"/>
      <c r="H4443" s="63" t="n"/>
      <c r="I4443" s="64" t="n"/>
      <c r="J4443" s="16" t="n"/>
      <c r="K4443" s="16" t="n"/>
      <c r="M4443" s="89" t="n"/>
      <c r="N4443" s="1" t="n"/>
      <c r="O4443" s="1" t="n"/>
      <c r="P4443" s="1" t="n"/>
      <c r="Q4443" s="1" t="n"/>
      <c r="R4443" s="1" t="n"/>
    </row>
    <row r="4444">
      <c r="A4444" s="61" t="n"/>
      <c r="B4444" s="16" t="n"/>
      <c r="C4444" s="90" t="n"/>
      <c r="D4444" s="90" t="n"/>
      <c r="E4444" s="90" t="n"/>
      <c r="F4444" s="16" t="n"/>
      <c r="G4444" s="16" t="n"/>
      <c r="H4444" s="63" t="n"/>
      <c r="I4444" s="64" t="n"/>
      <c r="J4444" s="16" t="n"/>
      <c r="K4444" s="16" t="n"/>
      <c r="M4444" s="89" t="n"/>
      <c r="N4444" s="1" t="n"/>
      <c r="O4444" s="1" t="n"/>
      <c r="P4444" s="1" t="n"/>
      <c r="Q4444" s="1" t="n"/>
      <c r="R4444" s="1" t="n"/>
    </row>
    <row r="4445">
      <c r="A4445" s="61" t="n"/>
      <c r="B4445" s="16" t="n"/>
      <c r="C4445" s="90" t="n"/>
      <c r="D4445" s="90" t="n"/>
      <c r="E4445" s="90" t="n"/>
      <c r="F4445" s="16" t="n"/>
      <c r="G4445" s="16" t="n"/>
      <c r="H4445" s="63" t="n"/>
      <c r="I4445" s="64" t="n"/>
      <c r="J4445" s="16" t="n"/>
      <c r="K4445" s="16" t="n"/>
      <c r="M4445" s="89" t="n"/>
      <c r="N4445" s="1" t="n"/>
      <c r="O4445" s="1" t="n"/>
      <c r="P4445" s="1" t="n"/>
      <c r="Q4445" s="1" t="n"/>
      <c r="R4445" s="1" t="n"/>
    </row>
    <row r="4446">
      <c r="A4446" s="61" t="n"/>
      <c r="B4446" s="16" t="n"/>
      <c r="C4446" s="90" t="n"/>
      <c r="D4446" s="90" t="n"/>
      <c r="E4446" s="90" t="n"/>
      <c r="F4446" s="16" t="n"/>
      <c r="G4446" s="16" t="n"/>
      <c r="H4446" s="63" t="n"/>
      <c r="I4446" s="64" t="n"/>
      <c r="J4446" s="16" t="n"/>
      <c r="K4446" s="16" t="n"/>
      <c r="M4446" s="89" t="n"/>
      <c r="N4446" s="1" t="n"/>
      <c r="O4446" s="1" t="n"/>
      <c r="P4446" s="1" t="n"/>
      <c r="Q4446" s="1" t="n"/>
      <c r="R4446" s="1" t="n"/>
    </row>
    <row r="4447">
      <c r="A4447" s="61" t="n"/>
      <c r="B4447" s="16" t="n"/>
      <c r="C4447" s="90" t="n"/>
      <c r="D4447" s="90" t="n"/>
      <c r="E4447" s="90" t="n"/>
      <c r="F4447" s="16" t="n"/>
      <c r="G4447" s="16" t="n"/>
      <c r="H4447" s="63" t="n"/>
      <c r="I4447" s="64" t="n"/>
      <c r="J4447" s="16" t="n"/>
      <c r="K4447" s="16" t="n"/>
      <c r="M4447" s="89" t="n"/>
      <c r="N4447" s="1" t="n"/>
      <c r="O4447" s="1" t="n"/>
      <c r="P4447" s="1" t="n"/>
      <c r="Q4447" s="1" t="n"/>
      <c r="R4447" s="1" t="n"/>
    </row>
    <row r="4448">
      <c r="A4448" s="61" t="n"/>
      <c r="B4448" s="16" t="n"/>
      <c r="C4448" s="90" t="n"/>
      <c r="D4448" s="90" t="n"/>
      <c r="E4448" s="90" t="n"/>
      <c r="F4448" s="16" t="n"/>
      <c r="G4448" s="16" t="n"/>
      <c r="H4448" s="63" t="n"/>
      <c r="I4448" s="64" t="n"/>
      <c r="J4448" s="16" t="n"/>
      <c r="K4448" s="16" t="n"/>
      <c r="M4448" s="89" t="n"/>
      <c r="N4448" s="1" t="n"/>
      <c r="O4448" s="1" t="n"/>
      <c r="P4448" s="1" t="n"/>
      <c r="Q4448" s="1" t="n"/>
      <c r="R4448" s="1" t="n"/>
    </row>
    <row r="4449">
      <c r="A4449" s="61" t="n"/>
      <c r="B4449" s="16" t="n"/>
      <c r="C4449" s="90" t="n"/>
      <c r="D4449" s="90" t="n"/>
      <c r="E4449" s="90" t="n"/>
      <c r="F4449" s="16" t="n"/>
      <c r="G4449" s="16" t="n"/>
      <c r="H4449" s="63" t="n"/>
      <c r="I4449" s="64" t="n"/>
      <c r="J4449" s="16" t="n"/>
      <c r="K4449" s="16" t="n"/>
      <c r="M4449" s="89" t="n"/>
      <c r="N4449" s="1" t="n"/>
      <c r="O4449" s="1" t="n"/>
      <c r="P4449" s="1" t="n"/>
      <c r="Q4449" s="1" t="n"/>
      <c r="R4449" s="1" t="n"/>
    </row>
    <row r="4450">
      <c r="A4450" s="61" t="n"/>
      <c r="B4450" s="16" t="n"/>
      <c r="C4450" s="90" t="n"/>
      <c r="D4450" s="90" t="n"/>
      <c r="E4450" s="90" t="n"/>
      <c r="F4450" s="16" t="n"/>
      <c r="G4450" s="16" t="n"/>
      <c r="H4450" s="63" t="n"/>
      <c r="I4450" s="64" t="n"/>
      <c r="J4450" s="16" t="n"/>
      <c r="K4450" s="16" t="n"/>
      <c r="M4450" s="89" t="n"/>
      <c r="N4450" s="1" t="n"/>
      <c r="O4450" s="1" t="n"/>
      <c r="P4450" s="1" t="n"/>
      <c r="Q4450" s="1" t="n"/>
      <c r="R4450" s="1" t="n"/>
    </row>
    <row r="4451">
      <c r="A4451" s="61" t="n"/>
      <c r="B4451" s="16" t="n"/>
      <c r="C4451" s="90" t="n"/>
      <c r="D4451" s="90" t="n"/>
      <c r="E4451" s="90" t="n"/>
      <c r="F4451" s="16" t="n"/>
      <c r="G4451" s="16" t="n"/>
      <c r="H4451" s="63" t="n"/>
      <c r="I4451" s="64" t="n"/>
      <c r="J4451" s="16" t="n"/>
      <c r="K4451" s="16" t="n"/>
      <c r="M4451" s="89" t="n"/>
      <c r="N4451" s="1" t="n"/>
      <c r="O4451" s="1" t="n"/>
      <c r="P4451" s="1" t="n"/>
      <c r="Q4451" s="1" t="n"/>
      <c r="R4451" s="1" t="n"/>
    </row>
    <row r="4452">
      <c r="A4452" s="61" t="n"/>
      <c r="B4452" s="16" t="n"/>
      <c r="C4452" s="90" t="n"/>
      <c r="D4452" s="90" t="n"/>
      <c r="E4452" s="90" t="n"/>
      <c r="F4452" s="16" t="n"/>
      <c r="G4452" s="16" t="n"/>
      <c r="H4452" s="63" t="n"/>
      <c r="I4452" s="64" t="n"/>
      <c r="J4452" s="16" t="n"/>
      <c r="K4452" s="16" t="n"/>
      <c r="M4452" s="89" t="n"/>
      <c r="N4452" s="1" t="n"/>
      <c r="O4452" s="1" t="n"/>
      <c r="P4452" s="1" t="n"/>
      <c r="Q4452" s="1" t="n"/>
      <c r="R4452" s="1" t="n"/>
    </row>
    <row r="4453">
      <c r="A4453" s="61" t="n"/>
      <c r="B4453" s="16" t="n"/>
      <c r="C4453" s="90" t="n"/>
      <c r="D4453" s="90" t="n"/>
      <c r="E4453" s="90" t="n"/>
      <c r="F4453" s="16" t="n"/>
      <c r="G4453" s="16" t="n"/>
      <c r="H4453" s="63" t="n"/>
      <c r="I4453" s="64" t="n"/>
      <c r="J4453" s="16" t="n"/>
      <c r="K4453" s="16" t="n"/>
      <c r="M4453" s="89" t="n"/>
      <c r="N4453" s="1" t="n"/>
      <c r="O4453" s="1" t="n"/>
      <c r="P4453" s="1" t="n"/>
      <c r="Q4453" s="1" t="n"/>
      <c r="R4453" s="1" t="n"/>
    </row>
    <row r="4454">
      <c r="A4454" s="61" t="n"/>
      <c r="B4454" s="16" t="n"/>
      <c r="C4454" s="90" t="n"/>
      <c r="D4454" s="90" t="n"/>
      <c r="E4454" s="90" t="n"/>
      <c r="F4454" s="16" t="n"/>
      <c r="G4454" s="16" t="n"/>
      <c r="H4454" s="63" t="n"/>
      <c r="I4454" s="64" t="n"/>
      <c r="J4454" s="16" t="n"/>
      <c r="K4454" s="16" t="n"/>
      <c r="M4454" s="89" t="n"/>
      <c r="N4454" s="1" t="n"/>
      <c r="O4454" s="1" t="n"/>
      <c r="P4454" s="1" t="n"/>
      <c r="Q4454" s="1" t="n"/>
      <c r="R4454" s="1" t="n"/>
    </row>
    <row r="4455">
      <c r="A4455" s="61" t="n"/>
      <c r="B4455" s="16" t="n"/>
      <c r="C4455" s="90" t="n"/>
      <c r="D4455" s="90" t="n"/>
      <c r="E4455" s="90" t="n"/>
      <c r="F4455" s="16" t="n"/>
      <c r="G4455" s="16" t="n"/>
      <c r="H4455" s="63" t="n"/>
      <c r="I4455" s="64" t="n"/>
      <c r="J4455" s="16" t="n"/>
      <c r="K4455" s="16" t="n"/>
      <c r="M4455" s="89" t="n"/>
      <c r="N4455" s="1" t="n"/>
      <c r="O4455" s="1" t="n"/>
      <c r="P4455" s="1" t="n"/>
      <c r="Q4455" s="1" t="n"/>
      <c r="R4455" s="1" t="n"/>
    </row>
    <row r="4456">
      <c r="A4456" s="61" t="n"/>
      <c r="B4456" s="16" t="n"/>
      <c r="C4456" s="90" t="n"/>
      <c r="D4456" s="90" t="n"/>
      <c r="E4456" s="90" t="n"/>
      <c r="F4456" s="16" t="n"/>
      <c r="G4456" s="16" t="n"/>
      <c r="H4456" s="63" t="n"/>
      <c r="I4456" s="64" t="n"/>
      <c r="J4456" s="16" t="n"/>
      <c r="K4456" s="16" t="n"/>
      <c r="M4456" s="89" t="n"/>
      <c r="N4456" s="1" t="n"/>
      <c r="O4456" s="1" t="n"/>
      <c r="P4456" s="1" t="n"/>
      <c r="Q4456" s="1" t="n"/>
      <c r="R4456" s="1" t="n"/>
    </row>
    <row r="4457">
      <c r="A4457" s="61" t="n"/>
      <c r="B4457" s="16" t="n"/>
      <c r="C4457" s="90" t="n"/>
      <c r="D4457" s="90" t="n"/>
      <c r="E4457" s="90" t="n"/>
      <c r="F4457" s="16" t="n"/>
      <c r="G4457" s="16" t="n"/>
      <c r="H4457" s="63" t="n"/>
      <c r="I4457" s="64" t="n"/>
      <c r="J4457" s="16" t="n"/>
      <c r="K4457" s="16" t="n"/>
      <c r="M4457" s="89" t="n"/>
      <c r="N4457" s="1" t="n"/>
      <c r="O4457" s="1" t="n"/>
      <c r="P4457" s="1" t="n"/>
      <c r="Q4457" s="1" t="n"/>
      <c r="R4457" s="1" t="n"/>
    </row>
    <row r="4458">
      <c r="A4458" s="61" t="n"/>
      <c r="B4458" s="16" t="n"/>
      <c r="C4458" s="90" t="n"/>
      <c r="D4458" s="90" t="n"/>
      <c r="E4458" s="90" t="n"/>
      <c r="F4458" s="16" t="n"/>
      <c r="G4458" s="16" t="n"/>
      <c r="H4458" s="63" t="n"/>
      <c r="I4458" s="64" t="n"/>
      <c r="J4458" s="16" t="n"/>
      <c r="K4458" s="16" t="n"/>
      <c r="M4458" s="89" t="n"/>
      <c r="N4458" s="1" t="n"/>
      <c r="O4458" s="1" t="n"/>
      <c r="P4458" s="1" t="n"/>
      <c r="Q4458" s="1" t="n"/>
      <c r="R4458" s="1" t="n"/>
    </row>
    <row r="4459">
      <c r="A4459" s="61" t="n"/>
      <c r="B4459" s="16" t="n"/>
      <c r="C4459" s="90" t="n"/>
      <c r="D4459" s="90" t="n"/>
      <c r="E4459" s="90" t="n"/>
      <c r="F4459" s="16" t="n"/>
      <c r="G4459" s="16" t="n"/>
      <c r="H4459" s="63" t="n"/>
      <c r="I4459" s="64" t="n"/>
      <c r="J4459" s="16" t="n"/>
      <c r="K4459" s="16" t="n"/>
      <c r="M4459" s="89" t="n"/>
      <c r="N4459" s="1" t="n"/>
      <c r="O4459" s="1" t="n"/>
      <c r="P4459" s="1" t="n"/>
      <c r="Q4459" s="1" t="n"/>
      <c r="R4459" s="1" t="n"/>
    </row>
    <row r="4460">
      <c r="A4460" s="61" t="n"/>
      <c r="B4460" s="16" t="n"/>
      <c r="C4460" s="90" t="n"/>
      <c r="D4460" s="90" t="n"/>
      <c r="E4460" s="90" t="n"/>
      <c r="F4460" s="16" t="n"/>
      <c r="G4460" s="16" t="n"/>
      <c r="H4460" s="63" t="n"/>
      <c r="I4460" s="64" t="n"/>
      <c r="J4460" s="16" t="n"/>
      <c r="K4460" s="16" t="n"/>
      <c r="M4460" s="89" t="n"/>
      <c r="N4460" s="1" t="n"/>
      <c r="O4460" s="1" t="n"/>
      <c r="P4460" s="1" t="n"/>
      <c r="Q4460" s="1" t="n"/>
      <c r="R4460" s="1" t="n"/>
    </row>
    <row r="4461">
      <c r="A4461" s="61" t="n"/>
      <c r="B4461" s="16" t="n"/>
      <c r="C4461" s="90" t="n"/>
      <c r="D4461" s="90" t="n"/>
      <c r="E4461" s="90" t="n"/>
      <c r="F4461" s="16" t="n"/>
      <c r="G4461" s="16" t="n"/>
      <c r="H4461" s="63" t="n"/>
      <c r="I4461" s="64" t="n"/>
      <c r="J4461" s="16" t="n"/>
      <c r="K4461" s="16" t="n"/>
      <c r="M4461" s="89" t="n"/>
      <c r="N4461" s="1" t="n"/>
      <c r="O4461" s="1" t="n"/>
      <c r="P4461" s="1" t="n"/>
      <c r="Q4461" s="1" t="n"/>
      <c r="R4461" s="1" t="n"/>
    </row>
    <row r="4462">
      <c r="A4462" s="61" t="n"/>
      <c r="B4462" s="16" t="n"/>
      <c r="C4462" s="90" t="n"/>
      <c r="D4462" s="90" t="n"/>
      <c r="E4462" s="90" t="n"/>
      <c r="F4462" s="16" t="n"/>
      <c r="G4462" s="16" t="n"/>
      <c r="H4462" s="63" t="n"/>
      <c r="I4462" s="64" t="n"/>
      <c r="J4462" s="16" t="n"/>
      <c r="K4462" s="16" t="n"/>
      <c r="M4462" s="89" t="n"/>
      <c r="N4462" s="1" t="n"/>
      <c r="O4462" s="1" t="n"/>
      <c r="P4462" s="1" t="n"/>
      <c r="Q4462" s="1" t="n"/>
      <c r="R4462" s="1" t="n"/>
    </row>
    <row r="4463">
      <c r="A4463" s="61" t="n"/>
      <c r="B4463" s="16" t="n"/>
      <c r="C4463" s="90" t="n"/>
      <c r="D4463" s="90" t="n"/>
      <c r="E4463" s="90" t="n"/>
      <c r="F4463" s="16" t="n"/>
      <c r="G4463" s="16" t="n"/>
      <c r="H4463" s="63" t="n"/>
      <c r="I4463" s="64" t="n"/>
      <c r="J4463" s="16" t="n"/>
      <c r="K4463" s="16" t="n"/>
      <c r="M4463" s="89" t="n"/>
      <c r="N4463" s="1" t="n"/>
      <c r="O4463" s="1" t="n"/>
      <c r="P4463" s="1" t="n"/>
      <c r="Q4463" s="1" t="n"/>
      <c r="R4463" s="1" t="n"/>
    </row>
    <row r="4464">
      <c r="A4464" s="61" t="n"/>
      <c r="B4464" s="16" t="n"/>
      <c r="C4464" s="90" t="n"/>
      <c r="D4464" s="90" t="n"/>
      <c r="E4464" s="90" t="n"/>
      <c r="F4464" s="16" t="n"/>
      <c r="G4464" s="16" t="n"/>
      <c r="H4464" s="63" t="n"/>
      <c r="I4464" s="64" t="n"/>
      <c r="J4464" s="16" t="n"/>
      <c r="K4464" s="16" t="n"/>
      <c r="M4464" s="89" t="n"/>
      <c r="N4464" s="1" t="n"/>
      <c r="O4464" s="1" t="n"/>
      <c r="P4464" s="1" t="n"/>
      <c r="Q4464" s="1" t="n"/>
      <c r="R4464" s="1" t="n"/>
    </row>
    <row r="4465">
      <c r="A4465" s="61" t="n"/>
      <c r="B4465" s="16" t="n"/>
      <c r="C4465" s="90" t="n"/>
      <c r="D4465" s="90" t="n"/>
      <c r="E4465" s="90" t="n"/>
      <c r="F4465" s="16" t="n"/>
      <c r="G4465" s="16" t="n"/>
      <c r="H4465" s="63" t="n"/>
      <c r="I4465" s="64" t="n"/>
      <c r="J4465" s="16" t="n"/>
      <c r="K4465" s="16" t="n"/>
      <c r="M4465" s="89" t="n"/>
      <c r="N4465" s="1" t="n"/>
      <c r="O4465" s="1" t="n"/>
      <c r="P4465" s="1" t="n"/>
      <c r="Q4465" s="1" t="n"/>
      <c r="R4465" s="1" t="n"/>
    </row>
    <row r="4466">
      <c r="A4466" s="61" t="n"/>
      <c r="B4466" s="16" t="n"/>
      <c r="C4466" s="90" t="n"/>
      <c r="D4466" s="90" t="n"/>
      <c r="E4466" s="90" t="n"/>
      <c r="F4466" s="16" t="n"/>
      <c r="G4466" s="16" t="n"/>
      <c r="H4466" s="63" t="n"/>
      <c r="I4466" s="64" t="n"/>
      <c r="J4466" s="16" t="n"/>
      <c r="K4466" s="16" t="n"/>
      <c r="M4466" s="89" t="n"/>
      <c r="N4466" s="1" t="n"/>
      <c r="O4466" s="1" t="n"/>
      <c r="P4466" s="1" t="n"/>
      <c r="Q4466" s="1" t="n"/>
      <c r="R4466" s="1" t="n"/>
    </row>
    <row r="4467">
      <c r="A4467" s="61" t="n"/>
      <c r="B4467" s="16" t="n"/>
      <c r="C4467" s="90" t="n"/>
      <c r="D4467" s="90" t="n"/>
      <c r="E4467" s="90" t="n"/>
      <c r="F4467" s="16" t="n"/>
      <c r="G4467" s="16" t="n"/>
      <c r="H4467" s="63" t="n"/>
      <c r="I4467" s="64" t="n"/>
      <c r="J4467" s="16" t="n"/>
      <c r="K4467" s="16" t="n"/>
      <c r="M4467" s="89" t="n"/>
      <c r="N4467" s="1" t="n"/>
      <c r="O4467" s="1" t="n"/>
      <c r="P4467" s="1" t="n"/>
      <c r="Q4467" s="1" t="n"/>
      <c r="R4467" s="1" t="n"/>
    </row>
    <row r="4468">
      <c r="A4468" s="61" t="n"/>
      <c r="B4468" s="16" t="n"/>
      <c r="C4468" s="90" t="n"/>
      <c r="D4468" s="90" t="n"/>
      <c r="E4468" s="90" t="n"/>
      <c r="F4468" s="16" t="n"/>
      <c r="G4468" s="16" t="n"/>
      <c r="H4468" s="63" t="n"/>
      <c r="I4468" s="64" t="n"/>
      <c r="J4468" s="16" t="n"/>
      <c r="K4468" s="16" t="n"/>
      <c r="M4468" s="89" t="n"/>
      <c r="N4468" s="1" t="n"/>
      <c r="O4468" s="1" t="n"/>
      <c r="P4468" s="1" t="n"/>
      <c r="Q4468" s="1" t="n"/>
      <c r="R4468" s="1" t="n"/>
    </row>
    <row r="4469">
      <c r="A4469" s="61" t="n"/>
      <c r="B4469" s="16" t="n"/>
      <c r="C4469" s="90" t="n"/>
      <c r="D4469" s="90" t="n"/>
      <c r="E4469" s="90" t="n"/>
      <c r="F4469" s="16" t="n"/>
      <c r="G4469" s="16" t="n"/>
      <c r="H4469" s="63" t="n"/>
      <c r="I4469" s="64" t="n"/>
      <c r="J4469" s="16" t="n"/>
      <c r="K4469" s="16" t="n"/>
      <c r="M4469" s="89" t="n"/>
      <c r="N4469" s="1" t="n"/>
      <c r="O4469" s="1" t="n"/>
      <c r="P4469" s="1" t="n"/>
      <c r="Q4469" s="1" t="n"/>
      <c r="R4469" s="1" t="n"/>
    </row>
    <row r="4470">
      <c r="A4470" s="61" t="n"/>
      <c r="B4470" s="16" t="n"/>
      <c r="C4470" s="90" t="n"/>
      <c r="D4470" s="90" t="n"/>
      <c r="E4470" s="90" t="n"/>
      <c r="F4470" s="16" t="n"/>
      <c r="G4470" s="16" t="n"/>
      <c r="H4470" s="63" t="n"/>
      <c r="I4470" s="64" t="n"/>
      <c r="J4470" s="16" t="n"/>
      <c r="K4470" s="16" t="n"/>
      <c r="M4470" s="89" t="n"/>
      <c r="N4470" s="1" t="n"/>
      <c r="O4470" s="1" t="n"/>
      <c r="P4470" s="1" t="n"/>
      <c r="Q4470" s="1" t="n"/>
      <c r="R4470" s="1" t="n"/>
    </row>
    <row r="4471">
      <c r="A4471" s="61" t="n"/>
      <c r="B4471" s="16" t="n"/>
      <c r="C4471" s="90" t="n"/>
      <c r="D4471" s="90" t="n"/>
      <c r="E4471" s="90" t="n"/>
      <c r="F4471" s="16" t="n"/>
      <c r="G4471" s="16" t="n"/>
      <c r="H4471" s="63" t="n"/>
      <c r="I4471" s="64" t="n"/>
      <c r="J4471" s="16" t="n"/>
      <c r="K4471" s="16" t="n"/>
      <c r="M4471" s="89" t="n"/>
      <c r="N4471" s="1" t="n"/>
      <c r="O4471" s="1" t="n"/>
      <c r="P4471" s="1" t="n"/>
      <c r="Q4471" s="1" t="n"/>
      <c r="R4471" s="1" t="n"/>
    </row>
    <row r="4472">
      <c r="A4472" s="61" t="n"/>
      <c r="B4472" s="16" t="n"/>
      <c r="C4472" s="90" t="n"/>
      <c r="D4472" s="90" t="n"/>
      <c r="E4472" s="90" t="n"/>
      <c r="F4472" s="16" t="n"/>
      <c r="G4472" s="16" t="n"/>
      <c r="H4472" s="63" t="n"/>
      <c r="I4472" s="64" t="n"/>
      <c r="J4472" s="16" t="n"/>
      <c r="K4472" s="16" t="n"/>
      <c r="M4472" s="89" t="n"/>
      <c r="N4472" s="1" t="n"/>
      <c r="O4472" s="1" t="n"/>
      <c r="P4472" s="1" t="n"/>
      <c r="Q4472" s="1" t="n"/>
      <c r="R4472" s="1" t="n"/>
    </row>
    <row r="4473">
      <c r="A4473" s="61" t="n"/>
      <c r="B4473" s="16" t="n"/>
      <c r="C4473" s="90" t="n"/>
      <c r="D4473" s="90" t="n"/>
      <c r="E4473" s="90" t="n"/>
      <c r="F4473" s="16" t="n"/>
      <c r="G4473" s="16" t="n"/>
      <c r="H4473" s="63" t="n"/>
      <c r="I4473" s="64" t="n"/>
      <c r="J4473" s="16" t="n"/>
      <c r="K4473" s="16" t="n"/>
      <c r="M4473" s="89" t="n"/>
      <c r="N4473" s="1" t="n"/>
      <c r="O4473" s="1" t="n"/>
      <c r="P4473" s="1" t="n"/>
      <c r="Q4473" s="1" t="n"/>
      <c r="R4473" s="1" t="n"/>
    </row>
    <row r="4474">
      <c r="A4474" s="61" t="n"/>
      <c r="B4474" s="16" t="n"/>
      <c r="C4474" s="90" t="n"/>
      <c r="D4474" s="90" t="n"/>
      <c r="E4474" s="90" t="n"/>
      <c r="F4474" s="16" t="n"/>
      <c r="G4474" s="16" t="n"/>
      <c r="H4474" s="63" t="n"/>
      <c r="I4474" s="64" t="n"/>
      <c r="J4474" s="16" t="n"/>
      <c r="K4474" s="16" t="n"/>
      <c r="M4474" s="89" t="n"/>
      <c r="N4474" s="1" t="n"/>
      <c r="O4474" s="1" t="n"/>
      <c r="P4474" s="1" t="n"/>
      <c r="Q4474" s="1" t="n"/>
      <c r="R4474" s="1" t="n"/>
    </row>
    <row r="4475">
      <c r="A4475" s="61" t="n"/>
      <c r="B4475" s="16" t="n"/>
      <c r="C4475" s="90" t="n"/>
      <c r="D4475" s="90" t="n"/>
      <c r="E4475" s="90" t="n"/>
      <c r="F4475" s="16" t="n"/>
      <c r="G4475" s="16" t="n"/>
      <c r="H4475" s="63" t="n"/>
      <c r="I4475" s="64" t="n"/>
      <c r="J4475" s="16" t="n"/>
      <c r="K4475" s="16" t="n"/>
      <c r="M4475" s="89" t="n"/>
      <c r="N4475" s="1" t="n"/>
      <c r="O4475" s="1" t="n"/>
      <c r="P4475" s="1" t="n"/>
      <c r="Q4475" s="1" t="n"/>
      <c r="R4475" s="1" t="n"/>
    </row>
    <row r="4476">
      <c r="A4476" s="61" t="n"/>
      <c r="B4476" s="16" t="n"/>
      <c r="C4476" s="90" t="n"/>
      <c r="D4476" s="90" t="n"/>
      <c r="E4476" s="90" t="n"/>
      <c r="F4476" s="16" t="n"/>
      <c r="G4476" s="16" t="n"/>
      <c r="H4476" s="63" t="n"/>
      <c r="I4476" s="64" t="n"/>
      <c r="J4476" s="16" t="n"/>
      <c r="K4476" s="16" t="n"/>
      <c r="M4476" s="89" t="n"/>
      <c r="N4476" s="1" t="n"/>
      <c r="O4476" s="1" t="n"/>
      <c r="P4476" s="1" t="n"/>
      <c r="Q4476" s="1" t="n"/>
      <c r="R4476" s="1" t="n"/>
    </row>
    <row r="4477">
      <c r="A4477" s="61" t="n"/>
      <c r="B4477" s="16" t="n"/>
      <c r="C4477" s="90" t="n"/>
      <c r="D4477" s="90" t="n"/>
      <c r="E4477" s="90" t="n"/>
      <c r="F4477" s="16" t="n"/>
      <c r="G4477" s="16" t="n"/>
      <c r="H4477" s="63" t="n"/>
      <c r="I4477" s="64" t="n"/>
      <c r="J4477" s="16" t="n"/>
      <c r="K4477" s="16" t="n"/>
      <c r="M4477" s="89" t="n"/>
      <c r="N4477" s="1" t="n"/>
      <c r="O4477" s="1" t="n"/>
      <c r="P4477" s="1" t="n"/>
      <c r="Q4477" s="1" t="n"/>
      <c r="R4477" s="1" t="n"/>
    </row>
    <row r="4478">
      <c r="A4478" s="61" t="n"/>
      <c r="B4478" s="16" t="n"/>
      <c r="C4478" s="90" t="n"/>
      <c r="D4478" s="90" t="n"/>
      <c r="E4478" s="90" t="n"/>
      <c r="F4478" s="16" t="n"/>
      <c r="G4478" s="16" t="n"/>
      <c r="H4478" s="63" t="n"/>
      <c r="I4478" s="64" t="n"/>
      <c r="J4478" s="16" t="n"/>
      <c r="K4478" s="16" t="n"/>
      <c r="M4478" s="89" t="n"/>
      <c r="N4478" s="1" t="n"/>
      <c r="O4478" s="1" t="n"/>
      <c r="P4478" s="1" t="n"/>
      <c r="Q4478" s="1" t="n"/>
      <c r="R4478" s="1" t="n"/>
    </row>
    <row r="4479">
      <c r="A4479" s="61" t="n"/>
      <c r="B4479" s="16" t="n"/>
      <c r="C4479" s="90" t="n"/>
      <c r="D4479" s="90" t="n"/>
      <c r="E4479" s="90" t="n"/>
      <c r="F4479" s="16" t="n"/>
      <c r="G4479" s="16" t="n"/>
      <c r="H4479" s="63" t="n"/>
      <c r="I4479" s="64" t="n"/>
      <c r="J4479" s="16" t="n"/>
      <c r="K4479" s="16" t="n"/>
      <c r="M4479" s="89" t="n"/>
      <c r="N4479" s="1" t="n"/>
      <c r="O4479" s="1" t="n"/>
      <c r="P4479" s="1" t="n"/>
      <c r="Q4479" s="1" t="n"/>
      <c r="R4479" s="1" t="n"/>
    </row>
    <row r="4480">
      <c r="A4480" s="61" t="n"/>
      <c r="B4480" s="16" t="n"/>
      <c r="C4480" s="90" t="n"/>
      <c r="D4480" s="90" t="n"/>
      <c r="E4480" s="90" t="n"/>
      <c r="F4480" s="16" t="n"/>
      <c r="G4480" s="16" t="n"/>
      <c r="H4480" s="63" t="n"/>
      <c r="I4480" s="64" t="n"/>
      <c r="J4480" s="16" t="n"/>
      <c r="K4480" s="16" t="n"/>
      <c r="M4480" s="89" t="n"/>
      <c r="N4480" s="1" t="n"/>
      <c r="O4480" s="1" t="n"/>
      <c r="P4480" s="1" t="n"/>
      <c r="Q4480" s="1" t="n"/>
      <c r="R4480" s="1" t="n"/>
    </row>
    <row r="4481">
      <c r="A4481" s="61" t="n"/>
      <c r="B4481" s="16" t="n"/>
      <c r="C4481" s="90" t="n"/>
      <c r="D4481" s="90" t="n"/>
      <c r="E4481" s="90" t="n"/>
      <c r="F4481" s="16" t="n"/>
      <c r="G4481" s="16" t="n"/>
      <c r="H4481" s="63" t="n"/>
      <c r="I4481" s="64" t="n"/>
      <c r="J4481" s="16" t="n"/>
      <c r="K4481" s="16" t="n"/>
      <c r="M4481" s="89" t="n"/>
      <c r="N4481" s="1" t="n"/>
      <c r="O4481" s="1" t="n"/>
      <c r="P4481" s="1" t="n"/>
      <c r="Q4481" s="1" t="n"/>
      <c r="R4481" s="1" t="n"/>
    </row>
    <row r="4482">
      <c r="A4482" s="61" t="n"/>
      <c r="B4482" s="16" t="n"/>
      <c r="C4482" s="90" t="n"/>
      <c r="D4482" s="90" t="n"/>
      <c r="E4482" s="90" t="n"/>
      <c r="F4482" s="16" t="n"/>
      <c r="G4482" s="16" t="n"/>
      <c r="H4482" s="63" t="n"/>
      <c r="I4482" s="64" t="n"/>
      <c r="J4482" s="16" t="n"/>
      <c r="K4482" s="16" t="n"/>
      <c r="M4482" s="89" t="n"/>
      <c r="N4482" s="1" t="n"/>
      <c r="O4482" s="1" t="n"/>
      <c r="P4482" s="1" t="n"/>
      <c r="Q4482" s="1" t="n"/>
      <c r="R4482" s="1" t="n"/>
    </row>
    <row r="4483">
      <c r="A4483" s="61" t="n"/>
      <c r="B4483" s="16" t="n"/>
      <c r="C4483" s="90" t="n"/>
      <c r="D4483" s="90" t="n"/>
      <c r="E4483" s="90" t="n"/>
      <c r="F4483" s="16" t="n"/>
      <c r="G4483" s="16" t="n"/>
      <c r="H4483" s="63" t="n"/>
      <c r="I4483" s="64" t="n"/>
      <c r="J4483" s="16" t="n"/>
      <c r="K4483" s="16" t="n"/>
      <c r="M4483" s="89" t="n"/>
      <c r="N4483" s="1" t="n"/>
      <c r="O4483" s="1" t="n"/>
      <c r="P4483" s="1" t="n"/>
      <c r="Q4483" s="1" t="n"/>
      <c r="R4483" s="1" t="n"/>
    </row>
    <row r="4484">
      <c r="A4484" s="61" t="n"/>
      <c r="B4484" s="16" t="n"/>
      <c r="C4484" s="90" t="n"/>
      <c r="D4484" s="90" t="n"/>
      <c r="E4484" s="90" t="n"/>
      <c r="F4484" s="16" t="n"/>
      <c r="G4484" s="16" t="n"/>
      <c r="H4484" s="63" t="n"/>
      <c r="I4484" s="64" t="n"/>
      <c r="J4484" s="16" t="n"/>
      <c r="K4484" s="16" t="n"/>
      <c r="M4484" s="89" t="n"/>
      <c r="N4484" s="1" t="n"/>
      <c r="O4484" s="1" t="n"/>
      <c r="P4484" s="1" t="n"/>
      <c r="Q4484" s="1" t="n"/>
      <c r="R4484" s="1" t="n"/>
    </row>
    <row r="4485">
      <c r="A4485" s="61" t="n"/>
      <c r="B4485" s="16" t="n"/>
      <c r="C4485" s="90" t="n"/>
      <c r="D4485" s="90" t="n"/>
      <c r="E4485" s="90" t="n"/>
      <c r="F4485" s="16" t="n"/>
      <c r="G4485" s="16" t="n"/>
      <c r="H4485" s="63" t="n"/>
      <c r="I4485" s="64" t="n"/>
      <c r="J4485" s="16" t="n"/>
      <c r="K4485" s="16" t="n"/>
      <c r="M4485" s="89" t="n"/>
      <c r="N4485" s="1" t="n"/>
      <c r="O4485" s="1" t="n"/>
      <c r="P4485" s="1" t="n"/>
      <c r="Q4485" s="1" t="n"/>
      <c r="R4485" s="1" t="n"/>
    </row>
    <row r="4486">
      <c r="A4486" s="61" t="n"/>
      <c r="B4486" s="16" t="n"/>
      <c r="C4486" s="90" t="n"/>
      <c r="D4486" s="90" t="n"/>
      <c r="E4486" s="90" t="n"/>
      <c r="F4486" s="16" t="n"/>
      <c r="G4486" s="16" t="n"/>
      <c r="H4486" s="63" t="n"/>
      <c r="I4486" s="64" t="n"/>
      <c r="J4486" s="16" t="n"/>
      <c r="K4486" s="16" t="n"/>
      <c r="M4486" s="89" t="n"/>
      <c r="N4486" s="1" t="n"/>
      <c r="O4486" s="1" t="n"/>
      <c r="P4486" s="1" t="n"/>
      <c r="Q4486" s="1" t="n"/>
      <c r="R4486" s="1" t="n"/>
    </row>
    <row r="4487">
      <c r="A4487" s="61" t="n"/>
      <c r="B4487" s="16" t="n"/>
      <c r="C4487" s="90" t="n"/>
      <c r="D4487" s="90" t="n"/>
      <c r="E4487" s="90" t="n"/>
      <c r="F4487" s="16" t="n"/>
      <c r="G4487" s="16" t="n"/>
      <c r="H4487" s="63" t="n"/>
      <c r="I4487" s="64" t="n"/>
      <c r="J4487" s="16" t="n"/>
      <c r="K4487" s="16" t="n"/>
      <c r="M4487" s="89" t="n"/>
      <c r="N4487" s="1" t="n"/>
      <c r="O4487" s="1" t="n"/>
      <c r="P4487" s="1" t="n"/>
      <c r="Q4487" s="1" t="n"/>
      <c r="R4487" s="1" t="n"/>
    </row>
    <row r="4488">
      <c r="A4488" s="61" t="n"/>
      <c r="B4488" s="16" t="n"/>
      <c r="C4488" s="90" t="n"/>
      <c r="D4488" s="90" t="n"/>
      <c r="E4488" s="90" t="n"/>
      <c r="F4488" s="16" t="n"/>
      <c r="G4488" s="16" t="n"/>
      <c r="H4488" s="63" t="n"/>
      <c r="I4488" s="64" t="n"/>
      <c r="J4488" s="16" t="n"/>
      <c r="K4488" s="16" t="n"/>
      <c r="M4488" s="89" t="n"/>
      <c r="N4488" s="1" t="n"/>
      <c r="O4488" s="1" t="n"/>
      <c r="P4488" s="1" t="n"/>
      <c r="Q4488" s="1" t="n"/>
      <c r="R4488" s="1" t="n"/>
    </row>
    <row r="4489">
      <c r="A4489" s="61" t="n"/>
      <c r="B4489" s="16" t="n"/>
      <c r="C4489" s="90" t="n"/>
      <c r="D4489" s="90" t="n"/>
      <c r="E4489" s="90" t="n"/>
      <c r="F4489" s="16" t="n"/>
      <c r="G4489" s="16" t="n"/>
      <c r="H4489" s="63" t="n"/>
      <c r="I4489" s="64" t="n"/>
      <c r="J4489" s="16" t="n"/>
      <c r="K4489" s="16" t="n"/>
      <c r="M4489" s="89" t="n"/>
      <c r="N4489" s="1" t="n"/>
      <c r="O4489" s="1" t="n"/>
      <c r="P4489" s="1" t="n"/>
      <c r="Q4489" s="1" t="n"/>
      <c r="R4489" s="1" t="n"/>
    </row>
    <row r="4490">
      <c r="A4490" s="61" t="n"/>
      <c r="B4490" s="16" t="n"/>
      <c r="C4490" s="90" t="n"/>
      <c r="D4490" s="90" t="n"/>
      <c r="E4490" s="90" t="n"/>
      <c r="F4490" s="16" t="n"/>
      <c r="G4490" s="16" t="n"/>
      <c r="H4490" s="63" t="n"/>
      <c r="I4490" s="64" t="n"/>
      <c r="J4490" s="16" t="n"/>
      <c r="K4490" s="16" t="n"/>
      <c r="M4490" s="89" t="n"/>
      <c r="N4490" s="1" t="n"/>
      <c r="O4490" s="1" t="n"/>
      <c r="P4490" s="1" t="n"/>
      <c r="Q4490" s="1" t="n"/>
      <c r="R4490" s="1" t="n"/>
    </row>
    <row r="4491">
      <c r="A4491" s="61" t="n"/>
      <c r="B4491" s="16" t="n"/>
      <c r="C4491" s="90" t="n"/>
      <c r="D4491" s="90" t="n"/>
      <c r="E4491" s="90" t="n"/>
      <c r="F4491" s="16" t="n"/>
      <c r="G4491" s="16" t="n"/>
      <c r="H4491" s="63" t="n"/>
      <c r="I4491" s="64" t="n"/>
      <c r="J4491" s="16" t="n"/>
      <c r="K4491" s="16" t="n"/>
      <c r="M4491" s="89" t="n"/>
      <c r="N4491" s="1" t="n"/>
      <c r="O4491" s="1" t="n"/>
      <c r="P4491" s="1" t="n"/>
      <c r="Q4491" s="1" t="n"/>
      <c r="R4491" s="1" t="n"/>
    </row>
    <row r="4492">
      <c r="A4492" s="61" t="n"/>
      <c r="B4492" s="16" t="n"/>
      <c r="C4492" s="90" t="n"/>
      <c r="D4492" s="90" t="n"/>
      <c r="E4492" s="90" t="n"/>
      <c r="F4492" s="16" t="n"/>
      <c r="G4492" s="16" t="n"/>
      <c r="H4492" s="63" t="n"/>
      <c r="I4492" s="64" t="n"/>
      <c r="J4492" s="16" t="n"/>
      <c r="K4492" s="16" t="n"/>
      <c r="M4492" s="89" t="n"/>
      <c r="N4492" s="1" t="n"/>
      <c r="O4492" s="1" t="n"/>
      <c r="P4492" s="1" t="n"/>
      <c r="Q4492" s="1" t="n"/>
      <c r="R4492" s="1" t="n"/>
    </row>
    <row r="4493">
      <c r="A4493" s="61" t="n"/>
      <c r="B4493" s="16" t="n"/>
      <c r="C4493" s="90" t="n"/>
      <c r="D4493" s="90" t="n"/>
      <c r="E4493" s="90" t="n"/>
      <c r="F4493" s="16" t="n"/>
      <c r="G4493" s="16" t="n"/>
      <c r="H4493" s="63" t="n"/>
      <c r="I4493" s="64" t="n"/>
      <c r="J4493" s="16" t="n"/>
      <c r="K4493" s="16" t="n"/>
      <c r="M4493" s="89" t="n"/>
      <c r="N4493" s="1" t="n"/>
      <c r="O4493" s="1" t="n"/>
      <c r="P4493" s="1" t="n"/>
      <c r="Q4493" s="1" t="n"/>
      <c r="R4493" s="1" t="n"/>
    </row>
    <row r="4494">
      <c r="A4494" s="61" t="n"/>
      <c r="B4494" s="16" t="n"/>
      <c r="C4494" s="90" t="n"/>
      <c r="D4494" s="90" t="n"/>
      <c r="E4494" s="90" t="n"/>
      <c r="F4494" s="16" t="n"/>
      <c r="G4494" s="16" t="n"/>
      <c r="H4494" s="63" t="n"/>
      <c r="I4494" s="64" t="n"/>
      <c r="J4494" s="16" t="n"/>
      <c r="K4494" s="16" t="n"/>
      <c r="M4494" s="89" t="n"/>
      <c r="N4494" s="1" t="n"/>
      <c r="O4494" s="1" t="n"/>
      <c r="P4494" s="1" t="n"/>
      <c r="Q4494" s="1" t="n"/>
      <c r="R4494" s="1" t="n"/>
    </row>
    <row r="4495">
      <c r="A4495" s="61" t="n"/>
      <c r="B4495" s="16" t="n"/>
      <c r="C4495" s="90" t="n"/>
      <c r="D4495" s="90" t="n"/>
      <c r="E4495" s="90" t="n"/>
      <c r="F4495" s="16" t="n"/>
      <c r="G4495" s="16" t="n"/>
      <c r="H4495" s="63" t="n"/>
      <c r="I4495" s="64" t="n"/>
      <c r="J4495" s="16" t="n"/>
      <c r="K4495" s="16" t="n"/>
      <c r="M4495" s="89" t="n"/>
      <c r="N4495" s="1" t="n"/>
      <c r="O4495" s="1" t="n"/>
      <c r="P4495" s="1" t="n"/>
      <c r="Q4495" s="1" t="n"/>
      <c r="R4495" s="1" t="n"/>
    </row>
    <row r="4496">
      <c r="A4496" s="61" t="n"/>
      <c r="B4496" s="16" t="n"/>
      <c r="C4496" s="90" t="n"/>
      <c r="D4496" s="90" t="n"/>
      <c r="E4496" s="90" t="n"/>
      <c r="F4496" s="16" t="n"/>
      <c r="G4496" s="16" t="n"/>
      <c r="H4496" s="63" t="n"/>
      <c r="I4496" s="64" t="n"/>
      <c r="J4496" s="16" t="n"/>
      <c r="K4496" s="16" t="n"/>
      <c r="M4496" s="89" t="n"/>
      <c r="N4496" s="1" t="n"/>
      <c r="O4496" s="1" t="n"/>
      <c r="P4496" s="1" t="n"/>
      <c r="Q4496" s="1" t="n"/>
      <c r="R4496" s="1" t="n"/>
    </row>
    <row r="4497">
      <c r="A4497" s="61" t="n"/>
      <c r="B4497" s="16" t="n"/>
      <c r="C4497" s="90" t="n"/>
      <c r="D4497" s="90" t="n"/>
      <c r="E4497" s="90" t="n"/>
      <c r="F4497" s="16" t="n"/>
      <c r="G4497" s="16" t="n"/>
      <c r="H4497" s="63" t="n"/>
      <c r="I4497" s="64" t="n"/>
      <c r="J4497" s="16" t="n"/>
      <c r="K4497" s="16" t="n"/>
      <c r="M4497" s="89" t="n"/>
      <c r="N4497" s="1" t="n"/>
      <c r="O4497" s="1" t="n"/>
      <c r="P4497" s="1" t="n"/>
      <c r="Q4497" s="1" t="n"/>
      <c r="R4497" s="1" t="n"/>
    </row>
    <row r="4498">
      <c r="A4498" s="61" t="n"/>
      <c r="B4498" s="16" t="n"/>
      <c r="C4498" s="90" t="n"/>
      <c r="D4498" s="90" t="n"/>
      <c r="E4498" s="90" t="n"/>
      <c r="F4498" s="16" t="n"/>
      <c r="G4498" s="16" t="n"/>
      <c r="H4498" s="63" t="n"/>
      <c r="I4498" s="64" t="n"/>
      <c r="J4498" s="16" t="n"/>
      <c r="K4498" s="16" t="n"/>
      <c r="M4498" s="89" t="n"/>
      <c r="N4498" s="1" t="n"/>
      <c r="O4498" s="1" t="n"/>
      <c r="P4498" s="1" t="n"/>
      <c r="Q4498" s="1" t="n"/>
      <c r="R4498" s="1" t="n"/>
    </row>
    <row r="4499">
      <c r="A4499" s="61" t="n"/>
      <c r="B4499" s="16" t="n"/>
      <c r="C4499" s="90" t="n"/>
      <c r="D4499" s="90" t="n"/>
      <c r="E4499" s="90" t="n"/>
      <c r="F4499" s="16" t="n"/>
      <c r="G4499" s="16" t="n"/>
      <c r="H4499" s="63" t="n"/>
      <c r="I4499" s="64" t="n"/>
      <c r="J4499" s="16" t="n"/>
      <c r="K4499" s="16" t="n"/>
      <c r="M4499" s="89" t="n"/>
      <c r="N4499" s="1" t="n"/>
      <c r="O4499" s="1" t="n"/>
      <c r="P4499" s="1" t="n"/>
      <c r="Q4499" s="1" t="n"/>
      <c r="R4499" s="1" t="n"/>
    </row>
    <row r="4500">
      <c r="A4500" s="61" t="n"/>
      <c r="B4500" s="16" t="n"/>
      <c r="C4500" s="90" t="n"/>
      <c r="D4500" s="90" t="n"/>
      <c r="E4500" s="90" t="n"/>
      <c r="F4500" s="16" t="n"/>
      <c r="G4500" s="16" t="n"/>
      <c r="H4500" s="63" t="n"/>
      <c r="I4500" s="64" t="n"/>
      <c r="J4500" s="16" t="n"/>
      <c r="K4500" s="16" t="n"/>
      <c r="M4500" s="89" t="n"/>
      <c r="N4500" s="1" t="n"/>
      <c r="O4500" s="1" t="n"/>
      <c r="P4500" s="1" t="n"/>
      <c r="Q4500" s="1" t="n"/>
      <c r="R4500" s="1" t="n"/>
    </row>
    <row r="4501">
      <c r="A4501" s="61" t="n"/>
      <c r="B4501" s="16" t="n"/>
      <c r="C4501" s="90" t="n"/>
      <c r="D4501" s="90" t="n"/>
      <c r="E4501" s="90" t="n"/>
      <c r="F4501" s="16" t="n"/>
      <c r="G4501" s="16" t="n"/>
      <c r="H4501" s="63" t="n"/>
      <c r="I4501" s="64" t="n"/>
      <c r="J4501" s="16" t="n"/>
      <c r="K4501" s="16" t="n"/>
      <c r="M4501" s="89" t="n"/>
      <c r="N4501" s="1" t="n"/>
      <c r="O4501" s="1" t="n"/>
      <c r="P4501" s="1" t="n"/>
      <c r="Q4501" s="1" t="n"/>
      <c r="R4501" s="1" t="n"/>
    </row>
    <row r="4502">
      <c r="A4502" s="61" t="n"/>
      <c r="B4502" s="16" t="n"/>
      <c r="C4502" s="90" t="n"/>
      <c r="D4502" s="90" t="n"/>
      <c r="E4502" s="90" t="n"/>
      <c r="F4502" s="16" t="n"/>
      <c r="G4502" s="16" t="n"/>
      <c r="H4502" s="63" t="n"/>
      <c r="I4502" s="64" t="n"/>
      <c r="J4502" s="16" t="n"/>
      <c r="K4502" s="16" t="n"/>
      <c r="M4502" s="89" t="n"/>
      <c r="N4502" s="1" t="n"/>
      <c r="O4502" s="1" t="n"/>
      <c r="P4502" s="1" t="n"/>
      <c r="Q4502" s="1" t="n"/>
      <c r="R4502" s="1" t="n"/>
    </row>
    <row r="4503">
      <c r="A4503" s="61" t="n"/>
      <c r="B4503" s="16" t="n"/>
      <c r="C4503" s="90" t="n"/>
      <c r="D4503" s="90" t="n"/>
      <c r="E4503" s="90" t="n"/>
      <c r="F4503" s="16" t="n"/>
      <c r="G4503" s="16" t="n"/>
      <c r="H4503" s="63" t="n"/>
      <c r="I4503" s="64" t="n"/>
      <c r="J4503" s="16" t="n"/>
      <c r="K4503" s="16" t="n"/>
      <c r="M4503" s="89" t="n"/>
      <c r="N4503" s="1" t="n"/>
      <c r="O4503" s="1" t="n"/>
      <c r="P4503" s="1" t="n"/>
      <c r="Q4503" s="1" t="n"/>
      <c r="R4503" s="1" t="n"/>
    </row>
    <row r="4504">
      <c r="A4504" s="61" t="n"/>
      <c r="B4504" s="16" t="n"/>
      <c r="C4504" s="90" t="n"/>
      <c r="D4504" s="90" t="n"/>
      <c r="E4504" s="90" t="n"/>
      <c r="F4504" s="16" t="n"/>
      <c r="G4504" s="16" t="n"/>
      <c r="H4504" s="63" t="n"/>
      <c r="I4504" s="64" t="n"/>
      <c r="J4504" s="16" t="n"/>
      <c r="K4504" s="16" t="n"/>
      <c r="M4504" s="89" t="n"/>
      <c r="N4504" s="1" t="n"/>
      <c r="O4504" s="1" t="n"/>
      <c r="P4504" s="1" t="n"/>
      <c r="Q4504" s="1" t="n"/>
      <c r="R4504" s="1" t="n"/>
    </row>
    <row r="4505">
      <c r="A4505" s="61" t="n"/>
      <c r="B4505" s="16" t="n"/>
      <c r="C4505" s="90" t="n"/>
      <c r="D4505" s="90" t="n"/>
      <c r="E4505" s="90" t="n"/>
      <c r="F4505" s="16" t="n"/>
      <c r="G4505" s="16" t="n"/>
      <c r="H4505" s="63" t="n"/>
      <c r="I4505" s="64" t="n"/>
      <c r="J4505" s="16" t="n"/>
      <c r="K4505" s="16" t="n"/>
      <c r="M4505" s="89" t="n"/>
      <c r="N4505" s="1" t="n"/>
      <c r="O4505" s="1" t="n"/>
      <c r="P4505" s="1" t="n"/>
      <c r="Q4505" s="1" t="n"/>
      <c r="R4505" s="1" t="n"/>
    </row>
    <row r="4506">
      <c r="A4506" s="61" t="n"/>
      <c r="B4506" s="16" t="n"/>
      <c r="C4506" s="90" t="n"/>
      <c r="D4506" s="90" t="n"/>
      <c r="E4506" s="90" t="n"/>
      <c r="F4506" s="16" t="n"/>
      <c r="G4506" s="16" t="n"/>
      <c r="H4506" s="63" t="n"/>
      <c r="I4506" s="64" t="n"/>
      <c r="J4506" s="16" t="n"/>
      <c r="K4506" s="16" t="n"/>
      <c r="M4506" s="89" t="n"/>
      <c r="N4506" s="1" t="n"/>
      <c r="O4506" s="1" t="n"/>
      <c r="P4506" s="1" t="n"/>
      <c r="Q4506" s="1" t="n"/>
      <c r="R4506" s="1" t="n"/>
    </row>
    <row r="4507">
      <c r="A4507" s="61" t="n"/>
      <c r="B4507" s="16" t="n"/>
      <c r="C4507" s="90" t="n"/>
      <c r="D4507" s="90" t="n"/>
      <c r="E4507" s="90" t="n"/>
      <c r="F4507" s="16" t="n"/>
      <c r="G4507" s="16" t="n"/>
      <c r="H4507" s="63" t="n"/>
      <c r="I4507" s="64" t="n"/>
      <c r="J4507" s="16" t="n"/>
      <c r="K4507" s="16" t="n"/>
      <c r="M4507" s="89" t="n"/>
      <c r="N4507" s="1" t="n"/>
      <c r="O4507" s="1" t="n"/>
      <c r="P4507" s="1" t="n"/>
      <c r="Q4507" s="1" t="n"/>
      <c r="R4507" s="1" t="n"/>
    </row>
    <row r="4508">
      <c r="A4508" s="61" t="n"/>
      <c r="B4508" s="16" t="n"/>
      <c r="C4508" s="90" t="n"/>
      <c r="D4508" s="90" t="n"/>
      <c r="E4508" s="90" t="n"/>
      <c r="F4508" s="16" t="n"/>
      <c r="G4508" s="16" t="n"/>
      <c r="H4508" s="63" t="n"/>
      <c r="I4508" s="64" t="n"/>
      <c r="J4508" s="16" t="n"/>
      <c r="K4508" s="16" t="n"/>
      <c r="M4508" s="89" t="n"/>
      <c r="N4508" s="1" t="n"/>
      <c r="O4508" s="1" t="n"/>
      <c r="P4508" s="1" t="n"/>
      <c r="Q4508" s="1" t="n"/>
      <c r="R4508" s="1" t="n"/>
    </row>
    <row r="4509">
      <c r="A4509" s="61" t="n"/>
      <c r="B4509" s="16" t="n"/>
      <c r="C4509" s="90" t="n"/>
      <c r="D4509" s="90" t="n"/>
      <c r="E4509" s="90" t="n"/>
      <c r="F4509" s="16" t="n"/>
      <c r="G4509" s="16" t="n"/>
      <c r="H4509" s="63" t="n"/>
      <c r="I4509" s="64" t="n"/>
      <c r="J4509" s="16" t="n"/>
      <c r="K4509" s="16" t="n"/>
      <c r="M4509" s="89" t="n"/>
      <c r="N4509" s="1" t="n"/>
      <c r="O4509" s="1" t="n"/>
      <c r="P4509" s="1" t="n"/>
      <c r="Q4509" s="1" t="n"/>
      <c r="R4509" s="1" t="n"/>
    </row>
    <row r="4510">
      <c r="A4510" s="61" t="n"/>
      <c r="B4510" s="16" t="n"/>
      <c r="C4510" s="90" t="n"/>
      <c r="D4510" s="90" t="n"/>
      <c r="E4510" s="90" t="n"/>
      <c r="F4510" s="16" t="n"/>
      <c r="G4510" s="16" t="n"/>
      <c r="H4510" s="63" t="n"/>
      <c r="I4510" s="64" t="n"/>
      <c r="J4510" s="16" t="n"/>
      <c r="K4510" s="16" t="n"/>
      <c r="M4510" s="89" t="n"/>
      <c r="N4510" s="1" t="n"/>
      <c r="O4510" s="1" t="n"/>
      <c r="P4510" s="1" t="n"/>
      <c r="Q4510" s="1" t="n"/>
      <c r="R4510" s="1" t="n"/>
    </row>
    <row r="4511">
      <c r="A4511" s="61" t="n"/>
      <c r="B4511" s="16" t="n"/>
      <c r="C4511" s="90" t="n"/>
      <c r="D4511" s="90" t="n"/>
      <c r="E4511" s="90" t="n"/>
      <c r="F4511" s="16" t="n"/>
      <c r="G4511" s="16" t="n"/>
      <c r="H4511" s="63" t="n"/>
      <c r="I4511" s="64" t="n"/>
      <c r="J4511" s="16" t="n"/>
      <c r="K4511" s="16" t="n"/>
      <c r="M4511" s="89" t="n"/>
      <c r="N4511" s="1" t="n"/>
      <c r="O4511" s="1" t="n"/>
      <c r="P4511" s="1" t="n"/>
      <c r="Q4511" s="1" t="n"/>
      <c r="R4511" s="1" t="n"/>
    </row>
    <row r="4512">
      <c r="A4512" s="61" t="n"/>
      <c r="B4512" s="16" t="n"/>
      <c r="C4512" s="90" t="n"/>
      <c r="D4512" s="90" t="n"/>
      <c r="E4512" s="90" t="n"/>
      <c r="F4512" s="16" t="n"/>
      <c r="G4512" s="16" t="n"/>
      <c r="H4512" s="63" t="n"/>
      <c r="I4512" s="64" t="n"/>
      <c r="J4512" s="16" t="n"/>
      <c r="K4512" s="16" t="n"/>
      <c r="M4512" s="89" t="n"/>
      <c r="N4512" s="1" t="n"/>
      <c r="O4512" s="1" t="n"/>
      <c r="P4512" s="1" t="n"/>
      <c r="Q4512" s="1" t="n"/>
      <c r="R4512" s="1" t="n"/>
    </row>
    <row r="4513">
      <c r="A4513" s="61" t="n"/>
      <c r="B4513" s="16" t="n"/>
      <c r="C4513" s="90" t="n"/>
      <c r="D4513" s="90" t="n"/>
      <c r="E4513" s="90" t="n"/>
      <c r="F4513" s="16" t="n"/>
      <c r="G4513" s="16" t="n"/>
      <c r="H4513" s="63" t="n"/>
      <c r="I4513" s="64" t="n"/>
      <c r="J4513" s="16" t="n"/>
      <c r="K4513" s="16" t="n"/>
      <c r="M4513" s="89" t="n"/>
      <c r="N4513" s="1" t="n"/>
      <c r="O4513" s="1" t="n"/>
      <c r="P4513" s="1" t="n"/>
      <c r="Q4513" s="1" t="n"/>
      <c r="R4513" s="1" t="n"/>
    </row>
    <row r="4514">
      <c r="A4514" s="61" t="n"/>
      <c r="B4514" s="16" t="n"/>
      <c r="C4514" s="90" t="n"/>
      <c r="D4514" s="90" t="n"/>
      <c r="E4514" s="90" t="n"/>
      <c r="F4514" s="16" t="n"/>
      <c r="G4514" s="16" t="n"/>
      <c r="H4514" s="63" t="n"/>
      <c r="I4514" s="64" t="n"/>
      <c r="J4514" s="16" t="n"/>
      <c r="K4514" s="16" t="n"/>
      <c r="M4514" s="89" t="n"/>
      <c r="N4514" s="1" t="n"/>
      <c r="O4514" s="1" t="n"/>
      <c r="P4514" s="1" t="n"/>
      <c r="Q4514" s="1" t="n"/>
      <c r="R4514" s="1" t="n"/>
    </row>
    <row r="4515">
      <c r="A4515" s="61" t="n"/>
      <c r="B4515" s="16" t="n"/>
      <c r="C4515" s="90" t="n"/>
      <c r="D4515" s="90" t="n"/>
      <c r="E4515" s="90" t="n"/>
      <c r="F4515" s="16" t="n"/>
      <c r="G4515" s="16" t="n"/>
      <c r="H4515" s="63" t="n"/>
      <c r="I4515" s="64" t="n"/>
      <c r="J4515" s="16" t="n"/>
      <c r="K4515" s="16" t="n"/>
      <c r="M4515" s="89" t="n"/>
      <c r="N4515" s="1" t="n"/>
      <c r="O4515" s="1" t="n"/>
      <c r="P4515" s="1" t="n"/>
      <c r="Q4515" s="1" t="n"/>
      <c r="R4515" s="1" t="n"/>
    </row>
    <row r="4516">
      <c r="A4516" s="61" t="n"/>
      <c r="B4516" s="16" t="n"/>
      <c r="C4516" s="90" t="n"/>
      <c r="D4516" s="90" t="n"/>
      <c r="E4516" s="90" t="n"/>
      <c r="F4516" s="16" t="n"/>
      <c r="G4516" s="16" t="n"/>
      <c r="H4516" s="63" t="n"/>
      <c r="I4516" s="64" t="n"/>
      <c r="J4516" s="16" t="n"/>
      <c r="K4516" s="16" t="n"/>
      <c r="M4516" s="89" t="n"/>
      <c r="N4516" s="1" t="n"/>
      <c r="O4516" s="1" t="n"/>
      <c r="P4516" s="1" t="n"/>
      <c r="Q4516" s="1" t="n"/>
      <c r="R4516" s="1" t="n"/>
    </row>
    <row r="4517">
      <c r="A4517" s="61" t="n"/>
      <c r="B4517" s="16" t="n"/>
      <c r="C4517" s="90" t="n"/>
      <c r="D4517" s="90" t="n"/>
      <c r="E4517" s="90" t="n"/>
      <c r="F4517" s="16" t="n"/>
      <c r="G4517" s="16" t="n"/>
      <c r="H4517" s="63" t="n"/>
      <c r="I4517" s="64" t="n"/>
      <c r="J4517" s="16" t="n"/>
      <c r="K4517" s="16" t="n"/>
      <c r="M4517" s="89" t="n"/>
      <c r="N4517" s="1" t="n"/>
      <c r="O4517" s="1" t="n"/>
      <c r="P4517" s="1" t="n"/>
      <c r="Q4517" s="1" t="n"/>
      <c r="R4517" s="1" t="n"/>
    </row>
    <row r="4518">
      <c r="A4518" s="61" t="n"/>
      <c r="B4518" s="16" t="n"/>
      <c r="C4518" s="90" t="n"/>
      <c r="D4518" s="90" t="n"/>
      <c r="E4518" s="90" t="n"/>
      <c r="F4518" s="16" t="n"/>
      <c r="G4518" s="16" t="n"/>
      <c r="H4518" s="63" t="n"/>
      <c r="I4518" s="64" t="n"/>
      <c r="J4518" s="16" t="n"/>
      <c r="K4518" s="16" t="n"/>
      <c r="M4518" s="89" t="n"/>
      <c r="N4518" s="1" t="n"/>
      <c r="O4518" s="1" t="n"/>
      <c r="P4518" s="1" t="n"/>
      <c r="Q4518" s="1" t="n"/>
      <c r="R4518" s="1" t="n"/>
    </row>
    <row r="4519">
      <c r="A4519" s="61" t="n"/>
      <c r="B4519" s="16" t="n"/>
      <c r="C4519" s="90" t="n"/>
      <c r="D4519" s="90" t="n"/>
      <c r="E4519" s="90" t="n"/>
      <c r="F4519" s="16" t="n"/>
      <c r="G4519" s="16" t="n"/>
      <c r="H4519" s="63" t="n"/>
      <c r="I4519" s="64" t="n"/>
      <c r="J4519" s="16" t="n"/>
      <c r="K4519" s="16" t="n"/>
      <c r="M4519" s="89" t="n"/>
      <c r="N4519" s="1" t="n"/>
      <c r="O4519" s="1" t="n"/>
      <c r="P4519" s="1" t="n"/>
      <c r="Q4519" s="1" t="n"/>
      <c r="R4519" s="1" t="n"/>
    </row>
    <row r="4520">
      <c r="A4520" s="61" t="n"/>
      <c r="B4520" s="16" t="n"/>
      <c r="C4520" s="90" t="n"/>
      <c r="D4520" s="90" t="n"/>
      <c r="E4520" s="90" t="n"/>
      <c r="F4520" s="16" t="n"/>
      <c r="G4520" s="16" t="n"/>
      <c r="H4520" s="63" t="n"/>
      <c r="I4520" s="64" t="n"/>
      <c r="J4520" s="16" t="n"/>
      <c r="K4520" s="16" t="n"/>
      <c r="M4520" s="89" t="n"/>
      <c r="N4520" s="1" t="n"/>
      <c r="O4520" s="1" t="n"/>
      <c r="P4520" s="1" t="n"/>
      <c r="Q4520" s="1" t="n"/>
      <c r="R4520" s="1" t="n"/>
    </row>
    <row r="4521">
      <c r="A4521" s="61" t="n"/>
      <c r="B4521" s="16" t="n"/>
      <c r="C4521" s="90" t="n"/>
      <c r="D4521" s="90" t="n"/>
      <c r="E4521" s="90" t="n"/>
      <c r="F4521" s="16" t="n"/>
      <c r="G4521" s="16" t="n"/>
      <c r="H4521" s="63" t="n"/>
      <c r="I4521" s="64" t="n"/>
      <c r="J4521" s="16" t="n"/>
      <c r="K4521" s="16" t="n"/>
      <c r="M4521" s="89" t="n"/>
      <c r="N4521" s="1" t="n"/>
      <c r="O4521" s="1" t="n"/>
      <c r="P4521" s="1" t="n"/>
      <c r="Q4521" s="1" t="n"/>
      <c r="R4521" s="1" t="n"/>
    </row>
    <row r="4522">
      <c r="A4522" s="61" t="n"/>
      <c r="B4522" s="16" t="n"/>
      <c r="C4522" s="90" t="n"/>
      <c r="D4522" s="90" t="n"/>
      <c r="E4522" s="90" t="n"/>
      <c r="F4522" s="16" t="n"/>
      <c r="G4522" s="16" t="n"/>
      <c r="H4522" s="63" t="n"/>
      <c r="I4522" s="64" t="n"/>
      <c r="J4522" s="16" t="n"/>
      <c r="K4522" s="16" t="n"/>
      <c r="M4522" s="89" t="n"/>
      <c r="N4522" s="1" t="n"/>
      <c r="O4522" s="1" t="n"/>
      <c r="P4522" s="1" t="n"/>
      <c r="Q4522" s="1" t="n"/>
      <c r="R4522" s="1" t="n"/>
    </row>
    <row r="4523">
      <c r="A4523" s="61" t="n"/>
      <c r="B4523" s="16" t="n"/>
      <c r="C4523" s="90" t="n"/>
      <c r="D4523" s="90" t="n"/>
      <c r="E4523" s="90" t="n"/>
      <c r="F4523" s="16" t="n"/>
      <c r="G4523" s="16" t="n"/>
      <c r="H4523" s="63" t="n"/>
      <c r="I4523" s="64" t="n"/>
      <c r="J4523" s="16" t="n"/>
      <c r="K4523" s="16" t="n"/>
      <c r="M4523" s="89" t="n"/>
      <c r="N4523" s="1" t="n"/>
      <c r="O4523" s="1" t="n"/>
      <c r="P4523" s="1" t="n"/>
      <c r="Q4523" s="1" t="n"/>
      <c r="R4523" s="1" t="n"/>
    </row>
    <row r="4524">
      <c r="A4524" s="61" t="n"/>
      <c r="B4524" s="16" t="n"/>
      <c r="C4524" s="90" t="n"/>
      <c r="D4524" s="90" t="n"/>
      <c r="E4524" s="90" t="n"/>
      <c r="F4524" s="16" t="n"/>
      <c r="G4524" s="16" t="n"/>
      <c r="H4524" s="63" t="n"/>
      <c r="I4524" s="64" t="n"/>
      <c r="J4524" s="16" t="n"/>
      <c r="K4524" s="16" t="n"/>
      <c r="M4524" s="89" t="n"/>
      <c r="N4524" s="1" t="n"/>
      <c r="O4524" s="1" t="n"/>
      <c r="P4524" s="1" t="n"/>
      <c r="Q4524" s="1" t="n"/>
      <c r="R4524" s="1" t="n"/>
    </row>
    <row r="4525">
      <c r="A4525" s="61" t="n"/>
      <c r="B4525" s="16" t="n"/>
      <c r="C4525" s="90" t="n"/>
      <c r="D4525" s="90" t="n"/>
      <c r="E4525" s="90" t="n"/>
      <c r="F4525" s="16" t="n"/>
      <c r="G4525" s="16" t="n"/>
      <c r="H4525" s="63" t="n"/>
      <c r="I4525" s="64" t="n"/>
      <c r="J4525" s="16" t="n"/>
      <c r="K4525" s="16" t="n"/>
      <c r="M4525" s="89" t="n"/>
      <c r="N4525" s="1" t="n"/>
      <c r="O4525" s="1" t="n"/>
      <c r="P4525" s="1" t="n"/>
      <c r="Q4525" s="1" t="n"/>
      <c r="R4525" s="1" t="n"/>
    </row>
    <row r="4526">
      <c r="A4526" s="61" t="n"/>
      <c r="B4526" s="16" t="n"/>
      <c r="C4526" s="90" t="n"/>
      <c r="D4526" s="90" t="n"/>
      <c r="E4526" s="90" t="n"/>
      <c r="F4526" s="16" t="n"/>
      <c r="G4526" s="16" t="n"/>
      <c r="H4526" s="63" t="n"/>
      <c r="I4526" s="64" t="n"/>
      <c r="J4526" s="16" t="n"/>
      <c r="K4526" s="16" t="n"/>
      <c r="M4526" s="89" t="n"/>
      <c r="N4526" s="1" t="n"/>
      <c r="O4526" s="1" t="n"/>
      <c r="P4526" s="1" t="n"/>
      <c r="Q4526" s="1" t="n"/>
      <c r="R4526" s="1" t="n"/>
    </row>
    <row r="4527">
      <c r="A4527" s="61" t="n"/>
      <c r="B4527" s="16" t="n"/>
      <c r="C4527" s="90" t="n"/>
      <c r="D4527" s="90" t="n"/>
      <c r="E4527" s="90" t="n"/>
      <c r="F4527" s="16" t="n"/>
      <c r="G4527" s="16" t="n"/>
      <c r="H4527" s="63" t="n"/>
      <c r="I4527" s="64" t="n"/>
      <c r="J4527" s="16" t="n"/>
      <c r="K4527" s="16" t="n"/>
      <c r="M4527" s="89" t="n"/>
      <c r="N4527" s="1" t="n"/>
      <c r="O4527" s="1" t="n"/>
      <c r="P4527" s="1" t="n"/>
      <c r="Q4527" s="1" t="n"/>
      <c r="R4527" s="1" t="n"/>
    </row>
    <row r="4528">
      <c r="A4528" s="61" t="n"/>
      <c r="B4528" s="16" t="n"/>
      <c r="C4528" s="90" t="n"/>
      <c r="D4528" s="90" t="n"/>
      <c r="E4528" s="90" t="n"/>
      <c r="F4528" s="16" t="n"/>
      <c r="G4528" s="16" t="n"/>
      <c r="H4528" s="63" t="n"/>
      <c r="I4528" s="64" t="n"/>
      <c r="J4528" s="16" t="n"/>
      <c r="K4528" s="16" t="n"/>
      <c r="M4528" s="89" t="n"/>
      <c r="N4528" s="1" t="n"/>
      <c r="O4528" s="1" t="n"/>
      <c r="P4528" s="1" t="n"/>
      <c r="Q4528" s="1" t="n"/>
      <c r="R4528" s="1" t="n"/>
    </row>
    <row r="4529">
      <c r="A4529" s="61" t="n"/>
      <c r="B4529" s="16" t="n"/>
      <c r="C4529" s="90" t="n"/>
      <c r="D4529" s="90" t="n"/>
      <c r="E4529" s="90" t="n"/>
      <c r="F4529" s="16" t="n"/>
      <c r="G4529" s="16" t="n"/>
      <c r="H4529" s="63" t="n"/>
      <c r="I4529" s="64" t="n"/>
      <c r="J4529" s="16" t="n"/>
      <c r="K4529" s="16" t="n"/>
      <c r="M4529" s="89" t="n"/>
      <c r="N4529" s="1" t="n"/>
      <c r="O4529" s="1" t="n"/>
      <c r="P4529" s="1" t="n"/>
      <c r="Q4529" s="1" t="n"/>
      <c r="R4529" s="1" t="n"/>
    </row>
    <row r="4530">
      <c r="A4530" s="61" t="n"/>
      <c r="B4530" s="16" t="n"/>
      <c r="C4530" s="90" t="n"/>
      <c r="D4530" s="90" t="n"/>
      <c r="E4530" s="90" t="n"/>
      <c r="F4530" s="16" t="n"/>
      <c r="G4530" s="16" t="n"/>
      <c r="H4530" s="63" t="n"/>
      <c r="I4530" s="64" t="n"/>
      <c r="J4530" s="16" t="n"/>
      <c r="K4530" s="16" t="n"/>
      <c r="M4530" s="89" t="n"/>
      <c r="N4530" s="1" t="n"/>
      <c r="O4530" s="1" t="n"/>
      <c r="P4530" s="1" t="n"/>
      <c r="Q4530" s="1" t="n"/>
      <c r="R4530" s="1" t="n"/>
    </row>
    <row r="4531">
      <c r="A4531" s="61" t="n"/>
      <c r="B4531" s="16" t="n"/>
      <c r="C4531" s="90" t="n"/>
      <c r="D4531" s="90" t="n"/>
      <c r="E4531" s="90" t="n"/>
      <c r="F4531" s="16" t="n"/>
      <c r="G4531" s="16" t="n"/>
      <c r="H4531" s="63" t="n"/>
      <c r="I4531" s="64" t="n"/>
      <c r="J4531" s="16" t="n"/>
      <c r="K4531" s="16" t="n"/>
      <c r="M4531" s="89" t="n"/>
      <c r="N4531" s="1" t="n"/>
      <c r="O4531" s="1" t="n"/>
      <c r="P4531" s="1" t="n"/>
      <c r="Q4531" s="1" t="n"/>
      <c r="R4531" s="1" t="n"/>
    </row>
    <row r="4532">
      <c r="A4532" s="61" t="n"/>
      <c r="B4532" s="16" t="n"/>
      <c r="C4532" s="90" t="n"/>
      <c r="D4532" s="90" t="n"/>
      <c r="E4532" s="90" t="n"/>
      <c r="F4532" s="16" t="n"/>
      <c r="G4532" s="16" t="n"/>
      <c r="H4532" s="63" t="n"/>
      <c r="I4532" s="64" t="n"/>
      <c r="J4532" s="16" t="n"/>
      <c r="K4532" s="16" t="n"/>
      <c r="M4532" s="89" t="n"/>
      <c r="N4532" s="1" t="n"/>
      <c r="O4532" s="1" t="n"/>
      <c r="P4532" s="1" t="n"/>
      <c r="Q4532" s="1" t="n"/>
      <c r="R4532" s="1" t="n"/>
    </row>
    <row r="4533">
      <c r="A4533" s="61" t="n"/>
      <c r="B4533" s="16" t="n"/>
      <c r="C4533" s="90" t="n"/>
      <c r="D4533" s="90" t="n"/>
      <c r="E4533" s="90" t="n"/>
      <c r="F4533" s="16" t="n"/>
      <c r="G4533" s="16" t="n"/>
      <c r="H4533" s="63" t="n"/>
      <c r="I4533" s="64" t="n"/>
      <c r="J4533" s="16" t="n"/>
      <c r="K4533" s="16" t="n"/>
      <c r="M4533" s="89" t="n"/>
      <c r="N4533" s="1" t="n"/>
      <c r="O4533" s="1" t="n"/>
      <c r="P4533" s="1" t="n"/>
      <c r="Q4533" s="1" t="n"/>
      <c r="R4533" s="1" t="n"/>
    </row>
    <row r="4534">
      <c r="A4534" s="61" t="n"/>
      <c r="B4534" s="16" t="n"/>
      <c r="C4534" s="90" t="n"/>
      <c r="D4534" s="90" t="n"/>
      <c r="E4534" s="90" t="n"/>
      <c r="F4534" s="16" t="n"/>
      <c r="G4534" s="16" t="n"/>
      <c r="H4534" s="63" t="n"/>
      <c r="I4534" s="64" t="n"/>
      <c r="J4534" s="16" t="n"/>
      <c r="K4534" s="16" t="n"/>
      <c r="M4534" s="89" t="n"/>
      <c r="N4534" s="1" t="n"/>
      <c r="O4534" s="1" t="n"/>
      <c r="P4534" s="1" t="n"/>
      <c r="Q4534" s="1" t="n"/>
      <c r="R4534" s="1" t="n"/>
    </row>
    <row r="4535">
      <c r="A4535" s="61" t="n"/>
      <c r="B4535" s="16" t="n"/>
      <c r="C4535" s="90" t="n"/>
      <c r="D4535" s="90" t="n"/>
      <c r="E4535" s="90" t="n"/>
      <c r="F4535" s="16" t="n"/>
      <c r="G4535" s="16" t="n"/>
      <c r="H4535" s="63" t="n"/>
      <c r="I4535" s="64" t="n"/>
      <c r="J4535" s="16" t="n"/>
      <c r="K4535" s="16" t="n"/>
      <c r="M4535" s="89" t="n"/>
      <c r="N4535" s="1" t="n"/>
      <c r="O4535" s="1" t="n"/>
      <c r="P4535" s="1" t="n"/>
      <c r="Q4535" s="1" t="n"/>
      <c r="R4535" s="1" t="n"/>
    </row>
    <row r="4536">
      <c r="A4536" s="61" t="n"/>
      <c r="B4536" s="16" t="n"/>
      <c r="C4536" s="90" t="n"/>
      <c r="D4536" s="90" t="n"/>
      <c r="E4536" s="90" t="n"/>
      <c r="F4536" s="16" t="n"/>
      <c r="G4536" s="16" t="n"/>
      <c r="H4536" s="63" t="n"/>
      <c r="I4536" s="64" t="n"/>
      <c r="J4536" s="16" t="n"/>
      <c r="K4536" s="16" t="n"/>
      <c r="M4536" s="89" t="n"/>
      <c r="N4536" s="1" t="n"/>
      <c r="O4536" s="1" t="n"/>
      <c r="P4536" s="1" t="n"/>
      <c r="Q4536" s="1" t="n"/>
      <c r="R4536" s="1" t="n"/>
    </row>
    <row r="4537">
      <c r="A4537" s="61" t="n"/>
      <c r="B4537" s="16" t="n"/>
      <c r="C4537" s="90" t="n"/>
      <c r="D4537" s="90" t="n"/>
      <c r="E4537" s="90" t="n"/>
      <c r="F4537" s="16" t="n"/>
      <c r="G4537" s="16" t="n"/>
      <c r="H4537" s="63" t="n"/>
      <c r="I4537" s="64" t="n"/>
      <c r="J4537" s="16" t="n"/>
      <c r="K4537" s="16" t="n"/>
      <c r="M4537" s="89" t="n"/>
      <c r="N4537" s="1" t="n"/>
      <c r="O4537" s="1" t="n"/>
      <c r="P4537" s="1" t="n"/>
      <c r="Q4537" s="1" t="n"/>
      <c r="R4537" s="1" t="n"/>
    </row>
    <row r="4538">
      <c r="A4538" s="61" t="n"/>
      <c r="B4538" s="16" t="n"/>
      <c r="C4538" s="90" t="n"/>
      <c r="D4538" s="90" t="n"/>
      <c r="E4538" s="90" t="n"/>
      <c r="F4538" s="16" t="n"/>
      <c r="G4538" s="16" t="n"/>
      <c r="H4538" s="63" t="n"/>
      <c r="I4538" s="64" t="n"/>
      <c r="J4538" s="16" t="n"/>
      <c r="K4538" s="16" t="n"/>
      <c r="M4538" s="89" t="n"/>
      <c r="N4538" s="1" t="n"/>
      <c r="O4538" s="1" t="n"/>
      <c r="P4538" s="1" t="n"/>
      <c r="Q4538" s="1" t="n"/>
      <c r="R4538" s="1" t="n"/>
    </row>
    <row r="4539">
      <c r="A4539" s="61" t="n"/>
      <c r="B4539" s="16" t="n"/>
      <c r="C4539" s="90" t="n"/>
      <c r="D4539" s="90" t="n"/>
      <c r="E4539" s="90" t="n"/>
      <c r="F4539" s="16" t="n"/>
      <c r="G4539" s="16" t="n"/>
      <c r="H4539" s="63" t="n"/>
      <c r="I4539" s="64" t="n"/>
      <c r="J4539" s="16" t="n"/>
      <c r="K4539" s="16" t="n"/>
      <c r="M4539" s="89" t="n"/>
      <c r="N4539" s="1" t="n"/>
      <c r="O4539" s="1" t="n"/>
      <c r="P4539" s="1" t="n"/>
      <c r="Q4539" s="1" t="n"/>
      <c r="R4539" s="1" t="n"/>
    </row>
    <row r="4540">
      <c r="A4540" s="61" t="n"/>
      <c r="B4540" s="16" t="n"/>
      <c r="C4540" s="90" t="n"/>
      <c r="D4540" s="90" t="n"/>
      <c r="E4540" s="90" t="n"/>
      <c r="F4540" s="16" t="n"/>
      <c r="G4540" s="16" t="n"/>
      <c r="H4540" s="63" t="n"/>
      <c r="I4540" s="64" t="n"/>
      <c r="J4540" s="16" t="n"/>
      <c r="K4540" s="16" t="n"/>
      <c r="M4540" s="89" t="n"/>
      <c r="N4540" s="1" t="n"/>
      <c r="O4540" s="1" t="n"/>
      <c r="P4540" s="1" t="n"/>
      <c r="Q4540" s="1" t="n"/>
      <c r="R4540" s="1" t="n"/>
    </row>
    <row r="4541">
      <c r="A4541" s="61" t="n"/>
      <c r="B4541" s="16" t="n"/>
      <c r="C4541" s="90" t="n"/>
      <c r="D4541" s="90" t="n"/>
      <c r="E4541" s="90" t="n"/>
      <c r="F4541" s="16" t="n"/>
      <c r="G4541" s="16" t="n"/>
      <c r="H4541" s="63" t="n"/>
      <c r="I4541" s="64" t="n"/>
      <c r="J4541" s="16" t="n"/>
      <c r="K4541" s="16" t="n"/>
      <c r="M4541" s="89" t="n"/>
      <c r="N4541" s="1" t="n"/>
      <c r="O4541" s="1" t="n"/>
      <c r="P4541" s="1" t="n"/>
      <c r="Q4541" s="1" t="n"/>
      <c r="R4541" s="1" t="n"/>
    </row>
    <row r="4542">
      <c r="A4542" s="61" t="n"/>
      <c r="B4542" s="16" t="n"/>
      <c r="C4542" s="90" t="n"/>
      <c r="D4542" s="90" t="n"/>
      <c r="E4542" s="90" t="n"/>
      <c r="F4542" s="16" t="n"/>
      <c r="G4542" s="16" t="n"/>
      <c r="H4542" s="63" t="n"/>
      <c r="I4542" s="64" t="n"/>
      <c r="J4542" s="16" t="n"/>
      <c r="K4542" s="16" t="n"/>
      <c r="M4542" s="89" t="n"/>
      <c r="N4542" s="1" t="n"/>
      <c r="O4542" s="1" t="n"/>
      <c r="P4542" s="1" t="n"/>
      <c r="Q4542" s="1" t="n"/>
      <c r="R4542" s="1" t="n"/>
    </row>
    <row r="4543">
      <c r="A4543" s="61" t="n"/>
      <c r="B4543" s="16" t="n"/>
      <c r="C4543" s="90" t="n"/>
      <c r="D4543" s="90" t="n"/>
      <c r="E4543" s="90" t="n"/>
      <c r="F4543" s="16" t="n"/>
      <c r="G4543" s="16" t="n"/>
      <c r="H4543" s="63" t="n"/>
      <c r="I4543" s="64" t="n"/>
      <c r="J4543" s="16" t="n"/>
      <c r="K4543" s="16" t="n"/>
      <c r="M4543" s="89" t="n"/>
      <c r="N4543" s="1" t="n"/>
      <c r="O4543" s="1" t="n"/>
      <c r="P4543" s="1" t="n"/>
      <c r="Q4543" s="1" t="n"/>
      <c r="R4543" s="1" t="n"/>
    </row>
    <row r="4544">
      <c r="A4544" s="61" t="n"/>
      <c r="B4544" s="16" t="n"/>
      <c r="C4544" s="90" t="n"/>
      <c r="D4544" s="90" t="n"/>
      <c r="E4544" s="90" t="n"/>
      <c r="F4544" s="16" t="n"/>
      <c r="G4544" s="16" t="n"/>
      <c r="H4544" s="63" t="n"/>
      <c r="I4544" s="64" t="n"/>
      <c r="J4544" s="16" t="n"/>
      <c r="K4544" s="16" t="n"/>
      <c r="M4544" s="89" t="n"/>
      <c r="N4544" s="1" t="n"/>
      <c r="O4544" s="1" t="n"/>
      <c r="P4544" s="1" t="n"/>
      <c r="Q4544" s="1" t="n"/>
      <c r="R4544" s="1" t="n"/>
    </row>
    <row r="4545">
      <c r="A4545" s="61" t="n"/>
      <c r="B4545" s="16" t="n"/>
      <c r="C4545" s="90" t="n"/>
      <c r="D4545" s="90" t="n"/>
      <c r="E4545" s="90" t="n"/>
      <c r="F4545" s="16" t="n"/>
      <c r="G4545" s="16" t="n"/>
      <c r="H4545" s="63" t="n"/>
      <c r="I4545" s="64" t="n"/>
      <c r="J4545" s="16" t="n"/>
      <c r="K4545" s="16" t="n"/>
      <c r="M4545" s="89" t="n"/>
      <c r="N4545" s="1" t="n"/>
      <c r="O4545" s="1" t="n"/>
      <c r="P4545" s="1" t="n"/>
      <c r="Q4545" s="1" t="n"/>
      <c r="R4545" s="1" t="n"/>
    </row>
    <row r="4546">
      <c r="A4546" s="61" t="n"/>
      <c r="B4546" s="16" t="n"/>
      <c r="C4546" s="90" t="n"/>
      <c r="D4546" s="90" t="n"/>
      <c r="E4546" s="90" t="n"/>
      <c r="F4546" s="16" t="n"/>
      <c r="G4546" s="16" t="n"/>
      <c r="H4546" s="63" t="n"/>
      <c r="I4546" s="64" t="n"/>
      <c r="J4546" s="16" t="n"/>
      <c r="K4546" s="16" t="n"/>
      <c r="M4546" s="89" t="n"/>
      <c r="N4546" s="1" t="n"/>
      <c r="O4546" s="1" t="n"/>
      <c r="P4546" s="1" t="n"/>
      <c r="Q4546" s="1" t="n"/>
      <c r="R4546" s="1" t="n"/>
    </row>
    <row r="4547">
      <c r="A4547" s="61" t="n"/>
      <c r="B4547" s="16" t="n"/>
      <c r="C4547" s="90" t="n"/>
      <c r="D4547" s="90" t="n"/>
      <c r="E4547" s="90" t="n"/>
      <c r="F4547" s="16" t="n"/>
      <c r="G4547" s="16" t="n"/>
      <c r="H4547" s="63" t="n"/>
      <c r="I4547" s="64" t="n"/>
      <c r="J4547" s="16" t="n"/>
      <c r="K4547" s="16" t="n"/>
      <c r="M4547" s="89" t="n"/>
      <c r="N4547" s="1" t="n"/>
      <c r="O4547" s="1" t="n"/>
      <c r="P4547" s="1" t="n"/>
      <c r="Q4547" s="1" t="n"/>
      <c r="R4547" s="1" t="n"/>
    </row>
    <row r="4548">
      <c r="A4548" s="61" t="n"/>
      <c r="B4548" s="16" t="n"/>
      <c r="C4548" s="90" t="n"/>
      <c r="D4548" s="90" t="n"/>
      <c r="E4548" s="90" t="n"/>
      <c r="F4548" s="16" t="n"/>
      <c r="G4548" s="16" t="n"/>
      <c r="H4548" s="63" t="n"/>
      <c r="I4548" s="64" t="n"/>
      <c r="J4548" s="16" t="n"/>
      <c r="K4548" s="16" t="n"/>
      <c r="M4548" s="89" t="n"/>
      <c r="N4548" s="1" t="n"/>
      <c r="O4548" s="1" t="n"/>
      <c r="P4548" s="1" t="n"/>
      <c r="Q4548" s="1" t="n"/>
      <c r="R4548" s="1" t="n"/>
    </row>
    <row r="4549">
      <c r="A4549" s="61" t="n"/>
      <c r="B4549" s="16" t="n"/>
      <c r="C4549" s="90" t="n"/>
      <c r="D4549" s="90" t="n"/>
      <c r="E4549" s="90" t="n"/>
      <c r="F4549" s="16" t="n"/>
      <c r="G4549" s="16" t="n"/>
      <c r="H4549" s="63" t="n"/>
      <c r="I4549" s="64" t="n"/>
      <c r="J4549" s="16" t="n"/>
      <c r="K4549" s="16" t="n"/>
      <c r="M4549" s="89" t="n"/>
      <c r="N4549" s="1" t="n"/>
      <c r="O4549" s="1" t="n"/>
      <c r="P4549" s="1" t="n"/>
      <c r="Q4549" s="1" t="n"/>
      <c r="R4549" s="1" t="n"/>
    </row>
    <row r="4550">
      <c r="A4550" s="61" t="n"/>
      <c r="B4550" s="16" t="n"/>
      <c r="C4550" s="90" t="n"/>
      <c r="D4550" s="90" t="n"/>
      <c r="E4550" s="90" t="n"/>
      <c r="F4550" s="16" t="n"/>
      <c r="G4550" s="16" t="n"/>
      <c r="H4550" s="63" t="n"/>
      <c r="I4550" s="64" t="n"/>
      <c r="J4550" s="16" t="n"/>
      <c r="K4550" s="16" t="n"/>
      <c r="M4550" s="89" t="n"/>
      <c r="N4550" s="1" t="n"/>
      <c r="O4550" s="1" t="n"/>
      <c r="P4550" s="1" t="n"/>
      <c r="Q4550" s="1" t="n"/>
      <c r="R4550" s="1" t="n"/>
    </row>
    <row r="4551">
      <c r="A4551" s="61" t="n"/>
      <c r="B4551" s="16" t="n"/>
      <c r="C4551" s="90" t="n"/>
      <c r="D4551" s="90" t="n"/>
      <c r="E4551" s="90" t="n"/>
      <c r="F4551" s="16" t="n"/>
      <c r="G4551" s="16" t="n"/>
      <c r="H4551" s="63" t="n"/>
      <c r="I4551" s="64" t="n"/>
      <c r="J4551" s="16" t="n"/>
      <c r="K4551" s="16" t="n"/>
      <c r="M4551" s="89" t="n"/>
      <c r="N4551" s="1" t="n"/>
      <c r="O4551" s="1" t="n"/>
      <c r="P4551" s="1" t="n"/>
      <c r="Q4551" s="1" t="n"/>
      <c r="R4551" s="1" t="n"/>
    </row>
    <row r="4552">
      <c r="A4552" s="61" t="n"/>
      <c r="B4552" s="16" t="n"/>
      <c r="C4552" s="90" t="n"/>
      <c r="D4552" s="90" t="n"/>
      <c r="E4552" s="90" t="n"/>
      <c r="F4552" s="16" t="n"/>
      <c r="G4552" s="16" t="n"/>
      <c r="H4552" s="63" t="n"/>
      <c r="I4552" s="64" t="n"/>
      <c r="J4552" s="16" t="n"/>
      <c r="K4552" s="16" t="n"/>
      <c r="M4552" s="89" t="n"/>
      <c r="N4552" s="1" t="n"/>
      <c r="O4552" s="1" t="n"/>
      <c r="P4552" s="1" t="n"/>
      <c r="Q4552" s="1" t="n"/>
      <c r="R4552" s="1" t="n"/>
    </row>
    <row r="4553">
      <c r="A4553" s="61" t="n"/>
      <c r="B4553" s="16" t="n"/>
      <c r="C4553" s="90" t="n"/>
      <c r="D4553" s="90" t="n"/>
      <c r="E4553" s="90" t="n"/>
      <c r="F4553" s="16" t="n"/>
      <c r="G4553" s="16" t="n"/>
      <c r="H4553" s="63" t="n"/>
      <c r="I4553" s="64" t="n"/>
      <c r="J4553" s="16" t="n"/>
      <c r="K4553" s="16" t="n"/>
      <c r="M4553" s="89" t="n"/>
      <c r="N4553" s="1" t="n"/>
      <c r="O4553" s="1" t="n"/>
      <c r="P4553" s="1" t="n"/>
      <c r="Q4553" s="1" t="n"/>
      <c r="R4553" s="1" t="n"/>
    </row>
    <row r="4554">
      <c r="A4554" s="61" t="n"/>
      <c r="B4554" s="16" t="n"/>
      <c r="C4554" s="90" t="n"/>
      <c r="D4554" s="90" t="n"/>
      <c r="E4554" s="90" t="n"/>
      <c r="F4554" s="16" t="n"/>
      <c r="G4554" s="16" t="n"/>
      <c r="H4554" s="63" t="n"/>
      <c r="I4554" s="64" t="n"/>
      <c r="J4554" s="16" t="n"/>
      <c r="K4554" s="16" t="n"/>
      <c r="M4554" s="89" t="n"/>
      <c r="N4554" s="1" t="n"/>
      <c r="O4554" s="1" t="n"/>
      <c r="P4554" s="1" t="n"/>
      <c r="Q4554" s="1" t="n"/>
      <c r="R4554" s="1" t="n"/>
    </row>
    <row r="4555">
      <c r="A4555" s="61" t="n"/>
      <c r="B4555" s="16" t="n"/>
      <c r="C4555" s="90" t="n"/>
      <c r="D4555" s="90" t="n"/>
      <c r="E4555" s="90" t="n"/>
      <c r="F4555" s="16" t="n"/>
      <c r="G4555" s="16" t="n"/>
      <c r="H4555" s="63" t="n"/>
      <c r="I4555" s="64" t="n"/>
      <c r="J4555" s="16" t="n"/>
      <c r="K4555" s="16" t="n"/>
      <c r="M4555" s="89" t="n"/>
      <c r="N4555" s="1" t="n"/>
      <c r="O4555" s="1" t="n"/>
      <c r="P4555" s="1" t="n"/>
      <c r="Q4555" s="1" t="n"/>
      <c r="R4555" s="1" t="n"/>
    </row>
    <row r="4556">
      <c r="A4556" s="61" t="n"/>
      <c r="B4556" s="16" t="n"/>
      <c r="C4556" s="90" t="n"/>
      <c r="D4556" s="90" t="n"/>
      <c r="E4556" s="90" t="n"/>
      <c r="F4556" s="16" t="n"/>
      <c r="G4556" s="16" t="n"/>
      <c r="H4556" s="63" t="n"/>
      <c r="I4556" s="64" t="n"/>
      <c r="J4556" s="16" t="n"/>
      <c r="K4556" s="16" t="n"/>
      <c r="M4556" s="89" t="n"/>
      <c r="N4556" s="1" t="n"/>
      <c r="O4556" s="1" t="n"/>
      <c r="P4556" s="1" t="n"/>
      <c r="Q4556" s="1" t="n"/>
      <c r="R4556" s="1" t="n"/>
    </row>
    <row r="4557">
      <c r="A4557" s="61" t="n"/>
      <c r="B4557" s="16" t="n"/>
      <c r="C4557" s="90" t="n"/>
      <c r="D4557" s="90" t="n"/>
      <c r="E4557" s="90" t="n"/>
      <c r="F4557" s="16" t="n"/>
      <c r="G4557" s="16" t="n"/>
      <c r="H4557" s="63" t="n"/>
      <c r="I4557" s="64" t="n"/>
      <c r="J4557" s="16" t="n"/>
      <c r="K4557" s="16" t="n"/>
      <c r="M4557" s="89" t="n"/>
      <c r="N4557" s="1" t="n"/>
      <c r="O4557" s="1" t="n"/>
      <c r="P4557" s="1" t="n"/>
      <c r="Q4557" s="1" t="n"/>
      <c r="R4557" s="1" t="n"/>
    </row>
    <row r="4558">
      <c r="A4558" s="61" t="n"/>
      <c r="B4558" s="16" t="n"/>
      <c r="C4558" s="90" t="n"/>
      <c r="D4558" s="90" t="n"/>
      <c r="E4558" s="90" t="n"/>
      <c r="F4558" s="16" t="n"/>
      <c r="G4558" s="16" t="n"/>
      <c r="H4558" s="63" t="n"/>
      <c r="I4558" s="64" t="n"/>
      <c r="J4558" s="16" t="n"/>
      <c r="K4558" s="16" t="n"/>
      <c r="M4558" s="89" t="n"/>
      <c r="N4558" s="1" t="n"/>
      <c r="O4558" s="1" t="n"/>
      <c r="P4558" s="1" t="n"/>
      <c r="Q4558" s="1" t="n"/>
      <c r="R4558" s="1" t="n"/>
    </row>
    <row r="4559">
      <c r="A4559" s="61" t="n"/>
      <c r="B4559" s="16" t="n"/>
      <c r="C4559" s="90" t="n"/>
      <c r="D4559" s="90" t="n"/>
      <c r="E4559" s="90" t="n"/>
      <c r="F4559" s="16" t="n"/>
      <c r="G4559" s="16" t="n"/>
      <c r="H4559" s="63" t="n"/>
      <c r="I4559" s="64" t="n"/>
      <c r="J4559" s="16" t="n"/>
      <c r="K4559" s="16" t="n"/>
      <c r="M4559" s="89" t="n"/>
      <c r="N4559" s="1" t="n"/>
      <c r="O4559" s="1" t="n"/>
      <c r="P4559" s="1" t="n"/>
      <c r="Q4559" s="1" t="n"/>
      <c r="R4559" s="1" t="n"/>
    </row>
    <row r="4560">
      <c r="A4560" s="61" t="n"/>
      <c r="B4560" s="16" t="n"/>
      <c r="C4560" s="90" t="n"/>
      <c r="D4560" s="90" t="n"/>
      <c r="E4560" s="90" t="n"/>
      <c r="F4560" s="16" t="n"/>
      <c r="G4560" s="16" t="n"/>
      <c r="H4560" s="63" t="n"/>
      <c r="I4560" s="64" t="n"/>
      <c r="J4560" s="16" t="n"/>
      <c r="K4560" s="16" t="n"/>
      <c r="M4560" s="89" t="n"/>
      <c r="N4560" s="1" t="n"/>
      <c r="O4560" s="1" t="n"/>
      <c r="P4560" s="1" t="n"/>
      <c r="Q4560" s="1" t="n"/>
      <c r="R4560" s="1" t="n"/>
    </row>
    <row r="4561">
      <c r="A4561" s="61" t="n"/>
      <c r="B4561" s="16" t="n"/>
      <c r="C4561" s="90" t="n"/>
      <c r="D4561" s="90" t="n"/>
      <c r="E4561" s="90" t="n"/>
      <c r="F4561" s="16" t="n"/>
      <c r="G4561" s="16" t="n"/>
      <c r="H4561" s="63" t="n"/>
      <c r="I4561" s="64" t="n"/>
      <c r="J4561" s="16" t="n"/>
      <c r="K4561" s="16" t="n"/>
      <c r="M4561" s="89" t="n"/>
      <c r="N4561" s="1" t="n"/>
      <c r="O4561" s="1" t="n"/>
      <c r="P4561" s="1" t="n"/>
      <c r="Q4561" s="1" t="n"/>
      <c r="R4561" s="1" t="n"/>
    </row>
    <row r="4562">
      <c r="A4562" s="61" t="n"/>
      <c r="B4562" s="16" t="n"/>
      <c r="C4562" s="90" t="n"/>
      <c r="D4562" s="90" t="n"/>
      <c r="E4562" s="90" t="n"/>
      <c r="F4562" s="16" t="n"/>
      <c r="G4562" s="16" t="n"/>
      <c r="H4562" s="63" t="n"/>
      <c r="I4562" s="64" t="n"/>
      <c r="J4562" s="16" t="n"/>
      <c r="K4562" s="16" t="n"/>
      <c r="M4562" s="89" t="n"/>
      <c r="N4562" s="1" t="n"/>
      <c r="O4562" s="1" t="n"/>
      <c r="P4562" s="1" t="n"/>
      <c r="Q4562" s="1" t="n"/>
      <c r="R4562" s="1" t="n"/>
    </row>
    <row r="4563">
      <c r="A4563" s="61" t="n"/>
      <c r="B4563" s="16" t="n"/>
      <c r="C4563" s="90" t="n"/>
      <c r="D4563" s="90" t="n"/>
      <c r="E4563" s="90" t="n"/>
      <c r="F4563" s="16" t="n"/>
      <c r="G4563" s="16" t="n"/>
      <c r="H4563" s="63" t="n"/>
      <c r="I4563" s="64" t="n"/>
      <c r="J4563" s="16" t="n"/>
      <c r="K4563" s="16" t="n"/>
      <c r="M4563" s="89" t="n"/>
      <c r="N4563" s="1" t="n"/>
      <c r="O4563" s="1" t="n"/>
      <c r="P4563" s="1" t="n"/>
      <c r="Q4563" s="1" t="n"/>
      <c r="R4563" s="1" t="n"/>
    </row>
    <row r="4564">
      <c r="A4564" s="61" t="n"/>
      <c r="B4564" s="16" t="n"/>
      <c r="C4564" s="90" t="n"/>
      <c r="D4564" s="90" t="n"/>
      <c r="E4564" s="90" t="n"/>
      <c r="F4564" s="16" t="n"/>
      <c r="G4564" s="16" t="n"/>
      <c r="H4564" s="63" t="n"/>
      <c r="I4564" s="64" t="n"/>
      <c r="J4564" s="16" t="n"/>
      <c r="K4564" s="16" t="n"/>
      <c r="M4564" s="89" t="n"/>
      <c r="N4564" s="1" t="n"/>
      <c r="O4564" s="1" t="n"/>
      <c r="P4564" s="1" t="n"/>
      <c r="Q4564" s="1" t="n"/>
      <c r="R4564" s="1" t="n"/>
    </row>
    <row r="4565">
      <c r="A4565" s="61" t="n"/>
      <c r="B4565" s="16" t="n"/>
      <c r="C4565" s="90" t="n"/>
      <c r="D4565" s="90" t="n"/>
      <c r="E4565" s="90" t="n"/>
      <c r="F4565" s="16" t="n"/>
      <c r="G4565" s="16" t="n"/>
      <c r="H4565" s="63" t="n"/>
      <c r="I4565" s="64" t="n"/>
      <c r="J4565" s="16" t="n"/>
      <c r="K4565" s="16" t="n"/>
      <c r="M4565" s="89" t="n"/>
      <c r="N4565" s="1" t="n"/>
      <c r="O4565" s="1" t="n"/>
      <c r="P4565" s="1" t="n"/>
      <c r="Q4565" s="1" t="n"/>
      <c r="R4565" s="1" t="n"/>
    </row>
    <row r="4566">
      <c r="A4566" s="61" t="n"/>
      <c r="B4566" s="16" t="n"/>
      <c r="C4566" s="90" t="n"/>
      <c r="D4566" s="90" t="n"/>
      <c r="E4566" s="90" t="n"/>
      <c r="F4566" s="16" t="n"/>
      <c r="G4566" s="16" t="n"/>
      <c r="H4566" s="63" t="n"/>
      <c r="I4566" s="64" t="n"/>
      <c r="J4566" s="16" t="n"/>
      <c r="K4566" s="16" t="n"/>
      <c r="M4566" s="89" t="n"/>
      <c r="N4566" s="1" t="n"/>
      <c r="O4566" s="1" t="n"/>
      <c r="P4566" s="1" t="n"/>
      <c r="Q4566" s="1" t="n"/>
      <c r="R4566" s="1" t="n"/>
    </row>
    <row r="4567">
      <c r="A4567" s="61" t="n"/>
      <c r="B4567" s="16" t="n"/>
      <c r="C4567" s="90" t="n"/>
      <c r="D4567" s="90" t="n"/>
      <c r="E4567" s="90" t="n"/>
      <c r="F4567" s="16" t="n"/>
      <c r="G4567" s="16" t="n"/>
      <c r="H4567" s="63" t="n"/>
      <c r="I4567" s="64" t="n"/>
      <c r="J4567" s="16" t="n"/>
      <c r="K4567" s="16" t="n"/>
      <c r="M4567" s="89" t="n"/>
      <c r="N4567" s="1" t="n"/>
      <c r="O4567" s="1" t="n"/>
      <c r="P4567" s="1" t="n"/>
      <c r="Q4567" s="1" t="n"/>
      <c r="R4567" s="1" t="n"/>
    </row>
    <row r="4568">
      <c r="A4568" s="61" t="n"/>
      <c r="B4568" s="16" t="n"/>
      <c r="C4568" s="90" t="n"/>
      <c r="D4568" s="90" t="n"/>
      <c r="E4568" s="90" t="n"/>
      <c r="F4568" s="16" t="n"/>
      <c r="G4568" s="16" t="n"/>
      <c r="H4568" s="63" t="n"/>
      <c r="I4568" s="64" t="n"/>
      <c r="J4568" s="16" t="n"/>
      <c r="K4568" s="16" t="n"/>
      <c r="M4568" s="89" t="n"/>
      <c r="N4568" s="1" t="n"/>
      <c r="O4568" s="1" t="n"/>
      <c r="P4568" s="1" t="n"/>
      <c r="Q4568" s="1" t="n"/>
      <c r="R4568" s="1" t="n"/>
    </row>
    <row r="4569">
      <c r="A4569" s="61" t="n"/>
      <c r="B4569" s="16" t="n"/>
      <c r="C4569" s="90" t="n"/>
      <c r="D4569" s="90" t="n"/>
      <c r="E4569" s="90" t="n"/>
      <c r="F4569" s="16" t="n"/>
      <c r="G4569" s="16" t="n"/>
      <c r="H4569" s="63" t="n"/>
      <c r="I4569" s="64" t="n"/>
      <c r="J4569" s="16" t="n"/>
      <c r="K4569" s="16" t="n"/>
      <c r="M4569" s="89" t="n"/>
      <c r="N4569" s="1" t="n"/>
      <c r="O4569" s="1" t="n"/>
      <c r="P4569" s="1" t="n"/>
      <c r="Q4569" s="1" t="n"/>
      <c r="R4569" s="1" t="n"/>
    </row>
    <row r="4570">
      <c r="A4570" s="61" t="n"/>
      <c r="B4570" s="16" t="n"/>
      <c r="C4570" s="90" t="n"/>
      <c r="D4570" s="90" t="n"/>
      <c r="E4570" s="90" t="n"/>
      <c r="F4570" s="16" t="n"/>
      <c r="G4570" s="16" t="n"/>
      <c r="H4570" s="63" t="n"/>
      <c r="I4570" s="64" t="n"/>
      <c r="J4570" s="16" t="n"/>
      <c r="K4570" s="16" t="n"/>
      <c r="M4570" s="89" t="n"/>
      <c r="N4570" s="1" t="n"/>
      <c r="O4570" s="1" t="n"/>
      <c r="P4570" s="1" t="n"/>
      <c r="Q4570" s="1" t="n"/>
      <c r="R4570" s="1" t="n"/>
    </row>
    <row r="4571">
      <c r="A4571" s="61" t="n"/>
      <c r="B4571" s="16" t="n"/>
      <c r="C4571" s="90" t="n"/>
      <c r="D4571" s="90" t="n"/>
      <c r="E4571" s="90" t="n"/>
      <c r="F4571" s="16" t="n"/>
      <c r="G4571" s="16" t="n"/>
      <c r="H4571" s="63" t="n"/>
      <c r="I4571" s="64" t="n"/>
      <c r="J4571" s="16" t="n"/>
      <c r="K4571" s="16" t="n"/>
      <c r="M4571" s="89" t="n"/>
      <c r="N4571" s="1" t="n"/>
      <c r="O4571" s="1" t="n"/>
      <c r="P4571" s="1" t="n"/>
      <c r="Q4571" s="1" t="n"/>
      <c r="R4571" s="1" t="n"/>
    </row>
    <row r="4572">
      <c r="A4572" s="61" t="n"/>
      <c r="B4572" s="16" t="n"/>
      <c r="C4572" s="90" t="n"/>
      <c r="D4572" s="90" t="n"/>
      <c r="E4572" s="90" t="n"/>
      <c r="F4572" s="16" t="n"/>
      <c r="G4572" s="16" t="n"/>
      <c r="H4572" s="63" t="n"/>
      <c r="I4572" s="64" t="n"/>
      <c r="J4572" s="16" t="n"/>
      <c r="K4572" s="16" t="n"/>
      <c r="M4572" s="89" t="n"/>
      <c r="N4572" s="1" t="n"/>
      <c r="O4572" s="1" t="n"/>
      <c r="P4572" s="1" t="n"/>
      <c r="Q4572" s="1" t="n"/>
      <c r="R4572" s="1" t="n"/>
    </row>
    <row r="4573">
      <c r="A4573" s="61" t="n"/>
      <c r="B4573" s="16" t="n"/>
      <c r="C4573" s="90" t="n"/>
      <c r="D4573" s="90" t="n"/>
      <c r="E4573" s="90" t="n"/>
      <c r="F4573" s="16" t="n"/>
      <c r="G4573" s="16" t="n"/>
      <c r="H4573" s="63" t="n"/>
      <c r="I4573" s="64" t="n"/>
      <c r="J4573" s="16" t="n"/>
      <c r="K4573" s="16" t="n"/>
      <c r="M4573" s="89" t="n"/>
      <c r="N4573" s="1" t="n"/>
      <c r="O4573" s="1" t="n"/>
      <c r="P4573" s="1" t="n"/>
      <c r="Q4573" s="1" t="n"/>
      <c r="R4573" s="1" t="n"/>
    </row>
    <row r="4574">
      <c r="A4574" s="61" t="n"/>
      <c r="B4574" s="16" t="n"/>
      <c r="C4574" s="90" t="n"/>
      <c r="D4574" s="90" t="n"/>
      <c r="E4574" s="90" t="n"/>
      <c r="F4574" s="16" t="n"/>
      <c r="G4574" s="16" t="n"/>
      <c r="H4574" s="63" t="n"/>
      <c r="I4574" s="64" t="n"/>
      <c r="J4574" s="16" t="n"/>
      <c r="K4574" s="16" t="n"/>
      <c r="M4574" s="89" t="n"/>
      <c r="N4574" s="1" t="n"/>
      <c r="O4574" s="1" t="n"/>
      <c r="P4574" s="1" t="n"/>
      <c r="Q4574" s="1" t="n"/>
      <c r="R4574" s="1" t="n"/>
    </row>
    <row r="4575">
      <c r="A4575" s="61" t="n"/>
      <c r="B4575" s="16" t="n"/>
      <c r="C4575" s="90" t="n"/>
      <c r="D4575" s="90" t="n"/>
      <c r="E4575" s="90" t="n"/>
      <c r="F4575" s="16" t="n"/>
      <c r="G4575" s="16" t="n"/>
      <c r="H4575" s="63" t="n"/>
      <c r="I4575" s="64" t="n"/>
      <c r="J4575" s="16" t="n"/>
      <c r="K4575" s="16" t="n"/>
      <c r="M4575" s="89" t="n"/>
      <c r="N4575" s="1" t="n"/>
      <c r="O4575" s="1" t="n"/>
      <c r="P4575" s="1" t="n"/>
      <c r="Q4575" s="1" t="n"/>
      <c r="R4575" s="1" t="n"/>
    </row>
    <row r="4576">
      <c r="A4576" s="61" t="n"/>
      <c r="B4576" s="16" t="n"/>
      <c r="C4576" s="90" t="n"/>
      <c r="D4576" s="90" t="n"/>
      <c r="E4576" s="90" t="n"/>
      <c r="F4576" s="16" t="n"/>
      <c r="G4576" s="16" t="n"/>
      <c r="H4576" s="63" t="n"/>
      <c r="I4576" s="64" t="n"/>
      <c r="J4576" s="16" t="n"/>
      <c r="K4576" s="16" t="n"/>
      <c r="M4576" s="89" t="n"/>
      <c r="N4576" s="1" t="n"/>
      <c r="O4576" s="1" t="n"/>
      <c r="P4576" s="1" t="n"/>
      <c r="Q4576" s="1" t="n"/>
      <c r="R4576" s="1" t="n"/>
    </row>
    <row r="4577">
      <c r="A4577" s="61" t="n"/>
      <c r="B4577" s="16" t="n"/>
      <c r="C4577" s="90" t="n"/>
      <c r="D4577" s="90" t="n"/>
      <c r="E4577" s="90" t="n"/>
      <c r="F4577" s="16" t="n"/>
      <c r="G4577" s="16" t="n"/>
      <c r="H4577" s="63" t="n"/>
      <c r="I4577" s="64" t="n"/>
      <c r="J4577" s="16" t="n"/>
      <c r="K4577" s="16" t="n"/>
      <c r="M4577" s="89" t="n"/>
      <c r="N4577" s="1" t="n"/>
      <c r="O4577" s="1" t="n"/>
      <c r="P4577" s="1" t="n"/>
      <c r="Q4577" s="1" t="n"/>
      <c r="R4577" s="1" t="n"/>
    </row>
    <row r="4578">
      <c r="A4578" s="61" t="n"/>
      <c r="B4578" s="16" t="n"/>
      <c r="C4578" s="90" t="n"/>
      <c r="D4578" s="90" t="n"/>
      <c r="E4578" s="90" t="n"/>
      <c r="F4578" s="16" t="n"/>
      <c r="G4578" s="16" t="n"/>
      <c r="H4578" s="63" t="n"/>
      <c r="I4578" s="64" t="n"/>
      <c r="J4578" s="16" t="n"/>
      <c r="K4578" s="16" t="n"/>
      <c r="M4578" s="89" t="n"/>
      <c r="N4578" s="1" t="n"/>
      <c r="O4578" s="1" t="n"/>
      <c r="P4578" s="1" t="n"/>
      <c r="Q4578" s="1" t="n"/>
      <c r="R4578" s="1" t="n"/>
    </row>
    <row r="4579">
      <c r="A4579" s="61" t="n"/>
      <c r="B4579" s="16" t="n"/>
      <c r="C4579" s="90" t="n"/>
      <c r="D4579" s="90" t="n"/>
      <c r="E4579" s="90" t="n"/>
      <c r="F4579" s="16" t="n"/>
      <c r="G4579" s="16" t="n"/>
      <c r="H4579" s="63" t="n"/>
      <c r="I4579" s="64" t="n"/>
      <c r="J4579" s="16" t="n"/>
      <c r="K4579" s="16" t="n"/>
      <c r="M4579" s="89" t="n"/>
      <c r="N4579" s="1" t="n"/>
      <c r="O4579" s="1" t="n"/>
      <c r="P4579" s="1" t="n"/>
      <c r="Q4579" s="1" t="n"/>
      <c r="R4579" s="1" t="n"/>
    </row>
    <row r="4580">
      <c r="A4580" s="61" t="n"/>
      <c r="B4580" s="16" t="n"/>
      <c r="C4580" s="90" t="n"/>
      <c r="D4580" s="90" t="n"/>
      <c r="E4580" s="90" t="n"/>
      <c r="F4580" s="16" t="n"/>
      <c r="G4580" s="16" t="n"/>
      <c r="H4580" s="63" t="n"/>
      <c r="I4580" s="64" t="n"/>
      <c r="J4580" s="16" t="n"/>
      <c r="K4580" s="16" t="n"/>
      <c r="M4580" s="89" t="n"/>
      <c r="N4580" s="1" t="n"/>
      <c r="O4580" s="1" t="n"/>
      <c r="P4580" s="1" t="n"/>
      <c r="Q4580" s="1" t="n"/>
      <c r="R4580" s="1" t="n"/>
    </row>
    <row r="4581">
      <c r="A4581" s="61" t="n"/>
      <c r="B4581" s="16" t="n"/>
      <c r="C4581" s="90" t="n"/>
      <c r="D4581" s="90" t="n"/>
      <c r="E4581" s="90" t="n"/>
      <c r="F4581" s="16" t="n"/>
      <c r="G4581" s="16" t="n"/>
      <c r="H4581" s="63" t="n"/>
      <c r="I4581" s="64" t="n"/>
      <c r="J4581" s="16" t="n"/>
      <c r="K4581" s="16" t="n"/>
      <c r="M4581" s="89" t="n"/>
      <c r="N4581" s="1" t="n"/>
      <c r="O4581" s="1" t="n"/>
      <c r="P4581" s="1" t="n"/>
      <c r="Q4581" s="1" t="n"/>
      <c r="R4581" s="1" t="n"/>
    </row>
    <row r="4582">
      <c r="A4582" s="61" t="n"/>
      <c r="B4582" s="16" t="n"/>
      <c r="C4582" s="90" t="n"/>
      <c r="D4582" s="90" t="n"/>
      <c r="E4582" s="90" t="n"/>
      <c r="F4582" s="16" t="n"/>
      <c r="G4582" s="16" t="n"/>
      <c r="H4582" s="63" t="n"/>
      <c r="I4582" s="64" t="n"/>
      <c r="J4582" s="16" t="n"/>
      <c r="K4582" s="16" t="n"/>
      <c r="M4582" s="89" t="n"/>
      <c r="N4582" s="1" t="n"/>
      <c r="O4582" s="1" t="n"/>
      <c r="P4582" s="1" t="n"/>
      <c r="Q4582" s="1" t="n"/>
      <c r="R4582" s="1" t="n"/>
    </row>
    <row r="4583">
      <c r="A4583" s="61" t="n"/>
      <c r="B4583" s="16" t="n"/>
      <c r="C4583" s="90" t="n"/>
      <c r="D4583" s="90" t="n"/>
      <c r="E4583" s="90" t="n"/>
      <c r="F4583" s="16" t="n"/>
      <c r="G4583" s="16" t="n"/>
      <c r="H4583" s="63" t="n"/>
      <c r="I4583" s="64" t="n"/>
      <c r="J4583" s="16" t="n"/>
      <c r="K4583" s="16" t="n"/>
      <c r="M4583" s="89" t="n"/>
      <c r="N4583" s="1" t="n"/>
      <c r="O4583" s="1" t="n"/>
      <c r="P4583" s="1" t="n"/>
      <c r="Q4583" s="1" t="n"/>
      <c r="R4583" s="1" t="n"/>
    </row>
    <row r="4584">
      <c r="A4584" s="61" t="n"/>
      <c r="B4584" s="16" t="n"/>
      <c r="C4584" s="90" t="n"/>
      <c r="D4584" s="90" t="n"/>
      <c r="E4584" s="90" t="n"/>
      <c r="F4584" s="16" t="n"/>
      <c r="G4584" s="16" t="n"/>
      <c r="H4584" s="63" t="n"/>
      <c r="I4584" s="64" t="n"/>
      <c r="J4584" s="16" t="n"/>
      <c r="K4584" s="16" t="n"/>
      <c r="M4584" s="89" t="n"/>
      <c r="N4584" s="1" t="n"/>
      <c r="O4584" s="1" t="n"/>
      <c r="P4584" s="1" t="n"/>
      <c r="Q4584" s="1" t="n"/>
      <c r="R4584" s="1" t="n"/>
    </row>
    <row r="4585">
      <c r="A4585" s="61" t="n"/>
      <c r="B4585" s="16" t="n"/>
      <c r="C4585" s="90" t="n"/>
      <c r="D4585" s="90" t="n"/>
      <c r="E4585" s="90" t="n"/>
      <c r="F4585" s="16" t="n"/>
      <c r="G4585" s="16" t="n"/>
      <c r="H4585" s="63" t="n"/>
      <c r="I4585" s="64" t="n"/>
      <c r="J4585" s="16" t="n"/>
      <c r="K4585" s="16" t="n"/>
      <c r="M4585" s="89" t="n"/>
      <c r="N4585" s="1" t="n"/>
      <c r="O4585" s="1" t="n"/>
      <c r="P4585" s="1" t="n"/>
      <c r="Q4585" s="1" t="n"/>
      <c r="R4585" s="1" t="n"/>
    </row>
    <row r="4586">
      <c r="A4586" s="61" t="n"/>
      <c r="B4586" s="16" t="n"/>
      <c r="C4586" s="90" t="n"/>
      <c r="D4586" s="90" t="n"/>
      <c r="E4586" s="90" t="n"/>
      <c r="F4586" s="16" t="n"/>
      <c r="G4586" s="16" t="n"/>
      <c r="H4586" s="63" t="n"/>
      <c r="I4586" s="64" t="n"/>
      <c r="J4586" s="16" t="n"/>
      <c r="K4586" s="16" t="n"/>
      <c r="M4586" s="89" t="n"/>
      <c r="N4586" s="1" t="n"/>
      <c r="O4586" s="1" t="n"/>
      <c r="P4586" s="1" t="n"/>
      <c r="Q4586" s="1" t="n"/>
      <c r="R4586" s="1" t="n"/>
    </row>
    <row r="4587">
      <c r="A4587" s="61" t="n"/>
      <c r="B4587" s="16" t="n"/>
      <c r="C4587" s="90" t="n"/>
      <c r="D4587" s="90" t="n"/>
      <c r="E4587" s="90" t="n"/>
      <c r="F4587" s="16" t="n"/>
      <c r="G4587" s="16" t="n"/>
      <c r="H4587" s="63" t="n"/>
      <c r="I4587" s="64" t="n"/>
      <c r="J4587" s="16" t="n"/>
      <c r="K4587" s="16" t="n"/>
      <c r="M4587" s="89" t="n"/>
      <c r="N4587" s="1" t="n"/>
      <c r="O4587" s="1" t="n"/>
      <c r="P4587" s="1" t="n"/>
      <c r="Q4587" s="1" t="n"/>
      <c r="R4587" s="1" t="n"/>
    </row>
    <row r="4588">
      <c r="A4588" s="61" t="n"/>
      <c r="B4588" s="16" t="n"/>
      <c r="C4588" s="90" t="n"/>
      <c r="D4588" s="90" t="n"/>
      <c r="E4588" s="90" t="n"/>
      <c r="F4588" s="16" t="n"/>
      <c r="G4588" s="16" t="n"/>
      <c r="H4588" s="63" t="n"/>
      <c r="I4588" s="64" t="n"/>
      <c r="J4588" s="16" t="n"/>
      <c r="K4588" s="16" t="n"/>
      <c r="M4588" s="89" t="n"/>
      <c r="N4588" s="1" t="n"/>
      <c r="O4588" s="1" t="n"/>
      <c r="P4588" s="1" t="n"/>
      <c r="Q4588" s="1" t="n"/>
      <c r="R4588" s="1" t="n"/>
    </row>
    <row r="4589">
      <c r="A4589" s="61" t="n"/>
      <c r="B4589" s="16" t="n"/>
      <c r="C4589" s="90" t="n"/>
      <c r="D4589" s="90" t="n"/>
      <c r="E4589" s="90" t="n"/>
      <c r="F4589" s="16" t="n"/>
      <c r="G4589" s="16" t="n"/>
      <c r="H4589" s="63" t="n"/>
      <c r="I4589" s="64" t="n"/>
      <c r="J4589" s="16" t="n"/>
      <c r="K4589" s="16" t="n"/>
      <c r="M4589" s="89" t="n"/>
      <c r="N4589" s="1" t="n"/>
      <c r="O4589" s="1" t="n"/>
      <c r="P4589" s="1" t="n"/>
      <c r="Q4589" s="1" t="n"/>
      <c r="R4589" s="1" t="n"/>
    </row>
    <row r="4590">
      <c r="A4590" s="61" t="n"/>
      <c r="B4590" s="16" t="n"/>
      <c r="C4590" s="90" t="n"/>
      <c r="D4590" s="90" t="n"/>
      <c r="E4590" s="90" t="n"/>
      <c r="F4590" s="16" t="n"/>
      <c r="G4590" s="16" t="n"/>
      <c r="H4590" s="63" t="n"/>
      <c r="I4590" s="64" t="n"/>
      <c r="J4590" s="16" t="n"/>
      <c r="K4590" s="16" t="n"/>
      <c r="M4590" s="89" t="n"/>
      <c r="N4590" s="1" t="n"/>
      <c r="O4590" s="1" t="n"/>
      <c r="P4590" s="1" t="n"/>
      <c r="Q4590" s="1" t="n"/>
      <c r="R4590" s="1" t="n"/>
    </row>
    <row r="4591">
      <c r="A4591" s="61" t="n"/>
      <c r="B4591" s="16" t="n"/>
      <c r="C4591" s="90" t="n"/>
      <c r="D4591" s="90" t="n"/>
      <c r="E4591" s="90" t="n"/>
      <c r="F4591" s="16" t="n"/>
      <c r="G4591" s="16" t="n"/>
      <c r="H4591" s="63" t="n"/>
      <c r="I4591" s="64" t="n"/>
      <c r="J4591" s="16" t="n"/>
      <c r="K4591" s="16" t="n"/>
      <c r="M4591" s="89" t="n"/>
      <c r="N4591" s="1" t="n"/>
      <c r="O4591" s="1" t="n"/>
      <c r="P4591" s="1" t="n"/>
      <c r="Q4591" s="1" t="n"/>
      <c r="R4591" s="1" t="n"/>
    </row>
    <row r="4592">
      <c r="A4592" s="61" t="n"/>
      <c r="B4592" s="16" t="n"/>
      <c r="C4592" s="90" t="n"/>
      <c r="D4592" s="90" t="n"/>
      <c r="E4592" s="90" t="n"/>
      <c r="F4592" s="16" t="n"/>
      <c r="G4592" s="16" t="n"/>
      <c r="H4592" s="63" t="n"/>
      <c r="I4592" s="64" t="n"/>
      <c r="J4592" s="16" t="n"/>
      <c r="K4592" s="16" t="n"/>
      <c r="M4592" s="89" t="n"/>
      <c r="N4592" s="1" t="n"/>
      <c r="O4592" s="1" t="n"/>
      <c r="P4592" s="1" t="n"/>
      <c r="Q4592" s="1" t="n"/>
      <c r="R4592" s="1" t="n"/>
    </row>
    <row r="4593">
      <c r="A4593" s="61" t="n"/>
      <c r="B4593" s="16" t="n"/>
      <c r="C4593" s="90" t="n"/>
      <c r="D4593" s="90" t="n"/>
      <c r="E4593" s="90" t="n"/>
      <c r="F4593" s="16" t="n"/>
      <c r="G4593" s="16" t="n"/>
      <c r="H4593" s="63" t="n"/>
      <c r="I4593" s="64" t="n"/>
      <c r="J4593" s="16" t="n"/>
      <c r="K4593" s="16" t="n"/>
      <c r="M4593" s="89" t="n"/>
      <c r="N4593" s="1" t="n"/>
      <c r="O4593" s="1" t="n"/>
      <c r="P4593" s="1" t="n"/>
      <c r="Q4593" s="1" t="n"/>
      <c r="R4593" s="1" t="n"/>
    </row>
    <row r="4594">
      <c r="A4594" s="61" t="n"/>
      <c r="B4594" s="16" t="n"/>
      <c r="C4594" s="90" t="n"/>
      <c r="D4594" s="90" t="n"/>
      <c r="E4594" s="90" t="n"/>
      <c r="F4594" s="16" t="n"/>
      <c r="G4594" s="16" t="n"/>
      <c r="H4594" s="63" t="n"/>
      <c r="I4594" s="64" t="n"/>
      <c r="J4594" s="16" t="n"/>
      <c r="K4594" s="16" t="n"/>
      <c r="M4594" s="89" t="n"/>
      <c r="N4594" s="1" t="n"/>
      <c r="O4594" s="1" t="n"/>
      <c r="P4594" s="1" t="n"/>
      <c r="Q4594" s="1" t="n"/>
      <c r="R4594" s="1" t="n"/>
    </row>
    <row r="4595">
      <c r="A4595" s="61" t="n"/>
      <c r="B4595" s="16" t="n"/>
      <c r="C4595" s="90" t="n"/>
      <c r="D4595" s="90" t="n"/>
      <c r="E4595" s="90" t="n"/>
      <c r="F4595" s="16" t="n"/>
      <c r="G4595" s="16" t="n"/>
      <c r="H4595" s="63" t="n"/>
      <c r="I4595" s="64" t="n"/>
      <c r="J4595" s="16" t="n"/>
      <c r="K4595" s="16" t="n"/>
      <c r="M4595" s="89" t="n"/>
      <c r="N4595" s="1" t="n"/>
      <c r="O4595" s="1" t="n"/>
      <c r="P4595" s="1" t="n"/>
      <c r="Q4595" s="1" t="n"/>
      <c r="R4595" s="1" t="n"/>
    </row>
    <row r="4596">
      <c r="A4596" s="61" t="n"/>
      <c r="B4596" s="16" t="n"/>
      <c r="C4596" s="90" t="n"/>
      <c r="D4596" s="90" t="n"/>
      <c r="E4596" s="90" t="n"/>
      <c r="F4596" s="16" t="n"/>
      <c r="G4596" s="16" t="n"/>
      <c r="H4596" s="63" t="n"/>
      <c r="I4596" s="64" t="n"/>
      <c r="J4596" s="16" t="n"/>
      <c r="K4596" s="16" t="n"/>
      <c r="M4596" s="89" t="n"/>
      <c r="N4596" s="1" t="n"/>
      <c r="O4596" s="1" t="n"/>
      <c r="P4596" s="1" t="n"/>
      <c r="Q4596" s="1" t="n"/>
      <c r="R4596" s="1" t="n"/>
    </row>
    <row r="4597">
      <c r="A4597" s="61" t="n"/>
      <c r="B4597" s="16" t="n"/>
      <c r="C4597" s="90" t="n"/>
      <c r="D4597" s="90" t="n"/>
      <c r="E4597" s="90" t="n"/>
      <c r="F4597" s="16" t="n"/>
      <c r="G4597" s="16" t="n"/>
      <c r="H4597" s="63" t="n"/>
      <c r="I4597" s="64" t="n"/>
      <c r="J4597" s="16" t="n"/>
      <c r="K4597" s="16" t="n"/>
      <c r="M4597" s="89" t="n"/>
      <c r="N4597" s="1" t="n"/>
      <c r="O4597" s="1" t="n"/>
      <c r="P4597" s="1" t="n"/>
      <c r="Q4597" s="1" t="n"/>
      <c r="R4597" s="1" t="n"/>
    </row>
    <row r="4598">
      <c r="A4598" s="61" t="n"/>
      <c r="B4598" s="16" t="n"/>
      <c r="C4598" s="90" t="n"/>
      <c r="D4598" s="90" t="n"/>
      <c r="E4598" s="90" t="n"/>
      <c r="F4598" s="16" t="n"/>
      <c r="G4598" s="16" t="n"/>
      <c r="H4598" s="63" t="n"/>
      <c r="I4598" s="64" t="n"/>
      <c r="J4598" s="16" t="n"/>
      <c r="K4598" s="16" t="n"/>
      <c r="M4598" s="89" t="n"/>
      <c r="N4598" s="1" t="n"/>
      <c r="O4598" s="1" t="n"/>
      <c r="P4598" s="1" t="n"/>
      <c r="Q4598" s="1" t="n"/>
      <c r="R4598" s="1" t="n"/>
    </row>
    <row r="4599">
      <c r="A4599" s="61" t="n"/>
      <c r="B4599" s="16" t="n"/>
      <c r="C4599" s="90" t="n"/>
      <c r="D4599" s="90" t="n"/>
      <c r="E4599" s="90" t="n"/>
      <c r="F4599" s="16" t="n"/>
      <c r="G4599" s="16" t="n"/>
      <c r="H4599" s="63" t="n"/>
      <c r="I4599" s="64" t="n"/>
      <c r="J4599" s="16" t="n"/>
      <c r="K4599" s="16" t="n"/>
      <c r="M4599" s="89" t="n"/>
      <c r="N4599" s="1" t="n"/>
      <c r="O4599" s="1" t="n"/>
      <c r="P4599" s="1" t="n"/>
      <c r="Q4599" s="1" t="n"/>
      <c r="R4599" s="1" t="n"/>
    </row>
    <row r="4600">
      <c r="A4600" s="61" t="n"/>
      <c r="B4600" s="16" t="n"/>
      <c r="C4600" s="90" t="n"/>
      <c r="D4600" s="90" t="n"/>
      <c r="E4600" s="90" t="n"/>
      <c r="F4600" s="16" t="n"/>
      <c r="G4600" s="16" t="n"/>
      <c r="H4600" s="63" t="n"/>
      <c r="I4600" s="64" t="n"/>
      <c r="J4600" s="16" t="n"/>
      <c r="K4600" s="16" t="n"/>
      <c r="M4600" s="89" t="n"/>
      <c r="N4600" s="1" t="n"/>
      <c r="O4600" s="1" t="n"/>
      <c r="P4600" s="1" t="n"/>
      <c r="Q4600" s="1" t="n"/>
      <c r="R4600" s="1" t="n"/>
    </row>
    <row r="4601">
      <c r="A4601" s="61" t="n"/>
      <c r="B4601" s="16" t="n"/>
      <c r="C4601" s="90" t="n"/>
      <c r="D4601" s="90" t="n"/>
      <c r="E4601" s="90" t="n"/>
      <c r="F4601" s="16" t="n"/>
      <c r="G4601" s="16" t="n"/>
      <c r="H4601" s="63" t="n"/>
      <c r="I4601" s="64" t="n"/>
      <c r="J4601" s="16" t="n"/>
      <c r="K4601" s="16" t="n"/>
      <c r="M4601" s="89" t="n"/>
      <c r="N4601" s="1" t="n"/>
      <c r="O4601" s="1" t="n"/>
      <c r="P4601" s="1" t="n"/>
      <c r="Q4601" s="1" t="n"/>
      <c r="R4601" s="1" t="n"/>
    </row>
    <row r="4602">
      <c r="A4602" s="61" t="n"/>
      <c r="B4602" s="16" t="n"/>
      <c r="C4602" s="90" t="n"/>
      <c r="D4602" s="90" t="n"/>
      <c r="E4602" s="90" t="n"/>
      <c r="F4602" s="16" t="n"/>
      <c r="G4602" s="16" t="n"/>
      <c r="H4602" s="63" t="n"/>
      <c r="I4602" s="64" t="n"/>
      <c r="J4602" s="16" t="n"/>
      <c r="K4602" s="16" t="n"/>
      <c r="M4602" s="89" t="n"/>
      <c r="N4602" s="1" t="n"/>
      <c r="O4602" s="1" t="n"/>
      <c r="P4602" s="1" t="n"/>
      <c r="Q4602" s="1" t="n"/>
      <c r="R4602" s="1" t="n"/>
    </row>
    <row r="4603">
      <c r="A4603" s="61" t="n"/>
      <c r="B4603" s="16" t="n"/>
      <c r="C4603" s="90" t="n"/>
      <c r="D4603" s="90" t="n"/>
      <c r="E4603" s="90" t="n"/>
      <c r="F4603" s="16" t="n"/>
      <c r="G4603" s="16" t="n"/>
      <c r="H4603" s="63" t="n"/>
      <c r="I4603" s="64" t="n"/>
      <c r="J4603" s="16" t="n"/>
      <c r="K4603" s="16" t="n"/>
      <c r="M4603" s="89" t="n"/>
      <c r="N4603" s="1" t="n"/>
      <c r="O4603" s="1" t="n"/>
      <c r="P4603" s="1" t="n"/>
      <c r="Q4603" s="1" t="n"/>
      <c r="R4603" s="1" t="n"/>
    </row>
    <row r="4604">
      <c r="A4604" s="61" t="n"/>
      <c r="B4604" s="16" t="n"/>
      <c r="C4604" s="90" t="n"/>
      <c r="D4604" s="90" t="n"/>
      <c r="E4604" s="90" t="n"/>
      <c r="F4604" s="16" t="n"/>
      <c r="G4604" s="16" t="n"/>
      <c r="H4604" s="63" t="n"/>
      <c r="I4604" s="64" t="n"/>
      <c r="J4604" s="16" t="n"/>
      <c r="K4604" s="16" t="n"/>
      <c r="M4604" s="89" t="n"/>
      <c r="N4604" s="1" t="n"/>
      <c r="O4604" s="1" t="n"/>
      <c r="P4604" s="1" t="n"/>
      <c r="Q4604" s="1" t="n"/>
      <c r="R4604" s="1" t="n"/>
    </row>
    <row r="4605">
      <c r="A4605" s="61" t="n"/>
      <c r="B4605" s="16" t="n"/>
      <c r="C4605" s="90" t="n"/>
      <c r="D4605" s="90" t="n"/>
      <c r="E4605" s="90" t="n"/>
      <c r="F4605" s="16" t="n"/>
      <c r="G4605" s="16" t="n"/>
      <c r="H4605" s="63" t="n"/>
      <c r="I4605" s="64" t="n"/>
      <c r="J4605" s="16" t="n"/>
      <c r="K4605" s="16" t="n"/>
      <c r="M4605" s="89" t="n"/>
      <c r="N4605" s="1" t="n"/>
      <c r="O4605" s="1" t="n"/>
      <c r="P4605" s="1" t="n"/>
      <c r="Q4605" s="1" t="n"/>
      <c r="R4605" s="1" t="n"/>
    </row>
    <row r="4606">
      <c r="A4606" s="61" t="n"/>
      <c r="B4606" s="16" t="n"/>
      <c r="C4606" s="90" t="n"/>
      <c r="D4606" s="90" t="n"/>
      <c r="E4606" s="90" t="n"/>
      <c r="F4606" s="16" t="n"/>
      <c r="G4606" s="16" t="n"/>
      <c r="H4606" s="63" t="n"/>
      <c r="I4606" s="64" t="n"/>
      <c r="J4606" s="16" t="n"/>
      <c r="K4606" s="16" t="n"/>
      <c r="M4606" s="89" t="n"/>
      <c r="N4606" s="1" t="n"/>
      <c r="O4606" s="1" t="n"/>
      <c r="P4606" s="1" t="n"/>
      <c r="Q4606" s="1" t="n"/>
      <c r="R4606" s="1" t="n"/>
    </row>
    <row r="4607">
      <c r="A4607" s="61" t="n"/>
      <c r="B4607" s="16" t="n"/>
      <c r="C4607" s="90" t="n"/>
      <c r="D4607" s="90" t="n"/>
      <c r="E4607" s="90" t="n"/>
      <c r="F4607" s="16" t="n"/>
      <c r="G4607" s="16" t="n"/>
      <c r="H4607" s="63" t="n"/>
      <c r="I4607" s="64" t="n"/>
      <c r="J4607" s="16" t="n"/>
      <c r="K4607" s="16" t="n"/>
      <c r="M4607" s="89" t="n"/>
      <c r="N4607" s="1" t="n"/>
      <c r="O4607" s="1" t="n"/>
      <c r="P4607" s="1" t="n"/>
      <c r="Q4607" s="1" t="n"/>
      <c r="R4607" s="1" t="n"/>
    </row>
    <row r="4608">
      <c r="A4608" s="61" t="n"/>
      <c r="B4608" s="16" t="n"/>
      <c r="C4608" s="90" t="n"/>
      <c r="D4608" s="90" t="n"/>
      <c r="E4608" s="90" t="n"/>
      <c r="F4608" s="16" t="n"/>
      <c r="G4608" s="16" t="n"/>
      <c r="H4608" s="63" t="n"/>
      <c r="I4608" s="64" t="n"/>
      <c r="J4608" s="16" t="n"/>
      <c r="K4608" s="16" t="n"/>
      <c r="M4608" s="89" t="n"/>
      <c r="N4608" s="1" t="n"/>
      <c r="O4608" s="1" t="n"/>
      <c r="P4608" s="1" t="n"/>
      <c r="Q4608" s="1" t="n"/>
      <c r="R4608" s="1" t="n"/>
    </row>
    <row r="4609">
      <c r="A4609" s="61" t="n"/>
      <c r="B4609" s="16" t="n"/>
      <c r="C4609" s="90" t="n"/>
      <c r="D4609" s="90" t="n"/>
      <c r="E4609" s="90" t="n"/>
      <c r="F4609" s="16" t="n"/>
      <c r="G4609" s="16" t="n"/>
      <c r="H4609" s="63" t="n"/>
      <c r="I4609" s="64" t="n"/>
      <c r="J4609" s="16" t="n"/>
      <c r="K4609" s="16" t="n"/>
      <c r="M4609" s="89" t="n"/>
      <c r="N4609" s="1" t="n"/>
      <c r="O4609" s="1" t="n"/>
      <c r="P4609" s="1" t="n"/>
      <c r="Q4609" s="1" t="n"/>
      <c r="R4609" s="1" t="n"/>
    </row>
    <row r="4610">
      <c r="A4610" s="61" t="n"/>
      <c r="B4610" s="16" t="n"/>
      <c r="C4610" s="90" t="n"/>
      <c r="D4610" s="90" t="n"/>
      <c r="E4610" s="90" t="n"/>
      <c r="F4610" s="16" t="n"/>
      <c r="G4610" s="16" t="n"/>
      <c r="H4610" s="63" t="n"/>
      <c r="I4610" s="64" t="n"/>
      <c r="J4610" s="16" t="n"/>
      <c r="K4610" s="16" t="n"/>
      <c r="M4610" s="89" t="n"/>
      <c r="N4610" s="1" t="n"/>
      <c r="O4610" s="1" t="n"/>
      <c r="P4610" s="1" t="n"/>
      <c r="Q4610" s="1" t="n"/>
      <c r="R4610" s="1" t="n"/>
    </row>
    <row r="4611">
      <c r="A4611" s="61" t="n"/>
      <c r="B4611" s="16" t="n"/>
      <c r="C4611" s="90" t="n"/>
      <c r="D4611" s="90" t="n"/>
      <c r="E4611" s="90" t="n"/>
      <c r="F4611" s="16" t="n"/>
      <c r="G4611" s="16" t="n"/>
      <c r="H4611" s="63" t="n"/>
      <c r="I4611" s="64" t="n"/>
      <c r="J4611" s="16" t="n"/>
      <c r="K4611" s="16" t="n"/>
      <c r="M4611" s="89" t="n"/>
      <c r="N4611" s="1" t="n"/>
      <c r="O4611" s="1" t="n"/>
      <c r="P4611" s="1" t="n"/>
      <c r="Q4611" s="1" t="n"/>
      <c r="R4611" s="1" t="n"/>
    </row>
    <row r="4612">
      <c r="A4612" s="61" t="n"/>
      <c r="B4612" s="16" t="n"/>
      <c r="C4612" s="90" t="n"/>
      <c r="D4612" s="90" t="n"/>
      <c r="E4612" s="90" t="n"/>
      <c r="F4612" s="16" t="n"/>
      <c r="G4612" s="16" t="n"/>
      <c r="H4612" s="63" t="n"/>
      <c r="I4612" s="64" t="n"/>
      <c r="J4612" s="16" t="n"/>
      <c r="K4612" s="16" t="n"/>
      <c r="M4612" s="89" t="n"/>
      <c r="N4612" s="1" t="n"/>
      <c r="O4612" s="1" t="n"/>
      <c r="P4612" s="1" t="n"/>
      <c r="Q4612" s="1" t="n"/>
      <c r="R4612" s="1" t="n"/>
    </row>
    <row r="4613">
      <c r="A4613" s="61" t="n"/>
      <c r="B4613" s="16" t="n"/>
      <c r="C4613" s="90" t="n"/>
      <c r="D4613" s="90" t="n"/>
      <c r="E4613" s="90" t="n"/>
      <c r="F4613" s="16" t="n"/>
      <c r="G4613" s="16" t="n"/>
      <c r="H4613" s="63" t="n"/>
      <c r="I4613" s="64" t="n"/>
      <c r="J4613" s="16" t="n"/>
      <c r="K4613" s="16" t="n"/>
      <c r="M4613" s="89" t="n"/>
      <c r="N4613" s="1" t="n"/>
      <c r="O4613" s="1" t="n"/>
      <c r="P4613" s="1" t="n"/>
      <c r="Q4613" s="1" t="n"/>
      <c r="R4613" s="1" t="n"/>
    </row>
    <row r="4614">
      <c r="A4614" s="61" t="n"/>
      <c r="B4614" s="16" t="n"/>
      <c r="C4614" s="90" t="n"/>
      <c r="D4614" s="90" t="n"/>
      <c r="E4614" s="90" t="n"/>
      <c r="F4614" s="16" t="n"/>
      <c r="G4614" s="16" t="n"/>
      <c r="H4614" s="63" t="n"/>
      <c r="I4614" s="64" t="n"/>
      <c r="J4614" s="16" t="n"/>
      <c r="K4614" s="16" t="n"/>
      <c r="M4614" s="89" t="n"/>
      <c r="N4614" s="1" t="n"/>
      <c r="O4614" s="1" t="n"/>
      <c r="P4614" s="1" t="n"/>
      <c r="Q4614" s="1" t="n"/>
      <c r="R4614" s="1" t="n"/>
    </row>
    <row r="4615">
      <c r="A4615" s="61" t="n"/>
      <c r="B4615" s="16" t="n"/>
      <c r="C4615" s="90" t="n"/>
      <c r="D4615" s="90" t="n"/>
      <c r="E4615" s="90" t="n"/>
      <c r="F4615" s="16" t="n"/>
      <c r="G4615" s="16" t="n"/>
      <c r="H4615" s="63" t="n"/>
      <c r="I4615" s="64" t="n"/>
      <c r="J4615" s="16" t="n"/>
      <c r="K4615" s="16" t="n"/>
      <c r="M4615" s="89" t="n"/>
      <c r="N4615" s="1" t="n"/>
      <c r="O4615" s="1" t="n"/>
      <c r="P4615" s="1" t="n"/>
      <c r="Q4615" s="1" t="n"/>
      <c r="R4615" s="1" t="n"/>
    </row>
    <row r="4616">
      <c r="A4616" s="61" t="n"/>
      <c r="B4616" s="16" t="n"/>
      <c r="C4616" s="90" t="n"/>
      <c r="D4616" s="90" t="n"/>
      <c r="E4616" s="90" t="n"/>
      <c r="F4616" s="16" t="n"/>
      <c r="G4616" s="16" t="n"/>
      <c r="H4616" s="63" t="n"/>
      <c r="I4616" s="64" t="n"/>
      <c r="J4616" s="16" t="n"/>
      <c r="K4616" s="16" t="n"/>
      <c r="M4616" s="89" t="n"/>
      <c r="N4616" s="1" t="n"/>
      <c r="O4616" s="1" t="n"/>
      <c r="P4616" s="1" t="n"/>
      <c r="Q4616" s="1" t="n"/>
      <c r="R4616" s="1" t="n"/>
    </row>
    <row r="4617">
      <c r="A4617" s="61" t="n"/>
      <c r="B4617" s="16" t="n"/>
      <c r="C4617" s="90" t="n"/>
      <c r="D4617" s="90" t="n"/>
      <c r="E4617" s="90" t="n"/>
      <c r="F4617" s="16" t="n"/>
      <c r="G4617" s="16" t="n"/>
      <c r="H4617" s="63" t="n"/>
      <c r="I4617" s="64" t="n"/>
      <c r="J4617" s="16" t="n"/>
      <c r="K4617" s="16" t="n"/>
      <c r="M4617" s="89" t="n"/>
      <c r="N4617" s="1" t="n"/>
      <c r="O4617" s="1" t="n"/>
      <c r="P4617" s="1" t="n"/>
      <c r="Q4617" s="1" t="n"/>
      <c r="R4617" s="1" t="n"/>
    </row>
    <row r="4618">
      <c r="A4618" s="61" t="n"/>
      <c r="B4618" s="16" t="n"/>
      <c r="C4618" s="90" t="n"/>
      <c r="D4618" s="90" t="n"/>
      <c r="E4618" s="90" t="n"/>
      <c r="F4618" s="16" t="n"/>
      <c r="G4618" s="16" t="n"/>
      <c r="H4618" s="63" t="n"/>
      <c r="I4618" s="64" t="n"/>
      <c r="J4618" s="16" t="n"/>
      <c r="K4618" s="16" t="n"/>
      <c r="M4618" s="89" t="n"/>
      <c r="N4618" s="1" t="n"/>
      <c r="O4618" s="1" t="n"/>
      <c r="P4618" s="1" t="n"/>
      <c r="Q4618" s="1" t="n"/>
      <c r="R4618" s="1" t="n"/>
    </row>
    <row r="4619">
      <c r="A4619" s="61" t="n"/>
      <c r="B4619" s="16" t="n"/>
      <c r="C4619" s="90" t="n"/>
      <c r="D4619" s="90" t="n"/>
      <c r="E4619" s="90" t="n"/>
      <c r="F4619" s="16" t="n"/>
      <c r="G4619" s="16" t="n"/>
      <c r="H4619" s="63" t="n"/>
      <c r="I4619" s="64" t="n"/>
      <c r="J4619" s="16" t="n"/>
      <c r="K4619" s="16" t="n"/>
      <c r="M4619" s="89" t="n"/>
      <c r="N4619" s="1" t="n"/>
      <c r="O4619" s="1" t="n"/>
      <c r="P4619" s="1" t="n"/>
      <c r="Q4619" s="1" t="n"/>
      <c r="R4619" s="1" t="n"/>
    </row>
    <row r="4620">
      <c r="A4620" s="61" t="n"/>
      <c r="B4620" s="16" t="n"/>
      <c r="C4620" s="90" t="n"/>
      <c r="D4620" s="90" t="n"/>
      <c r="E4620" s="90" t="n"/>
      <c r="F4620" s="16" t="n"/>
      <c r="G4620" s="16" t="n"/>
      <c r="H4620" s="63" t="n"/>
      <c r="I4620" s="64" t="n"/>
      <c r="J4620" s="16" t="n"/>
      <c r="K4620" s="16" t="n"/>
      <c r="M4620" s="89" t="n"/>
      <c r="N4620" s="1" t="n"/>
      <c r="O4620" s="1" t="n"/>
      <c r="P4620" s="1" t="n"/>
      <c r="Q4620" s="1" t="n"/>
      <c r="R4620" s="1" t="n"/>
    </row>
    <row r="4621">
      <c r="A4621" s="61" t="n"/>
      <c r="B4621" s="16" t="n"/>
      <c r="C4621" s="90" t="n"/>
      <c r="D4621" s="90" t="n"/>
      <c r="E4621" s="90" t="n"/>
      <c r="F4621" s="16" t="n"/>
      <c r="G4621" s="16" t="n"/>
      <c r="H4621" s="63" t="n"/>
      <c r="I4621" s="64" t="n"/>
      <c r="J4621" s="16" t="n"/>
      <c r="K4621" s="16" t="n"/>
      <c r="M4621" s="89" t="n"/>
      <c r="N4621" s="1" t="n"/>
      <c r="O4621" s="1" t="n"/>
      <c r="P4621" s="1" t="n"/>
      <c r="Q4621" s="1" t="n"/>
      <c r="R4621" s="1" t="n"/>
    </row>
    <row r="4622">
      <c r="A4622" s="61" t="n"/>
      <c r="B4622" s="16" t="n"/>
      <c r="C4622" s="90" t="n"/>
      <c r="D4622" s="90" t="n"/>
      <c r="E4622" s="90" t="n"/>
      <c r="F4622" s="16" t="n"/>
      <c r="G4622" s="16" t="n"/>
      <c r="H4622" s="63" t="n"/>
      <c r="I4622" s="64" t="n"/>
      <c r="J4622" s="16" t="n"/>
      <c r="K4622" s="16" t="n"/>
      <c r="M4622" s="89" t="n"/>
      <c r="N4622" s="1" t="n"/>
      <c r="O4622" s="1" t="n"/>
      <c r="P4622" s="1" t="n"/>
      <c r="Q4622" s="1" t="n"/>
      <c r="R4622" s="1" t="n"/>
    </row>
    <row r="4623">
      <c r="A4623" s="61" t="n"/>
      <c r="B4623" s="16" t="n"/>
      <c r="C4623" s="90" t="n"/>
      <c r="D4623" s="90" t="n"/>
      <c r="E4623" s="90" t="n"/>
      <c r="F4623" s="16" t="n"/>
      <c r="G4623" s="16" t="n"/>
      <c r="H4623" s="63" t="n"/>
      <c r="I4623" s="64" t="n"/>
      <c r="J4623" s="16" t="n"/>
      <c r="K4623" s="16" t="n"/>
      <c r="M4623" s="89" t="n"/>
      <c r="N4623" s="1" t="n"/>
      <c r="O4623" s="1" t="n"/>
      <c r="P4623" s="1" t="n"/>
      <c r="Q4623" s="1" t="n"/>
      <c r="R4623" s="1" t="n"/>
    </row>
    <row r="4624">
      <c r="A4624" s="61" t="n"/>
      <c r="B4624" s="16" t="n"/>
      <c r="C4624" s="90" t="n"/>
      <c r="D4624" s="90" t="n"/>
      <c r="E4624" s="90" t="n"/>
      <c r="F4624" s="16" t="n"/>
      <c r="G4624" s="16" t="n"/>
      <c r="H4624" s="63" t="n"/>
      <c r="I4624" s="64" t="n"/>
      <c r="J4624" s="16" t="n"/>
      <c r="K4624" s="16" t="n"/>
      <c r="M4624" s="89" t="n"/>
      <c r="N4624" s="1" t="n"/>
      <c r="O4624" s="1" t="n"/>
      <c r="P4624" s="1" t="n"/>
      <c r="Q4624" s="1" t="n"/>
      <c r="R4624" s="1" t="n"/>
    </row>
    <row r="4625">
      <c r="A4625" s="61" t="n"/>
      <c r="B4625" s="16" t="n"/>
      <c r="C4625" s="90" t="n"/>
      <c r="D4625" s="90" t="n"/>
      <c r="E4625" s="90" t="n"/>
      <c r="F4625" s="16" t="n"/>
      <c r="G4625" s="16" t="n"/>
      <c r="H4625" s="63" t="n"/>
      <c r="I4625" s="64" t="n"/>
      <c r="J4625" s="16" t="n"/>
      <c r="K4625" s="16" t="n"/>
      <c r="M4625" s="89" t="n"/>
      <c r="N4625" s="1" t="n"/>
      <c r="O4625" s="1" t="n"/>
      <c r="P4625" s="1" t="n"/>
      <c r="Q4625" s="1" t="n"/>
      <c r="R4625" s="1" t="n"/>
    </row>
    <row r="4626">
      <c r="A4626" s="61" t="n"/>
      <c r="B4626" s="16" t="n"/>
      <c r="C4626" s="90" t="n"/>
      <c r="D4626" s="90" t="n"/>
      <c r="E4626" s="90" t="n"/>
      <c r="F4626" s="16" t="n"/>
      <c r="G4626" s="16" t="n"/>
      <c r="H4626" s="63" t="n"/>
      <c r="I4626" s="64" t="n"/>
      <c r="J4626" s="16" t="n"/>
      <c r="K4626" s="16" t="n"/>
      <c r="M4626" s="89" t="n"/>
      <c r="N4626" s="1" t="n"/>
      <c r="O4626" s="1" t="n"/>
      <c r="P4626" s="1" t="n"/>
      <c r="Q4626" s="1" t="n"/>
      <c r="R4626" s="1" t="n"/>
    </row>
    <row r="4627">
      <c r="A4627" s="61" t="n"/>
      <c r="B4627" s="16" t="n"/>
      <c r="C4627" s="90" t="n"/>
      <c r="D4627" s="90" t="n"/>
      <c r="E4627" s="90" t="n"/>
      <c r="F4627" s="16" t="n"/>
      <c r="G4627" s="16" t="n"/>
      <c r="H4627" s="63" t="n"/>
      <c r="I4627" s="64" t="n"/>
      <c r="J4627" s="16" t="n"/>
      <c r="K4627" s="16" t="n"/>
      <c r="M4627" s="89" t="n"/>
      <c r="N4627" s="1" t="n"/>
      <c r="O4627" s="1" t="n"/>
      <c r="P4627" s="1" t="n"/>
      <c r="Q4627" s="1" t="n"/>
      <c r="R4627" s="1" t="n"/>
    </row>
    <row r="4628">
      <c r="A4628" s="61" t="n"/>
      <c r="B4628" s="16" t="n"/>
      <c r="C4628" s="90" t="n"/>
      <c r="D4628" s="90" t="n"/>
      <c r="E4628" s="90" t="n"/>
      <c r="F4628" s="16" t="n"/>
      <c r="G4628" s="16" t="n"/>
      <c r="H4628" s="63" t="n"/>
      <c r="I4628" s="64" t="n"/>
      <c r="J4628" s="16" t="n"/>
      <c r="K4628" s="16" t="n"/>
      <c r="M4628" s="89" t="n"/>
      <c r="N4628" s="1" t="n"/>
      <c r="O4628" s="1" t="n"/>
      <c r="P4628" s="1" t="n"/>
      <c r="Q4628" s="1" t="n"/>
      <c r="R4628" s="1" t="n"/>
    </row>
    <row r="4629">
      <c r="A4629" s="61" t="n"/>
      <c r="B4629" s="16" t="n"/>
      <c r="C4629" s="90" t="n"/>
      <c r="D4629" s="90" t="n"/>
      <c r="E4629" s="90" t="n"/>
      <c r="F4629" s="16" t="n"/>
      <c r="G4629" s="16" t="n"/>
      <c r="H4629" s="63" t="n"/>
      <c r="I4629" s="64" t="n"/>
      <c r="J4629" s="16" t="n"/>
      <c r="K4629" s="16" t="n"/>
      <c r="M4629" s="89" t="n"/>
      <c r="N4629" s="1" t="n"/>
      <c r="O4629" s="1" t="n"/>
      <c r="P4629" s="1" t="n"/>
      <c r="Q4629" s="1" t="n"/>
      <c r="R4629" s="1" t="n"/>
    </row>
    <row r="4630">
      <c r="A4630" s="61" t="n"/>
      <c r="B4630" s="16" t="n"/>
      <c r="C4630" s="90" t="n"/>
      <c r="D4630" s="90" t="n"/>
      <c r="E4630" s="90" t="n"/>
      <c r="F4630" s="16" t="n"/>
      <c r="G4630" s="16" t="n"/>
      <c r="H4630" s="63" t="n"/>
      <c r="I4630" s="64" t="n"/>
      <c r="J4630" s="16" t="n"/>
      <c r="K4630" s="16" t="n"/>
      <c r="M4630" s="89" t="n"/>
      <c r="N4630" s="1" t="n"/>
      <c r="O4630" s="1" t="n"/>
      <c r="P4630" s="1" t="n"/>
      <c r="Q4630" s="1" t="n"/>
      <c r="R4630" s="1" t="n"/>
    </row>
    <row r="4631">
      <c r="A4631" s="61" t="n"/>
      <c r="B4631" s="16" t="n"/>
      <c r="C4631" s="90" t="n"/>
      <c r="D4631" s="90" t="n"/>
      <c r="E4631" s="90" t="n"/>
      <c r="F4631" s="16" t="n"/>
      <c r="G4631" s="16" t="n"/>
      <c r="H4631" s="63" t="n"/>
      <c r="I4631" s="64" t="n"/>
      <c r="J4631" s="16" t="n"/>
      <c r="K4631" s="16" t="n"/>
      <c r="M4631" s="89" t="n"/>
      <c r="N4631" s="1" t="n"/>
      <c r="O4631" s="1" t="n"/>
      <c r="P4631" s="1" t="n"/>
      <c r="Q4631" s="1" t="n"/>
      <c r="R4631" s="1" t="n"/>
    </row>
    <row r="4632">
      <c r="A4632" s="61" t="n"/>
      <c r="B4632" s="16" t="n"/>
      <c r="C4632" s="90" t="n"/>
      <c r="D4632" s="90" t="n"/>
      <c r="E4632" s="90" t="n"/>
      <c r="F4632" s="16" t="n"/>
      <c r="G4632" s="16" t="n"/>
      <c r="H4632" s="63" t="n"/>
      <c r="I4632" s="64" t="n"/>
      <c r="J4632" s="16" t="n"/>
      <c r="K4632" s="16" t="n"/>
      <c r="M4632" s="89" t="n"/>
      <c r="N4632" s="1" t="n"/>
      <c r="O4632" s="1" t="n"/>
      <c r="P4632" s="1" t="n"/>
      <c r="Q4632" s="1" t="n"/>
      <c r="R4632" s="1" t="n"/>
    </row>
    <row r="4633">
      <c r="A4633" s="61" t="n"/>
      <c r="B4633" s="16" t="n"/>
      <c r="C4633" s="90" t="n"/>
      <c r="D4633" s="90" t="n"/>
      <c r="E4633" s="90" t="n"/>
      <c r="F4633" s="16" t="n"/>
      <c r="G4633" s="16" t="n"/>
      <c r="H4633" s="63" t="n"/>
      <c r="I4633" s="64" t="n"/>
      <c r="J4633" s="16" t="n"/>
      <c r="K4633" s="16" t="n"/>
      <c r="M4633" s="89" t="n"/>
      <c r="N4633" s="1" t="n"/>
      <c r="O4633" s="1" t="n"/>
      <c r="P4633" s="1" t="n"/>
      <c r="Q4633" s="1" t="n"/>
      <c r="R4633" s="1" t="n"/>
    </row>
    <row r="4634">
      <c r="A4634" s="61" t="n"/>
      <c r="B4634" s="16" t="n"/>
      <c r="C4634" s="90" t="n"/>
      <c r="D4634" s="90" t="n"/>
      <c r="E4634" s="90" t="n"/>
      <c r="F4634" s="16" t="n"/>
      <c r="G4634" s="16" t="n"/>
      <c r="H4634" s="63" t="n"/>
      <c r="I4634" s="64" t="n"/>
      <c r="J4634" s="16" t="n"/>
      <c r="K4634" s="16" t="n"/>
      <c r="M4634" s="89" t="n"/>
      <c r="N4634" s="1" t="n"/>
      <c r="O4634" s="1" t="n"/>
      <c r="P4634" s="1" t="n"/>
      <c r="Q4634" s="1" t="n"/>
      <c r="R4634" s="1" t="n"/>
    </row>
    <row r="4635">
      <c r="A4635" s="61" t="n"/>
      <c r="B4635" s="16" t="n"/>
      <c r="C4635" s="90" t="n"/>
      <c r="D4635" s="90" t="n"/>
      <c r="E4635" s="90" t="n"/>
      <c r="F4635" s="16" t="n"/>
      <c r="G4635" s="16" t="n"/>
      <c r="H4635" s="63" t="n"/>
      <c r="I4635" s="64" t="n"/>
      <c r="J4635" s="16" t="n"/>
      <c r="K4635" s="16" t="n"/>
      <c r="M4635" s="89" t="n"/>
      <c r="N4635" s="1" t="n"/>
      <c r="O4635" s="1" t="n"/>
      <c r="P4635" s="1" t="n"/>
      <c r="Q4635" s="1" t="n"/>
      <c r="R4635" s="1" t="n"/>
    </row>
    <row r="4636">
      <c r="A4636" s="61" t="n"/>
      <c r="B4636" s="16" t="n"/>
      <c r="C4636" s="90" t="n"/>
      <c r="D4636" s="90" t="n"/>
      <c r="E4636" s="90" t="n"/>
      <c r="F4636" s="16" t="n"/>
      <c r="G4636" s="16" t="n"/>
      <c r="H4636" s="63" t="n"/>
      <c r="I4636" s="64" t="n"/>
      <c r="J4636" s="16" t="n"/>
      <c r="K4636" s="16" t="n"/>
      <c r="M4636" s="89" t="n"/>
      <c r="N4636" s="1" t="n"/>
      <c r="O4636" s="1" t="n"/>
      <c r="P4636" s="1" t="n"/>
      <c r="Q4636" s="1" t="n"/>
      <c r="R4636" s="1" t="n"/>
    </row>
    <row r="4637">
      <c r="A4637" s="61" t="n"/>
      <c r="B4637" s="16" t="n"/>
      <c r="C4637" s="90" t="n"/>
      <c r="D4637" s="90" t="n"/>
      <c r="E4637" s="90" t="n"/>
      <c r="F4637" s="16" t="n"/>
      <c r="G4637" s="16" t="n"/>
      <c r="H4637" s="63" t="n"/>
      <c r="I4637" s="64" t="n"/>
      <c r="J4637" s="16" t="n"/>
      <c r="K4637" s="16" t="n"/>
      <c r="M4637" s="89" t="n"/>
      <c r="N4637" s="1" t="n"/>
      <c r="O4637" s="1" t="n"/>
      <c r="P4637" s="1" t="n"/>
      <c r="Q4637" s="1" t="n"/>
      <c r="R4637" s="1" t="n"/>
    </row>
    <row r="4638">
      <c r="A4638" s="61" t="n"/>
      <c r="B4638" s="16" t="n"/>
      <c r="C4638" s="90" t="n"/>
      <c r="D4638" s="90" t="n"/>
      <c r="E4638" s="90" t="n"/>
      <c r="F4638" s="16" t="n"/>
      <c r="G4638" s="16" t="n"/>
      <c r="H4638" s="63" t="n"/>
      <c r="I4638" s="64" t="n"/>
      <c r="J4638" s="16" t="n"/>
      <c r="K4638" s="16" t="n"/>
      <c r="M4638" s="89" t="n"/>
      <c r="N4638" s="1" t="n"/>
      <c r="O4638" s="1" t="n"/>
      <c r="P4638" s="1" t="n"/>
      <c r="Q4638" s="1" t="n"/>
      <c r="R4638" s="1" t="n"/>
    </row>
    <row r="4639">
      <c r="A4639" s="61" t="n"/>
      <c r="B4639" s="16" t="n"/>
      <c r="C4639" s="90" t="n"/>
      <c r="D4639" s="90" t="n"/>
      <c r="E4639" s="90" t="n"/>
      <c r="F4639" s="16" t="n"/>
      <c r="G4639" s="16" t="n"/>
      <c r="H4639" s="63" t="n"/>
      <c r="I4639" s="64" t="n"/>
      <c r="J4639" s="16" t="n"/>
      <c r="K4639" s="16" t="n"/>
      <c r="M4639" s="89" t="n"/>
      <c r="N4639" s="1" t="n"/>
      <c r="O4639" s="1" t="n"/>
      <c r="P4639" s="1" t="n"/>
      <c r="Q4639" s="1" t="n"/>
      <c r="R4639" s="1" t="n"/>
    </row>
    <row r="4640">
      <c r="A4640" s="61" t="n"/>
      <c r="B4640" s="16" t="n"/>
      <c r="C4640" s="90" t="n"/>
      <c r="D4640" s="90" t="n"/>
      <c r="E4640" s="90" t="n"/>
      <c r="F4640" s="16" t="n"/>
      <c r="G4640" s="16" t="n"/>
      <c r="H4640" s="63" t="n"/>
      <c r="I4640" s="64" t="n"/>
      <c r="J4640" s="16" t="n"/>
      <c r="K4640" s="16" t="n"/>
      <c r="M4640" s="89" t="n"/>
      <c r="N4640" s="1" t="n"/>
      <c r="O4640" s="1" t="n"/>
      <c r="P4640" s="1" t="n"/>
      <c r="Q4640" s="1" t="n"/>
      <c r="R4640" s="1" t="n"/>
    </row>
    <row r="4641">
      <c r="A4641" s="61" t="n"/>
      <c r="B4641" s="16" t="n"/>
      <c r="C4641" s="90" t="n"/>
      <c r="D4641" s="90" t="n"/>
      <c r="E4641" s="90" t="n"/>
      <c r="F4641" s="16" t="n"/>
      <c r="G4641" s="16" t="n"/>
      <c r="H4641" s="63" t="n"/>
      <c r="I4641" s="64" t="n"/>
      <c r="J4641" s="16" t="n"/>
      <c r="K4641" s="16" t="n"/>
      <c r="M4641" s="89" t="n"/>
      <c r="N4641" s="1" t="n"/>
      <c r="O4641" s="1" t="n"/>
      <c r="P4641" s="1" t="n"/>
      <c r="Q4641" s="1" t="n"/>
      <c r="R4641" s="1" t="n"/>
    </row>
    <row r="4642">
      <c r="A4642" s="61" t="n"/>
      <c r="B4642" s="16" t="n"/>
      <c r="C4642" s="90" t="n"/>
      <c r="D4642" s="90" t="n"/>
      <c r="E4642" s="90" t="n"/>
      <c r="F4642" s="16" t="n"/>
      <c r="G4642" s="16" t="n"/>
      <c r="H4642" s="63" t="n"/>
      <c r="I4642" s="64" t="n"/>
      <c r="J4642" s="16" t="n"/>
      <c r="K4642" s="16" t="n"/>
      <c r="M4642" s="89" t="n"/>
      <c r="N4642" s="1" t="n"/>
      <c r="O4642" s="1" t="n"/>
      <c r="P4642" s="1" t="n"/>
      <c r="Q4642" s="1" t="n"/>
      <c r="R4642" s="1" t="n"/>
    </row>
    <row r="4643">
      <c r="A4643" s="61" t="n"/>
      <c r="B4643" s="16" t="n"/>
      <c r="C4643" s="90" t="n"/>
      <c r="D4643" s="90" t="n"/>
      <c r="E4643" s="90" t="n"/>
      <c r="F4643" s="16" t="n"/>
      <c r="G4643" s="16" t="n"/>
      <c r="H4643" s="63" t="n"/>
      <c r="I4643" s="64" t="n"/>
      <c r="J4643" s="16" t="n"/>
      <c r="K4643" s="16" t="n"/>
      <c r="M4643" s="89" t="n"/>
      <c r="N4643" s="1" t="n"/>
      <c r="O4643" s="1" t="n"/>
      <c r="P4643" s="1" t="n"/>
      <c r="Q4643" s="1" t="n"/>
      <c r="R4643" s="1" t="n"/>
    </row>
    <row r="4644">
      <c r="A4644" s="61" t="n"/>
      <c r="B4644" s="16" t="n"/>
      <c r="C4644" s="90" t="n"/>
      <c r="D4644" s="90" t="n"/>
      <c r="E4644" s="90" t="n"/>
      <c r="F4644" s="16" t="n"/>
      <c r="G4644" s="16" t="n"/>
      <c r="H4644" s="63" t="n"/>
      <c r="I4644" s="64" t="n"/>
      <c r="J4644" s="16" t="n"/>
      <c r="K4644" s="16" t="n"/>
      <c r="M4644" s="89" t="n"/>
      <c r="N4644" s="1" t="n"/>
      <c r="O4644" s="1" t="n"/>
      <c r="P4644" s="1" t="n"/>
      <c r="Q4644" s="1" t="n"/>
      <c r="R4644" s="1" t="n"/>
    </row>
    <row r="4645">
      <c r="A4645" s="61" t="n"/>
      <c r="B4645" s="16" t="n"/>
      <c r="C4645" s="90" t="n"/>
      <c r="D4645" s="90" t="n"/>
      <c r="E4645" s="90" t="n"/>
      <c r="F4645" s="16" t="n"/>
      <c r="G4645" s="16" t="n"/>
      <c r="H4645" s="63" t="n"/>
      <c r="I4645" s="64" t="n"/>
      <c r="J4645" s="16" t="n"/>
      <c r="K4645" s="16" t="n"/>
      <c r="M4645" s="89" t="n"/>
      <c r="N4645" s="1" t="n"/>
      <c r="O4645" s="1" t="n"/>
      <c r="P4645" s="1" t="n"/>
      <c r="Q4645" s="1" t="n"/>
      <c r="R4645" s="1" t="n"/>
    </row>
    <row r="4646">
      <c r="A4646" s="61" t="n"/>
      <c r="B4646" s="16" t="n"/>
      <c r="C4646" s="90" t="n"/>
      <c r="D4646" s="90" t="n"/>
      <c r="E4646" s="90" t="n"/>
      <c r="F4646" s="16" t="n"/>
      <c r="G4646" s="16" t="n"/>
      <c r="H4646" s="63" t="n"/>
      <c r="I4646" s="64" t="n"/>
      <c r="J4646" s="16" t="n"/>
      <c r="K4646" s="16" t="n"/>
      <c r="M4646" s="89" t="n"/>
      <c r="N4646" s="1" t="n"/>
      <c r="O4646" s="1" t="n"/>
      <c r="P4646" s="1" t="n"/>
      <c r="Q4646" s="1" t="n"/>
      <c r="R4646" s="1" t="n"/>
    </row>
    <row r="4647">
      <c r="A4647" s="61" t="n"/>
      <c r="B4647" s="16" t="n"/>
      <c r="C4647" s="90" t="n"/>
      <c r="D4647" s="90" t="n"/>
      <c r="E4647" s="90" t="n"/>
      <c r="F4647" s="16" t="n"/>
      <c r="G4647" s="16" t="n"/>
      <c r="H4647" s="63" t="n"/>
      <c r="I4647" s="64" t="n"/>
      <c r="J4647" s="16" t="n"/>
      <c r="K4647" s="16" t="n"/>
      <c r="M4647" s="89" t="n"/>
      <c r="N4647" s="1" t="n"/>
      <c r="O4647" s="1" t="n"/>
      <c r="P4647" s="1" t="n"/>
      <c r="Q4647" s="1" t="n"/>
      <c r="R4647" s="1" t="n"/>
    </row>
    <row r="4648">
      <c r="A4648" s="61" t="n"/>
      <c r="B4648" s="16" t="n"/>
      <c r="C4648" s="90" t="n"/>
      <c r="D4648" s="90" t="n"/>
      <c r="E4648" s="90" t="n"/>
      <c r="F4648" s="16" t="n"/>
      <c r="G4648" s="16" t="n"/>
      <c r="H4648" s="63" t="n"/>
      <c r="I4648" s="64" t="n"/>
      <c r="J4648" s="16" t="n"/>
      <c r="K4648" s="16" t="n"/>
      <c r="M4648" s="89" t="n"/>
      <c r="N4648" s="1" t="n"/>
      <c r="O4648" s="1" t="n"/>
      <c r="P4648" s="1" t="n"/>
      <c r="Q4648" s="1" t="n"/>
      <c r="R4648" s="1" t="n"/>
    </row>
    <row r="4649">
      <c r="A4649" s="61" t="n"/>
      <c r="B4649" s="16" t="n"/>
      <c r="C4649" s="90" t="n"/>
      <c r="D4649" s="90" t="n"/>
      <c r="E4649" s="90" t="n"/>
      <c r="F4649" s="16" t="n"/>
      <c r="G4649" s="16" t="n"/>
      <c r="H4649" s="63" t="n"/>
      <c r="I4649" s="64" t="n"/>
      <c r="J4649" s="16" t="n"/>
      <c r="K4649" s="16" t="n"/>
      <c r="M4649" s="89" t="n"/>
      <c r="N4649" s="1" t="n"/>
      <c r="O4649" s="1" t="n"/>
      <c r="P4649" s="1" t="n"/>
      <c r="Q4649" s="1" t="n"/>
      <c r="R4649" s="1" t="n"/>
    </row>
    <row r="4650">
      <c r="A4650" s="61" t="n"/>
      <c r="B4650" s="16" t="n"/>
      <c r="C4650" s="90" t="n"/>
      <c r="D4650" s="90" t="n"/>
      <c r="E4650" s="90" t="n"/>
      <c r="F4650" s="16" t="n"/>
      <c r="G4650" s="16" t="n"/>
      <c r="H4650" s="63" t="n"/>
      <c r="I4650" s="64" t="n"/>
      <c r="J4650" s="16" t="n"/>
      <c r="K4650" s="16" t="n"/>
      <c r="M4650" s="89" t="n"/>
      <c r="N4650" s="1" t="n"/>
      <c r="O4650" s="1" t="n"/>
      <c r="P4650" s="1" t="n"/>
      <c r="Q4650" s="1" t="n"/>
      <c r="R4650" s="1" t="n"/>
    </row>
    <row r="4651">
      <c r="A4651" s="61" t="n"/>
      <c r="B4651" s="16" t="n"/>
      <c r="C4651" s="90" t="n"/>
      <c r="D4651" s="90" t="n"/>
      <c r="E4651" s="90" t="n"/>
      <c r="F4651" s="16" t="n"/>
      <c r="G4651" s="16" t="n"/>
      <c r="H4651" s="63" t="n"/>
      <c r="I4651" s="64" t="n"/>
      <c r="J4651" s="16" t="n"/>
      <c r="K4651" s="16" t="n"/>
      <c r="M4651" s="89" t="n"/>
      <c r="N4651" s="1" t="n"/>
      <c r="O4651" s="1" t="n"/>
      <c r="P4651" s="1" t="n"/>
      <c r="Q4651" s="1" t="n"/>
      <c r="R4651" s="1" t="n"/>
    </row>
    <row r="4652">
      <c r="A4652" s="61" t="n"/>
      <c r="B4652" s="16" t="n"/>
      <c r="C4652" s="90" t="n"/>
      <c r="D4652" s="90" t="n"/>
      <c r="E4652" s="90" t="n"/>
      <c r="F4652" s="16" t="n"/>
      <c r="G4652" s="16" t="n"/>
      <c r="H4652" s="63" t="n"/>
      <c r="I4652" s="64" t="n"/>
      <c r="J4652" s="16" t="n"/>
      <c r="K4652" s="16" t="n"/>
      <c r="M4652" s="89" t="n"/>
      <c r="N4652" s="1" t="n"/>
      <c r="O4652" s="1" t="n"/>
      <c r="P4652" s="1" t="n"/>
      <c r="Q4652" s="1" t="n"/>
      <c r="R4652" s="1" t="n"/>
    </row>
    <row r="4653">
      <c r="A4653" s="61" t="n"/>
      <c r="B4653" s="16" t="n"/>
      <c r="C4653" s="90" t="n"/>
      <c r="D4653" s="90" t="n"/>
      <c r="E4653" s="90" t="n"/>
      <c r="F4653" s="16" t="n"/>
      <c r="G4653" s="16" t="n"/>
      <c r="H4653" s="63" t="n"/>
      <c r="I4653" s="64" t="n"/>
      <c r="J4653" s="16" t="n"/>
      <c r="K4653" s="16" t="n"/>
      <c r="M4653" s="89" t="n"/>
      <c r="N4653" s="1" t="n"/>
      <c r="O4653" s="1" t="n"/>
      <c r="P4653" s="1" t="n"/>
      <c r="Q4653" s="1" t="n"/>
      <c r="R4653" s="1" t="n"/>
    </row>
    <row r="4654">
      <c r="A4654" s="61" t="n"/>
      <c r="B4654" s="16" t="n"/>
      <c r="C4654" s="90" t="n"/>
      <c r="D4654" s="90" t="n"/>
      <c r="E4654" s="90" t="n"/>
      <c r="F4654" s="16" t="n"/>
      <c r="G4654" s="16" t="n"/>
      <c r="H4654" s="63" t="n"/>
      <c r="I4654" s="64" t="n"/>
      <c r="J4654" s="16" t="n"/>
      <c r="K4654" s="16" t="n"/>
      <c r="M4654" s="89" t="n"/>
      <c r="N4654" s="1" t="n"/>
      <c r="O4654" s="1" t="n"/>
      <c r="P4654" s="1" t="n"/>
      <c r="Q4654" s="1" t="n"/>
      <c r="R4654" s="1" t="n"/>
    </row>
    <row r="4655">
      <c r="A4655" s="61" t="n"/>
      <c r="B4655" s="16" t="n"/>
      <c r="C4655" s="90" t="n"/>
      <c r="D4655" s="90" t="n"/>
      <c r="E4655" s="90" t="n"/>
      <c r="F4655" s="16" t="n"/>
      <c r="G4655" s="16" t="n"/>
      <c r="H4655" s="63" t="n"/>
      <c r="I4655" s="64" t="n"/>
      <c r="J4655" s="16" t="n"/>
      <c r="K4655" s="16" t="n"/>
      <c r="M4655" s="89" t="n"/>
      <c r="N4655" s="1" t="n"/>
      <c r="O4655" s="1" t="n"/>
      <c r="P4655" s="1" t="n"/>
      <c r="Q4655" s="1" t="n"/>
      <c r="R4655" s="1" t="n"/>
    </row>
    <row r="4656">
      <c r="A4656" s="61" t="n"/>
      <c r="B4656" s="16" t="n"/>
      <c r="C4656" s="90" t="n"/>
      <c r="D4656" s="90" t="n"/>
      <c r="E4656" s="90" t="n"/>
      <c r="F4656" s="16" t="n"/>
      <c r="G4656" s="16" t="n"/>
      <c r="H4656" s="63" t="n"/>
      <c r="I4656" s="64" t="n"/>
      <c r="J4656" s="16" t="n"/>
      <c r="K4656" s="16" t="n"/>
      <c r="M4656" s="89" t="n"/>
      <c r="N4656" s="1" t="n"/>
      <c r="O4656" s="1" t="n"/>
      <c r="P4656" s="1" t="n"/>
      <c r="Q4656" s="1" t="n"/>
      <c r="R4656" s="1" t="n"/>
    </row>
    <row r="4657">
      <c r="A4657" s="61" t="n"/>
      <c r="B4657" s="16" t="n"/>
      <c r="C4657" s="90" t="n"/>
      <c r="D4657" s="90" t="n"/>
      <c r="E4657" s="90" t="n"/>
      <c r="F4657" s="16" t="n"/>
      <c r="G4657" s="16" t="n"/>
      <c r="H4657" s="63" t="n"/>
      <c r="I4657" s="64" t="n"/>
      <c r="J4657" s="16" t="n"/>
      <c r="K4657" s="16" t="n"/>
      <c r="M4657" s="89" t="n"/>
      <c r="N4657" s="1" t="n"/>
      <c r="O4657" s="1" t="n"/>
      <c r="P4657" s="1" t="n"/>
      <c r="Q4657" s="1" t="n"/>
      <c r="R4657" s="1" t="n"/>
    </row>
    <row r="4658">
      <c r="A4658" s="61" t="n"/>
      <c r="B4658" s="16" t="n"/>
      <c r="C4658" s="90" t="n"/>
      <c r="D4658" s="90" t="n"/>
      <c r="E4658" s="90" t="n"/>
      <c r="F4658" s="16" t="n"/>
      <c r="G4658" s="16" t="n"/>
      <c r="H4658" s="63" t="n"/>
      <c r="I4658" s="64" t="n"/>
      <c r="J4658" s="16" t="n"/>
      <c r="K4658" s="16" t="n"/>
      <c r="M4658" s="89" t="n"/>
      <c r="N4658" s="1" t="n"/>
      <c r="O4658" s="1" t="n"/>
      <c r="P4658" s="1" t="n"/>
      <c r="Q4658" s="1" t="n"/>
      <c r="R4658" s="1" t="n"/>
    </row>
    <row r="4659">
      <c r="A4659" s="61" t="n"/>
      <c r="B4659" s="16" t="n"/>
      <c r="C4659" s="90" t="n"/>
      <c r="D4659" s="90" t="n"/>
      <c r="E4659" s="90" t="n"/>
      <c r="F4659" s="16" t="n"/>
      <c r="G4659" s="16" t="n"/>
      <c r="H4659" s="63" t="n"/>
      <c r="I4659" s="64" t="n"/>
      <c r="J4659" s="16" t="n"/>
      <c r="K4659" s="16" t="n"/>
      <c r="M4659" s="89" t="n"/>
      <c r="N4659" s="1" t="n"/>
      <c r="O4659" s="1" t="n"/>
      <c r="P4659" s="1" t="n"/>
      <c r="Q4659" s="1" t="n"/>
      <c r="R4659" s="1" t="n"/>
    </row>
    <row r="4660">
      <c r="A4660" s="61" t="n"/>
      <c r="B4660" s="16" t="n"/>
      <c r="C4660" s="90" t="n"/>
      <c r="D4660" s="90" t="n"/>
      <c r="E4660" s="90" t="n"/>
      <c r="F4660" s="16" t="n"/>
      <c r="G4660" s="16" t="n"/>
      <c r="H4660" s="63" t="n"/>
      <c r="I4660" s="64" t="n"/>
      <c r="J4660" s="16" t="n"/>
      <c r="K4660" s="16" t="n"/>
      <c r="M4660" s="89" t="n"/>
      <c r="N4660" s="1" t="n"/>
      <c r="O4660" s="1" t="n"/>
      <c r="P4660" s="1" t="n"/>
      <c r="Q4660" s="1" t="n"/>
      <c r="R4660" s="1" t="n"/>
    </row>
    <row r="4661">
      <c r="A4661" s="61" t="n"/>
      <c r="B4661" s="16" t="n"/>
      <c r="C4661" s="90" t="n"/>
      <c r="D4661" s="90" t="n"/>
      <c r="E4661" s="90" t="n"/>
      <c r="F4661" s="16" t="n"/>
      <c r="G4661" s="16" t="n"/>
      <c r="H4661" s="63" t="n"/>
      <c r="I4661" s="64" t="n"/>
      <c r="J4661" s="16" t="n"/>
      <c r="K4661" s="16" t="n"/>
      <c r="M4661" s="89" t="n"/>
      <c r="N4661" s="1" t="n"/>
      <c r="O4661" s="1" t="n"/>
      <c r="P4661" s="1" t="n"/>
      <c r="Q4661" s="1" t="n"/>
      <c r="R4661" s="1" t="n"/>
    </row>
    <row r="4662">
      <c r="A4662" s="61" t="n"/>
      <c r="B4662" s="16" t="n"/>
      <c r="C4662" s="90" t="n"/>
      <c r="D4662" s="90" t="n"/>
      <c r="E4662" s="90" t="n"/>
      <c r="F4662" s="16" t="n"/>
      <c r="G4662" s="16" t="n"/>
      <c r="H4662" s="63" t="n"/>
      <c r="I4662" s="64" t="n"/>
      <c r="J4662" s="16" t="n"/>
      <c r="K4662" s="16" t="n"/>
      <c r="M4662" s="89" t="n"/>
      <c r="N4662" s="1" t="n"/>
      <c r="O4662" s="1" t="n"/>
      <c r="P4662" s="1" t="n"/>
      <c r="Q4662" s="1" t="n"/>
      <c r="R4662" s="1" t="n"/>
    </row>
    <row r="4663">
      <c r="A4663" s="61" t="n"/>
      <c r="B4663" s="16" t="n"/>
      <c r="C4663" s="90" t="n"/>
      <c r="D4663" s="90" t="n"/>
      <c r="E4663" s="90" t="n"/>
      <c r="F4663" s="16" t="n"/>
      <c r="G4663" s="16" t="n"/>
      <c r="H4663" s="63" t="n"/>
      <c r="I4663" s="64" t="n"/>
      <c r="J4663" s="16" t="n"/>
      <c r="K4663" s="16" t="n"/>
      <c r="M4663" s="89" t="n"/>
      <c r="N4663" s="1" t="n"/>
      <c r="O4663" s="1" t="n"/>
      <c r="P4663" s="1" t="n"/>
      <c r="Q4663" s="1" t="n"/>
      <c r="R4663" s="1" t="n"/>
    </row>
    <row r="4664">
      <c r="A4664" s="61" t="n"/>
      <c r="B4664" s="16" t="n"/>
      <c r="C4664" s="90" t="n"/>
      <c r="D4664" s="90" t="n"/>
      <c r="E4664" s="90" t="n"/>
      <c r="F4664" s="16" t="n"/>
      <c r="G4664" s="16" t="n"/>
      <c r="H4664" s="63" t="n"/>
      <c r="I4664" s="64" t="n"/>
      <c r="J4664" s="16" t="n"/>
      <c r="K4664" s="16" t="n"/>
      <c r="M4664" s="89" t="n"/>
      <c r="N4664" s="1" t="n"/>
      <c r="O4664" s="1" t="n"/>
      <c r="P4664" s="1" t="n"/>
      <c r="Q4664" s="1" t="n"/>
      <c r="R4664" s="1" t="n"/>
    </row>
    <row r="4665">
      <c r="A4665" s="61" t="n"/>
      <c r="B4665" s="16" t="n"/>
      <c r="C4665" s="90" t="n"/>
      <c r="D4665" s="90" t="n"/>
      <c r="E4665" s="90" t="n"/>
      <c r="F4665" s="16" t="n"/>
      <c r="G4665" s="16" t="n"/>
      <c r="H4665" s="63" t="n"/>
      <c r="I4665" s="64" t="n"/>
      <c r="J4665" s="16" t="n"/>
      <c r="K4665" s="16" t="n"/>
      <c r="M4665" s="89" t="n"/>
      <c r="N4665" s="1" t="n"/>
      <c r="O4665" s="1" t="n"/>
      <c r="P4665" s="1" t="n"/>
      <c r="Q4665" s="1" t="n"/>
      <c r="R4665" s="1" t="n"/>
    </row>
    <row r="4666">
      <c r="A4666" s="61" t="n"/>
      <c r="B4666" s="16" t="n"/>
      <c r="C4666" s="90" t="n"/>
      <c r="D4666" s="90" t="n"/>
      <c r="E4666" s="90" t="n"/>
      <c r="F4666" s="16" t="n"/>
      <c r="G4666" s="16" t="n"/>
      <c r="H4666" s="63" t="n"/>
      <c r="I4666" s="64" t="n"/>
      <c r="J4666" s="16" t="n"/>
      <c r="K4666" s="16" t="n"/>
      <c r="M4666" s="89" t="n"/>
      <c r="N4666" s="1" t="n"/>
      <c r="O4666" s="1" t="n"/>
      <c r="P4666" s="1" t="n"/>
      <c r="Q4666" s="1" t="n"/>
      <c r="R4666" s="1" t="n"/>
    </row>
    <row r="4667">
      <c r="A4667" s="61" t="n"/>
      <c r="B4667" s="16" t="n"/>
      <c r="C4667" s="90" t="n"/>
      <c r="D4667" s="90" t="n"/>
      <c r="E4667" s="90" t="n"/>
      <c r="F4667" s="16" t="n"/>
      <c r="G4667" s="16" t="n"/>
      <c r="H4667" s="63" t="n"/>
      <c r="I4667" s="64" t="n"/>
      <c r="J4667" s="16" t="n"/>
      <c r="K4667" s="16" t="n"/>
      <c r="M4667" s="89" t="n"/>
      <c r="N4667" s="1" t="n"/>
      <c r="O4667" s="1" t="n"/>
      <c r="P4667" s="1" t="n"/>
      <c r="Q4667" s="1" t="n"/>
      <c r="R4667" s="1" t="n"/>
    </row>
    <row r="4668">
      <c r="A4668" s="61" t="n"/>
      <c r="B4668" s="16" t="n"/>
      <c r="C4668" s="90" t="n"/>
      <c r="D4668" s="90" t="n"/>
      <c r="E4668" s="90" t="n"/>
      <c r="F4668" s="16" t="n"/>
      <c r="G4668" s="16" t="n"/>
      <c r="H4668" s="63" t="n"/>
      <c r="I4668" s="64" t="n"/>
      <c r="J4668" s="16" t="n"/>
      <c r="K4668" s="16" t="n"/>
      <c r="M4668" s="89" t="n"/>
      <c r="N4668" s="1" t="n"/>
      <c r="O4668" s="1" t="n"/>
      <c r="P4668" s="1" t="n"/>
      <c r="Q4668" s="1" t="n"/>
      <c r="R4668" s="1" t="n"/>
    </row>
    <row r="4669">
      <c r="A4669" s="61" t="n"/>
      <c r="B4669" s="16" t="n"/>
      <c r="C4669" s="90" t="n"/>
      <c r="D4669" s="90" t="n"/>
      <c r="E4669" s="90" t="n"/>
      <c r="F4669" s="16" t="n"/>
      <c r="G4669" s="16" t="n"/>
      <c r="H4669" s="63" t="n"/>
      <c r="I4669" s="64" t="n"/>
      <c r="J4669" s="16" t="n"/>
      <c r="K4669" s="16" t="n"/>
      <c r="M4669" s="89" t="n"/>
      <c r="N4669" s="1" t="n"/>
      <c r="O4669" s="1" t="n"/>
      <c r="P4669" s="1" t="n"/>
      <c r="Q4669" s="1" t="n"/>
      <c r="R4669" s="1" t="n"/>
    </row>
    <row r="4670">
      <c r="A4670" s="61" t="n"/>
      <c r="B4670" s="16" t="n"/>
      <c r="C4670" s="90" t="n"/>
      <c r="D4670" s="90" t="n"/>
      <c r="E4670" s="90" t="n"/>
      <c r="F4670" s="16" t="n"/>
      <c r="G4670" s="16" t="n"/>
      <c r="H4670" s="63" t="n"/>
      <c r="I4670" s="64" t="n"/>
      <c r="J4670" s="16" t="n"/>
      <c r="K4670" s="16" t="n"/>
      <c r="M4670" s="89" t="n"/>
      <c r="N4670" s="1" t="n"/>
      <c r="O4670" s="1" t="n"/>
      <c r="P4670" s="1" t="n"/>
      <c r="Q4670" s="1" t="n"/>
      <c r="R4670" s="1" t="n"/>
    </row>
    <row r="4671">
      <c r="A4671" s="61" t="n"/>
      <c r="B4671" s="16" t="n"/>
      <c r="C4671" s="90" t="n"/>
      <c r="D4671" s="90" t="n"/>
      <c r="E4671" s="90" t="n"/>
      <c r="F4671" s="16" t="n"/>
      <c r="G4671" s="16" t="n"/>
      <c r="H4671" s="63" t="n"/>
      <c r="I4671" s="64" t="n"/>
      <c r="J4671" s="16" t="n"/>
      <c r="K4671" s="16" t="n"/>
      <c r="M4671" s="89" t="n"/>
      <c r="N4671" s="1" t="n"/>
      <c r="O4671" s="1" t="n"/>
      <c r="P4671" s="1" t="n"/>
      <c r="Q4671" s="1" t="n"/>
      <c r="R4671" s="1" t="n"/>
    </row>
    <row r="4672">
      <c r="A4672" s="61" t="n"/>
      <c r="B4672" s="16" t="n"/>
      <c r="C4672" s="90" t="n"/>
      <c r="D4672" s="90" t="n"/>
      <c r="E4672" s="90" t="n"/>
      <c r="F4672" s="16" t="n"/>
      <c r="G4672" s="16" t="n"/>
      <c r="H4672" s="63" t="n"/>
      <c r="I4672" s="64" t="n"/>
      <c r="J4672" s="16" t="n"/>
      <c r="K4672" s="16" t="n"/>
      <c r="M4672" s="89" t="n"/>
      <c r="N4672" s="1" t="n"/>
      <c r="O4672" s="1" t="n"/>
      <c r="P4672" s="1" t="n"/>
      <c r="Q4672" s="1" t="n"/>
      <c r="R4672" s="1" t="n"/>
    </row>
    <row r="4673">
      <c r="A4673" s="61" t="n"/>
      <c r="B4673" s="16" t="n"/>
      <c r="C4673" s="90" t="n"/>
      <c r="D4673" s="90" t="n"/>
      <c r="E4673" s="90" t="n"/>
      <c r="F4673" s="16" t="n"/>
      <c r="G4673" s="16" t="n"/>
      <c r="H4673" s="63" t="n"/>
      <c r="I4673" s="64" t="n"/>
      <c r="J4673" s="16" t="n"/>
      <c r="K4673" s="16" t="n"/>
      <c r="M4673" s="89" t="n"/>
      <c r="N4673" s="1" t="n"/>
      <c r="O4673" s="1" t="n"/>
      <c r="P4673" s="1" t="n"/>
      <c r="Q4673" s="1" t="n"/>
      <c r="R4673" s="1" t="n"/>
    </row>
    <row r="4674">
      <c r="A4674" s="61" t="n"/>
      <c r="B4674" s="16" t="n"/>
      <c r="C4674" s="90" t="n"/>
      <c r="D4674" s="90" t="n"/>
      <c r="E4674" s="90" t="n"/>
      <c r="F4674" s="16" t="n"/>
      <c r="G4674" s="16" t="n"/>
      <c r="H4674" s="63" t="n"/>
      <c r="I4674" s="64" t="n"/>
      <c r="J4674" s="16" t="n"/>
      <c r="K4674" s="16" t="n"/>
      <c r="M4674" s="89" t="n"/>
      <c r="N4674" s="1" t="n"/>
      <c r="O4674" s="1" t="n"/>
      <c r="P4674" s="1" t="n"/>
      <c r="Q4674" s="1" t="n"/>
      <c r="R4674" s="1" t="n"/>
    </row>
    <row r="4675">
      <c r="A4675" s="61" t="n"/>
      <c r="B4675" s="16" t="n"/>
      <c r="C4675" s="90" t="n"/>
      <c r="D4675" s="90" t="n"/>
      <c r="E4675" s="90" t="n"/>
      <c r="F4675" s="16" t="n"/>
      <c r="G4675" s="16" t="n"/>
      <c r="H4675" s="63" t="n"/>
      <c r="I4675" s="64" t="n"/>
      <c r="J4675" s="16" t="n"/>
      <c r="K4675" s="16" t="n"/>
      <c r="M4675" s="89" t="n"/>
      <c r="N4675" s="1" t="n"/>
      <c r="O4675" s="1" t="n"/>
      <c r="P4675" s="1" t="n"/>
      <c r="Q4675" s="1" t="n"/>
      <c r="R4675" s="1" t="n"/>
    </row>
    <row r="4676">
      <c r="A4676" s="61" t="n"/>
      <c r="B4676" s="16" t="n"/>
      <c r="C4676" s="90" t="n"/>
      <c r="D4676" s="90" t="n"/>
      <c r="E4676" s="90" t="n"/>
      <c r="F4676" s="16" t="n"/>
      <c r="G4676" s="16" t="n"/>
      <c r="H4676" s="63" t="n"/>
      <c r="I4676" s="64" t="n"/>
      <c r="J4676" s="16" t="n"/>
      <c r="K4676" s="16" t="n"/>
      <c r="M4676" s="89" t="n"/>
      <c r="N4676" s="1" t="n"/>
      <c r="O4676" s="1" t="n"/>
      <c r="P4676" s="1" t="n"/>
      <c r="Q4676" s="1" t="n"/>
      <c r="R4676" s="1" t="n"/>
    </row>
    <row r="4677">
      <c r="A4677" s="61" t="n"/>
      <c r="B4677" s="16" t="n"/>
      <c r="C4677" s="90" t="n"/>
      <c r="D4677" s="90" t="n"/>
      <c r="E4677" s="90" t="n"/>
      <c r="F4677" s="16" t="n"/>
      <c r="G4677" s="16" t="n"/>
      <c r="H4677" s="63" t="n"/>
      <c r="I4677" s="64" t="n"/>
      <c r="J4677" s="16" t="n"/>
      <c r="K4677" s="16" t="n"/>
      <c r="M4677" s="89" t="n"/>
      <c r="N4677" s="1" t="n"/>
      <c r="O4677" s="1" t="n"/>
      <c r="P4677" s="1" t="n"/>
      <c r="Q4677" s="1" t="n"/>
      <c r="R4677" s="1" t="n"/>
    </row>
    <row r="4678">
      <c r="A4678" s="61" t="n"/>
      <c r="B4678" s="16" t="n"/>
      <c r="C4678" s="90" t="n"/>
      <c r="D4678" s="90" t="n"/>
      <c r="E4678" s="90" t="n"/>
      <c r="F4678" s="16" t="n"/>
      <c r="G4678" s="16" t="n"/>
      <c r="H4678" s="63" t="n"/>
      <c r="I4678" s="64" t="n"/>
      <c r="J4678" s="16" t="n"/>
      <c r="K4678" s="16" t="n"/>
      <c r="M4678" s="89" t="n"/>
      <c r="N4678" s="1" t="n"/>
      <c r="O4678" s="1" t="n"/>
      <c r="P4678" s="1" t="n"/>
      <c r="Q4678" s="1" t="n"/>
      <c r="R4678" s="1" t="n"/>
    </row>
    <row r="4679">
      <c r="A4679" s="61" t="n"/>
      <c r="B4679" s="16" t="n"/>
      <c r="C4679" s="90" t="n"/>
      <c r="D4679" s="90" t="n"/>
      <c r="E4679" s="90" t="n"/>
      <c r="F4679" s="16" t="n"/>
      <c r="G4679" s="16" t="n"/>
      <c r="H4679" s="63" t="n"/>
      <c r="I4679" s="64" t="n"/>
      <c r="J4679" s="16" t="n"/>
      <c r="K4679" s="16" t="n"/>
      <c r="M4679" s="89" t="n"/>
      <c r="N4679" s="1" t="n"/>
      <c r="O4679" s="1" t="n"/>
      <c r="P4679" s="1" t="n"/>
      <c r="Q4679" s="1" t="n"/>
      <c r="R4679" s="1" t="n"/>
    </row>
    <row r="4680">
      <c r="A4680" s="61" t="n"/>
      <c r="B4680" s="16" t="n"/>
      <c r="C4680" s="90" t="n"/>
      <c r="D4680" s="90" t="n"/>
      <c r="E4680" s="90" t="n"/>
      <c r="F4680" s="16" t="n"/>
      <c r="G4680" s="16" t="n"/>
      <c r="H4680" s="63" t="n"/>
      <c r="I4680" s="64" t="n"/>
      <c r="J4680" s="16" t="n"/>
      <c r="K4680" s="16" t="n"/>
      <c r="M4680" s="89" t="n"/>
      <c r="N4680" s="1" t="n"/>
      <c r="O4680" s="1" t="n"/>
      <c r="P4680" s="1" t="n"/>
      <c r="Q4680" s="1" t="n"/>
      <c r="R4680" s="1" t="n"/>
    </row>
    <row r="4681">
      <c r="A4681" s="61" t="n"/>
      <c r="B4681" s="16" t="n"/>
      <c r="C4681" s="90" t="n"/>
      <c r="D4681" s="90" t="n"/>
      <c r="E4681" s="90" t="n"/>
      <c r="F4681" s="16" t="n"/>
      <c r="G4681" s="16" t="n"/>
      <c r="H4681" s="63" t="n"/>
      <c r="I4681" s="64" t="n"/>
      <c r="J4681" s="16" t="n"/>
      <c r="K4681" s="16" t="n"/>
      <c r="M4681" s="89" t="n"/>
      <c r="N4681" s="1" t="n"/>
      <c r="O4681" s="1" t="n"/>
      <c r="P4681" s="1" t="n"/>
      <c r="Q4681" s="1" t="n"/>
      <c r="R4681" s="1" t="n"/>
    </row>
    <row r="4682">
      <c r="A4682" s="61" t="n"/>
      <c r="B4682" s="16" t="n"/>
      <c r="C4682" s="90" t="n"/>
      <c r="D4682" s="90" t="n"/>
      <c r="E4682" s="90" t="n"/>
      <c r="F4682" s="16" t="n"/>
      <c r="G4682" s="16" t="n"/>
      <c r="H4682" s="63" t="n"/>
      <c r="I4682" s="64" t="n"/>
      <c r="J4682" s="16" t="n"/>
      <c r="K4682" s="16" t="n"/>
      <c r="M4682" s="89" t="n"/>
      <c r="N4682" s="1" t="n"/>
      <c r="O4682" s="1" t="n"/>
      <c r="P4682" s="1" t="n"/>
      <c r="Q4682" s="1" t="n"/>
      <c r="R4682" s="1" t="n"/>
    </row>
    <row r="4683">
      <c r="A4683" s="61" t="n"/>
      <c r="B4683" s="16" t="n"/>
      <c r="C4683" s="90" t="n"/>
      <c r="D4683" s="90" t="n"/>
      <c r="E4683" s="90" t="n"/>
      <c r="F4683" s="16" t="n"/>
      <c r="G4683" s="16" t="n"/>
      <c r="H4683" s="63" t="n"/>
      <c r="I4683" s="64" t="n"/>
      <c r="J4683" s="16" t="n"/>
      <c r="K4683" s="16" t="n"/>
      <c r="M4683" s="89" t="n"/>
      <c r="N4683" s="1" t="n"/>
      <c r="O4683" s="1" t="n"/>
      <c r="P4683" s="1" t="n"/>
      <c r="Q4683" s="1" t="n"/>
      <c r="R4683" s="1" t="n"/>
    </row>
    <row r="4684">
      <c r="A4684" s="61" t="n"/>
      <c r="B4684" s="16" t="n"/>
      <c r="C4684" s="90" t="n"/>
      <c r="D4684" s="90" t="n"/>
      <c r="E4684" s="90" t="n"/>
      <c r="F4684" s="16" t="n"/>
      <c r="G4684" s="16" t="n"/>
      <c r="H4684" s="63" t="n"/>
      <c r="I4684" s="64" t="n"/>
      <c r="J4684" s="16" t="n"/>
      <c r="K4684" s="16" t="n"/>
      <c r="M4684" s="89" t="n"/>
      <c r="N4684" s="1" t="n"/>
      <c r="O4684" s="1" t="n"/>
      <c r="P4684" s="1" t="n"/>
      <c r="Q4684" s="1" t="n"/>
      <c r="R4684" s="1" t="n"/>
    </row>
    <row r="4685">
      <c r="A4685" s="61" t="n"/>
      <c r="B4685" s="16" t="n"/>
      <c r="C4685" s="90" t="n"/>
      <c r="D4685" s="90" t="n"/>
      <c r="E4685" s="90" t="n"/>
      <c r="F4685" s="16" t="n"/>
      <c r="G4685" s="16" t="n"/>
      <c r="H4685" s="63" t="n"/>
      <c r="I4685" s="64" t="n"/>
      <c r="J4685" s="16" t="n"/>
      <c r="K4685" s="16" t="n"/>
      <c r="M4685" s="89" t="n"/>
      <c r="N4685" s="1" t="n"/>
      <c r="O4685" s="1" t="n"/>
      <c r="P4685" s="1" t="n"/>
      <c r="Q4685" s="1" t="n"/>
      <c r="R4685" s="1" t="n"/>
    </row>
    <row r="4686">
      <c r="A4686" s="61" t="n"/>
      <c r="B4686" s="16" t="n"/>
      <c r="C4686" s="90" t="n"/>
      <c r="D4686" s="90" t="n"/>
      <c r="E4686" s="90" t="n"/>
      <c r="F4686" s="16" t="n"/>
      <c r="G4686" s="16" t="n"/>
      <c r="H4686" s="63" t="n"/>
      <c r="I4686" s="64" t="n"/>
      <c r="J4686" s="16" t="n"/>
      <c r="K4686" s="16" t="n"/>
      <c r="M4686" s="89" t="n"/>
      <c r="N4686" s="1" t="n"/>
      <c r="O4686" s="1" t="n"/>
      <c r="P4686" s="1" t="n"/>
      <c r="Q4686" s="1" t="n"/>
      <c r="R4686" s="1" t="n"/>
    </row>
    <row r="4687">
      <c r="A4687" s="61" t="n"/>
      <c r="B4687" s="16" t="n"/>
      <c r="C4687" s="90" t="n"/>
      <c r="D4687" s="90" t="n"/>
      <c r="E4687" s="90" t="n"/>
      <c r="F4687" s="16" t="n"/>
      <c r="G4687" s="16" t="n"/>
      <c r="H4687" s="63" t="n"/>
      <c r="I4687" s="64" t="n"/>
      <c r="J4687" s="16" t="n"/>
      <c r="K4687" s="16" t="n"/>
      <c r="M4687" s="89" t="n"/>
      <c r="N4687" s="1" t="n"/>
      <c r="O4687" s="1" t="n"/>
      <c r="P4687" s="1" t="n"/>
      <c r="Q4687" s="1" t="n"/>
      <c r="R4687" s="1" t="n"/>
    </row>
    <row r="4688">
      <c r="A4688" s="61" t="n"/>
      <c r="B4688" s="16" t="n"/>
      <c r="C4688" s="90" t="n"/>
      <c r="D4688" s="90" t="n"/>
      <c r="E4688" s="90" t="n"/>
      <c r="F4688" s="16" t="n"/>
      <c r="G4688" s="16" t="n"/>
      <c r="H4688" s="63" t="n"/>
      <c r="I4688" s="64" t="n"/>
      <c r="J4688" s="16" t="n"/>
      <c r="K4688" s="16" t="n"/>
      <c r="M4688" s="89" t="n"/>
      <c r="N4688" s="1" t="n"/>
      <c r="O4688" s="1" t="n"/>
      <c r="P4688" s="1" t="n"/>
      <c r="Q4688" s="1" t="n"/>
      <c r="R4688" s="1" t="n"/>
    </row>
    <row r="4689">
      <c r="A4689" s="61" t="n"/>
      <c r="B4689" s="16" t="n"/>
      <c r="C4689" s="90" t="n"/>
      <c r="D4689" s="90" t="n"/>
      <c r="E4689" s="90" t="n"/>
      <c r="F4689" s="16" t="n"/>
      <c r="G4689" s="16" t="n"/>
      <c r="H4689" s="63" t="n"/>
      <c r="I4689" s="64" t="n"/>
      <c r="J4689" s="16" t="n"/>
      <c r="K4689" s="16" t="n"/>
      <c r="M4689" s="89" t="n"/>
      <c r="N4689" s="1" t="n"/>
      <c r="O4689" s="1" t="n"/>
      <c r="P4689" s="1" t="n"/>
      <c r="Q4689" s="1" t="n"/>
      <c r="R4689" s="1" t="n"/>
    </row>
    <row r="4690">
      <c r="A4690" s="61" t="n"/>
      <c r="B4690" s="16" t="n"/>
      <c r="C4690" s="90" t="n"/>
      <c r="D4690" s="90" t="n"/>
      <c r="E4690" s="90" t="n"/>
      <c r="F4690" s="16" t="n"/>
      <c r="G4690" s="16" t="n"/>
      <c r="H4690" s="63" t="n"/>
      <c r="I4690" s="64" t="n"/>
      <c r="J4690" s="16" t="n"/>
      <c r="K4690" s="16" t="n"/>
      <c r="M4690" s="89" t="n"/>
      <c r="N4690" s="1" t="n"/>
      <c r="O4690" s="1" t="n"/>
      <c r="P4690" s="1" t="n"/>
      <c r="Q4690" s="1" t="n"/>
      <c r="R4690" s="1" t="n"/>
    </row>
    <row r="4691">
      <c r="A4691" s="61" t="n"/>
      <c r="B4691" s="16" t="n"/>
      <c r="C4691" s="90" t="n"/>
      <c r="D4691" s="90" t="n"/>
      <c r="E4691" s="90" t="n"/>
      <c r="F4691" s="16" t="n"/>
      <c r="G4691" s="16" t="n"/>
      <c r="H4691" s="63" t="n"/>
      <c r="I4691" s="64" t="n"/>
      <c r="J4691" s="16" t="n"/>
      <c r="K4691" s="16" t="n"/>
      <c r="M4691" s="89" t="n"/>
      <c r="N4691" s="1" t="n"/>
      <c r="O4691" s="1" t="n"/>
      <c r="P4691" s="1" t="n"/>
      <c r="Q4691" s="1" t="n"/>
      <c r="R4691" s="1" t="n"/>
    </row>
    <row r="4692">
      <c r="A4692" s="61" t="n"/>
      <c r="B4692" s="16" t="n"/>
      <c r="C4692" s="90" t="n"/>
      <c r="D4692" s="90" t="n"/>
      <c r="E4692" s="90" t="n"/>
      <c r="F4692" s="16" t="n"/>
      <c r="G4692" s="16" t="n"/>
      <c r="H4692" s="63" t="n"/>
      <c r="I4692" s="64" t="n"/>
      <c r="J4692" s="16" t="n"/>
      <c r="K4692" s="16" t="n"/>
      <c r="M4692" s="89" t="n"/>
      <c r="N4692" s="1" t="n"/>
      <c r="O4692" s="1" t="n"/>
      <c r="P4692" s="1" t="n"/>
      <c r="Q4692" s="1" t="n"/>
      <c r="R4692" s="1" t="n"/>
    </row>
    <row r="4693">
      <c r="A4693" s="61" t="n"/>
      <c r="B4693" s="16" t="n"/>
      <c r="C4693" s="90" t="n"/>
      <c r="D4693" s="90" t="n"/>
      <c r="E4693" s="90" t="n"/>
      <c r="F4693" s="16" t="n"/>
      <c r="G4693" s="16" t="n"/>
      <c r="H4693" s="63" t="n"/>
      <c r="I4693" s="64" t="n"/>
      <c r="J4693" s="16" t="n"/>
      <c r="K4693" s="16" t="n"/>
      <c r="M4693" s="89" t="n"/>
      <c r="N4693" s="1" t="n"/>
      <c r="O4693" s="1" t="n"/>
      <c r="P4693" s="1" t="n"/>
      <c r="Q4693" s="1" t="n"/>
      <c r="R4693" s="1" t="n"/>
    </row>
    <row r="4694">
      <c r="A4694" s="61" t="n"/>
      <c r="B4694" s="16" t="n"/>
      <c r="C4694" s="90" t="n"/>
      <c r="D4694" s="90" t="n"/>
      <c r="E4694" s="90" t="n"/>
      <c r="F4694" s="16" t="n"/>
      <c r="G4694" s="16" t="n"/>
      <c r="H4694" s="63" t="n"/>
      <c r="I4694" s="64" t="n"/>
      <c r="J4694" s="16" t="n"/>
      <c r="K4694" s="16" t="n"/>
      <c r="M4694" s="89" t="n"/>
      <c r="N4694" s="1" t="n"/>
      <c r="O4694" s="1" t="n"/>
      <c r="P4694" s="1" t="n"/>
      <c r="Q4694" s="1" t="n"/>
      <c r="R4694" s="1" t="n"/>
    </row>
    <row r="4695">
      <c r="A4695" s="61" t="n"/>
      <c r="B4695" s="16" t="n"/>
      <c r="C4695" s="90" t="n"/>
      <c r="D4695" s="90" t="n"/>
      <c r="E4695" s="90" t="n"/>
      <c r="F4695" s="16" t="n"/>
      <c r="G4695" s="16" t="n"/>
      <c r="H4695" s="63" t="n"/>
      <c r="I4695" s="64" t="n"/>
      <c r="J4695" s="16" t="n"/>
      <c r="K4695" s="16" t="n"/>
      <c r="M4695" s="89" t="n"/>
      <c r="N4695" s="1" t="n"/>
      <c r="O4695" s="1" t="n"/>
      <c r="P4695" s="1" t="n"/>
      <c r="Q4695" s="1" t="n"/>
      <c r="R4695" s="1" t="n"/>
    </row>
    <row r="4696">
      <c r="A4696" s="61" t="n"/>
      <c r="B4696" s="16" t="n"/>
      <c r="C4696" s="90" t="n"/>
      <c r="D4696" s="90" t="n"/>
      <c r="E4696" s="90" t="n"/>
      <c r="F4696" s="16" t="n"/>
      <c r="G4696" s="16" t="n"/>
      <c r="H4696" s="63" t="n"/>
      <c r="I4696" s="64" t="n"/>
      <c r="J4696" s="16" t="n"/>
      <c r="K4696" s="16" t="n"/>
      <c r="M4696" s="89" t="n"/>
      <c r="N4696" s="1" t="n"/>
      <c r="O4696" s="1" t="n"/>
      <c r="P4696" s="1" t="n"/>
      <c r="Q4696" s="1" t="n"/>
      <c r="R4696" s="1" t="n"/>
    </row>
    <row r="4697">
      <c r="A4697" s="61" t="n"/>
      <c r="B4697" s="16" t="n"/>
      <c r="C4697" s="90" t="n"/>
      <c r="D4697" s="90" t="n"/>
      <c r="E4697" s="90" t="n"/>
      <c r="F4697" s="16" t="n"/>
      <c r="G4697" s="16" t="n"/>
      <c r="H4697" s="63" t="n"/>
      <c r="I4697" s="64" t="n"/>
      <c r="J4697" s="16" t="n"/>
      <c r="K4697" s="16" t="n"/>
      <c r="M4697" s="89" t="n"/>
      <c r="N4697" s="1" t="n"/>
      <c r="O4697" s="1" t="n"/>
      <c r="P4697" s="1" t="n"/>
      <c r="Q4697" s="1" t="n"/>
      <c r="R4697" s="1" t="n"/>
    </row>
    <row r="4698">
      <c r="A4698" s="61" t="n"/>
      <c r="B4698" s="16" t="n"/>
      <c r="C4698" s="90" t="n"/>
      <c r="D4698" s="90" t="n"/>
      <c r="E4698" s="90" t="n"/>
      <c r="F4698" s="16" t="n"/>
      <c r="G4698" s="16" t="n"/>
      <c r="H4698" s="63" t="n"/>
      <c r="I4698" s="64" t="n"/>
      <c r="J4698" s="16" t="n"/>
      <c r="K4698" s="16" t="n"/>
      <c r="M4698" s="89" t="n"/>
      <c r="N4698" s="1" t="n"/>
      <c r="O4698" s="1" t="n"/>
      <c r="P4698" s="1" t="n"/>
      <c r="Q4698" s="1" t="n"/>
      <c r="R4698" s="1" t="n"/>
    </row>
    <row r="4699">
      <c r="A4699" s="61" t="n"/>
      <c r="B4699" s="16" t="n"/>
      <c r="C4699" s="90" t="n"/>
      <c r="D4699" s="90" t="n"/>
      <c r="E4699" s="90" t="n"/>
      <c r="F4699" s="16" t="n"/>
      <c r="G4699" s="16" t="n"/>
      <c r="H4699" s="63" t="n"/>
      <c r="I4699" s="64" t="n"/>
      <c r="J4699" s="16" t="n"/>
      <c r="K4699" s="16" t="n"/>
      <c r="M4699" s="89" t="n"/>
      <c r="N4699" s="1" t="n"/>
      <c r="O4699" s="1" t="n"/>
      <c r="P4699" s="1" t="n"/>
      <c r="Q4699" s="1" t="n"/>
      <c r="R4699" s="1" t="n"/>
    </row>
    <row r="4700">
      <c r="A4700" s="61" t="n"/>
      <c r="B4700" s="16" t="n"/>
      <c r="C4700" s="90" t="n"/>
      <c r="D4700" s="90" t="n"/>
      <c r="E4700" s="90" t="n"/>
      <c r="F4700" s="16" t="n"/>
      <c r="G4700" s="16" t="n"/>
      <c r="H4700" s="63" t="n"/>
      <c r="I4700" s="64" t="n"/>
      <c r="J4700" s="16" t="n"/>
      <c r="K4700" s="16" t="n"/>
      <c r="M4700" s="89" t="n"/>
      <c r="N4700" s="1" t="n"/>
      <c r="O4700" s="1" t="n"/>
      <c r="P4700" s="1" t="n"/>
      <c r="Q4700" s="1" t="n"/>
      <c r="R4700" s="1" t="n"/>
    </row>
    <row r="4701">
      <c r="A4701" s="61" t="n"/>
      <c r="B4701" s="16" t="n"/>
      <c r="C4701" s="90" t="n"/>
      <c r="D4701" s="90" t="n"/>
      <c r="E4701" s="90" t="n"/>
      <c r="F4701" s="16" t="n"/>
      <c r="G4701" s="16" t="n"/>
      <c r="H4701" s="63" t="n"/>
      <c r="I4701" s="64" t="n"/>
      <c r="J4701" s="16" t="n"/>
      <c r="K4701" s="16" t="n"/>
      <c r="M4701" s="89" t="n"/>
      <c r="N4701" s="1" t="n"/>
      <c r="O4701" s="1" t="n"/>
      <c r="P4701" s="1" t="n"/>
      <c r="Q4701" s="1" t="n"/>
      <c r="R4701" s="1" t="n"/>
    </row>
    <row r="4702">
      <c r="A4702" s="61" t="n"/>
      <c r="B4702" s="16" t="n"/>
      <c r="C4702" s="90" t="n"/>
      <c r="D4702" s="90" t="n"/>
      <c r="E4702" s="90" t="n"/>
      <c r="F4702" s="16" t="n"/>
      <c r="G4702" s="16" t="n"/>
      <c r="H4702" s="63" t="n"/>
      <c r="I4702" s="64" t="n"/>
      <c r="J4702" s="16" t="n"/>
      <c r="K4702" s="16" t="n"/>
      <c r="M4702" s="89" t="n"/>
      <c r="N4702" s="1" t="n"/>
      <c r="O4702" s="1" t="n"/>
      <c r="P4702" s="1" t="n"/>
      <c r="Q4702" s="1" t="n"/>
      <c r="R4702" s="1" t="n"/>
    </row>
    <row r="4703">
      <c r="A4703" s="61" t="n"/>
      <c r="B4703" s="16" t="n"/>
      <c r="C4703" s="90" t="n"/>
      <c r="D4703" s="90" t="n"/>
      <c r="E4703" s="90" t="n"/>
      <c r="F4703" s="16" t="n"/>
      <c r="G4703" s="16" t="n"/>
      <c r="H4703" s="63" t="n"/>
      <c r="I4703" s="64" t="n"/>
      <c r="J4703" s="16" t="n"/>
      <c r="K4703" s="16" t="n"/>
      <c r="M4703" s="89" t="n"/>
      <c r="N4703" s="1" t="n"/>
      <c r="O4703" s="1" t="n"/>
      <c r="P4703" s="1" t="n"/>
      <c r="Q4703" s="1" t="n"/>
      <c r="R4703" s="1" t="n"/>
    </row>
    <row r="4704">
      <c r="A4704" s="61" t="n"/>
      <c r="B4704" s="16" t="n"/>
      <c r="C4704" s="90" t="n"/>
      <c r="D4704" s="90" t="n"/>
      <c r="E4704" s="90" t="n"/>
      <c r="F4704" s="16" t="n"/>
      <c r="G4704" s="16" t="n"/>
      <c r="H4704" s="63" t="n"/>
      <c r="I4704" s="64" t="n"/>
      <c r="J4704" s="16" t="n"/>
      <c r="K4704" s="16" t="n"/>
      <c r="M4704" s="89" t="n"/>
      <c r="N4704" s="1" t="n"/>
      <c r="O4704" s="1" t="n"/>
      <c r="P4704" s="1" t="n"/>
      <c r="Q4704" s="1" t="n"/>
      <c r="R4704" s="1" t="n"/>
    </row>
    <row r="4705">
      <c r="A4705" s="61" t="n"/>
      <c r="B4705" s="16" t="n"/>
      <c r="C4705" s="90" t="n"/>
      <c r="D4705" s="90" t="n"/>
      <c r="E4705" s="90" t="n"/>
      <c r="F4705" s="16" t="n"/>
      <c r="G4705" s="16" t="n"/>
      <c r="H4705" s="63" t="n"/>
      <c r="I4705" s="64" t="n"/>
      <c r="J4705" s="16" t="n"/>
      <c r="K4705" s="16" t="n"/>
      <c r="M4705" s="89" t="n"/>
      <c r="N4705" s="1" t="n"/>
      <c r="O4705" s="1" t="n"/>
      <c r="P4705" s="1" t="n"/>
      <c r="Q4705" s="1" t="n"/>
      <c r="R4705" s="1" t="n"/>
    </row>
    <row r="4706">
      <c r="A4706" s="61" t="n"/>
      <c r="B4706" s="16" t="n"/>
      <c r="C4706" s="90" t="n"/>
      <c r="D4706" s="90" t="n"/>
      <c r="E4706" s="90" t="n"/>
      <c r="F4706" s="16" t="n"/>
      <c r="G4706" s="16" t="n"/>
      <c r="H4706" s="63" t="n"/>
      <c r="I4706" s="64" t="n"/>
      <c r="J4706" s="16" t="n"/>
      <c r="K4706" s="16" t="n"/>
      <c r="M4706" s="89" t="n"/>
      <c r="N4706" s="1" t="n"/>
      <c r="O4706" s="1" t="n"/>
      <c r="P4706" s="1" t="n"/>
      <c r="Q4706" s="1" t="n"/>
      <c r="R4706" s="1" t="n"/>
    </row>
    <row r="4707">
      <c r="A4707" s="61" t="n"/>
      <c r="B4707" s="16" t="n"/>
      <c r="C4707" s="90" t="n"/>
      <c r="D4707" s="90" t="n"/>
      <c r="E4707" s="90" t="n"/>
      <c r="F4707" s="16" t="n"/>
      <c r="G4707" s="16" t="n"/>
      <c r="H4707" s="63" t="n"/>
      <c r="I4707" s="64" t="n"/>
      <c r="J4707" s="16" t="n"/>
      <c r="K4707" s="16" t="n"/>
      <c r="M4707" s="89" t="n"/>
      <c r="N4707" s="1" t="n"/>
      <c r="O4707" s="1" t="n"/>
      <c r="P4707" s="1" t="n"/>
      <c r="Q4707" s="1" t="n"/>
      <c r="R4707" s="1" t="n"/>
    </row>
    <row r="4708">
      <c r="A4708" s="61" t="n"/>
      <c r="B4708" s="16" t="n"/>
      <c r="C4708" s="90" t="n"/>
      <c r="D4708" s="90" t="n"/>
      <c r="E4708" s="90" t="n"/>
      <c r="F4708" s="16" t="n"/>
      <c r="G4708" s="16" t="n"/>
      <c r="H4708" s="63" t="n"/>
      <c r="I4708" s="64" t="n"/>
      <c r="J4708" s="16" t="n"/>
      <c r="K4708" s="16" t="n"/>
      <c r="M4708" s="89" t="n"/>
      <c r="N4708" s="1" t="n"/>
      <c r="O4708" s="1" t="n"/>
      <c r="P4708" s="1" t="n"/>
      <c r="Q4708" s="1" t="n"/>
      <c r="R4708" s="1" t="n"/>
    </row>
    <row r="4709">
      <c r="A4709" s="61" t="n"/>
      <c r="B4709" s="16" t="n"/>
      <c r="C4709" s="90" t="n"/>
      <c r="D4709" s="90" t="n"/>
      <c r="E4709" s="90" t="n"/>
      <c r="F4709" s="16" t="n"/>
      <c r="G4709" s="16" t="n"/>
      <c r="H4709" s="63" t="n"/>
      <c r="I4709" s="64" t="n"/>
      <c r="J4709" s="16" t="n"/>
      <c r="K4709" s="16" t="n"/>
      <c r="M4709" s="89" t="n"/>
      <c r="N4709" s="1" t="n"/>
      <c r="O4709" s="1" t="n"/>
      <c r="P4709" s="1" t="n"/>
      <c r="Q4709" s="1" t="n"/>
      <c r="R4709" s="1" t="n"/>
    </row>
    <row r="4710">
      <c r="A4710" s="61" t="n"/>
      <c r="B4710" s="16" t="n"/>
      <c r="C4710" s="90" t="n"/>
      <c r="D4710" s="90" t="n"/>
      <c r="E4710" s="90" t="n"/>
      <c r="F4710" s="16" t="n"/>
      <c r="G4710" s="16" t="n"/>
      <c r="H4710" s="63" t="n"/>
      <c r="I4710" s="64" t="n"/>
      <c r="J4710" s="16" t="n"/>
      <c r="K4710" s="16" t="n"/>
      <c r="M4710" s="89" t="n"/>
      <c r="N4710" s="1" t="n"/>
      <c r="O4710" s="1" t="n"/>
      <c r="P4710" s="1" t="n"/>
      <c r="Q4710" s="1" t="n"/>
      <c r="R4710" s="1" t="n"/>
    </row>
    <row r="4711">
      <c r="A4711" s="61" t="n"/>
      <c r="B4711" s="16" t="n"/>
      <c r="C4711" s="90" t="n"/>
      <c r="D4711" s="90" t="n"/>
      <c r="E4711" s="90" t="n"/>
      <c r="F4711" s="16" t="n"/>
      <c r="G4711" s="16" t="n"/>
      <c r="H4711" s="63" t="n"/>
      <c r="I4711" s="64" t="n"/>
      <c r="J4711" s="16" t="n"/>
      <c r="K4711" s="16" t="n"/>
      <c r="M4711" s="89" t="n"/>
      <c r="N4711" s="1" t="n"/>
      <c r="O4711" s="1" t="n"/>
      <c r="P4711" s="1" t="n"/>
      <c r="Q4711" s="1" t="n"/>
      <c r="R4711" s="1" t="n"/>
    </row>
    <row r="4712">
      <c r="A4712" s="61" t="n"/>
      <c r="B4712" s="16" t="n"/>
      <c r="C4712" s="90" t="n"/>
      <c r="D4712" s="90" t="n"/>
      <c r="E4712" s="90" t="n"/>
      <c r="F4712" s="16" t="n"/>
      <c r="G4712" s="16" t="n"/>
      <c r="H4712" s="63" t="n"/>
      <c r="I4712" s="64" t="n"/>
      <c r="J4712" s="16" t="n"/>
      <c r="K4712" s="16" t="n"/>
      <c r="M4712" s="89" t="n"/>
      <c r="N4712" s="1" t="n"/>
      <c r="O4712" s="1" t="n"/>
      <c r="P4712" s="1" t="n"/>
      <c r="Q4712" s="1" t="n"/>
      <c r="R4712" s="1" t="n"/>
    </row>
    <row r="4713">
      <c r="A4713" s="61" t="n"/>
      <c r="B4713" s="16" t="n"/>
      <c r="C4713" s="90" t="n"/>
      <c r="D4713" s="90" t="n"/>
      <c r="E4713" s="90" t="n"/>
      <c r="F4713" s="16" t="n"/>
      <c r="G4713" s="16" t="n"/>
      <c r="H4713" s="63" t="n"/>
      <c r="I4713" s="64" t="n"/>
      <c r="J4713" s="16" t="n"/>
      <c r="K4713" s="16" t="n"/>
      <c r="M4713" s="89" t="n"/>
      <c r="N4713" s="1" t="n"/>
      <c r="O4713" s="1" t="n"/>
      <c r="P4713" s="1" t="n"/>
      <c r="Q4713" s="1" t="n"/>
      <c r="R4713" s="1" t="n"/>
    </row>
    <row r="4714">
      <c r="A4714" s="61" t="n"/>
      <c r="B4714" s="16" t="n"/>
      <c r="C4714" s="90" t="n"/>
      <c r="D4714" s="90" t="n"/>
      <c r="E4714" s="90" t="n"/>
      <c r="F4714" s="16" t="n"/>
      <c r="G4714" s="16" t="n"/>
      <c r="H4714" s="63" t="n"/>
      <c r="I4714" s="64" t="n"/>
      <c r="J4714" s="16" t="n"/>
      <c r="K4714" s="16" t="n"/>
      <c r="M4714" s="89" t="n"/>
      <c r="N4714" s="1" t="n"/>
      <c r="O4714" s="1" t="n"/>
      <c r="P4714" s="1" t="n"/>
      <c r="Q4714" s="1" t="n"/>
      <c r="R4714" s="1" t="n"/>
    </row>
    <row r="4715">
      <c r="A4715" s="61" t="n"/>
      <c r="B4715" s="16" t="n"/>
      <c r="C4715" s="90" t="n"/>
      <c r="D4715" s="90" t="n"/>
      <c r="E4715" s="90" t="n"/>
      <c r="F4715" s="16" t="n"/>
      <c r="G4715" s="16" t="n"/>
      <c r="H4715" s="63" t="n"/>
      <c r="I4715" s="64" t="n"/>
      <c r="J4715" s="16" t="n"/>
      <c r="K4715" s="16" t="n"/>
      <c r="M4715" s="89" t="n"/>
      <c r="N4715" s="1" t="n"/>
      <c r="O4715" s="1" t="n"/>
      <c r="P4715" s="1" t="n"/>
      <c r="Q4715" s="1" t="n"/>
      <c r="R4715" s="1" t="n"/>
    </row>
    <row r="4716">
      <c r="A4716" s="61" t="n"/>
      <c r="B4716" s="16" t="n"/>
      <c r="C4716" s="90" t="n"/>
      <c r="D4716" s="90" t="n"/>
      <c r="E4716" s="90" t="n"/>
      <c r="F4716" s="16" t="n"/>
      <c r="G4716" s="16" t="n"/>
      <c r="H4716" s="63" t="n"/>
      <c r="I4716" s="64" t="n"/>
      <c r="J4716" s="16" t="n"/>
      <c r="K4716" s="16" t="n"/>
      <c r="M4716" s="89" t="n"/>
      <c r="N4716" s="1" t="n"/>
      <c r="O4716" s="1" t="n"/>
      <c r="P4716" s="1" t="n"/>
      <c r="Q4716" s="1" t="n"/>
      <c r="R4716" s="1" t="n"/>
    </row>
    <row r="4717">
      <c r="A4717" s="61" t="n"/>
      <c r="B4717" s="16" t="n"/>
      <c r="C4717" s="90" t="n"/>
      <c r="D4717" s="90" t="n"/>
      <c r="E4717" s="90" t="n"/>
      <c r="F4717" s="16" t="n"/>
      <c r="G4717" s="16" t="n"/>
      <c r="H4717" s="63" t="n"/>
      <c r="I4717" s="64" t="n"/>
      <c r="J4717" s="16" t="n"/>
      <c r="K4717" s="16" t="n"/>
      <c r="M4717" s="89" t="n"/>
      <c r="N4717" s="1" t="n"/>
      <c r="O4717" s="1" t="n"/>
      <c r="P4717" s="1" t="n"/>
      <c r="Q4717" s="1" t="n"/>
      <c r="R4717" s="1" t="n"/>
    </row>
    <row r="4718">
      <c r="A4718" s="61" t="n"/>
      <c r="B4718" s="16" t="n"/>
      <c r="C4718" s="90" t="n"/>
      <c r="D4718" s="90" t="n"/>
      <c r="E4718" s="90" t="n"/>
      <c r="F4718" s="16" t="n"/>
      <c r="G4718" s="16" t="n"/>
      <c r="H4718" s="63" t="n"/>
      <c r="I4718" s="64" t="n"/>
      <c r="J4718" s="16" t="n"/>
      <c r="K4718" s="16" t="n"/>
      <c r="M4718" s="89" t="n"/>
      <c r="N4718" s="1" t="n"/>
      <c r="O4718" s="1" t="n"/>
      <c r="P4718" s="1" t="n"/>
      <c r="Q4718" s="1" t="n"/>
      <c r="R4718" s="1" t="n"/>
    </row>
    <row r="4719">
      <c r="A4719" s="61" t="n"/>
      <c r="B4719" s="16" t="n"/>
      <c r="C4719" s="90" t="n"/>
      <c r="D4719" s="90" t="n"/>
      <c r="E4719" s="90" t="n"/>
      <c r="F4719" s="16" t="n"/>
      <c r="G4719" s="16" t="n"/>
      <c r="H4719" s="63" t="n"/>
      <c r="I4719" s="64" t="n"/>
      <c r="J4719" s="16" t="n"/>
      <c r="K4719" s="16" t="n"/>
      <c r="M4719" s="89" t="n"/>
      <c r="N4719" s="1" t="n"/>
      <c r="O4719" s="1" t="n"/>
      <c r="P4719" s="1" t="n"/>
      <c r="Q4719" s="1" t="n"/>
      <c r="R4719" s="1" t="n"/>
    </row>
    <row r="4720">
      <c r="A4720" s="61" t="n"/>
      <c r="B4720" s="16" t="n"/>
      <c r="C4720" s="90" t="n"/>
      <c r="D4720" s="90" t="n"/>
      <c r="E4720" s="90" t="n"/>
      <c r="F4720" s="16" t="n"/>
      <c r="G4720" s="16" t="n"/>
      <c r="H4720" s="63" t="n"/>
      <c r="I4720" s="64" t="n"/>
      <c r="J4720" s="16" t="n"/>
      <c r="K4720" s="16" t="n"/>
      <c r="M4720" s="89" t="n"/>
      <c r="N4720" s="1" t="n"/>
      <c r="O4720" s="1" t="n"/>
      <c r="P4720" s="1" t="n"/>
      <c r="Q4720" s="1" t="n"/>
      <c r="R4720" s="1" t="n"/>
    </row>
    <row r="4721">
      <c r="A4721" s="61" t="n"/>
      <c r="B4721" s="16" t="n"/>
      <c r="C4721" s="90" t="n"/>
      <c r="D4721" s="90" t="n"/>
      <c r="E4721" s="90" t="n"/>
      <c r="F4721" s="16" t="n"/>
      <c r="G4721" s="16" t="n"/>
      <c r="H4721" s="63" t="n"/>
      <c r="I4721" s="64" t="n"/>
      <c r="J4721" s="16" t="n"/>
      <c r="K4721" s="16" t="n"/>
      <c r="M4721" s="89" t="n"/>
      <c r="N4721" s="1" t="n"/>
      <c r="O4721" s="1" t="n"/>
      <c r="P4721" s="1" t="n"/>
      <c r="Q4721" s="1" t="n"/>
      <c r="R4721" s="1" t="n"/>
    </row>
    <row r="4722">
      <c r="A4722" s="61" t="n"/>
      <c r="B4722" s="16" t="n"/>
      <c r="C4722" s="90" t="n"/>
      <c r="D4722" s="90" t="n"/>
      <c r="E4722" s="90" t="n"/>
      <c r="F4722" s="16" t="n"/>
      <c r="G4722" s="16" t="n"/>
      <c r="H4722" s="63" t="n"/>
      <c r="I4722" s="64" t="n"/>
      <c r="J4722" s="16" t="n"/>
      <c r="K4722" s="16" t="n"/>
      <c r="M4722" s="89" t="n"/>
      <c r="N4722" s="1" t="n"/>
      <c r="O4722" s="1" t="n"/>
      <c r="P4722" s="1" t="n"/>
      <c r="Q4722" s="1" t="n"/>
      <c r="R4722" s="1" t="n"/>
    </row>
    <row r="4723">
      <c r="A4723" s="61" t="n"/>
      <c r="B4723" s="16" t="n"/>
      <c r="C4723" s="90" t="n"/>
      <c r="D4723" s="90" t="n"/>
      <c r="E4723" s="90" t="n"/>
      <c r="F4723" s="16" t="n"/>
      <c r="G4723" s="16" t="n"/>
      <c r="H4723" s="63" t="n"/>
      <c r="I4723" s="64" t="n"/>
      <c r="J4723" s="16" t="n"/>
      <c r="K4723" s="16" t="n"/>
      <c r="M4723" s="89" t="n"/>
      <c r="N4723" s="1" t="n"/>
      <c r="O4723" s="1" t="n"/>
      <c r="P4723" s="1" t="n"/>
      <c r="Q4723" s="1" t="n"/>
      <c r="R4723" s="1" t="n"/>
    </row>
    <row r="4724">
      <c r="A4724" s="61" t="n"/>
      <c r="B4724" s="16" t="n"/>
      <c r="C4724" s="90" t="n"/>
      <c r="D4724" s="90" t="n"/>
      <c r="E4724" s="90" t="n"/>
      <c r="F4724" s="16" t="n"/>
      <c r="G4724" s="16" t="n"/>
      <c r="H4724" s="63" t="n"/>
      <c r="I4724" s="64" t="n"/>
      <c r="J4724" s="16" t="n"/>
      <c r="K4724" s="16" t="n"/>
      <c r="M4724" s="89" t="n"/>
      <c r="N4724" s="1" t="n"/>
      <c r="O4724" s="1" t="n"/>
      <c r="P4724" s="1" t="n"/>
      <c r="Q4724" s="1" t="n"/>
      <c r="R4724" s="1" t="n"/>
    </row>
    <row r="4725">
      <c r="A4725" s="61" t="n"/>
      <c r="B4725" s="16" t="n"/>
      <c r="C4725" s="90" t="n"/>
      <c r="D4725" s="90" t="n"/>
      <c r="E4725" s="90" t="n"/>
      <c r="F4725" s="16" t="n"/>
      <c r="G4725" s="16" t="n"/>
      <c r="H4725" s="63" t="n"/>
      <c r="I4725" s="64" t="n"/>
      <c r="J4725" s="16" t="n"/>
      <c r="K4725" s="16" t="n"/>
      <c r="M4725" s="89" t="n"/>
      <c r="N4725" s="1" t="n"/>
      <c r="O4725" s="1" t="n"/>
      <c r="P4725" s="1" t="n"/>
      <c r="Q4725" s="1" t="n"/>
      <c r="R4725" s="1" t="n"/>
    </row>
    <row r="4726">
      <c r="A4726" s="61" t="n"/>
      <c r="B4726" s="16" t="n"/>
      <c r="C4726" s="90" t="n"/>
      <c r="D4726" s="90" t="n"/>
      <c r="E4726" s="90" t="n"/>
      <c r="F4726" s="16" t="n"/>
      <c r="G4726" s="16" t="n"/>
      <c r="H4726" s="63" t="n"/>
      <c r="I4726" s="64" t="n"/>
      <c r="J4726" s="16" t="n"/>
      <c r="K4726" s="16" t="n"/>
      <c r="M4726" s="89" t="n"/>
      <c r="N4726" s="1" t="n"/>
      <c r="O4726" s="1" t="n"/>
      <c r="P4726" s="1" t="n"/>
      <c r="Q4726" s="1" t="n"/>
      <c r="R4726" s="1" t="n"/>
    </row>
    <row r="4727">
      <c r="A4727" s="61" t="n"/>
      <c r="B4727" s="16" t="n"/>
      <c r="C4727" s="90" t="n"/>
      <c r="D4727" s="90" t="n"/>
      <c r="E4727" s="90" t="n"/>
      <c r="F4727" s="16" t="n"/>
      <c r="G4727" s="16" t="n"/>
      <c r="H4727" s="63" t="n"/>
      <c r="I4727" s="64" t="n"/>
      <c r="J4727" s="16" t="n"/>
      <c r="K4727" s="16" t="n"/>
      <c r="M4727" s="89" t="n"/>
      <c r="N4727" s="1" t="n"/>
      <c r="O4727" s="1" t="n"/>
      <c r="P4727" s="1" t="n"/>
      <c r="Q4727" s="1" t="n"/>
      <c r="R4727" s="1" t="n"/>
    </row>
    <row r="4728">
      <c r="A4728" s="61" t="n"/>
      <c r="B4728" s="16" t="n"/>
      <c r="C4728" s="90" t="n"/>
      <c r="D4728" s="90" t="n"/>
      <c r="E4728" s="90" t="n"/>
      <c r="F4728" s="16" t="n"/>
      <c r="G4728" s="16" t="n"/>
      <c r="H4728" s="63" t="n"/>
      <c r="I4728" s="64" t="n"/>
      <c r="J4728" s="16" t="n"/>
      <c r="K4728" s="16" t="n"/>
      <c r="M4728" s="89" t="n"/>
      <c r="N4728" s="1" t="n"/>
      <c r="O4728" s="1" t="n"/>
      <c r="P4728" s="1" t="n"/>
      <c r="Q4728" s="1" t="n"/>
      <c r="R4728" s="1" t="n"/>
    </row>
    <row r="4729">
      <c r="A4729" s="61" t="n"/>
      <c r="B4729" s="16" t="n"/>
      <c r="C4729" s="90" t="n"/>
      <c r="D4729" s="90" t="n"/>
      <c r="E4729" s="90" t="n"/>
      <c r="F4729" s="16" t="n"/>
      <c r="G4729" s="16" t="n"/>
      <c r="H4729" s="63" t="n"/>
      <c r="I4729" s="64" t="n"/>
      <c r="J4729" s="16" t="n"/>
      <c r="K4729" s="16" t="n"/>
      <c r="M4729" s="89" t="n"/>
      <c r="N4729" s="1" t="n"/>
      <c r="O4729" s="1" t="n"/>
      <c r="P4729" s="1" t="n"/>
      <c r="Q4729" s="1" t="n"/>
      <c r="R4729" s="1" t="n"/>
    </row>
    <row r="4730">
      <c r="A4730" s="61" t="n"/>
      <c r="B4730" s="16" t="n"/>
      <c r="C4730" s="90" t="n"/>
      <c r="D4730" s="90" t="n"/>
      <c r="E4730" s="90" t="n"/>
      <c r="F4730" s="16" t="n"/>
      <c r="G4730" s="16" t="n"/>
      <c r="H4730" s="63" t="n"/>
      <c r="I4730" s="64" t="n"/>
      <c r="J4730" s="16" t="n"/>
      <c r="K4730" s="16" t="n"/>
      <c r="M4730" s="89" t="n"/>
      <c r="N4730" s="1" t="n"/>
      <c r="O4730" s="1" t="n"/>
      <c r="P4730" s="1" t="n"/>
      <c r="Q4730" s="1" t="n"/>
      <c r="R4730" s="1" t="n"/>
    </row>
    <row r="4731">
      <c r="A4731" s="61" t="n"/>
      <c r="B4731" s="16" t="n"/>
      <c r="C4731" s="90" t="n"/>
      <c r="D4731" s="90" t="n"/>
      <c r="E4731" s="90" t="n"/>
      <c r="F4731" s="16" t="n"/>
      <c r="G4731" s="16" t="n"/>
      <c r="H4731" s="63" t="n"/>
      <c r="I4731" s="64" t="n"/>
      <c r="J4731" s="16" t="n"/>
      <c r="K4731" s="16" t="n"/>
      <c r="M4731" s="89" t="n"/>
      <c r="N4731" s="1" t="n"/>
      <c r="O4731" s="1" t="n"/>
      <c r="P4731" s="1" t="n"/>
      <c r="Q4731" s="1" t="n"/>
      <c r="R4731" s="1" t="n"/>
    </row>
    <row r="4732">
      <c r="A4732" s="61" t="n"/>
      <c r="B4732" s="16" t="n"/>
      <c r="C4732" s="90" t="n"/>
      <c r="D4732" s="90" t="n"/>
      <c r="E4732" s="90" t="n"/>
      <c r="F4732" s="16" t="n"/>
      <c r="G4732" s="16" t="n"/>
      <c r="H4732" s="63" t="n"/>
      <c r="I4732" s="64" t="n"/>
      <c r="J4732" s="16" t="n"/>
      <c r="K4732" s="16" t="n"/>
      <c r="M4732" s="89" t="n"/>
      <c r="N4732" s="1" t="n"/>
      <c r="O4732" s="1" t="n"/>
      <c r="P4732" s="1" t="n"/>
      <c r="Q4732" s="1" t="n"/>
      <c r="R4732" s="1" t="n"/>
    </row>
    <row r="4733">
      <c r="A4733" s="61" t="n"/>
      <c r="B4733" s="16" t="n"/>
      <c r="C4733" s="90" t="n"/>
      <c r="D4733" s="90" t="n"/>
      <c r="E4733" s="90" t="n"/>
      <c r="F4733" s="16" t="n"/>
      <c r="G4733" s="16" t="n"/>
      <c r="H4733" s="63" t="n"/>
      <c r="I4733" s="64" t="n"/>
      <c r="J4733" s="16" t="n"/>
      <c r="K4733" s="16" t="n"/>
      <c r="M4733" s="89" t="n"/>
      <c r="N4733" s="1" t="n"/>
      <c r="O4733" s="1" t="n"/>
      <c r="P4733" s="1" t="n"/>
      <c r="Q4733" s="1" t="n"/>
      <c r="R4733" s="1" t="n"/>
    </row>
    <row r="4734">
      <c r="A4734" s="61" t="n"/>
      <c r="B4734" s="16" t="n"/>
      <c r="C4734" s="90" t="n"/>
      <c r="D4734" s="90" t="n"/>
      <c r="E4734" s="90" t="n"/>
      <c r="F4734" s="16" t="n"/>
      <c r="G4734" s="16" t="n"/>
      <c r="H4734" s="63" t="n"/>
      <c r="I4734" s="64" t="n"/>
      <c r="J4734" s="16" t="n"/>
      <c r="K4734" s="16" t="n"/>
      <c r="M4734" s="89" t="n"/>
      <c r="N4734" s="1" t="n"/>
      <c r="O4734" s="1" t="n"/>
      <c r="P4734" s="1" t="n"/>
      <c r="Q4734" s="1" t="n"/>
      <c r="R4734" s="1" t="n"/>
    </row>
    <row r="4735">
      <c r="A4735" s="61" t="n"/>
      <c r="B4735" s="16" t="n"/>
      <c r="C4735" s="90" t="n"/>
      <c r="D4735" s="90" t="n"/>
      <c r="E4735" s="90" t="n"/>
      <c r="F4735" s="16" t="n"/>
      <c r="G4735" s="16" t="n"/>
      <c r="H4735" s="63" t="n"/>
      <c r="I4735" s="64" t="n"/>
      <c r="J4735" s="16" t="n"/>
      <c r="K4735" s="16" t="n"/>
      <c r="M4735" s="89" t="n"/>
      <c r="N4735" s="1" t="n"/>
      <c r="O4735" s="1" t="n"/>
      <c r="P4735" s="1" t="n"/>
      <c r="Q4735" s="1" t="n"/>
      <c r="R4735" s="1" t="n"/>
    </row>
    <row r="4736">
      <c r="A4736" s="61" t="n"/>
      <c r="B4736" s="16" t="n"/>
      <c r="C4736" s="90" t="n"/>
      <c r="D4736" s="90" t="n"/>
      <c r="E4736" s="90" t="n"/>
      <c r="F4736" s="16" t="n"/>
      <c r="G4736" s="16" t="n"/>
      <c r="H4736" s="63" t="n"/>
      <c r="I4736" s="64" t="n"/>
      <c r="J4736" s="16" t="n"/>
      <c r="K4736" s="16" t="n"/>
      <c r="M4736" s="89" t="n"/>
      <c r="N4736" s="1" t="n"/>
      <c r="O4736" s="1" t="n"/>
      <c r="P4736" s="1" t="n"/>
      <c r="Q4736" s="1" t="n"/>
      <c r="R4736" s="1" t="n"/>
    </row>
    <row r="4737">
      <c r="A4737" s="61" t="n"/>
      <c r="B4737" s="16" t="n"/>
      <c r="C4737" s="90" t="n"/>
      <c r="D4737" s="90" t="n"/>
      <c r="E4737" s="90" t="n"/>
      <c r="F4737" s="16" t="n"/>
      <c r="G4737" s="16" t="n"/>
      <c r="H4737" s="63" t="n"/>
      <c r="I4737" s="64" t="n"/>
      <c r="J4737" s="16" t="n"/>
      <c r="K4737" s="16" t="n"/>
      <c r="M4737" s="89" t="n"/>
      <c r="N4737" s="1" t="n"/>
      <c r="O4737" s="1" t="n"/>
      <c r="P4737" s="1" t="n"/>
      <c r="Q4737" s="1" t="n"/>
      <c r="R4737" s="1" t="n"/>
    </row>
    <row r="4738">
      <c r="A4738" s="61" t="n"/>
      <c r="B4738" s="16" t="n"/>
      <c r="C4738" s="90" t="n"/>
      <c r="D4738" s="90" t="n"/>
      <c r="E4738" s="90" t="n"/>
      <c r="F4738" s="16" t="n"/>
      <c r="G4738" s="16" t="n"/>
      <c r="H4738" s="63" t="n"/>
      <c r="I4738" s="64" t="n"/>
      <c r="J4738" s="16" t="n"/>
      <c r="K4738" s="16" t="n"/>
      <c r="M4738" s="89" t="n"/>
      <c r="N4738" s="1" t="n"/>
      <c r="O4738" s="1" t="n"/>
      <c r="P4738" s="1" t="n"/>
      <c r="Q4738" s="1" t="n"/>
      <c r="R4738" s="1" t="n"/>
    </row>
    <row r="4739">
      <c r="A4739" s="61" t="n"/>
      <c r="B4739" s="16" t="n"/>
      <c r="C4739" s="90" t="n"/>
      <c r="D4739" s="90" t="n"/>
      <c r="E4739" s="90" t="n"/>
      <c r="F4739" s="16" t="n"/>
      <c r="G4739" s="16" t="n"/>
      <c r="H4739" s="63" t="n"/>
      <c r="I4739" s="64" t="n"/>
      <c r="J4739" s="16" t="n"/>
      <c r="K4739" s="16" t="n"/>
      <c r="M4739" s="89" t="n"/>
      <c r="N4739" s="1" t="n"/>
      <c r="O4739" s="1" t="n"/>
      <c r="P4739" s="1" t="n"/>
      <c r="Q4739" s="1" t="n"/>
      <c r="R4739" s="1" t="n"/>
    </row>
    <row r="4740">
      <c r="A4740" s="61" t="n"/>
      <c r="B4740" s="16" t="n"/>
      <c r="C4740" s="90" t="n"/>
      <c r="D4740" s="90" t="n"/>
      <c r="E4740" s="90" t="n"/>
      <c r="F4740" s="16" t="n"/>
      <c r="G4740" s="16" t="n"/>
      <c r="H4740" s="63" t="n"/>
      <c r="I4740" s="64" t="n"/>
      <c r="J4740" s="16" t="n"/>
      <c r="K4740" s="16" t="n"/>
      <c r="M4740" s="89" t="n"/>
      <c r="N4740" s="1" t="n"/>
      <c r="O4740" s="1" t="n"/>
      <c r="P4740" s="1" t="n"/>
      <c r="Q4740" s="1" t="n"/>
      <c r="R4740" s="1" t="n"/>
    </row>
    <row r="4741">
      <c r="A4741" s="61" t="n"/>
      <c r="B4741" s="16" t="n"/>
      <c r="C4741" s="90" t="n"/>
      <c r="D4741" s="90" t="n"/>
      <c r="E4741" s="90" t="n"/>
      <c r="F4741" s="16" t="n"/>
      <c r="G4741" s="16" t="n"/>
      <c r="H4741" s="63" t="n"/>
      <c r="I4741" s="64" t="n"/>
      <c r="J4741" s="16" t="n"/>
      <c r="K4741" s="16" t="n"/>
      <c r="M4741" s="89" t="n"/>
      <c r="N4741" s="1" t="n"/>
      <c r="O4741" s="1" t="n"/>
      <c r="P4741" s="1" t="n"/>
      <c r="Q4741" s="1" t="n"/>
      <c r="R4741" s="1" t="n"/>
    </row>
    <row r="4742">
      <c r="A4742" s="61" t="n"/>
      <c r="B4742" s="16" t="n"/>
      <c r="C4742" s="90" t="n"/>
      <c r="D4742" s="90" t="n"/>
      <c r="E4742" s="90" t="n"/>
      <c r="F4742" s="16" t="n"/>
      <c r="G4742" s="16" t="n"/>
      <c r="H4742" s="63" t="n"/>
      <c r="I4742" s="64" t="n"/>
      <c r="J4742" s="16" t="n"/>
      <c r="K4742" s="16" t="n"/>
      <c r="M4742" s="89" t="n"/>
      <c r="N4742" s="1" t="n"/>
      <c r="O4742" s="1" t="n"/>
      <c r="P4742" s="1" t="n"/>
      <c r="Q4742" s="1" t="n"/>
      <c r="R4742" s="1" t="n"/>
    </row>
    <row r="4743">
      <c r="A4743" s="61" t="n"/>
      <c r="B4743" s="16" t="n"/>
      <c r="C4743" s="90" t="n"/>
      <c r="D4743" s="90" t="n"/>
      <c r="E4743" s="90" t="n"/>
      <c r="F4743" s="16" t="n"/>
      <c r="G4743" s="16" t="n"/>
      <c r="H4743" s="63" t="n"/>
      <c r="I4743" s="64" t="n"/>
      <c r="J4743" s="16" t="n"/>
      <c r="K4743" s="16" t="n"/>
      <c r="M4743" s="89" t="n"/>
      <c r="N4743" s="1" t="n"/>
      <c r="O4743" s="1" t="n"/>
      <c r="P4743" s="1" t="n"/>
      <c r="Q4743" s="1" t="n"/>
      <c r="R4743" s="1" t="n"/>
    </row>
    <row r="4744">
      <c r="A4744" s="61" t="n"/>
      <c r="B4744" s="16" t="n"/>
      <c r="C4744" s="90" t="n"/>
      <c r="D4744" s="90" t="n"/>
      <c r="E4744" s="90" t="n"/>
      <c r="F4744" s="16" t="n"/>
      <c r="G4744" s="16" t="n"/>
      <c r="H4744" s="63" t="n"/>
      <c r="I4744" s="64" t="n"/>
      <c r="J4744" s="16" t="n"/>
      <c r="K4744" s="16" t="n"/>
      <c r="M4744" s="89" t="n"/>
      <c r="N4744" s="1" t="n"/>
      <c r="O4744" s="1" t="n"/>
      <c r="P4744" s="1" t="n"/>
      <c r="Q4744" s="1" t="n"/>
      <c r="R4744" s="1" t="n"/>
    </row>
    <row r="4745">
      <c r="A4745" s="61" t="n"/>
      <c r="B4745" s="16" t="n"/>
      <c r="C4745" s="90" t="n"/>
      <c r="D4745" s="90" t="n"/>
      <c r="E4745" s="90" t="n"/>
      <c r="F4745" s="16" t="n"/>
      <c r="G4745" s="16" t="n"/>
      <c r="H4745" s="63" t="n"/>
      <c r="I4745" s="64" t="n"/>
      <c r="J4745" s="16" t="n"/>
      <c r="K4745" s="16" t="n"/>
      <c r="M4745" s="89" t="n"/>
      <c r="N4745" s="1" t="n"/>
      <c r="O4745" s="1" t="n"/>
      <c r="P4745" s="1" t="n"/>
      <c r="Q4745" s="1" t="n"/>
      <c r="R4745" s="1" t="n"/>
    </row>
    <row r="4746">
      <c r="A4746" s="61" t="n"/>
      <c r="B4746" s="16" t="n"/>
      <c r="C4746" s="90" t="n"/>
      <c r="D4746" s="90" t="n"/>
      <c r="E4746" s="90" t="n"/>
      <c r="F4746" s="16" t="n"/>
      <c r="G4746" s="16" t="n"/>
      <c r="H4746" s="63" t="n"/>
      <c r="I4746" s="64" t="n"/>
      <c r="J4746" s="16" t="n"/>
      <c r="K4746" s="16" t="n"/>
      <c r="M4746" s="89" t="n"/>
      <c r="N4746" s="1" t="n"/>
      <c r="O4746" s="1" t="n"/>
      <c r="P4746" s="1" t="n"/>
      <c r="Q4746" s="1" t="n"/>
      <c r="R4746" s="1" t="n"/>
    </row>
    <row r="4747">
      <c r="A4747" s="61" t="n"/>
      <c r="B4747" s="16" t="n"/>
      <c r="C4747" s="90" t="n"/>
      <c r="D4747" s="90" t="n"/>
      <c r="E4747" s="90" t="n"/>
      <c r="F4747" s="16" t="n"/>
      <c r="G4747" s="16" t="n"/>
      <c r="H4747" s="63" t="n"/>
      <c r="I4747" s="64" t="n"/>
      <c r="J4747" s="16" t="n"/>
      <c r="K4747" s="16" t="n"/>
      <c r="M4747" s="89" t="n"/>
      <c r="N4747" s="1" t="n"/>
      <c r="O4747" s="1" t="n"/>
      <c r="P4747" s="1" t="n"/>
      <c r="Q4747" s="1" t="n"/>
      <c r="R4747" s="1" t="n"/>
    </row>
    <row r="4748">
      <c r="A4748" s="61" t="n"/>
      <c r="B4748" s="16" t="n"/>
      <c r="C4748" s="90" t="n"/>
      <c r="D4748" s="90" t="n"/>
      <c r="E4748" s="90" t="n"/>
      <c r="F4748" s="16" t="n"/>
      <c r="G4748" s="16" t="n"/>
      <c r="H4748" s="63" t="n"/>
      <c r="I4748" s="64" t="n"/>
      <c r="J4748" s="16" t="n"/>
      <c r="K4748" s="16" t="n"/>
      <c r="M4748" s="89" t="n"/>
      <c r="N4748" s="1" t="n"/>
      <c r="O4748" s="1" t="n"/>
      <c r="P4748" s="1" t="n"/>
      <c r="Q4748" s="1" t="n"/>
      <c r="R4748" s="1" t="n"/>
    </row>
    <row r="4749">
      <c r="A4749" s="61" t="n"/>
      <c r="B4749" s="16" t="n"/>
      <c r="C4749" s="90" t="n"/>
      <c r="D4749" s="90" t="n"/>
      <c r="E4749" s="90" t="n"/>
      <c r="F4749" s="16" t="n"/>
      <c r="G4749" s="16" t="n"/>
      <c r="H4749" s="63" t="n"/>
      <c r="I4749" s="64" t="n"/>
      <c r="J4749" s="16" t="n"/>
      <c r="K4749" s="16" t="n"/>
      <c r="M4749" s="89" t="n"/>
      <c r="N4749" s="1" t="n"/>
      <c r="O4749" s="1" t="n"/>
      <c r="P4749" s="1" t="n"/>
      <c r="Q4749" s="1" t="n"/>
      <c r="R4749" s="1" t="n"/>
    </row>
    <row r="4750">
      <c r="A4750" s="61" t="n"/>
      <c r="B4750" s="16" t="n"/>
      <c r="C4750" s="90" t="n"/>
      <c r="D4750" s="90" t="n"/>
      <c r="E4750" s="90" t="n"/>
      <c r="F4750" s="16" t="n"/>
      <c r="G4750" s="16" t="n"/>
      <c r="H4750" s="63" t="n"/>
      <c r="I4750" s="64" t="n"/>
      <c r="J4750" s="16" t="n"/>
      <c r="K4750" s="16" t="n"/>
      <c r="M4750" s="89" t="n"/>
      <c r="N4750" s="1" t="n"/>
      <c r="O4750" s="1" t="n"/>
      <c r="P4750" s="1" t="n"/>
      <c r="Q4750" s="1" t="n"/>
      <c r="R4750" s="1" t="n"/>
    </row>
    <row r="4751">
      <c r="A4751" s="61" t="n"/>
      <c r="B4751" s="16" t="n"/>
      <c r="C4751" s="90" t="n"/>
      <c r="D4751" s="90" t="n"/>
      <c r="E4751" s="90" t="n"/>
      <c r="F4751" s="16" t="n"/>
      <c r="G4751" s="16" t="n"/>
      <c r="H4751" s="63" t="n"/>
      <c r="I4751" s="64" t="n"/>
      <c r="J4751" s="16" t="n"/>
      <c r="K4751" s="16" t="n"/>
      <c r="M4751" s="89" t="n"/>
      <c r="N4751" s="1" t="n"/>
      <c r="O4751" s="1" t="n"/>
      <c r="P4751" s="1" t="n"/>
      <c r="Q4751" s="1" t="n"/>
      <c r="R4751" s="1" t="n"/>
    </row>
    <row r="4752">
      <c r="A4752" s="61" t="n"/>
      <c r="B4752" s="16" t="n"/>
      <c r="C4752" s="90" t="n"/>
      <c r="D4752" s="90" t="n"/>
      <c r="E4752" s="90" t="n"/>
      <c r="F4752" s="16" t="n"/>
      <c r="G4752" s="16" t="n"/>
      <c r="H4752" s="63" t="n"/>
      <c r="I4752" s="64" t="n"/>
      <c r="J4752" s="16" t="n"/>
      <c r="K4752" s="16" t="n"/>
      <c r="M4752" s="89" t="n"/>
      <c r="N4752" s="1" t="n"/>
      <c r="O4752" s="1" t="n"/>
      <c r="P4752" s="1" t="n"/>
      <c r="Q4752" s="1" t="n"/>
      <c r="R4752" s="1" t="n"/>
    </row>
    <row r="4753">
      <c r="A4753" s="61" t="n"/>
      <c r="B4753" s="16" t="n"/>
      <c r="C4753" s="90" t="n"/>
      <c r="D4753" s="90" t="n"/>
      <c r="E4753" s="90" t="n"/>
      <c r="F4753" s="16" t="n"/>
      <c r="G4753" s="16" t="n"/>
      <c r="H4753" s="63" t="n"/>
      <c r="I4753" s="64" t="n"/>
      <c r="J4753" s="16" t="n"/>
      <c r="K4753" s="16" t="n"/>
      <c r="M4753" s="89" t="n"/>
      <c r="N4753" s="1" t="n"/>
      <c r="O4753" s="1" t="n"/>
      <c r="P4753" s="1" t="n"/>
      <c r="Q4753" s="1" t="n"/>
      <c r="R4753" s="1" t="n"/>
    </row>
    <row r="4754">
      <c r="A4754" s="61" t="n"/>
      <c r="B4754" s="16" t="n"/>
      <c r="C4754" s="90" t="n"/>
      <c r="D4754" s="90" t="n"/>
      <c r="E4754" s="90" t="n"/>
      <c r="F4754" s="16" t="n"/>
      <c r="G4754" s="16" t="n"/>
      <c r="H4754" s="63" t="n"/>
      <c r="I4754" s="64" t="n"/>
      <c r="J4754" s="16" t="n"/>
      <c r="K4754" s="16" t="n"/>
      <c r="M4754" s="89" t="n"/>
      <c r="N4754" s="1" t="n"/>
      <c r="O4754" s="1" t="n"/>
      <c r="P4754" s="1" t="n"/>
      <c r="Q4754" s="1" t="n"/>
      <c r="R4754" s="1" t="n"/>
    </row>
    <row r="4755">
      <c r="A4755" s="61" t="n"/>
      <c r="B4755" s="16" t="n"/>
      <c r="C4755" s="90" t="n"/>
      <c r="D4755" s="90" t="n"/>
      <c r="E4755" s="90" t="n"/>
      <c r="F4755" s="16" t="n"/>
      <c r="G4755" s="16" t="n"/>
      <c r="H4755" s="63" t="n"/>
      <c r="I4755" s="64" t="n"/>
      <c r="J4755" s="16" t="n"/>
      <c r="K4755" s="16" t="n"/>
      <c r="M4755" s="89" t="n"/>
      <c r="N4755" s="1" t="n"/>
      <c r="O4755" s="1" t="n"/>
      <c r="P4755" s="1" t="n"/>
      <c r="Q4755" s="1" t="n"/>
      <c r="R4755" s="1" t="n"/>
    </row>
    <row r="4756">
      <c r="A4756" s="61" t="n"/>
      <c r="B4756" s="16" t="n"/>
      <c r="C4756" s="90" t="n"/>
      <c r="D4756" s="90" t="n"/>
      <c r="E4756" s="90" t="n"/>
      <c r="F4756" s="16" t="n"/>
      <c r="G4756" s="16" t="n"/>
      <c r="H4756" s="63" t="n"/>
      <c r="I4756" s="64" t="n"/>
      <c r="J4756" s="16" t="n"/>
      <c r="K4756" s="16" t="n"/>
      <c r="M4756" s="89" t="n"/>
      <c r="N4756" s="1" t="n"/>
      <c r="O4756" s="1" t="n"/>
      <c r="P4756" s="1" t="n"/>
      <c r="Q4756" s="1" t="n"/>
      <c r="R4756" s="1" t="n"/>
    </row>
    <row r="4757">
      <c r="A4757" s="61" t="n"/>
      <c r="B4757" s="16" t="n"/>
      <c r="C4757" s="90" t="n"/>
      <c r="D4757" s="90" t="n"/>
      <c r="E4757" s="90" t="n"/>
      <c r="F4757" s="16" t="n"/>
      <c r="G4757" s="16" t="n"/>
      <c r="H4757" s="63" t="n"/>
      <c r="I4757" s="64" t="n"/>
      <c r="J4757" s="16" t="n"/>
      <c r="K4757" s="16" t="n"/>
      <c r="M4757" s="89" t="n"/>
      <c r="N4757" s="1" t="n"/>
      <c r="O4757" s="1" t="n"/>
      <c r="P4757" s="1" t="n"/>
      <c r="Q4757" s="1" t="n"/>
      <c r="R4757" s="1" t="n"/>
    </row>
    <row r="4758">
      <c r="A4758" s="61" t="n"/>
      <c r="B4758" s="16" t="n"/>
      <c r="C4758" s="90" t="n"/>
      <c r="D4758" s="90" t="n"/>
      <c r="E4758" s="90" t="n"/>
      <c r="F4758" s="16" t="n"/>
      <c r="G4758" s="16" t="n"/>
      <c r="H4758" s="63" t="n"/>
      <c r="I4758" s="64" t="n"/>
      <c r="J4758" s="16" t="n"/>
      <c r="K4758" s="16" t="n"/>
      <c r="M4758" s="89" t="n"/>
      <c r="N4758" s="1" t="n"/>
      <c r="O4758" s="1" t="n"/>
      <c r="P4758" s="1" t="n"/>
      <c r="Q4758" s="1" t="n"/>
      <c r="R4758" s="1" t="n"/>
    </row>
    <row r="4759">
      <c r="A4759" s="61" t="n"/>
      <c r="B4759" s="16" t="n"/>
      <c r="C4759" s="90" t="n"/>
      <c r="D4759" s="90" t="n"/>
      <c r="E4759" s="90" t="n"/>
      <c r="F4759" s="16" t="n"/>
      <c r="G4759" s="16" t="n"/>
      <c r="H4759" s="63" t="n"/>
      <c r="I4759" s="64" t="n"/>
      <c r="J4759" s="16" t="n"/>
      <c r="K4759" s="16" t="n"/>
      <c r="M4759" s="89" t="n"/>
      <c r="N4759" s="1" t="n"/>
      <c r="O4759" s="1" t="n"/>
      <c r="P4759" s="1" t="n"/>
      <c r="Q4759" s="1" t="n"/>
      <c r="R4759" s="1" t="n"/>
    </row>
    <row r="4760">
      <c r="A4760" s="61" t="n"/>
      <c r="B4760" s="16" t="n"/>
      <c r="C4760" s="90" t="n"/>
      <c r="D4760" s="90" t="n"/>
      <c r="E4760" s="90" t="n"/>
      <c r="F4760" s="16" t="n"/>
      <c r="G4760" s="16" t="n"/>
      <c r="H4760" s="63" t="n"/>
      <c r="I4760" s="64" t="n"/>
      <c r="J4760" s="16" t="n"/>
      <c r="K4760" s="16" t="n"/>
      <c r="M4760" s="89" t="n"/>
      <c r="N4760" s="1" t="n"/>
      <c r="O4760" s="1" t="n"/>
      <c r="P4760" s="1" t="n"/>
      <c r="Q4760" s="1" t="n"/>
      <c r="R4760" s="1" t="n"/>
    </row>
    <row r="4761">
      <c r="A4761" s="61" t="n"/>
      <c r="B4761" s="16" t="n"/>
      <c r="C4761" s="90" t="n"/>
      <c r="D4761" s="90" t="n"/>
      <c r="E4761" s="90" t="n"/>
      <c r="F4761" s="16" t="n"/>
      <c r="G4761" s="16" t="n"/>
      <c r="H4761" s="63" t="n"/>
      <c r="I4761" s="64" t="n"/>
      <c r="J4761" s="16" t="n"/>
      <c r="K4761" s="16" t="n"/>
      <c r="M4761" s="89" t="n"/>
      <c r="N4761" s="1" t="n"/>
      <c r="O4761" s="1" t="n"/>
      <c r="P4761" s="1" t="n"/>
      <c r="Q4761" s="1" t="n"/>
      <c r="R4761" s="1" t="n"/>
    </row>
    <row r="4762">
      <c r="A4762" s="61" t="n"/>
      <c r="B4762" s="16" t="n"/>
      <c r="C4762" s="90" t="n"/>
      <c r="D4762" s="90" t="n"/>
      <c r="E4762" s="90" t="n"/>
      <c r="F4762" s="16" t="n"/>
      <c r="G4762" s="16" t="n"/>
      <c r="H4762" s="63" t="n"/>
      <c r="I4762" s="64" t="n"/>
      <c r="J4762" s="16" t="n"/>
      <c r="K4762" s="16" t="n"/>
      <c r="M4762" s="89" t="n"/>
      <c r="N4762" s="1" t="n"/>
      <c r="O4762" s="1" t="n"/>
      <c r="P4762" s="1" t="n"/>
      <c r="Q4762" s="1" t="n"/>
      <c r="R4762" s="1" t="n"/>
    </row>
    <row r="4763">
      <c r="A4763" s="61" t="n"/>
      <c r="B4763" s="16" t="n"/>
      <c r="C4763" s="90" t="n"/>
      <c r="D4763" s="90" t="n"/>
      <c r="E4763" s="90" t="n"/>
      <c r="F4763" s="16" t="n"/>
      <c r="G4763" s="16" t="n"/>
      <c r="H4763" s="63" t="n"/>
      <c r="I4763" s="64" t="n"/>
      <c r="J4763" s="16" t="n"/>
      <c r="K4763" s="16" t="n"/>
      <c r="M4763" s="89" t="n"/>
      <c r="N4763" s="1" t="n"/>
      <c r="O4763" s="1" t="n"/>
      <c r="P4763" s="1" t="n"/>
      <c r="Q4763" s="1" t="n"/>
      <c r="R4763" s="1" t="n"/>
    </row>
    <row r="4764">
      <c r="A4764" s="61" t="n"/>
      <c r="B4764" s="16" t="n"/>
      <c r="C4764" s="90" t="n"/>
      <c r="D4764" s="90" t="n"/>
      <c r="E4764" s="90" t="n"/>
      <c r="F4764" s="16" t="n"/>
      <c r="G4764" s="16" t="n"/>
      <c r="H4764" s="63" t="n"/>
      <c r="I4764" s="64" t="n"/>
      <c r="J4764" s="16" t="n"/>
      <c r="K4764" s="16" t="n"/>
      <c r="M4764" s="89" t="n"/>
      <c r="N4764" s="1" t="n"/>
      <c r="O4764" s="1" t="n"/>
      <c r="P4764" s="1" t="n"/>
      <c r="Q4764" s="1" t="n"/>
      <c r="R4764" s="1" t="n"/>
    </row>
    <row r="4765">
      <c r="A4765" s="61" t="n"/>
      <c r="B4765" s="16" t="n"/>
      <c r="C4765" s="90" t="n"/>
      <c r="D4765" s="90" t="n"/>
      <c r="E4765" s="90" t="n"/>
      <c r="F4765" s="16" t="n"/>
      <c r="G4765" s="16" t="n"/>
      <c r="H4765" s="63" t="n"/>
      <c r="I4765" s="64" t="n"/>
      <c r="J4765" s="16" t="n"/>
      <c r="K4765" s="16" t="n"/>
      <c r="M4765" s="89" t="n"/>
      <c r="N4765" s="1" t="n"/>
      <c r="O4765" s="1" t="n"/>
      <c r="P4765" s="1" t="n"/>
      <c r="Q4765" s="1" t="n"/>
      <c r="R4765" s="1" t="n"/>
    </row>
    <row r="4766">
      <c r="A4766" s="61" t="n"/>
      <c r="B4766" s="16" t="n"/>
      <c r="C4766" s="90" t="n"/>
      <c r="D4766" s="90" t="n"/>
      <c r="E4766" s="90" t="n"/>
      <c r="F4766" s="16" t="n"/>
      <c r="G4766" s="16" t="n"/>
      <c r="H4766" s="63" t="n"/>
      <c r="I4766" s="64" t="n"/>
      <c r="J4766" s="16" t="n"/>
      <c r="K4766" s="16" t="n"/>
      <c r="M4766" s="89" t="n"/>
      <c r="N4766" s="1" t="n"/>
      <c r="O4766" s="1" t="n"/>
      <c r="P4766" s="1" t="n"/>
      <c r="Q4766" s="1" t="n"/>
      <c r="R4766" s="1" t="n"/>
    </row>
    <row r="4767">
      <c r="A4767" s="61" t="n"/>
      <c r="B4767" s="16" t="n"/>
      <c r="C4767" s="90" t="n"/>
      <c r="D4767" s="90" t="n"/>
      <c r="E4767" s="90" t="n"/>
      <c r="F4767" s="16" t="n"/>
      <c r="G4767" s="16" t="n"/>
      <c r="H4767" s="63" t="n"/>
      <c r="I4767" s="64" t="n"/>
      <c r="J4767" s="16" t="n"/>
      <c r="K4767" s="16" t="n"/>
      <c r="M4767" s="89" t="n"/>
      <c r="N4767" s="1" t="n"/>
      <c r="O4767" s="1" t="n"/>
      <c r="P4767" s="1" t="n"/>
      <c r="Q4767" s="1" t="n"/>
      <c r="R4767" s="1" t="n"/>
    </row>
    <row r="4768">
      <c r="A4768" s="61" t="n"/>
      <c r="B4768" s="16" t="n"/>
      <c r="C4768" s="90" t="n"/>
      <c r="D4768" s="90" t="n"/>
      <c r="E4768" s="90" t="n"/>
      <c r="F4768" s="16" t="n"/>
      <c r="G4768" s="16" t="n"/>
      <c r="H4768" s="63" t="n"/>
      <c r="I4768" s="64" t="n"/>
      <c r="J4768" s="16" t="n"/>
      <c r="K4768" s="16" t="n"/>
      <c r="M4768" s="89" t="n"/>
      <c r="N4768" s="1" t="n"/>
      <c r="O4768" s="1" t="n"/>
      <c r="P4768" s="1" t="n"/>
      <c r="Q4768" s="1" t="n"/>
      <c r="R4768" s="1" t="n"/>
    </row>
    <row r="4769">
      <c r="A4769" s="61" t="n"/>
      <c r="B4769" s="16" t="n"/>
      <c r="C4769" s="90" t="n"/>
      <c r="D4769" s="90" t="n"/>
      <c r="E4769" s="90" t="n"/>
      <c r="F4769" s="16" t="n"/>
      <c r="G4769" s="16" t="n"/>
      <c r="H4769" s="63" t="n"/>
      <c r="I4769" s="64" t="n"/>
      <c r="J4769" s="16" t="n"/>
      <c r="K4769" s="16" t="n"/>
      <c r="M4769" s="89" t="n"/>
      <c r="N4769" s="1" t="n"/>
      <c r="O4769" s="1" t="n"/>
      <c r="P4769" s="1" t="n"/>
      <c r="Q4769" s="1" t="n"/>
      <c r="R4769" s="1" t="n"/>
    </row>
    <row r="4770">
      <c r="A4770" s="61" t="n"/>
      <c r="B4770" s="16" t="n"/>
      <c r="C4770" s="90" t="n"/>
      <c r="D4770" s="90" t="n"/>
      <c r="E4770" s="90" t="n"/>
      <c r="F4770" s="16" t="n"/>
      <c r="G4770" s="16" t="n"/>
      <c r="H4770" s="63" t="n"/>
      <c r="I4770" s="64" t="n"/>
      <c r="J4770" s="16" t="n"/>
      <c r="K4770" s="16" t="n"/>
      <c r="M4770" s="89" t="n"/>
      <c r="N4770" s="1" t="n"/>
      <c r="O4770" s="1" t="n"/>
      <c r="P4770" s="1" t="n"/>
      <c r="Q4770" s="1" t="n"/>
      <c r="R4770" s="1" t="n"/>
    </row>
    <row r="4771">
      <c r="A4771" s="61" t="n"/>
      <c r="B4771" s="16" t="n"/>
      <c r="C4771" s="90" t="n"/>
      <c r="D4771" s="90" t="n"/>
      <c r="E4771" s="90" t="n"/>
      <c r="F4771" s="16" t="n"/>
      <c r="G4771" s="16" t="n"/>
      <c r="H4771" s="63" t="n"/>
      <c r="I4771" s="64" t="n"/>
      <c r="J4771" s="16" t="n"/>
      <c r="K4771" s="16" t="n"/>
      <c r="M4771" s="89" t="n"/>
      <c r="N4771" s="1" t="n"/>
      <c r="O4771" s="1" t="n"/>
      <c r="P4771" s="1" t="n"/>
      <c r="Q4771" s="1" t="n"/>
      <c r="R4771" s="1" t="n"/>
    </row>
    <row r="4772">
      <c r="A4772" s="61" t="n"/>
      <c r="B4772" s="16" t="n"/>
      <c r="C4772" s="90" t="n"/>
      <c r="D4772" s="90" t="n"/>
      <c r="E4772" s="90" t="n"/>
      <c r="F4772" s="16" t="n"/>
      <c r="G4772" s="16" t="n"/>
      <c r="H4772" s="63" t="n"/>
      <c r="I4772" s="64" t="n"/>
      <c r="J4772" s="16" t="n"/>
      <c r="K4772" s="16" t="n"/>
      <c r="M4772" s="89" t="n"/>
      <c r="N4772" s="1" t="n"/>
      <c r="O4772" s="1" t="n"/>
      <c r="P4772" s="1" t="n"/>
      <c r="Q4772" s="1" t="n"/>
      <c r="R4772" s="1" t="n"/>
    </row>
    <row r="4773">
      <c r="A4773" s="61" t="n"/>
      <c r="B4773" s="16" t="n"/>
      <c r="C4773" s="90" t="n"/>
      <c r="D4773" s="90" t="n"/>
      <c r="E4773" s="90" t="n"/>
      <c r="F4773" s="16" t="n"/>
      <c r="G4773" s="16" t="n"/>
      <c r="H4773" s="63" t="n"/>
      <c r="I4773" s="64" t="n"/>
      <c r="J4773" s="16" t="n"/>
      <c r="K4773" s="16" t="n"/>
      <c r="M4773" s="89" t="n"/>
      <c r="N4773" s="1" t="n"/>
      <c r="O4773" s="1" t="n"/>
      <c r="P4773" s="1" t="n"/>
      <c r="Q4773" s="1" t="n"/>
      <c r="R4773" s="1" t="n"/>
    </row>
    <row r="4774">
      <c r="A4774" s="61" t="n"/>
      <c r="B4774" s="16" t="n"/>
      <c r="C4774" s="90" t="n"/>
      <c r="D4774" s="90" t="n"/>
      <c r="E4774" s="90" t="n"/>
      <c r="F4774" s="16" t="n"/>
      <c r="G4774" s="16" t="n"/>
      <c r="H4774" s="63" t="n"/>
      <c r="I4774" s="64" t="n"/>
      <c r="J4774" s="16" t="n"/>
      <c r="K4774" s="16" t="n"/>
      <c r="M4774" s="89" t="n"/>
      <c r="N4774" s="1" t="n"/>
      <c r="O4774" s="1" t="n"/>
      <c r="P4774" s="1" t="n"/>
      <c r="Q4774" s="1" t="n"/>
      <c r="R4774" s="1" t="n"/>
    </row>
    <row r="4775">
      <c r="A4775" s="61" t="n"/>
      <c r="B4775" s="16" t="n"/>
      <c r="C4775" s="90" t="n"/>
      <c r="D4775" s="90" t="n"/>
      <c r="E4775" s="90" t="n"/>
      <c r="F4775" s="16" t="n"/>
      <c r="G4775" s="16" t="n"/>
      <c r="H4775" s="63" t="n"/>
      <c r="I4775" s="64" t="n"/>
      <c r="J4775" s="16" t="n"/>
      <c r="K4775" s="16" t="n"/>
      <c r="M4775" s="89" t="n"/>
      <c r="N4775" s="1" t="n"/>
      <c r="O4775" s="1" t="n"/>
      <c r="P4775" s="1" t="n"/>
      <c r="Q4775" s="1" t="n"/>
      <c r="R4775" s="1" t="n"/>
    </row>
    <row r="4776">
      <c r="A4776" s="61" t="n"/>
      <c r="B4776" s="16" t="n"/>
      <c r="C4776" s="90" t="n"/>
      <c r="D4776" s="90" t="n"/>
      <c r="E4776" s="90" t="n"/>
      <c r="F4776" s="16" t="n"/>
      <c r="G4776" s="16" t="n"/>
      <c r="H4776" s="63" t="n"/>
      <c r="I4776" s="64" t="n"/>
      <c r="J4776" s="16" t="n"/>
      <c r="K4776" s="16" t="n"/>
      <c r="M4776" s="89" t="n"/>
      <c r="N4776" s="1" t="n"/>
      <c r="O4776" s="1" t="n"/>
      <c r="P4776" s="1" t="n"/>
      <c r="Q4776" s="1" t="n"/>
      <c r="R4776" s="1" t="n"/>
    </row>
    <row r="4777">
      <c r="A4777" s="61" t="n"/>
      <c r="B4777" s="16" t="n"/>
      <c r="C4777" s="90" t="n"/>
      <c r="D4777" s="90" t="n"/>
      <c r="E4777" s="90" t="n"/>
      <c r="F4777" s="16" t="n"/>
      <c r="G4777" s="16" t="n"/>
      <c r="H4777" s="63" t="n"/>
      <c r="I4777" s="64" t="n"/>
      <c r="J4777" s="16" t="n"/>
      <c r="K4777" s="16" t="n"/>
      <c r="M4777" s="89" t="n"/>
      <c r="N4777" s="1" t="n"/>
      <c r="O4777" s="1" t="n"/>
      <c r="P4777" s="1" t="n"/>
      <c r="Q4777" s="1" t="n"/>
      <c r="R4777" s="1" t="n"/>
    </row>
    <row r="4778">
      <c r="A4778" s="61" t="n"/>
      <c r="B4778" s="16" t="n"/>
      <c r="C4778" s="90" t="n"/>
      <c r="D4778" s="90" t="n"/>
      <c r="E4778" s="90" t="n"/>
      <c r="F4778" s="16" t="n"/>
      <c r="G4778" s="16" t="n"/>
      <c r="H4778" s="63" t="n"/>
      <c r="I4778" s="64" t="n"/>
      <c r="J4778" s="16" t="n"/>
      <c r="K4778" s="16" t="n"/>
      <c r="M4778" s="89" t="n"/>
      <c r="N4778" s="1" t="n"/>
      <c r="O4778" s="1" t="n"/>
      <c r="P4778" s="1" t="n"/>
      <c r="Q4778" s="1" t="n"/>
      <c r="R4778" s="1" t="n"/>
    </row>
    <row r="4779">
      <c r="A4779" s="61" t="n"/>
      <c r="B4779" s="16" t="n"/>
      <c r="C4779" s="90" t="n"/>
      <c r="D4779" s="90" t="n"/>
      <c r="E4779" s="90" t="n"/>
      <c r="F4779" s="16" t="n"/>
      <c r="G4779" s="16" t="n"/>
      <c r="H4779" s="63" t="n"/>
      <c r="I4779" s="64" t="n"/>
      <c r="J4779" s="16" t="n"/>
      <c r="K4779" s="16" t="n"/>
      <c r="M4779" s="89" t="n"/>
      <c r="N4779" s="1" t="n"/>
      <c r="O4779" s="1" t="n"/>
      <c r="P4779" s="1" t="n"/>
      <c r="Q4779" s="1" t="n"/>
      <c r="R4779" s="1" t="n"/>
    </row>
    <row r="4780">
      <c r="A4780" s="61" t="n"/>
      <c r="B4780" s="16" t="n"/>
      <c r="C4780" s="90" t="n"/>
      <c r="D4780" s="90" t="n"/>
      <c r="E4780" s="90" t="n"/>
      <c r="F4780" s="16" t="n"/>
      <c r="G4780" s="16" t="n"/>
      <c r="H4780" s="63" t="n"/>
      <c r="I4780" s="64" t="n"/>
      <c r="J4780" s="16" t="n"/>
      <c r="K4780" s="16" t="n"/>
      <c r="M4780" s="89" t="n"/>
      <c r="N4780" s="1" t="n"/>
      <c r="O4780" s="1" t="n"/>
      <c r="P4780" s="1" t="n"/>
      <c r="Q4780" s="1" t="n"/>
      <c r="R4780" s="1" t="n"/>
    </row>
    <row r="4781">
      <c r="A4781" s="61" t="n"/>
      <c r="B4781" s="16" t="n"/>
      <c r="C4781" s="90" t="n"/>
      <c r="D4781" s="90" t="n"/>
      <c r="E4781" s="90" t="n"/>
      <c r="F4781" s="16" t="n"/>
      <c r="G4781" s="16" t="n"/>
      <c r="H4781" s="63" t="n"/>
      <c r="I4781" s="64" t="n"/>
      <c r="J4781" s="16" t="n"/>
      <c r="K4781" s="16" t="n"/>
      <c r="M4781" s="89" t="n"/>
      <c r="N4781" s="1" t="n"/>
      <c r="O4781" s="1" t="n"/>
      <c r="P4781" s="1" t="n"/>
      <c r="Q4781" s="1" t="n"/>
      <c r="R4781" s="1" t="n"/>
    </row>
    <row r="4782">
      <c r="A4782" s="61" t="n"/>
      <c r="B4782" s="16" t="n"/>
      <c r="C4782" s="90" t="n"/>
      <c r="D4782" s="90" t="n"/>
      <c r="E4782" s="90" t="n"/>
      <c r="F4782" s="16" t="n"/>
      <c r="G4782" s="16" t="n"/>
      <c r="H4782" s="63" t="n"/>
      <c r="I4782" s="64" t="n"/>
      <c r="J4782" s="16" t="n"/>
      <c r="K4782" s="16" t="n"/>
      <c r="M4782" s="89" t="n"/>
      <c r="N4782" s="1" t="n"/>
      <c r="O4782" s="1" t="n"/>
      <c r="P4782" s="1" t="n"/>
      <c r="Q4782" s="1" t="n"/>
      <c r="R4782" s="1" t="n"/>
    </row>
    <row r="4783">
      <c r="A4783" s="61" t="n"/>
      <c r="B4783" s="16" t="n"/>
      <c r="C4783" s="90" t="n"/>
      <c r="D4783" s="90" t="n"/>
      <c r="E4783" s="90" t="n"/>
      <c r="F4783" s="16" t="n"/>
      <c r="G4783" s="16" t="n"/>
      <c r="H4783" s="63" t="n"/>
      <c r="I4783" s="64" t="n"/>
      <c r="J4783" s="16" t="n"/>
      <c r="K4783" s="16" t="n"/>
      <c r="M4783" s="89" t="n"/>
      <c r="N4783" s="1" t="n"/>
      <c r="O4783" s="1" t="n"/>
      <c r="P4783" s="1" t="n"/>
      <c r="Q4783" s="1" t="n"/>
      <c r="R4783" s="1" t="n"/>
    </row>
    <row r="4784">
      <c r="A4784" s="61" t="n"/>
      <c r="B4784" s="16" t="n"/>
      <c r="C4784" s="90" t="n"/>
      <c r="D4784" s="90" t="n"/>
      <c r="E4784" s="90" t="n"/>
      <c r="F4784" s="16" t="n"/>
      <c r="G4784" s="16" t="n"/>
      <c r="H4784" s="63" t="n"/>
      <c r="I4784" s="64" t="n"/>
      <c r="J4784" s="16" t="n"/>
      <c r="K4784" s="16" t="n"/>
      <c r="M4784" s="89" t="n"/>
      <c r="N4784" s="1" t="n"/>
      <c r="O4784" s="1" t="n"/>
      <c r="P4784" s="1" t="n"/>
      <c r="Q4784" s="1" t="n"/>
      <c r="R4784" s="1" t="n"/>
    </row>
    <row r="4785">
      <c r="A4785" s="61" t="n"/>
      <c r="B4785" s="16" t="n"/>
      <c r="C4785" s="90" t="n"/>
      <c r="D4785" s="90" t="n"/>
      <c r="E4785" s="90" t="n"/>
      <c r="F4785" s="16" t="n"/>
      <c r="G4785" s="16" t="n"/>
      <c r="H4785" s="63" t="n"/>
      <c r="I4785" s="64" t="n"/>
      <c r="J4785" s="16" t="n"/>
      <c r="K4785" s="16" t="n"/>
      <c r="M4785" s="89" t="n"/>
      <c r="N4785" s="1" t="n"/>
      <c r="O4785" s="1" t="n"/>
      <c r="P4785" s="1" t="n"/>
      <c r="Q4785" s="1" t="n"/>
      <c r="R4785" s="1" t="n"/>
    </row>
    <row r="4786">
      <c r="A4786" s="61" t="n"/>
      <c r="B4786" s="16" t="n"/>
      <c r="C4786" s="90" t="n"/>
      <c r="D4786" s="90" t="n"/>
      <c r="E4786" s="90" t="n"/>
      <c r="F4786" s="16" t="n"/>
      <c r="G4786" s="16" t="n"/>
      <c r="H4786" s="63" t="n"/>
      <c r="I4786" s="64" t="n"/>
      <c r="J4786" s="16" t="n"/>
      <c r="K4786" s="16" t="n"/>
      <c r="M4786" s="89" t="n"/>
      <c r="N4786" s="1" t="n"/>
      <c r="O4786" s="1" t="n"/>
      <c r="P4786" s="1" t="n"/>
      <c r="Q4786" s="1" t="n"/>
      <c r="R4786" s="1" t="n"/>
    </row>
    <row r="4787">
      <c r="A4787" s="61" t="n"/>
      <c r="B4787" s="16" t="n"/>
      <c r="C4787" s="90" t="n"/>
      <c r="D4787" s="90" t="n"/>
      <c r="E4787" s="90" t="n"/>
      <c r="F4787" s="16" t="n"/>
      <c r="G4787" s="16" t="n"/>
      <c r="H4787" s="63" t="n"/>
      <c r="I4787" s="64" t="n"/>
      <c r="J4787" s="16" t="n"/>
      <c r="K4787" s="16" t="n"/>
      <c r="M4787" s="89" t="n"/>
      <c r="N4787" s="1" t="n"/>
      <c r="O4787" s="1" t="n"/>
      <c r="P4787" s="1" t="n"/>
      <c r="Q4787" s="1" t="n"/>
      <c r="R4787" s="1" t="n"/>
    </row>
    <row r="4788">
      <c r="A4788" s="61" t="n"/>
      <c r="B4788" s="16" t="n"/>
      <c r="C4788" s="90" t="n"/>
      <c r="D4788" s="90" t="n"/>
      <c r="E4788" s="90" t="n"/>
      <c r="F4788" s="16" t="n"/>
      <c r="G4788" s="16" t="n"/>
      <c r="H4788" s="63" t="n"/>
      <c r="I4788" s="64" t="n"/>
      <c r="J4788" s="16" t="n"/>
      <c r="K4788" s="16" t="n"/>
      <c r="M4788" s="89" t="n"/>
      <c r="N4788" s="1" t="n"/>
      <c r="O4788" s="1" t="n"/>
      <c r="P4788" s="1" t="n"/>
      <c r="Q4788" s="1" t="n"/>
      <c r="R4788" s="1" t="n"/>
    </row>
    <row r="4789">
      <c r="A4789" s="61" t="n"/>
      <c r="B4789" s="16" t="n"/>
      <c r="C4789" s="90" t="n"/>
      <c r="D4789" s="90" t="n"/>
      <c r="E4789" s="90" t="n"/>
      <c r="F4789" s="16" t="n"/>
      <c r="G4789" s="16" t="n"/>
      <c r="H4789" s="63" t="n"/>
      <c r="I4789" s="64" t="n"/>
      <c r="J4789" s="16" t="n"/>
      <c r="K4789" s="16" t="n"/>
      <c r="M4789" s="89" t="n"/>
      <c r="N4789" s="1" t="n"/>
      <c r="O4789" s="1" t="n"/>
      <c r="P4789" s="1" t="n"/>
      <c r="Q4789" s="1" t="n"/>
      <c r="R4789" s="1" t="n"/>
    </row>
    <row r="4790">
      <c r="A4790" s="61" t="n"/>
      <c r="B4790" s="16" t="n"/>
      <c r="C4790" s="90" t="n"/>
      <c r="D4790" s="90" t="n"/>
      <c r="E4790" s="90" t="n"/>
      <c r="F4790" s="16" t="n"/>
      <c r="G4790" s="16" t="n"/>
      <c r="H4790" s="63" t="n"/>
      <c r="I4790" s="64" t="n"/>
      <c r="J4790" s="16" t="n"/>
      <c r="K4790" s="16" t="n"/>
      <c r="M4790" s="89" t="n"/>
      <c r="N4790" s="1" t="n"/>
      <c r="O4790" s="1" t="n"/>
      <c r="P4790" s="1" t="n"/>
      <c r="Q4790" s="1" t="n"/>
      <c r="R4790" s="1" t="n"/>
    </row>
    <row r="4791">
      <c r="A4791" s="61" t="n"/>
      <c r="B4791" s="16" t="n"/>
      <c r="C4791" s="90" t="n"/>
      <c r="D4791" s="90" t="n"/>
      <c r="E4791" s="90" t="n"/>
      <c r="F4791" s="16" t="n"/>
      <c r="G4791" s="16" t="n"/>
      <c r="H4791" s="63" t="n"/>
      <c r="I4791" s="64" t="n"/>
      <c r="J4791" s="16" t="n"/>
      <c r="K4791" s="16" t="n"/>
      <c r="M4791" s="89" t="n"/>
      <c r="N4791" s="1" t="n"/>
      <c r="O4791" s="1" t="n"/>
      <c r="P4791" s="1" t="n"/>
      <c r="Q4791" s="1" t="n"/>
      <c r="R4791" s="1" t="n"/>
    </row>
    <row r="4792">
      <c r="A4792" s="61" t="n"/>
      <c r="B4792" s="16" t="n"/>
      <c r="C4792" s="90" t="n"/>
      <c r="D4792" s="90" t="n"/>
      <c r="E4792" s="90" t="n"/>
      <c r="F4792" s="16" t="n"/>
      <c r="G4792" s="16" t="n"/>
      <c r="H4792" s="63" t="n"/>
      <c r="I4792" s="64" t="n"/>
      <c r="J4792" s="16" t="n"/>
      <c r="K4792" s="16" t="n"/>
      <c r="M4792" s="89" t="n"/>
      <c r="N4792" s="1" t="n"/>
      <c r="O4792" s="1" t="n"/>
      <c r="P4792" s="1" t="n"/>
      <c r="Q4792" s="1" t="n"/>
      <c r="R4792" s="1" t="n"/>
    </row>
    <row r="4793">
      <c r="A4793" s="61" t="n"/>
      <c r="B4793" s="16" t="n"/>
      <c r="C4793" s="90" t="n"/>
      <c r="D4793" s="90" t="n"/>
      <c r="E4793" s="90" t="n"/>
      <c r="F4793" s="16" t="n"/>
      <c r="G4793" s="16" t="n"/>
      <c r="H4793" s="63" t="n"/>
      <c r="I4793" s="64" t="n"/>
      <c r="J4793" s="16" t="n"/>
      <c r="K4793" s="16" t="n"/>
      <c r="M4793" s="89" t="n"/>
      <c r="N4793" s="1" t="n"/>
      <c r="O4793" s="1" t="n"/>
      <c r="P4793" s="1" t="n"/>
      <c r="Q4793" s="1" t="n"/>
      <c r="R4793" s="1" t="n"/>
    </row>
    <row r="4794">
      <c r="A4794" s="61" t="n"/>
      <c r="B4794" s="16" t="n"/>
      <c r="C4794" s="90" t="n"/>
      <c r="D4794" s="90" t="n"/>
      <c r="E4794" s="90" t="n"/>
      <c r="F4794" s="16" t="n"/>
      <c r="G4794" s="16" t="n"/>
      <c r="H4794" s="63" t="n"/>
      <c r="I4794" s="64" t="n"/>
      <c r="J4794" s="16" t="n"/>
      <c r="K4794" s="16" t="n"/>
      <c r="M4794" s="89" t="n"/>
      <c r="N4794" s="1" t="n"/>
      <c r="O4794" s="1" t="n"/>
      <c r="P4794" s="1" t="n"/>
      <c r="Q4794" s="1" t="n"/>
      <c r="R4794" s="1" t="n"/>
    </row>
    <row r="4795">
      <c r="A4795" s="61" t="n"/>
      <c r="B4795" s="16" t="n"/>
      <c r="C4795" s="90" t="n"/>
      <c r="D4795" s="90" t="n"/>
      <c r="E4795" s="90" t="n"/>
      <c r="F4795" s="16" t="n"/>
      <c r="G4795" s="16" t="n"/>
      <c r="H4795" s="63" t="n"/>
      <c r="I4795" s="64" t="n"/>
      <c r="J4795" s="16" t="n"/>
      <c r="K4795" s="16" t="n"/>
      <c r="M4795" s="89" t="n"/>
      <c r="N4795" s="1" t="n"/>
      <c r="O4795" s="1" t="n"/>
      <c r="P4795" s="1" t="n"/>
      <c r="Q4795" s="1" t="n"/>
      <c r="R4795" s="1" t="n"/>
    </row>
    <row r="4796">
      <c r="A4796" s="61" t="n"/>
      <c r="B4796" s="16" t="n"/>
      <c r="C4796" s="90" t="n"/>
      <c r="D4796" s="90" t="n"/>
      <c r="E4796" s="90" t="n"/>
      <c r="F4796" s="16" t="n"/>
      <c r="G4796" s="16" t="n"/>
      <c r="H4796" s="63" t="n"/>
      <c r="I4796" s="64" t="n"/>
      <c r="J4796" s="16" t="n"/>
      <c r="K4796" s="16" t="n"/>
      <c r="M4796" s="89" t="n"/>
      <c r="N4796" s="1" t="n"/>
      <c r="O4796" s="1" t="n"/>
      <c r="P4796" s="1" t="n"/>
      <c r="Q4796" s="1" t="n"/>
      <c r="R4796" s="1" t="n"/>
    </row>
    <row r="4797">
      <c r="A4797" s="61" t="n"/>
      <c r="B4797" s="16" t="n"/>
      <c r="C4797" s="90" t="n"/>
      <c r="D4797" s="90" t="n"/>
      <c r="E4797" s="90" t="n"/>
      <c r="F4797" s="16" t="n"/>
      <c r="G4797" s="16" t="n"/>
      <c r="H4797" s="63" t="n"/>
      <c r="I4797" s="64" t="n"/>
      <c r="J4797" s="16" t="n"/>
      <c r="K4797" s="16" t="n"/>
      <c r="M4797" s="89" t="n"/>
      <c r="N4797" s="1" t="n"/>
      <c r="O4797" s="1" t="n"/>
      <c r="P4797" s="1" t="n"/>
      <c r="Q4797" s="1" t="n"/>
      <c r="R4797" s="1" t="n"/>
    </row>
    <row r="4798">
      <c r="A4798" s="61" t="n"/>
      <c r="B4798" s="16" t="n"/>
      <c r="C4798" s="90" t="n"/>
      <c r="D4798" s="90" t="n"/>
      <c r="E4798" s="90" t="n"/>
      <c r="F4798" s="16" t="n"/>
      <c r="G4798" s="16" t="n"/>
      <c r="H4798" s="63" t="n"/>
      <c r="I4798" s="64" t="n"/>
      <c r="J4798" s="16" t="n"/>
      <c r="K4798" s="16" t="n"/>
      <c r="M4798" s="89" t="n"/>
      <c r="N4798" s="1" t="n"/>
      <c r="O4798" s="1" t="n"/>
      <c r="P4798" s="1" t="n"/>
      <c r="Q4798" s="1" t="n"/>
      <c r="R4798" s="1" t="n"/>
    </row>
    <row r="4799">
      <c r="A4799" s="61" t="n"/>
      <c r="B4799" s="16" t="n"/>
      <c r="C4799" s="90" t="n"/>
      <c r="D4799" s="90" t="n"/>
      <c r="E4799" s="90" t="n"/>
      <c r="F4799" s="16" t="n"/>
      <c r="G4799" s="16" t="n"/>
      <c r="H4799" s="63" t="n"/>
      <c r="I4799" s="64" t="n"/>
      <c r="J4799" s="16" t="n"/>
      <c r="K4799" s="16" t="n"/>
      <c r="M4799" s="89" t="n"/>
      <c r="N4799" s="1" t="n"/>
      <c r="O4799" s="1" t="n"/>
      <c r="P4799" s="1" t="n"/>
      <c r="Q4799" s="1" t="n"/>
      <c r="R4799" s="1" t="n"/>
    </row>
    <row r="4800">
      <c r="A4800" s="61" t="n"/>
      <c r="B4800" s="16" t="n"/>
      <c r="C4800" s="90" t="n"/>
      <c r="D4800" s="90" t="n"/>
      <c r="E4800" s="90" t="n"/>
      <c r="F4800" s="16" t="n"/>
      <c r="G4800" s="16" t="n"/>
      <c r="H4800" s="63" t="n"/>
      <c r="I4800" s="64" t="n"/>
      <c r="J4800" s="16" t="n"/>
      <c r="K4800" s="16" t="n"/>
      <c r="M4800" s="89" t="n"/>
      <c r="N4800" s="1" t="n"/>
      <c r="O4800" s="1" t="n"/>
      <c r="P4800" s="1" t="n"/>
      <c r="Q4800" s="1" t="n"/>
      <c r="R4800" s="1" t="n"/>
    </row>
    <row r="4801">
      <c r="A4801" s="61" t="n"/>
      <c r="B4801" s="16" t="n"/>
      <c r="C4801" s="90" t="n"/>
      <c r="D4801" s="90" t="n"/>
      <c r="E4801" s="90" t="n"/>
      <c r="F4801" s="16" t="n"/>
      <c r="G4801" s="16" t="n"/>
      <c r="H4801" s="63" t="n"/>
      <c r="I4801" s="64" t="n"/>
      <c r="J4801" s="16" t="n"/>
      <c r="K4801" s="16" t="n"/>
      <c r="M4801" s="89" t="n"/>
      <c r="N4801" s="1" t="n"/>
      <c r="O4801" s="1" t="n"/>
      <c r="P4801" s="1" t="n"/>
      <c r="Q4801" s="1" t="n"/>
      <c r="R4801" s="1" t="n"/>
    </row>
    <row r="4802">
      <c r="A4802" s="61" t="n"/>
      <c r="B4802" s="16" t="n"/>
      <c r="C4802" s="90" t="n"/>
      <c r="D4802" s="90" t="n"/>
      <c r="E4802" s="90" t="n"/>
      <c r="F4802" s="16" t="n"/>
      <c r="G4802" s="16" t="n"/>
      <c r="H4802" s="63" t="n"/>
      <c r="I4802" s="64" t="n"/>
      <c r="J4802" s="16" t="n"/>
      <c r="K4802" s="16" t="n"/>
      <c r="M4802" s="89" t="n"/>
      <c r="N4802" s="1" t="n"/>
      <c r="O4802" s="1" t="n"/>
      <c r="P4802" s="1" t="n"/>
      <c r="Q4802" s="1" t="n"/>
      <c r="R4802" s="1" t="n"/>
    </row>
    <row r="4803">
      <c r="A4803" s="61" t="n"/>
      <c r="B4803" s="16" t="n"/>
      <c r="C4803" s="90" t="n"/>
      <c r="D4803" s="90" t="n"/>
      <c r="E4803" s="90" t="n"/>
      <c r="F4803" s="16" t="n"/>
      <c r="G4803" s="16" t="n"/>
      <c r="H4803" s="63" t="n"/>
      <c r="I4803" s="64" t="n"/>
      <c r="J4803" s="16" t="n"/>
      <c r="K4803" s="16" t="n"/>
      <c r="M4803" s="89" t="n"/>
      <c r="N4803" s="1" t="n"/>
      <c r="O4803" s="1" t="n"/>
      <c r="P4803" s="1" t="n"/>
      <c r="Q4803" s="1" t="n"/>
      <c r="R4803" s="1" t="n"/>
    </row>
    <row r="4804">
      <c r="A4804" s="61" t="n"/>
      <c r="B4804" s="16" t="n"/>
      <c r="C4804" s="90" t="n"/>
      <c r="D4804" s="90" t="n"/>
      <c r="E4804" s="90" t="n"/>
      <c r="F4804" s="16" t="n"/>
      <c r="G4804" s="16" t="n"/>
      <c r="H4804" s="63" t="n"/>
      <c r="I4804" s="64" t="n"/>
      <c r="J4804" s="16" t="n"/>
      <c r="K4804" s="16" t="n"/>
      <c r="M4804" s="89" t="n"/>
      <c r="N4804" s="1" t="n"/>
      <c r="O4804" s="1" t="n"/>
      <c r="P4804" s="1" t="n"/>
      <c r="Q4804" s="1" t="n"/>
      <c r="R4804" s="1" t="n"/>
    </row>
    <row r="4805">
      <c r="A4805" s="61" t="n"/>
      <c r="B4805" s="16" t="n"/>
      <c r="C4805" s="90" t="n"/>
      <c r="D4805" s="90" t="n"/>
      <c r="E4805" s="90" t="n"/>
      <c r="F4805" s="16" t="n"/>
      <c r="G4805" s="16" t="n"/>
      <c r="H4805" s="63" t="n"/>
      <c r="I4805" s="64" t="n"/>
      <c r="J4805" s="16" t="n"/>
      <c r="K4805" s="16" t="n"/>
      <c r="M4805" s="89" t="n"/>
      <c r="N4805" s="1" t="n"/>
      <c r="O4805" s="1" t="n"/>
      <c r="P4805" s="1" t="n"/>
      <c r="Q4805" s="1" t="n"/>
      <c r="R4805" s="1" t="n"/>
    </row>
    <row r="4806">
      <c r="A4806" s="61" t="n"/>
      <c r="B4806" s="16" t="n"/>
      <c r="C4806" s="90" t="n"/>
      <c r="D4806" s="90" t="n"/>
      <c r="E4806" s="90" t="n"/>
      <c r="F4806" s="16" t="n"/>
      <c r="G4806" s="16" t="n"/>
      <c r="H4806" s="63" t="n"/>
      <c r="I4806" s="64" t="n"/>
      <c r="J4806" s="16" t="n"/>
      <c r="K4806" s="16" t="n"/>
      <c r="M4806" s="89" t="n"/>
      <c r="N4806" s="1" t="n"/>
      <c r="O4806" s="1" t="n"/>
      <c r="P4806" s="1" t="n"/>
      <c r="Q4806" s="1" t="n"/>
      <c r="R4806" s="1" t="n"/>
    </row>
    <row r="4807">
      <c r="A4807" s="61" t="n"/>
      <c r="B4807" s="16" t="n"/>
      <c r="C4807" s="90" t="n"/>
      <c r="D4807" s="90" t="n"/>
      <c r="E4807" s="90" t="n"/>
      <c r="F4807" s="16" t="n"/>
      <c r="G4807" s="16" t="n"/>
      <c r="H4807" s="63" t="n"/>
      <c r="I4807" s="64" t="n"/>
      <c r="J4807" s="16" t="n"/>
      <c r="K4807" s="16" t="n"/>
      <c r="M4807" s="89" t="n"/>
      <c r="N4807" s="1" t="n"/>
      <c r="O4807" s="1" t="n"/>
      <c r="P4807" s="1" t="n"/>
      <c r="Q4807" s="1" t="n"/>
      <c r="R4807" s="1" t="n"/>
    </row>
    <row r="4808">
      <c r="A4808" s="61" t="n"/>
      <c r="B4808" s="16" t="n"/>
      <c r="C4808" s="90" t="n"/>
      <c r="D4808" s="90" t="n"/>
      <c r="E4808" s="90" t="n"/>
      <c r="F4808" s="16" t="n"/>
      <c r="G4808" s="16" t="n"/>
      <c r="H4808" s="63" t="n"/>
      <c r="I4808" s="64" t="n"/>
      <c r="J4808" s="16" t="n"/>
      <c r="K4808" s="16" t="n"/>
      <c r="M4808" s="89" t="n"/>
      <c r="N4808" s="1" t="n"/>
      <c r="O4808" s="1" t="n"/>
      <c r="P4808" s="1" t="n"/>
      <c r="Q4808" s="1" t="n"/>
      <c r="R4808" s="1" t="n"/>
    </row>
    <row r="4809">
      <c r="A4809" s="61" t="n"/>
      <c r="B4809" s="16" t="n"/>
      <c r="C4809" s="90" t="n"/>
      <c r="D4809" s="90" t="n"/>
      <c r="E4809" s="90" t="n"/>
      <c r="F4809" s="16" t="n"/>
      <c r="G4809" s="16" t="n"/>
      <c r="H4809" s="63" t="n"/>
      <c r="I4809" s="64" t="n"/>
      <c r="J4809" s="16" t="n"/>
      <c r="K4809" s="16" t="n"/>
      <c r="M4809" s="89" t="n"/>
      <c r="N4809" s="1" t="n"/>
      <c r="O4809" s="1" t="n"/>
      <c r="P4809" s="1" t="n"/>
      <c r="Q4809" s="1" t="n"/>
      <c r="R4809" s="1" t="n"/>
    </row>
    <row r="4810">
      <c r="A4810" s="61" t="n"/>
      <c r="B4810" s="16" t="n"/>
      <c r="C4810" s="90" t="n"/>
      <c r="D4810" s="90" t="n"/>
      <c r="E4810" s="90" t="n"/>
      <c r="F4810" s="16" t="n"/>
      <c r="G4810" s="16" t="n"/>
      <c r="H4810" s="63" t="n"/>
      <c r="I4810" s="64" t="n"/>
      <c r="J4810" s="16" t="n"/>
      <c r="K4810" s="16" t="n"/>
      <c r="M4810" s="89" t="n"/>
      <c r="N4810" s="1" t="n"/>
      <c r="O4810" s="1" t="n"/>
      <c r="P4810" s="1" t="n"/>
      <c r="Q4810" s="1" t="n"/>
      <c r="R4810" s="1" t="n"/>
    </row>
    <row r="4811">
      <c r="A4811" s="61" t="n"/>
      <c r="B4811" s="16" t="n"/>
      <c r="C4811" s="90" t="n"/>
      <c r="D4811" s="90" t="n"/>
      <c r="E4811" s="90" t="n"/>
      <c r="F4811" s="16" t="n"/>
      <c r="G4811" s="16" t="n"/>
      <c r="H4811" s="63" t="n"/>
      <c r="I4811" s="64" t="n"/>
      <c r="J4811" s="16" t="n"/>
      <c r="K4811" s="16" t="n"/>
      <c r="M4811" s="89" t="n"/>
      <c r="N4811" s="1" t="n"/>
      <c r="O4811" s="1" t="n"/>
      <c r="P4811" s="1" t="n"/>
      <c r="Q4811" s="1" t="n"/>
      <c r="R4811" s="1" t="n"/>
    </row>
    <row r="4812">
      <c r="A4812" s="61" t="n"/>
      <c r="B4812" s="16" t="n"/>
      <c r="C4812" s="90" t="n"/>
      <c r="D4812" s="90" t="n"/>
      <c r="E4812" s="90" t="n"/>
      <c r="F4812" s="16" t="n"/>
      <c r="G4812" s="16" t="n"/>
      <c r="H4812" s="63" t="n"/>
      <c r="I4812" s="64" t="n"/>
      <c r="J4812" s="16" t="n"/>
      <c r="K4812" s="16" t="n"/>
      <c r="M4812" s="89" t="n"/>
      <c r="N4812" s="1" t="n"/>
      <c r="O4812" s="1" t="n"/>
      <c r="P4812" s="1" t="n"/>
      <c r="Q4812" s="1" t="n"/>
      <c r="R4812" s="1" t="n"/>
    </row>
    <row r="4813">
      <c r="A4813" s="61" t="n"/>
      <c r="B4813" s="16" t="n"/>
      <c r="C4813" s="90" t="n"/>
      <c r="D4813" s="90" t="n"/>
      <c r="E4813" s="90" t="n"/>
      <c r="F4813" s="16" t="n"/>
      <c r="G4813" s="16" t="n"/>
      <c r="H4813" s="63" t="n"/>
      <c r="I4813" s="64" t="n"/>
      <c r="J4813" s="16" t="n"/>
      <c r="K4813" s="16" t="n"/>
      <c r="M4813" s="89" t="n"/>
      <c r="N4813" s="1" t="n"/>
      <c r="O4813" s="1" t="n"/>
      <c r="P4813" s="1" t="n"/>
      <c r="Q4813" s="1" t="n"/>
      <c r="R4813" s="1" t="n"/>
    </row>
    <row r="4814">
      <c r="A4814" s="61" t="n"/>
      <c r="B4814" s="16" t="n"/>
      <c r="C4814" s="90" t="n"/>
      <c r="D4814" s="90" t="n"/>
      <c r="E4814" s="90" t="n"/>
      <c r="F4814" s="16" t="n"/>
      <c r="G4814" s="16" t="n"/>
      <c r="H4814" s="63" t="n"/>
      <c r="I4814" s="64" t="n"/>
      <c r="J4814" s="16" t="n"/>
      <c r="K4814" s="16" t="n"/>
      <c r="M4814" s="89" t="n"/>
      <c r="N4814" s="1" t="n"/>
      <c r="O4814" s="1" t="n"/>
      <c r="P4814" s="1" t="n"/>
      <c r="Q4814" s="1" t="n"/>
      <c r="R4814" s="1" t="n"/>
    </row>
    <row r="4815">
      <c r="A4815" s="61" t="n"/>
      <c r="B4815" s="16" t="n"/>
      <c r="C4815" s="90" t="n"/>
      <c r="D4815" s="90" t="n"/>
      <c r="E4815" s="90" t="n"/>
      <c r="F4815" s="16" t="n"/>
      <c r="G4815" s="16" t="n"/>
      <c r="H4815" s="63" t="n"/>
      <c r="I4815" s="64" t="n"/>
      <c r="J4815" s="16" t="n"/>
      <c r="K4815" s="16" t="n"/>
      <c r="M4815" s="89" t="n"/>
      <c r="N4815" s="1" t="n"/>
      <c r="O4815" s="1" t="n"/>
      <c r="P4815" s="1" t="n"/>
      <c r="Q4815" s="1" t="n"/>
      <c r="R4815" s="1" t="n"/>
    </row>
    <row r="4816">
      <c r="A4816" s="61" t="n"/>
      <c r="B4816" s="16" t="n"/>
      <c r="C4816" s="90" t="n"/>
      <c r="D4816" s="90" t="n"/>
      <c r="E4816" s="90" t="n"/>
      <c r="F4816" s="16" t="n"/>
      <c r="G4816" s="16" t="n"/>
      <c r="H4816" s="63" t="n"/>
      <c r="I4816" s="64" t="n"/>
      <c r="J4816" s="16" t="n"/>
      <c r="K4816" s="16" t="n"/>
      <c r="M4816" s="89" t="n"/>
      <c r="N4816" s="1" t="n"/>
      <c r="O4816" s="1" t="n"/>
      <c r="P4816" s="1" t="n"/>
      <c r="Q4816" s="1" t="n"/>
      <c r="R4816" s="1" t="n"/>
    </row>
    <row r="4817">
      <c r="A4817" s="61" t="n"/>
      <c r="B4817" s="16" t="n"/>
      <c r="C4817" s="90" t="n"/>
      <c r="D4817" s="90" t="n"/>
      <c r="E4817" s="90" t="n"/>
      <c r="F4817" s="16" t="n"/>
      <c r="G4817" s="16" t="n"/>
      <c r="H4817" s="63" t="n"/>
      <c r="I4817" s="64" t="n"/>
      <c r="J4817" s="16" t="n"/>
      <c r="K4817" s="16" t="n"/>
      <c r="M4817" s="89" t="n"/>
      <c r="N4817" s="1" t="n"/>
      <c r="O4817" s="1" t="n"/>
      <c r="P4817" s="1" t="n"/>
      <c r="Q4817" s="1" t="n"/>
      <c r="R4817" s="1" t="n"/>
    </row>
    <row r="4818">
      <c r="A4818" s="61" t="n"/>
      <c r="B4818" s="16" t="n"/>
      <c r="C4818" s="90" t="n"/>
      <c r="D4818" s="90" t="n"/>
      <c r="E4818" s="90" t="n"/>
      <c r="F4818" s="16" t="n"/>
      <c r="G4818" s="16" t="n"/>
      <c r="H4818" s="63" t="n"/>
      <c r="I4818" s="64" t="n"/>
      <c r="J4818" s="16" t="n"/>
      <c r="K4818" s="16" t="n"/>
      <c r="M4818" s="89" t="n"/>
      <c r="N4818" s="1" t="n"/>
      <c r="O4818" s="1" t="n"/>
      <c r="P4818" s="1" t="n"/>
      <c r="Q4818" s="1" t="n"/>
      <c r="R4818" s="1" t="n"/>
    </row>
    <row r="4819">
      <c r="A4819" s="61" t="n"/>
      <c r="B4819" s="16" t="n"/>
      <c r="C4819" s="90" t="n"/>
      <c r="D4819" s="90" t="n"/>
      <c r="E4819" s="90" t="n"/>
      <c r="F4819" s="16" t="n"/>
      <c r="G4819" s="16" t="n"/>
      <c r="H4819" s="63" t="n"/>
      <c r="I4819" s="64" t="n"/>
      <c r="J4819" s="16" t="n"/>
      <c r="K4819" s="16" t="n"/>
      <c r="M4819" s="89" t="n"/>
      <c r="N4819" s="1" t="n"/>
      <c r="O4819" s="1" t="n"/>
      <c r="P4819" s="1" t="n"/>
      <c r="Q4819" s="1" t="n"/>
      <c r="R4819" s="1" t="n"/>
    </row>
    <row r="4820">
      <c r="A4820" s="61" t="n"/>
      <c r="B4820" s="16" t="n"/>
      <c r="C4820" s="90" t="n"/>
      <c r="D4820" s="90" t="n"/>
      <c r="E4820" s="90" t="n"/>
      <c r="F4820" s="16" t="n"/>
      <c r="G4820" s="16" t="n"/>
      <c r="H4820" s="63" t="n"/>
      <c r="I4820" s="64" t="n"/>
      <c r="J4820" s="16" t="n"/>
      <c r="K4820" s="16" t="n"/>
      <c r="M4820" s="89" t="n"/>
      <c r="N4820" s="1" t="n"/>
      <c r="O4820" s="1" t="n"/>
      <c r="P4820" s="1" t="n"/>
      <c r="Q4820" s="1" t="n"/>
      <c r="R4820" s="1" t="n"/>
    </row>
    <row r="4821">
      <c r="A4821" s="61" t="n"/>
      <c r="B4821" s="16" t="n"/>
      <c r="C4821" s="90" t="n"/>
      <c r="D4821" s="90" t="n"/>
      <c r="E4821" s="90" t="n"/>
      <c r="F4821" s="16" t="n"/>
      <c r="G4821" s="16" t="n"/>
      <c r="H4821" s="63" t="n"/>
      <c r="I4821" s="64" t="n"/>
      <c r="J4821" s="16" t="n"/>
      <c r="K4821" s="16" t="n"/>
      <c r="M4821" s="89" t="n"/>
      <c r="N4821" s="1" t="n"/>
      <c r="O4821" s="1" t="n"/>
      <c r="P4821" s="1" t="n"/>
      <c r="Q4821" s="1" t="n"/>
      <c r="R4821" s="1" t="n"/>
    </row>
    <row r="4822">
      <c r="A4822" s="61" t="n"/>
      <c r="B4822" s="16" t="n"/>
      <c r="C4822" s="90" t="n"/>
      <c r="D4822" s="90" t="n"/>
      <c r="E4822" s="90" t="n"/>
      <c r="F4822" s="16" t="n"/>
      <c r="G4822" s="16" t="n"/>
      <c r="H4822" s="63" t="n"/>
      <c r="I4822" s="64" t="n"/>
      <c r="J4822" s="16" t="n"/>
      <c r="K4822" s="16" t="n"/>
      <c r="M4822" s="89" t="n"/>
      <c r="N4822" s="1" t="n"/>
      <c r="O4822" s="1" t="n"/>
      <c r="P4822" s="1" t="n"/>
      <c r="Q4822" s="1" t="n"/>
      <c r="R4822" s="1" t="n"/>
    </row>
    <row r="4823">
      <c r="A4823" s="61" t="n"/>
      <c r="B4823" s="16" t="n"/>
      <c r="C4823" s="90" t="n"/>
      <c r="D4823" s="90" t="n"/>
      <c r="E4823" s="90" t="n"/>
      <c r="F4823" s="16" t="n"/>
      <c r="G4823" s="16" t="n"/>
      <c r="H4823" s="63" t="n"/>
      <c r="I4823" s="64" t="n"/>
      <c r="J4823" s="16" t="n"/>
      <c r="K4823" s="16" t="n"/>
      <c r="M4823" s="89" t="n"/>
      <c r="N4823" s="1" t="n"/>
      <c r="O4823" s="1" t="n"/>
      <c r="P4823" s="1" t="n"/>
      <c r="Q4823" s="1" t="n"/>
      <c r="R4823" s="1" t="n"/>
    </row>
    <row r="4824">
      <c r="A4824" s="61" t="n"/>
      <c r="B4824" s="16" t="n"/>
      <c r="C4824" s="90" t="n"/>
      <c r="D4824" s="90" t="n"/>
      <c r="E4824" s="90" t="n"/>
      <c r="F4824" s="16" t="n"/>
      <c r="G4824" s="16" t="n"/>
      <c r="H4824" s="63" t="n"/>
      <c r="I4824" s="64" t="n"/>
      <c r="J4824" s="16" t="n"/>
      <c r="K4824" s="16" t="n"/>
      <c r="M4824" s="89" t="n"/>
      <c r="N4824" s="1" t="n"/>
      <c r="O4824" s="1" t="n"/>
      <c r="P4824" s="1" t="n"/>
      <c r="Q4824" s="1" t="n"/>
      <c r="R4824" s="1" t="n"/>
    </row>
    <row r="4825">
      <c r="A4825" s="61" t="n"/>
      <c r="B4825" s="16" t="n"/>
      <c r="C4825" s="90" t="n"/>
      <c r="D4825" s="90" t="n"/>
      <c r="E4825" s="90" t="n"/>
      <c r="F4825" s="16" t="n"/>
      <c r="G4825" s="16" t="n"/>
      <c r="H4825" s="63" t="n"/>
      <c r="I4825" s="64" t="n"/>
      <c r="J4825" s="16" t="n"/>
      <c r="K4825" s="16" t="n"/>
      <c r="M4825" s="89" t="n"/>
      <c r="N4825" s="1" t="n"/>
      <c r="O4825" s="1" t="n"/>
      <c r="P4825" s="1" t="n"/>
      <c r="Q4825" s="1" t="n"/>
      <c r="R4825" s="1" t="n"/>
    </row>
    <row r="4826">
      <c r="A4826" s="61" t="n"/>
      <c r="B4826" s="16" t="n"/>
      <c r="C4826" s="90" t="n"/>
      <c r="D4826" s="90" t="n"/>
      <c r="E4826" s="90" t="n"/>
      <c r="F4826" s="16" t="n"/>
      <c r="G4826" s="16" t="n"/>
      <c r="H4826" s="63" t="n"/>
      <c r="I4826" s="64" t="n"/>
      <c r="J4826" s="16" t="n"/>
      <c r="K4826" s="16" t="n"/>
      <c r="M4826" s="89" t="n"/>
      <c r="N4826" s="1" t="n"/>
      <c r="O4826" s="1" t="n"/>
      <c r="P4826" s="1" t="n"/>
      <c r="Q4826" s="1" t="n"/>
      <c r="R4826" s="1" t="n"/>
    </row>
    <row r="4827">
      <c r="A4827" s="61" t="n"/>
      <c r="B4827" s="16" t="n"/>
      <c r="C4827" s="90" t="n"/>
      <c r="D4827" s="90" t="n"/>
      <c r="E4827" s="90" t="n"/>
      <c r="F4827" s="16" t="n"/>
      <c r="G4827" s="16" t="n"/>
      <c r="H4827" s="63" t="n"/>
      <c r="I4827" s="64" t="n"/>
      <c r="J4827" s="16" t="n"/>
      <c r="K4827" s="16" t="n"/>
      <c r="M4827" s="89" t="n"/>
      <c r="N4827" s="1" t="n"/>
      <c r="O4827" s="1" t="n"/>
      <c r="P4827" s="1" t="n"/>
      <c r="Q4827" s="1" t="n"/>
      <c r="R4827" s="1" t="n"/>
    </row>
    <row r="4828">
      <c r="A4828" s="61" t="n"/>
      <c r="B4828" s="16" t="n"/>
      <c r="C4828" s="90" t="n"/>
      <c r="D4828" s="90" t="n"/>
      <c r="E4828" s="90" t="n"/>
      <c r="F4828" s="16" t="n"/>
      <c r="G4828" s="16" t="n"/>
      <c r="H4828" s="63" t="n"/>
      <c r="I4828" s="64" t="n"/>
      <c r="J4828" s="16" t="n"/>
      <c r="K4828" s="16" t="n"/>
      <c r="M4828" s="89" t="n"/>
      <c r="N4828" s="1" t="n"/>
      <c r="O4828" s="1" t="n"/>
      <c r="P4828" s="1" t="n"/>
      <c r="Q4828" s="1" t="n"/>
      <c r="R4828" s="1" t="n"/>
    </row>
    <row r="4829">
      <c r="A4829" s="61" t="n"/>
      <c r="B4829" s="16" t="n"/>
      <c r="C4829" s="90" t="n"/>
      <c r="D4829" s="90" t="n"/>
      <c r="E4829" s="90" t="n"/>
      <c r="F4829" s="16" t="n"/>
      <c r="G4829" s="16" t="n"/>
      <c r="H4829" s="63" t="n"/>
      <c r="I4829" s="64" t="n"/>
      <c r="J4829" s="16" t="n"/>
      <c r="K4829" s="16" t="n"/>
      <c r="M4829" s="89" t="n"/>
      <c r="N4829" s="1" t="n"/>
      <c r="O4829" s="1" t="n"/>
      <c r="P4829" s="1" t="n"/>
      <c r="Q4829" s="1" t="n"/>
      <c r="R4829" s="1" t="n"/>
    </row>
    <row r="4830">
      <c r="A4830" s="61" t="n"/>
      <c r="B4830" s="16" t="n"/>
      <c r="C4830" s="90" t="n"/>
      <c r="D4830" s="90" t="n"/>
      <c r="E4830" s="90" t="n"/>
      <c r="F4830" s="16" t="n"/>
      <c r="G4830" s="16" t="n"/>
      <c r="H4830" s="63" t="n"/>
      <c r="I4830" s="64" t="n"/>
      <c r="J4830" s="16" t="n"/>
      <c r="K4830" s="16" t="n"/>
      <c r="M4830" s="89" t="n"/>
      <c r="N4830" s="1" t="n"/>
      <c r="O4830" s="1" t="n"/>
      <c r="P4830" s="1" t="n"/>
      <c r="Q4830" s="1" t="n"/>
      <c r="R4830" s="1" t="n"/>
    </row>
    <row r="4831">
      <c r="A4831" s="61" t="n"/>
      <c r="B4831" s="16" t="n"/>
      <c r="C4831" s="90" t="n"/>
      <c r="D4831" s="90" t="n"/>
      <c r="E4831" s="90" t="n"/>
      <c r="F4831" s="16" t="n"/>
      <c r="G4831" s="16" t="n"/>
      <c r="H4831" s="63" t="n"/>
      <c r="I4831" s="64" t="n"/>
      <c r="J4831" s="16" t="n"/>
      <c r="K4831" s="16" t="n"/>
      <c r="M4831" s="89" t="n"/>
      <c r="N4831" s="1" t="n"/>
      <c r="O4831" s="1" t="n"/>
      <c r="P4831" s="1" t="n"/>
      <c r="Q4831" s="1" t="n"/>
      <c r="R4831" s="1" t="n"/>
    </row>
    <row r="4832">
      <c r="A4832" s="61" t="n"/>
      <c r="B4832" s="16" t="n"/>
      <c r="C4832" s="90" t="n"/>
      <c r="D4832" s="90" t="n"/>
      <c r="E4832" s="90" t="n"/>
      <c r="F4832" s="16" t="n"/>
      <c r="G4832" s="16" t="n"/>
      <c r="H4832" s="63" t="n"/>
      <c r="I4832" s="64" t="n"/>
      <c r="J4832" s="16" t="n"/>
      <c r="K4832" s="16" t="n"/>
      <c r="M4832" s="89" t="n"/>
      <c r="N4832" s="1" t="n"/>
      <c r="O4832" s="1" t="n"/>
      <c r="P4832" s="1" t="n"/>
      <c r="Q4832" s="1" t="n"/>
      <c r="R4832" s="1" t="n"/>
    </row>
    <row r="4833">
      <c r="A4833" s="61" t="n"/>
      <c r="B4833" s="16" t="n"/>
      <c r="C4833" s="90" t="n"/>
      <c r="D4833" s="90" t="n"/>
      <c r="E4833" s="90" t="n"/>
      <c r="F4833" s="16" t="n"/>
      <c r="G4833" s="16" t="n"/>
      <c r="H4833" s="63" t="n"/>
      <c r="I4833" s="64" t="n"/>
      <c r="J4833" s="16" t="n"/>
      <c r="K4833" s="16" t="n"/>
      <c r="M4833" s="89" t="n"/>
      <c r="N4833" s="1" t="n"/>
      <c r="O4833" s="1" t="n"/>
      <c r="P4833" s="1" t="n"/>
      <c r="Q4833" s="1" t="n"/>
      <c r="R4833" s="1" t="n"/>
    </row>
    <row r="4834">
      <c r="A4834" s="61" t="n"/>
      <c r="B4834" s="16" t="n"/>
      <c r="C4834" s="90" t="n"/>
      <c r="D4834" s="90" t="n"/>
      <c r="E4834" s="90" t="n"/>
      <c r="F4834" s="16" t="n"/>
      <c r="G4834" s="16" t="n"/>
      <c r="H4834" s="63" t="n"/>
      <c r="I4834" s="64" t="n"/>
      <c r="J4834" s="16" t="n"/>
      <c r="K4834" s="16" t="n"/>
      <c r="M4834" s="89" t="n"/>
      <c r="N4834" s="1" t="n"/>
      <c r="O4834" s="1" t="n"/>
      <c r="P4834" s="1" t="n"/>
      <c r="Q4834" s="1" t="n"/>
      <c r="R4834" s="1" t="n"/>
    </row>
    <row r="4835">
      <c r="A4835" s="61" t="n"/>
      <c r="B4835" s="16" t="n"/>
      <c r="C4835" s="90" t="n"/>
      <c r="D4835" s="90" t="n"/>
      <c r="E4835" s="90" t="n"/>
      <c r="F4835" s="16" t="n"/>
      <c r="G4835" s="16" t="n"/>
      <c r="H4835" s="63" t="n"/>
      <c r="I4835" s="64" t="n"/>
      <c r="J4835" s="16" t="n"/>
      <c r="K4835" s="16" t="n"/>
      <c r="M4835" s="89" t="n"/>
      <c r="N4835" s="1" t="n"/>
      <c r="O4835" s="1" t="n"/>
      <c r="P4835" s="1" t="n"/>
      <c r="Q4835" s="1" t="n"/>
      <c r="R4835" s="1" t="n"/>
    </row>
    <row r="4836">
      <c r="A4836" s="61" t="n"/>
      <c r="B4836" s="16" t="n"/>
      <c r="C4836" s="90" t="n"/>
      <c r="D4836" s="90" t="n"/>
      <c r="E4836" s="90" t="n"/>
      <c r="F4836" s="16" t="n"/>
      <c r="G4836" s="16" t="n"/>
      <c r="H4836" s="63" t="n"/>
      <c r="I4836" s="64" t="n"/>
      <c r="J4836" s="16" t="n"/>
      <c r="K4836" s="16" t="n"/>
      <c r="M4836" s="89" t="n"/>
      <c r="N4836" s="1" t="n"/>
      <c r="O4836" s="1" t="n"/>
      <c r="P4836" s="1" t="n"/>
      <c r="Q4836" s="1" t="n"/>
      <c r="R4836" s="1" t="n"/>
    </row>
    <row r="4837">
      <c r="A4837" s="61" t="n"/>
      <c r="B4837" s="16" t="n"/>
      <c r="C4837" s="90" t="n"/>
      <c r="D4837" s="90" t="n"/>
      <c r="E4837" s="90" t="n"/>
      <c r="F4837" s="16" t="n"/>
      <c r="G4837" s="16" t="n"/>
      <c r="H4837" s="63" t="n"/>
      <c r="I4837" s="64" t="n"/>
      <c r="J4837" s="16" t="n"/>
      <c r="K4837" s="16" t="n"/>
      <c r="M4837" s="89" t="n"/>
      <c r="N4837" s="1" t="n"/>
      <c r="O4837" s="1" t="n"/>
      <c r="P4837" s="1" t="n"/>
      <c r="Q4837" s="1" t="n"/>
      <c r="R4837" s="1" t="n"/>
    </row>
    <row r="4838">
      <c r="A4838" s="61" t="n"/>
      <c r="B4838" s="16" t="n"/>
      <c r="C4838" s="90" t="n"/>
      <c r="D4838" s="90" t="n"/>
      <c r="E4838" s="90" t="n"/>
      <c r="F4838" s="16" t="n"/>
      <c r="G4838" s="16" t="n"/>
      <c r="H4838" s="63" t="n"/>
      <c r="I4838" s="64" t="n"/>
      <c r="J4838" s="16" t="n"/>
      <c r="K4838" s="16" t="n"/>
      <c r="M4838" s="89" t="n"/>
      <c r="N4838" s="1" t="n"/>
      <c r="O4838" s="1" t="n"/>
      <c r="P4838" s="1" t="n"/>
      <c r="Q4838" s="1" t="n"/>
      <c r="R4838" s="1" t="n"/>
    </row>
    <row r="4839">
      <c r="A4839" s="61" t="n"/>
      <c r="B4839" s="16" t="n"/>
      <c r="C4839" s="90" t="n"/>
      <c r="D4839" s="90" t="n"/>
      <c r="E4839" s="90" t="n"/>
      <c r="F4839" s="16" t="n"/>
      <c r="G4839" s="16" t="n"/>
      <c r="H4839" s="63" t="n"/>
      <c r="I4839" s="64" t="n"/>
      <c r="J4839" s="16" t="n"/>
      <c r="K4839" s="16" t="n"/>
      <c r="M4839" s="89" t="n"/>
      <c r="N4839" s="1" t="n"/>
      <c r="O4839" s="1" t="n"/>
      <c r="P4839" s="1" t="n"/>
      <c r="Q4839" s="1" t="n"/>
      <c r="R4839" s="1" t="n"/>
    </row>
    <row r="4840">
      <c r="A4840" s="61" t="n"/>
      <c r="B4840" s="16" t="n"/>
      <c r="C4840" s="90" t="n"/>
      <c r="D4840" s="90" t="n"/>
      <c r="E4840" s="90" t="n"/>
      <c r="F4840" s="16" t="n"/>
      <c r="G4840" s="16" t="n"/>
      <c r="H4840" s="63" t="n"/>
      <c r="I4840" s="64" t="n"/>
      <c r="J4840" s="16" t="n"/>
      <c r="K4840" s="16" t="n"/>
      <c r="M4840" s="89" t="n"/>
      <c r="N4840" s="1" t="n"/>
      <c r="O4840" s="1" t="n"/>
      <c r="P4840" s="1" t="n"/>
      <c r="Q4840" s="1" t="n"/>
      <c r="R4840" s="1" t="n"/>
    </row>
    <row r="4841">
      <c r="A4841" s="61" t="n"/>
      <c r="B4841" s="16" t="n"/>
      <c r="C4841" s="90" t="n"/>
      <c r="D4841" s="90" t="n"/>
      <c r="E4841" s="90" t="n"/>
      <c r="F4841" s="16" t="n"/>
      <c r="G4841" s="16" t="n"/>
      <c r="H4841" s="63" t="n"/>
      <c r="I4841" s="64" t="n"/>
      <c r="J4841" s="16" t="n"/>
      <c r="K4841" s="16" t="n"/>
      <c r="M4841" s="89" t="n"/>
      <c r="N4841" s="1" t="n"/>
      <c r="O4841" s="1" t="n"/>
      <c r="P4841" s="1" t="n"/>
      <c r="Q4841" s="1" t="n"/>
      <c r="R4841" s="1" t="n"/>
    </row>
    <row r="4842">
      <c r="A4842" s="61" t="n"/>
      <c r="B4842" s="16" t="n"/>
      <c r="C4842" s="90" t="n"/>
      <c r="D4842" s="90" t="n"/>
      <c r="E4842" s="90" t="n"/>
      <c r="F4842" s="16" t="n"/>
      <c r="G4842" s="16" t="n"/>
      <c r="H4842" s="63" t="n"/>
      <c r="I4842" s="64" t="n"/>
      <c r="J4842" s="16" t="n"/>
      <c r="K4842" s="16" t="n"/>
      <c r="M4842" s="89" t="n"/>
      <c r="N4842" s="1" t="n"/>
      <c r="O4842" s="1" t="n"/>
      <c r="P4842" s="1" t="n"/>
      <c r="Q4842" s="1" t="n"/>
      <c r="R4842" s="1" t="n"/>
    </row>
    <row r="4843">
      <c r="A4843" s="61" t="n"/>
      <c r="B4843" s="16" t="n"/>
      <c r="C4843" s="90" t="n"/>
      <c r="D4843" s="90" t="n"/>
      <c r="E4843" s="90" t="n"/>
      <c r="F4843" s="16" t="n"/>
      <c r="G4843" s="16" t="n"/>
      <c r="H4843" s="63" t="n"/>
      <c r="I4843" s="64" t="n"/>
      <c r="J4843" s="16" t="n"/>
      <c r="K4843" s="16" t="n"/>
      <c r="M4843" s="89" t="n"/>
      <c r="N4843" s="1" t="n"/>
      <c r="O4843" s="1" t="n"/>
      <c r="P4843" s="1" t="n"/>
      <c r="Q4843" s="1" t="n"/>
      <c r="R4843" s="1" t="n"/>
    </row>
    <row r="4844">
      <c r="A4844" s="61" t="n"/>
      <c r="B4844" s="16" t="n"/>
      <c r="C4844" s="90" t="n"/>
      <c r="D4844" s="90" t="n"/>
      <c r="E4844" s="90" t="n"/>
      <c r="F4844" s="16" t="n"/>
      <c r="G4844" s="16" t="n"/>
      <c r="H4844" s="63" t="n"/>
      <c r="I4844" s="64" t="n"/>
      <c r="J4844" s="16" t="n"/>
      <c r="K4844" s="16" t="n"/>
      <c r="M4844" s="89" t="n"/>
      <c r="N4844" s="1" t="n"/>
      <c r="O4844" s="1" t="n"/>
      <c r="P4844" s="1" t="n"/>
      <c r="Q4844" s="1" t="n"/>
      <c r="R4844" s="1" t="n"/>
    </row>
    <row r="4845">
      <c r="A4845" s="61" t="n"/>
      <c r="B4845" s="16" t="n"/>
      <c r="C4845" s="90" t="n"/>
      <c r="D4845" s="90" t="n"/>
      <c r="E4845" s="90" t="n"/>
      <c r="F4845" s="16" t="n"/>
      <c r="G4845" s="16" t="n"/>
      <c r="H4845" s="63" t="n"/>
      <c r="I4845" s="64" t="n"/>
      <c r="J4845" s="16" t="n"/>
      <c r="K4845" s="16" t="n"/>
      <c r="M4845" s="89" t="n"/>
      <c r="N4845" s="1" t="n"/>
      <c r="O4845" s="1" t="n"/>
      <c r="P4845" s="1" t="n"/>
      <c r="Q4845" s="1" t="n"/>
      <c r="R4845" s="1" t="n"/>
    </row>
    <row r="4846">
      <c r="A4846" s="61" t="n"/>
      <c r="B4846" s="16" t="n"/>
      <c r="C4846" s="90" t="n"/>
      <c r="D4846" s="90" t="n"/>
      <c r="E4846" s="90" t="n"/>
      <c r="F4846" s="16" t="n"/>
      <c r="G4846" s="16" t="n"/>
      <c r="H4846" s="63" t="n"/>
      <c r="I4846" s="64" t="n"/>
      <c r="J4846" s="16" t="n"/>
      <c r="K4846" s="16" t="n"/>
      <c r="M4846" s="89" t="n"/>
      <c r="N4846" s="1" t="n"/>
      <c r="O4846" s="1" t="n"/>
      <c r="P4846" s="1" t="n"/>
      <c r="Q4846" s="1" t="n"/>
      <c r="R4846" s="1" t="n"/>
    </row>
    <row r="4847">
      <c r="A4847" s="61" t="n"/>
      <c r="B4847" s="16" t="n"/>
      <c r="C4847" s="90" t="n"/>
      <c r="D4847" s="90" t="n"/>
      <c r="E4847" s="90" t="n"/>
      <c r="F4847" s="16" t="n"/>
      <c r="G4847" s="16" t="n"/>
      <c r="H4847" s="63" t="n"/>
      <c r="I4847" s="64" t="n"/>
      <c r="J4847" s="16" t="n"/>
      <c r="K4847" s="16" t="n"/>
      <c r="M4847" s="89" t="n"/>
      <c r="N4847" s="1" t="n"/>
      <c r="O4847" s="1" t="n"/>
      <c r="P4847" s="1" t="n"/>
      <c r="Q4847" s="1" t="n"/>
      <c r="R4847" s="1" t="n"/>
    </row>
    <row r="4848">
      <c r="A4848" s="61" t="n"/>
      <c r="B4848" s="16" t="n"/>
      <c r="C4848" s="90" t="n"/>
      <c r="D4848" s="90" t="n"/>
      <c r="E4848" s="90" t="n"/>
      <c r="F4848" s="16" t="n"/>
      <c r="G4848" s="16" t="n"/>
      <c r="H4848" s="63" t="n"/>
      <c r="I4848" s="64" t="n"/>
      <c r="J4848" s="16" t="n"/>
      <c r="K4848" s="16" t="n"/>
      <c r="M4848" s="89" t="n"/>
      <c r="N4848" s="1" t="n"/>
      <c r="O4848" s="1" t="n"/>
      <c r="P4848" s="1" t="n"/>
      <c r="Q4848" s="1" t="n"/>
      <c r="R4848" s="1" t="n"/>
    </row>
    <row r="4849">
      <c r="A4849" s="61" t="n"/>
      <c r="B4849" s="16" t="n"/>
      <c r="C4849" s="90" t="n"/>
      <c r="D4849" s="90" t="n"/>
      <c r="E4849" s="90" t="n"/>
      <c r="F4849" s="16" t="n"/>
      <c r="G4849" s="16" t="n"/>
      <c r="H4849" s="63" t="n"/>
      <c r="I4849" s="64" t="n"/>
      <c r="J4849" s="16" t="n"/>
      <c r="K4849" s="16" t="n"/>
      <c r="M4849" s="89" t="n"/>
      <c r="N4849" s="1" t="n"/>
      <c r="O4849" s="1" t="n"/>
      <c r="P4849" s="1" t="n"/>
      <c r="Q4849" s="1" t="n"/>
      <c r="R4849" s="1" t="n"/>
    </row>
    <row r="4850">
      <c r="A4850" s="61" t="n"/>
      <c r="B4850" s="16" t="n"/>
      <c r="C4850" s="90" t="n"/>
      <c r="D4850" s="90" t="n"/>
      <c r="E4850" s="90" t="n"/>
      <c r="F4850" s="16" t="n"/>
      <c r="G4850" s="16" t="n"/>
      <c r="H4850" s="63" t="n"/>
      <c r="I4850" s="64" t="n"/>
      <c r="J4850" s="16" t="n"/>
      <c r="K4850" s="16" t="n"/>
      <c r="M4850" s="89" t="n"/>
      <c r="N4850" s="1" t="n"/>
      <c r="O4850" s="1" t="n"/>
      <c r="P4850" s="1" t="n"/>
      <c r="Q4850" s="1" t="n"/>
      <c r="R4850" s="1" t="n"/>
    </row>
    <row r="4851">
      <c r="A4851" s="61" t="n"/>
      <c r="B4851" s="16" t="n"/>
      <c r="C4851" s="90" t="n"/>
      <c r="D4851" s="90" t="n"/>
      <c r="E4851" s="90" t="n"/>
      <c r="F4851" s="16" t="n"/>
      <c r="G4851" s="16" t="n"/>
      <c r="H4851" s="63" t="n"/>
      <c r="I4851" s="64" t="n"/>
      <c r="J4851" s="16" t="n"/>
      <c r="K4851" s="16" t="n"/>
      <c r="M4851" s="89" t="n"/>
      <c r="N4851" s="1" t="n"/>
      <c r="O4851" s="1" t="n"/>
      <c r="P4851" s="1" t="n"/>
      <c r="Q4851" s="1" t="n"/>
      <c r="R4851" s="1" t="n"/>
    </row>
    <row r="4852">
      <c r="A4852" s="61" t="n"/>
      <c r="B4852" s="16" t="n"/>
      <c r="C4852" s="90" t="n"/>
      <c r="D4852" s="90" t="n"/>
      <c r="E4852" s="90" t="n"/>
      <c r="F4852" s="16" t="n"/>
      <c r="G4852" s="16" t="n"/>
      <c r="H4852" s="63" t="n"/>
      <c r="I4852" s="64" t="n"/>
      <c r="J4852" s="16" t="n"/>
      <c r="K4852" s="16" t="n"/>
      <c r="M4852" s="89" t="n"/>
      <c r="N4852" s="1" t="n"/>
      <c r="O4852" s="1" t="n"/>
      <c r="P4852" s="1" t="n"/>
      <c r="Q4852" s="1" t="n"/>
      <c r="R4852" s="1" t="n"/>
    </row>
    <row r="4853">
      <c r="A4853" s="61" t="n"/>
      <c r="B4853" s="16" t="n"/>
      <c r="C4853" s="90" t="n"/>
      <c r="D4853" s="90" t="n"/>
      <c r="E4853" s="90" t="n"/>
      <c r="F4853" s="16" t="n"/>
      <c r="G4853" s="16" t="n"/>
      <c r="H4853" s="63" t="n"/>
      <c r="I4853" s="64" t="n"/>
      <c r="J4853" s="16" t="n"/>
      <c r="K4853" s="16" t="n"/>
      <c r="M4853" s="89" t="n"/>
      <c r="N4853" s="1" t="n"/>
      <c r="O4853" s="1" t="n"/>
      <c r="P4853" s="1" t="n"/>
      <c r="Q4853" s="1" t="n"/>
      <c r="R4853" s="1" t="n"/>
    </row>
    <row r="4854">
      <c r="A4854" s="61" t="n"/>
      <c r="B4854" s="16" t="n"/>
      <c r="C4854" s="90" t="n"/>
      <c r="D4854" s="90" t="n"/>
      <c r="E4854" s="90" t="n"/>
      <c r="F4854" s="16" t="n"/>
      <c r="G4854" s="16" t="n"/>
      <c r="H4854" s="63" t="n"/>
      <c r="I4854" s="64" t="n"/>
      <c r="J4854" s="16" t="n"/>
      <c r="K4854" s="16" t="n"/>
      <c r="M4854" s="89" t="n"/>
      <c r="N4854" s="1" t="n"/>
      <c r="O4854" s="1" t="n"/>
      <c r="P4854" s="1" t="n"/>
      <c r="Q4854" s="1" t="n"/>
      <c r="R4854" s="1" t="n"/>
    </row>
    <row r="4855">
      <c r="A4855" s="61" t="n"/>
      <c r="B4855" s="16" t="n"/>
      <c r="C4855" s="90" t="n"/>
      <c r="D4855" s="90" t="n"/>
      <c r="E4855" s="90" t="n"/>
      <c r="F4855" s="16" t="n"/>
      <c r="G4855" s="16" t="n"/>
      <c r="H4855" s="63" t="n"/>
      <c r="I4855" s="64" t="n"/>
      <c r="J4855" s="16" t="n"/>
      <c r="K4855" s="16" t="n"/>
      <c r="M4855" s="89" t="n"/>
      <c r="N4855" s="1" t="n"/>
      <c r="O4855" s="1" t="n"/>
      <c r="P4855" s="1" t="n"/>
      <c r="Q4855" s="1" t="n"/>
      <c r="R4855" s="1" t="n"/>
    </row>
    <row r="4856">
      <c r="A4856" s="61" t="n"/>
      <c r="B4856" s="16" t="n"/>
      <c r="C4856" s="90" t="n"/>
      <c r="D4856" s="90" t="n"/>
      <c r="E4856" s="90" t="n"/>
      <c r="F4856" s="16" t="n"/>
      <c r="G4856" s="16" t="n"/>
      <c r="H4856" s="63" t="n"/>
      <c r="I4856" s="64" t="n"/>
      <c r="J4856" s="16" t="n"/>
      <c r="K4856" s="16" t="n"/>
      <c r="M4856" s="89" t="n"/>
      <c r="N4856" s="1" t="n"/>
      <c r="O4856" s="1" t="n"/>
      <c r="P4856" s="1" t="n"/>
      <c r="Q4856" s="1" t="n"/>
      <c r="R4856" s="1" t="n"/>
    </row>
    <row r="4857">
      <c r="A4857" s="61" t="n"/>
      <c r="B4857" s="16" t="n"/>
      <c r="C4857" s="90" t="n"/>
      <c r="D4857" s="90" t="n"/>
      <c r="E4857" s="90" t="n"/>
      <c r="F4857" s="16" t="n"/>
      <c r="G4857" s="16" t="n"/>
      <c r="H4857" s="63" t="n"/>
      <c r="I4857" s="64" t="n"/>
      <c r="J4857" s="16" t="n"/>
      <c r="K4857" s="16" t="n"/>
      <c r="M4857" s="89" t="n"/>
      <c r="N4857" s="1" t="n"/>
      <c r="O4857" s="1" t="n"/>
      <c r="P4857" s="1" t="n"/>
      <c r="Q4857" s="1" t="n"/>
      <c r="R4857" s="1" t="n"/>
    </row>
    <row r="4858">
      <c r="A4858" s="61" t="n"/>
      <c r="B4858" s="16" t="n"/>
      <c r="C4858" s="90" t="n"/>
      <c r="D4858" s="90" t="n"/>
      <c r="E4858" s="90" t="n"/>
      <c r="F4858" s="16" t="n"/>
      <c r="G4858" s="16" t="n"/>
      <c r="H4858" s="63" t="n"/>
      <c r="I4858" s="64" t="n"/>
      <c r="J4858" s="16" t="n"/>
      <c r="K4858" s="16" t="n"/>
      <c r="M4858" s="89" t="n"/>
      <c r="N4858" s="1" t="n"/>
      <c r="O4858" s="1" t="n"/>
      <c r="P4858" s="1" t="n"/>
      <c r="Q4858" s="1" t="n"/>
      <c r="R4858" s="1" t="n"/>
    </row>
    <row r="4859">
      <c r="A4859" s="61" t="n"/>
      <c r="B4859" s="16" t="n"/>
      <c r="C4859" s="90" t="n"/>
      <c r="D4859" s="90" t="n"/>
      <c r="E4859" s="90" t="n"/>
      <c r="F4859" s="16" t="n"/>
      <c r="G4859" s="16" t="n"/>
      <c r="H4859" s="63" t="n"/>
      <c r="I4859" s="64" t="n"/>
      <c r="J4859" s="16" t="n"/>
      <c r="K4859" s="16" t="n"/>
      <c r="M4859" s="89" t="n"/>
      <c r="N4859" s="1" t="n"/>
      <c r="O4859" s="1" t="n"/>
      <c r="P4859" s="1" t="n"/>
      <c r="Q4859" s="1" t="n"/>
      <c r="R4859" s="1" t="n"/>
    </row>
    <row r="4860">
      <c r="A4860" s="61" t="n"/>
      <c r="B4860" s="16" t="n"/>
      <c r="C4860" s="90" t="n"/>
      <c r="D4860" s="90" t="n"/>
      <c r="E4860" s="90" t="n"/>
      <c r="F4860" s="16" t="n"/>
      <c r="G4860" s="16" t="n"/>
      <c r="H4860" s="63" t="n"/>
      <c r="I4860" s="64" t="n"/>
      <c r="J4860" s="16" t="n"/>
      <c r="K4860" s="16" t="n"/>
      <c r="M4860" s="89" t="n"/>
      <c r="N4860" s="1" t="n"/>
      <c r="O4860" s="1" t="n"/>
      <c r="P4860" s="1" t="n"/>
      <c r="Q4860" s="1" t="n"/>
      <c r="R4860" s="1" t="n"/>
    </row>
    <row r="4861">
      <c r="A4861" s="61" t="n"/>
      <c r="B4861" s="16" t="n"/>
      <c r="C4861" s="90" t="n"/>
      <c r="D4861" s="90" t="n"/>
      <c r="E4861" s="90" t="n"/>
      <c r="F4861" s="16" t="n"/>
      <c r="G4861" s="16" t="n"/>
      <c r="H4861" s="63" t="n"/>
      <c r="I4861" s="64" t="n"/>
      <c r="J4861" s="16" t="n"/>
      <c r="K4861" s="16" t="n"/>
      <c r="M4861" s="89" t="n"/>
      <c r="N4861" s="1" t="n"/>
      <c r="O4861" s="1" t="n"/>
      <c r="P4861" s="1" t="n"/>
      <c r="Q4861" s="1" t="n"/>
      <c r="R4861" s="1" t="n"/>
    </row>
    <row r="4862">
      <c r="A4862" s="61" t="n"/>
      <c r="B4862" s="16" t="n"/>
      <c r="C4862" s="90" t="n"/>
      <c r="D4862" s="90" t="n"/>
      <c r="E4862" s="90" t="n"/>
      <c r="F4862" s="16" t="n"/>
      <c r="G4862" s="16" t="n"/>
      <c r="H4862" s="63" t="n"/>
      <c r="I4862" s="64" t="n"/>
      <c r="J4862" s="16" t="n"/>
      <c r="K4862" s="16" t="n"/>
      <c r="M4862" s="89" t="n"/>
      <c r="N4862" s="1" t="n"/>
      <c r="O4862" s="1" t="n"/>
      <c r="P4862" s="1" t="n"/>
      <c r="Q4862" s="1" t="n"/>
      <c r="R4862" s="1" t="n"/>
    </row>
    <row r="4863">
      <c r="A4863" s="61" t="n"/>
      <c r="B4863" s="16" t="n"/>
      <c r="C4863" s="90" t="n"/>
      <c r="D4863" s="90" t="n"/>
      <c r="E4863" s="90" t="n"/>
      <c r="F4863" s="16" t="n"/>
      <c r="G4863" s="16" t="n"/>
      <c r="H4863" s="63" t="n"/>
      <c r="I4863" s="64" t="n"/>
      <c r="J4863" s="16" t="n"/>
      <c r="K4863" s="16" t="n"/>
      <c r="M4863" s="89" t="n"/>
      <c r="N4863" s="1" t="n"/>
      <c r="O4863" s="1" t="n"/>
      <c r="P4863" s="1" t="n"/>
      <c r="Q4863" s="1" t="n"/>
      <c r="R4863" s="1" t="n"/>
    </row>
    <row r="4864">
      <c r="A4864" s="61" t="n"/>
      <c r="B4864" s="16" t="n"/>
      <c r="C4864" s="90" t="n"/>
      <c r="D4864" s="90" t="n"/>
      <c r="E4864" s="90" t="n"/>
      <c r="F4864" s="16" t="n"/>
      <c r="G4864" s="16" t="n"/>
      <c r="H4864" s="63" t="n"/>
      <c r="I4864" s="64" t="n"/>
      <c r="J4864" s="16" t="n"/>
      <c r="K4864" s="16" t="n"/>
      <c r="M4864" s="89" t="n"/>
      <c r="N4864" s="1" t="n"/>
      <c r="O4864" s="1" t="n"/>
      <c r="P4864" s="1" t="n"/>
      <c r="Q4864" s="1" t="n"/>
      <c r="R4864" s="1" t="n"/>
    </row>
    <row r="4865">
      <c r="A4865" s="61" t="n"/>
      <c r="B4865" s="16" t="n"/>
      <c r="C4865" s="90" t="n"/>
      <c r="D4865" s="90" t="n"/>
      <c r="E4865" s="90" t="n"/>
      <c r="F4865" s="16" t="n"/>
      <c r="G4865" s="16" t="n"/>
      <c r="H4865" s="63" t="n"/>
      <c r="I4865" s="64" t="n"/>
      <c r="J4865" s="16" t="n"/>
      <c r="K4865" s="16" t="n"/>
      <c r="M4865" s="89" t="n"/>
      <c r="N4865" s="1" t="n"/>
      <c r="O4865" s="1" t="n"/>
      <c r="P4865" s="1" t="n"/>
      <c r="Q4865" s="1" t="n"/>
      <c r="R4865" s="1" t="n"/>
    </row>
    <row r="4866">
      <c r="A4866" s="61" t="n"/>
      <c r="B4866" s="16" t="n"/>
      <c r="C4866" s="90" t="n"/>
      <c r="D4866" s="90" t="n"/>
      <c r="E4866" s="90" t="n"/>
      <c r="F4866" s="16" t="n"/>
      <c r="G4866" s="16" t="n"/>
      <c r="H4866" s="63" t="n"/>
      <c r="I4866" s="64" t="n"/>
      <c r="J4866" s="16" t="n"/>
      <c r="K4866" s="16" t="n"/>
      <c r="M4866" s="89" t="n"/>
      <c r="N4866" s="1" t="n"/>
      <c r="O4866" s="1" t="n"/>
      <c r="P4866" s="1" t="n"/>
      <c r="Q4866" s="1" t="n"/>
      <c r="R4866" s="1" t="n"/>
    </row>
    <row r="4867">
      <c r="A4867" s="61" t="n"/>
      <c r="B4867" s="16" t="n"/>
      <c r="C4867" s="90" t="n"/>
      <c r="D4867" s="90" t="n"/>
      <c r="E4867" s="90" t="n"/>
      <c r="F4867" s="16" t="n"/>
      <c r="G4867" s="16" t="n"/>
      <c r="H4867" s="63" t="n"/>
      <c r="I4867" s="64" t="n"/>
      <c r="J4867" s="16" t="n"/>
      <c r="K4867" s="16" t="n"/>
      <c r="M4867" s="89" t="n"/>
      <c r="N4867" s="1" t="n"/>
      <c r="O4867" s="1" t="n"/>
      <c r="P4867" s="1" t="n"/>
      <c r="Q4867" s="1" t="n"/>
      <c r="R4867" s="1" t="n"/>
    </row>
    <row r="4868">
      <c r="A4868" s="61" t="n"/>
      <c r="B4868" s="16" t="n"/>
      <c r="C4868" s="90" t="n"/>
      <c r="D4868" s="90" t="n"/>
      <c r="E4868" s="90" t="n"/>
      <c r="F4868" s="16" t="n"/>
      <c r="G4868" s="16" t="n"/>
      <c r="H4868" s="63" t="n"/>
      <c r="I4868" s="64" t="n"/>
      <c r="J4868" s="16" t="n"/>
      <c r="K4868" s="16" t="n"/>
      <c r="M4868" s="89" t="n"/>
      <c r="N4868" s="1" t="n"/>
      <c r="O4868" s="1" t="n"/>
      <c r="P4868" s="1" t="n"/>
      <c r="Q4868" s="1" t="n"/>
      <c r="R4868" s="1" t="n"/>
    </row>
    <row r="4869">
      <c r="A4869" s="61" t="n"/>
      <c r="B4869" s="16" t="n"/>
      <c r="C4869" s="90" t="n"/>
      <c r="D4869" s="90" t="n"/>
      <c r="E4869" s="90" t="n"/>
      <c r="F4869" s="16" t="n"/>
      <c r="G4869" s="16" t="n"/>
      <c r="H4869" s="63" t="n"/>
      <c r="I4869" s="64" t="n"/>
      <c r="J4869" s="16" t="n"/>
      <c r="K4869" s="16" t="n"/>
      <c r="M4869" s="89" t="n"/>
      <c r="N4869" s="1" t="n"/>
      <c r="O4869" s="1" t="n"/>
      <c r="P4869" s="1" t="n"/>
      <c r="Q4869" s="1" t="n"/>
      <c r="R4869" s="1" t="n"/>
    </row>
    <row r="4870">
      <c r="A4870" s="61" t="n"/>
      <c r="B4870" s="16" t="n"/>
      <c r="C4870" s="90" t="n"/>
      <c r="D4870" s="90" t="n"/>
      <c r="E4870" s="90" t="n"/>
      <c r="F4870" s="16" t="n"/>
      <c r="G4870" s="16" t="n"/>
      <c r="H4870" s="63" t="n"/>
      <c r="I4870" s="64" t="n"/>
      <c r="J4870" s="16" t="n"/>
      <c r="K4870" s="16" t="n"/>
      <c r="M4870" s="89" t="n"/>
      <c r="N4870" s="1" t="n"/>
      <c r="O4870" s="1" t="n"/>
      <c r="P4870" s="1" t="n"/>
      <c r="Q4870" s="1" t="n"/>
      <c r="R4870" s="1" t="n"/>
    </row>
    <row r="4871">
      <c r="A4871" s="61" t="n"/>
      <c r="B4871" s="16" t="n"/>
      <c r="C4871" s="90" t="n"/>
      <c r="D4871" s="90" t="n"/>
      <c r="E4871" s="90" t="n"/>
      <c r="F4871" s="16" t="n"/>
      <c r="G4871" s="16" t="n"/>
      <c r="H4871" s="63" t="n"/>
      <c r="I4871" s="64" t="n"/>
      <c r="J4871" s="16" t="n"/>
      <c r="K4871" s="16" t="n"/>
      <c r="M4871" s="89" t="n"/>
      <c r="N4871" s="1" t="n"/>
      <c r="O4871" s="1" t="n"/>
      <c r="P4871" s="1" t="n"/>
      <c r="Q4871" s="1" t="n"/>
      <c r="R4871" s="1" t="n"/>
    </row>
    <row r="4872">
      <c r="A4872" s="61" t="n"/>
      <c r="B4872" s="16" t="n"/>
      <c r="C4872" s="90" t="n"/>
      <c r="D4872" s="90" t="n"/>
      <c r="E4872" s="90" t="n"/>
      <c r="F4872" s="16" t="n"/>
      <c r="G4872" s="16" t="n"/>
      <c r="H4872" s="63" t="n"/>
      <c r="I4872" s="64" t="n"/>
      <c r="J4872" s="16" t="n"/>
      <c r="K4872" s="16" t="n"/>
      <c r="M4872" s="89" t="n"/>
      <c r="N4872" s="1" t="n"/>
      <c r="O4872" s="1" t="n"/>
      <c r="P4872" s="1" t="n"/>
      <c r="Q4872" s="1" t="n"/>
      <c r="R4872" s="1" t="n"/>
    </row>
    <row r="4873">
      <c r="A4873" s="61" t="n"/>
      <c r="B4873" s="16" t="n"/>
      <c r="C4873" s="90" t="n"/>
      <c r="D4873" s="90" t="n"/>
      <c r="E4873" s="90" t="n"/>
      <c r="F4873" s="16" t="n"/>
      <c r="G4873" s="16" t="n"/>
      <c r="H4873" s="63" t="n"/>
      <c r="I4873" s="64" t="n"/>
      <c r="J4873" s="16" t="n"/>
      <c r="K4873" s="16" t="n"/>
      <c r="M4873" s="89" t="n"/>
      <c r="N4873" s="1" t="n"/>
      <c r="O4873" s="1" t="n"/>
      <c r="P4873" s="1" t="n"/>
      <c r="Q4873" s="1" t="n"/>
      <c r="R4873" s="1" t="n"/>
    </row>
    <row r="4874">
      <c r="A4874" s="61" t="n"/>
      <c r="B4874" s="16" t="n"/>
      <c r="C4874" s="90" t="n"/>
      <c r="D4874" s="90" t="n"/>
      <c r="E4874" s="90" t="n"/>
      <c r="F4874" s="16" t="n"/>
      <c r="G4874" s="16" t="n"/>
      <c r="H4874" s="63" t="n"/>
      <c r="I4874" s="64" t="n"/>
      <c r="J4874" s="16" t="n"/>
      <c r="K4874" s="16" t="n"/>
      <c r="M4874" s="89" t="n"/>
      <c r="N4874" s="1" t="n"/>
      <c r="O4874" s="1" t="n"/>
      <c r="P4874" s="1" t="n"/>
      <c r="Q4874" s="1" t="n"/>
      <c r="R4874" s="1" t="n"/>
    </row>
    <row r="4875">
      <c r="A4875" s="61" t="n"/>
      <c r="B4875" s="16" t="n"/>
      <c r="C4875" s="90" t="n"/>
      <c r="D4875" s="90" t="n"/>
      <c r="E4875" s="90" t="n"/>
      <c r="F4875" s="16" t="n"/>
      <c r="G4875" s="16" t="n"/>
      <c r="H4875" s="63" t="n"/>
      <c r="I4875" s="64" t="n"/>
      <c r="J4875" s="16" t="n"/>
      <c r="K4875" s="16" t="n"/>
      <c r="M4875" s="89" t="n"/>
      <c r="N4875" s="1" t="n"/>
      <c r="O4875" s="1" t="n"/>
      <c r="P4875" s="1" t="n"/>
      <c r="Q4875" s="1" t="n"/>
      <c r="R4875" s="1" t="n"/>
    </row>
    <row r="4876">
      <c r="A4876" s="61" t="n"/>
      <c r="B4876" s="16" t="n"/>
      <c r="C4876" s="90" t="n"/>
      <c r="D4876" s="90" t="n"/>
      <c r="E4876" s="90" t="n"/>
      <c r="F4876" s="16" t="n"/>
      <c r="G4876" s="16" t="n"/>
      <c r="H4876" s="63" t="n"/>
      <c r="I4876" s="64" t="n"/>
      <c r="J4876" s="16" t="n"/>
      <c r="K4876" s="16" t="n"/>
      <c r="M4876" s="89" t="n"/>
      <c r="N4876" s="1" t="n"/>
      <c r="O4876" s="1" t="n"/>
      <c r="P4876" s="1" t="n"/>
      <c r="Q4876" s="1" t="n"/>
      <c r="R4876" s="1" t="n"/>
    </row>
    <row r="4877">
      <c r="A4877" s="61" t="n"/>
      <c r="B4877" s="16" t="n"/>
      <c r="C4877" s="90" t="n"/>
      <c r="D4877" s="90" t="n"/>
      <c r="E4877" s="90" t="n"/>
      <c r="F4877" s="16" t="n"/>
      <c r="G4877" s="16" t="n"/>
      <c r="H4877" s="63" t="n"/>
      <c r="I4877" s="64" t="n"/>
      <c r="J4877" s="16" t="n"/>
      <c r="K4877" s="16" t="n"/>
      <c r="M4877" s="89" t="n"/>
      <c r="N4877" s="1" t="n"/>
      <c r="O4877" s="1" t="n"/>
      <c r="P4877" s="1" t="n"/>
      <c r="Q4877" s="1" t="n"/>
      <c r="R4877" s="1" t="n"/>
    </row>
    <row r="4878">
      <c r="A4878" s="61" t="n"/>
      <c r="B4878" s="16" t="n"/>
      <c r="C4878" s="90" t="n"/>
      <c r="D4878" s="90" t="n"/>
      <c r="E4878" s="90" t="n"/>
      <c r="F4878" s="16" t="n"/>
      <c r="G4878" s="16" t="n"/>
      <c r="H4878" s="63" t="n"/>
      <c r="I4878" s="64" t="n"/>
      <c r="J4878" s="16" t="n"/>
      <c r="K4878" s="16" t="n"/>
      <c r="M4878" s="89" t="n"/>
      <c r="N4878" s="1" t="n"/>
      <c r="O4878" s="1" t="n"/>
      <c r="P4878" s="1" t="n"/>
      <c r="Q4878" s="1" t="n"/>
      <c r="R4878" s="1" t="n"/>
    </row>
    <row r="4879">
      <c r="A4879" s="61" t="n"/>
      <c r="B4879" s="16" t="n"/>
      <c r="C4879" s="90" t="n"/>
      <c r="D4879" s="90" t="n"/>
      <c r="E4879" s="90" t="n"/>
      <c r="F4879" s="16" t="n"/>
      <c r="G4879" s="16" t="n"/>
      <c r="H4879" s="63" t="n"/>
      <c r="I4879" s="64" t="n"/>
      <c r="J4879" s="16" t="n"/>
      <c r="K4879" s="16" t="n"/>
      <c r="M4879" s="89" t="n"/>
      <c r="N4879" s="1" t="n"/>
      <c r="O4879" s="1" t="n"/>
      <c r="P4879" s="1" t="n"/>
      <c r="Q4879" s="1" t="n"/>
      <c r="R4879" s="1" t="n"/>
    </row>
    <row r="4880">
      <c r="A4880" s="61" t="n"/>
      <c r="B4880" s="16" t="n"/>
      <c r="C4880" s="90" t="n"/>
      <c r="D4880" s="90" t="n"/>
      <c r="E4880" s="90" t="n"/>
      <c r="F4880" s="16" t="n"/>
      <c r="G4880" s="16" t="n"/>
      <c r="H4880" s="63" t="n"/>
      <c r="I4880" s="64" t="n"/>
      <c r="J4880" s="16" t="n"/>
      <c r="K4880" s="16" t="n"/>
      <c r="M4880" s="89" t="n"/>
      <c r="N4880" s="1" t="n"/>
      <c r="O4880" s="1" t="n"/>
      <c r="P4880" s="1" t="n"/>
      <c r="Q4880" s="1" t="n"/>
      <c r="R4880" s="1" t="n"/>
    </row>
    <row r="4881">
      <c r="A4881" s="61" t="n"/>
      <c r="B4881" s="16" t="n"/>
      <c r="C4881" s="90" t="n"/>
      <c r="D4881" s="90" t="n"/>
      <c r="E4881" s="90" t="n"/>
      <c r="F4881" s="16" t="n"/>
      <c r="G4881" s="16" t="n"/>
      <c r="H4881" s="63" t="n"/>
      <c r="I4881" s="64" t="n"/>
      <c r="J4881" s="16" t="n"/>
      <c r="K4881" s="16" t="n"/>
      <c r="M4881" s="89" t="n"/>
      <c r="N4881" s="1" t="n"/>
      <c r="O4881" s="1" t="n"/>
      <c r="P4881" s="1" t="n"/>
      <c r="Q4881" s="1" t="n"/>
      <c r="R4881" s="1" t="n"/>
    </row>
    <row r="4882">
      <c r="A4882" s="61" t="n"/>
      <c r="B4882" s="16" t="n"/>
      <c r="C4882" s="90" t="n"/>
      <c r="D4882" s="90" t="n"/>
      <c r="E4882" s="90" t="n"/>
      <c r="F4882" s="16" t="n"/>
      <c r="G4882" s="16" t="n"/>
      <c r="H4882" s="63" t="n"/>
      <c r="I4882" s="64" t="n"/>
      <c r="J4882" s="16" t="n"/>
      <c r="K4882" s="16" t="n"/>
      <c r="M4882" s="89" t="n"/>
      <c r="N4882" s="1" t="n"/>
      <c r="O4882" s="1" t="n"/>
      <c r="P4882" s="1" t="n"/>
      <c r="Q4882" s="1" t="n"/>
      <c r="R4882" s="1" t="n"/>
    </row>
    <row r="4883">
      <c r="A4883" s="61" t="n"/>
      <c r="B4883" s="16" t="n"/>
      <c r="C4883" s="90" t="n"/>
      <c r="D4883" s="90" t="n"/>
      <c r="E4883" s="90" t="n"/>
      <c r="F4883" s="16" t="n"/>
      <c r="G4883" s="16" t="n"/>
      <c r="H4883" s="63" t="n"/>
      <c r="I4883" s="64" t="n"/>
      <c r="J4883" s="16" t="n"/>
      <c r="K4883" s="16" t="n"/>
      <c r="M4883" s="89" t="n"/>
      <c r="N4883" s="1" t="n"/>
      <c r="O4883" s="1" t="n"/>
      <c r="P4883" s="1" t="n"/>
      <c r="Q4883" s="1" t="n"/>
      <c r="R4883" s="1" t="n"/>
    </row>
    <row r="4884">
      <c r="A4884" s="61" t="n"/>
      <c r="B4884" s="16" t="n"/>
      <c r="C4884" s="90" t="n"/>
      <c r="D4884" s="90" t="n"/>
      <c r="E4884" s="90" t="n"/>
      <c r="F4884" s="16" t="n"/>
      <c r="G4884" s="16" t="n"/>
      <c r="H4884" s="63" t="n"/>
      <c r="I4884" s="64" t="n"/>
      <c r="J4884" s="16" t="n"/>
      <c r="K4884" s="16" t="n"/>
      <c r="M4884" s="89" t="n"/>
      <c r="N4884" s="1" t="n"/>
      <c r="O4884" s="1" t="n"/>
      <c r="P4884" s="1" t="n"/>
      <c r="Q4884" s="1" t="n"/>
      <c r="R4884" s="1" t="n"/>
    </row>
    <row r="4885">
      <c r="A4885" s="61" t="n"/>
      <c r="B4885" s="16" t="n"/>
      <c r="C4885" s="90" t="n"/>
      <c r="D4885" s="90" t="n"/>
      <c r="E4885" s="90" t="n"/>
      <c r="F4885" s="16" t="n"/>
      <c r="G4885" s="16" t="n"/>
      <c r="H4885" s="63" t="n"/>
      <c r="I4885" s="64" t="n"/>
      <c r="J4885" s="16" t="n"/>
      <c r="K4885" s="16" t="n"/>
      <c r="M4885" s="89" t="n"/>
      <c r="N4885" s="1" t="n"/>
      <c r="O4885" s="1" t="n"/>
      <c r="P4885" s="1" t="n"/>
      <c r="Q4885" s="1" t="n"/>
      <c r="R4885" s="1" t="n"/>
    </row>
    <row r="4886">
      <c r="A4886" s="61" t="n"/>
      <c r="B4886" s="16" t="n"/>
      <c r="C4886" s="90" t="n"/>
      <c r="D4886" s="90" t="n"/>
      <c r="E4886" s="90" t="n"/>
      <c r="F4886" s="16" t="n"/>
      <c r="G4886" s="16" t="n"/>
      <c r="H4886" s="63" t="n"/>
      <c r="I4886" s="64" t="n"/>
      <c r="J4886" s="16" t="n"/>
      <c r="K4886" s="16" t="n"/>
      <c r="M4886" s="89" t="n"/>
      <c r="N4886" s="1" t="n"/>
      <c r="O4886" s="1" t="n"/>
      <c r="P4886" s="1" t="n"/>
      <c r="Q4886" s="1" t="n"/>
      <c r="R4886" s="1" t="n"/>
    </row>
    <row r="4887">
      <c r="A4887" s="61" t="n"/>
      <c r="B4887" s="16" t="n"/>
      <c r="C4887" s="90" t="n"/>
      <c r="D4887" s="90" t="n"/>
      <c r="E4887" s="90" t="n"/>
      <c r="F4887" s="16" t="n"/>
      <c r="G4887" s="16" t="n"/>
      <c r="H4887" s="63" t="n"/>
      <c r="I4887" s="64" t="n"/>
      <c r="J4887" s="16" t="n"/>
      <c r="K4887" s="16" t="n"/>
      <c r="M4887" s="89" t="n"/>
      <c r="N4887" s="1" t="n"/>
      <c r="O4887" s="1" t="n"/>
      <c r="P4887" s="1" t="n"/>
      <c r="Q4887" s="1" t="n"/>
      <c r="R4887" s="1" t="n"/>
    </row>
    <row r="4888">
      <c r="A4888" s="61" t="n"/>
      <c r="B4888" s="16" t="n"/>
      <c r="C4888" s="90" t="n"/>
      <c r="D4888" s="90" t="n"/>
      <c r="E4888" s="90" t="n"/>
      <c r="F4888" s="16" t="n"/>
      <c r="G4888" s="16" t="n"/>
      <c r="H4888" s="63" t="n"/>
      <c r="I4888" s="64" t="n"/>
      <c r="J4888" s="16" t="n"/>
      <c r="K4888" s="16" t="n"/>
      <c r="M4888" s="89" t="n"/>
      <c r="N4888" s="1" t="n"/>
      <c r="O4888" s="1" t="n"/>
      <c r="P4888" s="1" t="n"/>
      <c r="Q4888" s="1" t="n"/>
      <c r="R4888" s="1" t="n"/>
    </row>
    <row r="4889">
      <c r="A4889" s="61" t="n"/>
      <c r="B4889" s="16" t="n"/>
      <c r="C4889" s="90" t="n"/>
      <c r="D4889" s="90" t="n"/>
      <c r="E4889" s="90" t="n"/>
      <c r="F4889" s="16" t="n"/>
      <c r="G4889" s="16" t="n"/>
      <c r="H4889" s="63" t="n"/>
      <c r="I4889" s="64" t="n"/>
      <c r="J4889" s="16" t="n"/>
      <c r="K4889" s="16" t="n"/>
      <c r="M4889" s="89" t="n"/>
      <c r="N4889" s="1" t="n"/>
      <c r="O4889" s="1" t="n"/>
      <c r="P4889" s="1" t="n"/>
      <c r="Q4889" s="1" t="n"/>
      <c r="R4889" s="1" t="n"/>
    </row>
    <row r="4890">
      <c r="A4890" s="61" t="n"/>
      <c r="B4890" s="16" t="n"/>
      <c r="C4890" s="90" t="n"/>
      <c r="D4890" s="90" t="n"/>
      <c r="E4890" s="90" t="n"/>
      <c r="F4890" s="16" t="n"/>
      <c r="G4890" s="16" t="n"/>
      <c r="H4890" s="63" t="n"/>
      <c r="I4890" s="64" t="n"/>
      <c r="J4890" s="16" t="n"/>
      <c r="K4890" s="16" t="n"/>
      <c r="M4890" s="89" t="n"/>
      <c r="N4890" s="1" t="n"/>
      <c r="O4890" s="1" t="n"/>
      <c r="P4890" s="1" t="n"/>
      <c r="Q4890" s="1" t="n"/>
      <c r="R4890" s="1" t="n"/>
    </row>
    <row r="4891">
      <c r="A4891" s="61" t="n"/>
      <c r="B4891" s="16" t="n"/>
      <c r="C4891" s="90" t="n"/>
      <c r="D4891" s="90" t="n"/>
      <c r="E4891" s="90" t="n"/>
      <c r="F4891" s="16" t="n"/>
      <c r="G4891" s="16" t="n"/>
      <c r="H4891" s="63" t="n"/>
      <c r="I4891" s="64" t="n"/>
      <c r="J4891" s="16" t="n"/>
      <c r="K4891" s="16" t="n"/>
      <c r="M4891" s="89" t="n"/>
      <c r="N4891" s="1" t="n"/>
      <c r="O4891" s="1" t="n"/>
      <c r="P4891" s="1" t="n"/>
      <c r="Q4891" s="1" t="n"/>
      <c r="R4891" s="1" t="n"/>
    </row>
    <row r="4892">
      <c r="A4892" s="61" t="n"/>
      <c r="B4892" s="16" t="n"/>
      <c r="C4892" s="90" t="n"/>
      <c r="D4892" s="90" t="n"/>
      <c r="E4892" s="90" t="n"/>
      <c r="F4892" s="16" t="n"/>
      <c r="G4892" s="16" t="n"/>
      <c r="H4892" s="63" t="n"/>
      <c r="I4892" s="64" t="n"/>
      <c r="J4892" s="16" t="n"/>
      <c r="K4892" s="16" t="n"/>
      <c r="M4892" s="89" t="n"/>
      <c r="N4892" s="1" t="n"/>
      <c r="O4892" s="1" t="n"/>
      <c r="P4892" s="1" t="n"/>
      <c r="Q4892" s="1" t="n"/>
      <c r="R4892" s="1" t="n"/>
    </row>
    <row r="4893">
      <c r="A4893" s="61" t="n"/>
      <c r="B4893" s="16" t="n"/>
      <c r="C4893" s="90" t="n"/>
      <c r="D4893" s="90" t="n"/>
      <c r="E4893" s="90" t="n"/>
      <c r="F4893" s="16" t="n"/>
      <c r="G4893" s="16" t="n"/>
      <c r="H4893" s="63" t="n"/>
      <c r="I4893" s="64" t="n"/>
      <c r="J4893" s="16" t="n"/>
      <c r="K4893" s="16" t="n"/>
      <c r="M4893" s="89" t="n"/>
      <c r="N4893" s="1" t="n"/>
      <c r="O4893" s="1" t="n"/>
      <c r="P4893" s="1" t="n"/>
      <c r="Q4893" s="1" t="n"/>
      <c r="R4893" s="1" t="n"/>
    </row>
    <row r="4894">
      <c r="A4894" s="61" t="n"/>
      <c r="B4894" s="16" t="n"/>
      <c r="C4894" s="90" t="n"/>
      <c r="D4894" s="90" t="n"/>
      <c r="E4894" s="90" t="n"/>
      <c r="F4894" s="16" t="n"/>
      <c r="G4894" s="16" t="n"/>
      <c r="H4894" s="63" t="n"/>
      <c r="I4894" s="64" t="n"/>
      <c r="J4894" s="16" t="n"/>
      <c r="K4894" s="16" t="n"/>
      <c r="M4894" s="89" t="n"/>
      <c r="N4894" s="1" t="n"/>
      <c r="O4894" s="1" t="n"/>
      <c r="P4894" s="1" t="n"/>
      <c r="Q4894" s="1" t="n"/>
      <c r="R4894" s="1" t="n"/>
    </row>
    <row r="4895">
      <c r="A4895" s="61" t="n"/>
      <c r="B4895" s="16" t="n"/>
      <c r="C4895" s="90" t="n"/>
      <c r="D4895" s="90" t="n"/>
      <c r="E4895" s="90" t="n"/>
      <c r="F4895" s="16" t="n"/>
      <c r="G4895" s="16" t="n"/>
      <c r="H4895" s="63" t="n"/>
      <c r="I4895" s="64" t="n"/>
      <c r="J4895" s="16" t="n"/>
      <c r="K4895" s="16" t="n"/>
      <c r="M4895" s="89" t="n"/>
      <c r="N4895" s="1" t="n"/>
      <c r="O4895" s="1" t="n"/>
      <c r="P4895" s="1" t="n"/>
      <c r="Q4895" s="1" t="n"/>
      <c r="R4895" s="1" t="n"/>
    </row>
    <row r="4896">
      <c r="A4896" s="61" t="n"/>
      <c r="B4896" s="16" t="n"/>
      <c r="C4896" s="90" t="n"/>
      <c r="D4896" s="90" t="n"/>
      <c r="E4896" s="90" t="n"/>
      <c r="F4896" s="16" t="n"/>
      <c r="G4896" s="16" t="n"/>
      <c r="H4896" s="63" t="n"/>
      <c r="I4896" s="64" t="n"/>
      <c r="J4896" s="16" t="n"/>
      <c r="K4896" s="16" t="n"/>
      <c r="M4896" s="89" t="n"/>
      <c r="N4896" s="1" t="n"/>
      <c r="O4896" s="1" t="n"/>
      <c r="P4896" s="1" t="n"/>
      <c r="Q4896" s="1" t="n"/>
      <c r="R4896" s="1" t="n"/>
    </row>
    <row r="4897">
      <c r="A4897" s="61" t="n"/>
      <c r="B4897" s="16" t="n"/>
      <c r="C4897" s="90" t="n"/>
      <c r="D4897" s="90" t="n"/>
      <c r="E4897" s="90" t="n"/>
      <c r="F4897" s="16" t="n"/>
      <c r="G4897" s="16" t="n"/>
      <c r="H4897" s="63" t="n"/>
      <c r="I4897" s="64" t="n"/>
      <c r="J4897" s="16" t="n"/>
      <c r="K4897" s="16" t="n"/>
      <c r="M4897" s="89" t="n"/>
      <c r="N4897" s="1" t="n"/>
      <c r="O4897" s="1" t="n"/>
      <c r="P4897" s="1" t="n"/>
      <c r="Q4897" s="1" t="n"/>
      <c r="R4897" s="1" t="n"/>
    </row>
    <row r="4898">
      <c r="A4898" s="61" t="n"/>
      <c r="B4898" s="16" t="n"/>
      <c r="C4898" s="90" t="n"/>
      <c r="D4898" s="90" t="n"/>
      <c r="E4898" s="90" t="n"/>
      <c r="F4898" s="16" t="n"/>
      <c r="G4898" s="16" t="n"/>
      <c r="H4898" s="63" t="n"/>
      <c r="I4898" s="64" t="n"/>
      <c r="J4898" s="16" t="n"/>
      <c r="K4898" s="16" t="n"/>
      <c r="M4898" s="89" t="n"/>
      <c r="N4898" s="1" t="n"/>
      <c r="O4898" s="1" t="n"/>
      <c r="P4898" s="1" t="n"/>
      <c r="Q4898" s="1" t="n"/>
      <c r="R4898" s="1" t="n"/>
    </row>
    <row r="4899">
      <c r="A4899" s="61" t="n"/>
      <c r="B4899" s="16" t="n"/>
      <c r="C4899" s="90" t="n"/>
      <c r="D4899" s="90" t="n"/>
      <c r="E4899" s="90" t="n"/>
      <c r="F4899" s="16" t="n"/>
      <c r="G4899" s="16" t="n"/>
      <c r="H4899" s="63" t="n"/>
      <c r="I4899" s="64" t="n"/>
      <c r="J4899" s="16" t="n"/>
      <c r="K4899" s="16" t="n"/>
      <c r="M4899" s="89" t="n"/>
      <c r="N4899" s="1" t="n"/>
      <c r="O4899" s="1" t="n"/>
      <c r="P4899" s="1" t="n"/>
      <c r="Q4899" s="1" t="n"/>
      <c r="R4899" s="1" t="n"/>
    </row>
    <row r="4900">
      <c r="A4900" s="61" t="n"/>
      <c r="B4900" s="16" t="n"/>
      <c r="C4900" s="90" t="n"/>
      <c r="D4900" s="90" t="n"/>
      <c r="E4900" s="90" t="n"/>
      <c r="F4900" s="16" t="n"/>
      <c r="G4900" s="16" t="n"/>
      <c r="H4900" s="63" t="n"/>
      <c r="I4900" s="64" t="n"/>
      <c r="J4900" s="16" t="n"/>
      <c r="K4900" s="16" t="n"/>
      <c r="M4900" s="89" t="n"/>
      <c r="N4900" s="1" t="n"/>
      <c r="O4900" s="1" t="n"/>
      <c r="P4900" s="1" t="n"/>
      <c r="Q4900" s="1" t="n"/>
      <c r="R4900" s="1" t="n"/>
    </row>
    <row r="4901">
      <c r="A4901" s="61" t="n"/>
      <c r="B4901" s="16" t="n"/>
      <c r="C4901" s="90" t="n"/>
      <c r="D4901" s="90" t="n"/>
      <c r="E4901" s="90" t="n"/>
      <c r="F4901" s="16" t="n"/>
      <c r="G4901" s="16" t="n"/>
      <c r="H4901" s="63" t="n"/>
      <c r="I4901" s="64" t="n"/>
      <c r="J4901" s="16" t="n"/>
      <c r="K4901" s="16" t="n"/>
      <c r="M4901" s="89" t="n"/>
      <c r="N4901" s="1" t="n"/>
      <c r="O4901" s="1" t="n"/>
      <c r="P4901" s="1" t="n"/>
      <c r="Q4901" s="1" t="n"/>
      <c r="R4901" s="1" t="n"/>
    </row>
    <row r="4902">
      <c r="A4902" s="61" t="n"/>
      <c r="B4902" s="16" t="n"/>
      <c r="C4902" s="90" t="n"/>
      <c r="D4902" s="90" t="n"/>
      <c r="E4902" s="90" t="n"/>
      <c r="F4902" s="16" t="n"/>
      <c r="G4902" s="16" t="n"/>
      <c r="H4902" s="63" t="n"/>
      <c r="I4902" s="64" t="n"/>
      <c r="J4902" s="16" t="n"/>
      <c r="K4902" s="16" t="n"/>
      <c r="M4902" s="89" t="n"/>
      <c r="N4902" s="1" t="n"/>
      <c r="O4902" s="1" t="n"/>
      <c r="P4902" s="1" t="n"/>
      <c r="Q4902" s="1" t="n"/>
      <c r="R4902" s="1" t="n"/>
    </row>
    <row r="4903">
      <c r="A4903" s="61" t="n"/>
      <c r="B4903" s="16" t="n"/>
      <c r="C4903" s="90" t="n"/>
      <c r="D4903" s="90" t="n"/>
      <c r="E4903" s="90" t="n"/>
      <c r="F4903" s="16" t="n"/>
      <c r="G4903" s="16" t="n"/>
      <c r="H4903" s="63" t="n"/>
      <c r="I4903" s="64" t="n"/>
      <c r="J4903" s="16" t="n"/>
      <c r="K4903" s="16" t="n"/>
      <c r="M4903" s="89" t="n"/>
      <c r="N4903" s="1" t="n"/>
      <c r="O4903" s="1" t="n"/>
      <c r="P4903" s="1" t="n"/>
      <c r="Q4903" s="1" t="n"/>
      <c r="R4903" s="1" t="n"/>
    </row>
    <row r="4904">
      <c r="A4904" s="61" t="n"/>
      <c r="B4904" s="16" t="n"/>
      <c r="C4904" s="90" t="n"/>
      <c r="D4904" s="90" t="n"/>
      <c r="E4904" s="90" t="n"/>
      <c r="F4904" s="16" t="n"/>
      <c r="G4904" s="16" t="n"/>
      <c r="H4904" s="63" t="n"/>
      <c r="I4904" s="64" t="n"/>
      <c r="J4904" s="16" t="n"/>
      <c r="K4904" s="16" t="n"/>
      <c r="M4904" s="89" t="n"/>
      <c r="N4904" s="1" t="n"/>
      <c r="O4904" s="1" t="n"/>
      <c r="P4904" s="1" t="n"/>
      <c r="Q4904" s="1" t="n"/>
      <c r="R4904" s="1" t="n"/>
    </row>
    <row r="4905">
      <c r="A4905" s="61" t="n"/>
      <c r="B4905" s="16" t="n"/>
      <c r="C4905" s="90" t="n"/>
      <c r="D4905" s="90" t="n"/>
      <c r="E4905" s="90" t="n"/>
      <c r="F4905" s="16" t="n"/>
      <c r="G4905" s="16" t="n"/>
      <c r="H4905" s="63" t="n"/>
      <c r="I4905" s="64" t="n"/>
      <c r="J4905" s="16" t="n"/>
      <c r="K4905" s="16" t="n"/>
      <c r="M4905" s="89" t="n"/>
      <c r="N4905" s="1" t="n"/>
      <c r="O4905" s="1" t="n"/>
      <c r="P4905" s="1" t="n"/>
      <c r="Q4905" s="1" t="n"/>
      <c r="R4905" s="1" t="n"/>
    </row>
    <row r="4906">
      <c r="A4906" s="61" t="n"/>
      <c r="B4906" s="16" t="n"/>
      <c r="C4906" s="90" t="n"/>
      <c r="D4906" s="90" t="n"/>
      <c r="E4906" s="90" t="n"/>
      <c r="F4906" s="16" t="n"/>
      <c r="G4906" s="16" t="n"/>
      <c r="H4906" s="63" t="n"/>
      <c r="I4906" s="64" t="n"/>
      <c r="J4906" s="16" t="n"/>
      <c r="K4906" s="16" t="n"/>
      <c r="M4906" s="89" t="n"/>
      <c r="N4906" s="1" t="n"/>
      <c r="O4906" s="1" t="n"/>
      <c r="P4906" s="1" t="n"/>
      <c r="Q4906" s="1" t="n"/>
      <c r="R4906" s="1" t="n"/>
    </row>
    <row r="4907">
      <c r="A4907" s="61" t="n"/>
      <c r="B4907" s="16" t="n"/>
      <c r="C4907" s="90" t="n"/>
      <c r="D4907" s="90" t="n"/>
      <c r="E4907" s="90" t="n"/>
      <c r="F4907" s="16" t="n"/>
      <c r="G4907" s="16" t="n"/>
      <c r="H4907" s="63" t="n"/>
      <c r="I4907" s="64" t="n"/>
      <c r="J4907" s="16" t="n"/>
      <c r="K4907" s="16" t="n"/>
      <c r="M4907" s="89" t="n"/>
      <c r="N4907" s="1" t="n"/>
      <c r="O4907" s="1" t="n"/>
      <c r="P4907" s="1" t="n"/>
      <c r="Q4907" s="1" t="n"/>
      <c r="R4907" s="1" t="n"/>
    </row>
    <row r="4908">
      <c r="A4908" s="61" t="n"/>
      <c r="B4908" s="16" t="n"/>
      <c r="C4908" s="90" t="n"/>
      <c r="D4908" s="90" t="n"/>
      <c r="E4908" s="90" t="n"/>
      <c r="F4908" s="16" t="n"/>
      <c r="G4908" s="16" t="n"/>
      <c r="H4908" s="63" t="n"/>
      <c r="I4908" s="64" t="n"/>
      <c r="J4908" s="16" t="n"/>
      <c r="K4908" s="16" t="n"/>
      <c r="M4908" s="89" t="n"/>
      <c r="N4908" s="1" t="n"/>
      <c r="O4908" s="1" t="n"/>
      <c r="P4908" s="1" t="n"/>
      <c r="Q4908" s="1" t="n"/>
      <c r="R4908" s="1" t="n"/>
    </row>
    <row r="4909">
      <c r="A4909" s="61" t="n"/>
      <c r="B4909" s="16" t="n"/>
      <c r="C4909" s="90" t="n"/>
      <c r="D4909" s="90" t="n"/>
      <c r="E4909" s="90" t="n"/>
      <c r="F4909" s="16" t="n"/>
      <c r="G4909" s="16" t="n"/>
      <c r="H4909" s="63" t="n"/>
      <c r="I4909" s="64" t="n"/>
      <c r="J4909" s="16" t="n"/>
      <c r="K4909" s="16" t="n"/>
      <c r="M4909" s="89" t="n"/>
      <c r="N4909" s="1" t="n"/>
      <c r="O4909" s="1" t="n"/>
      <c r="P4909" s="1" t="n"/>
      <c r="Q4909" s="1" t="n"/>
      <c r="R4909" s="1" t="n"/>
    </row>
    <row r="4910">
      <c r="A4910" s="61" t="n"/>
      <c r="B4910" s="16" t="n"/>
      <c r="C4910" s="90" t="n"/>
      <c r="D4910" s="90" t="n"/>
      <c r="E4910" s="90" t="n"/>
      <c r="F4910" s="16" t="n"/>
      <c r="G4910" s="16" t="n"/>
      <c r="H4910" s="63" t="n"/>
      <c r="I4910" s="64" t="n"/>
      <c r="J4910" s="16" t="n"/>
      <c r="K4910" s="16" t="n"/>
      <c r="M4910" s="89" t="n"/>
      <c r="N4910" s="1" t="n"/>
      <c r="O4910" s="1" t="n"/>
      <c r="P4910" s="1" t="n"/>
      <c r="Q4910" s="1" t="n"/>
      <c r="R4910" s="1" t="n"/>
    </row>
    <row r="4911">
      <c r="A4911" s="61" t="n"/>
      <c r="B4911" s="16" t="n"/>
      <c r="C4911" s="90" t="n"/>
      <c r="D4911" s="90" t="n"/>
      <c r="E4911" s="90" t="n"/>
      <c r="F4911" s="16" t="n"/>
      <c r="G4911" s="16" t="n"/>
      <c r="H4911" s="63" t="n"/>
      <c r="I4911" s="64" t="n"/>
      <c r="J4911" s="16" t="n"/>
      <c r="K4911" s="16" t="n"/>
      <c r="M4911" s="89" t="n"/>
      <c r="N4911" s="1" t="n"/>
      <c r="O4911" s="1" t="n"/>
      <c r="P4911" s="1" t="n"/>
      <c r="Q4911" s="1" t="n"/>
      <c r="R4911" s="1" t="n"/>
    </row>
    <row r="4912">
      <c r="A4912" s="61" t="n"/>
      <c r="B4912" s="16" t="n"/>
      <c r="C4912" s="90" t="n"/>
      <c r="D4912" s="90" t="n"/>
      <c r="E4912" s="90" t="n"/>
      <c r="F4912" s="16" t="n"/>
      <c r="G4912" s="16" t="n"/>
      <c r="H4912" s="63" t="n"/>
      <c r="I4912" s="64" t="n"/>
      <c r="J4912" s="16" t="n"/>
      <c r="K4912" s="16" t="n"/>
      <c r="M4912" s="89" t="n"/>
      <c r="N4912" s="1" t="n"/>
      <c r="O4912" s="1" t="n"/>
      <c r="P4912" s="1" t="n"/>
      <c r="Q4912" s="1" t="n"/>
      <c r="R4912" s="1" t="n"/>
    </row>
    <row r="4913">
      <c r="A4913" s="61" t="n"/>
      <c r="B4913" s="16" t="n"/>
      <c r="C4913" s="90" t="n"/>
      <c r="D4913" s="90" t="n"/>
      <c r="E4913" s="90" t="n"/>
      <c r="F4913" s="16" t="n"/>
      <c r="G4913" s="16" t="n"/>
      <c r="H4913" s="63" t="n"/>
      <c r="I4913" s="64" t="n"/>
      <c r="J4913" s="16" t="n"/>
      <c r="K4913" s="16" t="n"/>
      <c r="M4913" s="89" t="n"/>
      <c r="N4913" s="1" t="n"/>
      <c r="O4913" s="1" t="n"/>
      <c r="P4913" s="1" t="n"/>
      <c r="Q4913" s="1" t="n"/>
      <c r="R4913" s="1" t="n"/>
    </row>
    <row r="4914">
      <c r="A4914" s="61" t="n"/>
      <c r="B4914" s="16" t="n"/>
      <c r="C4914" s="90" t="n"/>
      <c r="D4914" s="90" t="n"/>
      <c r="E4914" s="90" t="n"/>
      <c r="F4914" s="16" t="n"/>
      <c r="G4914" s="16" t="n"/>
      <c r="H4914" s="63" t="n"/>
      <c r="I4914" s="64" t="n"/>
      <c r="J4914" s="16" t="n"/>
      <c r="K4914" s="16" t="n"/>
      <c r="M4914" s="89" t="n"/>
      <c r="N4914" s="1" t="n"/>
      <c r="O4914" s="1" t="n"/>
      <c r="P4914" s="1" t="n"/>
      <c r="Q4914" s="1" t="n"/>
      <c r="R4914" s="1" t="n"/>
    </row>
    <row r="4915">
      <c r="A4915" s="61" t="n"/>
      <c r="B4915" s="16" t="n"/>
      <c r="C4915" s="90" t="n"/>
      <c r="D4915" s="90" t="n"/>
      <c r="E4915" s="90" t="n"/>
      <c r="F4915" s="16" t="n"/>
      <c r="G4915" s="16" t="n"/>
      <c r="H4915" s="63" t="n"/>
      <c r="I4915" s="64" t="n"/>
      <c r="J4915" s="16" t="n"/>
      <c r="K4915" s="16" t="n"/>
      <c r="M4915" s="89" t="n"/>
      <c r="N4915" s="1" t="n"/>
      <c r="O4915" s="1" t="n"/>
      <c r="P4915" s="1" t="n"/>
      <c r="Q4915" s="1" t="n"/>
      <c r="R4915" s="1" t="n"/>
    </row>
    <row r="4916">
      <c r="A4916" s="61" t="n"/>
      <c r="B4916" s="16" t="n"/>
      <c r="C4916" s="90" t="n"/>
      <c r="D4916" s="90" t="n"/>
      <c r="E4916" s="90" t="n"/>
      <c r="F4916" s="16" t="n"/>
      <c r="G4916" s="16" t="n"/>
      <c r="H4916" s="63" t="n"/>
      <c r="I4916" s="64" t="n"/>
      <c r="J4916" s="16" t="n"/>
      <c r="K4916" s="16" t="n"/>
      <c r="M4916" s="89" t="n"/>
      <c r="N4916" s="1" t="n"/>
      <c r="O4916" s="1" t="n"/>
      <c r="P4916" s="1" t="n"/>
      <c r="Q4916" s="1" t="n"/>
      <c r="R4916" s="1" t="n"/>
    </row>
    <row r="4917">
      <c r="A4917" s="61" t="n"/>
      <c r="B4917" s="16" t="n"/>
      <c r="C4917" s="90" t="n"/>
      <c r="D4917" s="90" t="n"/>
      <c r="E4917" s="90" t="n"/>
      <c r="F4917" s="16" t="n"/>
      <c r="G4917" s="16" t="n"/>
      <c r="H4917" s="63" t="n"/>
      <c r="I4917" s="64" t="n"/>
      <c r="J4917" s="16" t="n"/>
      <c r="K4917" s="16" t="n"/>
      <c r="M4917" s="89" t="n"/>
      <c r="N4917" s="1" t="n"/>
      <c r="O4917" s="1" t="n"/>
      <c r="P4917" s="1" t="n"/>
      <c r="Q4917" s="1" t="n"/>
      <c r="R4917" s="1" t="n"/>
    </row>
    <row r="4918">
      <c r="A4918" s="61" t="n"/>
      <c r="B4918" s="16" t="n"/>
      <c r="C4918" s="90" t="n"/>
      <c r="D4918" s="90" t="n"/>
      <c r="E4918" s="90" t="n"/>
      <c r="F4918" s="16" t="n"/>
      <c r="G4918" s="16" t="n"/>
      <c r="H4918" s="63" t="n"/>
      <c r="I4918" s="64" t="n"/>
      <c r="J4918" s="16" t="n"/>
      <c r="K4918" s="16" t="n"/>
      <c r="M4918" s="89" t="n"/>
      <c r="N4918" s="1" t="n"/>
      <c r="O4918" s="1" t="n"/>
      <c r="P4918" s="1" t="n"/>
      <c r="Q4918" s="1" t="n"/>
      <c r="R4918" s="1" t="n"/>
    </row>
    <row r="4919">
      <c r="A4919" s="61" t="n"/>
      <c r="B4919" s="16" t="n"/>
      <c r="C4919" s="90" t="n"/>
      <c r="D4919" s="90" t="n"/>
      <c r="E4919" s="90" t="n"/>
      <c r="F4919" s="16" t="n"/>
      <c r="G4919" s="16" t="n"/>
      <c r="H4919" s="63" t="n"/>
      <c r="I4919" s="64" t="n"/>
      <c r="J4919" s="16" t="n"/>
      <c r="K4919" s="16" t="n"/>
      <c r="M4919" s="89" t="n"/>
      <c r="N4919" s="1" t="n"/>
      <c r="O4919" s="1" t="n"/>
      <c r="P4919" s="1" t="n"/>
      <c r="Q4919" s="1" t="n"/>
      <c r="R4919" s="1" t="n"/>
    </row>
    <row r="4920">
      <c r="A4920" s="61" t="n"/>
      <c r="B4920" s="16" t="n"/>
      <c r="C4920" s="90" t="n"/>
      <c r="D4920" s="90" t="n"/>
      <c r="E4920" s="90" t="n"/>
      <c r="F4920" s="16" t="n"/>
      <c r="G4920" s="16" t="n"/>
      <c r="H4920" s="63" t="n"/>
      <c r="I4920" s="64" t="n"/>
      <c r="J4920" s="16" t="n"/>
      <c r="K4920" s="16" t="n"/>
      <c r="M4920" s="89" t="n"/>
      <c r="N4920" s="1" t="n"/>
      <c r="O4920" s="1" t="n"/>
      <c r="P4920" s="1" t="n"/>
      <c r="Q4920" s="1" t="n"/>
      <c r="R4920" s="1" t="n"/>
    </row>
    <row r="4921">
      <c r="A4921" s="61" t="n"/>
      <c r="B4921" s="16" t="n"/>
      <c r="C4921" s="90" t="n"/>
      <c r="D4921" s="90" t="n"/>
      <c r="E4921" s="90" t="n"/>
      <c r="F4921" s="16" t="n"/>
      <c r="G4921" s="16" t="n"/>
      <c r="H4921" s="63" t="n"/>
      <c r="I4921" s="64" t="n"/>
      <c r="J4921" s="16" t="n"/>
      <c r="K4921" s="16" t="n"/>
      <c r="M4921" s="89" t="n"/>
      <c r="N4921" s="1" t="n"/>
      <c r="O4921" s="1" t="n"/>
      <c r="P4921" s="1" t="n"/>
      <c r="Q4921" s="1" t="n"/>
      <c r="R4921" s="1" t="n"/>
    </row>
    <row r="4922">
      <c r="A4922" s="61" t="n"/>
      <c r="B4922" s="16" t="n"/>
      <c r="C4922" s="90" t="n"/>
      <c r="D4922" s="90" t="n"/>
      <c r="E4922" s="90" t="n"/>
      <c r="F4922" s="16" t="n"/>
      <c r="G4922" s="16" t="n"/>
      <c r="H4922" s="63" t="n"/>
      <c r="I4922" s="64" t="n"/>
      <c r="J4922" s="16" t="n"/>
      <c r="K4922" s="16" t="n"/>
      <c r="M4922" s="89" t="n"/>
      <c r="N4922" s="1" t="n"/>
      <c r="O4922" s="1" t="n"/>
      <c r="P4922" s="1" t="n"/>
      <c r="Q4922" s="1" t="n"/>
      <c r="R4922" s="1" t="n"/>
    </row>
    <row r="4923">
      <c r="A4923" s="61" t="n"/>
      <c r="B4923" s="16" t="n"/>
      <c r="C4923" s="90" t="n"/>
      <c r="D4923" s="90" t="n"/>
      <c r="E4923" s="90" t="n"/>
      <c r="F4923" s="16" t="n"/>
      <c r="G4923" s="16" t="n"/>
      <c r="H4923" s="63" t="n"/>
      <c r="I4923" s="64" t="n"/>
      <c r="J4923" s="16" t="n"/>
      <c r="K4923" s="16" t="n"/>
      <c r="M4923" s="89" t="n"/>
      <c r="N4923" s="1" t="n"/>
      <c r="O4923" s="1" t="n"/>
      <c r="P4923" s="1" t="n"/>
      <c r="Q4923" s="1" t="n"/>
      <c r="R4923" s="1" t="n"/>
    </row>
    <row r="4924">
      <c r="A4924" s="61" t="n"/>
      <c r="B4924" s="16" t="n"/>
      <c r="C4924" s="90" t="n"/>
      <c r="D4924" s="90" t="n"/>
      <c r="E4924" s="90" t="n"/>
      <c r="F4924" s="16" t="n"/>
      <c r="G4924" s="16" t="n"/>
      <c r="H4924" s="63" t="n"/>
      <c r="I4924" s="64" t="n"/>
      <c r="J4924" s="16" t="n"/>
      <c r="K4924" s="16" t="n"/>
      <c r="M4924" s="89" t="n"/>
      <c r="N4924" s="1" t="n"/>
      <c r="O4924" s="1" t="n"/>
      <c r="P4924" s="1" t="n"/>
      <c r="Q4924" s="1" t="n"/>
      <c r="R4924" s="1" t="n"/>
    </row>
    <row r="4925">
      <c r="A4925" s="61" t="n"/>
      <c r="B4925" s="16" t="n"/>
      <c r="C4925" s="90" t="n"/>
      <c r="D4925" s="90" t="n"/>
      <c r="E4925" s="90" t="n"/>
      <c r="F4925" s="16" t="n"/>
      <c r="G4925" s="16" t="n"/>
      <c r="H4925" s="63" t="n"/>
      <c r="I4925" s="64" t="n"/>
      <c r="J4925" s="16" t="n"/>
      <c r="K4925" s="16" t="n"/>
      <c r="M4925" s="89" t="n"/>
      <c r="N4925" s="1" t="n"/>
      <c r="O4925" s="1" t="n"/>
      <c r="P4925" s="1" t="n"/>
      <c r="Q4925" s="1" t="n"/>
      <c r="R4925" s="1" t="n"/>
    </row>
    <row r="4926">
      <c r="A4926" s="61" t="n"/>
      <c r="B4926" s="16" t="n"/>
      <c r="C4926" s="90" t="n"/>
      <c r="D4926" s="90" t="n"/>
      <c r="E4926" s="90" t="n"/>
      <c r="F4926" s="16" t="n"/>
      <c r="G4926" s="16" t="n"/>
      <c r="H4926" s="63" t="n"/>
      <c r="I4926" s="64" t="n"/>
      <c r="J4926" s="16" t="n"/>
      <c r="K4926" s="16" t="n"/>
      <c r="M4926" s="89" t="n"/>
      <c r="N4926" s="1" t="n"/>
      <c r="O4926" s="1" t="n"/>
      <c r="P4926" s="1" t="n"/>
      <c r="Q4926" s="1" t="n"/>
      <c r="R4926" s="1" t="n"/>
    </row>
    <row r="4927">
      <c r="A4927" s="61" t="n"/>
      <c r="B4927" s="16" t="n"/>
      <c r="C4927" s="90" t="n"/>
      <c r="D4927" s="90" t="n"/>
      <c r="E4927" s="90" t="n"/>
      <c r="F4927" s="16" t="n"/>
      <c r="G4927" s="16" t="n"/>
      <c r="H4927" s="63" t="n"/>
      <c r="I4927" s="64" t="n"/>
      <c r="J4927" s="16" t="n"/>
      <c r="K4927" s="16" t="n"/>
      <c r="M4927" s="89" t="n"/>
      <c r="N4927" s="1" t="n"/>
      <c r="O4927" s="1" t="n"/>
      <c r="P4927" s="1" t="n"/>
      <c r="Q4927" s="1" t="n"/>
      <c r="R4927" s="1" t="n"/>
    </row>
    <row r="4928">
      <c r="A4928" s="61" t="n"/>
      <c r="B4928" s="16" t="n"/>
      <c r="C4928" s="90" t="n"/>
      <c r="D4928" s="90" t="n"/>
      <c r="E4928" s="90" t="n"/>
      <c r="F4928" s="16" t="n"/>
      <c r="G4928" s="16" t="n"/>
      <c r="H4928" s="63" t="n"/>
      <c r="I4928" s="64" t="n"/>
      <c r="J4928" s="16" t="n"/>
      <c r="K4928" s="16" t="n"/>
      <c r="M4928" s="89" t="n"/>
      <c r="N4928" s="1" t="n"/>
      <c r="O4928" s="1" t="n"/>
      <c r="P4928" s="1" t="n"/>
      <c r="Q4928" s="1" t="n"/>
      <c r="R4928" s="1" t="n"/>
    </row>
    <row r="4929">
      <c r="A4929" s="61" t="n"/>
      <c r="B4929" s="16" t="n"/>
      <c r="C4929" s="90" t="n"/>
      <c r="D4929" s="90" t="n"/>
      <c r="E4929" s="90" t="n"/>
      <c r="F4929" s="16" t="n"/>
      <c r="G4929" s="16" t="n"/>
      <c r="H4929" s="63" t="n"/>
      <c r="I4929" s="64" t="n"/>
      <c r="J4929" s="16" t="n"/>
      <c r="K4929" s="16" t="n"/>
      <c r="M4929" s="89" t="n"/>
      <c r="N4929" s="1" t="n"/>
      <c r="O4929" s="1" t="n"/>
      <c r="P4929" s="1" t="n"/>
      <c r="Q4929" s="1" t="n"/>
      <c r="R4929" s="1" t="n"/>
    </row>
    <row r="4930">
      <c r="A4930" s="61" t="n"/>
      <c r="B4930" s="16" t="n"/>
      <c r="C4930" s="90" t="n"/>
      <c r="D4930" s="90" t="n"/>
      <c r="E4930" s="90" t="n"/>
      <c r="F4930" s="16" t="n"/>
      <c r="G4930" s="16" t="n"/>
      <c r="H4930" s="63" t="n"/>
      <c r="I4930" s="64" t="n"/>
      <c r="J4930" s="16" t="n"/>
      <c r="K4930" s="16" t="n"/>
      <c r="M4930" s="89" t="n"/>
      <c r="N4930" s="1" t="n"/>
      <c r="O4930" s="1" t="n"/>
      <c r="P4930" s="1" t="n"/>
      <c r="Q4930" s="1" t="n"/>
      <c r="R4930" s="1" t="n"/>
    </row>
    <row r="4931">
      <c r="A4931" s="61" t="n"/>
      <c r="B4931" s="16" t="n"/>
      <c r="C4931" s="90" t="n"/>
      <c r="D4931" s="90" t="n"/>
      <c r="E4931" s="90" t="n"/>
      <c r="F4931" s="16" t="n"/>
      <c r="G4931" s="16" t="n"/>
      <c r="H4931" s="63" t="n"/>
      <c r="I4931" s="64" t="n"/>
      <c r="J4931" s="16" t="n"/>
      <c r="K4931" s="16" t="n"/>
      <c r="M4931" s="89" t="n"/>
      <c r="N4931" s="1" t="n"/>
      <c r="O4931" s="1" t="n"/>
      <c r="P4931" s="1" t="n"/>
      <c r="Q4931" s="1" t="n"/>
      <c r="R4931" s="1" t="n"/>
    </row>
    <row r="4932">
      <c r="A4932" s="61" t="n"/>
      <c r="B4932" s="16" t="n"/>
      <c r="C4932" s="90" t="n"/>
      <c r="D4932" s="90" t="n"/>
      <c r="E4932" s="90" t="n"/>
      <c r="F4932" s="16" t="n"/>
      <c r="G4932" s="16" t="n"/>
      <c r="H4932" s="63" t="n"/>
      <c r="I4932" s="64" t="n"/>
      <c r="J4932" s="16" t="n"/>
      <c r="K4932" s="16" t="n"/>
      <c r="M4932" s="89" t="n"/>
      <c r="N4932" s="1" t="n"/>
      <c r="O4932" s="1" t="n"/>
      <c r="P4932" s="1" t="n"/>
      <c r="Q4932" s="1" t="n"/>
      <c r="R4932" s="1" t="n"/>
    </row>
    <row r="4933">
      <c r="A4933" s="61" t="n"/>
      <c r="B4933" s="16" t="n"/>
      <c r="C4933" s="90" t="n"/>
      <c r="D4933" s="90" t="n"/>
      <c r="E4933" s="90" t="n"/>
      <c r="F4933" s="16" t="n"/>
      <c r="G4933" s="16" t="n"/>
      <c r="H4933" s="63" t="n"/>
      <c r="I4933" s="64" t="n"/>
      <c r="J4933" s="16" t="n"/>
      <c r="K4933" s="16" t="n"/>
      <c r="M4933" s="89" t="n"/>
      <c r="N4933" s="1" t="n"/>
      <c r="O4933" s="1" t="n"/>
      <c r="P4933" s="1" t="n"/>
      <c r="Q4933" s="1" t="n"/>
      <c r="R4933" s="1" t="n"/>
    </row>
    <row r="4934">
      <c r="A4934" s="61" t="n"/>
      <c r="B4934" s="16" t="n"/>
      <c r="C4934" s="90" t="n"/>
      <c r="D4934" s="90" t="n"/>
      <c r="E4934" s="90" t="n"/>
      <c r="F4934" s="16" t="n"/>
      <c r="G4934" s="16" t="n"/>
      <c r="H4934" s="63" t="n"/>
      <c r="I4934" s="64" t="n"/>
      <c r="J4934" s="16" t="n"/>
      <c r="K4934" s="16" t="n"/>
      <c r="M4934" s="89" t="n"/>
      <c r="N4934" s="1" t="n"/>
      <c r="O4934" s="1" t="n"/>
      <c r="P4934" s="1" t="n"/>
      <c r="Q4934" s="1" t="n"/>
      <c r="R4934" s="1" t="n"/>
    </row>
    <row r="4935">
      <c r="A4935" s="61" t="n"/>
      <c r="B4935" s="16" t="n"/>
      <c r="C4935" s="90" t="n"/>
      <c r="D4935" s="90" t="n"/>
      <c r="E4935" s="90" t="n"/>
      <c r="F4935" s="16" t="n"/>
      <c r="G4935" s="16" t="n"/>
      <c r="H4935" s="63" t="n"/>
      <c r="I4935" s="64" t="n"/>
      <c r="J4935" s="16" t="n"/>
      <c r="K4935" s="16" t="n"/>
      <c r="M4935" s="89" t="n"/>
      <c r="N4935" s="1" t="n"/>
      <c r="O4935" s="1" t="n"/>
      <c r="P4935" s="1" t="n"/>
      <c r="Q4935" s="1" t="n"/>
      <c r="R4935" s="1" t="n"/>
    </row>
    <row r="4936">
      <c r="A4936" s="61" t="n"/>
      <c r="B4936" s="16" t="n"/>
      <c r="C4936" s="90" t="n"/>
      <c r="D4936" s="90" t="n"/>
      <c r="E4936" s="90" t="n"/>
      <c r="F4936" s="16" t="n"/>
      <c r="G4936" s="16" t="n"/>
      <c r="H4936" s="63" t="n"/>
      <c r="I4936" s="64" t="n"/>
      <c r="J4936" s="16" t="n"/>
      <c r="K4936" s="16" t="n"/>
      <c r="M4936" s="89" t="n"/>
      <c r="N4936" s="1" t="n"/>
      <c r="O4936" s="1" t="n"/>
      <c r="P4936" s="1" t="n"/>
      <c r="Q4936" s="1" t="n"/>
      <c r="R4936" s="1" t="n"/>
    </row>
    <row r="4937">
      <c r="A4937" s="61" t="n"/>
      <c r="B4937" s="16" t="n"/>
      <c r="C4937" s="90" t="n"/>
      <c r="D4937" s="90" t="n"/>
      <c r="E4937" s="90" t="n"/>
      <c r="F4937" s="16" t="n"/>
      <c r="G4937" s="16" t="n"/>
      <c r="H4937" s="63" t="n"/>
      <c r="I4937" s="64" t="n"/>
      <c r="J4937" s="16" t="n"/>
      <c r="K4937" s="16" t="n"/>
      <c r="M4937" s="89" t="n"/>
      <c r="N4937" s="1" t="n"/>
      <c r="O4937" s="1" t="n"/>
      <c r="P4937" s="1" t="n"/>
      <c r="Q4937" s="1" t="n"/>
      <c r="R4937" s="1" t="n"/>
    </row>
    <row r="4938">
      <c r="A4938" s="61" t="n"/>
      <c r="B4938" s="16" t="n"/>
      <c r="C4938" s="90" t="n"/>
      <c r="D4938" s="90" t="n"/>
      <c r="E4938" s="90" t="n"/>
      <c r="F4938" s="16" t="n"/>
      <c r="G4938" s="16" t="n"/>
      <c r="H4938" s="63" t="n"/>
      <c r="I4938" s="64" t="n"/>
      <c r="J4938" s="16" t="n"/>
      <c r="K4938" s="16" t="n"/>
      <c r="M4938" s="89" t="n"/>
      <c r="N4938" s="1" t="n"/>
      <c r="O4938" s="1" t="n"/>
      <c r="P4938" s="1" t="n"/>
      <c r="Q4938" s="1" t="n"/>
      <c r="R4938" s="1" t="n"/>
    </row>
    <row r="4939">
      <c r="A4939" s="61" t="n"/>
      <c r="B4939" s="16" t="n"/>
      <c r="C4939" s="90" t="n"/>
      <c r="D4939" s="90" t="n"/>
      <c r="E4939" s="90" t="n"/>
      <c r="F4939" s="16" t="n"/>
      <c r="G4939" s="16" t="n"/>
      <c r="H4939" s="63" t="n"/>
      <c r="I4939" s="64" t="n"/>
      <c r="J4939" s="16" t="n"/>
      <c r="K4939" s="16" t="n"/>
      <c r="M4939" s="89" t="n"/>
      <c r="N4939" s="1" t="n"/>
      <c r="O4939" s="1" t="n"/>
      <c r="P4939" s="1" t="n"/>
      <c r="Q4939" s="1" t="n"/>
      <c r="R4939" s="1" t="n"/>
    </row>
    <row r="4940">
      <c r="A4940" s="61" t="n"/>
      <c r="B4940" s="16" t="n"/>
      <c r="C4940" s="90" t="n"/>
      <c r="D4940" s="90" t="n"/>
      <c r="E4940" s="90" t="n"/>
      <c r="F4940" s="16" t="n"/>
      <c r="G4940" s="16" t="n"/>
      <c r="H4940" s="63" t="n"/>
      <c r="I4940" s="64" t="n"/>
      <c r="J4940" s="16" t="n"/>
      <c r="K4940" s="16" t="n"/>
      <c r="M4940" s="89" t="n"/>
      <c r="N4940" s="1" t="n"/>
      <c r="O4940" s="1" t="n"/>
      <c r="P4940" s="1" t="n"/>
      <c r="Q4940" s="1" t="n"/>
      <c r="R4940" s="1" t="n"/>
    </row>
    <row r="4941">
      <c r="A4941" s="61" t="n"/>
      <c r="B4941" s="16" t="n"/>
      <c r="C4941" s="90" t="n"/>
      <c r="D4941" s="90" t="n"/>
      <c r="E4941" s="90" t="n"/>
      <c r="F4941" s="16" t="n"/>
      <c r="G4941" s="16" t="n"/>
      <c r="H4941" s="63" t="n"/>
      <c r="I4941" s="64" t="n"/>
      <c r="J4941" s="16" t="n"/>
      <c r="K4941" s="16" t="n"/>
      <c r="M4941" s="89" t="n"/>
      <c r="N4941" s="1" t="n"/>
      <c r="O4941" s="1" t="n"/>
      <c r="P4941" s="1" t="n"/>
      <c r="Q4941" s="1" t="n"/>
      <c r="R4941" s="1" t="n"/>
    </row>
    <row r="4942">
      <c r="A4942" s="61" t="n"/>
      <c r="B4942" s="16" t="n"/>
      <c r="C4942" s="90" t="n"/>
      <c r="D4942" s="90" t="n"/>
      <c r="E4942" s="90" t="n"/>
      <c r="F4942" s="16" t="n"/>
      <c r="G4942" s="16" t="n"/>
      <c r="H4942" s="63" t="n"/>
      <c r="I4942" s="64" t="n"/>
      <c r="J4942" s="16" t="n"/>
      <c r="K4942" s="16" t="n"/>
      <c r="M4942" s="89" t="n"/>
      <c r="N4942" s="1" t="n"/>
      <c r="O4942" s="1" t="n"/>
      <c r="P4942" s="1" t="n"/>
      <c r="Q4942" s="1" t="n"/>
      <c r="R4942" s="1" t="n"/>
    </row>
    <row r="4943">
      <c r="A4943" s="61" t="n"/>
      <c r="B4943" s="16" t="n"/>
      <c r="C4943" s="90" t="n"/>
      <c r="D4943" s="90" t="n"/>
      <c r="E4943" s="90" t="n"/>
      <c r="F4943" s="16" t="n"/>
      <c r="G4943" s="16" t="n"/>
      <c r="H4943" s="63" t="n"/>
      <c r="I4943" s="64" t="n"/>
      <c r="J4943" s="16" t="n"/>
      <c r="K4943" s="16" t="n"/>
      <c r="M4943" s="89" t="n"/>
      <c r="N4943" s="1" t="n"/>
      <c r="O4943" s="1" t="n"/>
      <c r="P4943" s="1" t="n"/>
      <c r="Q4943" s="1" t="n"/>
      <c r="R4943" s="1" t="n"/>
    </row>
    <row r="4944">
      <c r="A4944" s="61" t="n"/>
      <c r="B4944" s="16" t="n"/>
      <c r="C4944" s="90" t="n"/>
      <c r="D4944" s="90" t="n"/>
      <c r="E4944" s="90" t="n"/>
      <c r="F4944" s="16" t="n"/>
      <c r="G4944" s="16" t="n"/>
      <c r="H4944" s="63" t="n"/>
      <c r="I4944" s="64" t="n"/>
      <c r="J4944" s="16" t="n"/>
      <c r="K4944" s="16" t="n"/>
      <c r="M4944" s="89" t="n"/>
      <c r="N4944" s="1" t="n"/>
      <c r="O4944" s="1" t="n"/>
      <c r="P4944" s="1" t="n"/>
      <c r="Q4944" s="1" t="n"/>
      <c r="R4944" s="1" t="n"/>
    </row>
    <row r="4945">
      <c r="A4945" s="61" t="n"/>
      <c r="B4945" s="16" t="n"/>
      <c r="C4945" s="90" t="n"/>
      <c r="D4945" s="90" t="n"/>
      <c r="E4945" s="90" t="n"/>
      <c r="F4945" s="16" t="n"/>
      <c r="G4945" s="16" t="n"/>
      <c r="H4945" s="63" t="n"/>
      <c r="I4945" s="64" t="n"/>
      <c r="J4945" s="16" t="n"/>
      <c r="K4945" s="16" t="n"/>
      <c r="M4945" s="89" t="n"/>
      <c r="N4945" s="1" t="n"/>
      <c r="O4945" s="1" t="n"/>
      <c r="P4945" s="1" t="n"/>
      <c r="Q4945" s="1" t="n"/>
      <c r="R4945" s="1" t="n"/>
    </row>
    <row r="4946">
      <c r="A4946" s="61" t="n"/>
      <c r="B4946" s="16" t="n"/>
      <c r="C4946" s="90" t="n"/>
      <c r="D4946" s="90" t="n"/>
      <c r="E4946" s="90" t="n"/>
      <c r="F4946" s="16" t="n"/>
      <c r="G4946" s="16" t="n"/>
      <c r="H4946" s="63" t="n"/>
      <c r="I4946" s="64" t="n"/>
      <c r="J4946" s="16" t="n"/>
      <c r="K4946" s="16" t="n"/>
      <c r="M4946" s="89" t="n"/>
      <c r="N4946" s="1" t="n"/>
      <c r="O4946" s="1" t="n"/>
      <c r="P4946" s="1" t="n"/>
      <c r="Q4946" s="1" t="n"/>
      <c r="R4946" s="1" t="n"/>
    </row>
    <row r="4947">
      <c r="A4947" s="61" t="n"/>
      <c r="B4947" s="16" t="n"/>
      <c r="C4947" s="90" t="n"/>
      <c r="D4947" s="90" t="n"/>
      <c r="E4947" s="90" t="n"/>
      <c r="F4947" s="16" t="n"/>
      <c r="G4947" s="16" t="n"/>
      <c r="H4947" s="63" t="n"/>
      <c r="I4947" s="64" t="n"/>
      <c r="J4947" s="16" t="n"/>
      <c r="K4947" s="16" t="n"/>
      <c r="M4947" s="89" t="n"/>
      <c r="N4947" s="1" t="n"/>
      <c r="O4947" s="1" t="n"/>
      <c r="P4947" s="1" t="n"/>
      <c r="Q4947" s="1" t="n"/>
      <c r="R4947" s="1" t="n"/>
    </row>
    <row r="4948">
      <c r="A4948" s="61" t="n"/>
      <c r="B4948" s="16" t="n"/>
      <c r="C4948" s="90" t="n"/>
      <c r="D4948" s="90" t="n"/>
      <c r="E4948" s="90" t="n"/>
      <c r="F4948" s="16" t="n"/>
      <c r="G4948" s="16" t="n"/>
      <c r="H4948" s="63" t="n"/>
      <c r="I4948" s="64" t="n"/>
      <c r="J4948" s="16" t="n"/>
      <c r="K4948" s="16" t="n"/>
      <c r="M4948" s="89" t="n"/>
      <c r="N4948" s="1" t="n"/>
      <c r="O4948" s="1" t="n"/>
      <c r="P4948" s="1" t="n"/>
      <c r="Q4948" s="1" t="n"/>
      <c r="R4948" s="1" t="n"/>
    </row>
    <row r="4949">
      <c r="A4949" s="61" t="n"/>
      <c r="B4949" s="16" t="n"/>
      <c r="C4949" s="90" t="n"/>
      <c r="D4949" s="90" t="n"/>
      <c r="E4949" s="90" t="n"/>
      <c r="F4949" s="16" t="n"/>
      <c r="G4949" s="16" t="n"/>
      <c r="H4949" s="63" t="n"/>
      <c r="I4949" s="64" t="n"/>
      <c r="J4949" s="16" t="n"/>
      <c r="K4949" s="16" t="n"/>
      <c r="M4949" s="89" t="n"/>
      <c r="N4949" s="1" t="n"/>
      <c r="O4949" s="1" t="n"/>
      <c r="P4949" s="1" t="n"/>
      <c r="Q4949" s="1" t="n"/>
      <c r="R4949" s="1" t="n"/>
    </row>
    <row r="4950">
      <c r="A4950" s="61" t="n"/>
      <c r="B4950" s="16" t="n"/>
      <c r="C4950" s="90" t="n"/>
      <c r="D4950" s="90" t="n"/>
      <c r="E4950" s="90" t="n"/>
      <c r="F4950" s="16" t="n"/>
      <c r="G4950" s="16" t="n"/>
      <c r="H4950" s="63" t="n"/>
      <c r="I4950" s="64" t="n"/>
      <c r="J4950" s="16" t="n"/>
      <c r="K4950" s="16" t="n"/>
      <c r="M4950" s="89" t="n"/>
      <c r="N4950" s="1" t="n"/>
      <c r="O4950" s="1" t="n"/>
      <c r="P4950" s="1" t="n"/>
      <c r="Q4950" s="1" t="n"/>
      <c r="R4950" s="1" t="n"/>
    </row>
    <row r="4951">
      <c r="A4951" s="61" t="n"/>
      <c r="B4951" s="16" t="n"/>
      <c r="C4951" s="90" t="n"/>
      <c r="D4951" s="90" t="n"/>
      <c r="E4951" s="90" t="n"/>
      <c r="F4951" s="16" t="n"/>
      <c r="G4951" s="16" t="n"/>
      <c r="H4951" s="63" t="n"/>
      <c r="I4951" s="64" t="n"/>
      <c r="J4951" s="16" t="n"/>
      <c r="K4951" s="16" t="n"/>
      <c r="M4951" s="89" t="n"/>
      <c r="N4951" s="1" t="n"/>
      <c r="O4951" s="1" t="n"/>
      <c r="P4951" s="1" t="n"/>
      <c r="Q4951" s="1" t="n"/>
      <c r="R4951" s="1" t="n"/>
    </row>
    <row r="4952">
      <c r="A4952" s="61" t="n"/>
      <c r="B4952" s="16" t="n"/>
      <c r="C4952" s="90" t="n"/>
      <c r="D4952" s="90" t="n"/>
      <c r="E4952" s="90" t="n"/>
      <c r="F4952" s="16" t="n"/>
      <c r="G4952" s="16" t="n"/>
      <c r="H4952" s="63" t="n"/>
      <c r="I4952" s="64" t="n"/>
      <c r="J4952" s="16" t="n"/>
      <c r="K4952" s="16" t="n"/>
      <c r="M4952" s="89" t="n"/>
      <c r="N4952" s="1" t="n"/>
      <c r="O4952" s="1" t="n"/>
      <c r="P4952" s="1" t="n"/>
      <c r="Q4952" s="1" t="n"/>
      <c r="R4952" s="1" t="n"/>
    </row>
    <row r="4953">
      <c r="A4953" s="61" t="n"/>
      <c r="B4953" s="16" t="n"/>
      <c r="C4953" s="90" t="n"/>
      <c r="D4953" s="90" t="n"/>
      <c r="E4953" s="90" t="n"/>
      <c r="F4953" s="16" t="n"/>
      <c r="G4953" s="16" t="n"/>
      <c r="H4953" s="63" t="n"/>
      <c r="I4953" s="64" t="n"/>
      <c r="J4953" s="16" t="n"/>
      <c r="K4953" s="16" t="n"/>
      <c r="M4953" s="89" t="n"/>
      <c r="N4953" s="1" t="n"/>
      <c r="O4953" s="1" t="n"/>
      <c r="P4953" s="1" t="n"/>
      <c r="Q4953" s="1" t="n"/>
      <c r="R4953" s="1" t="n"/>
    </row>
    <row r="4954">
      <c r="A4954" s="61" t="n"/>
      <c r="B4954" s="16" t="n"/>
      <c r="C4954" s="90" t="n"/>
      <c r="D4954" s="90" t="n"/>
      <c r="E4954" s="90" t="n"/>
      <c r="F4954" s="16" t="n"/>
      <c r="G4954" s="16" t="n"/>
      <c r="H4954" s="63" t="n"/>
      <c r="I4954" s="64" t="n"/>
      <c r="J4954" s="16" t="n"/>
      <c r="K4954" s="16" t="n"/>
      <c r="M4954" s="89" t="n"/>
      <c r="N4954" s="1" t="n"/>
      <c r="O4954" s="1" t="n"/>
      <c r="P4954" s="1" t="n"/>
      <c r="Q4954" s="1" t="n"/>
      <c r="R4954" s="1" t="n"/>
    </row>
    <row r="4955">
      <c r="A4955" s="61" t="n"/>
      <c r="B4955" s="16" t="n"/>
      <c r="C4955" s="90" t="n"/>
      <c r="D4955" s="90" t="n"/>
      <c r="E4955" s="90" t="n"/>
      <c r="F4955" s="16" t="n"/>
      <c r="G4955" s="16" t="n"/>
      <c r="H4955" s="63" t="n"/>
      <c r="I4955" s="64" t="n"/>
      <c r="J4955" s="16" t="n"/>
      <c r="K4955" s="16" t="n"/>
      <c r="M4955" s="89" t="n"/>
      <c r="N4955" s="1" t="n"/>
      <c r="O4955" s="1" t="n"/>
      <c r="P4955" s="1" t="n"/>
      <c r="Q4955" s="1" t="n"/>
      <c r="R4955" s="1" t="n"/>
    </row>
    <row r="4956">
      <c r="A4956" s="61" t="n"/>
      <c r="B4956" s="16" t="n"/>
      <c r="C4956" s="90" t="n"/>
      <c r="D4956" s="90" t="n"/>
      <c r="E4956" s="90" t="n"/>
      <c r="F4956" s="16" t="n"/>
      <c r="G4956" s="16" t="n"/>
      <c r="H4956" s="63" t="n"/>
      <c r="I4956" s="64" t="n"/>
      <c r="J4956" s="16" t="n"/>
      <c r="K4956" s="16" t="n"/>
      <c r="M4956" s="89" t="n"/>
      <c r="N4956" s="1" t="n"/>
      <c r="O4956" s="1" t="n"/>
      <c r="P4956" s="1" t="n"/>
      <c r="Q4956" s="1" t="n"/>
      <c r="R4956" s="1" t="n"/>
    </row>
    <row r="4957">
      <c r="A4957" s="61" t="n"/>
      <c r="B4957" s="16" t="n"/>
      <c r="C4957" s="90" t="n"/>
      <c r="D4957" s="90" t="n"/>
      <c r="E4957" s="90" t="n"/>
      <c r="F4957" s="16" t="n"/>
      <c r="G4957" s="16" t="n"/>
      <c r="H4957" s="63" t="n"/>
      <c r="I4957" s="64" t="n"/>
      <c r="J4957" s="16" t="n"/>
      <c r="K4957" s="16" t="n"/>
      <c r="M4957" s="89" t="n"/>
      <c r="N4957" s="1" t="n"/>
      <c r="O4957" s="1" t="n"/>
      <c r="P4957" s="1" t="n"/>
      <c r="Q4957" s="1" t="n"/>
      <c r="R4957" s="1" t="n"/>
    </row>
    <row r="4958">
      <c r="A4958" s="61" t="n"/>
      <c r="B4958" s="16" t="n"/>
      <c r="C4958" s="90" t="n"/>
      <c r="D4958" s="90" t="n"/>
      <c r="E4958" s="90" t="n"/>
      <c r="F4958" s="16" t="n"/>
      <c r="G4958" s="16" t="n"/>
      <c r="H4958" s="63" t="n"/>
      <c r="I4958" s="64" t="n"/>
      <c r="J4958" s="16" t="n"/>
      <c r="K4958" s="16" t="n"/>
      <c r="M4958" s="89" t="n"/>
      <c r="N4958" s="1" t="n"/>
      <c r="O4958" s="1" t="n"/>
      <c r="P4958" s="1" t="n"/>
      <c r="Q4958" s="1" t="n"/>
      <c r="R4958" s="1" t="n"/>
    </row>
    <row r="4959">
      <c r="A4959" s="61" t="n"/>
      <c r="B4959" s="16" t="n"/>
      <c r="C4959" s="90" t="n"/>
      <c r="D4959" s="90" t="n"/>
      <c r="E4959" s="90" t="n"/>
      <c r="F4959" s="16" t="n"/>
      <c r="G4959" s="16" t="n"/>
      <c r="H4959" s="63" t="n"/>
      <c r="I4959" s="64" t="n"/>
      <c r="J4959" s="16" t="n"/>
      <c r="K4959" s="16" t="n"/>
      <c r="M4959" s="89" t="n"/>
      <c r="N4959" s="1" t="n"/>
      <c r="O4959" s="1" t="n"/>
      <c r="P4959" s="1" t="n"/>
      <c r="Q4959" s="1" t="n"/>
      <c r="R4959" s="1" t="n"/>
    </row>
    <row r="4960">
      <c r="A4960" s="61" t="n"/>
      <c r="B4960" s="16" t="n"/>
      <c r="C4960" s="90" t="n"/>
      <c r="D4960" s="90" t="n"/>
      <c r="E4960" s="90" t="n"/>
      <c r="F4960" s="16" t="n"/>
      <c r="G4960" s="16" t="n"/>
      <c r="H4960" s="63" t="n"/>
      <c r="I4960" s="64" t="n"/>
      <c r="J4960" s="16" t="n"/>
      <c r="K4960" s="16" t="n"/>
      <c r="M4960" s="89" t="n"/>
      <c r="N4960" s="1" t="n"/>
      <c r="O4960" s="1" t="n"/>
      <c r="P4960" s="1" t="n"/>
      <c r="Q4960" s="1" t="n"/>
      <c r="R4960" s="1" t="n"/>
    </row>
    <row r="4961">
      <c r="A4961" s="61" t="n"/>
      <c r="B4961" s="16" t="n"/>
      <c r="C4961" s="90" t="n"/>
      <c r="D4961" s="90" t="n"/>
      <c r="E4961" s="90" t="n"/>
      <c r="F4961" s="16" t="n"/>
      <c r="G4961" s="16" t="n"/>
      <c r="H4961" s="63" t="n"/>
      <c r="I4961" s="64" t="n"/>
      <c r="J4961" s="16" t="n"/>
      <c r="K4961" s="16" t="n"/>
      <c r="M4961" s="89" t="n"/>
      <c r="N4961" s="1" t="n"/>
      <c r="O4961" s="1" t="n"/>
      <c r="P4961" s="1" t="n"/>
      <c r="Q4961" s="1" t="n"/>
      <c r="R4961" s="1" t="n"/>
    </row>
    <row r="4962">
      <c r="A4962" s="61" t="n"/>
      <c r="B4962" s="16" t="n"/>
      <c r="C4962" s="90" t="n"/>
      <c r="D4962" s="90" t="n"/>
      <c r="E4962" s="90" t="n"/>
      <c r="F4962" s="16" t="n"/>
      <c r="G4962" s="16" t="n"/>
      <c r="H4962" s="63" t="n"/>
      <c r="I4962" s="64" t="n"/>
      <c r="J4962" s="16" t="n"/>
      <c r="K4962" s="16" t="n"/>
      <c r="M4962" s="89" t="n"/>
      <c r="N4962" s="1" t="n"/>
      <c r="O4962" s="1" t="n"/>
      <c r="P4962" s="1" t="n"/>
      <c r="Q4962" s="1" t="n"/>
      <c r="R4962" s="1" t="n"/>
    </row>
    <row r="4963">
      <c r="A4963" s="61" t="n"/>
      <c r="B4963" s="16" t="n"/>
      <c r="C4963" s="90" t="n"/>
      <c r="D4963" s="90" t="n"/>
      <c r="E4963" s="90" t="n"/>
      <c r="F4963" s="16" t="n"/>
      <c r="G4963" s="16" t="n"/>
      <c r="H4963" s="63" t="n"/>
      <c r="I4963" s="64" t="n"/>
      <c r="J4963" s="16" t="n"/>
      <c r="K4963" s="16" t="n"/>
      <c r="M4963" s="89" t="n"/>
      <c r="N4963" s="1" t="n"/>
      <c r="O4963" s="1" t="n"/>
      <c r="P4963" s="1" t="n"/>
      <c r="Q4963" s="1" t="n"/>
      <c r="R4963" s="1" t="n"/>
    </row>
    <row r="4964">
      <c r="A4964" s="61" t="n"/>
      <c r="B4964" s="16" t="n"/>
      <c r="C4964" s="90" t="n"/>
      <c r="D4964" s="90" t="n"/>
      <c r="E4964" s="90" t="n"/>
      <c r="F4964" s="16" t="n"/>
      <c r="G4964" s="16" t="n"/>
      <c r="H4964" s="63" t="n"/>
      <c r="I4964" s="64" t="n"/>
      <c r="J4964" s="16" t="n"/>
      <c r="K4964" s="16" t="n"/>
      <c r="M4964" s="89" t="n"/>
      <c r="N4964" s="1" t="n"/>
      <c r="O4964" s="1" t="n"/>
      <c r="P4964" s="1" t="n"/>
      <c r="Q4964" s="1" t="n"/>
      <c r="R4964" s="1" t="n"/>
    </row>
  </sheetData>
  <phoneticPr fontId="9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38C57-DBCD-40B9-BAA0-2CB365DA6878}">
  <dimension ref="A1:H207"/>
  <sheetViews>
    <sheetView showGridLines="0" topLeftCell="A194" zoomScaleNormal="100" workbookViewId="0">
      <selection activeCell="C207" sqref="C207:E207"/>
    </sheetView>
  </sheetViews>
  <sheetFormatPr defaultRowHeight="14.4" x14ac:dyDescent="0.3"/>
  <cols>
    <col min="1" max="1" width="42.44140625" customWidth="1"/>
    <col min="2" max="2" width="42.77734375" customWidth="1"/>
    <col min="3" max="3" width="49.44140625" customWidth="1"/>
    <col min="4" max="4" width="39.77734375" bestFit="1" customWidth="1"/>
  </cols>
  <sheetData>
    <row r="1" spans="1:8" x14ac:dyDescent="0.3">
      <c r="A1" t="s">
        <v>19</v>
      </c>
      <c r="B1" t="s">
        <v>42</v>
      </c>
      <c r="C1" t="s">
        <v>64</v>
      </c>
      <c r="D1" t="s">
        <v>63</v>
      </c>
      <c r="E1" t="s">
        <v>134</v>
      </c>
      <c r="G1" t="s">
        <v>165</v>
      </c>
      <c r="H1" t="s">
        <v>3</v>
      </c>
    </row>
    <row r="2" spans="1:8" x14ac:dyDescent="0.3">
      <c r="A2" t="s">
        <v>75</v>
      </c>
      <c r="B2" t="s">
        <v>75</v>
      </c>
      <c r="C2" t="s">
        <v>41</v>
      </c>
      <c r="D2" t="s">
        <v>158</v>
      </c>
      <c r="E2">
        <v>1</v>
      </c>
      <c r="G2">
        <v>1</v>
      </c>
      <c r="H2" t="s">
        <v>82</v>
      </c>
    </row>
    <row r="3" spans="1:8" x14ac:dyDescent="0.3">
      <c r="A3" s="16" t="s">
        <v>774</v>
      </c>
      <c r="B3" t="s">
        <v>155</v>
      </c>
      <c r="C3" t="s">
        <v>30</v>
      </c>
      <c r="D3" t="s">
        <v>117</v>
      </c>
      <c r="E3">
        <v>2</v>
      </c>
      <c r="G3">
        <v>2</v>
      </c>
      <c r="H3" t="s">
        <v>83</v>
      </c>
    </row>
    <row r="4" spans="1:8" x14ac:dyDescent="0.3">
      <c r="A4" t="s">
        <v>52</v>
      </c>
      <c r="B4" t="s">
        <v>52</v>
      </c>
      <c r="C4" t="s">
        <v>30</v>
      </c>
      <c r="D4" t="s">
        <v>117</v>
      </c>
      <c r="E4">
        <v>2</v>
      </c>
      <c r="G4">
        <v>3</v>
      </c>
      <c r="H4" t="s">
        <v>84</v>
      </c>
    </row>
    <row r="5" spans="1:8" x14ac:dyDescent="0.3">
      <c r="A5" s="16" t="s">
        <v>772</v>
      </c>
      <c r="B5" t="s">
        <v>156</v>
      </c>
      <c r="C5" t="s">
        <v>30</v>
      </c>
      <c r="D5" t="s">
        <v>117</v>
      </c>
      <c r="E5">
        <v>2</v>
      </c>
      <c r="G5">
        <v>4</v>
      </c>
      <c r="H5" t="s">
        <v>85</v>
      </c>
    </row>
    <row r="6" spans="1:8" x14ac:dyDescent="0.3">
      <c r="A6" t="s">
        <v>126</v>
      </c>
      <c r="B6" t="s">
        <v>62</v>
      </c>
      <c r="C6" t="s">
        <v>30</v>
      </c>
      <c r="D6" t="s">
        <v>117</v>
      </c>
      <c r="E6">
        <v>2</v>
      </c>
      <c r="G6">
        <v>5</v>
      </c>
      <c r="H6" t="s">
        <v>86</v>
      </c>
    </row>
    <row r="7" spans="1:8" x14ac:dyDescent="0.3">
      <c r="A7" t="s">
        <v>62</v>
      </c>
      <c r="B7" t="s">
        <v>62</v>
      </c>
      <c r="C7" t="s">
        <v>30</v>
      </c>
      <c r="D7" t="s">
        <v>117</v>
      </c>
      <c r="E7">
        <v>2</v>
      </c>
      <c r="G7">
        <v>6</v>
      </c>
      <c r="H7" t="s">
        <v>87</v>
      </c>
    </row>
    <row r="8" spans="1:8" x14ac:dyDescent="0.3">
      <c r="A8" s="16" t="s">
        <v>560</v>
      </c>
      <c r="B8" t="s">
        <v>257</v>
      </c>
      <c r="C8" t="s">
        <v>26</v>
      </c>
      <c r="D8" t="s">
        <v>69</v>
      </c>
      <c r="E8">
        <v>3</v>
      </c>
      <c r="G8">
        <v>7</v>
      </c>
      <c r="H8" t="s">
        <v>88</v>
      </c>
    </row>
    <row r="9" spans="1:8" x14ac:dyDescent="0.3">
      <c r="B9" t="s">
        <v>258</v>
      </c>
      <c r="C9" t="s">
        <v>26</v>
      </c>
      <c r="D9" t="s">
        <v>69</v>
      </c>
      <c r="E9">
        <v>3</v>
      </c>
      <c r="G9">
        <v>8</v>
      </c>
      <c r="H9" t="s">
        <v>89</v>
      </c>
    </row>
    <row r="10" spans="1:8" x14ac:dyDescent="0.3">
      <c r="A10" s="16" t="s">
        <v>1658</v>
      </c>
      <c r="B10" t="s">
        <v>259</v>
      </c>
      <c r="C10" t="s">
        <v>26</v>
      </c>
      <c r="D10" t="s">
        <v>69</v>
      </c>
      <c r="E10">
        <v>3</v>
      </c>
      <c r="G10">
        <v>9</v>
      </c>
      <c r="H10" t="s">
        <v>90</v>
      </c>
    </row>
    <row r="11" spans="1:8" x14ac:dyDescent="0.3">
      <c r="A11" s="16" t="s">
        <v>356</v>
      </c>
      <c r="B11" t="s">
        <v>260</v>
      </c>
      <c r="C11" t="s">
        <v>26</v>
      </c>
      <c r="D11" t="s">
        <v>69</v>
      </c>
      <c r="E11">
        <v>3</v>
      </c>
      <c r="G11">
        <v>10</v>
      </c>
      <c r="H11" t="s">
        <v>91</v>
      </c>
    </row>
    <row r="12" spans="1:8" x14ac:dyDescent="0.3">
      <c r="A12" s="16" t="s">
        <v>480</v>
      </c>
      <c r="B12" t="s">
        <v>261</v>
      </c>
      <c r="C12" t="s">
        <v>26</v>
      </c>
      <c r="D12" t="s">
        <v>69</v>
      </c>
      <c r="E12">
        <v>3</v>
      </c>
      <c r="G12">
        <v>11</v>
      </c>
      <c r="H12" t="s">
        <v>92</v>
      </c>
    </row>
    <row r="13" spans="1:8" x14ac:dyDescent="0.3">
      <c r="A13" s="16" t="s">
        <v>686</v>
      </c>
      <c r="B13" t="s">
        <v>262</v>
      </c>
      <c r="C13" t="s">
        <v>26</v>
      </c>
      <c r="D13" t="s">
        <v>69</v>
      </c>
      <c r="E13">
        <v>3</v>
      </c>
      <c r="G13">
        <v>12</v>
      </c>
      <c r="H13" t="s">
        <v>93</v>
      </c>
    </row>
    <row r="14" spans="1:8" x14ac:dyDescent="0.3">
      <c r="A14" s="16" t="s">
        <v>1554</v>
      </c>
      <c r="B14" t="s">
        <v>263</v>
      </c>
      <c r="C14" t="s">
        <v>26</v>
      </c>
      <c r="D14" t="s">
        <v>69</v>
      </c>
      <c r="E14">
        <v>3</v>
      </c>
    </row>
    <row r="15" spans="1:8" x14ac:dyDescent="0.3">
      <c r="A15" s="16" t="s">
        <v>1985</v>
      </c>
      <c r="B15" s="16" t="s">
        <v>198</v>
      </c>
      <c r="C15" t="s">
        <v>119</v>
      </c>
      <c r="D15" t="s">
        <v>69</v>
      </c>
      <c r="E15">
        <v>3</v>
      </c>
    </row>
    <row r="16" spans="1:8" x14ac:dyDescent="0.3">
      <c r="A16" s="16" t="s">
        <v>424</v>
      </c>
      <c r="B16" t="s">
        <v>268</v>
      </c>
      <c r="C16" t="s">
        <v>0</v>
      </c>
      <c r="D16" t="s">
        <v>70</v>
      </c>
      <c r="E16">
        <v>4</v>
      </c>
    </row>
    <row r="17" spans="1:5" x14ac:dyDescent="0.3">
      <c r="A17" s="16" t="s">
        <v>432</v>
      </c>
      <c r="B17" t="s">
        <v>269</v>
      </c>
      <c r="C17" t="s">
        <v>0</v>
      </c>
      <c r="D17" t="s">
        <v>70</v>
      </c>
      <c r="E17">
        <v>4</v>
      </c>
    </row>
    <row r="18" spans="1:5" x14ac:dyDescent="0.3">
      <c r="A18" s="16" t="s">
        <v>335</v>
      </c>
      <c r="B18" t="s">
        <v>270</v>
      </c>
      <c r="C18" t="s">
        <v>0</v>
      </c>
      <c r="D18" t="s">
        <v>70</v>
      </c>
      <c r="E18">
        <v>4</v>
      </c>
    </row>
    <row r="19" spans="1:5" x14ac:dyDescent="0.3">
      <c r="A19" s="16" t="s">
        <v>342</v>
      </c>
      <c r="B19" t="s">
        <v>271</v>
      </c>
      <c r="C19" t="s">
        <v>0</v>
      </c>
      <c r="D19" t="s">
        <v>70</v>
      </c>
      <c r="E19">
        <v>4</v>
      </c>
    </row>
    <row r="20" spans="1:5" x14ac:dyDescent="0.3">
      <c r="B20" t="s">
        <v>272</v>
      </c>
      <c r="C20" t="s">
        <v>0</v>
      </c>
      <c r="D20" t="s">
        <v>70</v>
      </c>
      <c r="E20">
        <v>4</v>
      </c>
    </row>
    <row r="21" spans="1:5" x14ac:dyDescent="0.3">
      <c r="A21" s="16" t="s">
        <v>655</v>
      </c>
      <c r="B21" t="s">
        <v>273</v>
      </c>
      <c r="C21" t="s">
        <v>0</v>
      </c>
      <c r="D21" t="s">
        <v>70</v>
      </c>
      <c r="E21">
        <v>4</v>
      </c>
    </row>
    <row r="22" spans="1:5" x14ac:dyDescent="0.3">
      <c r="A22" s="16" t="s">
        <v>429</v>
      </c>
      <c r="B22" t="s">
        <v>274</v>
      </c>
      <c r="C22" t="s">
        <v>0</v>
      </c>
      <c r="D22" t="s">
        <v>70</v>
      </c>
      <c r="E22">
        <v>4</v>
      </c>
    </row>
    <row r="23" spans="1:5" x14ac:dyDescent="0.3">
      <c r="A23" s="16" t="s">
        <v>723</v>
      </c>
      <c r="B23" t="s">
        <v>275</v>
      </c>
      <c r="C23" t="s">
        <v>0</v>
      </c>
      <c r="D23" t="s">
        <v>70</v>
      </c>
      <c r="E23">
        <v>4</v>
      </c>
    </row>
    <row r="24" spans="1:5" x14ac:dyDescent="0.3">
      <c r="A24" s="16" t="s">
        <v>544</v>
      </c>
      <c r="B24" t="s">
        <v>276</v>
      </c>
      <c r="C24" t="s">
        <v>0</v>
      </c>
      <c r="D24" t="s">
        <v>70</v>
      </c>
      <c r="E24">
        <v>4</v>
      </c>
    </row>
    <row r="25" spans="1:5" x14ac:dyDescent="0.3">
      <c r="A25" s="16" t="s">
        <v>968</v>
      </c>
      <c r="B25" t="s">
        <v>277</v>
      </c>
      <c r="C25" t="s">
        <v>0</v>
      </c>
      <c r="D25" t="s">
        <v>70</v>
      </c>
      <c r="E25">
        <v>4</v>
      </c>
    </row>
    <row r="26" spans="1:5" x14ac:dyDescent="0.3">
      <c r="B26" t="s">
        <v>278</v>
      </c>
      <c r="C26" t="s">
        <v>0</v>
      </c>
      <c r="D26" t="s">
        <v>70</v>
      </c>
      <c r="E26">
        <v>4</v>
      </c>
    </row>
    <row r="27" spans="1:5" x14ac:dyDescent="0.3">
      <c r="B27" t="s">
        <v>279</v>
      </c>
      <c r="C27" t="s">
        <v>0</v>
      </c>
      <c r="D27" t="s">
        <v>70</v>
      </c>
      <c r="E27">
        <v>4</v>
      </c>
    </row>
    <row r="28" spans="1:5" x14ac:dyDescent="0.3">
      <c r="A28" s="16" t="s">
        <v>443</v>
      </c>
      <c r="B28" t="s">
        <v>280</v>
      </c>
      <c r="C28" t="s">
        <v>0</v>
      </c>
      <c r="D28" t="s">
        <v>70</v>
      </c>
      <c r="E28">
        <v>4</v>
      </c>
    </row>
    <row r="29" spans="1:5" x14ac:dyDescent="0.3">
      <c r="A29" s="16" t="s">
        <v>349</v>
      </c>
      <c r="B29" t="s">
        <v>281</v>
      </c>
      <c r="C29" t="s">
        <v>0</v>
      </c>
      <c r="D29" t="s">
        <v>70</v>
      </c>
      <c r="E29">
        <v>4</v>
      </c>
    </row>
    <row r="30" spans="1:5" x14ac:dyDescent="0.3">
      <c r="A30" s="16" t="s">
        <v>459</v>
      </c>
      <c r="B30" t="s">
        <v>282</v>
      </c>
      <c r="C30" t="s">
        <v>0</v>
      </c>
      <c r="D30" t="s">
        <v>70</v>
      </c>
      <c r="E30">
        <v>4</v>
      </c>
    </row>
    <row r="31" spans="1:5" x14ac:dyDescent="0.3">
      <c r="A31" s="16" t="s">
        <v>571</v>
      </c>
      <c r="B31" t="s">
        <v>283</v>
      </c>
      <c r="C31" t="s">
        <v>0</v>
      </c>
      <c r="D31" t="s">
        <v>70</v>
      </c>
      <c r="E31">
        <v>4</v>
      </c>
    </row>
    <row r="32" spans="1:5" x14ac:dyDescent="0.3">
      <c r="B32" t="s">
        <v>284</v>
      </c>
      <c r="C32" t="s">
        <v>0</v>
      </c>
      <c r="D32" t="s">
        <v>70</v>
      </c>
      <c r="E32">
        <v>4</v>
      </c>
    </row>
    <row r="33" spans="1:5" x14ac:dyDescent="0.3">
      <c r="A33" s="16" t="s">
        <v>668</v>
      </c>
      <c r="B33" t="s">
        <v>285</v>
      </c>
      <c r="C33" t="s">
        <v>0</v>
      </c>
      <c r="D33" t="s">
        <v>70</v>
      </c>
      <c r="E33">
        <v>4</v>
      </c>
    </row>
    <row r="34" spans="1:5" x14ac:dyDescent="0.3">
      <c r="A34" s="16" t="s">
        <v>950</v>
      </c>
      <c r="B34" t="s">
        <v>286</v>
      </c>
      <c r="C34" t="s">
        <v>0</v>
      </c>
      <c r="D34" t="s">
        <v>70</v>
      </c>
      <c r="E34">
        <v>4</v>
      </c>
    </row>
    <row r="35" spans="1:5" x14ac:dyDescent="0.3">
      <c r="A35" s="16" t="s">
        <v>931</v>
      </c>
      <c r="B35" t="s">
        <v>218</v>
      </c>
      <c r="C35" t="s">
        <v>179</v>
      </c>
      <c r="D35" t="s">
        <v>70</v>
      </c>
      <c r="E35">
        <v>4</v>
      </c>
    </row>
    <row r="36" spans="1:5" x14ac:dyDescent="0.3">
      <c r="A36" s="16" t="s">
        <v>523</v>
      </c>
      <c r="B36" t="s">
        <v>219</v>
      </c>
      <c r="C36" t="s">
        <v>179</v>
      </c>
      <c r="D36" t="s">
        <v>70</v>
      </c>
      <c r="E36">
        <v>4</v>
      </c>
    </row>
    <row r="37" spans="1:5" x14ac:dyDescent="0.3">
      <c r="A37" s="16" t="s">
        <v>408</v>
      </c>
      <c r="B37" t="s">
        <v>220</v>
      </c>
      <c r="C37" t="s">
        <v>179</v>
      </c>
      <c r="D37" t="s">
        <v>70</v>
      </c>
      <c r="E37">
        <v>4</v>
      </c>
    </row>
    <row r="38" spans="1:5" x14ac:dyDescent="0.3">
      <c r="A38" s="16" t="s">
        <v>368</v>
      </c>
      <c r="B38" t="s">
        <v>221</v>
      </c>
      <c r="C38" t="s">
        <v>179</v>
      </c>
      <c r="D38" t="s">
        <v>70</v>
      </c>
      <c r="E38">
        <v>4</v>
      </c>
    </row>
    <row r="39" spans="1:5" x14ac:dyDescent="0.3">
      <c r="A39" s="16" t="s">
        <v>637</v>
      </c>
      <c r="B39" t="s">
        <v>222</v>
      </c>
      <c r="C39" t="s">
        <v>179</v>
      </c>
      <c r="D39" t="s">
        <v>70</v>
      </c>
      <c r="E39">
        <v>4</v>
      </c>
    </row>
    <row r="40" spans="1:5" x14ac:dyDescent="0.3">
      <c r="A40" s="16" t="s">
        <v>379</v>
      </c>
      <c r="B40" t="s">
        <v>223</v>
      </c>
      <c r="C40" t="s">
        <v>179</v>
      </c>
      <c r="D40" t="s">
        <v>70</v>
      </c>
      <c r="E40">
        <v>4</v>
      </c>
    </row>
    <row r="41" spans="1:5" x14ac:dyDescent="0.3">
      <c r="A41" s="16" t="s">
        <v>549</v>
      </c>
      <c r="B41" t="s">
        <v>224</v>
      </c>
      <c r="C41" t="s">
        <v>179</v>
      </c>
      <c r="D41" t="s">
        <v>70</v>
      </c>
      <c r="E41">
        <v>4</v>
      </c>
    </row>
    <row r="42" spans="1:5" x14ac:dyDescent="0.3">
      <c r="B42" t="s">
        <v>225</v>
      </c>
      <c r="C42" t="s">
        <v>179</v>
      </c>
      <c r="D42" t="s">
        <v>70</v>
      </c>
      <c r="E42">
        <v>4</v>
      </c>
    </row>
    <row r="43" spans="1:5" x14ac:dyDescent="0.3">
      <c r="B43" t="s">
        <v>226</v>
      </c>
      <c r="C43" t="s">
        <v>179</v>
      </c>
      <c r="D43" t="s">
        <v>70</v>
      </c>
      <c r="E43">
        <v>4</v>
      </c>
    </row>
    <row r="44" spans="1:5" x14ac:dyDescent="0.3">
      <c r="A44" s="16" t="s">
        <v>909</v>
      </c>
      <c r="B44" t="s">
        <v>227</v>
      </c>
      <c r="C44" t="s">
        <v>179</v>
      </c>
      <c r="D44" t="s">
        <v>70</v>
      </c>
      <c r="E44">
        <v>4</v>
      </c>
    </row>
    <row r="45" spans="1:5" x14ac:dyDescent="0.3">
      <c r="A45" s="16" t="s">
        <v>337</v>
      </c>
      <c r="B45" t="s">
        <v>204</v>
      </c>
      <c r="C45" t="s">
        <v>72</v>
      </c>
      <c r="D45" t="s">
        <v>70</v>
      </c>
      <c r="E45">
        <v>4</v>
      </c>
    </row>
    <row r="46" spans="1:5" x14ac:dyDescent="0.3">
      <c r="A46" s="16" t="s">
        <v>492</v>
      </c>
      <c r="B46" t="s">
        <v>205</v>
      </c>
      <c r="C46" t="s">
        <v>72</v>
      </c>
      <c r="D46" t="s">
        <v>70</v>
      </c>
      <c r="E46">
        <v>4</v>
      </c>
    </row>
    <row r="47" spans="1:5" x14ac:dyDescent="0.3">
      <c r="A47" s="16" t="s">
        <v>490</v>
      </c>
      <c r="B47" t="s">
        <v>206</v>
      </c>
      <c r="C47" t="s">
        <v>72</v>
      </c>
      <c r="D47" t="s">
        <v>70</v>
      </c>
      <c r="E47">
        <v>4</v>
      </c>
    </row>
    <row r="48" spans="1:5" x14ac:dyDescent="0.3">
      <c r="A48" s="16" t="s">
        <v>756</v>
      </c>
      <c r="B48" t="s">
        <v>207</v>
      </c>
      <c r="C48" t="s">
        <v>72</v>
      </c>
      <c r="D48" t="s">
        <v>70</v>
      </c>
      <c r="E48">
        <v>4</v>
      </c>
    </row>
    <row r="49" spans="1:5" x14ac:dyDescent="0.3">
      <c r="A49" s="16" t="s">
        <v>502</v>
      </c>
      <c r="B49" t="s">
        <v>208</v>
      </c>
      <c r="C49" t="s">
        <v>72</v>
      </c>
      <c r="D49" t="s">
        <v>70</v>
      </c>
      <c r="E49">
        <v>4</v>
      </c>
    </row>
    <row r="50" spans="1:5" x14ac:dyDescent="0.3">
      <c r="A50" s="16" t="s">
        <v>583</v>
      </c>
      <c r="B50" t="s">
        <v>209</v>
      </c>
      <c r="C50" t="s">
        <v>72</v>
      </c>
      <c r="D50" t="s">
        <v>70</v>
      </c>
      <c r="E50">
        <v>4</v>
      </c>
    </row>
    <row r="51" spans="1:5" x14ac:dyDescent="0.3">
      <c r="A51" s="16" t="s">
        <v>483</v>
      </c>
      <c r="B51" t="s">
        <v>210</v>
      </c>
      <c r="C51" t="s">
        <v>72</v>
      </c>
      <c r="D51" t="s">
        <v>70</v>
      </c>
      <c r="E51">
        <v>4</v>
      </c>
    </row>
    <row r="52" spans="1:5" x14ac:dyDescent="0.3">
      <c r="A52" s="16" t="s">
        <v>457</v>
      </c>
      <c r="B52" t="s">
        <v>211</v>
      </c>
      <c r="C52" t="s">
        <v>72</v>
      </c>
      <c r="D52" t="s">
        <v>70</v>
      </c>
      <c r="E52">
        <v>4</v>
      </c>
    </row>
    <row r="53" spans="1:5" x14ac:dyDescent="0.3">
      <c r="A53" s="16" t="s">
        <v>546</v>
      </c>
      <c r="B53" t="s">
        <v>7</v>
      </c>
      <c r="C53" t="s">
        <v>72</v>
      </c>
      <c r="D53" t="s">
        <v>70</v>
      </c>
      <c r="E53">
        <v>4</v>
      </c>
    </row>
    <row r="54" spans="1:5" x14ac:dyDescent="0.3">
      <c r="A54" s="16" t="s">
        <v>648</v>
      </c>
      <c r="B54" t="s">
        <v>212</v>
      </c>
      <c r="C54" t="s">
        <v>72</v>
      </c>
      <c r="D54" t="s">
        <v>70</v>
      </c>
      <c r="E54">
        <v>4</v>
      </c>
    </row>
    <row r="55" spans="1:5" x14ac:dyDescent="0.3">
      <c r="A55" s="16" t="s">
        <v>383</v>
      </c>
      <c r="B55" t="s">
        <v>213</v>
      </c>
      <c r="C55" t="s">
        <v>72</v>
      </c>
      <c r="D55" t="s">
        <v>70</v>
      </c>
      <c r="E55">
        <v>4</v>
      </c>
    </row>
    <row r="56" spans="1:5" x14ac:dyDescent="0.3">
      <c r="A56" s="16" t="s">
        <v>506</v>
      </c>
      <c r="B56" t="s">
        <v>180</v>
      </c>
      <c r="C56" t="s">
        <v>29</v>
      </c>
      <c r="D56" t="s">
        <v>70</v>
      </c>
      <c r="E56">
        <v>4</v>
      </c>
    </row>
    <row r="57" spans="1:5" x14ac:dyDescent="0.3">
      <c r="B57" t="s">
        <v>181</v>
      </c>
      <c r="C57" t="s">
        <v>29</v>
      </c>
      <c r="D57" t="s">
        <v>70</v>
      </c>
      <c r="E57">
        <v>4</v>
      </c>
    </row>
    <row r="58" spans="1:5" x14ac:dyDescent="0.3">
      <c r="A58" s="16" t="s">
        <v>440</v>
      </c>
      <c r="B58" t="s">
        <v>182</v>
      </c>
      <c r="C58" t="s">
        <v>29</v>
      </c>
      <c r="D58" t="s">
        <v>70</v>
      </c>
      <c r="E58">
        <v>4</v>
      </c>
    </row>
    <row r="59" spans="1:5" x14ac:dyDescent="0.3">
      <c r="A59" s="16" t="s">
        <v>404</v>
      </c>
      <c r="B59" t="s">
        <v>183</v>
      </c>
      <c r="C59" t="s">
        <v>29</v>
      </c>
      <c r="D59" t="s">
        <v>70</v>
      </c>
      <c r="E59">
        <v>4</v>
      </c>
    </row>
    <row r="60" spans="1:5" x14ac:dyDescent="0.3">
      <c r="A60" s="16" t="s">
        <v>352</v>
      </c>
      <c r="B60" t="s">
        <v>184</v>
      </c>
      <c r="C60" t="s">
        <v>29</v>
      </c>
      <c r="D60" t="s">
        <v>70</v>
      </c>
      <c r="E60">
        <v>4</v>
      </c>
    </row>
    <row r="61" spans="1:5" x14ac:dyDescent="0.3">
      <c r="A61" s="16" t="s">
        <v>613</v>
      </c>
      <c r="B61" t="s">
        <v>185</v>
      </c>
      <c r="C61" t="s">
        <v>29</v>
      </c>
      <c r="D61" t="s">
        <v>70</v>
      </c>
      <c r="E61">
        <v>4</v>
      </c>
    </row>
    <row r="62" spans="1:5" x14ac:dyDescent="0.3">
      <c r="A62" s="16" t="s">
        <v>402</v>
      </c>
      <c r="B62" t="s">
        <v>186</v>
      </c>
      <c r="C62" t="s">
        <v>29</v>
      </c>
      <c r="D62" t="s">
        <v>70</v>
      </c>
      <c r="E62">
        <v>4</v>
      </c>
    </row>
    <row r="63" spans="1:5" x14ac:dyDescent="0.3">
      <c r="A63" s="16" t="s">
        <v>386</v>
      </c>
      <c r="B63" t="s">
        <v>187</v>
      </c>
      <c r="C63" t="s">
        <v>29</v>
      </c>
      <c r="D63" t="s">
        <v>70</v>
      </c>
      <c r="E63">
        <v>4</v>
      </c>
    </row>
    <row r="64" spans="1:5" x14ac:dyDescent="0.3">
      <c r="A64" s="16" t="s">
        <v>366</v>
      </c>
      <c r="B64" t="s">
        <v>188</v>
      </c>
      <c r="C64" t="s">
        <v>29</v>
      </c>
      <c r="D64" t="s">
        <v>70</v>
      </c>
      <c r="E64">
        <v>4</v>
      </c>
    </row>
    <row r="65" spans="1:5" x14ac:dyDescent="0.3">
      <c r="A65" s="16" t="s">
        <v>358</v>
      </c>
      <c r="B65" t="s">
        <v>189</v>
      </c>
      <c r="C65" t="s">
        <v>24</v>
      </c>
      <c r="D65" t="s">
        <v>70</v>
      </c>
      <c r="E65">
        <v>4</v>
      </c>
    </row>
    <row r="66" spans="1:5" x14ac:dyDescent="0.3">
      <c r="A66" s="16" t="s">
        <v>344</v>
      </c>
      <c r="B66" t="s">
        <v>190</v>
      </c>
      <c r="C66" t="s">
        <v>29</v>
      </c>
      <c r="D66" t="s">
        <v>70</v>
      </c>
      <c r="E66">
        <v>4</v>
      </c>
    </row>
    <row r="67" spans="1:5" x14ac:dyDescent="0.3">
      <c r="A67" s="16" t="s">
        <v>735</v>
      </c>
      <c r="B67" t="s">
        <v>191</v>
      </c>
      <c r="C67" t="s">
        <v>24</v>
      </c>
      <c r="D67" t="s">
        <v>70</v>
      </c>
      <c r="E67">
        <v>4</v>
      </c>
    </row>
    <row r="68" spans="1:5" x14ac:dyDescent="0.3">
      <c r="A68" s="16" t="s">
        <v>653</v>
      </c>
      <c r="B68" t="s">
        <v>192</v>
      </c>
      <c r="C68" t="s">
        <v>29</v>
      </c>
      <c r="D68" t="s">
        <v>70</v>
      </c>
      <c r="E68">
        <v>4</v>
      </c>
    </row>
    <row r="69" spans="1:5" x14ac:dyDescent="0.3">
      <c r="A69" s="16" t="s">
        <v>526</v>
      </c>
      <c r="B69" t="s">
        <v>193</v>
      </c>
      <c r="C69" t="s">
        <v>29</v>
      </c>
      <c r="D69" t="s">
        <v>70</v>
      </c>
      <c r="E69">
        <v>4</v>
      </c>
    </row>
    <row r="70" spans="1:5" x14ac:dyDescent="0.3">
      <c r="A70" t="s">
        <v>437</v>
      </c>
      <c r="B70" t="s">
        <v>194</v>
      </c>
      <c r="C70" t="s">
        <v>29</v>
      </c>
      <c r="D70" t="s">
        <v>70</v>
      </c>
      <c r="E70">
        <v>4</v>
      </c>
    </row>
    <row r="71" spans="1:5" x14ac:dyDescent="0.3">
      <c r="A71" s="16" t="s">
        <v>651</v>
      </c>
      <c r="B71" t="s">
        <v>195</v>
      </c>
      <c r="C71" t="s">
        <v>29</v>
      </c>
      <c r="D71" t="s">
        <v>70</v>
      </c>
      <c r="E71">
        <v>4</v>
      </c>
    </row>
    <row r="72" spans="1:5" x14ac:dyDescent="0.3">
      <c r="A72" s="16" t="s">
        <v>1574</v>
      </c>
      <c r="B72" t="s">
        <v>196</v>
      </c>
      <c r="C72" t="s">
        <v>29</v>
      </c>
      <c r="D72" t="s">
        <v>70</v>
      </c>
      <c r="E72">
        <v>4</v>
      </c>
    </row>
    <row r="73" spans="1:5" x14ac:dyDescent="0.3">
      <c r="A73" s="16" t="s">
        <v>578</v>
      </c>
      <c r="B73" t="s">
        <v>197</v>
      </c>
      <c r="C73" t="s">
        <v>29</v>
      </c>
      <c r="D73" t="s">
        <v>70</v>
      </c>
      <c r="E73">
        <v>4</v>
      </c>
    </row>
    <row r="74" spans="1:5" x14ac:dyDescent="0.3">
      <c r="A74" s="16" t="s">
        <v>418</v>
      </c>
      <c r="B74" t="s">
        <v>199</v>
      </c>
      <c r="C74" t="s">
        <v>29</v>
      </c>
      <c r="D74" t="s">
        <v>70</v>
      </c>
      <c r="E74">
        <v>4</v>
      </c>
    </row>
    <row r="75" spans="1:5" x14ac:dyDescent="0.3">
      <c r="A75" s="16" t="s">
        <v>912</v>
      </c>
      <c r="B75" t="s">
        <v>200</v>
      </c>
      <c r="C75" t="s">
        <v>29</v>
      </c>
      <c r="D75" t="s">
        <v>70</v>
      </c>
      <c r="E75">
        <v>4</v>
      </c>
    </row>
    <row r="76" spans="1:5" x14ac:dyDescent="0.3">
      <c r="A76" s="16" t="s">
        <v>452</v>
      </c>
      <c r="B76" t="s">
        <v>201</v>
      </c>
      <c r="C76" t="s">
        <v>29</v>
      </c>
      <c r="D76" t="s">
        <v>70</v>
      </c>
      <c r="E76">
        <v>4</v>
      </c>
    </row>
    <row r="77" spans="1:5" x14ac:dyDescent="0.3">
      <c r="A77" s="16" t="s">
        <v>621</v>
      </c>
      <c r="B77" t="s">
        <v>202</v>
      </c>
      <c r="C77" t="s">
        <v>29</v>
      </c>
      <c r="D77" t="s">
        <v>70</v>
      </c>
      <c r="E77">
        <v>4</v>
      </c>
    </row>
    <row r="78" spans="1:5" x14ac:dyDescent="0.3">
      <c r="A78" s="16" t="s">
        <v>972</v>
      </c>
      <c r="B78" t="s">
        <v>203</v>
      </c>
      <c r="C78" t="s">
        <v>29</v>
      </c>
      <c r="D78" t="s">
        <v>70</v>
      </c>
      <c r="E78">
        <v>4</v>
      </c>
    </row>
    <row r="79" spans="1:5" x14ac:dyDescent="0.3">
      <c r="A79" s="16" t="s">
        <v>362</v>
      </c>
      <c r="B79" t="s">
        <v>264</v>
      </c>
      <c r="C79" t="s">
        <v>18</v>
      </c>
      <c r="D79" t="s">
        <v>70</v>
      </c>
      <c r="E79">
        <v>4</v>
      </c>
    </row>
    <row r="80" spans="1:5" x14ac:dyDescent="0.3">
      <c r="B80" t="s">
        <v>214</v>
      </c>
      <c r="C80" t="s">
        <v>12</v>
      </c>
      <c r="D80" t="s">
        <v>70</v>
      </c>
      <c r="E80">
        <v>4</v>
      </c>
    </row>
    <row r="81" spans="1:5" x14ac:dyDescent="0.3">
      <c r="A81" s="16" t="s">
        <v>700</v>
      </c>
      <c r="B81" t="s">
        <v>215</v>
      </c>
      <c r="C81" t="s">
        <v>12</v>
      </c>
      <c r="D81" t="s">
        <v>70</v>
      </c>
      <c r="E81">
        <v>4</v>
      </c>
    </row>
    <row r="82" spans="1:5" x14ac:dyDescent="0.3">
      <c r="B82" t="s">
        <v>216</v>
      </c>
      <c r="C82" t="s">
        <v>12</v>
      </c>
      <c r="D82" t="s">
        <v>70</v>
      </c>
      <c r="E82">
        <v>4</v>
      </c>
    </row>
    <row r="83" spans="1:5" x14ac:dyDescent="0.3">
      <c r="A83" s="16" t="s">
        <v>563</v>
      </c>
      <c r="B83" t="s">
        <v>217</v>
      </c>
      <c r="C83" t="s">
        <v>12</v>
      </c>
      <c r="D83" t="s">
        <v>70</v>
      </c>
      <c r="E83">
        <v>4</v>
      </c>
    </row>
    <row r="84" spans="1:5" x14ac:dyDescent="0.3">
      <c r="A84" t="s">
        <v>144</v>
      </c>
      <c r="B84" t="s">
        <v>145</v>
      </c>
      <c r="C84" t="s">
        <v>159</v>
      </c>
      <c r="D84" t="s">
        <v>68</v>
      </c>
      <c r="E84">
        <v>5</v>
      </c>
    </row>
    <row r="85" spans="1:5" x14ac:dyDescent="0.3">
      <c r="A85" t="s">
        <v>34</v>
      </c>
      <c r="B85" t="s">
        <v>34</v>
      </c>
      <c r="C85" t="s">
        <v>159</v>
      </c>
      <c r="D85" t="s">
        <v>68</v>
      </c>
      <c r="E85">
        <v>5</v>
      </c>
    </row>
    <row r="86" spans="1:5" x14ac:dyDescent="0.3">
      <c r="A86" t="s">
        <v>33</v>
      </c>
      <c r="B86" t="s">
        <v>33</v>
      </c>
      <c r="C86" t="s">
        <v>160</v>
      </c>
      <c r="D86" t="s">
        <v>68</v>
      </c>
      <c r="E86">
        <v>5</v>
      </c>
    </row>
    <row r="87" spans="1:5" x14ac:dyDescent="0.3">
      <c r="A87" s="16" t="s">
        <v>360</v>
      </c>
      <c r="B87" s="35" t="s">
        <v>1749</v>
      </c>
      <c r="C87" t="s">
        <v>161</v>
      </c>
      <c r="D87" t="s">
        <v>67</v>
      </c>
      <c r="E87">
        <v>6</v>
      </c>
    </row>
    <row r="88" spans="1:5" x14ac:dyDescent="0.3">
      <c r="A88" t="s">
        <v>5</v>
      </c>
      <c r="B88" t="s">
        <v>5</v>
      </c>
      <c r="C88" t="s">
        <v>162</v>
      </c>
      <c r="D88" t="s">
        <v>67</v>
      </c>
      <c r="E88">
        <v>6</v>
      </c>
    </row>
    <row r="89" spans="1:5" x14ac:dyDescent="0.3">
      <c r="A89" t="s">
        <v>65</v>
      </c>
      <c r="B89" t="s">
        <v>21</v>
      </c>
      <c r="C89" t="s">
        <v>25</v>
      </c>
      <c r="D89" t="s">
        <v>37</v>
      </c>
      <c r="E89">
        <v>7</v>
      </c>
    </row>
    <row r="90" spans="1:5" x14ac:dyDescent="0.3">
      <c r="A90" s="16" t="s">
        <v>776</v>
      </c>
      <c r="B90" t="s">
        <v>22</v>
      </c>
      <c r="C90" t="s">
        <v>25</v>
      </c>
      <c r="D90" t="s">
        <v>37</v>
      </c>
      <c r="E90">
        <v>7</v>
      </c>
    </row>
    <row r="91" spans="1:5" x14ac:dyDescent="0.3">
      <c r="A91" t="s">
        <v>23</v>
      </c>
      <c r="B91" t="s">
        <v>23</v>
      </c>
      <c r="C91" t="s">
        <v>27</v>
      </c>
      <c r="D91" t="s">
        <v>38</v>
      </c>
      <c r="E91">
        <v>8</v>
      </c>
    </row>
    <row r="92" spans="1:5" x14ac:dyDescent="0.3">
      <c r="A92" t="s">
        <v>23</v>
      </c>
      <c r="B92" t="s">
        <v>23</v>
      </c>
      <c r="C92" t="s">
        <v>27</v>
      </c>
      <c r="D92" t="s">
        <v>38</v>
      </c>
      <c r="E92">
        <v>8</v>
      </c>
    </row>
    <row r="93" spans="1:5" x14ac:dyDescent="0.3">
      <c r="A93" t="s">
        <v>131</v>
      </c>
      <c r="B93" t="s">
        <v>31</v>
      </c>
      <c r="C93" t="s">
        <v>27</v>
      </c>
      <c r="D93" t="s">
        <v>38</v>
      </c>
      <c r="E93">
        <v>8</v>
      </c>
    </row>
    <row r="94" spans="1:5" x14ac:dyDescent="0.3">
      <c r="A94" t="s">
        <v>31</v>
      </c>
      <c r="B94" t="s">
        <v>31</v>
      </c>
      <c r="C94" t="s">
        <v>27</v>
      </c>
      <c r="D94" t="s">
        <v>38</v>
      </c>
      <c r="E94">
        <v>8</v>
      </c>
    </row>
    <row r="95" spans="1:5" x14ac:dyDescent="0.3">
      <c r="A95" t="s">
        <v>6</v>
      </c>
      <c r="B95" t="s">
        <v>135</v>
      </c>
      <c r="C95" t="s">
        <v>135</v>
      </c>
      <c r="D95" t="s">
        <v>135</v>
      </c>
      <c r="E95">
        <v>9</v>
      </c>
    </row>
    <row r="96" spans="1:5" x14ac:dyDescent="0.3">
      <c r="A96" t="s">
        <v>46</v>
      </c>
      <c r="B96" t="s">
        <v>135</v>
      </c>
      <c r="C96" t="s">
        <v>135</v>
      </c>
      <c r="D96" t="s">
        <v>135</v>
      </c>
      <c r="E96">
        <v>9</v>
      </c>
    </row>
    <row r="97" spans="1:5" x14ac:dyDescent="0.3">
      <c r="A97" t="s">
        <v>130</v>
      </c>
      <c r="B97" t="s">
        <v>135</v>
      </c>
      <c r="C97" t="s">
        <v>135</v>
      </c>
      <c r="D97" t="s">
        <v>135</v>
      </c>
      <c r="E97">
        <v>9</v>
      </c>
    </row>
    <row r="98" spans="1:5" x14ac:dyDescent="0.3">
      <c r="A98" t="s">
        <v>47</v>
      </c>
      <c r="B98" t="s">
        <v>135</v>
      </c>
      <c r="C98" t="s">
        <v>135</v>
      </c>
      <c r="D98" t="s">
        <v>135</v>
      </c>
      <c r="E98">
        <v>9</v>
      </c>
    </row>
    <row r="99" spans="1:5" x14ac:dyDescent="0.3">
      <c r="A99" t="s">
        <v>48</v>
      </c>
      <c r="B99" t="s">
        <v>135</v>
      </c>
      <c r="C99" t="s">
        <v>135</v>
      </c>
      <c r="D99" t="s">
        <v>135</v>
      </c>
      <c r="E99">
        <v>9</v>
      </c>
    </row>
    <row r="100" spans="1:5" x14ac:dyDescent="0.3">
      <c r="A100" t="s">
        <v>4</v>
      </c>
      <c r="B100" t="s">
        <v>135</v>
      </c>
      <c r="C100" t="s">
        <v>135</v>
      </c>
      <c r="D100" t="s">
        <v>135</v>
      </c>
      <c r="E100">
        <v>9</v>
      </c>
    </row>
    <row r="101" spans="1:5" x14ac:dyDescent="0.3">
      <c r="A101" t="s">
        <v>49</v>
      </c>
      <c r="B101" t="s">
        <v>135</v>
      </c>
      <c r="C101" t="s">
        <v>135</v>
      </c>
      <c r="D101" t="s">
        <v>135</v>
      </c>
      <c r="E101">
        <v>9</v>
      </c>
    </row>
    <row r="102" spans="1:5" x14ac:dyDescent="0.3">
      <c r="A102" t="s">
        <v>127</v>
      </c>
      <c r="B102" t="s">
        <v>135</v>
      </c>
      <c r="C102" t="s">
        <v>135</v>
      </c>
      <c r="D102" t="s">
        <v>135</v>
      </c>
      <c r="E102">
        <v>9</v>
      </c>
    </row>
    <row r="103" spans="1:5" x14ac:dyDescent="0.3">
      <c r="A103" t="s">
        <v>124</v>
      </c>
      <c r="B103" t="s">
        <v>135</v>
      </c>
      <c r="C103" t="s">
        <v>135</v>
      </c>
      <c r="D103" t="s">
        <v>135</v>
      </c>
      <c r="E103">
        <v>9</v>
      </c>
    </row>
    <row r="104" spans="1:5" x14ac:dyDescent="0.3">
      <c r="A104" t="s">
        <v>128</v>
      </c>
      <c r="B104" t="s">
        <v>135</v>
      </c>
      <c r="C104" t="s">
        <v>135</v>
      </c>
      <c r="D104" t="s">
        <v>135</v>
      </c>
      <c r="E104">
        <v>9</v>
      </c>
    </row>
    <row r="105" spans="1:5" x14ac:dyDescent="0.3">
      <c r="A105" t="s">
        <v>73</v>
      </c>
      <c r="B105" t="s">
        <v>135</v>
      </c>
      <c r="C105" t="s">
        <v>135</v>
      </c>
      <c r="D105" t="s">
        <v>135</v>
      </c>
      <c r="E105">
        <v>9</v>
      </c>
    </row>
    <row r="106" spans="1:5" x14ac:dyDescent="0.3">
      <c r="A106" t="s">
        <v>125</v>
      </c>
      <c r="B106" t="s">
        <v>135</v>
      </c>
      <c r="C106" t="s">
        <v>135</v>
      </c>
      <c r="D106" t="s">
        <v>135</v>
      </c>
      <c r="E106">
        <v>9</v>
      </c>
    </row>
    <row r="107" spans="1:5" x14ac:dyDescent="0.3">
      <c r="A107" t="s">
        <v>50</v>
      </c>
      <c r="B107" t="s">
        <v>135</v>
      </c>
      <c r="C107" t="s">
        <v>135</v>
      </c>
      <c r="D107" t="s">
        <v>135</v>
      </c>
      <c r="E107">
        <v>9</v>
      </c>
    </row>
    <row r="108" spans="1:5" x14ac:dyDescent="0.3">
      <c r="A108" t="s">
        <v>11</v>
      </c>
      <c r="B108" t="s">
        <v>135</v>
      </c>
      <c r="C108" t="s">
        <v>135</v>
      </c>
      <c r="D108" t="s">
        <v>135</v>
      </c>
      <c r="E108">
        <v>9</v>
      </c>
    </row>
    <row r="109" spans="1:5" x14ac:dyDescent="0.3">
      <c r="A109" t="s">
        <v>51</v>
      </c>
      <c r="B109" t="s">
        <v>135</v>
      </c>
      <c r="C109" t="s">
        <v>135</v>
      </c>
      <c r="D109" t="s">
        <v>135</v>
      </c>
      <c r="E109">
        <v>9</v>
      </c>
    </row>
    <row r="110" spans="1:5" x14ac:dyDescent="0.3">
      <c r="A110" t="s">
        <v>53</v>
      </c>
      <c r="B110" t="s">
        <v>135</v>
      </c>
      <c r="C110" t="s">
        <v>135</v>
      </c>
      <c r="D110" t="s">
        <v>135</v>
      </c>
      <c r="E110">
        <v>9</v>
      </c>
    </row>
    <row r="111" spans="1:5" x14ac:dyDescent="0.3">
      <c r="A111" t="s">
        <v>123</v>
      </c>
      <c r="B111" t="s">
        <v>135</v>
      </c>
      <c r="C111" t="s">
        <v>135</v>
      </c>
      <c r="D111" t="s">
        <v>135</v>
      </c>
      <c r="E111">
        <v>9</v>
      </c>
    </row>
    <row r="112" spans="1:5" x14ac:dyDescent="0.3">
      <c r="A112" t="s">
        <v>56</v>
      </c>
      <c r="B112" t="s">
        <v>135</v>
      </c>
      <c r="C112" t="s">
        <v>135</v>
      </c>
      <c r="D112" t="s">
        <v>135</v>
      </c>
      <c r="E112">
        <v>9</v>
      </c>
    </row>
    <row r="113" spans="1:5" x14ac:dyDescent="0.3">
      <c r="A113" t="s">
        <v>57</v>
      </c>
      <c r="B113" t="s">
        <v>135</v>
      </c>
      <c r="C113" t="s">
        <v>135</v>
      </c>
      <c r="D113" t="s">
        <v>135</v>
      </c>
      <c r="E113">
        <v>9</v>
      </c>
    </row>
    <row r="114" spans="1:5" x14ac:dyDescent="0.3">
      <c r="A114" t="s">
        <v>58</v>
      </c>
      <c r="B114" t="s">
        <v>135</v>
      </c>
      <c r="C114" t="s">
        <v>135</v>
      </c>
      <c r="D114" t="s">
        <v>135</v>
      </c>
      <c r="E114">
        <v>9</v>
      </c>
    </row>
    <row r="115" spans="1:5" x14ac:dyDescent="0.3">
      <c r="A115" t="s">
        <v>59</v>
      </c>
      <c r="B115" t="s">
        <v>135</v>
      </c>
      <c r="C115" t="s">
        <v>135</v>
      </c>
      <c r="D115" t="s">
        <v>135</v>
      </c>
      <c r="E115">
        <v>9</v>
      </c>
    </row>
    <row r="116" spans="1:5" x14ac:dyDescent="0.3">
      <c r="A116" t="s">
        <v>129</v>
      </c>
      <c r="B116" t="s">
        <v>135</v>
      </c>
      <c r="C116" t="s">
        <v>135</v>
      </c>
      <c r="D116" t="s">
        <v>135</v>
      </c>
      <c r="E116">
        <v>9</v>
      </c>
    </row>
    <row r="117" spans="1:5" x14ac:dyDescent="0.3">
      <c r="A117" t="s">
        <v>121</v>
      </c>
      <c r="B117" t="s">
        <v>135</v>
      </c>
      <c r="C117" t="s">
        <v>135</v>
      </c>
      <c r="D117" t="s">
        <v>135</v>
      </c>
      <c r="E117">
        <v>9</v>
      </c>
    </row>
    <row r="118" spans="1:5" x14ac:dyDescent="0.3">
      <c r="A118" t="s">
        <v>13</v>
      </c>
      <c r="B118" t="s">
        <v>135</v>
      </c>
      <c r="C118" t="s">
        <v>135</v>
      </c>
      <c r="D118" t="s">
        <v>135</v>
      </c>
      <c r="E118">
        <v>9</v>
      </c>
    </row>
    <row r="119" spans="1:5" x14ac:dyDescent="0.3">
      <c r="A119" t="s">
        <v>2</v>
      </c>
      <c r="B119" t="s">
        <v>135</v>
      </c>
      <c r="C119" t="s">
        <v>135</v>
      </c>
      <c r="D119" t="s">
        <v>135</v>
      </c>
      <c r="E119">
        <v>9</v>
      </c>
    </row>
    <row r="120" spans="1:5" x14ac:dyDescent="0.3">
      <c r="A120" t="s">
        <v>1</v>
      </c>
      <c r="B120" t="s">
        <v>135</v>
      </c>
      <c r="C120" t="s">
        <v>135</v>
      </c>
      <c r="D120" t="s">
        <v>135</v>
      </c>
      <c r="E120">
        <v>9</v>
      </c>
    </row>
    <row r="121" spans="1:5" x14ac:dyDescent="0.3">
      <c r="A121" t="s">
        <v>60</v>
      </c>
      <c r="B121" t="s">
        <v>135</v>
      </c>
      <c r="C121" t="s">
        <v>135</v>
      </c>
      <c r="D121" t="s">
        <v>135</v>
      </c>
      <c r="E121">
        <v>9</v>
      </c>
    </row>
    <row r="122" spans="1:5" x14ac:dyDescent="0.3">
      <c r="A122" t="s">
        <v>122</v>
      </c>
      <c r="B122" t="s">
        <v>135</v>
      </c>
      <c r="C122" t="s">
        <v>135</v>
      </c>
      <c r="D122" t="s">
        <v>135</v>
      </c>
      <c r="E122">
        <v>9</v>
      </c>
    </row>
    <row r="123" spans="1:5" x14ac:dyDescent="0.3">
      <c r="A123" t="s">
        <v>154</v>
      </c>
      <c r="B123" t="s">
        <v>135</v>
      </c>
      <c r="C123" t="s">
        <v>135</v>
      </c>
      <c r="D123" t="s">
        <v>135</v>
      </c>
      <c r="E123">
        <v>9</v>
      </c>
    </row>
    <row r="124" spans="1:5" x14ac:dyDescent="0.3">
      <c r="A124" t="s">
        <v>152</v>
      </c>
      <c r="B124" t="s">
        <v>135</v>
      </c>
      <c r="C124" t="s">
        <v>135</v>
      </c>
      <c r="D124" t="s">
        <v>135</v>
      </c>
      <c r="E124">
        <v>9</v>
      </c>
    </row>
    <row r="125" spans="1:5" x14ac:dyDescent="0.3">
      <c r="A125" t="s">
        <v>153</v>
      </c>
      <c r="B125" t="s">
        <v>135</v>
      </c>
      <c r="C125" t="s">
        <v>135</v>
      </c>
      <c r="D125" t="s">
        <v>135</v>
      </c>
      <c r="E125">
        <v>9</v>
      </c>
    </row>
    <row r="126" spans="1:5" x14ac:dyDescent="0.3">
      <c r="A126" t="s">
        <v>157</v>
      </c>
      <c r="B126" t="s">
        <v>135</v>
      </c>
      <c r="C126" t="s">
        <v>135</v>
      </c>
      <c r="D126" t="s">
        <v>135</v>
      </c>
      <c r="E126">
        <v>9</v>
      </c>
    </row>
    <row r="127" spans="1:5" x14ac:dyDescent="0.3">
      <c r="A127" t="s">
        <v>166</v>
      </c>
      <c r="B127" t="s">
        <v>135</v>
      </c>
      <c r="C127" t="s">
        <v>135</v>
      </c>
      <c r="D127" t="s">
        <v>135</v>
      </c>
      <c r="E127">
        <v>9</v>
      </c>
    </row>
    <row r="128" spans="1:5" x14ac:dyDescent="0.3">
      <c r="A128" t="s">
        <v>167</v>
      </c>
      <c r="B128" t="s">
        <v>135</v>
      </c>
      <c r="C128" t="s">
        <v>135</v>
      </c>
      <c r="D128" t="s">
        <v>135</v>
      </c>
      <c r="E128">
        <v>9</v>
      </c>
    </row>
    <row r="129" spans="1:5" x14ac:dyDescent="0.3">
      <c r="A129" t="s">
        <v>168</v>
      </c>
      <c r="B129" t="s">
        <v>135</v>
      </c>
      <c r="C129" t="s">
        <v>135</v>
      </c>
      <c r="D129" t="s">
        <v>135</v>
      </c>
      <c r="E129">
        <v>9</v>
      </c>
    </row>
    <row r="130" spans="1:5" x14ac:dyDescent="0.3">
      <c r="A130" t="s">
        <v>163</v>
      </c>
      <c r="B130" t="s">
        <v>135</v>
      </c>
      <c r="C130" t="s">
        <v>135</v>
      </c>
      <c r="D130" t="s">
        <v>135</v>
      </c>
      <c r="E130">
        <v>9</v>
      </c>
    </row>
    <row r="131" spans="1:5" x14ac:dyDescent="0.3">
      <c r="A131" s="16" t="s">
        <v>169</v>
      </c>
      <c r="B131" s="16" t="s">
        <v>169</v>
      </c>
      <c r="C131" t="s">
        <v>29</v>
      </c>
      <c r="D131" t="s">
        <v>70</v>
      </c>
      <c r="E131">
        <v>4</v>
      </c>
    </row>
    <row r="132" spans="1:5" x14ac:dyDescent="0.3">
      <c r="A132" s="16" t="s">
        <v>170</v>
      </c>
      <c r="B132" t="s">
        <v>170</v>
      </c>
      <c r="C132" t="s">
        <v>18</v>
      </c>
      <c r="D132" t="s">
        <v>70</v>
      </c>
      <c r="E132">
        <v>4</v>
      </c>
    </row>
    <row r="133" spans="1:5" x14ac:dyDescent="0.3">
      <c r="A133" s="16" t="s">
        <v>778</v>
      </c>
      <c r="B133" t="s">
        <v>21</v>
      </c>
      <c r="C133" t="s">
        <v>25</v>
      </c>
      <c r="D133" t="s">
        <v>37</v>
      </c>
      <c r="E133">
        <v>7</v>
      </c>
    </row>
    <row r="134" spans="1:5" x14ac:dyDescent="0.3">
      <c r="A134" t="s">
        <v>171</v>
      </c>
      <c r="B134" t="s">
        <v>171</v>
      </c>
      <c r="C134" t="s">
        <v>0</v>
      </c>
      <c r="D134" t="s">
        <v>70</v>
      </c>
      <c r="E134">
        <v>4</v>
      </c>
    </row>
    <row r="135" spans="1:5" x14ac:dyDescent="0.3">
      <c r="A135" t="s">
        <v>173</v>
      </c>
      <c r="B135" t="s">
        <v>66</v>
      </c>
      <c r="C135" t="s">
        <v>0</v>
      </c>
      <c r="D135" t="s">
        <v>70</v>
      </c>
      <c r="E135">
        <v>4</v>
      </c>
    </row>
    <row r="136" spans="1:5" x14ac:dyDescent="0.3">
      <c r="A136" s="16" t="s">
        <v>174</v>
      </c>
      <c r="B136" t="s">
        <v>61</v>
      </c>
      <c r="C136" t="s">
        <v>12</v>
      </c>
      <c r="D136" t="s">
        <v>70</v>
      </c>
      <c r="E136">
        <v>4</v>
      </c>
    </row>
    <row r="137" spans="1:5" x14ac:dyDescent="0.3">
      <c r="A137" s="16" t="s">
        <v>175</v>
      </c>
      <c r="B137" t="s">
        <v>135</v>
      </c>
      <c r="C137" t="s">
        <v>135</v>
      </c>
      <c r="D137" t="s">
        <v>135</v>
      </c>
      <c r="E137">
        <v>9</v>
      </c>
    </row>
    <row r="138" spans="1:5" x14ac:dyDescent="0.3">
      <c r="A138" s="16" t="s">
        <v>172</v>
      </c>
      <c r="B138" t="s">
        <v>135</v>
      </c>
      <c r="C138" t="s">
        <v>135</v>
      </c>
      <c r="D138" t="s">
        <v>135</v>
      </c>
      <c r="E138">
        <v>9</v>
      </c>
    </row>
    <row r="139" spans="1:5" x14ac:dyDescent="0.3">
      <c r="A139" t="s">
        <v>292</v>
      </c>
      <c r="B139" t="s">
        <v>75</v>
      </c>
      <c r="C139" t="s">
        <v>41</v>
      </c>
      <c r="D139" t="s">
        <v>158</v>
      </c>
      <c r="E139">
        <v>1</v>
      </c>
    </row>
    <row r="140" spans="1:5" x14ac:dyDescent="0.3">
      <c r="A140" t="s">
        <v>289</v>
      </c>
      <c r="B140" t="s">
        <v>5</v>
      </c>
      <c r="C140" t="s">
        <v>162</v>
      </c>
      <c r="D140" t="s">
        <v>67</v>
      </c>
      <c r="E140">
        <v>6</v>
      </c>
    </row>
    <row r="141" spans="1:5" x14ac:dyDescent="0.3">
      <c r="A141" s="16" t="s">
        <v>346</v>
      </c>
      <c r="B141" t="s">
        <v>34</v>
      </c>
      <c r="C141" t="s">
        <v>159</v>
      </c>
      <c r="D141" t="s">
        <v>68</v>
      </c>
      <c r="E141">
        <v>5</v>
      </c>
    </row>
    <row r="142" spans="1:5" x14ac:dyDescent="0.3">
      <c r="A142" s="16" t="s">
        <v>1254</v>
      </c>
      <c r="B142" t="s">
        <v>229</v>
      </c>
      <c r="C142" t="s">
        <v>228</v>
      </c>
      <c r="D142" t="s">
        <v>70</v>
      </c>
      <c r="E142">
        <v>4</v>
      </c>
    </row>
    <row r="143" spans="1:5" x14ac:dyDescent="0.3">
      <c r="A143" s="16" t="s">
        <v>704</v>
      </c>
      <c r="B143" t="s">
        <v>230</v>
      </c>
      <c r="C143" t="s">
        <v>228</v>
      </c>
      <c r="D143" t="s">
        <v>70</v>
      </c>
      <c r="E143">
        <v>4</v>
      </c>
    </row>
    <row r="144" spans="1:5" x14ac:dyDescent="0.3">
      <c r="B144" t="s">
        <v>231</v>
      </c>
      <c r="C144" t="s">
        <v>228</v>
      </c>
      <c r="D144" t="s">
        <v>70</v>
      </c>
      <c r="E144">
        <v>4</v>
      </c>
    </row>
    <row r="145" spans="1:5" x14ac:dyDescent="0.3">
      <c r="A145" s="16" t="s">
        <v>750</v>
      </c>
      <c r="B145" t="s">
        <v>232</v>
      </c>
      <c r="C145" t="s">
        <v>228</v>
      </c>
      <c r="D145" t="s">
        <v>70</v>
      </c>
      <c r="E145">
        <v>4</v>
      </c>
    </row>
    <row r="146" spans="1:5" x14ac:dyDescent="0.3">
      <c r="A146" s="16" t="s">
        <v>1852</v>
      </c>
      <c r="B146" t="s">
        <v>233</v>
      </c>
      <c r="C146" t="s">
        <v>228</v>
      </c>
      <c r="D146" t="s">
        <v>70</v>
      </c>
      <c r="E146">
        <v>4</v>
      </c>
    </row>
    <row r="147" spans="1:5" x14ac:dyDescent="0.3">
      <c r="A147" s="16" t="s">
        <v>376</v>
      </c>
      <c r="B147" t="s">
        <v>234</v>
      </c>
      <c r="C147" t="s">
        <v>228</v>
      </c>
      <c r="D147" t="s">
        <v>70</v>
      </c>
      <c r="E147">
        <v>4</v>
      </c>
    </row>
    <row r="148" spans="1:5" x14ac:dyDescent="0.3">
      <c r="A148" s="16" t="s">
        <v>370</v>
      </c>
      <c r="B148" t="s">
        <v>235</v>
      </c>
      <c r="C148" t="s">
        <v>228</v>
      </c>
      <c r="D148" t="s">
        <v>70</v>
      </c>
      <c r="E148">
        <v>4</v>
      </c>
    </row>
    <row r="149" spans="1:5" x14ac:dyDescent="0.3">
      <c r="A149" s="16" t="s">
        <v>747</v>
      </c>
      <c r="B149" t="s">
        <v>236</v>
      </c>
      <c r="C149" t="s">
        <v>228</v>
      </c>
      <c r="D149" t="s">
        <v>70</v>
      </c>
      <c r="E149">
        <v>4</v>
      </c>
    </row>
    <row r="150" spans="1:5" x14ac:dyDescent="0.3">
      <c r="A150" s="16" t="s">
        <v>478</v>
      </c>
      <c r="B150" t="s">
        <v>237</v>
      </c>
      <c r="C150" t="s">
        <v>228</v>
      </c>
      <c r="D150" t="s">
        <v>70</v>
      </c>
      <c r="E150">
        <v>4</v>
      </c>
    </row>
    <row r="151" spans="1:5" x14ac:dyDescent="0.3">
      <c r="A151" s="16" t="s">
        <v>372</v>
      </c>
      <c r="B151" t="s">
        <v>238</v>
      </c>
      <c r="C151" t="s">
        <v>228</v>
      </c>
      <c r="D151" t="s">
        <v>70</v>
      </c>
      <c r="E151">
        <v>4</v>
      </c>
    </row>
    <row r="152" spans="1:5" x14ac:dyDescent="0.3">
      <c r="B152" t="s">
        <v>239</v>
      </c>
      <c r="C152" t="s">
        <v>228</v>
      </c>
      <c r="D152" t="s">
        <v>70</v>
      </c>
      <c r="E152">
        <v>4</v>
      </c>
    </row>
    <row r="153" spans="1:5" x14ac:dyDescent="0.3">
      <c r="B153" t="s">
        <v>240</v>
      </c>
      <c r="C153" t="s">
        <v>228</v>
      </c>
      <c r="D153" t="s">
        <v>70</v>
      </c>
      <c r="E153">
        <v>4</v>
      </c>
    </row>
    <row r="154" spans="1:5" x14ac:dyDescent="0.3">
      <c r="B154" t="s">
        <v>241</v>
      </c>
      <c r="C154" t="s">
        <v>228</v>
      </c>
      <c r="D154" t="s">
        <v>70</v>
      </c>
      <c r="E154">
        <v>4</v>
      </c>
    </row>
    <row r="155" spans="1:5" x14ac:dyDescent="0.3">
      <c r="A155" s="16" t="s">
        <v>396</v>
      </c>
      <c r="B155" t="s">
        <v>1750</v>
      </c>
      <c r="C155" t="s">
        <v>27</v>
      </c>
      <c r="D155" t="s">
        <v>38</v>
      </c>
      <c r="E155">
        <v>8</v>
      </c>
    </row>
    <row r="156" spans="1:5" x14ac:dyDescent="0.3">
      <c r="A156" s="16" t="s">
        <v>434</v>
      </c>
      <c r="B156" t="s">
        <v>1751</v>
      </c>
      <c r="C156" t="s">
        <v>161</v>
      </c>
      <c r="D156" t="s">
        <v>67</v>
      </c>
      <c r="E156">
        <v>6</v>
      </c>
    </row>
    <row r="157" spans="1:5" x14ac:dyDescent="0.3">
      <c r="A157" s="16" t="s">
        <v>448</v>
      </c>
      <c r="B157" s="35" t="s">
        <v>266</v>
      </c>
      <c r="C157" t="s">
        <v>265</v>
      </c>
      <c r="D157" t="s">
        <v>70</v>
      </c>
      <c r="E157">
        <v>4</v>
      </c>
    </row>
    <row r="158" spans="1:5" x14ac:dyDescent="0.3">
      <c r="A158" s="16" t="s">
        <v>463</v>
      </c>
      <c r="B158" s="35" t="s">
        <v>250</v>
      </c>
      <c r="C158" t="s">
        <v>242</v>
      </c>
      <c r="D158" t="s">
        <v>70</v>
      </c>
      <c r="E158">
        <v>4</v>
      </c>
    </row>
    <row r="159" spans="1:5" x14ac:dyDescent="0.3">
      <c r="B159" s="35" t="s">
        <v>243</v>
      </c>
      <c r="C159" t="s">
        <v>242</v>
      </c>
      <c r="D159" t="s">
        <v>70</v>
      </c>
      <c r="E159">
        <v>4</v>
      </c>
    </row>
    <row r="160" spans="1:5" x14ac:dyDescent="0.3">
      <c r="B160" s="35" t="s">
        <v>244</v>
      </c>
      <c r="C160" t="s">
        <v>242</v>
      </c>
      <c r="D160" t="s">
        <v>70</v>
      </c>
      <c r="E160">
        <v>4</v>
      </c>
    </row>
    <row r="161" spans="1:5" x14ac:dyDescent="0.3">
      <c r="A161" s="16" t="s">
        <v>731</v>
      </c>
      <c r="B161" s="35" t="s">
        <v>245</v>
      </c>
      <c r="C161" t="s">
        <v>242</v>
      </c>
      <c r="D161" t="s">
        <v>70</v>
      </c>
      <c r="E161">
        <v>4</v>
      </c>
    </row>
    <row r="162" spans="1:5" x14ac:dyDescent="0.3">
      <c r="A162" s="16" t="s">
        <v>674</v>
      </c>
      <c r="B162" t="s">
        <v>23</v>
      </c>
      <c r="C162" t="s">
        <v>27</v>
      </c>
      <c r="D162" t="s">
        <v>38</v>
      </c>
      <c r="E162">
        <v>8</v>
      </c>
    </row>
    <row r="163" spans="1:5" x14ac:dyDescent="0.3">
      <c r="A163" s="16" t="s">
        <v>692</v>
      </c>
      <c r="B163" s="35" t="s">
        <v>247</v>
      </c>
      <c r="C163" t="s">
        <v>242</v>
      </c>
      <c r="D163" t="s">
        <v>70</v>
      </c>
      <c r="E163">
        <v>4</v>
      </c>
    </row>
    <row r="164" spans="1:5" x14ac:dyDescent="0.3">
      <c r="A164" s="16" t="s">
        <v>534</v>
      </c>
      <c r="B164" s="35" t="s">
        <v>248</v>
      </c>
      <c r="C164" t="s">
        <v>242</v>
      </c>
      <c r="D164" t="s">
        <v>70</v>
      </c>
      <c r="E164">
        <v>4</v>
      </c>
    </row>
    <row r="165" spans="1:5" x14ac:dyDescent="0.3">
      <c r="A165" s="16" t="s">
        <v>1218</v>
      </c>
      <c r="B165" s="35" t="s">
        <v>249</v>
      </c>
      <c r="C165" t="s">
        <v>242</v>
      </c>
      <c r="D165" t="s">
        <v>70</v>
      </c>
      <c r="E165">
        <v>4</v>
      </c>
    </row>
    <row r="166" spans="1:5" x14ac:dyDescent="0.3">
      <c r="B166" s="35" t="s">
        <v>251</v>
      </c>
      <c r="C166" t="s">
        <v>242</v>
      </c>
      <c r="D166" t="s">
        <v>70</v>
      </c>
      <c r="E166">
        <v>4</v>
      </c>
    </row>
    <row r="167" spans="1:5" x14ac:dyDescent="0.3">
      <c r="A167" s="16" t="s">
        <v>715</v>
      </c>
      <c r="B167" s="16" t="s">
        <v>252</v>
      </c>
      <c r="C167" t="s">
        <v>0</v>
      </c>
      <c r="D167" t="s">
        <v>70</v>
      </c>
      <c r="E167">
        <v>4</v>
      </c>
    </row>
    <row r="168" spans="1:5" x14ac:dyDescent="0.3">
      <c r="A168" s="16" t="s">
        <v>559</v>
      </c>
      <c r="B168" s="35" t="s">
        <v>253</v>
      </c>
      <c r="C168" t="s">
        <v>242</v>
      </c>
      <c r="D168" t="s">
        <v>70</v>
      </c>
      <c r="E168">
        <v>4</v>
      </c>
    </row>
    <row r="169" spans="1:5" x14ac:dyDescent="0.3">
      <c r="B169" s="35" t="s">
        <v>254</v>
      </c>
      <c r="C169" t="s">
        <v>242</v>
      </c>
      <c r="D169" t="s">
        <v>70</v>
      </c>
      <c r="E169">
        <v>4</v>
      </c>
    </row>
    <row r="170" spans="1:5" x14ac:dyDescent="0.3">
      <c r="A170" s="16" t="s">
        <v>465</v>
      </c>
      <c r="B170" s="35" t="s">
        <v>255</v>
      </c>
      <c r="C170" t="s">
        <v>242</v>
      </c>
      <c r="D170" t="s">
        <v>70</v>
      </c>
      <c r="E170">
        <v>4</v>
      </c>
    </row>
    <row r="171" spans="1:5" x14ac:dyDescent="0.3">
      <c r="A171" s="16" t="s">
        <v>618</v>
      </c>
      <c r="B171" s="35" t="s">
        <v>256</v>
      </c>
      <c r="C171" t="s">
        <v>242</v>
      </c>
      <c r="D171" t="s">
        <v>70</v>
      </c>
      <c r="E171">
        <v>4</v>
      </c>
    </row>
    <row r="172" spans="1:5" x14ac:dyDescent="0.3">
      <c r="A172" s="16" t="s">
        <v>592</v>
      </c>
      <c r="B172" t="s">
        <v>190</v>
      </c>
      <c r="C172" t="s">
        <v>29</v>
      </c>
      <c r="D172" t="s">
        <v>70</v>
      </c>
      <c r="E172">
        <v>4</v>
      </c>
    </row>
    <row r="173" spans="1:5" x14ac:dyDescent="0.3">
      <c r="A173" s="16" t="s">
        <v>602</v>
      </c>
      <c r="B173" t="s">
        <v>62</v>
      </c>
      <c r="C173" t="s">
        <v>30</v>
      </c>
      <c r="D173" t="s">
        <v>117</v>
      </c>
      <c r="E173">
        <v>2</v>
      </c>
    </row>
    <row r="174" spans="1:5" x14ac:dyDescent="0.3">
      <c r="A174" s="16" t="s">
        <v>795</v>
      </c>
      <c r="B174" t="s">
        <v>192</v>
      </c>
      <c r="C174" t="s">
        <v>29</v>
      </c>
      <c r="D174" t="s">
        <v>70</v>
      </c>
      <c r="E174">
        <v>4</v>
      </c>
    </row>
    <row r="175" spans="1:5" x14ac:dyDescent="0.3">
      <c r="A175" s="16" t="s">
        <v>16</v>
      </c>
      <c r="B175" t="s">
        <v>155</v>
      </c>
      <c r="C175" t="s">
        <v>30</v>
      </c>
      <c r="D175" t="s">
        <v>117</v>
      </c>
      <c r="E175">
        <v>2</v>
      </c>
    </row>
    <row r="176" spans="1:5" x14ac:dyDescent="0.3">
      <c r="A176" s="16" t="s">
        <v>21</v>
      </c>
      <c r="B176" t="s">
        <v>21</v>
      </c>
      <c r="C176" t="s">
        <v>25</v>
      </c>
      <c r="D176" t="s">
        <v>37</v>
      </c>
      <c r="E176">
        <v>7</v>
      </c>
    </row>
    <row r="177" spans="1:5" x14ac:dyDescent="0.3">
      <c r="A177" s="16" t="s">
        <v>15</v>
      </c>
      <c r="B177" t="s">
        <v>156</v>
      </c>
      <c r="C177" t="s">
        <v>30</v>
      </c>
      <c r="D177" t="s">
        <v>117</v>
      </c>
      <c r="E177">
        <v>2</v>
      </c>
    </row>
    <row r="178" spans="1:5" x14ac:dyDescent="0.3">
      <c r="A178" s="16" t="s">
        <v>1053</v>
      </c>
      <c r="B178" t="s">
        <v>1752</v>
      </c>
      <c r="C178" t="s">
        <v>159</v>
      </c>
      <c r="D178" t="s">
        <v>68</v>
      </c>
      <c r="E178">
        <v>5</v>
      </c>
    </row>
    <row r="179" spans="1:5" x14ac:dyDescent="0.3">
      <c r="A179" s="16" t="s">
        <v>915</v>
      </c>
      <c r="B179" t="s">
        <v>1753</v>
      </c>
      <c r="C179" t="s">
        <v>159</v>
      </c>
      <c r="D179" t="s">
        <v>68</v>
      </c>
      <c r="E179">
        <v>5</v>
      </c>
    </row>
    <row r="180" spans="1:5" x14ac:dyDescent="0.3">
      <c r="A180" s="16" t="s">
        <v>694</v>
      </c>
      <c r="B180" t="s">
        <v>1752</v>
      </c>
      <c r="C180" t="s">
        <v>159</v>
      </c>
      <c r="D180" t="s">
        <v>68</v>
      </c>
      <c r="E180">
        <v>5</v>
      </c>
    </row>
    <row r="181" spans="1:5" x14ac:dyDescent="0.3">
      <c r="A181" s="16" t="s">
        <v>884</v>
      </c>
      <c r="B181" t="s">
        <v>1750</v>
      </c>
      <c r="C181" t="s">
        <v>27</v>
      </c>
      <c r="D181" t="s">
        <v>38</v>
      </c>
      <c r="E181">
        <v>8</v>
      </c>
    </row>
    <row r="182" spans="1:5" x14ac:dyDescent="0.3">
      <c r="A182" s="16" t="s">
        <v>608</v>
      </c>
      <c r="B182" t="s">
        <v>1750</v>
      </c>
      <c r="C182" t="s">
        <v>27</v>
      </c>
      <c r="D182" t="s">
        <v>38</v>
      </c>
      <c r="E182">
        <v>8</v>
      </c>
    </row>
    <row r="183" spans="1:5" x14ac:dyDescent="0.3">
      <c r="A183" s="16" t="s">
        <v>1632</v>
      </c>
      <c r="B183" t="s">
        <v>1754</v>
      </c>
      <c r="C183" t="s">
        <v>27</v>
      </c>
      <c r="D183" t="s">
        <v>38</v>
      </c>
      <c r="E183">
        <v>8</v>
      </c>
    </row>
    <row r="184" spans="1:5" x14ac:dyDescent="0.3">
      <c r="A184" s="16" t="s">
        <v>589</v>
      </c>
      <c r="B184" t="s">
        <v>1755</v>
      </c>
      <c r="C184" t="s">
        <v>18</v>
      </c>
      <c r="D184" t="s">
        <v>70</v>
      </c>
      <c r="E184">
        <v>4</v>
      </c>
    </row>
    <row r="185" spans="1:5" x14ac:dyDescent="0.3">
      <c r="A185" s="16" t="s">
        <v>956</v>
      </c>
      <c r="B185" t="s">
        <v>34</v>
      </c>
      <c r="C185" t="s">
        <v>159</v>
      </c>
      <c r="D185" t="s">
        <v>68</v>
      </c>
      <c r="E185">
        <v>5</v>
      </c>
    </row>
    <row r="186" spans="1:5" x14ac:dyDescent="0.3">
      <c r="A186" s="16" t="s">
        <v>710</v>
      </c>
      <c r="B186" t="s">
        <v>1756</v>
      </c>
      <c r="C186" t="s">
        <v>18</v>
      </c>
      <c r="D186" t="s">
        <v>70</v>
      </c>
      <c r="E186">
        <v>4</v>
      </c>
    </row>
    <row r="187" spans="1:5" x14ac:dyDescent="0.3">
      <c r="A187" s="16" t="s">
        <v>1038</v>
      </c>
      <c r="B187" t="s">
        <v>1757</v>
      </c>
      <c r="C187" t="s">
        <v>30</v>
      </c>
      <c r="D187" t="s">
        <v>117</v>
      </c>
      <c r="E187">
        <v>2</v>
      </c>
    </row>
    <row r="188" spans="1:5" x14ac:dyDescent="0.3">
      <c r="A188" s="16" t="s">
        <v>14</v>
      </c>
      <c r="B188" t="s">
        <v>1758</v>
      </c>
      <c r="C188" t="s">
        <v>30</v>
      </c>
      <c r="D188" t="s">
        <v>117</v>
      </c>
      <c r="E188">
        <v>2</v>
      </c>
    </row>
    <row r="189" spans="1:5" x14ac:dyDescent="0.3">
      <c r="A189" s="16" t="s">
        <v>1039</v>
      </c>
      <c r="B189" t="s">
        <v>1759</v>
      </c>
      <c r="C189" t="s">
        <v>30</v>
      </c>
      <c r="D189" t="s">
        <v>117</v>
      </c>
      <c r="E189">
        <v>2</v>
      </c>
    </row>
    <row r="190" spans="1:5" x14ac:dyDescent="0.3">
      <c r="A190" s="16" t="s">
        <v>1040</v>
      </c>
      <c r="B190" t="s">
        <v>1040</v>
      </c>
      <c r="C190" t="s">
        <v>30</v>
      </c>
      <c r="D190" t="s">
        <v>117</v>
      </c>
      <c r="E190">
        <v>2</v>
      </c>
    </row>
    <row r="191" spans="1:5" x14ac:dyDescent="0.3">
      <c r="A191" s="16" t="s">
        <v>1775</v>
      </c>
      <c r="B191" t="s">
        <v>2396</v>
      </c>
      <c r="C191" t="s">
        <v>162</v>
      </c>
      <c r="D191" t="s">
        <v>67</v>
      </c>
      <c r="E191">
        <v>6</v>
      </c>
    </row>
    <row r="192" spans="1:5" x14ac:dyDescent="0.3">
      <c r="A192" s="16" t="s">
        <v>1846</v>
      </c>
      <c r="B192" t="s">
        <v>267</v>
      </c>
      <c r="C192" t="s">
        <v>265</v>
      </c>
      <c r="D192" t="s">
        <v>70</v>
      </c>
      <c r="E192">
        <v>4</v>
      </c>
    </row>
    <row r="193" spans="1:5" x14ac:dyDescent="0.3">
      <c r="A193" s="16" t="s">
        <v>1850</v>
      </c>
      <c r="B193" t="s">
        <v>226</v>
      </c>
      <c r="C193" t="s">
        <v>179</v>
      </c>
      <c r="D193" t="s">
        <v>70</v>
      </c>
      <c r="E193">
        <v>4</v>
      </c>
    </row>
    <row r="194" spans="1:5" x14ac:dyDescent="0.3">
      <c r="A194" s="16" t="s">
        <v>1921</v>
      </c>
      <c r="B194" t="s">
        <v>34</v>
      </c>
      <c r="C194" t="s">
        <v>159</v>
      </c>
      <c r="D194" t="s">
        <v>68</v>
      </c>
      <c r="E194">
        <v>5</v>
      </c>
    </row>
    <row r="195" spans="1:5" x14ac:dyDescent="0.3">
      <c r="A195" s="16" t="s">
        <v>1936</v>
      </c>
      <c r="B195" t="s">
        <v>225</v>
      </c>
      <c r="C195" t="s">
        <v>179</v>
      </c>
      <c r="D195" t="s">
        <v>70</v>
      </c>
      <c r="E195">
        <v>4</v>
      </c>
    </row>
    <row r="196" spans="1:5" x14ac:dyDescent="0.3">
      <c r="A196" s="16" t="s">
        <v>1968</v>
      </c>
      <c r="B196" t="s">
        <v>279</v>
      </c>
      <c r="C196" t="s">
        <v>0</v>
      </c>
      <c r="D196" t="s">
        <v>70</v>
      </c>
      <c r="E196">
        <v>4</v>
      </c>
    </row>
    <row r="197" spans="1:5" x14ac:dyDescent="0.3">
      <c r="A197" s="16" t="s">
        <v>2047</v>
      </c>
      <c r="B197" t="s">
        <v>216</v>
      </c>
      <c r="C197" t="s">
        <v>12</v>
      </c>
      <c r="D197" t="s">
        <v>70</v>
      </c>
      <c r="E197">
        <v>4</v>
      </c>
    </row>
    <row r="198" spans="1:5" x14ac:dyDescent="0.3">
      <c r="A198" s="16" t="s">
        <v>2090</v>
      </c>
      <c r="B198" t="s">
        <v>1750</v>
      </c>
      <c r="C198" t="s">
        <v>27</v>
      </c>
      <c r="D198" t="s">
        <v>38</v>
      </c>
      <c r="E198">
        <v>8</v>
      </c>
    </row>
    <row r="199" spans="1:5" x14ac:dyDescent="0.3">
      <c r="A199" s="16" t="s">
        <v>2220</v>
      </c>
      <c r="B199" t="s">
        <v>14</v>
      </c>
      <c r="C199" t="s">
        <v>30</v>
      </c>
      <c r="D199" t="s">
        <v>117</v>
      </c>
      <c r="E199">
        <v>2</v>
      </c>
    </row>
    <row r="200" spans="1:5" x14ac:dyDescent="0.3">
      <c r="A200" s="16"/>
      <c r="B200" s="16" t="s">
        <v>2397</v>
      </c>
      <c r="C200" t="s">
        <v>162</v>
      </c>
      <c r="D200" t="s">
        <v>67</v>
      </c>
      <c r="E200">
        <v>6</v>
      </c>
    </row>
    <row r="201" spans="1:5" x14ac:dyDescent="0.3">
      <c r="A201" s="16" t="s">
        <v>2626</v>
      </c>
      <c r="B201" t="s">
        <v>34</v>
      </c>
      <c r="C201" t="s">
        <v>159</v>
      </c>
      <c r="D201" t="s">
        <v>68</v>
      </c>
      <c r="E201">
        <v>5</v>
      </c>
    </row>
    <row r="202" spans="1:5" x14ac:dyDescent="0.3">
      <c r="A202" s="16" t="s">
        <v>2464</v>
      </c>
      <c r="B202" s="16" t="s">
        <v>252</v>
      </c>
      <c r="C202" t="s">
        <v>0</v>
      </c>
      <c r="D202" t="s">
        <v>70</v>
      </c>
      <c r="E202">
        <v>4</v>
      </c>
    </row>
    <row r="203" spans="1:5" x14ac:dyDescent="0.3">
      <c r="A203" s="16" t="s">
        <v>2467</v>
      </c>
      <c r="B203" s="16" t="s">
        <v>258</v>
      </c>
      <c r="C203" t="s">
        <v>26</v>
      </c>
      <c r="D203" t="s">
        <v>69</v>
      </c>
      <c r="E203">
        <v>3</v>
      </c>
    </row>
    <row r="204" spans="1:5" x14ac:dyDescent="0.3">
      <c r="A204" s="16" t="s">
        <v>3670</v>
      </c>
      <c r="B204" s="16" t="s">
        <v>240</v>
      </c>
      <c r="C204" t="s">
        <v>228</v>
      </c>
      <c r="D204" t="s">
        <v>70</v>
      </c>
      <c r="E204">
        <v>4</v>
      </c>
    </row>
    <row r="205" spans="1:5" x14ac:dyDescent="0.3">
      <c r="A205" s="16" t="s">
        <v>3671</v>
      </c>
      <c r="B205" s="16" t="s">
        <v>3675</v>
      </c>
      <c r="C205" t="s">
        <v>29</v>
      </c>
      <c r="D205" t="s">
        <v>70</v>
      </c>
      <c r="E205">
        <v>4</v>
      </c>
    </row>
    <row r="206" spans="1:5" x14ac:dyDescent="0.3">
      <c r="A206" s="16" t="s">
        <v>3672</v>
      </c>
      <c r="B206" s="16" t="s">
        <v>214</v>
      </c>
      <c r="C206" t="s">
        <v>12</v>
      </c>
      <c r="D206" t="s">
        <v>70</v>
      </c>
      <c r="E206">
        <v>4</v>
      </c>
    </row>
    <row r="207" spans="1:5" x14ac:dyDescent="0.3">
      <c r="A207" s="16" t="s">
        <v>3673</v>
      </c>
      <c r="B207" s="16" t="s">
        <v>3676</v>
      </c>
      <c r="C207" t="s">
        <v>29</v>
      </c>
      <c r="D207" t="s">
        <v>70</v>
      </c>
      <c r="E207">
        <v>4</v>
      </c>
    </row>
  </sheetData>
  <phoneticPr fontId="9" type="noConversion"/>
  <dataValidations count="1">
    <dataValidation type="list" allowBlank="1" showInputMessage="1" showErrorMessage="1" sqref="A73:B73 B127 B66 A56:A67 B172" xr:uid="{BB0E038B-F95C-43FF-B34E-C5ACCB0D23DD}">
      <formula1>$O$2:$O$70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CBBFD-F70C-4B8B-BB57-880620032203}">
  <dimension ref="A1:AL199"/>
  <sheetViews>
    <sheetView showGridLines="0" topLeftCell="T1" zoomScale="80" zoomScaleNormal="80" workbookViewId="0">
      <selection activeCell="A55" sqref="A55:XFD55"/>
    </sheetView>
  </sheetViews>
  <sheetFormatPr defaultRowHeight="14.4" outlineLevelCol="1" x14ac:dyDescent="0.3"/>
  <cols>
    <col min="1" max="1" width="18" bestFit="1" customWidth="1"/>
    <col min="2" max="2" width="52.6640625" bestFit="1" customWidth="1"/>
    <col min="3" max="3" width="19.5546875" bestFit="1" customWidth="1"/>
    <col min="4" max="4" width="8.21875" bestFit="1" customWidth="1"/>
    <col min="5" max="7" width="7.21875" bestFit="1" customWidth="1"/>
    <col min="8" max="8" width="10.44140625" bestFit="1" customWidth="1"/>
    <col min="9" max="15" width="7.21875" customWidth="1"/>
    <col min="16" max="16" width="7" customWidth="1"/>
    <col min="17" max="17" width="10.5546875" bestFit="1" customWidth="1"/>
    <col min="20" max="20" width="35.77734375" bestFit="1" customWidth="1"/>
    <col min="21" max="21" width="10" bestFit="1" customWidth="1"/>
    <col min="22" max="23" width="1.44140625" customWidth="1"/>
    <col min="24" max="24" width="18.21875" bestFit="1" customWidth="1"/>
    <col min="25" max="25" width="42.21875" bestFit="1" customWidth="1"/>
    <col min="26" max="26" width="19.5546875" bestFit="1" customWidth="1"/>
    <col min="27" max="31" width="10" bestFit="1" customWidth="1" outlineLevel="1"/>
    <col min="32" max="32" width="3.5546875" customWidth="1" outlineLevel="1"/>
    <col min="33" max="33" width="4.5546875" customWidth="1" outlineLevel="1"/>
    <col min="34" max="34" width="4.21875" customWidth="1" outlineLevel="1"/>
    <col min="35" max="35" width="4.44140625" customWidth="1" outlineLevel="1"/>
    <col min="36" max="36" width="4.77734375" customWidth="1" outlineLevel="1"/>
    <col min="37" max="37" width="4.5546875" customWidth="1" outlineLevel="1"/>
    <col min="38" max="38" width="10.5546875" customWidth="1" outlineLevel="1"/>
    <col min="39" max="39" width="9.77734375" customWidth="1"/>
  </cols>
  <sheetData>
    <row r="1" spans="1:38" x14ac:dyDescent="0.3">
      <c r="A1" s="4" t="s">
        <v>45</v>
      </c>
      <c r="B1" t="s">
        <v>177</v>
      </c>
      <c r="X1" s="4" t="s">
        <v>45</v>
      </c>
      <c r="Y1" t="s">
        <v>177</v>
      </c>
    </row>
    <row r="2" spans="1:38" x14ac:dyDescent="0.3">
      <c r="A2" s="4" t="s">
        <v>136</v>
      </c>
      <c r="B2" t="s">
        <v>80</v>
      </c>
      <c r="T2" s="4" t="s">
        <v>45</v>
      </c>
      <c r="U2" t="s">
        <v>177</v>
      </c>
      <c r="X2" s="4" t="s">
        <v>136</v>
      </c>
      <c r="Y2" t="s">
        <v>80</v>
      </c>
    </row>
    <row r="3" spans="1:38" x14ac:dyDescent="0.3">
      <c r="T3" s="4" t="s">
        <v>63</v>
      </c>
      <c r="U3" t="s">
        <v>80</v>
      </c>
    </row>
    <row r="4" spans="1:38" x14ac:dyDescent="0.3">
      <c r="A4" s="4" t="s">
        <v>79</v>
      </c>
      <c r="C4" s="4" t="s">
        <v>81</v>
      </c>
      <c r="T4" s="4" t="s">
        <v>136</v>
      </c>
      <c r="U4" t="s">
        <v>80</v>
      </c>
      <c r="X4" s="4" t="s">
        <v>79</v>
      </c>
      <c r="Z4" s="4" t="s">
        <v>81</v>
      </c>
    </row>
    <row r="5" spans="1:38" x14ac:dyDescent="0.3">
      <c r="A5" s="4" t="s">
        <v>77</v>
      </c>
      <c r="B5" s="4" t="s">
        <v>63</v>
      </c>
      <c r="C5" t="s">
        <v>82</v>
      </c>
      <c r="D5" t="s">
        <v>83</v>
      </c>
      <c r="E5" t="s">
        <v>84</v>
      </c>
      <c r="F5" t="s">
        <v>85</v>
      </c>
      <c r="G5" t="s">
        <v>86</v>
      </c>
      <c r="H5" t="s">
        <v>76</v>
      </c>
      <c r="R5" t="e">
        <f>VLOOKUP(B5,DRE!A:A,1,FALSE)</f>
        <v>#N/A</v>
      </c>
      <c r="T5" s="4" t="s">
        <v>3</v>
      </c>
      <c r="U5" t="s">
        <v>80</v>
      </c>
      <c r="X5" s="4" t="s">
        <v>77</v>
      </c>
      <c r="Y5" s="4" t="s">
        <v>63</v>
      </c>
      <c r="Z5" t="s">
        <v>82</v>
      </c>
      <c r="AA5" t="s">
        <v>83</v>
      </c>
      <c r="AB5" t="s">
        <v>84</v>
      </c>
      <c r="AC5" t="s">
        <v>85</v>
      </c>
      <c r="AD5" t="s">
        <v>86</v>
      </c>
      <c r="AE5" t="s">
        <v>114</v>
      </c>
    </row>
    <row r="6" spans="1:38" x14ac:dyDescent="0.3">
      <c r="A6" s="5">
        <v>1</v>
      </c>
      <c r="B6" s="5" t="s">
        <v>158</v>
      </c>
      <c r="C6" s="8">
        <v>173156.44</v>
      </c>
      <c r="D6" s="8">
        <v>420327.6</v>
      </c>
      <c r="E6" s="8"/>
      <c r="F6" s="8"/>
      <c r="G6" s="8"/>
      <c r="H6" s="8">
        <v>593484.04</v>
      </c>
      <c r="P6">
        <f>COUNTIF(DRE[[#All],[DEMONSTRATIVO DE RESULTADO GERENCIAL]],B6)</f>
        <v>1</v>
      </c>
      <c r="R6" t="str">
        <f>VLOOKUP(B6,DRE!A:A,1,FALSE)</f>
        <v>(=)Receita Bruta</v>
      </c>
      <c r="X6" s="5">
        <v>1</v>
      </c>
      <c r="Y6" s="5" t="s">
        <v>158</v>
      </c>
      <c r="Z6" s="8">
        <v>973195.78</v>
      </c>
      <c r="AA6" s="8">
        <v>1699774.39</v>
      </c>
      <c r="AB6" s="8">
        <v>1873832.2599999998</v>
      </c>
      <c r="AC6" s="8">
        <v>2241095.2199999997</v>
      </c>
      <c r="AD6" s="8">
        <v>1789092.1700000002</v>
      </c>
      <c r="AE6" s="8">
        <v>8576989.8200000003</v>
      </c>
    </row>
    <row r="7" spans="1:38" x14ac:dyDescent="0.3">
      <c r="A7" s="5">
        <v>1</v>
      </c>
      <c r="B7" s="65" t="s">
        <v>41</v>
      </c>
      <c r="C7" s="8">
        <v>173156.44</v>
      </c>
      <c r="D7" s="8">
        <v>420327.6</v>
      </c>
      <c r="E7" s="8"/>
      <c r="F7" s="8"/>
      <c r="G7" s="8"/>
      <c r="H7" s="8">
        <v>593484.04</v>
      </c>
      <c r="P7">
        <f>COUNTIF(DRE[[#All],[DEMONSTRATIVO DE RESULTADO GERENCIAL]],B7)</f>
        <v>0</v>
      </c>
      <c r="R7" t="e">
        <f>VLOOKUP(B7,DRE!A:A,1,FALSE)</f>
        <v>#N/A</v>
      </c>
      <c r="T7" s="4" t="s">
        <v>77</v>
      </c>
      <c r="U7" t="s">
        <v>79</v>
      </c>
      <c r="X7" s="5">
        <v>2</v>
      </c>
      <c r="Y7" s="5" t="s">
        <v>117</v>
      </c>
      <c r="Z7" s="8">
        <v>-183990.78</v>
      </c>
      <c r="AA7" s="8">
        <v>-196307.47999999995</v>
      </c>
      <c r="AB7" s="8">
        <v>-256973.73999700011</v>
      </c>
      <c r="AC7" s="8">
        <v>-270488.93999600009</v>
      </c>
      <c r="AD7" s="8">
        <v>-336820.35824499995</v>
      </c>
      <c r="AE7" s="8">
        <v>-1244581.2982380001</v>
      </c>
    </row>
    <row r="8" spans="1:38" x14ac:dyDescent="0.3">
      <c r="A8" s="5">
        <v>1</v>
      </c>
      <c r="B8" s="66" t="s">
        <v>75</v>
      </c>
      <c r="C8" s="8">
        <v>173156.44</v>
      </c>
      <c r="D8" s="8">
        <v>420327.6</v>
      </c>
      <c r="E8" s="8"/>
      <c r="F8" s="8"/>
      <c r="G8" s="8"/>
      <c r="H8" s="8">
        <v>593484.04</v>
      </c>
      <c r="P8">
        <f>COUNTIF(DRE[[#All],[DEMONSTRATIVO DE RESULTADO GERENCIAL]],B8)</f>
        <v>1</v>
      </c>
      <c r="R8" t="str">
        <f>VLOOKUP(B8,DRE!A:A,1,FALSE)</f>
        <v>Faturamento</v>
      </c>
      <c r="T8" s="5" t="s">
        <v>41</v>
      </c>
      <c r="U8" s="8">
        <v>8576989.8200000022</v>
      </c>
      <c r="X8" s="5">
        <v>3</v>
      </c>
      <c r="Y8" s="5" t="s">
        <v>69</v>
      </c>
      <c r="Z8" s="8">
        <v>-91510.51999999999</v>
      </c>
      <c r="AA8" s="8">
        <v>-119531.11999999992</v>
      </c>
      <c r="AB8" s="8">
        <v>-99143.479999999981</v>
      </c>
      <c r="AC8" s="8">
        <v>-54747.829999999994</v>
      </c>
      <c r="AD8" s="8">
        <v>-60926.008918000007</v>
      </c>
      <c r="AE8" s="8">
        <v>-425858.95891799987</v>
      </c>
    </row>
    <row r="9" spans="1:38" x14ac:dyDescent="0.3">
      <c r="A9" s="5">
        <v>2</v>
      </c>
      <c r="B9" s="5" t="s">
        <v>117</v>
      </c>
      <c r="C9" s="8">
        <v>-17981.980000000003</v>
      </c>
      <c r="D9" s="8">
        <v>-55263.83</v>
      </c>
      <c r="E9" s="8"/>
      <c r="F9" s="8"/>
      <c r="G9" s="8"/>
      <c r="H9" s="8">
        <v>-73245.81</v>
      </c>
      <c r="P9">
        <f>COUNTIF(DRE[[#All],[DEMONSTRATIVO DE RESULTADO GERENCIAL]],B9)</f>
        <v>1</v>
      </c>
      <c r="R9" t="str">
        <f>VLOOKUP(B9,DRE!A:A,1,FALSE)</f>
        <v>(-)Deduções sobre vendas</v>
      </c>
      <c r="T9" s="5" t="s">
        <v>162</v>
      </c>
      <c r="U9" s="8">
        <v>226746.56</v>
      </c>
      <c r="X9" s="5">
        <v>4</v>
      </c>
      <c r="Y9" s="5" t="s">
        <v>70</v>
      </c>
      <c r="Z9" s="8">
        <v>-1604499.8099960007</v>
      </c>
      <c r="AA9" s="8">
        <v>-1622125.7100000004</v>
      </c>
      <c r="AB9" s="8">
        <v>-1399804.2499999993</v>
      </c>
      <c r="AC9" s="8">
        <v>-1525797.9199989999</v>
      </c>
      <c r="AD9" s="8">
        <v>-1542594.8195934799</v>
      </c>
      <c r="AE9" s="8">
        <v>-7694822.50958848</v>
      </c>
    </row>
    <row r="10" spans="1:38" x14ac:dyDescent="0.3">
      <c r="A10" s="5">
        <v>2</v>
      </c>
      <c r="B10" s="65" t="s">
        <v>30</v>
      </c>
      <c r="C10" s="8">
        <v>-17981.980000000003</v>
      </c>
      <c r="D10" s="8">
        <v>-55263.83</v>
      </c>
      <c r="E10" s="8"/>
      <c r="F10" s="8"/>
      <c r="G10" s="8"/>
      <c r="H10" s="8">
        <v>-73245.81</v>
      </c>
      <c r="P10">
        <f>COUNTIF(DRE[[#All],[DEMONSTRATIVO DE RESULTADO GERENCIAL]],B10)</f>
        <v>1</v>
      </c>
      <c r="R10" t="str">
        <f>VLOOKUP(B10,DRE!A:A,1,FALSE)</f>
        <v>Impostos sobre vendas</v>
      </c>
      <c r="T10" s="5" t="s">
        <v>160</v>
      </c>
      <c r="U10" s="8">
        <v>1295.56</v>
      </c>
      <c r="X10" s="5">
        <v>5</v>
      </c>
      <c r="Y10" s="5" t="s">
        <v>68</v>
      </c>
      <c r="Z10" s="8">
        <v>-113335.20000000001</v>
      </c>
      <c r="AA10" s="8">
        <v>-43333.200000000004</v>
      </c>
      <c r="AB10" s="8">
        <v>-35253.24</v>
      </c>
      <c r="AC10" s="8">
        <v>-53500.4</v>
      </c>
      <c r="AD10" s="8">
        <v>-71967.350000000006</v>
      </c>
      <c r="AE10" s="8">
        <v>-317389.39</v>
      </c>
    </row>
    <row r="11" spans="1:38" x14ac:dyDescent="0.3">
      <c r="A11" s="5">
        <v>2</v>
      </c>
      <c r="B11" s="66" t="s">
        <v>155</v>
      </c>
      <c r="C11" s="8">
        <v>-3952.08</v>
      </c>
      <c r="D11" s="8">
        <v>-12145.89</v>
      </c>
      <c r="E11" s="8"/>
      <c r="F11" s="8"/>
      <c r="G11" s="8"/>
      <c r="H11" s="8">
        <v>-16097.97</v>
      </c>
      <c r="P11">
        <f>COUNTIF(DRE[[#All],[DEMONSTRATIVO DE RESULTADO GERENCIAL]],B11)</f>
        <v>1</v>
      </c>
      <c r="R11" t="str">
        <f>VLOOKUP(B11,DRE!A:A,1,FALSE)</f>
        <v>COFINS</v>
      </c>
      <c r="T11" s="5" t="s">
        <v>119</v>
      </c>
      <c r="U11" s="8">
        <v>-7172.5599999999995</v>
      </c>
      <c r="X11" s="5">
        <v>6</v>
      </c>
      <c r="Y11" s="5" t="s">
        <v>67</v>
      </c>
      <c r="Z11" s="8">
        <v>-36855.79</v>
      </c>
      <c r="AA11" s="8">
        <v>-122290.96</v>
      </c>
      <c r="AB11" s="8">
        <v>40071.469999999979</v>
      </c>
      <c r="AC11" s="8">
        <v>-122129.90999999997</v>
      </c>
      <c r="AD11" s="8">
        <v>-39331.850000000006</v>
      </c>
      <c r="AE11" s="8">
        <v>-280537.04000000004</v>
      </c>
    </row>
    <row r="12" spans="1:38" x14ac:dyDescent="0.3">
      <c r="A12" s="5">
        <v>2</v>
      </c>
      <c r="B12" s="66" t="s">
        <v>1759</v>
      </c>
      <c r="C12" s="8">
        <v>-4610.76</v>
      </c>
      <c r="D12" s="8">
        <v>-14170.21</v>
      </c>
      <c r="E12" s="8"/>
      <c r="F12" s="8"/>
      <c r="G12" s="8"/>
      <c r="H12" s="8">
        <v>-18780.97</v>
      </c>
      <c r="P12">
        <f>COUNTIF(DRE[[#All],[DEMONSTRATIVO DE RESULTADO GERENCIAL]],B12)</f>
        <v>1</v>
      </c>
      <c r="R12" t="str">
        <f>VLOOKUP(B12,DRE!A:A,1,FALSE)</f>
        <v>INSS Retido</v>
      </c>
      <c r="T12" s="5" t="s">
        <v>12</v>
      </c>
      <c r="U12" s="8">
        <v>-28077.440000000002</v>
      </c>
      <c r="X12" s="5">
        <v>8</v>
      </c>
      <c r="Y12" s="5" t="s">
        <v>38</v>
      </c>
      <c r="Z12" s="8">
        <v>-60962.11</v>
      </c>
      <c r="AA12" s="8">
        <v>-124641.23999999999</v>
      </c>
      <c r="AB12" s="8">
        <v>-37875.46</v>
      </c>
      <c r="AC12" s="8">
        <v>-77031.909999999989</v>
      </c>
      <c r="AD12" s="8">
        <v>-352185.73</v>
      </c>
      <c r="AE12" s="8">
        <v>-652696.44999999995</v>
      </c>
    </row>
    <row r="13" spans="1:38" x14ac:dyDescent="0.3">
      <c r="A13" s="5">
        <v>2</v>
      </c>
      <c r="B13" s="66" t="s">
        <v>1757</v>
      </c>
      <c r="C13" s="8">
        <v>-1976.04</v>
      </c>
      <c r="D13" s="8">
        <v>-6072.95</v>
      </c>
      <c r="E13" s="8"/>
      <c r="F13" s="8"/>
      <c r="G13" s="8"/>
      <c r="H13" s="8">
        <v>-8048.99</v>
      </c>
      <c r="P13">
        <f>COUNTIF(DRE[[#All],[DEMONSTRATIVO DE RESULTADO GERENCIAL]],B13)</f>
        <v>1</v>
      </c>
      <c r="R13" t="str">
        <f>VLOOKUP(B13,DRE!A:A,1,FALSE)</f>
        <v>IR Retido</v>
      </c>
      <c r="T13" s="5" t="s">
        <v>265</v>
      </c>
      <c r="U13" s="8">
        <v>-30674.010000000002</v>
      </c>
    </row>
    <row r="14" spans="1:38" x14ac:dyDescent="0.3">
      <c r="A14" s="5">
        <v>2</v>
      </c>
      <c r="B14" s="66" t="s">
        <v>1758</v>
      </c>
      <c r="C14" s="8">
        <v>-6586.8099999999995</v>
      </c>
      <c r="D14" s="8">
        <v>-20243.16</v>
      </c>
      <c r="E14" s="8"/>
      <c r="F14" s="8"/>
      <c r="G14" s="8"/>
      <c r="H14" s="8">
        <v>-26829.97</v>
      </c>
      <c r="P14">
        <f>COUNTIF(DRE[[#All],[DEMONSTRATIVO DE RESULTADO GERENCIAL]],B14)</f>
        <v>1</v>
      </c>
      <c r="R14" t="str">
        <f>VLOOKUP(B14,DRE!A:A,1,FALSE)</f>
        <v>ISS Retido</v>
      </c>
      <c r="T14" s="5" t="s">
        <v>18</v>
      </c>
      <c r="U14" s="8">
        <v>-56350.970000000016</v>
      </c>
      <c r="Y14" s="21" t="s">
        <v>137</v>
      </c>
      <c r="Z14" s="10">
        <f t="shared" ref="Z14:AL14" si="0">SUMIF($X:$X,1,Z:Z)+SUMIF($X:$X,2,Z:Z)</f>
        <v>789205</v>
      </c>
      <c r="AA14" s="10">
        <f t="shared" si="0"/>
        <v>1503466.91</v>
      </c>
      <c r="AB14" s="10">
        <f t="shared" si="0"/>
        <v>1616858.5200029996</v>
      </c>
      <c r="AC14" s="10">
        <f t="shared" si="0"/>
        <v>1970606.2800039996</v>
      </c>
      <c r="AD14" s="10">
        <f t="shared" si="0"/>
        <v>1452271.8117550001</v>
      </c>
      <c r="AE14" s="10">
        <f t="shared" si="0"/>
        <v>7332408.5217620004</v>
      </c>
      <c r="AF14" s="10">
        <f t="shared" si="0"/>
        <v>0</v>
      </c>
      <c r="AG14" s="10">
        <f t="shared" si="0"/>
        <v>0</v>
      </c>
      <c r="AH14" s="10">
        <f t="shared" si="0"/>
        <v>0</v>
      </c>
      <c r="AI14" s="10">
        <f t="shared" si="0"/>
        <v>0</v>
      </c>
      <c r="AJ14" s="10">
        <f t="shared" si="0"/>
        <v>0</v>
      </c>
      <c r="AK14" s="10">
        <f t="shared" si="0"/>
        <v>0</v>
      </c>
      <c r="AL14" s="10">
        <f t="shared" si="0"/>
        <v>0</v>
      </c>
    </row>
    <row r="15" spans="1:38" x14ac:dyDescent="0.3">
      <c r="A15" s="5">
        <v>2</v>
      </c>
      <c r="B15" s="66" t="s">
        <v>156</v>
      </c>
      <c r="C15" s="8">
        <v>-856.29</v>
      </c>
      <c r="D15" s="8">
        <v>-2631.62</v>
      </c>
      <c r="E15" s="8"/>
      <c r="F15" s="8"/>
      <c r="G15" s="8"/>
      <c r="H15" s="8">
        <v>-3487.91</v>
      </c>
      <c r="P15">
        <f>COUNTIF(DRE[[#All],[DEMONSTRATIVO DE RESULTADO GERENCIAL]],B15)</f>
        <v>1</v>
      </c>
      <c r="R15" t="str">
        <f>VLOOKUP(B15,DRE!A:A,1,FALSE)</f>
        <v>PIS</v>
      </c>
      <c r="T15" s="5" t="s">
        <v>242</v>
      </c>
      <c r="U15" s="8">
        <v>-217606.89665299995</v>
      </c>
      <c r="Y15" s="21" t="s">
        <v>138</v>
      </c>
      <c r="Z15" s="10">
        <f t="shared" ref="Z15:AL15" si="1">SUMIF($X:$X,1,Z:Z)+SUMIF($X:$X,2,Z:Z)+SUMIF($X:$X,3,Z:Z)</f>
        <v>697694.48</v>
      </c>
      <c r="AA15" s="10">
        <f t="shared" si="1"/>
        <v>1383935.79</v>
      </c>
      <c r="AB15" s="10">
        <f t="shared" si="1"/>
        <v>1517715.0400029996</v>
      </c>
      <c r="AC15" s="10">
        <f t="shared" si="1"/>
        <v>1915858.4500039995</v>
      </c>
      <c r="AD15" s="10">
        <f t="shared" si="1"/>
        <v>1391345.8028370002</v>
      </c>
      <c r="AE15" s="10">
        <f t="shared" si="1"/>
        <v>6906549.5628440008</v>
      </c>
      <c r="AF15" s="10">
        <f t="shared" si="1"/>
        <v>0</v>
      </c>
      <c r="AG15" s="10">
        <f t="shared" si="1"/>
        <v>0</v>
      </c>
      <c r="AH15" s="10">
        <f t="shared" si="1"/>
        <v>0</v>
      </c>
      <c r="AI15" s="10">
        <f t="shared" si="1"/>
        <v>0</v>
      </c>
      <c r="AJ15" s="10">
        <f t="shared" si="1"/>
        <v>0</v>
      </c>
      <c r="AK15" s="10">
        <f t="shared" si="1"/>
        <v>0</v>
      </c>
      <c r="AL15" s="10">
        <f t="shared" si="1"/>
        <v>0</v>
      </c>
    </row>
    <row r="16" spans="1:38" x14ac:dyDescent="0.3">
      <c r="A16" s="5">
        <v>3</v>
      </c>
      <c r="B16" s="5" t="s">
        <v>69</v>
      </c>
      <c r="C16" s="8">
        <v>-1314.12</v>
      </c>
      <c r="D16" s="8">
        <v>-20346.43</v>
      </c>
      <c r="E16" s="8">
        <v>-1333.20454</v>
      </c>
      <c r="F16" s="8"/>
      <c r="G16" s="8">
        <v>-312.58</v>
      </c>
      <c r="H16" s="8">
        <v>-23306.33454</v>
      </c>
      <c r="P16">
        <f>COUNTIF(DRE[[#All],[DEMONSTRATIVO DE RESULTADO GERENCIAL]],B16)</f>
        <v>1</v>
      </c>
      <c r="R16" t="str">
        <f>VLOOKUP(B16,DRE!A:A,1,FALSE)</f>
        <v>(-)Custos Variavéis</v>
      </c>
      <c r="T16" s="5" t="s">
        <v>0</v>
      </c>
      <c r="U16" s="8">
        <v>-267773.63991799986</v>
      </c>
      <c r="Y16" s="21" t="s">
        <v>139</v>
      </c>
      <c r="Z16" s="10">
        <f t="shared" ref="Z16:AL16" si="2">SUMIF($X:$X,1,Z:Z)+SUMIF($X:$X,2,Z:Z)+SUMIF($X:$X,3,Z:Z)+SUMIF($X:$X,4,Z:Z)</f>
        <v>-906805.32999600074</v>
      </c>
      <c r="AA16" s="10">
        <f t="shared" si="2"/>
        <v>-238189.92000000039</v>
      </c>
      <c r="AB16" s="10">
        <f t="shared" si="2"/>
        <v>117910.79000300029</v>
      </c>
      <c r="AC16" s="10">
        <f t="shared" si="2"/>
        <v>390060.5300049996</v>
      </c>
      <c r="AD16" s="10">
        <f t="shared" si="2"/>
        <v>-151249.01675647963</v>
      </c>
      <c r="AE16" s="10">
        <f t="shared" si="2"/>
        <v>-788272.94674447924</v>
      </c>
      <c r="AF16" s="10">
        <f t="shared" si="2"/>
        <v>0</v>
      </c>
      <c r="AG16" s="10">
        <f t="shared" si="2"/>
        <v>0</v>
      </c>
      <c r="AH16" s="10">
        <f t="shared" si="2"/>
        <v>0</v>
      </c>
      <c r="AI16" s="10">
        <f t="shared" si="2"/>
        <v>0</v>
      </c>
      <c r="AJ16" s="10">
        <f t="shared" si="2"/>
        <v>0</v>
      </c>
      <c r="AK16" s="10">
        <f t="shared" si="2"/>
        <v>0</v>
      </c>
      <c r="AL16" s="10">
        <f t="shared" si="2"/>
        <v>0</v>
      </c>
    </row>
    <row r="17" spans="1:38" x14ac:dyDescent="0.3">
      <c r="A17" s="5">
        <v>3</v>
      </c>
      <c r="B17" s="65" t="s">
        <v>26</v>
      </c>
      <c r="C17" s="8">
        <v>-1314.12</v>
      </c>
      <c r="D17" s="8">
        <v>-20346.43</v>
      </c>
      <c r="E17" s="8">
        <v>-1333.20454</v>
      </c>
      <c r="F17" s="8"/>
      <c r="G17" s="8">
        <v>-312.58</v>
      </c>
      <c r="H17" s="8">
        <v>-23306.33454</v>
      </c>
      <c r="P17">
        <f>COUNTIF(DRE[[#All],[DEMONSTRATIVO DE RESULTADO GERENCIAL]],B17)</f>
        <v>1</v>
      </c>
      <c r="R17" t="str">
        <f>VLOOKUP(B17,DRE!A:A,1,FALSE)</f>
        <v>Fornecedores</v>
      </c>
      <c r="T17" s="5" t="s">
        <v>179</v>
      </c>
      <c r="U17" s="8">
        <v>-296188.45084599988</v>
      </c>
      <c r="Y17" s="21" t="s">
        <v>36</v>
      </c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</row>
    <row r="18" spans="1:38" x14ac:dyDescent="0.3">
      <c r="A18" s="5">
        <v>3</v>
      </c>
      <c r="B18" s="66" t="s">
        <v>257</v>
      </c>
      <c r="C18" s="8"/>
      <c r="D18" s="8">
        <v>-2345.4700000000003</v>
      </c>
      <c r="E18" s="8"/>
      <c r="F18" s="8"/>
      <c r="G18" s="8"/>
      <c r="H18" s="8">
        <v>-2345.4700000000003</v>
      </c>
      <c r="P18">
        <f>COUNTIF(DRE[[#All],[DEMONSTRATIVO DE RESULTADO GERENCIAL]],B18)</f>
        <v>1</v>
      </c>
      <c r="R18" t="str">
        <f>VLOOKUP(B18,DRE!A:A,1,FALSE)</f>
        <v>FRETE MATERIAIS E EQUIPAMENTOS</v>
      </c>
      <c r="T18" s="5" t="s">
        <v>72</v>
      </c>
      <c r="U18" s="8">
        <v>-318535.85298600019</v>
      </c>
      <c r="Y18" s="21" t="s">
        <v>39</v>
      </c>
      <c r="Z18" s="10">
        <f t="shared" ref="Z18:AL18" si="3">SUMIF($X:$X,1,Z:Z)+SUMIF($X:$X,2,Z:Z)+SUMIF($X:$X,3,Z:Z)+SUMIF($X:$X,4,Z:Z)+SUMIF($X:$X,6,Z:Z)</f>
        <v>-943661.11999600078</v>
      </c>
      <c r="AA18" s="10">
        <f t="shared" si="3"/>
        <v>-360480.88000000041</v>
      </c>
      <c r="AB18" s="10">
        <f t="shared" si="3"/>
        <v>157982.26000300026</v>
      </c>
      <c r="AC18" s="10">
        <f t="shared" si="3"/>
        <v>267930.62000499963</v>
      </c>
      <c r="AD18" s="10">
        <f t="shared" si="3"/>
        <v>-190580.86675647963</v>
      </c>
      <c r="AE18" s="10">
        <f t="shared" si="3"/>
        <v>-1068809.9867444793</v>
      </c>
      <c r="AF18" s="10">
        <f t="shared" si="3"/>
        <v>0</v>
      </c>
      <c r="AG18" s="10">
        <f t="shared" si="3"/>
        <v>0</v>
      </c>
      <c r="AH18" s="10">
        <f t="shared" si="3"/>
        <v>0</v>
      </c>
      <c r="AI18" s="10">
        <f t="shared" si="3"/>
        <v>0</v>
      </c>
      <c r="AJ18" s="10">
        <f t="shared" si="3"/>
        <v>0</v>
      </c>
      <c r="AK18" s="10">
        <f t="shared" si="3"/>
        <v>0</v>
      </c>
      <c r="AL18" s="10">
        <f t="shared" si="3"/>
        <v>0</v>
      </c>
    </row>
    <row r="19" spans="1:38" x14ac:dyDescent="0.3">
      <c r="A19" s="5">
        <v>3</v>
      </c>
      <c r="B19" s="66" t="s">
        <v>259</v>
      </c>
      <c r="C19" s="8"/>
      <c r="D19" s="8">
        <v>-953</v>
      </c>
      <c r="E19" s="8"/>
      <c r="F19" s="8"/>
      <c r="G19" s="8"/>
      <c r="H19" s="8">
        <v>-953</v>
      </c>
      <c r="P19">
        <f>COUNTIF(DRE[[#All],[DEMONSTRATIVO DE RESULTADO GERENCIAL]],B19)</f>
        <v>1</v>
      </c>
      <c r="R19" t="str">
        <f>VLOOKUP(B19,DRE!A:A,1,FALSE)</f>
        <v>FRETE TINTAS E SOLVENTE</v>
      </c>
      <c r="T19" s="5" t="s">
        <v>159</v>
      </c>
      <c r="U19" s="8">
        <v>-318684.94999999995</v>
      </c>
      <c r="Y19" s="21" t="s">
        <v>40</v>
      </c>
      <c r="Z19" s="10">
        <f>SUMIF($X:$X,1,Z:Z)+SUMIF($X:$X,2,Z:Z)+SUMIF($X:$X,3,Z:Z)+SUMIF($X:$X,4,Z:Z)+SUMIF($X:$X,6,Z:Z)+SUMIF($X:$X,8,Z:Z)+SUMIF($X:$X,5,Z:Z)</f>
        <v>-1117958.4299960008</v>
      </c>
      <c r="AA19" s="10">
        <f>SUMIF($X:$X,1,AA:AA)+SUMIF($X:$X,2,AA:AA)+SUMIF($X:$X,3,AA:AA)+SUMIF($X:$X,4,AA:AA)+SUMIF($X:$X,6,AA:AA)+SUMIF($X:$X,8,AA:AA)+SUMIF($X:$X,5,AA:AA)</f>
        <v>-528455.32000000041</v>
      </c>
      <c r="AB19" s="10">
        <f>SUMIF($X:$X,1,AB:AB)+SUMIF($X:$X,2,AB:AB)+SUMIF($X:$X,3,AB:AB)+SUMIF($X:$X,4,AB:AB)+SUMIF($X:$X,6,AB:AB)+SUMIF($X:$X,8,AB:AB)+SUMIF($X:$X,5,AB:AB)</f>
        <v>84853.560003000282</v>
      </c>
      <c r="AC19" s="10">
        <f t="shared" ref="AC19:AL19" si="4">SUMIF($X:$X,1,AC:AC)+SUMIF($X:$X,2,AC:AC)+SUMIF($X:$X,3,AC:AC)+SUMIF($X:$X,4,AC:AC)+SUMIF($X:$X,6,AC:AC)+SUMIF($X:$X,8,AC:AC)</f>
        <v>190898.71000499965</v>
      </c>
      <c r="AD19" s="10">
        <f t="shared" si="4"/>
        <v>-542766.59675647959</v>
      </c>
      <c r="AE19" s="10">
        <f t="shared" si="4"/>
        <v>-1721506.4367444792</v>
      </c>
      <c r="AF19" s="10">
        <f t="shared" si="4"/>
        <v>0</v>
      </c>
      <c r="AG19" s="10">
        <f t="shared" si="4"/>
        <v>0</v>
      </c>
      <c r="AH19" s="10">
        <f t="shared" si="4"/>
        <v>0</v>
      </c>
      <c r="AI19" s="10">
        <f t="shared" si="4"/>
        <v>0</v>
      </c>
      <c r="AJ19" s="10">
        <f t="shared" si="4"/>
        <v>0</v>
      </c>
      <c r="AK19" s="10">
        <f t="shared" si="4"/>
        <v>0</v>
      </c>
      <c r="AL19" s="10">
        <f t="shared" si="4"/>
        <v>0</v>
      </c>
    </row>
    <row r="20" spans="1:38" x14ac:dyDescent="0.3">
      <c r="A20" s="5">
        <v>3</v>
      </c>
      <c r="B20" s="66" t="s">
        <v>260</v>
      </c>
      <c r="C20" s="8">
        <v>-1314.12</v>
      </c>
      <c r="D20" s="8"/>
      <c r="E20" s="8">
        <v>-1333.20454</v>
      </c>
      <c r="F20" s="8"/>
      <c r="G20" s="8">
        <v>-312.58</v>
      </c>
      <c r="H20" s="8">
        <v>-2959.9045399999995</v>
      </c>
      <c r="P20">
        <f>COUNTIF(DRE[[#All],[DEMONSTRATIVO DE RESULTADO GERENCIAL]],B20)</f>
        <v>1</v>
      </c>
      <c r="R20" t="str">
        <f>VLOOKUP(B20,DRE!A:A,1,FALSE)</f>
        <v>FRETE TRANSPORTADORA</v>
      </c>
      <c r="T20" s="5" t="s">
        <v>25</v>
      </c>
      <c r="U20" s="8">
        <v>-369117.01639299997</v>
      </c>
      <c r="Y20" s="21" t="s">
        <v>140</v>
      </c>
      <c r="Z20" s="22">
        <f t="shared" ref="Z20" si="5">Z15/Z$14</f>
        <v>0.88404721206784043</v>
      </c>
      <c r="AA20" s="22">
        <f t="shared" ref="AA20:AL20" si="6">AA15/AA$14</f>
        <v>0.92049634135280045</v>
      </c>
      <c r="AB20" s="22">
        <f t="shared" si="6"/>
        <v>0.93868141289207174</v>
      </c>
      <c r="AC20" s="22">
        <f t="shared" si="6"/>
        <v>0.97221777350679661</v>
      </c>
      <c r="AD20" s="22">
        <f t="shared" si="6"/>
        <v>0.95804779213859848</v>
      </c>
      <c r="AE20" s="22">
        <f t="shared" si="6"/>
        <v>0.94192099940229945</v>
      </c>
      <c r="AF20" s="22" t="e">
        <f t="shared" si="6"/>
        <v>#DIV/0!</v>
      </c>
      <c r="AG20" s="22" t="e">
        <f t="shared" si="6"/>
        <v>#DIV/0!</v>
      </c>
      <c r="AH20" s="22" t="e">
        <f t="shared" si="6"/>
        <v>#DIV/0!</v>
      </c>
      <c r="AI20" s="22" t="e">
        <f t="shared" si="6"/>
        <v>#DIV/0!</v>
      </c>
      <c r="AJ20" s="22" t="e">
        <f t="shared" si="6"/>
        <v>#DIV/0!</v>
      </c>
      <c r="AK20" s="22" t="e">
        <f t="shared" si="6"/>
        <v>#DIV/0!</v>
      </c>
      <c r="AL20" s="22" t="e">
        <f t="shared" si="6"/>
        <v>#DIV/0!</v>
      </c>
    </row>
    <row r="21" spans="1:38" x14ac:dyDescent="0.3">
      <c r="A21" s="5">
        <v>3</v>
      </c>
      <c r="B21" s="66" t="s">
        <v>261</v>
      </c>
      <c r="C21" s="8"/>
      <c r="D21" s="8">
        <v>-17047.96</v>
      </c>
      <c r="E21" s="8"/>
      <c r="F21" s="8"/>
      <c r="G21" s="8"/>
      <c r="H21" s="8">
        <v>-17047.96</v>
      </c>
      <c r="P21">
        <f>COUNTIF(DRE[[#All],[DEMONSTRATIVO DE RESULTADO GERENCIAL]],B21)</f>
        <v>1</v>
      </c>
      <c r="R21" t="str">
        <f>VLOOKUP(B21,DRE!A:A,1,FALSE)</f>
        <v>TINTAS E SOLVENTES</v>
      </c>
      <c r="T21" s="5" t="s">
        <v>228</v>
      </c>
      <c r="U21" s="8">
        <v>-415483.39108099998</v>
      </c>
      <c r="Y21" s="21" t="s">
        <v>141</v>
      </c>
      <c r="Z21" s="22">
        <f t="shared" ref="Z21" si="7">Z16/Z$14</f>
        <v>-1.1490111314500044</v>
      </c>
      <c r="AA21" s="22">
        <f t="shared" ref="AA21:AL21" si="8">AA16/AA$14</f>
        <v>-0.15842711164158604</v>
      </c>
      <c r="AB21" s="22">
        <f t="shared" si="8"/>
        <v>7.292585501097619E-2</v>
      </c>
      <c r="AC21" s="22">
        <f t="shared" si="8"/>
        <v>0.1979393519461472</v>
      </c>
      <c r="AD21" s="22">
        <f t="shared" si="8"/>
        <v>-0.10414649346784643</v>
      </c>
      <c r="AE21" s="22">
        <f t="shared" si="8"/>
        <v>-0.10750532303334551</v>
      </c>
      <c r="AF21" s="22" t="e">
        <f t="shared" si="8"/>
        <v>#DIV/0!</v>
      </c>
      <c r="AG21" s="22" t="e">
        <f t="shared" si="8"/>
        <v>#DIV/0!</v>
      </c>
      <c r="AH21" s="22" t="e">
        <f t="shared" si="8"/>
        <v>#DIV/0!</v>
      </c>
      <c r="AI21" s="22" t="e">
        <f t="shared" si="8"/>
        <v>#DIV/0!</v>
      </c>
      <c r="AJ21" s="22" t="e">
        <f t="shared" si="8"/>
        <v>#DIV/0!</v>
      </c>
      <c r="AK21" s="22" t="e">
        <f t="shared" si="8"/>
        <v>#DIV/0!</v>
      </c>
      <c r="AL21" s="22" t="e">
        <f t="shared" si="8"/>
        <v>#DIV/0!</v>
      </c>
    </row>
    <row r="22" spans="1:38" x14ac:dyDescent="0.3">
      <c r="A22" s="5">
        <v>4</v>
      </c>
      <c r="B22" s="5" t="s">
        <v>70</v>
      </c>
      <c r="C22" s="8">
        <v>-264326.30999999994</v>
      </c>
      <c r="D22" s="8">
        <v>-192424.62865399997</v>
      </c>
      <c r="E22" s="8">
        <v>-85532.051555999991</v>
      </c>
      <c r="F22" s="8">
        <v>-65470.008964999994</v>
      </c>
      <c r="G22" s="8">
        <v>-74641.516102915135</v>
      </c>
      <c r="H22" s="8">
        <v>-682394.51527791505</v>
      </c>
      <c r="P22">
        <f>COUNTIF(DRE[[#All],[DEMONSTRATIVO DE RESULTADO GERENCIAL]],B22)</f>
        <v>1</v>
      </c>
      <c r="R22" t="str">
        <f>VLOOKUP(B22,DRE!A:A,1,FALSE)</f>
        <v>(-)Gastos Fixos</v>
      </c>
      <c r="T22" s="5" t="s">
        <v>26</v>
      </c>
      <c r="U22" s="8">
        <v>-418686.39891800011</v>
      </c>
      <c r="Y22" s="21" t="s">
        <v>142</v>
      </c>
      <c r="Z22" s="10">
        <f t="shared" ref="Z22:AL22" si="9">SUMIF($X:$X,3,Z:Z)*-1</f>
        <v>91510.51999999999</v>
      </c>
      <c r="AA22" s="10">
        <f t="shared" si="9"/>
        <v>119531.11999999992</v>
      </c>
      <c r="AB22" s="10">
        <f t="shared" si="9"/>
        <v>99143.479999999981</v>
      </c>
      <c r="AC22" s="10">
        <f t="shared" si="9"/>
        <v>54747.829999999994</v>
      </c>
      <c r="AD22" s="10">
        <f t="shared" si="9"/>
        <v>60926.008918000007</v>
      </c>
      <c r="AE22" s="10">
        <f t="shared" si="9"/>
        <v>425858.95891799987</v>
      </c>
      <c r="AF22" s="10">
        <f t="shared" si="9"/>
        <v>0</v>
      </c>
      <c r="AG22" s="10">
        <f t="shared" si="9"/>
        <v>0</v>
      </c>
      <c r="AH22" s="10">
        <f t="shared" si="9"/>
        <v>0</v>
      </c>
      <c r="AI22" s="10">
        <f t="shared" si="9"/>
        <v>0</v>
      </c>
      <c r="AJ22" s="10">
        <f t="shared" si="9"/>
        <v>0</v>
      </c>
      <c r="AK22" s="10">
        <f t="shared" si="9"/>
        <v>0</v>
      </c>
      <c r="AL22" s="10">
        <f t="shared" si="9"/>
        <v>0</v>
      </c>
    </row>
    <row r="23" spans="1:38" x14ac:dyDescent="0.3">
      <c r="A23" s="5">
        <v>4</v>
      </c>
      <c r="B23" s="65" t="s">
        <v>0</v>
      </c>
      <c r="C23" s="8">
        <v>-1345.99</v>
      </c>
      <c r="D23" s="8">
        <v>-104.05</v>
      </c>
      <c r="E23" s="8">
        <v>-24</v>
      </c>
      <c r="F23" s="8">
        <v>-10.287621</v>
      </c>
      <c r="G23" s="8"/>
      <c r="H23" s="8">
        <v>-1484.3276209999999</v>
      </c>
      <c r="P23">
        <f>COUNTIF(DRE[[#All],[DEMONSTRATIVO DE RESULTADO GERENCIAL]],B23)</f>
        <v>1</v>
      </c>
      <c r="R23" t="str">
        <f>VLOOKUP(B23,DRE!A:A,1,FALSE)</f>
        <v>Despesas Administrativas</v>
      </c>
      <c r="T23" s="5" t="s">
        <v>161</v>
      </c>
      <c r="U23" s="8">
        <v>-507283.60000000015</v>
      </c>
      <c r="Y23" s="21" t="s">
        <v>146</v>
      </c>
      <c r="Z23" s="22">
        <f>Z22/Z14</f>
        <v>0.11595278793215956</v>
      </c>
      <c r="AA23" s="22">
        <f t="shared" ref="AA23:AL23" si="10">AA22/AA14</f>
        <v>7.9503658647199577E-2</v>
      </c>
      <c r="AB23" s="22">
        <f t="shared" si="10"/>
        <v>6.1318587107928313E-2</v>
      </c>
      <c r="AC23" s="22">
        <f t="shared" si="10"/>
        <v>2.7782226493203339E-2</v>
      </c>
      <c r="AD23" s="22">
        <f t="shared" si="10"/>
        <v>4.1952207861401559E-2</v>
      </c>
      <c r="AE23" s="22">
        <f t="shared" si="10"/>
        <v>5.8079000597700554E-2</v>
      </c>
      <c r="AF23" s="22" t="e">
        <f t="shared" si="10"/>
        <v>#DIV/0!</v>
      </c>
      <c r="AG23" s="22" t="e">
        <f t="shared" si="10"/>
        <v>#DIV/0!</v>
      </c>
      <c r="AH23" s="22" t="e">
        <f t="shared" si="10"/>
        <v>#DIV/0!</v>
      </c>
      <c r="AI23" s="22" t="e">
        <f t="shared" si="10"/>
        <v>#DIV/0!</v>
      </c>
      <c r="AJ23" s="22" t="e">
        <f t="shared" si="10"/>
        <v>#DIV/0!</v>
      </c>
      <c r="AK23" s="22" t="e">
        <f t="shared" si="10"/>
        <v>#DIV/0!</v>
      </c>
      <c r="AL23" s="22" t="e">
        <f t="shared" si="10"/>
        <v>#DIV/0!</v>
      </c>
    </row>
    <row r="24" spans="1:38" x14ac:dyDescent="0.3">
      <c r="A24" s="5">
        <v>4</v>
      </c>
      <c r="B24" s="66" t="s">
        <v>280</v>
      </c>
      <c r="C24" s="8"/>
      <c r="D24" s="8"/>
      <c r="E24" s="8"/>
      <c r="F24" s="8">
        <v>-10.287621</v>
      </c>
      <c r="G24" s="8"/>
      <c r="H24" s="8">
        <v>-10.287621</v>
      </c>
      <c r="P24">
        <f>COUNTIF(DRE[[#All],[DEMONSTRATIVO DE RESULTADO GERENCIAL]],B24)</f>
        <v>1</v>
      </c>
      <c r="R24" t="str">
        <f>VLOOKUP(B24,DRE!A:A,1,FALSE)</f>
        <v>SERVIÇO CARTORIO</v>
      </c>
      <c r="T24" s="5" t="s">
        <v>27</v>
      </c>
      <c r="U24" s="8">
        <v>-652696.44999999995</v>
      </c>
      <c r="Y24" s="21" t="s">
        <v>143</v>
      </c>
      <c r="Z24" s="10">
        <f t="shared" ref="Z24:AL24" si="11">SUMIF($X:$X,4,Z:Z)*-1</f>
        <v>1604499.8099960007</v>
      </c>
      <c r="AA24" s="10">
        <f t="shared" si="11"/>
        <v>1622125.7100000004</v>
      </c>
      <c r="AB24" s="10">
        <f t="shared" si="11"/>
        <v>1399804.2499999993</v>
      </c>
      <c r="AC24" s="10">
        <f t="shared" si="11"/>
        <v>1525797.9199989999</v>
      </c>
      <c r="AD24" s="10">
        <f t="shared" si="11"/>
        <v>1542594.8195934799</v>
      </c>
      <c r="AE24" s="10">
        <f t="shared" si="11"/>
        <v>7694822.50958848</v>
      </c>
      <c r="AF24" s="10">
        <f t="shared" si="11"/>
        <v>0</v>
      </c>
      <c r="AG24" s="10">
        <f t="shared" si="11"/>
        <v>0</v>
      </c>
      <c r="AH24" s="10">
        <f t="shared" si="11"/>
        <v>0</v>
      </c>
      <c r="AI24" s="10">
        <f t="shared" si="11"/>
        <v>0</v>
      </c>
      <c r="AJ24" s="10">
        <f t="shared" si="11"/>
        <v>0</v>
      </c>
      <c r="AK24" s="10">
        <f t="shared" si="11"/>
        <v>0</v>
      </c>
      <c r="AL24" s="10">
        <f t="shared" si="11"/>
        <v>0</v>
      </c>
    </row>
    <row r="25" spans="1:38" x14ac:dyDescent="0.3">
      <c r="A25" s="5">
        <v>4</v>
      </c>
      <c r="B25" s="66" t="s">
        <v>282</v>
      </c>
      <c r="C25" s="8">
        <v>-1345.99</v>
      </c>
      <c r="D25" s="8">
        <v>-104.05</v>
      </c>
      <c r="E25" s="8"/>
      <c r="F25" s="8"/>
      <c r="G25" s="8"/>
      <c r="H25" s="8">
        <v>-1450.04</v>
      </c>
      <c r="P25">
        <f>COUNTIF(DRE[[#All],[DEMONSTRATIVO DE RESULTADO GERENCIAL]],B25)</f>
        <v>1</v>
      </c>
      <c r="R25" t="str">
        <f>VLOOKUP(B25,DRE!A:A,1,FALSE)</f>
        <v>SERVIÇO CREA ANUIDADE</v>
      </c>
      <c r="T25" s="5" t="s">
        <v>30</v>
      </c>
      <c r="U25" s="8">
        <v>-1244581.2982379999</v>
      </c>
      <c r="Y25" s="21" t="s">
        <v>147</v>
      </c>
      <c r="Z25" s="9">
        <f>Z24/Z14</f>
        <v>2.0330583435178449</v>
      </c>
      <c r="AA25" s="9">
        <f t="shared" ref="AA25:AL25" si="12">AA24/AA14</f>
        <v>1.0789234529943865</v>
      </c>
      <c r="AB25" s="9">
        <f t="shared" si="12"/>
        <v>0.86575555788109548</v>
      </c>
      <c r="AC25" s="9">
        <f t="shared" si="12"/>
        <v>0.77427842156064941</v>
      </c>
      <c r="AD25" s="9">
        <f t="shared" si="12"/>
        <v>1.062194285606445</v>
      </c>
      <c r="AE25" s="9">
        <f t="shared" si="12"/>
        <v>1.049426322435645</v>
      </c>
      <c r="AF25" s="9" t="e">
        <f t="shared" si="12"/>
        <v>#DIV/0!</v>
      </c>
      <c r="AG25" s="9" t="e">
        <f t="shared" si="12"/>
        <v>#DIV/0!</v>
      </c>
      <c r="AH25" s="9" t="e">
        <f t="shared" si="12"/>
        <v>#DIV/0!</v>
      </c>
      <c r="AI25" s="9" t="e">
        <f t="shared" si="12"/>
        <v>#DIV/0!</v>
      </c>
      <c r="AJ25" s="9" t="e">
        <f t="shared" si="12"/>
        <v>#DIV/0!</v>
      </c>
      <c r="AK25" s="9" t="e">
        <f t="shared" si="12"/>
        <v>#DIV/0!</v>
      </c>
      <c r="AL25" s="9" t="e">
        <f t="shared" si="12"/>
        <v>#DIV/0!</v>
      </c>
    </row>
    <row r="26" spans="1:38" x14ac:dyDescent="0.3">
      <c r="A26" s="5">
        <v>4</v>
      </c>
      <c r="B26" s="66" t="s">
        <v>283</v>
      </c>
      <c r="C26" s="8"/>
      <c r="D26" s="8"/>
      <c r="E26" s="8">
        <v>-24</v>
      </c>
      <c r="F26" s="8"/>
      <c r="G26" s="8"/>
      <c r="H26" s="8">
        <v>-24</v>
      </c>
      <c r="P26">
        <f>COUNTIF(DRE[[#All],[DEMONSTRATIVO DE RESULTADO GERENCIAL]],B26)</f>
        <v>1</v>
      </c>
      <c r="R26" t="str">
        <f>VLOOKUP(B26,DRE!A:A,1,FALSE)</f>
        <v xml:space="preserve">SERVIÇO PLOTAGEM / ADESIVO / PLACAS / CRACHAS </v>
      </c>
      <c r="T26" s="5" t="s">
        <v>29</v>
      </c>
      <c r="U26" s="8">
        <v>-6064131.8581044935</v>
      </c>
    </row>
    <row r="27" spans="1:38" x14ac:dyDescent="0.3">
      <c r="A27" s="5">
        <v>4</v>
      </c>
      <c r="B27" s="65" t="s">
        <v>72</v>
      </c>
      <c r="C27" s="8">
        <v>-2016.99</v>
      </c>
      <c r="D27" s="8">
        <v>-3185.57</v>
      </c>
      <c r="E27" s="8">
        <v>-233.1</v>
      </c>
      <c r="F27" s="8">
        <v>-2002.3219999999999</v>
      </c>
      <c r="G27" s="8">
        <v>-2547.7600000000002</v>
      </c>
      <c r="H27" s="8">
        <v>-9985.7420000000002</v>
      </c>
      <c r="P27">
        <f>COUNTIF(DRE[[#All],[DEMONSTRATIVO DE RESULTADO GERENCIAL]],B27)</f>
        <v>1</v>
      </c>
      <c r="R27" t="str">
        <f>VLOOKUP(B27,DRE!A:A,1,FALSE)</f>
        <v>Despesas com Infraestrutura</v>
      </c>
      <c r="T27" s="5" t="s">
        <v>76</v>
      </c>
      <c r="U27" s="8">
        <v>-2408012.8431374901</v>
      </c>
      <c r="Y27" s="21" t="s">
        <v>149</v>
      </c>
      <c r="Z27" t="s">
        <v>148</v>
      </c>
      <c r="AA27" t="s">
        <v>150</v>
      </c>
      <c r="AB27" t="s">
        <v>151</v>
      </c>
    </row>
    <row r="28" spans="1:38" x14ac:dyDescent="0.3">
      <c r="A28" s="5">
        <v>4</v>
      </c>
      <c r="B28" s="66" t="s">
        <v>204</v>
      </c>
      <c r="C28" s="8">
        <v>-700</v>
      </c>
      <c r="D28" s="8">
        <v>-2313</v>
      </c>
      <c r="E28" s="8"/>
      <c r="F28" s="8">
        <v>-2000</v>
      </c>
      <c r="G28" s="8">
        <v>-2100</v>
      </c>
      <c r="H28" s="8">
        <v>-7113</v>
      </c>
      <c r="P28">
        <f>COUNTIF(DRE[[#All],[DEMONSTRATIVO DE RESULTADO GERENCIAL]],B28)</f>
        <v>1</v>
      </c>
      <c r="R28" t="str">
        <f>VLOOKUP(B28,DRE!A:A,1,FALSE)</f>
        <v xml:space="preserve">ALUGUEL ALOJAMENTO </v>
      </c>
      <c r="Y28" s="23" t="str">
        <f>DRE!A36</f>
        <v>Despesas com Pessoal</v>
      </c>
      <c r="Z28" s="23">
        <f>DRE!AH36*-1</f>
        <v>615896.17420391506</v>
      </c>
      <c r="AA28" s="24">
        <f>AA37+Z28/$Z$37</f>
        <v>0.90255147193421137</v>
      </c>
      <c r="AB28" s="24">
        <f t="shared" ref="AB28:AB36" si="13">Z28/$Z$37</f>
        <v>0.90255147193421137</v>
      </c>
    </row>
    <row r="29" spans="1:38" x14ac:dyDescent="0.3">
      <c r="A29" s="5">
        <v>4</v>
      </c>
      <c r="B29" s="66" t="s">
        <v>206</v>
      </c>
      <c r="C29" s="8">
        <v>-1316.99</v>
      </c>
      <c r="D29" s="8">
        <v>-422.57000000000005</v>
      </c>
      <c r="E29" s="8">
        <v>-233.1</v>
      </c>
      <c r="F29" s="8"/>
      <c r="G29" s="8">
        <v>-447.76</v>
      </c>
      <c r="H29" s="8">
        <v>-2420.42</v>
      </c>
      <c r="P29">
        <f>COUNTIF(DRE[[#All],[DEMONSTRATIVO DE RESULTADO GERENCIAL]],B29)</f>
        <v>1</v>
      </c>
      <c r="R29" t="str">
        <f>VLOOKUP(B29,DRE!A:A,1,FALSE)</f>
        <v>ENERGIA ALOJAMENTO</v>
      </c>
      <c r="Y29" s="23" t="s">
        <v>228</v>
      </c>
      <c r="Z29" s="23">
        <f>DRE!AH100*-1</f>
        <v>8650.119999999999</v>
      </c>
      <c r="AA29" s="24">
        <f t="shared" ref="AA29:AA36" si="14">AA28+Z29/$Z$37</f>
        <v>0.91522759960865074</v>
      </c>
      <c r="AB29" s="24">
        <f t="shared" si="13"/>
        <v>1.267612767443934E-2</v>
      </c>
    </row>
    <row r="30" spans="1:38" x14ac:dyDescent="0.3">
      <c r="A30" s="5">
        <v>4</v>
      </c>
      <c r="B30" s="66" t="s">
        <v>212</v>
      </c>
      <c r="C30" s="8"/>
      <c r="D30" s="8"/>
      <c r="E30" s="8"/>
      <c r="F30" s="8">
        <v>-2.3220000000000001</v>
      </c>
      <c r="G30" s="8"/>
      <c r="H30" s="8">
        <v>-2.3220000000000001</v>
      </c>
      <c r="P30">
        <f>COUNTIF(DRE[[#All],[DEMONSTRATIVO DE RESULTADO GERENCIAL]],B30)</f>
        <v>1</v>
      </c>
      <c r="R30" t="str">
        <f>VLOOKUP(B30,DRE!A:A,1,FALSE)</f>
        <v xml:space="preserve">INTERNET / TELEFONE ADM </v>
      </c>
      <c r="Y30" s="23" t="str">
        <f>DRE!A135</f>
        <v>Despesas com Infraestrutura</v>
      </c>
      <c r="Z30" s="23">
        <f>DRE!AH135*-1</f>
        <v>9985.742000000002</v>
      </c>
      <c r="AA30" s="24">
        <f t="shared" si="14"/>
        <v>0.9298609851011076</v>
      </c>
      <c r="AB30" s="24">
        <f t="shared" si="13"/>
        <v>1.46333854924569E-2</v>
      </c>
    </row>
    <row r="31" spans="1:38" x14ac:dyDescent="0.3">
      <c r="A31" s="5">
        <v>4</v>
      </c>
      <c r="B31" s="66" t="s">
        <v>208</v>
      </c>
      <c r="C31" s="8"/>
      <c r="D31" s="8">
        <v>-450</v>
      </c>
      <c r="E31" s="8"/>
      <c r="F31" s="8"/>
      <c r="G31" s="8"/>
      <c r="H31" s="8">
        <v>-450</v>
      </c>
      <c r="P31">
        <f>COUNTIF(DRE[[#All],[DEMONSTRATIVO DE RESULTADO GERENCIAL]],B31)</f>
        <v>1</v>
      </c>
      <c r="R31" t="str">
        <f>VLOOKUP(B31,DRE!A:A,1,FALSE)</f>
        <v>SERVIÇO LIMPEZA ALOJAMENTO/ESCRITORIO</v>
      </c>
      <c r="Y31" s="23" t="s">
        <v>242</v>
      </c>
      <c r="Z31" s="23">
        <f>DRE!AH114*-1</f>
        <v>5246.1299999999992</v>
      </c>
      <c r="AA31" s="24">
        <f t="shared" si="14"/>
        <v>0.93754881066615248</v>
      </c>
      <c r="AB31" s="24">
        <f t="shared" si="13"/>
        <v>7.6878255650449298E-3</v>
      </c>
    </row>
    <row r="32" spans="1:38" x14ac:dyDescent="0.3">
      <c r="A32" s="5">
        <v>4</v>
      </c>
      <c r="B32" s="65" t="s">
        <v>29</v>
      </c>
      <c r="C32" s="8">
        <v>-243857.97999999998</v>
      </c>
      <c r="D32" s="8">
        <v>-175790.22865399998</v>
      </c>
      <c r="E32" s="8">
        <v>-74082.83155599999</v>
      </c>
      <c r="F32" s="8">
        <v>-58484.917890999997</v>
      </c>
      <c r="G32" s="8">
        <v>-63680.216102915132</v>
      </c>
      <c r="H32" s="8">
        <v>-615896.17420391506</v>
      </c>
      <c r="P32">
        <f>COUNTIF(DRE[[#All],[DEMONSTRATIVO DE RESULTADO GERENCIAL]],B32)</f>
        <v>1</v>
      </c>
      <c r="R32" t="str">
        <f>VLOOKUP(B32,DRE!A:A,1,FALSE)</f>
        <v>Despesas com Pessoal</v>
      </c>
      <c r="Y32" s="23" t="str">
        <f>DRE!A89</f>
        <v>Despesas com Veículos e Equipamentos</v>
      </c>
      <c r="Z32" s="23">
        <f>DRE!AH89*-1</f>
        <v>32742.021453000001</v>
      </c>
      <c r="AA32" s="24">
        <f t="shared" si="14"/>
        <v>0.98552988425327726</v>
      </c>
      <c r="AB32" s="24">
        <f t="shared" si="13"/>
        <v>4.7981073587124792E-2</v>
      </c>
    </row>
    <row r="33" spans="1:28" x14ac:dyDescent="0.3">
      <c r="A33" s="5">
        <v>4</v>
      </c>
      <c r="B33" s="66" t="s">
        <v>3675</v>
      </c>
      <c r="C33" s="8"/>
      <c r="D33" s="8"/>
      <c r="E33" s="8"/>
      <c r="F33" s="8"/>
      <c r="G33" s="8">
        <v>-2442.1686286666668</v>
      </c>
      <c r="H33" s="8">
        <v>-2442.1686286666668</v>
      </c>
      <c r="P33">
        <f>COUNTIF(DRE[[#All],[DEMONSTRATIVO DE RESULTADO GERENCIAL]],B33)</f>
        <v>1</v>
      </c>
      <c r="R33" t="str">
        <f>VLOOKUP(B33,DRE!A:A,1,FALSE)</f>
        <v>13° PREVISAO</v>
      </c>
      <c r="Y33" s="23" t="str">
        <f>DRE!A68</f>
        <v>Despesas Administrativas</v>
      </c>
      <c r="Z33" s="23">
        <f>DRE!AH68*-1</f>
        <v>1484.3276209999999</v>
      </c>
      <c r="AA33" s="24">
        <f t="shared" si="14"/>
        <v>0.98770505944558584</v>
      </c>
      <c r="AB33" s="24">
        <f t="shared" si="13"/>
        <v>2.1751751923086396E-3</v>
      </c>
    </row>
    <row r="34" spans="1:28" x14ac:dyDescent="0.3">
      <c r="A34" s="5">
        <v>4</v>
      </c>
      <c r="B34" s="66" t="s">
        <v>186</v>
      </c>
      <c r="C34" s="8">
        <v>-42449.760000000002</v>
      </c>
      <c r="D34" s="8">
        <v>-32818.42</v>
      </c>
      <c r="E34" s="8"/>
      <c r="F34" s="8"/>
      <c r="G34" s="8"/>
      <c r="H34" s="8">
        <v>-75268.179999999993</v>
      </c>
      <c r="P34">
        <f>COUNTIF(DRE[[#All],[DEMONSTRATIVO DE RESULTADO GERENCIAL]],B34)</f>
        <v>1</v>
      </c>
      <c r="R34" t="str">
        <f>VLOOKUP(B34,DRE!A:A,1,FALSE)</f>
        <v xml:space="preserve">ACERTO RESCISORIOS </v>
      </c>
      <c r="Y34" s="23" t="str">
        <f>DRE!A132</f>
        <v>Despesas Financeiras</v>
      </c>
      <c r="Z34" s="23">
        <f>DRE!AH132*-1</f>
        <v>0</v>
      </c>
      <c r="AA34" s="24">
        <f t="shared" si="14"/>
        <v>0.98770505944558584</v>
      </c>
      <c r="AB34" s="24">
        <f t="shared" si="13"/>
        <v>0</v>
      </c>
    </row>
    <row r="35" spans="1:28" x14ac:dyDescent="0.3">
      <c r="A35" s="5">
        <v>4</v>
      </c>
      <c r="B35" s="66" t="s">
        <v>191</v>
      </c>
      <c r="C35" s="8">
        <v>-920.7</v>
      </c>
      <c r="D35" s="8">
        <v>-772.29503999999997</v>
      </c>
      <c r="E35" s="8">
        <v>-267.29109</v>
      </c>
      <c r="F35" s="8">
        <v>-237.45150000000001</v>
      </c>
      <c r="G35" s="8">
        <v>-296.83368000000002</v>
      </c>
      <c r="H35" s="8">
        <v>-2494.5713100000003</v>
      </c>
      <c r="P35">
        <f>COUNTIF(DRE[[#All],[DEMONSTRATIVO DE RESULTADO GERENCIAL]],B35)</f>
        <v>1</v>
      </c>
      <c r="R35" t="str">
        <f>VLOOKUP(B35,DRE!A:A,1,FALSE)</f>
        <v xml:space="preserve">ASSISTENCIA MEDICA ADM </v>
      </c>
      <c r="Y35" s="23" t="str">
        <f>DRE!A62</f>
        <v>Serviços de Terceiros</v>
      </c>
      <c r="Z35" s="23">
        <f>DRE!AH62*-1</f>
        <v>0</v>
      </c>
      <c r="AA35" s="24">
        <f t="shared" si="14"/>
        <v>0.98770505944558584</v>
      </c>
      <c r="AB35" s="24">
        <f t="shared" si="13"/>
        <v>0</v>
      </c>
    </row>
    <row r="36" spans="1:28" x14ac:dyDescent="0.3">
      <c r="A36" s="5">
        <v>4</v>
      </c>
      <c r="B36" s="66" t="s">
        <v>202</v>
      </c>
      <c r="C36" s="8">
        <v>-250</v>
      </c>
      <c r="D36" s="8"/>
      <c r="E36" s="8"/>
      <c r="F36" s="8"/>
      <c r="G36" s="8"/>
      <c r="H36" s="8">
        <v>-250</v>
      </c>
      <c r="P36">
        <f>COUNTIF(DRE[[#All],[DEMONSTRATIVO DE RESULTADO GERENCIAL]],B36)</f>
        <v>1</v>
      </c>
      <c r="R36" t="str">
        <f>VLOOKUP(B36,DRE!A:A,1,FALSE)</f>
        <v xml:space="preserve">CURSOS / TREINAMENTOS </v>
      </c>
      <c r="Y36" s="23" t="str">
        <f>DRE!A129</f>
        <v>Despesas com Viagens e Hospedagens</v>
      </c>
      <c r="Z36" s="23">
        <f>DRE!AH129*-1</f>
        <v>8390</v>
      </c>
      <c r="AA36" s="24">
        <f t="shared" si="14"/>
        <v>0.99999999999999967</v>
      </c>
      <c r="AB36" s="24">
        <f t="shared" si="13"/>
        <v>1.2294940554413819E-2</v>
      </c>
    </row>
    <row r="37" spans="1:28" x14ac:dyDescent="0.3">
      <c r="A37" s="5">
        <v>4</v>
      </c>
      <c r="B37" s="66" t="s">
        <v>195</v>
      </c>
      <c r="C37" s="8">
        <v>-35196.39</v>
      </c>
      <c r="D37" s="8">
        <v>-21727.067271</v>
      </c>
      <c r="E37" s="8">
        <v>-22000.553105999999</v>
      </c>
      <c r="F37" s="8">
        <v>-7773.3501040000001</v>
      </c>
      <c r="G37" s="8">
        <v>-8529.2637500000001</v>
      </c>
      <c r="H37" s="8">
        <v>-95226.624230999994</v>
      </c>
      <c r="P37">
        <f>COUNTIF(DRE[[#All],[DEMONSTRATIVO DE RESULTADO GERENCIAL]],B37)</f>
        <v>1</v>
      </c>
      <c r="R37" t="str">
        <f>VLOOKUP(B37,DRE!A:A,1,FALSE)</f>
        <v xml:space="preserve">DCTFWEB </v>
      </c>
      <c r="Y37" s="23" t="str">
        <f>DRE!A35</f>
        <v>(-)Gastos Fixos</v>
      </c>
      <c r="Z37" s="23">
        <f>DRE!AH35*-1</f>
        <v>682394.51527791517</v>
      </c>
    </row>
    <row r="38" spans="1:28" x14ac:dyDescent="0.3">
      <c r="A38" s="5">
        <v>4</v>
      </c>
      <c r="B38" s="66" t="s">
        <v>199</v>
      </c>
      <c r="C38" s="8"/>
      <c r="D38" s="8">
        <v>-849.74</v>
      </c>
      <c r="E38" s="8">
        <v>-359.72</v>
      </c>
      <c r="F38" s="8">
        <v>-483</v>
      </c>
      <c r="G38" s="8"/>
      <c r="H38" s="8">
        <v>-1692.46</v>
      </c>
      <c r="P38">
        <f>COUNTIF(DRE[[#All],[DEMONSTRATIVO DE RESULTADO GERENCIAL]],B38)</f>
        <v>1</v>
      </c>
      <c r="R38" t="str">
        <f>VLOOKUP(B38,DRE!A:A,1,FALSE)</f>
        <v>EPIS</v>
      </c>
    </row>
    <row r="39" spans="1:28" x14ac:dyDescent="0.3">
      <c r="A39" s="5">
        <v>4</v>
      </c>
      <c r="B39" s="66" t="s">
        <v>201</v>
      </c>
      <c r="C39" s="8">
        <v>-268.53999999999996</v>
      </c>
      <c r="D39" s="8">
        <v>-1829.92</v>
      </c>
      <c r="E39" s="8"/>
      <c r="F39" s="8"/>
      <c r="G39" s="8">
        <v>-2250</v>
      </c>
      <c r="H39" s="8">
        <v>-4348.46</v>
      </c>
      <c r="P39">
        <f>COUNTIF(DRE[[#All],[DEMONSTRATIVO DE RESULTADO GERENCIAL]],B39)</f>
        <v>1</v>
      </c>
      <c r="R39" t="str">
        <f>VLOOKUP(B39,DRE!A:A,1,FALSE)</f>
        <v>EXAMES MÉDICOS</v>
      </c>
    </row>
    <row r="40" spans="1:28" x14ac:dyDescent="0.3">
      <c r="A40" s="5">
        <v>4</v>
      </c>
      <c r="B40" s="66" t="s">
        <v>182</v>
      </c>
      <c r="C40" s="8">
        <v>-7414.52</v>
      </c>
      <c r="D40" s="8">
        <v>-3467.17</v>
      </c>
      <c r="E40" s="8">
        <v>-3468.49</v>
      </c>
      <c r="F40" s="8">
        <v>-8552.44</v>
      </c>
      <c r="G40" s="8"/>
      <c r="H40" s="8">
        <v>-22902.620000000003</v>
      </c>
      <c r="P40">
        <f>COUNTIF(DRE[[#All],[DEMONSTRATIVO DE RESULTADO GERENCIAL]],B40)</f>
        <v>1</v>
      </c>
      <c r="R40" t="str">
        <f>VLOOKUP(B40,DRE!A:A,1,FALSE)</f>
        <v xml:space="preserve">FERIAS </v>
      </c>
    </row>
    <row r="41" spans="1:28" x14ac:dyDescent="0.3">
      <c r="A41" s="5">
        <v>4</v>
      </c>
      <c r="B41" s="66" t="s">
        <v>194</v>
      </c>
      <c r="C41" s="8">
        <v>-12289.619999999999</v>
      </c>
      <c r="D41" s="8">
        <v>-7061.7221010000003</v>
      </c>
      <c r="E41" s="8">
        <v>-2391.1077439999999</v>
      </c>
      <c r="F41" s="8">
        <v>-2487.09006</v>
      </c>
      <c r="G41" s="8">
        <v>-2558.8575000000001</v>
      </c>
      <c r="H41" s="8">
        <v>-26788.397404999996</v>
      </c>
      <c r="P41">
        <f>COUNTIF(DRE[[#All],[DEMONSTRATIVO DE RESULTADO GERENCIAL]],B41)</f>
        <v>1</v>
      </c>
      <c r="R41" t="str">
        <f>VLOOKUP(B41,DRE!A:A,1,FALSE)</f>
        <v xml:space="preserve">FGTS FUNCIONARIOS </v>
      </c>
    </row>
    <row r="42" spans="1:28" x14ac:dyDescent="0.3">
      <c r="A42" s="5">
        <v>4</v>
      </c>
      <c r="B42" s="66" t="s">
        <v>183</v>
      </c>
      <c r="C42" s="8">
        <v>-14369.810000000001</v>
      </c>
      <c r="D42" s="8">
        <v>-13520.04</v>
      </c>
      <c r="E42" s="8"/>
      <c r="F42" s="8"/>
      <c r="G42" s="8"/>
      <c r="H42" s="8">
        <v>-27889.850000000002</v>
      </c>
      <c r="P42">
        <f>COUNTIF(DRE[[#All],[DEMONSTRATIVO DE RESULTADO GERENCIAL]],B42)</f>
        <v>1</v>
      </c>
      <c r="R42" t="str">
        <f>VLOOKUP(B42,DRE!A:A,1,FALSE)</f>
        <v>MULTA RESCISORIAS FGTS</v>
      </c>
    </row>
    <row r="43" spans="1:28" x14ac:dyDescent="0.3">
      <c r="A43" s="5">
        <v>4</v>
      </c>
      <c r="B43" s="66" t="s">
        <v>189</v>
      </c>
      <c r="C43" s="8">
        <v>-1590.71</v>
      </c>
      <c r="D43" s="8">
        <v>-1433.0391460000001</v>
      </c>
      <c r="E43" s="8">
        <v>-100</v>
      </c>
      <c r="F43" s="8">
        <v>-2231.0030740000002</v>
      </c>
      <c r="G43" s="8">
        <v>-325.40457600000002</v>
      </c>
      <c r="H43" s="8">
        <v>-5680.1567960000002</v>
      </c>
      <c r="P43">
        <f>COUNTIF(DRE[[#All],[DEMONSTRATIVO DE RESULTADO GERENCIAL]],B43)</f>
        <v>1</v>
      </c>
      <c r="R43" t="str">
        <f>VLOOKUP(B43,DRE!A:A,1,FALSE)</f>
        <v>PASSAGENS COLABORADORES</v>
      </c>
    </row>
    <row r="44" spans="1:28" x14ac:dyDescent="0.3">
      <c r="A44" s="5">
        <v>4</v>
      </c>
      <c r="B44" s="66" t="s">
        <v>3676</v>
      </c>
      <c r="C44" s="8"/>
      <c r="D44" s="8"/>
      <c r="E44" s="8"/>
      <c r="F44" s="8"/>
      <c r="G44" s="8">
        <v>-4319.9520872484673</v>
      </c>
      <c r="H44" s="8">
        <v>-4319.9520872484673</v>
      </c>
      <c r="P44">
        <f>COUNTIF(DRE[[#All],[DEMONSTRATIVO DE RESULTADO GERENCIAL]],B44)</f>
        <v>1</v>
      </c>
      <c r="R44" t="str">
        <f>VLOOKUP(B44,DRE!A:A,1,FALSE)</f>
        <v>PREVISAO FÉRIAS</v>
      </c>
    </row>
    <row r="45" spans="1:28" x14ac:dyDescent="0.3">
      <c r="A45" s="5">
        <v>4</v>
      </c>
      <c r="B45" s="66" t="s">
        <v>184</v>
      </c>
      <c r="C45" s="8">
        <v>-37508</v>
      </c>
      <c r="D45" s="8">
        <v>-12531.145096</v>
      </c>
      <c r="E45" s="8">
        <v>-11818</v>
      </c>
      <c r="F45" s="8">
        <v>-6302.2125470000001</v>
      </c>
      <c r="G45" s="8">
        <v>-12595</v>
      </c>
      <c r="H45" s="8">
        <v>-80754.357642999996</v>
      </c>
      <c r="P45">
        <f>COUNTIF(DRE[[#All],[DEMONSTRATIVO DE RESULTADO GERENCIAL]],B45)</f>
        <v>1</v>
      </c>
      <c r="R45" t="str">
        <f>VLOOKUP(B45,DRE!A:A,1,FALSE)</f>
        <v>REFEIÇÕES COLABORADORES</v>
      </c>
    </row>
    <row r="46" spans="1:28" x14ac:dyDescent="0.3">
      <c r="A46" s="5">
        <v>4</v>
      </c>
      <c r="B46" s="66" t="s">
        <v>180</v>
      </c>
      <c r="C46" s="8">
        <v>-89957.13</v>
      </c>
      <c r="D46" s="8">
        <v>-78180.87</v>
      </c>
      <c r="E46" s="8">
        <v>-32628.440687999999</v>
      </c>
      <c r="F46" s="8">
        <v>-30150.883475999999</v>
      </c>
      <c r="G46" s="8">
        <v>-29306.023544</v>
      </c>
      <c r="H46" s="8">
        <v>-260223.34770799999</v>
      </c>
      <c r="P46">
        <f>COUNTIF(DRE[[#All],[DEMONSTRATIVO DE RESULTADO GERENCIAL]],B46)</f>
        <v>1</v>
      </c>
      <c r="R46" t="str">
        <f>VLOOKUP(B46,DRE!A:A,1,FALSE)</f>
        <v>SALARIO</v>
      </c>
    </row>
    <row r="47" spans="1:28" x14ac:dyDescent="0.3">
      <c r="A47" s="5">
        <v>4</v>
      </c>
      <c r="B47" s="66" t="s">
        <v>192</v>
      </c>
      <c r="C47" s="8">
        <v>-272.8</v>
      </c>
      <c r="D47" s="8">
        <v>-228.8</v>
      </c>
      <c r="E47" s="8">
        <v>-79.228927999999996</v>
      </c>
      <c r="F47" s="8">
        <v>-70.325766000000002</v>
      </c>
      <c r="G47" s="8">
        <v>-87.992142000000001</v>
      </c>
      <c r="H47" s="8">
        <v>-739.14683600000012</v>
      </c>
      <c r="P47">
        <f>COUNTIF(DRE[[#All],[DEMONSTRATIVO DE RESULTADO GERENCIAL]],B47)</f>
        <v>1</v>
      </c>
      <c r="R47" t="str">
        <f>VLOOKUP(B47,DRE!A:A,1,FALSE)</f>
        <v xml:space="preserve">SEGUROS DE VIDA </v>
      </c>
    </row>
    <row r="48" spans="1:28" x14ac:dyDescent="0.3">
      <c r="A48" s="5">
        <v>4</v>
      </c>
      <c r="B48" s="66" t="s">
        <v>187</v>
      </c>
      <c r="C48" s="8"/>
      <c r="D48" s="8"/>
      <c r="E48" s="8"/>
      <c r="F48" s="8"/>
      <c r="G48" s="8">
        <v>-200</v>
      </c>
      <c r="H48" s="8">
        <v>-200</v>
      </c>
      <c r="P48">
        <f>COUNTIF(DRE[[#All],[DEMONSTRATIVO DE RESULTADO GERENCIAL]],B48)</f>
        <v>1</v>
      </c>
      <c r="R48" t="str">
        <f>VLOOKUP(B48,DRE!A:A,1,FALSE)</f>
        <v xml:space="preserve">TRANSPORTE DE COLABORADORES </v>
      </c>
    </row>
    <row r="49" spans="1:18" x14ac:dyDescent="0.3">
      <c r="A49" s="5">
        <v>4</v>
      </c>
      <c r="B49" s="66" t="s">
        <v>193</v>
      </c>
      <c r="C49" s="8">
        <v>-1370</v>
      </c>
      <c r="D49" s="8">
        <v>-1370</v>
      </c>
      <c r="E49" s="8">
        <v>-970</v>
      </c>
      <c r="F49" s="8">
        <v>-197.16136399999999</v>
      </c>
      <c r="G49" s="8">
        <v>-768.72019499999999</v>
      </c>
      <c r="H49" s="8">
        <v>-4675.8815590000004</v>
      </c>
      <c r="P49">
        <f>COUNTIF(DRE[[#All],[DEMONSTRATIVO DE RESULTADO GERENCIAL]],B49)</f>
        <v>1</v>
      </c>
      <c r="R49" t="str">
        <f>VLOOKUP(B49,DRE!A:A,1,FALSE)</f>
        <v>VALE ALIMENTAÇÃO</v>
      </c>
    </row>
    <row r="50" spans="1:18" x14ac:dyDescent="0.3">
      <c r="A50" s="5">
        <v>4</v>
      </c>
      <c r="B50" s="65" t="s">
        <v>179</v>
      </c>
      <c r="C50" s="8">
        <v>-12925</v>
      </c>
      <c r="D50" s="8">
        <v>-6940</v>
      </c>
      <c r="E50" s="8">
        <v>-7031.08</v>
      </c>
      <c r="F50" s="8">
        <v>-2509.9414529999999</v>
      </c>
      <c r="G50" s="8">
        <v>-3336</v>
      </c>
      <c r="H50" s="8">
        <v>-32742.021453000001</v>
      </c>
      <c r="P50">
        <f>COUNTIF(DRE[[#All],[DEMONSTRATIVO DE RESULTADO GERENCIAL]],B50)</f>
        <v>1</v>
      </c>
      <c r="R50" t="str">
        <f>VLOOKUP(B50,DRE!A:A,1,FALSE)</f>
        <v>Despesas com Veículos e Equipamentos</v>
      </c>
    </row>
    <row r="51" spans="1:18" x14ac:dyDescent="0.3">
      <c r="A51" s="5">
        <v>4</v>
      </c>
      <c r="B51" s="66" t="s">
        <v>221</v>
      </c>
      <c r="C51" s="8">
        <v>-10650.4</v>
      </c>
      <c r="D51" s="8">
        <v>-6200</v>
      </c>
      <c r="E51" s="8">
        <v>-4100.08</v>
      </c>
      <c r="F51" s="8">
        <v>-2000</v>
      </c>
      <c r="G51" s="8">
        <v>-2000</v>
      </c>
      <c r="H51" s="8">
        <v>-24950.480000000003</v>
      </c>
      <c r="P51">
        <f>COUNTIF(DRE[[#All],[DEMONSTRATIVO DE RESULTADO GERENCIAL]],B51)</f>
        <v>1</v>
      </c>
      <c r="R51" t="str">
        <f>VLOOKUP(B51,DRE!A:A,1,FALSE)</f>
        <v>COMBUSTIVEL VEICULOS</v>
      </c>
    </row>
    <row r="52" spans="1:18" x14ac:dyDescent="0.3">
      <c r="A52" s="5">
        <v>4</v>
      </c>
      <c r="B52" s="66" t="s">
        <v>220</v>
      </c>
      <c r="C52" s="8">
        <v>-1899</v>
      </c>
      <c r="D52" s="8">
        <v>-350</v>
      </c>
      <c r="E52" s="8">
        <v>-2511</v>
      </c>
      <c r="F52" s="8">
        <v>-90</v>
      </c>
      <c r="G52" s="8">
        <v>-916</v>
      </c>
      <c r="H52" s="8">
        <v>-5766</v>
      </c>
      <c r="P52">
        <f>COUNTIF(DRE[[#All],[DEMONSTRATIVO DE RESULTADO GERENCIAL]],B52)</f>
        <v>1</v>
      </c>
      <c r="R52" t="str">
        <f>VLOOKUP(B52,DRE!A:A,1,FALSE)</f>
        <v>MANUTENÇÃO/PEÇAS  VEICULOS</v>
      </c>
    </row>
    <row r="53" spans="1:18" x14ac:dyDescent="0.3">
      <c r="A53" s="5">
        <v>4</v>
      </c>
      <c r="B53" s="66" t="s">
        <v>223</v>
      </c>
      <c r="C53" s="8">
        <v>-145.6</v>
      </c>
      <c r="D53" s="8"/>
      <c r="E53" s="8"/>
      <c r="F53" s="8"/>
      <c r="G53" s="8"/>
      <c r="H53" s="8">
        <v>-145.6</v>
      </c>
      <c r="P53">
        <f>COUNTIF(DRE[[#All],[DEMONSTRATIVO DE RESULTADO GERENCIAL]],B53)</f>
        <v>1</v>
      </c>
      <c r="R53" t="str">
        <f>VLOOKUP(B53,DRE!A:A,1,FALSE)</f>
        <v xml:space="preserve">PEDAGIOS </v>
      </c>
    </row>
    <row r="54" spans="1:18" x14ac:dyDescent="0.3">
      <c r="A54" s="5">
        <v>4</v>
      </c>
      <c r="B54" s="66" t="s">
        <v>227</v>
      </c>
      <c r="C54" s="8">
        <v>-230</v>
      </c>
      <c r="D54" s="8">
        <v>-390</v>
      </c>
      <c r="E54" s="8">
        <v>-420</v>
      </c>
      <c r="F54" s="8">
        <v>-419.94145300000002</v>
      </c>
      <c r="G54" s="8">
        <v>-420</v>
      </c>
      <c r="H54" s="8">
        <v>-1879.9414529999999</v>
      </c>
      <c r="P54">
        <f>COUNTIF(DRE[[#All],[DEMONSTRATIVO DE RESULTADO GERENCIAL]],B54)</f>
        <v>1</v>
      </c>
      <c r="R54" t="str">
        <f>VLOOKUP(B54,DRE!A:A,1,FALSE)</f>
        <v>SERVIÇO LAVA JATO</v>
      </c>
    </row>
    <row r="55" spans="1:18" x14ac:dyDescent="0.3">
      <c r="A55" s="5">
        <v>4</v>
      </c>
      <c r="B55" s="65" t="s">
        <v>228</v>
      </c>
      <c r="C55" s="8">
        <v>-2470.96</v>
      </c>
      <c r="D55" s="8">
        <v>-1533.54</v>
      </c>
      <c r="E55" s="8">
        <v>-1533.54</v>
      </c>
      <c r="F55" s="8">
        <v>-633.54</v>
      </c>
      <c r="G55" s="8">
        <v>-2478.54</v>
      </c>
      <c r="H55" s="8">
        <v>-8650.119999999999</v>
      </c>
      <c r="P55">
        <f>COUNTIF(DRE[[#All],[DEMONSTRATIVO DE RESULTADO GERENCIAL]],B55)</f>
        <v>1</v>
      </c>
      <c r="R55" t="str">
        <f>VLOOKUP(B55,DRE!A:A,1,FALSE)</f>
        <v>Despesas com Locações</v>
      </c>
    </row>
    <row r="56" spans="1:18" x14ac:dyDescent="0.3">
      <c r="A56" s="5">
        <v>4</v>
      </c>
      <c r="B56" s="66" t="s">
        <v>234</v>
      </c>
      <c r="C56" s="8">
        <v>-2470.96</v>
      </c>
      <c r="D56" s="8">
        <v>-1533.54</v>
      </c>
      <c r="E56" s="8">
        <v>-1533.54</v>
      </c>
      <c r="F56" s="8">
        <v>-633.54</v>
      </c>
      <c r="G56" s="8">
        <v>-2478.54</v>
      </c>
      <c r="H56" s="8">
        <v>-8650.119999999999</v>
      </c>
      <c r="P56">
        <f>COUNTIF(DRE[[#All],[DEMONSTRATIVO DE RESULTADO GERENCIAL]],B56)</f>
        <v>1</v>
      </c>
      <c r="R56" t="str">
        <f>VLOOKUP(B56,DRE!A:A,1,FALSE)</f>
        <v xml:space="preserve">LOCAÇÃO CONTAINER </v>
      </c>
    </row>
    <row r="57" spans="1:18" x14ac:dyDescent="0.3">
      <c r="A57" s="5">
        <v>4</v>
      </c>
      <c r="B57" s="65" t="s">
        <v>265</v>
      </c>
      <c r="C57" s="8">
        <v>-720</v>
      </c>
      <c r="D57" s="8">
        <v>-2379</v>
      </c>
      <c r="E57" s="8">
        <v>-2050</v>
      </c>
      <c r="F57" s="8">
        <v>-1817</v>
      </c>
      <c r="G57" s="8">
        <v>-1424</v>
      </c>
      <c r="H57" s="8">
        <v>-8390</v>
      </c>
      <c r="P57">
        <f>COUNTIF(DRE[[#All],[DEMONSTRATIVO DE RESULTADO GERENCIAL]],B57)</f>
        <v>1</v>
      </c>
      <c r="R57" t="str">
        <f>VLOOKUP(B57,DRE!A:A,1,FALSE)</f>
        <v>Despesas com Viagens e Hospedagens</v>
      </c>
    </row>
    <row r="58" spans="1:18" x14ac:dyDescent="0.3">
      <c r="A58" s="5">
        <v>4</v>
      </c>
      <c r="B58" s="66" t="s">
        <v>266</v>
      </c>
      <c r="C58" s="8">
        <v>-720</v>
      </c>
      <c r="D58" s="8">
        <v>-2379</v>
      </c>
      <c r="E58" s="8">
        <v>-2050</v>
      </c>
      <c r="F58" s="8">
        <v>-1817</v>
      </c>
      <c r="G58" s="8">
        <v>-1424</v>
      </c>
      <c r="H58" s="8">
        <v>-8390</v>
      </c>
      <c r="P58">
        <f>COUNTIF(DRE[[#All],[DEMONSTRATIVO DE RESULTADO GERENCIAL]],B58)</f>
        <v>1</v>
      </c>
      <c r="R58" t="str">
        <f>VLOOKUP(B58,DRE!A:A,1,FALSE)</f>
        <v xml:space="preserve">HOTEL COLABORADORES </v>
      </c>
    </row>
    <row r="59" spans="1:18" x14ac:dyDescent="0.3">
      <c r="A59" s="5">
        <v>4</v>
      </c>
      <c r="B59" s="65" t="s">
        <v>242</v>
      </c>
      <c r="C59" s="8">
        <v>-989.39</v>
      </c>
      <c r="D59" s="8">
        <v>-2492.2399999999998</v>
      </c>
      <c r="E59" s="8">
        <v>-577.5</v>
      </c>
      <c r="F59" s="8">
        <v>-12</v>
      </c>
      <c r="G59" s="8">
        <v>-1175</v>
      </c>
      <c r="H59" s="8">
        <v>-5246.13</v>
      </c>
      <c r="P59">
        <f>COUNTIF(DRE[[#All],[DEMONSTRATIVO DE RESULTADO GERENCIAL]],B59)</f>
        <v>1</v>
      </c>
      <c r="R59" t="str">
        <f>VLOOKUP(B59,DRE!A:A,1,FALSE)</f>
        <v>Despesas com Máquinas e Equipamentos</v>
      </c>
    </row>
    <row r="60" spans="1:18" x14ac:dyDescent="0.3">
      <c r="A60" s="5">
        <v>4</v>
      </c>
      <c r="B60" s="66" t="s">
        <v>255</v>
      </c>
      <c r="C60" s="8">
        <v>-188.79</v>
      </c>
      <c r="D60" s="8"/>
      <c r="E60" s="8"/>
      <c r="F60" s="8"/>
      <c r="G60" s="8"/>
      <c r="H60" s="8">
        <v>-188.79</v>
      </c>
      <c r="P60">
        <f>COUNTIF(DRE[[#All],[DEMONSTRATIVO DE RESULTADO GERENCIAL]],B60)</f>
        <v>1</v>
      </c>
      <c r="R60" t="str">
        <f>VLOOKUP(B60,DRE!A:A,1,FALSE)</f>
        <v>COMBUSTIVEL EQUIPAMENTOS</v>
      </c>
    </row>
    <row r="61" spans="1:18" x14ac:dyDescent="0.3">
      <c r="A61" s="5">
        <v>4</v>
      </c>
      <c r="B61" s="66" t="s">
        <v>247</v>
      </c>
      <c r="C61" s="8"/>
      <c r="D61" s="8">
        <v>-27</v>
      </c>
      <c r="E61" s="8"/>
      <c r="F61" s="8"/>
      <c r="G61" s="8"/>
      <c r="H61" s="8">
        <v>-27</v>
      </c>
      <c r="P61">
        <f>COUNTIF(DRE[[#All],[DEMONSTRATIVO DE RESULTADO GERENCIAL]],B61)</f>
        <v>1</v>
      </c>
      <c r="R61" t="str">
        <f>VLOOKUP(B61,DRE!A:A,1,FALSE)</f>
        <v xml:space="preserve">MATERIAIS / FERRAMENTAS  MANUAIS </v>
      </c>
    </row>
    <row r="62" spans="1:18" x14ac:dyDescent="0.3">
      <c r="A62" s="5">
        <v>4</v>
      </c>
      <c r="B62" s="66" t="s">
        <v>250</v>
      </c>
      <c r="C62" s="8">
        <v>-800.6</v>
      </c>
      <c r="D62" s="8">
        <v>-2465.2399999999998</v>
      </c>
      <c r="E62" s="8">
        <v>-577.5</v>
      </c>
      <c r="F62" s="8">
        <v>-12</v>
      </c>
      <c r="G62" s="8">
        <v>-1175</v>
      </c>
      <c r="H62" s="8">
        <v>-5030.34</v>
      </c>
      <c r="P62">
        <f>COUNTIF(DRE[[#All],[DEMONSTRATIVO DE RESULTADO GERENCIAL]],B62)</f>
        <v>1</v>
      </c>
      <c r="R62" t="str">
        <f>VLOOKUP(B62,DRE!A:A,1,FALSE)</f>
        <v xml:space="preserve">MATERIAIS DE CONSUMO EM OBRAS </v>
      </c>
    </row>
    <row r="63" spans="1:18" x14ac:dyDescent="0.3">
      <c r="A63" s="5">
        <v>6</v>
      </c>
      <c r="B63" s="5" t="s">
        <v>67</v>
      </c>
      <c r="C63" s="8"/>
      <c r="D63" s="8"/>
      <c r="E63" s="8"/>
      <c r="F63" s="8">
        <v>-31.571072999999998</v>
      </c>
      <c r="G63" s="8"/>
      <c r="H63" s="8">
        <v>-31.571072999999998</v>
      </c>
      <c r="P63">
        <f>COUNTIF(DRE[[#All],[DEMONSTRATIVO DE RESULTADO GERENCIAL]],B63)</f>
        <v>1</v>
      </c>
      <c r="R63" t="str">
        <f>VLOOKUP(B63,DRE!A:A,1,FALSE)</f>
        <v>(+/-)Despesas e Receitas Financeiras</v>
      </c>
    </row>
    <row r="64" spans="1:18" x14ac:dyDescent="0.3">
      <c r="A64" s="5">
        <v>6</v>
      </c>
      <c r="B64" s="65" t="s">
        <v>161</v>
      </c>
      <c r="C64" s="8"/>
      <c r="D64" s="8"/>
      <c r="E64" s="8"/>
      <c r="F64" s="8">
        <v>-31.571072999999998</v>
      </c>
      <c r="G64" s="8"/>
      <c r="H64" s="8">
        <v>-31.571072999999998</v>
      </c>
      <c r="P64">
        <f>COUNTIF(DRE[[#All],[DEMONSTRATIVO DE RESULTADO GERENCIAL]],B64)</f>
        <v>1</v>
      </c>
      <c r="R64" t="str">
        <f>VLOOKUP(B64,DRE!A:A,1,FALSE)</f>
        <v>(-) Despesas Financeiras</v>
      </c>
    </row>
    <row r="65" spans="1:18" x14ac:dyDescent="0.3">
      <c r="A65" s="5">
        <v>6</v>
      </c>
      <c r="B65" s="66" t="s">
        <v>1749</v>
      </c>
      <c r="C65" s="8"/>
      <c r="D65" s="8"/>
      <c r="E65" s="8"/>
      <c r="F65" s="8">
        <v>-31.571072999999998</v>
      </c>
      <c r="G65" s="8"/>
      <c r="H65" s="8">
        <v>-31.571072999999998</v>
      </c>
      <c r="P65">
        <f>COUNTIF(DRE[[#All],[DEMONSTRATIVO DE RESULTADO GERENCIAL]],B65)</f>
        <v>1</v>
      </c>
      <c r="R65" t="str">
        <f>VLOOKUP(B65,DRE!A:A,1,FALSE)</f>
        <v>Juros Bancários</v>
      </c>
    </row>
    <row r="66" spans="1:18" x14ac:dyDescent="0.3">
      <c r="A66" s="5">
        <v>7</v>
      </c>
      <c r="B66" s="5" t="s">
        <v>37</v>
      </c>
      <c r="C66" s="8">
        <v>-1317.3600000000001</v>
      </c>
      <c r="D66" s="8">
        <v>-4048.63</v>
      </c>
      <c r="E66" s="8"/>
      <c r="F66" s="8"/>
      <c r="G66" s="8"/>
      <c r="H66" s="8">
        <v>-5365.99</v>
      </c>
      <c r="P66">
        <f>COUNTIF(DRE[[#All],[DEMONSTRATIVO DE RESULTADO GERENCIAL]],B66)</f>
        <v>1</v>
      </c>
      <c r="R66" t="str">
        <f>VLOOKUP(B66,DRE!A:A,1,FALSE)</f>
        <v>(-)IRPJ/CSLL</v>
      </c>
    </row>
    <row r="67" spans="1:18" x14ac:dyDescent="0.3">
      <c r="A67" s="5">
        <v>7</v>
      </c>
      <c r="B67" s="65" t="s">
        <v>25</v>
      </c>
      <c r="C67" s="8">
        <v>-1317.3600000000001</v>
      </c>
      <c r="D67" s="8">
        <v>-4048.63</v>
      </c>
      <c r="E67" s="8"/>
      <c r="F67" s="8"/>
      <c r="G67" s="8"/>
      <c r="H67" s="8">
        <v>-5365.99</v>
      </c>
      <c r="P67">
        <f>COUNTIF(DRE[[#All],[DEMONSTRATIVO DE RESULTADO GERENCIAL]],B67)</f>
        <v>0</v>
      </c>
      <c r="R67" t="e">
        <f>VLOOKUP(B67,DRE!A:A,1,FALSE)</f>
        <v>#N/A</v>
      </c>
    </row>
    <row r="68" spans="1:18" x14ac:dyDescent="0.3">
      <c r="A68" s="5">
        <v>7</v>
      </c>
      <c r="B68" s="66" t="s">
        <v>21</v>
      </c>
      <c r="C68" s="8">
        <v>-1317.3600000000001</v>
      </c>
      <c r="D68" s="8">
        <v>-4048.63</v>
      </c>
      <c r="E68" s="8"/>
      <c r="F68" s="8"/>
      <c r="G68" s="8"/>
      <c r="H68" s="8">
        <v>-5365.99</v>
      </c>
      <c r="P68">
        <f>COUNTIF(DRE[[#All],[DEMONSTRATIVO DE RESULTADO GERENCIAL]],B68)</f>
        <v>1</v>
      </c>
      <c r="R68" t="str">
        <f>VLOOKUP(B68,DRE!A:A,1,FALSE)</f>
        <v>CSLL</v>
      </c>
    </row>
    <row r="69" spans="1:18" x14ac:dyDescent="0.3">
      <c r="A69" s="5" t="s">
        <v>76</v>
      </c>
      <c r="C69" s="8">
        <v>-111783.32999999999</v>
      </c>
      <c r="D69" s="8">
        <v>148244.08134600002</v>
      </c>
      <c r="E69" s="8">
        <v>-86865.256095999997</v>
      </c>
      <c r="F69" s="8">
        <v>-65501.580037999993</v>
      </c>
      <c r="G69" s="8">
        <v>-74954.096102915137</v>
      </c>
      <c r="H69" s="8">
        <v>-190860.18089091504</v>
      </c>
      <c r="P69">
        <f>COUNTIF(DRE[[#All],[DEMONSTRATIVO DE RESULTADO GERENCIAL]],B69)</f>
        <v>0</v>
      </c>
      <c r="R69" t="e">
        <f>VLOOKUP(B69,DRE!A:A,1,FALSE)</f>
        <v>#N/A</v>
      </c>
    </row>
    <row r="70" spans="1:18" x14ac:dyDescent="0.3">
      <c r="P70">
        <f>COUNTIF(DRE[[#All],[DEMONSTRATIVO DE RESULTADO GERENCIAL]],B70)</f>
        <v>0</v>
      </c>
      <c r="R70" t="e">
        <f>VLOOKUP(B70,DRE!A:A,1,FALSE)</f>
        <v>#N/A</v>
      </c>
    </row>
    <row r="71" spans="1:18" x14ac:dyDescent="0.3">
      <c r="P71">
        <f>COUNTIF(DRE[[#All],[DEMONSTRATIVO DE RESULTADO GERENCIAL]],B71)</f>
        <v>0</v>
      </c>
      <c r="R71" t="e">
        <f>VLOOKUP(B71,DRE!A:A,1,FALSE)</f>
        <v>#N/A</v>
      </c>
    </row>
    <row r="72" spans="1:18" x14ac:dyDescent="0.3">
      <c r="P72">
        <f>COUNTIF(DRE[[#All],[DEMONSTRATIVO DE RESULTADO GERENCIAL]],B72)</f>
        <v>0</v>
      </c>
      <c r="R72" t="e">
        <f>VLOOKUP(B72,DRE!A:A,1,FALSE)</f>
        <v>#N/A</v>
      </c>
    </row>
    <row r="73" spans="1:18" x14ac:dyDescent="0.3">
      <c r="P73">
        <f>COUNTIF(DRE[[#All],[DEMONSTRATIVO DE RESULTADO GERENCIAL]],B73)</f>
        <v>0</v>
      </c>
      <c r="R73" t="e">
        <f>VLOOKUP(B73,DRE!A:A,1,FALSE)</f>
        <v>#N/A</v>
      </c>
    </row>
    <row r="74" spans="1:18" x14ac:dyDescent="0.3">
      <c r="P74">
        <f>COUNTIF(DRE[[#All],[DEMONSTRATIVO DE RESULTADO GERENCIAL]],B74)</f>
        <v>0</v>
      </c>
      <c r="R74" t="e">
        <f>VLOOKUP(B74,DRE!A:A,1,FALSE)</f>
        <v>#N/A</v>
      </c>
    </row>
    <row r="75" spans="1:18" x14ac:dyDescent="0.3">
      <c r="P75">
        <f>COUNTIF(DRE[[#All],[DEMONSTRATIVO DE RESULTADO GERENCIAL]],B75)</f>
        <v>0</v>
      </c>
      <c r="R75" t="e">
        <f>VLOOKUP(B75,DRE!A:A,1,FALSE)</f>
        <v>#N/A</v>
      </c>
    </row>
    <row r="76" spans="1:18" x14ac:dyDescent="0.3">
      <c r="P76">
        <f>COUNTIF(DRE[[#All],[DEMONSTRATIVO DE RESULTADO GERENCIAL]],B76)</f>
        <v>0</v>
      </c>
      <c r="R76" t="e">
        <f>VLOOKUP(B76,DRE!A:A,1,FALSE)</f>
        <v>#N/A</v>
      </c>
    </row>
    <row r="77" spans="1:18" x14ac:dyDescent="0.3">
      <c r="P77">
        <f>COUNTIF(DRE[[#All],[DEMONSTRATIVO DE RESULTADO GERENCIAL]],B77)</f>
        <v>0</v>
      </c>
      <c r="R77" t="e">
        <f>VLOOKUP(B77,DRE!A:A,1,FALSE)</f>
        <v>#N/A</v>
      </c>
    </row>
    <row r="78" spans="1:18" x14ac:dyDescent="0.3">
      <c r="P78">
        <f>COUNTIF(DRE[[#All],[DEMONSTRATIVO DE RESULTADO GERENCIAL]],B78)</f>
        <v>0</v>
      </c>
      <c r="R78" t="e">
        <f>VLOOKUP(B78,DRE!A:A,1,FALSE)</f>
        <v>#N/A</v>
      </c>
    </row>
    <row r="79" spans="1:18" x14ac:dyDescent="0.3">
      <c r="P79">
        <f>COUNTIF(DRE[[#All],[DEMONSTRATIVO DE RESULTADO GERENCIAL]],B79)</f>
        <v>0</v>
      </c>
      <c r="R79" t="e">
        <f>VLOOKUP(B79,DRE!A:A,1,FALSE)</f>
        <v>#N/A</v>
      </c>
    </row>
    <row r="80" spans="1:18" x14ac:dyDescent="0.3">
      <c r="P80">
        <f>COUNTIF(DRE[[#All],[DEMONSTRATIVO DE RESULTADO GERENCIAL]],B80)</f>
        <v>0</v>
      </c>
      <c r="R80" t="e">
        <f>VLOOKUP(B80,DRE!A:A,1,FALSE)</f>
        <v>#N/A</v>
      </c>
    </row>
    <row r="81" spans="16:18" x14ac:dyDescent="0.3">
      <c r="P81">
        <f>COUNTIF(DRE[[#All],[DEMONSTRATIVO DE RESULTADO GERENCIAL]],B81)</f>
        <v>0</v>
      </c>
      <c r="R81" t="e">
        <f>VLOOKUP(B81,DRE!A:A,1,FALSE)</f>
        <v>#N/A</v>
      </c>
    </row>
    <row r="82" spans="16:18" x14ac:dyDescent="0.3">
      <c r="P82">
        <f>COUNTIF(DRE[[#All],[DEMONSTRATIVO DE RESULTADO GERENCIAL]],B82)</f>
        <v>0</v>
      </c>
      <c r="R82" t="e">
        <f>VLOOKUP(B82,DRE!A:A,1,FALSE)</f>
        <v>#N/A</v>
      </c>
    </row>
    <row r="83" spans="16:18" x14ac:dyDescent="0.3">
      <c r="P83">
        <f>COUNTIF(DRE[[#All],[DEMONSTRATIVO DE RESULTADO GERENCIAL]],B83)</f>
        <v>0</v>
      </c>
      <c r="R83" t="e">
        <f>VLOOKUP(B83,DRE!A:A,1,FALSE)</f>
        <v>#N/A</v>
      </c>
    </row>
    <row r="84" spans="16:18" x14ac:dyDescent="0.3">
      <c r="P84">
        <f>COUNTIF(DRE[[#All],[DEMONSTRATIVO DE RESULTADO GERENCIAL]],B84)</f>
        <v>0</v>
      </c>
      <c r="R84" t="e">
        <f>VLOOKUP(B84,DRE!A:A,1,FALSE)</f>
        <v>#N/A</v>
      </c>
    </row>
    <row r="85" spans="16:18" x14ac:dyDescent="0.3">
      <c r="P85">
        <f>COUNTIF(DRE[[#All],[DEMONSTRATIVO DE RESULTADO GERENCIAL]],B85)</f>
        <v>0</v>
      </c>
      <c r="R85" t="e">
        <f>VLOOKUP(B85,DRE!A:A,1,FALSE)</f>
        <v>#N/A</v>
      </c>
    </row>
    <row r="86" spans="16:18" x14ac:dyDescent="0.3">
      <c r="P86">
        <f>COUNTIF(DRE[[#All],[DEMONSTRATIVO DE RESULTADO GERENCIAL]],B86)</f>
        <v>0</v>
      </c>
      <c r="R86" t="e">
        <f>VLOOKUP(B86,DRE!A:A,1,FALSE)</f>
        <v>#N/A</v>
      </c>
    </row>
    <row r="87" spans="16:18" x14ac:dyDescent="0.3">
      <c r="P87">
        <f>COUNTIF(DRE[[#All],[DEMONSTRATIVO DE RESULTADO GERENCIAL]],B87)</f>
        <v>0</v>
      </c>
      <c r="R87" t="e">
        <f>VLOOKUP(B87,DRE!A:A,1,FALSE)</f>
        <v>#N/A</v>
      </c>
    </row>
    <row r="88" spans="16:18" x14ac:dyDescent="0.3">
      <c r="P88">
        <f>COUNTIF(DRE[[#All],[DEMONSTRATIVO DE RESULTADO GERENCIAL]],B88)</f>
        <v>0</v>
      </c>
      <c r="R88" t="e">
        <f>VLOOKUP(B88,DRE!A:A,1,FALSE)</f>
        <v>#N/A</v>
      </c>
    </row>
    <row r="89" spans="16:18" x14ac:dyDescent="0.3">
      <c r="P89">
        <f>COUNTIF(DRE[[#All],[DEMONSTRATIVO DE RESULTADO GERENCIAL]],B89)</f>
        <v>0</v>
      </c>
      <c r="R89" t="e">
        <f>VLOOKUP(B89,DRE!A:A,1,FALSE)</f>
        <v>#N/A</v>
      </c>
    </row>
    <row r="90" spans="16:18" x14ac:dyDescent="0.3">
      <c r="P90">
        <f>COUNTIF(DRE[[#All],[DEMONSTRATIVO DE RESULTADO GERENCIAL]],B90)</f>
        <v>0</v>
      </c>
      <c r="R90" t="e">
        <f>VLOOKUP(B90,DRE!A:A,1,FALSE)</f>
        <v>#N/A</v>
      </c>
    </row>
    <row r="91" spans="16:18" x14ac:dyDescent="0.3">
      <c r="P91">
        <f>COUNTIF(DRE[[#All],[DEMONSTRATIVO DE RESULTADO GERENCIAL]],B91)</f>
        <v>0</v>
      </c>
      <c r="R91" t="e">
        <f>VLOOKUP(B91,DRE!A:A,1,FALSE)</f>
        <v>#N/A</v>
      </c>
    </row>
    <row r="92" spans="16:18" x14ac:dyDescent="0.3">
      <c r="P92">
        <f>COUNTIF(DRE[[#All],[DEMONSTRATIVO DE RESULTADO GERENCIAL]],B92)</f>
        <v>0</v>
      </c>
      <c r="R92" t="e">
        <f>VLOOKUP(B92,DRE!A:A,1,FALSE)</f>
        <v>#N/A</v>
      </c>
    </row>
    <row r="93" spans="16:18" x14ac:dyDescent="0.3">
      <c r="P93">
        <f>COUNTIF(DRE[[#All],[DEMONSTRATIVO DE RESULTADO GERENCIAL]],B93)</f>
        <v>0</v>
      </c>
      <c r="R93" t="e">
        <f>VLOOKUP(B93,DRE!A:A,1,FALSE)</f>
        <v>#N/A</v>
      </c>
    </row>
    <row r="94" spans="16:18" x14ac:dyDescent="0.3">
      <c r="P94">
        <f>COUNTIF(DRE[[#All],[DEMONSTRATIVO DE RESULTADO GERENCIAL]],B94)</f>
        <v>0</v>
      </c>
      <c r="R94" t="e">
        <f>VLOOKUP(B94,DRE!A:A,1,FALSE)</f>
        <v>#N/A</v>
      </c>
    </row>
    <row r="95" spans="16:18" x14ac:dyDescent="0.3">
      <c r="P95">
        <f>COUNTIF(DRE[[#All],[DEMONSTRATIVO DE RESULTADO GERENCIAL]],B95)</f>
        <v>0</v>
      </c>
      <c r="R95" t="e">
        <f>VLOOKUP(B95,DRE!A:A,1,FALSE)</f>
        <v>#N/A</v>
      </c>
    </row>
    <row r="96" spans="16:18" x14ac:dyDescent="0.3">
      <c r="P96">
        <f>COUNTIF(DRE[[#All],[DEMONSTRATIVO DE RESULTADO GERENCIAL]],B96)</f>
        <v>0</v>
      </c>
      <c r="R96" t="e">
        <f>VLOOKUP(B96,DRE!A:A,1,FALSE)</f>
        <v>#N/A</v>
      </c>
    </row>
    <row r="97" spans="16:18" x14ac:dyDescent="0.3">
      <c r="P97">
        <f>COUNTIF(DRE[[#All],[DEMONSTRATIVO DE RESULTADO GERENCIAL]],B97)</f>
        <v>0</v>
      </c>
      <c r="R97" t="e">
        <f>VLOOKUP(B97,DRE!A:A,1,FALSE)</f>
        <v>#N/A</v>
      </c>
    </row>
    <row r="98" spans="16:18" x14ac:dyDescent="0.3">
      <c r="P98">
        <f>COUNTIF(DRE[[#All],[DEMONSTRATIVO DE RESULTADO GERENCIAL]],B98)</f>
        <v>0</v>
      </c>
      <c r="R98" t="e">
        <f>VLOOKUP(B98,DRE!A:A,1,FALSE)</f>
        <v>#N/A</v>
      </c>
    </row>
    <row r="99" spans="16:18" x14ac:dyDescent="0.3">
      <c r="P99">
        <f>COUNTIF(DRE[[#All],[DEMONSTRATIVO DE RESULTADO GERENCIAL]],B99)</f>
        <v>0</v>
      </c>
      <c r="R99" t="e">
        <f>VLOOKUP(B99,DRE!A:A,1,FALSE)</f>
        <v>#N/A</v>
      </c>
    </row>
    <row r="100" spans="16:18" x14ac:dyDescent="0.3">
      <c r="P100">
        <f>COUNTIF(DRE[[#All],[DEMONSTRATIVO DE RESULTADO GERENCIAL]],B100)</f>
        <v>0</v>
      </c>
      <c r="R100" t="e">
        <f>VLOOKUP(B100,DRE!A:A,1,FALSE)</f>
        <v>#N/A</v>
      </c>
    </row>
    <row r="101" spans="16:18" x14ac:dyDescent="0.3">
      <c r="P101">
        <f>COUNTIF(DRE[[#All],[DEMONSTRATIVO DE RESULTADO GERENCIAL]],B101)</f>
        <v>0</v>
      </c>
      <c r="R101" t="e">
        <f>VLOOKUP(B101,DRE!A:A,1,FALSE)</f>
        <v>#N/A</v>
      </c>
    </row>
    <row r="102" spans="16:18" x14ac:dyDescent="0.3">
      <c r="P102">
        <f>COUNTIF(DRE[[#All],[DEMONSTRATIVO DE RESULTADO GERENCIAL]],B102)</f>
        <v>0</v>
      </c>
      <c r="R102" t="e">
        <f>VLOOKUP(B102,DRE!A:A,1,FALSE)</f>
        <v>#N/A</v>
      </c>
    </row>
    <row r="103" spans="16:18" x14ac:dyDescent="0.3">
      <c r="P103">
        <f>COUNTIF(DRE[[#All],[DEMONSTRATIVO DE RESULTADO GERENCIAL]],B103)</f>
        <v>0</v>
      </c>
      <c r="R103" t="e">
        <f>VLOOKUP(B103,DRE!A:A,1,FALSE)</f>
        <v>#N/A</v>
      </c>
    </row>
    <row r="104" spans="16:18" x14ac:dyDescent="0.3">
      <c r="P104">
        <f>COUNTIF(DRE[[#All],[DEMONSTRATIVO DE RESULTADO GERENCIAL]],B104)</f>
        <v>0</v>
      </c>
      <c r="R104" t="e">
        <f>VLOOKUP(B104,DRE!A:A,1,FALSE)</f>
        <v>#N/A</v>
      </c>
    </row>
    <row r="105" spans="16:18" x14ac:dyDescent="0.3">
      <c r="P105">
        <f>COUNTIF(DRE[[#All],[DEMONSTRATIVO DE RESULTADO GERENCIAL]],B105)</f>
        <v>0</v>
      </c>
      <c r="R105" t="e">
        <f>VLOOKUP(B105,DRE!A:A,1,FALSE)</f>
        <v>#N/A</v>
      </c>
    </row>
    <row r="106" spans="16:18" x14ac:dyDescent="0.3">
      <c r="P106">
        <f>COUNTIF(DRE[[#All],[DEMONSTRATIVO DE RESULTADO GERENCIAL]],B106)</f>
        <v>0</v>
      </c>
      <c r="R106" t="e">
        <f>VLOOKUP(B106,DRE!A:A,1,FALSE)</f>
        <v>#N/A</v>
      </c>
    </row>
    <row r="107" spans="16:18" x14ac:dyDescent="0.3">
      <c r="P107">
        <f>COUNTIF(DRE[[#All],[DEMONSTRATIVO DE RESULTADO GERENCIAL]],B107)</f>
        <v>0</v>
      </c>
      <c r="R107" t="e">
        <f>VLOOKUP(B107,DRE!A:A,1,FALSE)</f>
        <v>#N/A</v>
      </c>
    </row>
    <row r="108" spans="16:18" x14ac:dyDescent="0.3">
      <c r="P108">
        <f>COUNTIF(DRE[[#All],[DEMONSTRATIVO DE RESULTADO GERENCIAL]],B108)</f>
        <v>0</v>
      </c>
      <c r="R108" t="e">
        <f>VLOOKUP(B108,DRE!A:A,1,FALSE)</f>
        <v>#N/A</v>
      </c>
    </row>
    <row r="109" spans="16:18" x14ac:dyDescent="0.3">
      <c r="P109">
        <f>COUNTIF(DRE[[#All],[DEMONSTRATIVO DE RESULTADO GERENCIAL]],B109)</f>
        <v>0</v>
      </c>
      <c r="R109" t="e">
        <f>VLOOKUP(B109,DRE!A:A,1,FALSE)</f>
        <v>#N/A</v>
      </c>
    </row>
    <row r="110" spans="16:18" x14ac:dyDescent="0.3">
      <c r="P110">
        <f>COUNTIF(DRE[[#All],[DEMONSTRATIVO DE RESULTADO GERENCIAL]],B110)</f>
        <v>0</v>
      </c>
      <c r="R110" t="e">
        <f>VLOOKUP(B110,DRE!A:A,1,FALSE)</f>
        <v>#N/A</v>
      </c>
    </row>
    <row r="111" spans="16:18" x14ac:dyDescent="0.3">
      <c r="P111">
        <f>COUNTIF(DRE[[#All],[DEMONSTRATIVO DE RESULTADO GERENCIAL]],B111)</f>
        <v>0</v>
      </c>
      <c r="R111" t="e">
        <f>VLOOKUP(B111,DRE!A:A,1,FALSE)</f>
        <v>#N/A</v>
      </c>
    </row>
    <row r="112" spans="16:18" x14ac:dyDescent="0.3">
      <c r="P112">
        <f>COUNTIF(DRE[[#All],[DEMONSTRATIVO DE RESULTADO GERENCIAL]],B112)</f>
        <v>0</v>
      </c>
      <c r="R112" t="e">
        <f>VLOOKUP(B112,DRE!A:A,1,FALSE)</f>
        <v>#N/A</v>
      </c>
    </row>
    <row r="113" spans="16:18" x14ac:dyDescent="0.3">
      <c r="P113">
        <f>COUNTIF(DRE[[#All],[DEMONSTRATIVO DE RESULTADO GERENCIAL]],B113)</f>
        <v>0</v>
      </c>
      <c r="R113" t="e">
        <f>VLOOKUP(B113,DRE!A:A,1,FALSE)</f>
        <v>#N/A</v>
      </c>
    </row>
    <row r="114" spans="16:18" x14ac:dyDescent="0.3">
      <c r="P114">
        <f>COUNTIF(DRE[[#All],[DEMONSTRATIVO DE RESULTADO GERENCIAL]],B114)</f>
        <v>0</v>
      </c>
      <c r="R114" t="e">
        <f>VLOOKUP(B114,DRE!A:A,1,FALSE)</f>
        <v>#N/A</v>
      </c>
    </row>
    <row r="115" spans="16:18" x14ac:dyDescent="0.3">
      <c r="P115">
        <f>COUNTIF(DRE[[#All],[DEMONSTRATIVO DE RESULTADO GERENCIAL]],B115)</f>
        <v>0</v>
      </c>
      <c r="R115" t="e">
        <f>VLOOKUP(B115,DRE!A:A,1,FALSE)</f>
        <v>#N/A</v>
      </c>
    </row>
    <row r="116" spans="16:18" x14ac:dyDescent="0.3">
      <c r="P116">
        <f>COUNTIF(DRE[[#All],[DEMONSTRATIVO DE RESULTADO GERENCIAL]],B116)</f>
        <v>0</v>
      </c>
      <c r="R116" t="e">
        <f>VLOOKUP(B116,DRE!A:A,1,FALSE)</f>
        <v>#N/A</v>
      </c>
    </row>
    <row r="117" spans="16:18" x14ac:dyDescent="0.3">
      <c r="P117">
        <f>COUNTIF(DRE[[#All],[DEMONSTRATIVO DE RESULTADO GERENCIAL]],B117)</f>
        <v>0</v>
      </c>
      <c r="R117" t="e">
        <f>VLOOKUP(B117,DRE!A:A,1,FALSE)</f>
        <v>#N/A</v>
      </c>
    </row>
    <row r="118" spans="16:18" x14ac:dyDescent="0.3">
      <c r="P118">
        <f>COUNTIF(DRE[[#All],[DEMONSTRATIVO DE RESULTADO GERENCIAL]],B118)</f>
        <v>0</v>
      </c>
      <c r="R118" t="e">
        <f>VLOOKUP(B118,DRE!A:A,1,FALSE)</f>
        <v>#N/A</v>
      </c>
    </row>
    <row r="119" spans="16:18" x14ac:dyDescent="0.3">
      <c r="P119">
        <f>COUNTIF(DRE[[#All],[DEMONSTRATIVO DE RESULTADO GERENCIAL]],B119)</f>
        <v>0</v>
      </c>
      <c r="R119" t="e">
        <f>VLOOKUP(B119,DRE!A:A,1,FALSE)</f>
        <v>#N/A</v>
      </c>
    </row>
    <row r="120" spans="16:18" x14ac:dyDescent="0.3">
      <c r="P120">
        <f>COUNTIF(DRE[[#All],[DEMONSTRATIVO DE RESULTADO GERENCIAL]],B120)</f>
        <v>0</v>
      </c>
      <c r="R120" t="e">
        <f>VLOOKUP(B120,DRE!A:A,1,FALSE)</f>
        <v>#N/A</v>
      </c>
    </row>
    <row r="121" spans="16:18" x14ac:dyDescent="0.3">
      <c r="P121">
        <f>COUNTIF(DRE[[#All],[DEMONSTRATIVO DE RESULTADO GERENCIAL]],B121)</f>
        <v>0</v>
      </c>
      <c r="R121" t="e">
        <f>VLOOKUP(B121,DRE!A:A,1,FALSE)</f>
        <v>#N/A</v>
      </c>
    </row>
    <row r="122" spans="16:18" x14ac:dyDescent="0.3">
      <c r="P122">
        <f>COUNTIF(DRE[[#All],[DEMONSTRATIVO DE RESULTADO GERENCIAL]],B122)</f>
        <v>0</v>
      </c>
      <c r="R122" t="e">
        <f>VLOOKUP(B122,DRE!A:A,1,FALSE)</f>
        <v>#N/A</v>
      </c>
    </row>
    <row r="123" spans="16:18" x14ac:dyDescent="0.3">
      <c r="P123">
        <f>COUNTIF(DRE[[#All],[DEMONSTRATIVO DE RESULTADO GERENCIAL]],B123)</f>
        <v>0</v>
      </c>
      <c r="R123" t="e">
        <f>VLOOKUP(B123,DRE!A:A,1,FALSE)</f>
        <v>#N/A</v>
      </c>
    </row>
    <row r="124" spans="16:18" x14ac:dyDescent="0.3">
      <c r="P124">
        <f>COUNTIF(DRE[[#All],[DEMONSTRATIVO DE RESULTADO GERENCIAL]],B124)</f>
        <v>0</v>
      </c>
      <c r="R124" t="e">
        <f>VLOOKUP(B124,DRE!A:A,1,FALSE)</f>
        <v>#N/A</v>
      </c>
    </row>
    <row r="125" spans="16:18" x14ac:dyDescent="0.3">
      <c r="P125">
        <f>COUNTIF(DRE[[#All],[DEMONSTRATIVO DE RESULTADO GERENCIAL]],B125)</f>
        <v>0</v>
      </c>
      <c r="R125" t="e">
        <f>VLOOKUP(B125,DRE!A:A,1,FALSE)</f>
        <v>#N/A</v>
      </c>
    </row>
    <row r="126" spans="16:18" x14ac:dyDescent="0.3">
      <c r="P126">
        <f>COUNTIF(DRE[[#All],[DEMONSTRATIVO DE RESULTADO GERENCIAL]],B126)</f>
        <v>0</v>
      </c>
      <c r="R126" t="e">
        <f>VLOOKUP(B126,DRE!A:A,1,FALSE)</f>
        <v>#N/A</v>
      </c>
    </row>
    <row r="127" spans="16:18" x14ac:dyDescent="0.3">
      <c r="P127">
        <f>COUNTIF(DRE[[#All],[DEMONSTRATIVO DE RESULTADO GERENCIAL]],B127)</f>
        <v>0</v>
      </c>
      <c r="R127" t="e">
        <f>VLOOKUP(B127,DRE!A:A,1,FALSE)</f>
        <v>#N/A</v>
      </c>
    </row>
    <row r="128" spans="16:18" x14ac:dyDescent="0.3">
      <c r="P128">
        <f>COUNTIF(DRE[[#All],[DEMONSTRATIVO DE RESULTADO GERENCIAL]],B128)</f>
        <v>0</v>
      </c>
      <c r="R128" t="e">
        <f>VLOOKUP(B128,DRE!A:A,1,FALSE)</f>
        <v>#N/A</v>
      </c>
    </row>
    <row r="129" spans="16:18" x14ac:dyDescent="0.3">
      <c r="P129">
        <f>COUNTIF(DRE[[#All],[DEMONSTRATIVO DE RESULTADO GERENCIAL]],B129)</f>
        <v>0</v>
      </c>
      <c r="R129" t="e">
        <f>VLOOKUP(B129,DRE!A:A,1,FALSE)</f>
        <v>#N/A</v>
      </c>
    </row>
    <row r="130" spans="16:18" x14ac:dyDescent="0.3">
      <c r="P130">
        <f>COUNTIF(DRE[[#All],[DEMONSTRATIVO DE RESULTADO GERENCIAL]],B130)</f>
        <v>0</v>
      </c>
      <c r="R130" t="e">
        <f>VLOOKUP(B130,DRE!A:A,1,FALSE)</f>
        <v>#N/A</v>
      </c>
    </row>
    <row r="131" spans="16:18" x14ac:dyDescent="0.3">
      <c r="P131">
        <f>COUNTIF(DRE[[#All],[DEMONSTRATIVO DE RESULTADO GERENCIAL]],B131)</f>
        <v>0</v>
      </c>
      <c r="R131" t="e">
        <f>VLOOKUP(B131,DRE!A:A,1,FALSE)</f>
        <v>#N/A</v>
      </c>
    </row>
    <row r="132" spans="16:18" x14ac:dyDescent="0.3">
      <c r="P132">
        <f>COUNTIF(DRE[[#All],[DEMONSTRATIVO DE RESULTADO GERENCIAL]],B132)</f>
        <v>0</v>
      </c>
      <c r="R132" t="e">
        <f>VLOOKUP(B132,DRE!A:A,1,FALSE)</f>
        <v>#N/A</v>
      </c>
    </row>
    <row r="133" spans="16:18" x14ac:dyDescent="0.3">
      <c r="P133">
        <f>COUNTIF(DRE[[#All],[DEMONSTRATIVO DE RESULTADO GERENCIAL]],B133)</f>
        <v>0</v>
      </c>
      <c r="R133" t="e">
        <f>VLOOKUP(B133,DRE!A:A,1,FALSE)</f>
        <v>#N/A</v>
      </c>
    </row>
    <row r="134" spans="16:18" x14ac:dyDescent="0.3">
      <c r="P134">
        <f>COUNTIF(DRE[[#All],[DEMONSTRATIVO DE RESULTADO GERENCIAL]],B134)</f>
        <v>0</v>
      </c>
    </row>
    <row r="135" spans="16:18" x14ac:dyDescent="0.3">
      <c r="P135">
        <f>COUNTIF(DRE[[#All],[DEMONSTRATIVO DE RESULTADO GERENCIAL]],B135)</f>
        <v>0</v>
      </c>
    </row>
    <row r="136" spans="16:18" x14ac:dyDescent="0.3">
      <c r="P136">
        <f>COUNTIF(DRE[[#All],[DEMONSTRATIVO DE RESULTADO GERENCIAL]],B136)</f>
        <v>0</v>
      </c>
    </row>
    <row r="137" spans="16:18" x14ac:dyDescent="0.3">
      <c r="P137">
        <f>COUNTIF(DRE[[#All],[DEMONSTRATIVO DE RESULTADO GERENCIAL]],B137)</f>
        <v>0</v>
      </c>
    </row>
    <row r="149" spans="1:24" x14ac:dyDescent="0.3">
      <c r="X149" s="5"/>
    </row>
    <row r="150" spans="1:24" x14ac:dyDescent="0.3">
      <c r="X150" s="5"/>
    </row>
    <row r="151" spans="1:24" x14ac:dyDescent="0.3">
      <c r="X151" s="5"/>
    </row>
    <row r="152" spans="1:24" x14ac:dyDescent="0.3">
      <c r="A152" s="5"/>
      <c r="X152" s="5"/>
    </row>
    <row r="153" spans="1:24" x14ac:dyDescent="0.3">
      <c r="A153" s="5"/>
      <c r="X153" s="5"/>
    </row>
    <row r="154" spans="1:24" x14ac:dyDescent="0.3">
      <c r="A154" s="5"/>
      <c r="X154" s="5"/>
    </row>
    <row r="155" spans="1:24" x14ac:dyDescent="0.3">
      <c r="A155" s="5"/>
      <c r="X155" s="5"/>
    </row>
    <row r="156" spans="1:24" x14ac:dyDescent="0.3">
      <c r="A156" s="5"/>
      <c r="X156" s="5"/>
    </row>
    <row r="157" spans="1:24" x14ac:dyDescent="0.3">
      <c r="A157" s="5"/>
      <c r="X157" s="5"/>
    </row>
    <row r="158" spans="1:24" x14ac:dyDescent="0.3">
      <c r="A158" s="5"/>
      <c r="X158" s="5"/>
    </row>
    <row r="159" spans="1:24" x14ac:dyDescent="0.3">
      <c r="A159" s="5"/>
      <c r="X159" s="5"/>
    </row>
    <row r="160" spans="1:24" x14ac:dyDescent="0.3">
      <c r="A160" s="5"/>
      <c r="X160" s="5"/>
    </row>
    <row r="161" spans="1:24" x14ac:dyDescent="0.3">
      <c r="A161" s="5"/>
      <c r="X161" s="5"/>
    </row>
    <row r="162" spans="1:24" x14ac:dyDescent="0.3">
      <c r="A162" s="5"/>
      <c r="X162" s="5"/>
    </row>
    <row r="163" spans="1:24" x14ac:dyDescent="0.3">
      <c r="A163" s="5"/>
      <c r="X163" s="5"/>
    </row>
    <row r="164" spans="1:24" x14ac:dyDescent="0.3">
      <c r="A164" s="5"/>
      <c r="X164" s="5"/>
    </row>
    <row r="165" spans="1:24" x14ac:dyDescent="0.3">
      <c r="A165" s="5"/>
      <c r="X165" s="5"/>
    </row>
    <row r="166" spans="1:24" x14ac:dyDescent="0.3">
      <c r="A166" s="5"/>
      <c r="X166" s="5"/>
    </row>
    <row r="167" spans="1:24" x14ac:dyDescent="0.3">
      <c r="A167" s="5"/>
      <c r="X167" s="5"/>
    </row>
    <row r="168" spans="1:24" x14ac:dyDescent="0.3">
      <c r="A168" s="5"/>
      <c r="X168" s="5"/>
    </row>
    <row r="169" spans="1:24" x14ac:dyDescent="0.3">
      <c r="A169" s="5"/>
      <c r="X169" s="5"/>
    </row>
    <row r="170" spans="1:24" x14ac:dyDescent="0.3">
      <c r="A170" s="5"/>
      <c r="X170" s="5"/>
    </row>
    <row r="171" spans="1:24" x14ac:dyDescent="0.3">
      <c r="A171" s="5"/>
      <c r="X171" s="5"/>
    </row>
    <row r="172" spans="1:24" x14ac:dyDescent="0.3">
      <c r="A172" s="5"/>
      <c r="X172" s="5"/>
    </row>
    <row r="173" spans="1:24" x14ac:dyDescent="0.3">
      <c r="A173" s="5"/>
      <c r="X173" s="5"/>
    </row>
    <row r="174" spans="1:24" x14ac:dyDescent="0.3">
      <c r="A174" s="5"/>
      <c r="X174" s="5"/>
    </row>
    <row r="175" spans="1:24" x14ac:dyDescent="0.3">
      <c r="A175" s="5"/>
      <c r="X175" s="5"/>
    </row>
    <row r="176" spans="1:24" x14ac:dyDescent="0.3">
      <c r="A176" s="5"/>
      <c r="X176" s="5"/>
    </row>
    <row r="177" spans="1:24" x14ac:dyDescent="0.3">
      <c r="A177" s="5"/>
      <c r="X177" s="5"/>
    </row>
    <row r="178" spans="1:24" x14ac:dyDescent="0.3">
      <c r="A178" s="5"/>
      <c r="X178" s="5"/>
    </row>
    <row r="179" spans="1:24" x14ac:dyDescent="0.3">
      <c r="A179" s="5"/>
      <c r="X179" s="5"/>
    </row>
    <row r="180" spans="1:24" x14ac:dyDescent="0.3">
      <c r="A180" s="5"/>
      <c r="X180" s="5"/>
    </row>
    <row r="181" spans="1:24" x14ac:dyDescent="0.3">
      <c r="A181" s="5"/>
      <c r="X181" s="5"/>
    </row>
    <row r="182" spans="1:24" x14ac:dyDescent="0.3">
      <c r="A182" s="5"/>
      <c r="X182" s="5"/>
    </row>
    <row r="183" spans="1:24" x14ac:dyDescent="0.3">
      <c r="A183" s="5"/>
      <c r="X183" s="5"/>
    </row>
    <row r="184" spans="1:24" x14ac:dyDescent="0.3">
      <c r="A184" s="5"/>
      <c r="X184" s="5"/>
    </row>
    <row r="185" spans="1:24" x14ac:dyDescent="0.3">
      <c r="A185" s="5"/>
      <c r="X185" s="5"/>
    </row>
    <row r="186" spans="1:24" x14ac:dyDescent="0.3">
      <c r="A186" s="5"/>
      <c r="X186" s="5"/>
    </row>
    <row r="187" spans="1:24" x14ac:dyDescent="0.3">
      <c r="A187" s="5"/>
      <c r="X187" s="5"/>
    </row>
    <row r="188" spans="1:24" x14ac:dyDescent="0.3">
      <c r="A188" s="5"/>
      <c r="X188" s="5"/>
    </row>
    <row r="189" spans="1:24" x14ac:dyDescent="0.3">
      <c r="A189" s="5"/>
      <c r="X189" s="5"/>
    </row>
    <row r="190" spans="1:24" x14ac:dyDescent="0.3">
      <c r="A190" s="5"/>
      <c r="X190" s="5"/>
    </row>
    <row r="191" spans="1:24" x14ac:dyDescent="0.3">
      <c r="A191" s="5"/>
      <c r="X191" s="5"/>
    </row>
    <row r="192" spans="1:24" x14ac:dyDescent="0.3">
      <c r="A192" s="5"/>
      <c r="X192" s="5"/>
    </row>
    <row r="193" spans="1:24" x14ac:dyDescent="0.3">
      <c r="A193" s="5"/>
      <c r="X193" s="5"/>
    </row>
    <row r="194" spans="1:24" x14ac:dyDescent="0.3">
      <c r="A194" s="5"/>
      <c r="X194" s="5"/>
    </row>
    <row r="195" spans="1:24" x14ac:dyDescent="0.3">
      <c r="A195" s="5"/>
      <c r="X195" s="5"/>
    </row>
    <row r="196" spans="1:24" x14ac:dyDescent="0.3">
      <c r="A196" s="5"/>
      <c r="X196" s="5"/>
    </row>
    <row r="197" spans="1:24" x14ac:dyDescent="0.3">
      <c r="A197" s="5"/>
      <c r="X197" s="5"/>
    </row>
    <row r="198" spans="1:24" x14ac:dyDescent="0.3">
      <c r="A198" s="5"/>
      <c r="X198" s="5"/>
    </row>
    <row r="199" spans="1:24" x14ac:dyDescent="0.3">
      <c r="A199" s="5"/>
      <c r="X199" s="5"/>
    </row>
  </sheetData>
  <sortState xmlns:xlrd2="http://schemas.microsoft.com/office/spreadsheetml/2017/richdata2" ref="Y28:Z36">
    <sortCondition descending="1" ref="Z28:Z36"/>
  </sortState>
  <conditionalFormatting sqref="P6:P137">
    <cfRule type="cellIs" dxfId="0" priority="1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4"/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89E94086-B3CB-4F75-B85D-5A30FE5B5B6B}">
  <ds:schemaRefs/>
</ds:datastoreItem>
</file>

<file path=customXml/itemProps2.xml><?xml version="1.0" encoding="utf-8"?>
<ds:datastoreItem xmlns:ds="http://schemas.openxmlformats.org/officeDocument/2006/customXml" ds:itemID="{B929F3D3-D367-4EC2-9BD0-106B8C443FB9}">
  <ds:schemaRefs/>
</ds:datastoreItem>
</file>

<file path=customXml/itemProps3.xml><?xml version="1.0" encoding="utf-8"?>
<ds:datastoreItem xmlns:ds="http://schemas.openxmlformats.org/officeDocument/2006/customXml" ds:itemID="{028F7E93-1D6D-4B41-B591-3E03EAA13A1A}">
  <ds:schemaRefs/>
</ds:datastoreItem>
</file>

<file path=customXml/itemProps4.xml><?xml version="1.0" encoding="utf-8"?>
<ds:datastoreItem xmlns:ds="http://schemas.openxmlformats.org/officeDocument/2006/customXml" ds:itemID="{42E093FF-5AA0-487E-A66D-A1F5742B84D5}">
  <ds:schemaRefs/>
</ds:datastoreItem>
</file>

<file path=customXml/itemProps5.xml><?xml version="1.0" encoding="utf-8"?>
<ds:datastoreItem xmlns:ds="http://schemas.openxmlformats.org/officeDocument/2006/customXml" ds:itemID="{D37D595E-E2CE-4CF7-B552-D8176570787C}">
  <ds:schemaRefs/>
</ds:datastoreItem>
</file>

<file path=customXml/itemProps6.xml><?xml version="1.0" encoding="utf-8"?>
<ds:datastoreItem xmlns:ds="http://schemas.openxmlformats.org/officeDocument/2006/customXml" ds:itemID="{A57FE6A9-9F63-4647-A6CD-848F605B07A3}">
  <ds:schemaRefs/>
</ds:datastoreItem>
</file>

<file path=customXml/itemProps7.xml><?xml version="1.0" encoding="utf-8"?>
<ds:datastoreItem xmlns:ds="http://schemas.openxmlformats.org/officeDocument/2006/customXml" ds:itemID="{B65C27E0-217A-4406-933C-1D7ABCC5A2DE}">
  <ds:schemaRefs/>
</ds:datastoreItem>
</file>

<file path=customXml/itemProps8.xml><?xml version="1.0" encoding="utf-8"?>
<ds:datastoreItem xmlns:ds="http://schemas.openxmlformats.org/officeDocument/2006/customXml" ds:itemID="{ADB1E5C0-BC97-4DFE-A0E3-B258FDA23A27}">
  <ds:schemaRefs/>
</ds:datastoreItem>
</file>

<file path=customXml/itemProps9.xml><?xml version="1.0" encoding="utf-8"?>
<ds:datastoreItem xmlns:ds="http://schemas.openxmlformats.org/officeDocument/2006/customXml" ds:itemID="{2C3FF66C-2188-419B-96E3-04124EF6FB0C}">
  <ds:schemaRefs/>
</ds:datastoreItem>
</file>

<file path=customXml/itemProps10.xml><?xml version="1.0" encoding="utf-8"?>
<ds:datastoreItem xmlns:ds="http://schemas.openxmlformats.org/officeDocument/2006/customXml" ds:itemID="{530F2EED-0256-4FEB-A965-99AFD52AB0FB}">
  <ds:schemaRefs/>
</ds:datastoreItem>
</file>

<file path=customXml/itemProps11.xml><?xml version="1.0" encoding="utf-8"?>
<ds:datastoreItem xmlns:ds="http://schemas.openxmlformats.org/officeDocument/2006/customXml" ds:itemID="{D2DD0F25-C80C-4F0D-8EAB-FDD89A76CED8}">
  <ds:schemaRefs/>
</ds:datastoreItem>
</file>

<file path=customXml/itemProps12.xml><?xml version="1.0" encoding="utf-8"?>
<ds:datastoreItem xmlns:ds="http://schemas.openxmlformats.org/officeDocument/2006/customXml" ds:itemID="{F9EAB4DE-125B-4E77-87A2-055BB603EF78}">
  <ds:schemaRefs/>
</ds:datastoreItem>
</file>

<file path=customXml/itemProps13.xml><?xml version="1.0" encoding="utf-8"?>
<ds:datastoreItem xmlns:ds="http://schemas.openxmlformats.org/officeDocument/2006/customXml" ds:itemID="{496A1894-4E85-459E-8C60-D569563922D8}">
  <ds:schemaRefs/>
</ds:datastoreItem>
</file>

<file path=customXml/itemProps14.xml><?xml version="1.0" encoding="utf-8"?>
<ds:datastoreItem xmlns:ds="http://schemas.openxmlformats.org/officeDocument/2006/customXml" ds:itemID="{B09873A3-B9A3-4DCA-8A62-51DCFDACFD2F}">
  <ds:schemaRefs/>
</ds:datastoreItem>
</file>

<file path=customXml/itemProps15.xml><?xml version="1.0" encoding="utf-8"?>
<ds:datastoreItem xmlns:ds="http://schemas.openxmlformats.org/officeDocument/2006/customXml" ds:itemID="{EE05BF95-965E-477E-AD86-F328AAD69D02}">
  <ds:schemaRefs>
    <ds:schemaRef ds:uri="http://schemas.microsoft.com/DataMashup"/>
  </ds:schemaRefs>
</ds:datastoreItem>
</file>

<file path=customXml/itemProps16.xml><?xml version="1.0" encoding="utf-8"?>
<ds:datastoreItem xmlns:ds="http://schemas.openxmlformats.org/officeDocument/2006/customXml" ds:itemID="{C16A25FE-BF14-4001-8392-A4D4CCF94440}">
  <ds:schemaRefs/>
</ds:datastoreItem>
</file>

<file path=customXml/itemProps17.xml><?xml version="1.0" encoding="utf-8"?>
<ds:datastoreItem xmlns:ds="http://schemas.openxmlformats.org/officeDocument/2006/customXml" ds:itemID="{2F1AC42A-7CFC-49AF-9582-17DE129D646E}">
  <ds:schemaRefs/>
</ds:datastoreItem>
</file>

<file path=customXml/itemProps18.xml><?xml version="1.0" encoding="utf-8"?>
<ds:datastoreItem xmlns:ds="http://schemas.openxmlformats.org/officeDocument/2006/customXml" ds:itemID="{7D5B0B30-6F8D-4DCB-9064-09B400701067}">
  <ds:schemaRefs/>
</ds:datastoreItem>
</file>

<file path=customXml/itemProps19.xml><?xml version="1.0" encoding="utf-8"?>
<ds:datastoreItem xmlns:ds="http://schemas.openxmlformats.org/officeDocument/2006/customXml" ds:itemID="{7BC50845-9C36-4420-B679-FFA522C4270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Painel</vt:lpstr>
      <vt:lpstr>DRE</vt:lpstr>
      <vt:lpstr>BD_FLUXO</vt:lpstr>
      <vt:lpstr>PLANO_CONTAS</vt:lpstr>
      <vt:lpstr>APOIO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eduardo rodrigues</cp:lastModifiedBy>
  <cp:lastPrinted>2023-09-18T17:00:05Z</cp:lastPrinted>
  <dcterms:created xsi:type="dcterms:W3CDTF">2019-06-26T21:24:27Z</dcterms:created>
  <dcterms:modified xsi:type="dcterms:W3CDTF">2025-06-30T14:44:33Z</dcterms:modified>
</cp:coreProperties>
</file>